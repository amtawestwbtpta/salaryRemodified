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updateLinks="always" defaultThemeVersion="166925"/>
  <mc:AlternateContent xmlns:mc="http://schemas.openxmlformats.org/markup-compatibility/2006">
    <mc:Choice Requires="x15">
      <x15ac:absPath xmlns:x15ac="http://schemas.microsoft.com/office/spreadsheetml/2010/11/ac" url="F:\School n WBTPTA\WBTPTA\salaryRemodified\"/>
    </mc:Choice>
  </mc:AlternateContent>
  <xr:revisionPtr revIDLastSave="0" documentId="13_ncr:1_{7AF8568C-7C41-455B-954A-B5D293957022}" xr6:coauthVersionLast="47" xr6:coauthVersionMax="47" xr10:uidLastSave="{00000000-0000-0000-0000-000000000000}"/>
  <bookViews>
    <workbookView xWindow="-120" yWindow="-120" windowWidth="29040" windowHeight="15990" xr2:uid="{B91B874B-A1D6-4725-BB0E-3CBC380CDF40}"/>
  </bookViews>
  <sheets>
    <sheet name="Sheet1" sheetId="1" r:id="rId1"/>
  </sheets>
  <externalReferences>
    <externalReference r:id="rId2"/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</externalReferences>
  <definedNames>
    <definedName name="_xlnm._FilterDatabase" localSheetId="0" hidden="1">Sheet1!$A$1:$FL$300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B303" i="1" l="1"/>
  <c r="DX303" i="1"/>
  <c r="DW303" i="1"/>
  <c r="DU303" i="1"/>
  <c r="DT303" i="1"/>
  <c r="DQ303" i="1"/>
  <c r="DN303" i="1"/>
  <c r="DM303" i="1"/>
  <c r="DK303" i="1"/>
  <c r="DJ303" i="1"/>
  <c r="DG303" i="1"/>
  <c r="DH303" i="1" s="1"/>
  <c r="DD303" i="1"/>
  <c r="DC303" i="1"/>
  <c r="DA303" i="1"/>
  <c r="CZ303" i="1"/>
  <c r="CW303" i="1"/>
  <c r="CY303" i="1" s="1"/>
  <c r="CT303" i="1"/>
  <c r="CS303" i="1"/>
  <c r="CQ303" i="1"/>
  <c r="CP303" i="1"/>
  <c r="CM303" i="1"/>
  <c r="CJ303" i="1"/>
  <c r="CI303" i="1"/>
  <c r="CG303" i="1"/>
  <c r="CF303" i="1"/>
  <c r="CC303" i="1"/>
  <c r="CE303" i="1" s="1"/>
  <c r="BZ303" i="1"/>
  <c r="BY303" i="1"/>
  <c r="BW303" i="1"/>
  <c r="BV303" i="1"/>
  <c r="BS303" i="1"/>
  <c r="BT303" i="1" s="1"/>
  <c r="BP303" i="1"/>
  <c r="BO303" i="1"/>
  <c r="BM303" i="1"/>
  <c r="BL303" i="1"/>
  <c r="BI303" i="1"/>
  <c r="BK303" i="1" s="1"/>
  <c r="BF303" i="1"/>
  <c r="BE303" i="1"/>
  <c r="BC303" i="1"/>
  <c r="BB303" i="1"/>
  <c r="AX303" i="1"/>
  <c r="AU303" i="1"/>
  <c r="AT303" i="1"/>
  <c r="AR303" i="1"/>
  <c r="AQ303" i="1"/>
  <c r="AN303" i="1"/>
  <c r="AP303" i="1" s="1"/>
  <c r="AK303" i="1"/>
  <c r="AJ303" i="1"/>
  <c r="AH303" i="1"/>
  <c r="AG303" i="1"/>
  <c r="AD303" i="1"/>
  <c r="AE303" i="1" s="1"/>
  <c r="AA303" i="1"/>
  <c r="Z303" i="1"/>
  <c r="X303" i="1"/>
  <c r="W303" i="1"/>
  <c r="T303" i="1"/>
  <c r="V303" i="1" s="1"/>
  <c r="Q303" i="1"/>
  <c r="P303" i="1"/>
  <c r="N303" i="1"/>
  <c r="M303" i="1"/>
  <c r="J303" i="1"/>
  <c r="I303" i="1"/>
  <c r="H303" i="1"/>
  <c r="A303" i="1"/>
  <c r="FB261" i="1"/>
  <c r="DX261" i="1"/>
  <c r="DW261" i="1"/>
  <c r="DU261" i="1"/>
  <c r="DT261" i="1"/>
  <c r="DQ261" i="1"/>
  <c r="DS261" i="1" s="1"/>
  <c r="DN261" i="1"/>
  <c r="DM261" i="1"/>
  <c r="DK261" i="1"/>
  <c r="DJ261" i="1"/>
  <c r="DG261" i="1"/>
  <c r="DI261" i="1" s="1"/>
  <c r="DD261" i="1"/>
  <c r="DC261" i="1"/>
  <c r="DA261" i="1"/>
  <c r="CZ261" i="1"/>
  <c r="CW261" i="1"/>
  <c r="CY261" i="1" s="1"/>
  <c r="CT261" i="1"/>
  <c r="CS261" i="1"/>
  <c r="CQ261" i="1"/>
  <c r="CP261" i="1"/>
  <c r="CM261" i="1"/>
  <c r="CN261" i="1" s="1"/>
  <c r="CJ261" i="1"/>
  <c r="CI261" i="1"/>
  <c r="CG261" i="1"/>
  <c r="CF261" i="1"/>
  <c r="CC261" i="1"/>
  <c r="CD261" i="1" s="1"/>
  <c r="BZ261" i="1"/>
  <c r="BY261" i="1"/>
  <c r="BW261" i="1"/>
  <c r="BV261" i="1"/>
  <c r="BS261" i="1"/>
  <c r="BU261" i="1" s="1"/>
  <c r="BP261" i="1"/>
  <c r="BO261" i="1"/>
  <c r="BM261" i="1"/>
  <c r="BL261" i="1"/>
  <c r="BI261" i="1"/>
  <c r="BK261" i="1" s="1"/>
  <c r="BF261" i="1"/>
  <c r="BE261" i="1"/>
  <c r="BC261" i="1"/>
  <c r="BB261" i="1"/>
  <c r="AX261" i="1"/>
  <c r="AY261" i="1" s="1"/>
  <c r="AU261" i="1"/>
  <c r="AT261" i="1"/>
  <c r="AR261" i="1"/>
  <c r="AQ261" i="1"/>
  <c r="AN261" i="1"/>
  <c r="AP261" i="1" s="1"/>
  <c r="AK261" i="1"/>
  <c r="AJ261" i="1"/>
  <c r="AH261" i="1"/>
  <c r="AG261" i="1"/>
  <c r="AD261" i="1"/>
  <c r="AF261" i="1" s="1"/>
  <c r="AA261" i="1"/>
  <c r="Z261" i="1"/>
  <c r="X261" i="1"/>
  <c r="W261" i="1"/>
  <c r="T261" i="1"/>
  <c r="V261" i="1" s="1"/>
  <c r="Q261" i="1"/>
  <c r="P261" i="1"/>
  <c r="N261" i="1"/>
  <c r="M261" i="1"/>
  <c r="J261" i="1"/>
  <c r="K261" i="1" s="1"/>
  <c r="I261" i="1"/>
  <c r="H261" i="1"/>
  <c r="A261" i="1"/>
  <c r="J132" i="1"/>
  <c r="K132" i="1" s="1"/>
  <c r="M132" i="1"/>
  <c r="N132" i="1"/>
  <c r="P132" i="1"/>
  <c r="Q132" i="1"/>
  <c r="T132" i="1"/>
  <c r="Y132" i="1" s="1"/>
  <c r="W132" i="1"/>
  <c r="X132" i="1"/>
  <c r="Z132" i="1"/>
  <c r="AA132" i="1"/>
  <c r="AD132" i="1"/>
  <c r="AI132" i="1" s="1"/>
  <c r="AG132" i="1"/>
  <c r="AH132" i="1"/>
  <c r="AJ132" i="1"/>
  <c r="AK132" i="1"/>
  <c r="AN132" i="1"/>
  <c r="AO132" i="1" s="1"/>
  <c r="AQ132" i="1"/>
  <c r="AR132" i="1"/>
  <c r="AT132" i="1"/>
  <c r="AU132" i="1"/>
  <c r="AX132" i="1"/>
  <c r="AY132" i="1" s="1"/>
  <c r="BB132" i="1"/>
  <c r="BC132" i="1"/>
  <c r="BE132" i="1"/>
  <c r="BF132" i="1"/>
  <c r="BI132" i="1"/>
  <c r="BJ132" i="1" s="1"/>
  <c r="BL132" i="1"/>
  <c r="BM132" i="1"/>
  <c r="BO132" i="1"/>
  <c r="BP132" i="1"/>
  <c r="BS132" i="1"/>
  <c r="BX132" i="1" s="1"/>
  <c r="BV132" i="1"/>
  <c r="BW132" i="1"/>
  <c r="BY132" i="1"/>
  <c r="BZ132" i="1"/>
  <c r="CC132" i="1"/>
  <c r="CE132" i="1" s="1"/>
  <c r="CF132" i="1"/>
  <c r="CG132" i="1"/>
  <c r="CI132" i="1"/>
  <c r="CJ132" i="1"/>
  <c r="CM132" i="1"/>
  <c r="CN132" i="1" s="1"/>
  <c r="CP132" i="1"/>
  <c r="CQ132" i="1"/>
  <c r="CS132" i="1"/>
  <c r="CT132" i="1"/>
  <c r="CW132" i="1"/>
  <c r="CX132" i="1" s="1"/>
  <c r="CZ132" i="1"/>
  <c r="DA132" i="1"/>
  <c r="DC132" i="1"/>
  <c r="DD132" i="1"/>
  <c r="DG132" i="1"/>
  <c r="DL132" i="1" s="1"/>
  <c r="DJ132" i="1"/>
  <c r="DK132" i="1"/>
  <c r="DM132" i="1"/>
  <c r="DN132" i="1"/>
  <c r="DQ132" i="1"/>
  <c r="DS132" i="1" s="1"/>
  <c r="DT132" i="1"/>
  <c r="DU132" i="1"/>
  <c r="DW132" i="1"/>
  <c r="DX132" i="1"/>
  <c r="FB132" i="1"/>
  <c r="A132" i="1"/>
  <c r="FB3" i="1"/>
  <c r="FB4" i="1"/>
  <c r="FB5" i="1"/>
  <c r="FB6" i="1"/>
  <c r="FB7" i="1"/>
  <c r="FB8" i="1"/>
  <c r="FB9" i="1"/>
  <c r="FB10" i="1"/>
  <c r="FB11" i="1"/>
  <c r="FB12" i="1"/>
  <c r="FB13" i="1"/>
  <c r="FB14" i="1"/>
  <c r="FB15" i="1"/>
  <c r="FB16" i="1"/>
  <c r="FB17" i="1"/>
  <c r="FB18" i="1"/>
  <c r="FB19" i="1"/>
  <c r="FB20" i="1"/>
  <c r="FB21" i="1"/>
  <c r="FB22" i="1"/>
  <c r="FB23" i="1"/>
  <c r="FB24" i="1"/>
  <c r="FB25" i="1"/>
  <c r="FB26" i="1"/>
  <c r="FB27" i="1"/>
  <c r="FB28" i="1"/>
  <c r="FB29" i="1"/>
  <c r="FB30" i="1"/>
  <c r="FB31" i="1"/>
  <c r="FB32" i="1"/>
  <c r="FB33" i="1"/>
  <c r="FB34" i="1"/>
  <c r="FB35" i="1"/>
  <c r="FB36" i="1"/>
  <c r="FB37" i="1"/>
  <c r="FB38" i="1"/>
  <c r="FB39" i="1"/>
  <c r="FB40" i="1"/>
  <c r="FB41" i="1"/>
  <c r="FB42" i="1"/>
  <c r="FB43" i="1"/>
  <c r="FB44" i="1"/>
  <c r="FB45" i="1"/>
  <c r="FB46" i="1"/>
  <c r="FB47" i="1"/>
  <c r="FB48" i="1"/>
  <c r="FB49" i="1"/>
  <c r="FB50" i="1"/>
  <c r="FB51" i="1"/>
  <c r="FB52" i="1"/>
  <c r="FB53" i="1"/>
  <c r="FB54" i="1"/>
  <c r="FB55" i="1"/>
  <c r="FB56" i="1"/>
  <c r="FB57" i="1"/>
  <c r="FB58" i="1"/>
  <c r="FB59" i="1"/>
  <c r="FB60" i="1"/>
  <c r="FB61" i="1"/>
  <c r="FB62" i="1"/>
  <c r="FB63" i="1"/>
  <c r="FB64" i="1"/>
  <c r="FB65" i="1"/>
  <c r="FB66" i="1"/>
  <c r="FB67" i="1"/>
  <c r="FB68" i="1"/>
  <c r="FB69" i="1"/>
  <c r="FB70" i="1"/>
  <c r="FB71" i="1"/>
  <c r="FB72" i="1"/>
  <c r="FB73" i="1"/>
  <c r="FB74" i="1"/>
  <c r="FB75" i="1"/>
  <c r="FB76" i="1"/>
  <c r="FB77" i="1"/>
  <c r="FB78" i="1"/>
  <c r="FB79" i="1"/>
  <c r="FB80" i="1"/>
  <c r="FB81" i="1"/>
  <c r="FB82" i="1"/>
  <c r="FB83" i="1"/>
  <c r="FB84" i="1"/>
  <c r="FB85" i="1"/>
  <c r="FB86" i="1"/>
  <c r="FB87" i="1"/>
  <c r="FB88" i="1"/>
  <c r="FB89" i="1"/>
  <c r="FB90" i="1"/>
  <c r="FB91" i="1"/>
  <c r="FB92" i="1"/>
  <c r="FB93" i="1"/>
  <c r="FB94" i="1"/>
  <c r="FB95" i="1"/>
  <c r="FB96" i="1"/>
  <c r="FB97" i="1"/>
  <c r="FB98" i="1"/>
  <c r="FB99" i="1"/>
  <c r="FB100" i="1"/>
  <c r="FB101" i="1"/>
  <c r="FB102" i="1"/>
  <c r="FB103" i="1"/>
  <c r="FB104" i="1"/>
  <c r="FB105" i="1"/>
  <c r="FB106" i="1"/>
  <c r="FB107" i="1"/>
  <c r="FB108" i="1"/>
  <c r="FB109" i="1"/>
  <c r="FB110" i="1"/>
  <c r="FB111" i="1"/>
  <c r="FB112" i="1"/>
  <c r="FB113" i="1"/>
  <c r="FB114" i="1"/>
  <c r="FB115" i="1"/>
  <c r="FB116" i="1"/>
  <c r="FB117" i="1"/>
  <c r="FB118" i="1"/>
  <c r="FB119" i="1"/>
  <c r="FB120" i="1"/>
  <c r="FB121" i="1"/>
  <c r="FB122" i="1"/>
  <c r="FB123" i="1"/>
  <c r="FB124" i="1"/>
  <c r="FB125" i="1"/>
  <c r="FB126" i="1"/>
  <c r="FB127" i="1"/>
  <c r="FB128" i="1"/>
  <c r="FB129" i="1"/>
  <c r="FB130" i="1"/>
  <c r="FB131" i="1"/>
  <c r="FB133" i="1"/>
  <c r="FB134" i="1"/>
  <c r="FB135" i="1"/>
  <c r="FB136" i="1"/>
  <c r="FB137" i="1"/>
  <c r="FB138" i="1"/>
  <c r="FB139" i="1"/>
  <c r="FB140" i="1"/>
  <c r="FB141" i="1"/>
  <c r="FB142" i="1"/>
  <c r="FB143" i="1"/>
  <c r="FB144" i="1"/>
  <c r="FB145" i="1"/>
  <c r="FB146" i="1"/>
  <c r="FB147" i="1"/>
  <c r="FB148" i="1"/>
  <c r="FB149" i="1"/>
  <c r="FB150" i="1"/>
  <c r="FB151" i="1"/>
  <c r="FB152" i="1"/>
  <c r="FB153" i="1"/>
  <c r="FB154" i="1"/>
  <c r="FB155" i="1"/>
  <c r="FB156" i="1"/>
  <c r="FB157" i="1"/>
  <c r="FB158" i="1"/>
  <c r="FB159" i="1"/>
  <c r="FB160" i="1"/>
  <c r="FB161" i="1"/>
  <c r="FB162" i="1"/>
  <c r="FB163" i="1"/>
  <c r="FB164" i="1"/>
  <c r="FB165" i="1"/>
  <c r="FB166" i="1"/>
  <c r="FB167" i="1"/>
  <c r="FB168" i="1"/>
  <c r="FB169" i="1"/>
  <c r="FB170" i="1"/>
  <c r="FB171" i="1"/>
  <c r="FB172" i="1"/>
  <c r="FB173" i="1"/>
  <c r="FB174" i="1"/>
  <c r="FB175" i="1"/>
  <c r="FB176" i="1"/>
  <c r="FB177" i="1"/>
  <c r="FB178" i="1"/>
  <c r="FB179" i="1"/>
  <c r="FB180" i="1"/>
  <c r="FB181" i="1"/>
  <c r="FB182" i="1"/>
  <c r="FB183" i="1"/>
  <c r="FB184" i="1"/>
  <c r="FB185" i="1"/>
  <c r="FB186" i="1"/>
  <c r="FB187" i="1"/>
  <c r="FB188" i="1"/>
  <c r="FB189" i="1"/>
  <c r="FB190" i="1"/>
  <c r="FB191" i="1"/>
  <c r="FB192" i="1"/>
  <c r="FB193" i="1"/>
  <c r="FB194" i="1"/>
  <c r="FB195" i="1"/>
  <c r="FB196" i="1"/>
  <c r="FB197" i="1"/>
  <c r="FB198" i="1"/>
  <c r="FB199" i="1"/>
  <c r="FB200" i="1"/>
  <c r="FB201" i="1"/>
  <c r="FB202" i="1"/>
  <c r="FB203" i="1"/>
  <c r="FB204" i="1"/>
  <c r="FB205" i="1"/>
  <c r="FB206" i="1"/>
  <c r="FB207" i="1"/>
  <c r="FB208" i="1"/>
  <c r="FB209" i="1"/>
  <c r="FB210" i="1"/>
  <c r="FB211" i="1"/>
  <c r="FB212" i="1"/>
  <c r="FB213" i="1"/>
  <c r="FB214" i="1"/>
  <c r="FB215" i="1"/>
  <c r="FB216" i="1"/>
  <c r="FB217" i="1"/>
  <c r="FB218" i="1"/>
  <c r="FB219" i="1"/>
  <c r="FB220" i="1"/>
  <c r="FB221" i="1"/>
  <c r="FB222" i="1"/>
  <c r="FB223" i="1"/>
  <c r="FB224" i="1"/>
  <c r="FB225" i="1"/>
  <c r="FB226" i="1"/>
  <c r="FB227" i="1"/>
  <c r="FB228" i="1"/>
  <c r="FB229" i="1"/>
  <c r="FB230" i="1"/>
  <c r="FB231" i="1"/>
  <c r="FB232" i="1"/>
  <c r="FB233" i="1"/>
  <c r="FB234" i="1"/>
  <c r="FB235" i="1"/>
  <c r="FB236" i="1"/>
  <c r="FB237" i="1"/>
  <c r="FB238" i="1"/>
  <c r="FB239" i="1"/>
  <c r="FB240" i="1"/>
  <c r="FB241" i="1"/>
  <c r="FB242" i="1"/>
  <c r="FB243" i="1"/>
  <c r="FB244" i="1"/>
  <c r="FB245" i="1"/>
  <c r="FB246" i="1"/>
  <c r="FB247" i="1"/>
  <c r="FB248" i="1"/>
  <c r="FB249" i="1"/>
  <c r="FB250" i="1"/>
  <c r="FB251" i="1"/>
  <c r="FB252" i="1"/>
  <c r="FB253" i="1"/>
  <c r="FB254" i="1"/>
  <c r="FB255" i="1"/>
  <c r="FB256" i="1"/>
  <c r="FB257" i="1"/>
  <c r="FB258" i="1"/>
  <c r="FB259" i="1"/>
  <c r="FB260" i="1"/>
  <c r="FB262" i="1"/>
  <c r="FB263" i="1"/>
  <c r="FB264" i="1"/>
  <c r="FB265" i="1"/>
  <c r="FB266" i="1"/>
  <c r="FB267" i="1"/>
  <c r="FB268" i="1"/>
  <c r="FB269" i="1"/>
  <c r="FB270" i="1"/>
  <c r="FB271" i="1"/>
  <c r="FB272" i="1"/>
  <c r="FB273" i="1"/>
  <c r="FB274" i="1"/>
  <c r="FB275" i="1"/>
  <c r="FB276" i="1"/>
  <c r="FB277" i="1"/>
  <c r="FB278" i="1"/>
  <c r="FB279" i="1"/>
  <c r="FB280" i="1"/>
  <c r="FB281" i="1"/>
  <c r="FB282" i="1"/>
  <c r="FB283" i="1"/>
  <c r="FB284" i="1"/>
  <c r="FB285" i="1"/>
  <c r="FB286" i="1"/>
  <c r="FB287" i="1"/>
  <c r="FB288" i="1"/>
  <c r="FB289" i="1"/>
  <c r="FB290" i="1"/>
  <c r="FB291" i="1"/>
  <c r="FB292" i="1"/>
  <c r="FB293" i="1"/>
  <c r="FB294" i="1"/>
  <c r="FB295" i="1"/>
  <c r="FB296" i="1"/>
  <c r="FB297" i="1"/>
  <c r="FB298" i="1"/>
  <c r="FB299" i="1"/>
  <c r="FB300" i="1"/>
  <c r="FB301" i="1"/>
  <c r="FB302" i="1"/>
  <c r="FB2" i="1"/>
  <c r="DY4" i="1"/>
  <c r="DY60" i="1"/>
  <c r="DY136" i="1"/>
  <c r="DY145" i="1"/>
  <c r="DY192" i="1"/>
  <c r="DY198" i="1"/>
  <c r="DY202" i="1"/>
  <c r="DY268" i="1"/>
  <c r="DX3" i="1"/>
  <c r="DX4" i="1"/>
  <c r="DX5" i="1"/>
  <c r="DX6" i="1"/>
  <c r="DX7" i="1"/>
  <c r="DX8" i="1"/>
  <c r="DX9" i="1"/>
  <c r="DX10" i="1"/>
  <c r="DX11" i="1"/>
  <c r="DX12" i="1"/>
  <c r="DX13" i="1"/>
  <c r="DX14" i="1"/>
  <c r="DX15" i="1"/>
  <c r="DX16" i="1"/>
  <c r="DX17" i="1"/>
  <c r="DX18" i="1"/>
  <c r="DX19" i="1"/>
  <c r="DX20" i="1"/>
  <c r="DX21" i="1"/>
  <c r="DX22" i="1"/>
  <c r="DX23" i="1"/>
  <c r="DX24" i="1"/>
  <c r="DX25" i="1"/>
  <c r="DX26" i="1"/>
  <c r="DX27" i="1"/>
  <c r="DX28" i="1"/>
  <c r="DX29" i="1"/>
  <c r="DX30" i="1"/>
  <c r="DX31" i="1"/>
  <c r="DX32" i="1"/>
  <c r="DX33" i="1"/>
  <c r="DX34" i="1"/>
  <c r="DX35" i="1"/>
  <c r="DX36" i="1"/>
  <c r="DX37" i="1"/>
  <c r="DX38" i="1"/>
  <c r="DX39" i="1"/>
  <c r="DX40" i="1"/>
  <c r="DX41" i="1"/>
  <c r="DX42" i="1"/>
  <c r="DX43" i="1"/>
  <c r="DX44" i="1"/>
  <c r="DX45" i="1"/>
  <c r="DX46" i="1"/>
  <c r="DX47" i="1"/>
  <c r="DX48" i="1"/>
  <c r="DX49" i="1"/>
  <c r="DX50" i="1"/>
  <c r="DX51" i="1"/>
  <c r="DX52" i="1"/>
  <c r="DX53" i="1"/>
  <c r="DX54" i="1"/>
  <c r="DX55" i="1"/>
  <c r="DX56" i="1"/>
  <c r="DX57" i="1"/>
  <c r="DX58" i="1"/>
  <c r="DX59" i="1"/>
  <c r="DX60" i="1"/>
  <c r="DX61" i="1"/>
  <c r="DX62" i="1"/>
  <c r="DX63" i="1"/>
  <c r="DX64" i="1"/>
  <c r="DX65" i="1"/>
  <c r="DX66" i="1"/>
  <c r="DX67" i="1"/>
  <c r="DX68" i="1"/>
  <c r="DX69" i="1"/>
  <c r="DX70" i="1"/>
  <c r="DX71" i="1"/>
  <c r="DX72" i="1"/>
  <c r="DX73" i="1"/>
  <c r="DX74" i="1"/>
  <c r="DX75" i="1"/>
  <c r="DX76" i="1"/>
  <c r="DX77" i="1"/>
  <c r="DX78" i="1"/>
  <c r="DX79" i="1"/>
  <c r="DX80" i="1"/>
  <c r="DX81" i="1"/>
  <c r="DX82" i="1"/>
  <c r="DX83" i="1"/>
  <c r="DX84" i="1"/>
  <c r="DX85" i="1"/>
  <c r="DX86" i="1"/>
  <c r="DX87" i="1"/>
  <c r="DX88" i="1"/>
  <c r="DX89" i="1"/>
  <c r="DX90" i="1"/>
  <c r="DX91" i="1"/>
  <c r="DX92" i="1"/>
  <c r="DX93" i="1"/>
  <c r="DX94" i="1"/>
  <c r="DX95" i="1"/>
  <c r="DX96" i="1"/>
  <c r="DX97" i="1"/>
  <c r="DX98" i="1"/>
  <c r="DX99" i="1"/>
  <c r="DX100" i="1"/>
  <c r="DX101" i="1"/>
  <c r="DX102" i="1"/>
  <c r="DX103" i="1"/>
  <c r="DX104" i="1"/>
  <c r="DX105" i="1"/>
  <c r="DX106" i="1"/>
  <c r="DX107" i="1"/>
  <c r="DX108" i="1"/>
  <c r="DX109" i="1"/>
  <c r="DX110" i="1"/>
  <c r="DX111" i="1"/>
  <c r="DX112" i="1"/>
  <c r="DX113" i="1"/>
  <c r="DX114" i="1"/>
  <c r="DX115" i="1"/>
  <c r="DX116" i="1"/>
  <c r="DX117" i="1"/>
  <c r="DX118" i="1"/>
  <c r="DX119" i="1"/>
  <c r="DX120" i="1"/>
  <c r="DX121" i="1"/>
  <c r="DX122" i="1"/>
  <c r="DX123" i="1"/>
  <c r="DX124" i="1"/>
  <c r="DX125" i="1"/>
  <c r="DX126" i="1"/>
  <c r="DX127" i="1"/>
  <c r="DX128" i="1"/>
  <c r="DX129" i="1"/>
  <c r="DX130" i="1"/>
  <c r="DX131" i="1"/>
  <c r="DX133" i="1"/>
  <c r="DX134" i="1"/>
  <c r="DX135" i="1"/>
  <c r="DX136" i="1"/>
  <c r="DX137" i="1"/>
  <c r="DX138" i="1"/>
  <c r="DX139" i="1"/>
  <c r="DX140" i="1"/>
  <c r="DX141" i="1"/>
  <c r="DX142" i="1"/>
  <c r="DX143" i="1"/>
  <c r="DX144" i="1"/>
  <c r="DX145" i="1"/>
  <c r="DX146" i="1"/>
  <c r="DX147" i="1"/>
  <c r="DX148" i="1"/>
  <c r="DX149" i="1"/>
  <c r="DX150" i="1"/>
  <c r="DX151" i="1"/>
  <c r="DX152" i="1"/>
  <c r="DX153" i="1"/>
  <c r="DX154" i="1"/>
  <c r="DX155" i="1"/>
  <c r="DX156" i="1"/>
  <c r="DX157" i="1"/>
  <c r="DX158" i="1"/>
  <c r="DX159" i="1"/>
  <c r="DX160" i="1"/>
  <c r="DX161" i="1"/>
  <c r="DX162" i="1"/>
  <c r="DX163" i="1"/>
  <c r="DX164" i="1"/>
  <c r="DX165" i="1"/>
  <c r="DX166" i="1"/>
  <c r="DX167" i="1"/>
  <c r="DX168" i="1"/>
  <c r="DX169" i="1"/>
  <c r="DX170" i="1"/>
  <c r="DX171" i="1"/>
  <c r="DX172" i="1"/>
  <c r="DX173" i="1"/>
  <c r="DX174" i="1"/>
  <c r="DX175" i="1"/>
  <c r="DX176" i="1"/>
  <c r="DX177" i="1"/>
  <c r="DX178" i="1"/>
  <c r="DX179" i="1"/>
  <c r="DX180" i="1"/>
  <c r="DX181" i="1"/>
  <c r="DX182" i="1"/>
  <c r="DX183" i="1"/>
  <c r="DX184" i="1"/>
  <c r="DX185" i="1"/>
  <c r="DX186" i="1"/>
  <c r="DX187" i="1"/>
  <c r="DX188" i="1"/>
  <c r="DX189" i="1"/>
  <c r="DX190" i="1"/>
  <c r="DX191" i="1"/>
  <c r="DX192" i="1"/>
  <c r="DX193" i="1"/>
  <c r="DX194" i="1"/>
  <c r="DX195" i="1"/>
  <c r="DX196" i="1"/>
  <c r="DX197" i="1"/>
  <c r="DX198" i="1"/>
  <c r="DX199" i="1"/>
  <c r="DX200" i="1"/>
  <c r="DX201" i="1"/>
  <c r="DX202" i="1"/>
  <c r="DX203" i="1"/>
  <c r="DX204" i="1"/>
  <c r="DX205" i="1"/>
  <c r="DX206" i="1"/>
  <c r="DX207" i="1"/>
  <c r="DX208" i="1"/>
  <c r="DX209" i="1"/>
  <c r="DX210" i="1"/>
  <c r="DX211" i="1"/>
  <c r="DX212" i="1"/>
  <c r="DX213" i="1"/>
  <c r="DX214" i="1"/>
  <c r="DX215" i="1"/>
  <c r="DX216" i="1"/>
  <c r="DX217" i="1"/>
  <c r="DX218" i="1"/>
  <c r="DX219" i="1"/>
  <c r="DX220" i="1"/>
  <c r="DX221" i="1"/>
  <c r="DX222" i="1"/>
  <c r="DX223" i="1"/>
  <c r="DX224" i="1"/>
  <c r="DX225" i="1"/>
  <c r="DX226" i="1"/>
  <c r="DX227" i="1"/>
  <c r="DX228" i="1"/>
  <c r="DX229" i="1"/>
  <c r="DX230" i="1"/>
  <c r="DX231" i="1"/>
  <c r="DX232" i="1"/>
  <c r="DX233" i="1"/>
  <c r="DX234" i="1"/>
  <c r="DX235" i="1"/>
  <c r="DX236" i="1"/>
  <c r="DX237" i="1"/>
  <c r="DX238" i="1"/>
  <c r="DX239" i="1"/>
  <c r="DX240" i="1"/>
  <c r="DX241" i="1"/>
  <c r="DX242" i="1"/>
  <c r="DX243" i="1"/>
  <c r="DX244" i="1"/>
  <c r="DX245" i="1"/>
  <c r="DX246" i="1"/>
  <c r="DX247" i="1"/>
  <c r="DX248" i="1"/>
  <c r="DX249" i="1"/>
  <c r="DX250" i="1"/>
  <c r="DX251" i="1"/>
  <c r="DX252" i="1"/>
  <c r="DX253" i="1"/>
  <c r="DX254" i="1"/>
  <c r="DX255" i="1"/>
  <c r="DX256" i="1"/>
  <c r="DX257" i="1"/>
  <c r="DX258" i="1"/>
  <c r="DX259" i="1"/>
  <c r="DX260" i="1"/>
  <c r="DX262" i="1"/>
  <c r="DX263" i="1"/>
  <c r="DX264" i="1"/>
  <c r="DX265" i="1"/>
  <c r="DX266" i="1"/>
  <c r="DX267" i="1"/>
  <c r="DX268" i="1"/>
  <c r="DX269" i="1"/>
  <c r="DX270" i="1"/>
  <c r="DX271" i="1"/>
  <c r="DX272" i="1"/>
  <c r="DX273" i="1"/>
  <c r="DX274" i="1"/>
  <c r="DX275" i="1"/>
  <c r="DX276" i="1"/>
  <c r="DX277" i="1"/>
  <c r="DX278" i="1"/>
  <c r="DX279" i="1"/>
  <c r="DX280" i="1"/>
  <c r="DX281" i="1"/>
  <c r="DX282" i="1"/>
  <c r="DX283" i="1"/>
  <c r="DX284" i="1"/>
  <c r="DX285" i="1"/>
  <c r="DX286" i="1"/>
  <c r="DX287" i="1"/>
  <c r="DX288" i="1"/>
  <c r="DX289" i="1"/>
  <c r="DX290" i="1"/>
  <c r="DX291" i="1"/>
  <c r="DX292" i="1"/>
  <c r="DX293" i="1"/>
  <c r="DX294" i="1"/>
  <c r="DX295" i="1"/>
  <c r="DX296" i="1"/>
  <c r="DX297" i="1"/>
  <c r="DX298" i="1"/>
  <c r="DX299" i="1"/>
  <c r="DX300" i="1"/>
  <c r="DX301" i="1"/>
  <c r="DX302" i="1"/>
  <c r="DX2" i="1"/>
  <c r="DW3" i="1"/>
  <c r="DW4" i="1"/>
  <c r="DW5" i="1"/>
  <c r="DW6" i="1"/>
  <c r="DW7" i="1"/>
  <c r="DW8" i="1"/>
  <c r="DW9" i="1"/>
  <c r="DW10" i="1"/>
  <c r="DW11" i="1"/>
  <c r="DW12" i="1"/>
  <c r="DW13" i="1"/>
  <c r="DW14" i="1"/>
  <c r="DW15" i="1"/>
  <c r="DW16" i="1"/>
  <c r="DW17" i="1"/>
  <c r="DW18" i="1"/>
  <c r="DW19" i="1"/>
  <c r="DW20" i="1"/>
  <c r="DW21" i="1"/>
  <c r="DW22" i="1"/>
  <c r="DW23" i="1"/>
  <c r="DW24" i="1"/>
  <c r="DW25" i="1"/>
  <c r="DW26" i="1"/>
  <c r="DW27" i="1"/>
  <c r="DW28" i="1"/>
  <c r="DW29" i="1"/>
  <c r="DW30" i="1"/>
  <c r="DW31" i="1"/>
  <c r="DW32" i="1"/>
  <c r="DW33" i="1"/>
  <c r="DW34" i="1"/>
  <c r="DW35" i="1"/>
  <c r="DW36" i="1"/>
  <c r="DW37" i="1"/>
  <c r="DW38" i="1"/>
  <c r="DW39" i="1"/>
  <c r="DW40" i="1"/>
  <c r="DW41" i="1"/>
  <c r="DW42" i="1"/>
  <c r="DW43" i="1"/>
  <c r="DW44" i="1"/>
  <c r="DW45" i="1"/>
  <c r="DW46" i="1"/>
  <c r="DW47" i="1"/>
  <c r="DW48" i="1"/>
  <c r="DW49" i="1"/>
  <c r="DW50" i="1"/>
  <c r="DW51" i="1"/>
  <c r="DW52" i="1"/>
  <c r="DW53" i="1"/>
  <c r="DW54" i="1"/>
  <c r="DW55" i="1"/>
  <c r="DW56" i="1"/>
  <c r="DW57" i="1"/>
  <c r="DW58" i="1"/>
  <c r="DW59" i="1"/>
  <c r="DW60" i="1"/>
  <c r="DW61" i="1"/>
  <c r="DW62" i="1"/>
  <c r="DW63" i="1"/>
  <c r="DW64" i="1"/>
  <c r="DW65" i="1"/>
  <c r="DW66" i="1"/>
  <c r="DW67" i="1"/>
  <c r="DW68" i="1"/>
  <c r="DW69" i="1"/>
  <c r="DW70" i="1"/>
  <c r="DW71" i="1"/>
  <c r="DW72" i="1"/>
  <c r="DW73" i="1"/>
  <c r="DW74" i="1"/>
  <c r="DW75" i="1"/>
  <c r="DW76" i="1"/>
  <c r="DW77" i="1"/>
  <c r="DW78" i="1"/>
  <c r="DW79" i="1"/>
  <c r="DW80" i="1"/>
  <c r="DW81" i="1"/>
  <c r="DW82" i="1"/>
  <c r="DW83" i="1"/>
  <c r="DW84" i="1"/>
  <c r="DW85" i="1"/>
  <c r="DW86" i="1"/>
  <c r="DW87" i="1"/>
  <c r="DW88" i="1"/>
  <c r="DW89" i="1"/>
  <c r="DW90" i="1"/>
  <c r="DW91" i="1"/>
  <c r="DW92" i="1"/>
  <c r="DW93" i="1"/>
  <c r="DW94" i="1"/>
  <c r="DW95" i="1"/>
  <c r="DW96" i="1"/>
  <c r="DW97" i="1"/>
  <c r="DW98" i="1"/>
  <c r="DW99" i="1"/>
  <c r="DW100" i="1"/>
  <c r="DW101" i="1"/>
  <c r="DW102" i="1"/>
  <c r="DW103" i="1"/>
  <c r="DW104" i="1"/>
  <c r="DW105" i="1"/>
  <c r="DW106" i="1"/>
  <c r="DW107" i="1"/>
  <c r="DW108" i="1"/>
  <c r="DW109" i="1"/>
  <c r="DW110" i="1"/>
  <c r="DW111" i="1"/>
  <c r="DW112" i="1"/>
  <c r="DW113" i="1"/>
  <c r="DW114" i="1"/>
  <c r="DW115" i="1"/>
  <c r="DW116" i="1"/>
  <c r="DW117" i="1"/>
  <c r="DW118" i="1"/>
  <c r="DW119" i="1"/>
  <c r="DW120" i="1"/>
  <c r="DW121" i="1"/>
  <c r="DW122" i="1"/>
  <c r="DW123" i="1"/>
  <c r="DW124" i="1"/>
  <c r="DW125" i="1"/>
  <c r="DW126" i="1"/>
  <c r="DW127" i="1"/>
  <c r="DW128" i="1"/>
  <c r="DW129" i="1"/>
  <c r="DW130" i="1"/>
  <c r="DW131" i="1"/>
  <c r="DW133" i="1"/>
  <c r="DW134" i="1"/>
  <c r="DW135" i="1"/>
  <c r="DW136" i="1"/>
  <c r="DW137" i="1"/>
  <c r="DW138" i="1"/>
  <c r="DW139" i="1"/>
  <c r="DW140" i="1"/>
  <c r="DW141" i="1"/>
  <c r="DW142" i="1"/>
  <c r="DW143" i="1"/>
  <c r="DW144" i="1"/>
  <c r="DW145" i="1"/>
  <c r="DW146" i="1"/>
  <c r="DW147" i="1"/>
  <c r="DW148" i="1"/>
  <c r="DW149" i="1"/>
  <c r="DW150" i="1"/>
  <c r="DW151" i="1"/>
  <c r="DW152" i="1"/>
  <c r="DW153" i="1"/>
  <c r="DW154" i="1"/>
  <c r="DW155" i="1"/>
  <c r="DW156" i="1"/>
  <c r="DW157" i="1"/>
  <c r="DW158" i="1"/>
  <c r="DW159" i="1"/>
  <c r="DW160" i="1"/>
  <c r="DW161" i="1"/>
  <c r="DW162" i="1"/>
  <c r="DW163" i="1"/>
  <c r="DW164" i="1"/>
  <c r="DW165" i="1"/>
  <c r="DW166" i="1"/>
  <c r="DW167" i="1"/>
  <c r="DW168" i="1"/>
  <c r="DW169" i="1"/>
  <c r="DW170" i="1"/>
  <c r="DW171" i="1"/>
  <c r="DW172" i="1"/>
  <c r="DW173" i="1"/>
  <c r="DW174" i="1"/>
  <c r="DW175" i="1"/>
  <c r="DW176" i="1"/>
  <c r="DW177" i="1"/>
  <c r="DW178" i="1"/>
  <c r="DW179" i="1"/>
  <c r="DW180" i="1"/>
  <c r="DW181" i="1"/>
  <c r="DW182" i="1"/>
  <c r="DW183" i="1"/>
  <c r="DW184" i="1"/>
  <c r="DW185" i="1"/>
  <c r="DW186" i="1"/>
  <c r="DW187" i="1"/>
  <c r="DW188" i="1"/>
  <c r="DW189" i="1"/>
  <c r="DW190" i="1"/>
  <c r="DW191" i="1"/>
  <c r="DW192" i="1"/>
  <c r="DW193" i="1"/>
  <c r="DW194" i="1"/>
  <c r="DW195" i="1"/>
  <c r="DW196" i="1"/>
  <c r="DW197" i="1"/>
  <c r="DW198" i="1"/>
  <c r="DW199" i="1"/>
  <c r="DW200" i="1"/>
  <c r="DW201" i="1"/>
  <c r="DW202" i="1"/>
  <c r="DW203" i="1"/>
  <c r="DW204" i="1"/>
  <c r="DW205" i="1"/>
  <c r="DW206" i="1"/>
  <c r="DW207" i="1"/>
  <c r="DW208" i="1"/>
  <c r="DW209" i="1"/>
  <c r="DW210" i="1"/>
  <c r="DW211" i="1"/>
  <c r="DW212" i="1"/>
  <c r="DW213" i="1"/>
  <c r="DW214" i="1"/>
  <c r="DW215" i="1"/>
  <c r="DW216" i="1"/>
  <c r="DW217" i="1"/>
  <c r="DW218" i="1"/>
  <c r="DW219" i="1"/>
  <c r="DW220" i="1"/>
  <c r="DW221" i="1"/>
  <c r="DW222" i="1"/>
  <c r="DW223" i="1"/>
  <c r="DW224" i="1"/>
  <c r="DW225" i="1"/>
  <c r="DW226" i="1"/>
  <c r="DW227" i="1"/>
  <c r="DW228" i="1"/>
  <c r="DW229" i="1"/>
  <c r="DW230" i="1"/>
  <c r="DW231" i="1"/>
  <c r="DW232" i="1"/>
  <c r="DW233" i="1"/>
  <c r="DW234" i="1"/>
  <c r="DW235" i="1"/>
  <c r="DW236" i="1"/>
  <c r="DW237" i="1"/>
  <c r="DW238" i="1"/>
  <c r="DW239" i="1"/>
  <c r="DW240" i="1"/>
  <c r="DW241" i="1"/>
  <c r="DW242" i="1"/>
  <c r="DW243" i="1"/>
  <c r="DW244" i="1"/>
  <c r="DW245" i="1"/>
  <c r="DW246" i="1"/>
  <c r="DW247" i="1"/>
  <c r="DW248" i="1"/>
  <c r="DW249" i="1"/>
  <c r="DW250" i="1"/>
  <c r="DW251" i="1"/>
  <c r="DW252" i="1"/>
  <c r="DW253" i="1"/>
  <c r="DW254" i="1"/>
  <c r="DW255" i="1"/>
  <c r="DW256" i="1"/>
  <c r="DW257" i="1"/>
  <c r="DW258" i="1"/>
  <c r="DW259" i="1"/>
  <c r="DW260" i="1"/>
  <c r="DW262" i="1"/>
  <c r="DW263" i="1"/>
  <c r="DW264" i="1"/>
  <c r="DW265" i="1"/>
  <c r="DW266" i="1"/>
  <c r="DW267" i="1"/>
  <c r="DW268" i="1"/>
  <c r="DW269" i="1"/>
  <c r="DW270" i="1"/>
  <c r="DW271" i="1"/>
  <c r="DW272" i="1"/>
  <c r="DW273" i="1"/>
  <c r="DW274" i="1"/>
  <c r="DW275" i="1"/>
  <c r="DW276" i="1"/>
  <c r="DW277" i="1"/>
  <c r="DW278" i="1"/>
  <c r="DW279" i="1"/>
  <c r="DW280" i="1"/>
  <c r="DW281" i="1"/>
  <c r="DW282" i="1"/>
  <c r="DW283" i="1"/>
  <c r="DW284" i="1"/>
  <c r="DW285" i="1"/>
  <c r="DW286" i="1"/>
  <c r="DW287" i="1"/>
  <c r="DW288" i="1"/>
  <c r="DW289" i="1"/>
  <c r="DW290" i="1"/>
  <c r="DW291" i="1"/>
  <c r="DW292" i="1"/>
  <c r="DW293" i="1"/>
  <c r="DW294" i="1"/>
  <c r="DW295" i="1"/>
  <c r="DW296" i="1"/>
  <c r="DW297" i="1"/>
  <c r="DW298" i="1"/>
  <c r="DW299" i="1"/>
  <c r="DW300" i="1"/>
  <c r="DW301" i="1"/>
  <c r="DW302" i="1"/>
  <c r="DW2" i="1"/>
  <c r="DU3" i="1"/>
  <c r="DU4" i="1"/>
  <c r="DU5" i="1"/>
  <c r="DU6" i="1"/>
  <c r="DU7" i="1"/>
  <c r="DU8" i="1"/>
  <c r="DU9" i="1"/>
  <c r="DU10" i="1"/>
  <c r="DU11" i="1"/>
  <c r="DU12" i="1"/>
  <c r="DU13" i="1"/>
  <c r="DU14" i="1"/>
  <c r="DU15" i="1"/>
  <c r="DU16" i="1"/>
  <c r="DU17" i="1"/>
  <c r="DU18" i="1"/>
  <c r="DU19" i="1"/>
  <c r="DU20" i="1"/>
  <c r="DU21" i="1"/>
  <c r="DU22" i="1"/>
  <c r="DU23" i="1"/>
  <c r="DU24" i="1"/>
  <c r="DU25" i="1"/>
  <c r="DU26" i="1"/>
  <c r="DU27" i="1"/>
  <c r="DU28" i="1"/>
  <c r="DU29" i="1"/>
  <c r="DU30" i="1"/>
  <c r="DU31" i="1"/>
  <c r="DU32" i="1"/>
  <c r="DU33" i="1"/>
  <c r="DU34" i="1"/>
  <c r="DU35" i="1"/>
  <c r="DU36" i="1"/>
  <c r="DU37" i="1"/>
  <c r="DU38" i="1"/>
  <c r="DU39" i="1"/>
  <c r="DU40" i="1"/>
  <c r="DU41" i="1"/>
  <c r="DU42" i="1"/>
  <c r="DU43" i="1"/>
  <c r="DU44" i="1"/>
  <c r="DU45" i="1"/>
  <c r="DU46" i="1"/>
  <c r="DU47" i="1"/>
  <c r="DU48" i="1"/>
  <c r="DU49" i="1"/>
  <c r="DU50" i="1"/>
  <c r="DU51" i="1"/>
  <c r="DU52" i="1"/>
  <c r="DU53" i="1"/>
  <c r="DU54" i="1"/>
  <c r="DU55" i="1"/>
  <c r="DU56" i="1"/>
  <c r="DU57" i="1"/>
  <c r="DU58" i="1"/>
  <c r="DU59" i="1"/>
  <c r="DU60" i="1"/>
  <c r="DU61" i="1"/>
  <c r="DU62" i="1"/>
  <c r="DU63" i="1"/>
  <c r="DU64" i="1"/>
  <c r="DU65" i="1"/>
  <c r="DU66" i="1"/>
  <c r="DU67" i="1"/>
  <c r="DU68" i="1"/>
  <c r="DU69" i="1"/>
  <c r="DU70" i="1"/>
  <c r="DU71" i="1"/>
  <c r="DU72" i="1"/>
  <c r="DU73" i="1"/>
  <c r="DU74" i="1"/>
  <c r="DU75" i="1"/>
  <c r="DU76" i="1"/>
  <c r="DU77" i="1"/>
  <c r="DU78" i="1"/>
  <c r="DU79" i="1"/>
  <c r="DU80" i="1"/>
  <c r="DU81" i="1"/>
  <c r="DU82" i="1"/>
  <c r="DU83" i="1"/>
  <c r="DU84" i="1"/>
  <c r="DU85" i="1"/>
  <c r="DU86" i="1"/>
  <c r="DU87" i="1"/>
  <c r="DU88" i="1"/>
  <c r="DU89" i="1"/>
  <c r="DU90" i="1"/>
  <c r="DU91" i="1"/>
  <c r="DU92" i="1"/>
  <c r="DU93" i="1"/>
  <c r="DU94" i="1"/>
  <c r="DU95" i="1"/>
  <c r="DU96" i="1"/>
  <c r="DU97" i="1"/>
  <c r="DU98" i="1"/>
  <c r="DU99" i="1"/>
  <c r="DU100" i="1"/>
  <c r="DU101" i="1"/>
  <c r="DU102" i="1"/>
  <c r="DU103" i="1"/>
  <c r="DU104" i="1"/>
  <c r="DU105" i="1"/>
  <c r="DU106" i="1"/>
  <c r="DU107" i="1"/>
  <c r="DU108" i="1"/>
  <c r="DU109" i="1"/>
  <c r="DU110" i="1"/>
  <c r="DU111" i="1"/>
  <c r="DU112" i="1"/>
  <c r="DU113" i="1"/>
  <c r="DU114" i="1"/>
  <c r="DU115" i="1"/>
  <c r="DU116" i="1"/>
  <c r="DU117" i="1"/>
  <c r="DU118" i="1"/>
  <c r="DU119" i="1"/>
  <c r="DU120" i="1"/>
  <c r="DU121" i="1"/>
  <c r="DU122" i="1"/>
  <c r="DU123" i="1"/>
  <c r="DU124" i="1"/>
  <c r="DU125" i="1"/>
  <c r="DU126" i="1"/>
  <c r="DU127" i="1"/>
  <c r="DU128" i="1"/>
  <c r="DU129" i="1"/>
  <c r="DU130" i="1"/>
  <c r="DU131" i="1"/>
  <c r="DU133" i="1"/>
  <c r="DU134" i="1"/>
  <c r="DU135" i="1"/>
  <c r="DU136" i="1"/>
  <c r="DU137" i="1"/>
  <c r="DU138" i="1"/>
  <c r="DU139" i="1"/>
  <c r="DU140" i="1"/>
  <c r="DU141" i="1"/>
  <c r="DU142" i="1"/>
  <c r="DU143" i="1"/>
  <c r="DU144" i="1"/>
  <c r="DU145" i="1"/>
  <c r="DU146" i="1"/>
  <c r="DU147" i="1"/>
  <c r="DU148" i="1"/>
  <c r="DU149" i="1"/>
  <c r="DU150" i="1"/>
  <c r="DU151" i="1"/>
  <c r="DU152" i="1"/>
  <c r="DU153" i="1"/>
  <c r="DU154" i="1"/>
  <c r="DU155" i="1"/>
  <c r="DU156" i="1"/>
  <c r="DU157" i="1"/>
  <c r="DU158" i="1"/>
  <c r="DU159" i="1"/>
  <c r="DU160" i="1"/>
  <c r="DU161" i="1"/>
  <c r="DU162" i="1"/>
  <c r="DU163" i="1"/>
  <c r="DU164" i="1"/>
  <c r="DU165" i="1"/>
  <c r="DU166" i="1"/>
  <c r="DU167" i="1"/>
  <c r="DU168" i="1"/>
  <c r="DU169" i="1"/>
  <c r="DU170" i="1"/>
  <c r="DU171" i="1"/>
  <c r="DU172" i="1"/>
  <c r="DU173" i="1"/>
  <c r="DU174" i="1"/>
  <c r="DU175" i="1"/>
  <c r="DU176" i="1"/>
  <c r="DU177" i="1"/>
  <c r="DU178" i="1"/>
  <c r="DU179" i="1"/>
  <c r="DU180" i="1"/>
  <c r="DU181" i="1"/>
  <c r="DU182" i="1"/>
  <c r="DU183" i="1"/>
  <c r="DU184" i="1"/>
  <c r="DU185" i="1"/>
  <c r="DU186" i="1"/>
  <c r="DU187" i="1"/>
  <c r="DU188" i="1"/>
  <c r="DU189" i="1"/>
  <c r="DU190" i="1"/>
  <c r="DU191" i="1"/>
  <c r="DU192" i="1"/>
  <c r="DU193" i="1"/>
  <c r="DU194" i="1"/>
  <c r="DU195" i="1"/>
  <c r="DU196" i="1"/>
  <c r="DU197" i="1"/>
  <c r="DU198" i="1"/>
  <c r="DU199" i="1"/>
  <c r="DU200" i="1"/>
  <c r="DU201" i="1"/>
  <c r="DU202" i="1"/>
  <c r="DU203" i="1"/>
  <c r="DU204" i="1"/>
  <c r="DU205" i="1"/>
  <c r="DU206" i="1"/>
  <c r="DU207" i="1"/>
  <c r="DU208" i="1"/>
  <c r="DU209" i="1"/>
  <c r="DU210" i="1"/>
  <c r="DU211" i="1"/>
  <c r="DU212" i="1"/>
  <c r="DU213" i="1"/>
  <c r="DU214" i="1"/>
  <c r="DU215" i="1"/>
  <c r="DU216" i="1"/>
  <c r="DU217" i="1"/>
  <c r="DU218" i="1"/>
  <c r="DU219" i="1"/>
  <c r="DU220" i="1"/>
  <c r="DU221" i="1"/>
  <c r="DU222" i="1"/>
  <c r="DU223" i="1"/>
  <c r="DU224" i="1"/>
  <c r="DU225" i="1"/>
  <c r="DU226" i="1"/>
  <c r="DU227" i="1"/>
  <c r="DU228" i="1"/>
  <c r="DU229" i="1"/>
  <c r="DU230" i="1"/>
  <c r="DU231" i="1"/>
  <c r="DU232" i="1"/>
  <c r="DU233" i="1"/>
  <c r="DU234" i="1"/>
  <c r="DU235" i="1"/>
  <c r="DU236" i="1"/>
  <c r="DU237" i="1"/>
  <c r="DU238" i="1"/>
  <c r="DU239" i="1"/>
  <c r="DU240" i="1"/>
  <c r="DU241" i="1"/>
  <c r="DU242" i="1"/>
  <c r="DU243" i="1"/>
  <c r="DU244" i="1"/>
  <c r="DU245" i="1"/>
  <c r="DU246" i="1"/>
  <c r="DU247" i="1"/>
  <c r="DU248" i="1"/>
  <c r="DU249" i="1"/>
  <c r="DU250" i="1"/>
  <c r="DU251" i="1"/>
  <c r="DU252" i="1"/>
  <c r="DU253" i="1"/>
  <c r="DU254" i="1"/>
  <c r="DU255" i="1"/>
  <c r="DU256" i="1"/>
  <c r="DU257" i="1"/>
  <c r="DU258" i="1"/>
  <c r="DU259" i="1"/>
  <c r="DU260" i="1"/>
  <c r="DU262" i="1"/>
  <c r="DU263" i="1"/>
  <c r="DU264" i="1"/>
  <c r="DU265" i="1"/>
  <c r="DU266" i="1"/>
  <c r="DU267" i="1"/>
  <c r="DU268" i="1"/>
  <c r="DU269" i="1"/>
  <c r="DU270" i="1"/>
  <c r="DU271" i="1"/>
  <c r="DU272" i="1"/>
  <c r="DU273" i="1"/>
  <c r="DU274" i="1"/>
  <c r="DU275" i="1"/>
  <c r="DU276" i="1"/>
  <c r="DU277" i="1"/>
  <c r="DU278" i="1"/>
  <c r="DU279" i="1"/>
  <c r="DU280" i="1"/>
  <c r="DU281" i="1"/>
  <c r="DU282" i="1"/>
  <c r="DU283" i="1"/>
  <c r="DU284" i="1"/>
  <c r="DU285" i="1"/>
  <c r="DU286" i="1"/>
  <c r="DU287" i="1"/>
  <c r="DU288" i="1"/>
  <c r="DU289" i="1"/>
  <c r="DU290" i="1"/>
  <c r="DU291" i="1"/>
  <c r="DU292" i="1"/>
  <c r="DU293" i="1"/>
  <c r="DU294" i="1"/>
  <c r="DU295" i="1"/>
  <c r="DU296" i="1"/>
  <c r="DU297" i="1"/>
  <c r="DU298" i="1"/>
  <c r="DU299" i="1"/>
  <c r="DU300" i="1"/>
  <c r="DU301" i="1"/>
  <c r="DU302" i="1"/>
  <c r="DU2" i="1"/>
  <c r="DT3" i="1"/>
  <c r="DT4" i="1"/>
  <c r="DT5" i="1"/>
  <c r="DT6" i="1"/>
  <c r="DT7" i="1"/>
  <c r="DT8" i="1"/>
  <c r="DT9" i="1"/>
  <c r="DT10" i="1"/>
  <c r="DT11" i="1"/>
  <c r="DT12" i="1"/>
  <c r="DT13" i="1"/>
  <c r="DT14" i="1"/>
  <c r="DT15" i="1"/>
  <c r="DT16" i="1"/>
  <c r="DT17" i="1"/>
  <c r="DT18" i="1"/>
  <c r="DT19" i="1"/>
  <c r="DT20" i="1"/>
  <c r="DT21" i="1"/>
  <c r="DT22" i="1"/>
  <c r="DT23" i="1"/>
  <c r="DT24" i="1"/>
  <c r="DT25" i="1"/>
  <c r="DT26" i="1"/>
  <c r="DT27" i="1"/>
  <c r="DT28" i="1"/>
  <c r="DT29" i="1"/>
  <c r="DT30" i="1"/>
  <c r="DT31" i="1"/>
  <c r="DT32" i="1"/>
  <c r="DT33" i="1"/>
  <c r="DT34" i="1"/>
  <c r="DT35" i="1"/>
  <c r="DT36" i="1"/>
  <c r="DT37" i="1"/>
  <c r="DT38" i="1"/>
  <c r="DT39" i="1"/>
  <c r="DT40" i="1"/>
  <c r="DT41" i="1"/>
  <c r="DT42" i="1"/>
  <c r="DT43" i="1"/>
  <c r="DT44" i="1"/>
  <c r="DT45" i="1"/>
  <c r="DT46" i="1"/>
  <c r="DT47" i="1"/>
  <c r="DT48" i="1"/>
  <c r="DT49" i="1"/>
  <c r="DT50" i="1"/>
  <c r="DT51" i="1"/>
  <c r="DT52" i="1"/>
  <c r="DT53" i="1"/>
  <c r="DT54" i="1"/>
  <c r="DT55" i="1"/>
  <c r="DT56" i="1"/>
  <c r="DT57" i="1"/>
  <c r="DT58" i="1"/>
  <c r="DT59" i="1"/>
  <c r="DT60" i="1"/>
  <c r="DT61" i="1"/>
  <c r="DT62" i="1"/>
  <c r="DT63" i="1"/>
  <c r="DT64" i="1"/>
  <c r="DT65" i="1"/>
  <c r="DT66" i="1"/>
  <c r="DT67" i="1"/>
  <c r="DT68" i="1"/>
  <c r="DT69" i="1"/>
  <c r="DT70" i="1"/>
  <c r="DT71" i="1"/>
  <c r="DT72" i="1"/>
  <c r="DT73" i="1"/>
  <c r="DT74" i="1"/>
  <c r="DT75" i="1"/>
  <c r="DT76" i="1"/>
  <c r="DT77" i="1"/>
  <c r="DT78" i="1"/>
  <c r="DT79" i="1"/>
  <c r="DT80" i="1"/>
  <c r="DT81" i="1"/>
  <c r="DT82" i="1"/>
  <c r="DT83" i="1"/>
  <c r="DT84" i="1"/>
  <c r="DT85" i="1"/>
  <c r="DT86" i="1"/>
  <c r="DT87" i="1"/>
  <c r="DT88" i="1"/>
  <c r="DT89" i="1"/>
  <c r="DT90" i="1"/>
  <c r="DT91" i="1"/>
  <c r="DT92" i="1"/>
  <c r="DT93" i="1"/>
  <c r="DT94" i="1"/>
  <c r="DT95" i="1"/>
  <c r="DT96" i="1"/>
  <c r="DT97" i="1"/>
  <c r="DT98" i="1"/>
  <c r="DT99" i="1"/>
  <c r="DT100" i="1"/>
  <c r="DT101" i="1"/>
  <c r="DT102" i="1"/>
  <c r="DT103" i="1"/>
  <c r="DT104" i="1"/>
  <c r="DT105" i="1"/>
  <c r="DT106" i="1"/>
  <c r="DT107" i="1"/>
  <c r="DT108" i="1"/>
  <c r="DT109" i="1"/>
  <c r="DT110" i="1"/>
  <c r="DT111" i="1"/>
  <c r="DT112" i="1"/>
  <c r="DT113" i="1"/>
  <c r="DT114" i="1"/>
  <c r="DT115" i="1"/>
  <c r="DT116" i="1"/>
  <c r="DT117" i="1"/>
  <c r="DT118" i="1"/>
  <c r="DT119" i="1"/>
  <c r="DT120" i="1"/>
  <c r="DT121" i="1"/>
  <c r="DT122" i="1"/>
  <c r="DT123" i="1"/>
  <c r="DT124" i="1"/>
  <c r="DT125" i="1"/>
  <c r="DT126" i="1"/>
  <c r="DT127" i="1"/>
  <c r="DT128" i="1"/>
  <c r="DT129" i="1"/>
  <c r="DT130" i="1"/>
  <c r="DT131" i="1"/>
  <c r="DT133" i="1"/>
  <c r="DT134" i="1"/>
  <c r="DT135" i="1"/>
  <c r="DT136" i="1"/>
  <c r="DT137" i="1"/>
  <c r="DT138" i="1"/>
  <c r="DT139" i="1"/>
  <c r="DT140" i="1"/>
  <c r="DT141" i="1"/>
  <c r="DT142" i="1"/>
  <c r="DT143" i="1"/>
  <c r="DT144" i="1"/>
  <c r="DT145" i="1"/>
  <c r="DT146" i="1"/>
  <c r="DT147" i="1"/>
  <c r="DT148" i="1"/>
  <c r="DT149" i="1"/>
  <c r="DT150" i="1"/>
  <c r="DT151" i="1"/>
  <c r="DT152" i="1"/>
  <c r="DT153" i="1"/>
  <c r="DT154" i="1"/>
  <c r="DT155" i="1"/>
  <c r="DT156" i="1"/>
  <c r="DT157" i="1"/>
  <c r="DT158" i="1"/>
  <c r="DT159" i="1"/>
  <c r="DT160" i="1"/>
  <c r="DT161" i="1"/>
  <c r="DT162" i="1"/>
  <c r="DT163" i="1"/>
  <c r="DT164" i="1"/>
  <c r="DT165" i="1"/>
  <c r="DT166" i="1"/>
  <c r="DT167" i="1"/>
  <c r="DT168" i="1"/>
  <c r="DT169" i="1"/>
  <c r="DT170" i="1"/>
  <c r="DT171" i="1"/>
  <c r="DT172" i="1"/>
  <c r="DT173" i="1"/>
  <c r="DT174" i="1"/>
  <c r="DT175" i="1"/>
  <c r="DT176" i="1"/>
  <c r="DT177" i="1"/>
  <c r="DT178" i="1"/>
  <c r="DT179" i="1"/>
  <c r="DT180" i="1"/>
  <c r="DT181" i="1"/>
  <c r="DT182" i="1"/>
  <c r="DT183" i="1"/>
  <c r="DT184" i="1"/>
  <c r="DT185" i="1"/>
  <c r="DT186" i="1"/>
  <c r="DT187" i="1"/>
  <c r="DT188" i="1"/>
  <c r="DT189" i="1"/>
  <c r="DT190" i="1"/>
  <c r="DT191" i="1"/>
  <c r="DT192" i="1"/>
  <c r="DT193" i="1"/>
  <c r="DT194" i="1"/>
  <c r="DT195" i="1"/>
  <c r="DT196" i="1"/>
  <c r="DT197" i="1"/>
  <c r="DT198" i="1"/>
  <c r="DT199" i="1"/>
  <c r="DT200" i="1"/>
  <c r="DT201" i="1"/>
  <c r="DT202" i="1"/>
  <c r="DT203" i="1"/>
  <c r="DT204" i="1"/>
  <c r="DT205" i="1"/>
  <c r="DT206" i="1"/>
  <c r="DT207" i="1"/>
  <c r="DT208" i="1"/>
  <c r="DT209" i="1"/>
  <c r="DT210" i="1"/>
  <c r="DT211" i="1"/>
  <c r="DT212" i="1"/>
  <c r="DT213" i="1"/>
  <c r="DT214" i="1"/>
  <c r="DT215" i="1"/>
  <c r="DT216" i="1"/>
  <c r="DT217" i="1"/>
  <c r="DT218" i="1"/>
  <c r="DT219" i="1"/>
  <c r="DT220" i="1"/>
  <c r="DT221" i="1"/>
  <c r="DT222" i="1"/>
  <c r="DT223" i="1"/>
  <c r="DT224" i="1"/>
  <c r="DT225" i="1"/>
  <c r="DT226" i="1"/>
  <c r="DT227" i="1"/>
  <c r="DT228" i="1"/>
  <c r="DT229" i="1"/>
  <c r="DT230" i="1"/>
  <c r="DT231" i="1"/>
  <c r="DT232" i="1"/>
  <c r="DT233" i="1"/>
  <c r="DT234" i="1"/>
  <c r="DT235" i="1"/>
  <c r="DT236" i="1"/>
  <c r="DT237" i="1"/>
  <c r="DT238" i="1"/>
  <c r="DT239" i="1"/>
  <c r="DT240" i="1"/>
  <c r="DT241" i="1"/>
  <c r="DT242" i="1"/>
  <c r="DT243" i="1"/>
  <c r="DT244" i="1"/>
  <c r="DT245" i="1"/>
  <c r="DT246" i="1"/>
  <c r="DT247" i="1"/>
  <c r="DT248" i="1"/>
  <c r="DT249" i="1"/>
  <c r="DT250" i="1"/>
  <c r="DT251" i="1"/>
  <c r="DT252" i="1"/>
  <c r="DT253" i="1"/>
  <c r="DT254" i="1"/>
  <c r="DT255" i="1"/>
  <c r="DT256" i="1"/>
  <c r="DT257" i="1"/>
  <c r="DT258" i="1"/>
  <c r="DT259" i="1"/>
  <c r="DT260" i="1"/>
  <c r="DT262" i="1"/>
  <c r="DT263" i="1"/>
  <c r="DT264" i="1"/>
  <c r="DT265" i="1"/>
  <c r="DT266" i="1"/>
  <c r="DT267" i="1"/>
  <c r="DT268" i="1"/>
  <c r="DT269" i="1"/>
  <c r="DT270" i="1"/>
  <c r="DT271" i="1"/>
  <c r="DT272" i="1"/>
  <c r="DT273" i="1"/>
  <c r="DT274" i="1"/>
  <c r="DT275" i="1"/>
  <c r="DT276" i="1"/>
  <c r="DT277" i="1"/>
  <c r="DT278" i="1"/>
  <c r="DT279" i="1"/>
  <c r="DT280" i="1"/>
  <c r="DT281" i="1"/>
  <c r="DT282" i="1"/>
  <c r="DT283" i="1"/>
  <c r="DT284" i="1"/>
  <c r="DT285" i="1"/>
  <c r="DT286" i="1"/>
  <c r="DT287" i="1"/>
  <c r="DT288" i="1"/>
  <c r="DT289" i="1"/>
  <c r="DT290" i="1"/>
  <c r="DT291" i="1"/>
  <c r="DT292" i="1"/>
  <c r="DT293" i="1"/>
  <c r="DT294" i="1"/>
  <c r="DT295" i="1"/>
  <c r="DT296" i="1"/>
  <c r="DT297" i="1"/>
  <c r="DT298" i="1"/>
  <c r="DT299" i="1"/>
  <c r="DT300" i="1"/>
  <c r="DT301" i="1"/>
  <c r="DT302" i="1"/>
  <c r="DT2" i="1"/>
  <c r="DQ3" i="1"/>
  <c r="DQ4" i="1"/>
  <c r="DS4" i="1" s="1"/>
  <c r="DQ5" i="1"/>
  <c r="DS5" i="1" s="1"/>
  <c r="DQ6" i="1"/>
  <c r="DR6" i="1" s="1"/>
  <c r="DQ7" i="1"/>
  <c r="DR7" i="1" s="1"/>
  <c r="DQ8" i="1"/>
  <c r="DQ9" i="1"/>
  <c r="DQ10" i="1"/>
  <c r="DQ11" i="1"/>
  <c r="DR11" i="1" s="1"/>
  <c r="DQ12" i="1"/>
  <c r="DR12" i="1" s="1"/>
  <c r="DQ13" i="1"/>
  <c r="DQ14" i="1"/>
  <c r="DR14" i="1" s="1"/>
  <c r="DQ15" i="1"/>
  <c r="DR15" i="1" s="1"/>
  <c r="DQ16" i="1"/>
  <c r="DQ17" i="1"/>
  <c r="DQ18" i="1"/>
  <c r="DQ19" i="1"/>
  <c r="DQ20" i="1"/>
  <c r="DR20" i="1" s="1"/>
  <c r="DQ21" i="1"/>
  <c r="DS21" i="1" s="1"/>
  <c r="DQ22" i="1"/>
  <c r="DR22" i="1" s="1"/>
  <c r="DQ23" i="1"/>
  <c r="DR23" i="1" s="1"/>
  <c r="DQ24" i="1"/>
  <c r="DQ25" i="1"/>
  <c r="DQ26" i="1"/>
  <c r="DQ27" i="1"/>
  <c r="DQ28" i="1"/>
  <c r="DS28" i="1" s="1"/>
  <c r="DQ29" i="1"/>
  <c r="DS29" i="1" s="1"/>
  <c r="DQ30" i="1"/>
  <c r="DR30" i="1" s="1"/>
  <c r="DQ31" i="1"/>
  <c r="DR31" i="1" s="1"/>
  <c r="DQ32" i="1"/>
  <c r="DQ33" i="1"/>
  <c r="DQ34" i="1"/>
  <c r="DQ35" i="1"/>
  <c r="DS35" i="1" s="1"/>
  <c r="DQ36" i="1"/>
  <c r="DS36" i="1" s="1"/>
  <c r="DQ37" i="1"/>
  <c r="DS37" i="1" s="1"/>
  <c r="DQ38" i="1"/>
  <c r="DR38" i="1" s="1"/>
  <c r="DQ39" i="1"/>
  <c r="DR39" i="1" s="1"/>
  <c r="DQ40" i="1"/>
  <c r="DQ41" i="1"/>
  <c r="DQ42" i="1"/>
  <c r="DQ43" i="1"/>
  <c r="DS43" i="1" s="1"/>
  <c r="DQ44" i="1"/>
  <c r="DR44" i="1" s="1"/>
  <c r="DQ45" i="1"/>
  <c r="DQ46" i="1"/>
  <c r="DR46" i="1" s="1"/>
  <c r="DQ47" i="1"/>
  <c r="DR47" i="1" s="1"/>
  <c r="DQ48" i="1"/>
  <c r="DQ49" i="1"/>
  <c r="DQ50" i="1"/>
  <c r="DQ51" i="1"/>
  <c r="DQ52" i="1"/>
  <c r="DR52" i="1" s="1"/>
  <c r="DQ53" i="1"/>
  <c r="DS53" i="1" s="1"/>
  <c r="DQ54" i="1"/>
  <c r="DR54" i="1" s="1"/>
  <c r="DQ55" i="1"/>
  <c r="DR55" i="1" s="1"/>
  <c r="DQ56" i="1"/>
  <c r="DQ57" i="1"/>
  <c r="DQ58" i="1"/>
  <c r="DQ59" i="1"/>
  <c r="DQ60" i="1"/>
  <c r="DS60" i="1" s="1"/>
  <c r="DQ61" i="1"/>
  <c r="DR61" i="1" s="1"/>
  <c r="DQ62" i="1"/>
  <c r="DR62" i="1" s="1"/>
  <c r="DQ63" i="1"/>
  <c r="DR63" i="1" s="1"/>
  <c r="DQ64" i="1"/>
  <c r="DQ65" i="1"/>
  <c r="DQ66" i="1"/>
  <c r="DQ67" i="1"/>
  <c r="DQ68" i="1"/>
  <c r="DS68" i="1" s="1"/>
  <c r="DQ69" i="1"/>
  <c r="DS69" i="1" s="1"/>
  <c r="DQ70" i="1"/>
  <c r="DR70" i="1" s="1"/>
  <c r="DQ71" i="1"/>
  <c r="DR71" i="1" s="1"/>
  <c r="DQ72" i="1"/>
  <c r="DQ73" i="1"/>
  <c r="DQ74" i="1"/>
  <c r="DQ75" i="1"/>
  <c r="DS75" i="1" s="1"/>
  <c r="DQ76" i="1"/>
  <c r="DS76" i="1" s="1"/>
  <c r="DQ77" i="1"/>
  <c r="DQ78" i="1"/>
  <c r="DR78" i="1" s="1"/>
  <c r="DQ79" i="1"/>
  <c r="DR79" i="1" s="1"/>
  <c r="DQ80" i="1"/>
  <c r="DQ81" i="1"/>
  <c r="DQ82" i="1"/>
  <c r="DQ83" i="1"/>
  <c r="DR83" i="1" s="1"/>
  <c r="DQ84" i="1"/>
  <c r="DR84" i="1" s="1"/>
  <c r="DQ85" i="1"/>
  <c r="DS85" i="1" s="1"/>
  <c r="DQ86" i="1"/>
  <c r="DR86" i="1" s="1"/>
  <c r="DQ87" i="1"/>
  <c r="DR87" i="1" s="1"/>
  <c r="DQ88" i="1"/>
  <c r="DQ89" i="1"/>
  <c r="DQ90" i="1"/>
  <c r="DQ91" i="1"/>
  <c r="DR91" i="1" s="1"/>
  <c r="DQ92" i="1"/>
  <c r="DR92" i="1" s="1"/>
  <c r="DQ93" i="1"/>
  <c r="DR93" i="1" s="1"/>
  <c r="DQ94" i="1"/>
  <c r="DR94" i="1" s="1"/>
  <c r="DQ95" i="1"/>
  <c r="DR95" i="1" s="1"/>
  <c r="DQ96" i="1"/>
  <c r="DQ97" i="1"/>
  <c r="DQ98" i="1"/>
  <c r="DQ99" i="1"/>
  <c r="DR99" i="1" s="1"/>
  <c r="DQ100" i="1"/>
  <c r="DQ101" i="1"/>
  <c r="DS101" i="1" s="1"/>
  <c r="DQ102" i="1"/>
  <c r="DR102" i="1" s="1"/>
  <c r="DQ103" i="1"/>
  <c r="DR103" i="1" s="1"/>
  <c r="DQ104" i="1"/>
  <c r="DQ105" i="1"/>
  <c r="DQ106" i="1"/>
  <c r="DQ107" i="1"/>
  <c r="DR107" i="1" s="1"/>
  <c r="DQ108" i="1"/>
  <c r="DR108" i="1" s="1"/>
  <c r="DQ109" i="1"/>
  <c r="DQ110" i="1"/>
  <c r="DR110" i="1" s="1"/>
  <c r="DQ111" i="1"/>
  <c r="DR111" i="1" s="1"/>
  <c r="DQ112" i="1"/>
  <c r="DQ113" i="1"/>
  <c r="DQ114" i="1"/>
  <c r="DQ115" i="1"/>
  <c r="DR115" i="1" s="1"/>
  <c r="DQ116" i="1"/>
  <c r="DR116" i="1" s="1"/>
  <c r="DQ117" i="1"/>
  <c r="DS117" i="1" s="1"/>
  <c r="DQ118" i="1"/>
  <c r="DR118" i="1" s="1"/>
  <c r="DQ119" i="1"/>
  <c r="DR119" i="1" s="1"/>
  <c r="DQ120" i="1"/>
  <c r="DQ121" i="1"/>
  <c r="DQ122" i="1"/>
  <c r="DQ123" i="1"/>
  <c r="DR123" i="1" s="1"/>
  <c r="DQ124" i="1"/>
  <c r="DR124" i="1" s="1"/>
  <c r="DQ125" i="1"/>
  <c r="DS125" i="1" s="1"/>
  <c r="DQ126" i="1"/>
  <c r="DR126" i="1" s="1"/>
  <c r="DQ127" i="1"/>
  <c r="DR127" i="1" s="1"/>
  <c r="DQ128" i="1"/>
  <c r="DQ129" i="1"/>
  <c r="DQ130" i="1"/>
  <c r="DQ131" i="1"/>
  <c r="DR131" i="1" s="1"/>
  <c r="DQ133" i="1"/>
  <c r="DR133" i="1" s="1"/>
  <c r="DQ134" i="1"/>
  <c r="DS134" i="1" s="1"/>
  <c r="DQ135" i="1"/>
  <c r="DR135" i="1" s="1"/>
  <c r="DQ136" i="1"/>
  <c r="DR136" i="1" s="1"/>
  <c r="DQ137" i="1"/>
  <c r="DQ138" i="1"/>
  <c r="DQ139" i="1"/>
  <c r="DQ140" i="1"/>
  <c r="DR140" i="1" s="1"/>
  <c r="DQ141" i="1"/>
  <c r="DR141" i="1" s="1"/>
  <c r="DQ142" i="1"/>
  <c r="DR142" i="1" s="1"/>
  <c r="DQ143" i="1"/>
  <c r="DR143" i="1" s="1"/>
  <c r="DQ144" i="1"/>
  <c r="DR144" i="1" s="1"/>
  <c r="DQ145" i="1"/>
  <c r="DQ146" i="1"/>
  <c r="DQ147" i="1"/>
  <c r="DQ148" i="1"/>
  <c r="DR148" i="1" s="1"/>
  <c r="DQ149" i="1"/>
  <c r="DR149" i="1" s="1"/>
  <c r="DQ150" i="1"/>
  <c r="DR150" i="1" s="1"/>
  <c r="DQ151" i="1"/>
  <c r="DR151" i="1" s="1"/>
  <c r="DQ152" i="1"/>
  <c r="DR152" i="1" s="1"/>
  <c r="DQ153" i="1"/>
  <c r="DQ154" i="1"/>
  <c r="DQ155" i="1"/>
  <c r="DQ156" i="1"/>
  <c r="DR156" i="1" s="1"/>
  <c r="DQ157" i="1"/>
  <c r="DR157" i="1" s="1"/>
  <c r="DQ158" i="1"/>
  <c r="DR158" i="1" s="1"/>
  <c r="DQ159" i="1"/>
  <c r="DR159" i="1" s="1"/>
  <c r="DQ160" i="1"/>
  <c r="DR160" i="1" s="1"/>
  <c r="DQ161" i="1"/>
  <c r="DQ162" i="1"/>
  <c r="DQ163" i="1"/>
  <c r="DQ164" i="1"/>
  <c r="DR164" i="1" s="1"/>
  <c r="DQ165" i="1"/>
  <c r="DR165" i="1" s="1"/>
  <c r="DQ166" i="1"/>
  <c r="DS166" i="1" s="1"/>
  <c r="DQ167" i="1"/>
  <c r="DR167" i="1" s="1"/>
  <c r="DQ168" i="1"/>
  <c r="DR168" i="1" s="1"/>
  <c r="DQ169" i="1"/>
  <c r="DV169" i="1" s="1"/>
  <c r="DQ170" i="1"/>
  <c r="DQ171" i="1"/>
  <c r="DQ172" i="1"/>
  <c r="DR172" i="1" s="1"/>
  <c r="DQ173" i="1"/>
  <c r="DR173" i="1" s="1"/>
  <c r="DQ174" i="1"/>
  <c r="DQ175" i="1"/>
  <c r="DR175" i="1" s="1"/>
  <c r="DQ176" i="1"/>
  <c r="DR176" i="1" s="1"/>
  <c r="DQ177" i="1"/>
  <c r="DQ178" i="1"/>
  <c r="DQ179" i="1"/>
  <c r="DQ180" i="1"/>
  <c r="DR180" i="1" s="1"/>
  <c r="DQ181" i="1"/>
  <c r="DR181" i="1" s="1"/>
  <c r="DQ182" i="1"/>
  <c r="DS182" i="1" s="1"/>
  <c r="DQ183" i="1"/>
  <c r="DR183" i="1" s="1"/>
  <c r="DQ184" i="1"/>
  <c r="DR184" i="1" s="1"/>
  <c r="DQ185" i="1"/>
  <c r="DQ186" i="1"/>
  <c r="DQ187" i="1"/>
  <c r="DQ188" i="1"/>
  <c r="DR188" i="1" s="1"/>
  <c r="DQ189" i="1"/>
  <c r="DR189" i="1" s="1"/>
  <c r="DQ190" i="1"/>
  <c r="DS190" i="1" s="1"/>
  <c r="DQ191" i="1"/>
  <c r="DR191" i="1" s="1"/>
  <c r="DQ192" i="1"/>
  <c r="DR192" i="1" s="1"/>
  <c r="DQ193" i="1"/>
  <c r="DQ194" i="1"/>
  <c r="DQ195" i="1"/>
  <c r="DQ196" i="1"/>
  <c r="DR196" i="1" s="1"/>
  <c r="DQ197" i="1"/>
  <c r="DR197" i="1" s="1"/>
  <c r="DQ198" i="1"/>
  <c r="DS198" i="1" s="1"/>
  <c r="DQ199" i="1"/>
  <c r="DR199" i="1" s="1"/>
  <c r="DQ200" i="1"/>
  <c r="DR200" i="1" s="1"/>
  <c r="DQ201" i="1"/>
  <c r="DQ202" i="1"/>
  <c r="DQ203" i="1"/>
  <c r="DQ204" i="1"/>
  <c r="DR204" i="1" s="1"/>
  <c r="DQ205" i="1"/>
  <c r="DR205" i="1" s="1"/>
  <c r="DQ206" i="1"/>
  <c r="DR206" i="1" s="1"/>
  <c r="DQ207" i="1"/>
  <c r="DR207" i="1" s="1"/>
  <c r="DQ208" i="1"/>
  <c r="DR208" i="1" s="1"/>
  <c r="DQ209" i="1"/>
  <c r="DQ210" i="1"/>
  <c r="DQ211" i="1"/>
  <c r="DQ212" i="1"/>
  <c r="DR212" i="1" s="1"/>
  <c r="DQ213" i="1"/>
  <c r="DR213" i="1" s="1"/>
  <c r="DQ214" i="1"/>
  <c r="DR214" i="1" s="1"/>
  <c r="DQ215" i="1"/>
  <c r="DR215" i="1" s="1"/>
  <c r="DQ216" i="1"/>
  <c r="DR216" i="1" s="1"/>
  <c r="DQ217" i="1"/>
  <c r="DQ218" i="1"/>
  <c r="DQ219" i="1"/>
  <c r="DQ220" i="1"/>
  <c r="DR220" i="1" s="1"/>
  <c r="DQ221" i="1"/>
  <c r="DR221" i="1" s="1"/>
  <c r="DQ222" i="1"/>
  <c r="DR222" i="1" s="1"/>
  <c r="DQ223" i="1"/>
  <c r="DR223" i="1" s="1"/>
  <c r="DQ224" i="1"/>
  <c r="DR224" i="1" s="1"/>
  <c r="DQ225" i="1"/>
  <c r="DQ226" i="1"/>
  <c r="DQ227" i="1"/>
  <c r="DQ228" i="1"/>
  <c r="DR228" i="1" s="1"/>
  <c r="DQ229" i="1"/>
  <c r="DR229" i="1" s="1"/>
  <c r="DQ230" i="1"/>
  <c r="DQ231" i="1"/>
  <c r="DR231" i="1" s="1"/>
  <c r="DQ232" i="1"/>
  <c r="DR232" i="1" s="1"/>
  <c r="DQ233" i="1"/>
  <c r="DQ234" i="1"/>
  <c r="DQ235" i="1"/>
  <c r="DQ236" i="1"/>
  <c r="DR236" i="1" s="1"/>
  <c r="DQ237" i="1"/>
  <c r="DR237" i="1" s="1"/>
  <c r="DQ238" i="1"/>
  <c r="DQ239" i="1"/>
  <c r="DR239" i="1" s="1"/>
  <c r="DQ240" i="1"/>
  <c r="DR240" i="1" s="1"/>
  <c r="DQ241" i="1"/>
  <c r="DQ242" i="1"/>
  <c r="DQ243" i="1"/>
  <c r="DQ244" i="1"/>
  <c r="DR244" i="1" s="1"/>
  <c r="DQ245" i="1"/>
  <c r="DR245" i="1" s="1"/>
  <c r="DQ246" i="1"/>
  <c r="DR246" i="1" s="1"/>
  <c r="DQ247" i="1"/>
  <c r="DR247" i="1" s="1"/>
  <c r="DQ248" i="1"/>
  <c r="DR248" i="1" s="1"/>
  <c r="DQ249" i="1"/>
  <c r="DQ250" i="1"/>
  <c r="DQ251" i="1"/>
  <c r="DQ252" i="1"/>
  <c r="DR252" i="1" s="1"/>
  <c r="DQ253" i="1"/>
  <c r="DR253" i="1" s="1"/>
  <c r="DQ254" i="1"/>
  <c r="DQ255" i="1"/>
  <c r="DR255" i="1" s="1"/>
  <c r="DQ256" i="1"/>
  <c r="DR256" i="1" s="1"/>
  <c r="DQ257" i="1"/>
  <c r="DQ258" i="1"/>
  <c r="DQ259" i="1"/>
  <c r="DQ260" i="1"/>
  <c r="DQ262" i="1"/>
  <c r="DR262" i="1" s="1"/>
  <c r="DQ263" i="1"/>
  <c r="DQ264" i="1"/>
  <c r="DR264" i="1" s="1"/>
  <c r="DQ265" i="1"/>
  <c r="DR265" i="1" s="1"/>
  <c r="DQ266" i="1"/>
  <c r="DQ267" i="1"/>
  <c r="DQ268" i="1"/>
  <c r="DQ269" i="1"/>
  <c r="DR269" i="1" s="1"/>
  <c r="DQ270" i="1"/>
  <c r="DR270" i="1" s="1"/>
  <c r="DQ271" i="1"/>
  <c r="DS271" i="1" s="1"/>
  <c r="DQ272" i="1"/>
  <c r="DR272" i="1" s="1"/>
  <c r="DQ273" i="1"/>
  <c r="DR273" i="1" s="1"/>
  <c r="DQ274" i="1"/>
  <c r="DQ275" i="1"/>
  <c r="DQ276" i="1"/>
  <c r="DQ277" i="1"/>
  <c r="DR277" i="1" s="1"/>
  <c r="DQ278" i="1"/>
  <c r="DR278" i="1" s="1"/>
  <c r="DQ279" i="1"/>
  <c r="DQ280" i="1"/>
  <c r="DR280" i="1" s="1"/>
  <c r="DQ281" i="1"/>
  <c r="DR281" i="1" s="1"/>
  <c r="DQ282" i="1"/>
  <c r="DQ283" i="1"/>
  <c r="DQ284" i="1"/>
  <c r="DQ285" i="1"/>
  <c r="DQ286" i="1"/>
  <c r="DR286" i="1" s="1"/>
  <c r="DQ287" i="1"/>
  <c r="DQ288" i="1"/>
  <c r="DR288" i="1" s="1"/>
  <c r="DQ289" i="1"/>
  <c r="DR289" i="1" s="1"/>
  <c r="DQ290" i="1"/>
  <c r="DQ291" i="1"/>
  <c r="DQ292" i="1"/>
  <c r="DQ293" i="1"/>
  <c r="DR293" i="1" s="1"/>
  <c r="DQ294" i="1"/>
  <c r="DR294" i="1" s="1"/>
  <c r="DQ295" i="1"/>
  <c r="DQ296" i="1"/>
  <c r="DR296" i="1" s="1"/>
  <c r="DQ297" i="1"/>
  <c r="DR297" i="1" s="1"/>
  <c r="DQ298" i="1"/>
  <c r="DQ299" i="1"/>
  <c r="DQ300" i="1"/>
  <c r="DQ301" i="1"/>
  <c r="DR301" i="1" s="1"/>
  <c r="DQ302" i="1"/>
  <c r="DR302" i="1" s="1"/>
  <c r="DQ2" i="1"/>
  <c r="DR2" i="1" s="1"/>
  <c r="DO4" i="1"/>
  <c r="DO60" i="1"/>
  <c r="DO136" i="1"/>
  <c r="DO145" i="1"/>
  <c r="DO192" i="1"/>
  <c r="DO198" i="1"/>
  <c r="DO202" i="1"/>
  <c r="DO268" i="1"/>
  <c r="DN3" i="1"/>
  <c r="DN4" i="1"/>
  <c r="DN5" i="1"/>
  <c r="DN6" i="1"/>
  <c r="DN7" i="1"/>
  <c r="DN8" i="1"/>
  <c r="DN9" i="1"/>
  <c r="DN10" i="1"/>
  <c r="DN11" i="1"/>
  <c r="DN12" i="1"/>
  <c r="DN13" i="1"/>
  <c r="DN14" i="1"/>
  <c r="DN15" i="1"/>
  <c r="DN16" i="1"/>
  <c r="DN17" i="1"/>
  <c r="DN18" i="1"/>
  <c r="DN19" i="1"/>
  <c r="DN20" i="1"/>
  <c r="DN21" i="1"/>
  <c r="DN22" i="1"/>
  <c r="DN23" i="1"/>
  <c r="DN24" i="1"/>
  <c r="DN25" i="1"/>
  <c r="DN26" i="1"/>
  <c r="DN27" i="1"/>
  <c r="DN28" i="1"/>
  <c r="DN29" i="1"/>
  <c r="DN30" i="1"/>
  <c r="DN31" i="1"/>
  <c r="DN32" i="1"/>
  <c r="DN33" i="1"/>
  <c r="DN34" i="1"/>
  <c r="DN35" i="1"/>
  <c r="DN36" i="1"/>
  <c r="DN37" i="1"/>
  <c r="DN38" i="1"/>
  <c r="DN39" i="1"/>
  <c r="DN40" i="1"/>
  <c r="DN41" i="1"/>
  <c r="DN42" i="1"/>
  <c r="DN43" i="1"/>
  <c r="DN44" i="1"/>
  <c r="DN45" i="1"/>
  <c r="DN46" i="1"/>
  <c r="DN47" i="1"/>
  <c r="DN48" i="1"/>
  <c r="DN49" i="1"/>
  <c r="DN50" i="1"/>
  <c r="DN51" i="1"/>
  <c r="DN52" i="1"/>
  <c r="DN53" i="1"/>
  <c r="DN54" i="1"/>
  <c r="DN55" i="1"/>
  <c r="DN56" i="1"/>
  <c r="DN57" i="1"/>
  <c r="DN58" i="1"/>
  <c r="DN59" i="1"/>
  <c r="DN60" i="1"/>
  <c r="DN61" i="1"/>
  <c r="DN62" i="1"/>
  <c r="DN63" i="1"/>
  <c r="DN64" i="1"/>
  <c r="DN65" i="1"/>
  <c r="DN66" i="1"/>
  <c r="DN67" i="1"/>
  <c r="DN68" i="1"/>
  <c r="DN69" i="1"/>
  <c r="DN70" i="1"/>
  <c r="DN71" i="1"/>
  <c r="DN72" i="1"/>
  <c r="DN73" i="1"/>
  <c r="DN74" i="1"/>
  <c r="DN75" i="1"/>
  <c r="DN76" i="1"/>
  <c r="DN77" i="1"/>
  <c r="DN78" i="1"/>
  <c r="DN79" i="1"/>
  <c r="DN80" i="1"/>
  <c r="DN81" i="1"/>
  <c r="DN82" i="1"/>
  <c r="DN83" i="1"/>
  <c r="DN84" i="1"/>
  <c r="DN85" i="1"/>
  <c r="DN86" i="1"/>
  <c r="DN87" i="1"/>
  <c r="DN88" i="1"/>
  <c r="DN89" i="1"/>
  <c r="DN90" i="1"/>
  <c r="DN91" i="1"/>
  <c r="DN92" i="1"/>
  <c r="DN93" i="1"/>
  <c r="DN94" i="1"/>
  <c r="DN95" i="1"/>
  <c r="DN96" i="1"/>
  <c r="DN97" i="1"/>
  <c r="DN98" i="1"/>
  <c r="DN99" i="1"/>
  <c r="DN100" i="1"/>
  <c r="DN101" i="1"/>
  <c r="DN102" i="1"/>
  <c r="DN103" i="1"/>
  <c r="DN104" i="1"/>
  <c r="DN105" i="1"/>
  <c r="DN106" i="1"/>
  <c r="DN107" i="1"/>
  <c r="DN108" i="1"/>
  <c r="DN109" i="1"/>
  <c r="DN110" i="1"/>
  <c r="DN111" i="1"/>
  <c r="DN112" i="1"/>
  <c r="DN113" i="1"/>
  <c r="DN114" i="1"/>
  <c r="DN115" i="1"/>
  <c r="DN116" i="1"/>
  <c r="DN117" i="1"/>
  <c r="DN118" i="1"/>
  <c r="DN119" i="1"/>
  <c r="DN120" i="1"/>
  <c r="DN121" i="1"/>
  <c r="DN122" i="1"/>
  <c r="DN123" i="1"/>
  <c r="DN124" i="1"/>
  <c r="DN125" i="1"/>
  <c r="DN126" i="1"/>
  <c r="DN127" i="1"/>
  <c r="DN128" i="1"/>
  <c r="DN129" i="1"/>
  <c r="DN130" i="1"/>
  <c r="DN131" i="1"/>
  <c r="DN133" i="1"/>
  <c r="DN134" i="1"/>
  <c r="DN135" i="1"/>
  <c r="DN136" i="1"/>
  <c r="DN137" i="1"/>
  <c r="DN138" i="1"/>
  <c r="DN139" i="1"/>
  <c r="DN140" i="1"/>
  <c r="DN141" i="1"/>
  <c r="DN142" i="1"/>
  <c r="DN143" i="1"/>
  <c r="DN144" i="1"/>
  <c r="DN145" i="1"/>
  <c r="DN146" i="1"/>
  <c r="DN147" i="1"/>
  <c r="DN148" i="1"/>
  <c r="DN149" i="1"/>
  <c r="DN150" i="1"/>
  <c r="DN151" i="1"/>
  <c r="DN152" i="1"/>
  <c r="DN153" i="1"/>
  <c r="DN154" i="1"/>
  <c r="DN155" i="1"/>
  <c r="DN156" i="1"/>
  <c r="DN157" i="1"/>
  <c r="DN158" i="1"/>
  <c r="DN159" i="1"/>
  <c r="DN160" i="1"/>
  <c r="DN161" i="1"/>
  <c r="DN162" i="1"/>
  <c r="DN163" i="1"/>
  <c r="DN164" i="1"/>
  <c r="DN165" i="1"/>
  <c r="DN166" i="1"/>
  <c r="DN167" i="1"/>
  <c r="DN168" i="1"/>
  <c r="DN169" i="1"/>
  <c r="DN170" i="1"/>
  <c r="DN171" i="1"/>
  <c r="DN172" i="1"/>
  <c r="DN173" i="1"/>
  <c r="DN174" i="1"/>
  <c r="DN175" i="1"/>
  <c r="DN176" i="1"/>
  <c r="DN177" i="1"/>
  <c r="DN178" i="1"/>
  <c r="DN179" i="1"/>
  <c r="DN180" i="1"/>
  <c r="DN181" i="1"/>
  <c r="DN182" i="1"/>
  <c r="DN183" i="1"/>
  <c r="DN184" i="1"/>
  <c r="DN185" i="1"/>
  <c r="DN186" i="1"/>
  <c r="DN187" i="1"/>
  <c r="DN188" i="1"/>
  <c r="DN189" i="1"/>
  <c r="DN190" i="1"/>
  <c r="DN191" i="1"/>
  <c r="DN192" i="1"/>
  <c r="DN193" i="1"/>
  <c r="DN194" i="1"/>
  <c r="DN195" i="1"/>
  <c r="DN196" i="1"/>
  <c r="DN197" i="1"/>
  <c r="DN198" i="1"/>
  <c r="DN199" i="1"/>
  <c r="DN200" i="1"/>
  <c r="DN201" i="1"/>
  <c r="DN202" i="1"/>
  <c r="DN203" i="1"/>
  <c r="DN204" i="1"/>
  <c r="DN205" i="1"/>
  <c r="DN206" i="1"/>
  <c r="DN207" i="1"/>
  <c r="DN208" i="1"/>
  <c r="DN209" i="1"/>
  <c r="DN210" i="1"/>
  <c r="DN211" i="1"/>
  <c r="DN212" i="1"/>
  <c r="DN213" i="1"/>
  <c r="DN214" i="1"/>
  <c r="DN215" i="1"/>
  <c r="DN216" i="1"/>
  <c r="DN217" i="1"/>
  <c r="DN218" i="1"/>
  <c r="DN219" i="1"/>
  <c r="DN220" i="1"/>
  <c r="DN221" i="1"/>
  <c r="DN222" i="1"/>
  <c r="DN223" i="1"/>
  <c r="DN224" i="1"/>
  <c r="DN225" i="1"/>
  <c r="DN226" i="1"/>
  <c r="DN227" i="1"/>
  <c r="DN228" i="1"/>
  <c r="DN229" i="1"/>
  <c r="DN230" i="1"/>
  <c r="DN231" i="1"/>
  <c r="DN232" i="1"/>
  <c r="DN233" i="1"/>
  <c r="DN234" i="1"/>
  <c r="DN235" i="1"/>
  <c r="DN236" i="1"/>
  <c r="DN237" i="1"/>
  <c r="DN238" i="1"/>
  <c r="DN239" i="1"/>
  <c r="DN240" i="1"/>
  <c r="DN241" i="1"/>
  <c r="DN242" i="1"/>
  <c r="DN243" i="1"/>
  <c r="DN244" i="1"/>
  <c r="DN245" i="1"/>
  <c r="DN246" i="1"/>
  <c r="DN247" i="1"/>
  <c r="DN248" i="1"/>
  <c r="DN249" i="1"/>
  <c r="DN250" i="1"/>
  <c r="DN251" i="1"/>
  <c r="DN252" i="1"/>
  <c r="DN253" i="1"/>
  <c r="DN254" i="1"/>
  <c r="DN255" i="1"/>
  <c r="DN256" i="1"/>
  <c r="DN257" i="1"/>
  <c r="DN258" i="1"/>
  <c r="DN259" i="1"/>
  <c r="DN260" i="1"/>
  <c r="DN262" i="1"/>
  <c r="DN263" i="1"/>
  <c r="DN264" i="1"/>
  <c r="DN265" i="1"/>
  <c r="DN266" i="1"/>
  <c r="DN267" i="1"/>
  <c r="DN268" i="1"/>
  <c r="DN269" i="1"/>
  <c r="DN270" i="1"/>
  <c r="DN271" i="1"/>
  <c r="DN272" i="1"/>
  <c r="DN273" i="1"/>
  <c r="DN274" i="1"/>
  <c r="DN275" i="1"/>
  <c r="DN276" i="1"/>
  <c r="DN277" i="1"/>
  <c r="DN278" i="1"/>
  <c r="DN279" i="1"/>
  <c r="DN280" i="1"/>
  <c r="DN281" i="1"/>
  <c r="DN282" i="1"/>
  <c r="DN283" i="1"/>
  <c r="DN284" i="1"/>
  <c r="DN285" i="1"/>
  <c r="DN286" i="1"/>
  <c r="DN287" i="1"/>
  <c r="DN288" i="1"/>
  <c r="DN289" i="1"/>
  <c r="DN290" i="1"/>
  <c r="DN291" i="1"/>
  <c r="DN292" i="1"/>
  <c r="DN293" i="1"/>
  <c r="DN294" i="1"/>
  <c r="DN295" i="1"/>
  <c r="DN296" i="1"/>
  <c r="DN297" i="1"/>
  <c r="DN298" i="1"/>
  <c r="DN299" i="1"/>
  <c r="DN300" i="1"/>
  <c r="DN301" i="1"/>
  <c r="DN302" i="1"/>
  <c r="DN2" i="1"/>
  <c r="DM3" i="1"/>
  <c r="DM4" i="1"/>
  <c r="DM5" i="1"/>
  <c r="DM6" i="1"/>
  <c r="DM7" i="1"/>
  <c r="DM8" i="1"/>
  <c r="DM9" i="1"/>
  <c r="DM10" i="1"/>
  <c r="DM11" i="1"/>
  <c r="DM12" i="1"/>
  <c r="DM13" i="1"/>
  <c r="DM14" i="1"/>
  <c r="DM15" i="1"/>
  <c r="DM16" i="1"/>
  <c r="DM17" i="1"/>
  <c r="DM18" i="1"/>
  <c r="DM19" i="1"/>
  <c r="DM20" i="1"/>
  <c r="DM21" i="1"/>
  <c r="DM22" i="1"/>
  <c r="DM23" i="1"/>
  <c r="DM24" i="1"/>
  <c r="DM25" i="1"/>
  <c r="DM26" i="1"/>
  <c r="DM27" i="1"/>
  <c r="DM28" i="1"/>
  <c r="DM29" i="1"/>
  <c r="DM30" i="1"/>
  <c r="DM31" i="1"/>
  <c r="DM32" i="1"/>
  <c r="DM33" i="1"/>
  <c r="DM34" i="1"/>
  <c r="DM35" i="1"/>
  <c r="DM36" i="1"/>
  <c r="DM37" i="1"/>
  <c r="DM38" i="1"/>
  <c r="DM39" i="1"/>
  <c r="DM40" i="1"/>
  <c r="DM41" i="1"/>
  <c r="DM42" i="1"/>
  <c r="DM43" i="1"/>
  <c r="DM44" i="1"/>
  <c r="DM45" i="1"/>
  <c r="DM46" i="1"/>
  <c r="DM47" i="1"/>
  <c r="DM48" i="1"/>
  <c r="DM49" i="1"/>
  <c r="DM50" i="1"/>
  <c r="DM51" i="1"/>
  <c r="DM52" i="1"/>
  <c r="DM53" i="1"/>
  <c r="DM54" i="1"/>
  <c r="DM55" i="1"/>
  <c r="DM56" i="1"/>
  <c r="DM57" i="1"/>
  <c r="DM58" i="1"/>
  <c r="DM59" i="1"/>
  <c r="DM60" i="1"/>
  <c r="DM61" i="1"/>
  <c r="DM62" i="1"/>
  <c r="DM63" i="1"/>
  <c r="DM64" i="1"/>
  <c r="DM65" i="1"/>
  <c r="DM66" i="1"/>
  <c r="DM67" i="1"/>
  <c r="DM68" i="1"/>
  <c r="DM69" i="1"/>
  <c r="DM70" i="1"/>
  <c r="DM71" i="1"/>
  <c r="DM72" i="1"/>
  <c r="DM73" i="1"/>
  <c r="DM74" i="1"/>
  <c r="DM75" i="1"/>
  <c r="DM76" i="1"/>
  <c r="DM77" i="1"/>
  <c r="DM78" i="1"/>
  <c r="DM79" i="1"/>
  <c r="DM80" i="1"/>
  <c r="DM81" i="1"/>
  <c r="DM82" i="1"/>
  <c r="DM83" i="1"/>
  <c r="DM84" i="1"/>
  <c r="DM85" i="1"/>
  <c r="DM86" i="1"/>
  <c r="DM87" i="1"/>
  <c r="DM88" i="1"/>
  <c r="DM89" i="1"/>
  <c r="DM90" i="1"/>
  <c r="DM91" i="1"/>
  <c r="DM92" i="1"/>
  <c r="DM93" i="1"/>
  <c r="DM94" i="1"/>
  <c r="DM95" i="1"/>
  <c r="DM96" i="1"/>
  <c r="DM97" i="1"/>
  <c r="DM98" i="1"/>
  <c r="DM99" i="1"/>
  <c r="DM100" i="1"/>
  <c r="DM101" i="1"/>
  <c r="DM102" i="1"/>
  <c r="DM103" i="1"/>
  <c r="DM104" i="1"/>
  <c r="DM105" i="1"/>
  <c r="DM106" i="1"/>
  <c r="DM107" i="1"/>
  <c r="DM108" i="1"/>
  <c r="DM109" i="1"/>
  <c r="DM110" i="1"/>
  <c r="DM111" i="1"/>
  <c r="DM112" i="1"/>
  <c r="DM113" i="1"/>
  <c r="DM114" i="1"/>
  <c r="DM115" i="1"/>
  <c r="DM116" i="1"/>
  <c r="DM117" i="1"/>
  <c r="DM118" i="1"/>
  <c r="DM119" i="1"/>
  <c r="DM120" i="1"/>
  <c r="DM121" i="1"/>
  <c r="DM122" i="1"/>
  <c r="DM123" i="1"/>
  <c r="DM124" i="1"/>
  <c r="DM125" i="1"/>
  <c r="DM126" i="1"/>
  <c r="DM127" i="1"/>
  <c r="DM128" i="1"/>
  <c r="DM129" i="1"/>
  <c r="DM130" i="1"/>
  <c r="DM131" i="1"/>
  <c r="DM133" i="1"/>
  <c r="DM134" i="1"/>
  <c r="DM135" i="1"/>
  <c r="DM136" i="1"/>
  <c r="DM137" i="1"/>
  <c r="DM138" i="1"/>
  <c r="DM139" i="1"/>
  <c r="DM140" i="1"/>
  <c r="DM141" i="1"/>
  <c r="DM142" i="1"/>
  <c r="DM143" i="1"/>
  <c r="DM144" i="1"/>
  <c r="DM145" i="1"/>
  <c r="DM146" i="1"/>
  <c r="DM147" i="1"/>
  <c r="DM148" i="1"/>
  <c r="DM149" i="1"/>
  <c r="DM150" i="1"/>
  <c r="DM151" i="1"/>
  <c r="DM152" i="1"/>
  <c r="DM153" i="1"/>
  <c r="DM154" i="1"/>
  <c r="DM155" i="1"/>
  <c r="DM156" i="1"/>
  <c r="DM157" i="1"/>
  <c r="DM158" i="1"/>
  <c r="DM159" i="1"/>
  <c r="DM160" i="1"/>
  <c r="DM161" i="1"/>
  <c r="DM162" i="1"/>
  <c r="DM163" i="1"/>
  <c r="DM164" i="1"/>
  <c r="DM165" i="1"/>
  <c r="DM166" i="1"/>
  <c r="DM167" i="1"/>
  <c r="DM168" i="1"/>
  <c r="DM169" i="1"/>
  <c r="DM170" i="1"/>
  <c r="DM171" i="1"/>
  <c r="DM172" i="1"/>
  <c r="DM173" i="1"/>
  <c r="DM174" i="1"/>
  <c r="DM175" i="1"/>
  <c r="DM176" i="1"/>
  <c r="DM177" i="1"/>
  <c r="DM178" i="1"/>
  <c r="DM179" i="1"/>
  <c r="DM180" i="1"/>
  <c r="DM181" i="1"/>
  <c r="DM182" i="1"/>
  <c r="DM183" i="1"/>
  <c r="DM184" i="1"/>
  <c r="DM185" i="1"/>
  <c r="DM186" i="1"/>
  <c r="DM187" i="1"/>
  <c r="DM188" i="1"/>
  <c r="DM189" i="1"/>
  <c r="DM190" i="1"/>
  <c r="DM191" i="1"/>
  <c r="DM192" i="1"/>
  <c r="DM193" i="1"/>
  <c r="DM194" i="1"/>
  <c r="DM195" i="1"/>
  <c r="DM196" i="1"/>
  <c r="DM197" i="1"/>
  <c r="DM198" i="1"/>
  <c r="DM199" i="1"/>
  <c r="DM200" i="1"/>
  <c r="DM201" i="1"/>
  <c r="DM202" i="1"/>
  <c r="DM203" i="1"/>
  <c r="DM204" i="1"/>
  <c r="DM205" i="1"/>
  <c r="DM206" i="1"/>
  <c r="DM207" i="1"/>
  <c r="DM208" i="1"/>
  <c r="DM209" i="1"/>
  <c r="DM210" i="1"/>
  <c r="DM211" i="1"/>
  <c r="DM212" i="1"/>
  <c r="DM213" i="1"/>
  <c r="DM214" i="1"/>
  <c r="DM215" i="1"/>
  <c r="DM216" i="1"/>
  <c r="DM217" i="1"/>
  <c r="DM218" i="1"/>
  <c r="DM219" i="1"/>
  <c r="DM220" i="1"/>
  <c r="DM221" i="1"/>
  <c r="DM222" i="1"/>
  <c r="DM223" i="1"/>
  <c r="DM224" i="1"/>
  <c r="DM225" i="1"/>
  <c r="DM226" i="1"/>
  <c r="DM227" i="1"/>
  <c r="DM228" i="1"/>
  <c r="DM229" i="1"/>
  <c r="DM230" i="1"/>
  <c r="DM231" i="1"/>
  <c r="DM232" i="1"/>
  <c r="DM233" i="1"/>
  <c r="DM234" i="1"/>
  <c r="DM235" i="1"/>
  <c r="DM236" i="1"/>
  <c r="DM237" i="1"/>
  <c r="DM238" i="1"/>
  <c r="DM239" i="1"/>
  <c r="DM240" i="1"/>
  <c r="DM241" i="1"/>
  <c r="DM242" i="1"/>
  <c r="DM243" i="1"/>
  <c r="DM244" i="1"/>
  <c r="DM245" i="1"/>
  <c r="DM246" i="1"/>
  <c r="DM247" i="1"/>
  <c r="DM248" i="1"/>
  <c r="DM249" i="1"/>
  <c r="DM250" i="1"/>
  <c r="DM251" i="1"/>
  <c r="DM252" i="1"/>
  <c r="DM253" i="1"/>
  <c r="DM254" i="1"/>
  <c r="DM255" i="1"/>
  <c r="DM256" i="1"/>
  <c r="DM257" i="1"/>
  <c r="DM258" i="1"/>
  <c r="DM259" i="1"/>
  <c r="DM260" i="1"/>
  <c r="DM262" i="1"/>
  <c r="DM263" i="1"/>
  <c r="DM264" i="1"/>
  <c r="DM265" i="1"/>
  <c r="DM266" i="1"/>
  <c r="DM267" i="1"/>
  <c r="DM268" i="1"/>
  <c r="DM269" i="1"/>
  <c r="DM270" i="1"/>
  <c r="DM271" i="1"/>
  <c r="DM272" i="1"/>
  <c r="DM273" i="1"/>
  <c r="DM274" i="1"/>
  <c r="DM275" i="1"/>
  <c r="DM276" i="1"/>
  <c r="DM277" i="1"/>
  <c r="DM278" i="1"/>
  <c r="DM279" i="1"/>
  <c r="DM280" i="1"/>
  <c r="DM281" i="1"/>
  <c r="DM282" i="1"/>
  <c r="DM283" i="1"/>
  <c r="DM284" i="1"/>
  <c r="DM285" i="1"/>
  <c r="DM286" i="1"/>
  <c r="DM287" i="1"/>
  <c r="DM288" i="1"/>
  <c r="DM289" i="1"/>
  <c r="DM290" i="1"/>
  <c r="DM291" i="1"/>
  <c r="DM292" i="1"/>
  <c r="DM293" i="1"/>
  <c r="DM294" i="1"/>
  <c r="DM295" i="1"/>
  <c r="DM296" i="1"/>
  <c r="DM297" i="1"/>
  <c r="DM298" i="1"/>
  <c r="DM299" i="1"/>
  <c r="DM300" i="1"/>
  <c r="DM301" i="1"/>
  <c r="DM302" i="1"/>
  <c r="DM2" i="1"/>
  <c r="DK3" i="1"/>
  <c r="DK4" i="1"/>
  <c r="DK5" i="1"/>
  <c r="DK6" i="1"/>
  <c r="DK7" i="1"/>
  <c r="DK8" i="1"/>
  <c r="DK9" i="1"/>
  <c r="DK10" i="1"/>
  <c r="DK11" i="1"/>
  <c r="DK12" i="1"/>
  <c r="DK13" i="1"/>
  <c r="DK14" i="1"/>
  <c r="DK15" i="1"/>
  <c r="DK16" i="1"/>
  <c r="DK17" i="1"/>
  <c r="DK18" i="1"/>
  <c r="DK19" i="1"/>
  <c r="DK20" i="1"/>
  <c r="DK21" i="1"/>
  <c r="DK22" i="1"/>
  <c r="DK23" i="1"/>
  <c r="DK24" i="1"/>
  <c r="DK25" i="1"/>
  <c r="DK26" i="1"/>
  <c r="DK27" i="1"/>
  <c r="DK28" i="1"/>
  <c r="DK29" i="1"/>
  <c r="DK30" i="1"/>
  <c r="DK31" i="1"/>
  <c r="DK32" i="1"/>
  <c r="DK33" i="1"/>
  <c r="DK34" i="1"/>
  <c r="DK35" i="1"/>
  <c r="DK36" i="1"/>
  <c r="DK37" i="1"/>
  <c r="DK38" i="1"/>
  <c r="DK39" i="1"/>
  <c r="DK40" i="1"/>
  <c r="DK41" i="1"/>
  <c r="DK42" i="1"/>
  <c r="DK43" i="1"/>
  <c r="DK44" i="1"/>
  <c r="DK45" i="1"/>
  <c r="DK46" i="1"/>
  <c r="DK47" i="1"/>
  <c r="DK48" i="1"/>
  <c r="DK49" i="1"/>
  <c r="DK50" i="1"/>
  <c r="DK51" i="1"/>
  <c r="DK52" i="1"/>
  <c r="DK53" i="1"/>
  <c r="DK54" i="1"/>
  <c r="DK55" i="1"/>
  <c r="DK56" i="1"/>
  <c r="DK57" i="1"/>
  <c r="DK58" i="1"/>
  <c r="DK59" i="1"/>
  <c r="DK60" i="1"/>
  <c r="DK61" i="1"/>
  <c r="DK62" i="1"/>
  <c r="DK63" i="1"/>
  <c r="DK64" i="1"/>
  <c r="DK65" i="1"/>
  <c r="DK66" i="1"/>
  <c r="DK67" i="1"/>
  <c r="DK68" i="1"/>
  <c r="DK69" i="1"/>
  <c r="DK70" i="1"/>
  <c r="DK71" i="1"/>
  <c r="DK72" i="1"/>
  <c r="DK73" i="1"/>
  <c r="DK74" i="1"/>
  <c r="DK75" i="1"/>
  <c r="DK76" i="1"/>
  <c r="DK77" i="1"/>
  <c r="DK78" i="1"/>
  <c r="DK79" i="1"/>
  <c r="DK80" i="1"/>
  <c r="DK81" i="1"/>
  <c r="DK82" i="1"/>
  <c r="DK83" i="1"/>
  <c r="DK84" i="1"/>
  <c r="DK85" i="1"/>
  <c r="DK86" i="1"/>
  <c r="DK87" i="1"/>
  <c r="DK88" i="1"/>
  <c r="DK89" i="1"/>
  <c r="DK90" i="1"/>
  <c r="DK91" i="1"/>
  <c r="DK92" i="1"/>
  <c r="DK93" i="1"/>
  <c r="DK94" i="1"/>
  <c r="DK95" i="1"/>
  <c r="DK96" i="1"/>
  <c r="DK97" i="1"/>
  <c r="DK98" i="1"/>
  <c r="DK99" i="1"/>
  <c r="DK100" i="1"/>
  <c r="DK101" i="1"/>
  <c r="DK102" i="1"/>
  <c r="DK103" i="1"/>
  <c r="DK104" i="1"/>
  <c r="DK105" i="1"/>
  <c r="DK106" i="1"/>
  <c r="DK107" i="1"/>
  <c r="DK108" i="1"/>
  <c r="DK109" i="1"/>
  <c r="DK110" i="1"/>
  <c r="DK111" i="1"/>
  <c r="DK112" i="1"/>
  <c r="DK113" i="1"/>
  <c r="DK114" i="1"/>
  <c r="DK115" i="1"/>
  <c r="DK116" i="1"/>
  <c r="DK117" i="1"/>
  <c r="DK118" i="1"/>
  <c r="DK119" i="1"/>
  <c r="DK120" i="1"/>
  <c r="DK121" i="1"/>
  <c r="DK122" i="1"/>
  <c r="DK123" i="1"/>
  <c r="DK124" i="1"/>
  <c r="DK125" i="1"/>
  <c r="DK126" i="1"/>
  <c r="DK127" i="1"/>
  <c r="DK128" i="1"/>
  <c r="DK129" i="1"/>
  <c r="DK130" i="1"/>
  <c r="DK131" i="1"/>
  <c r="DK133" i="1"/>
  <c r="DK134" i="1"/>
  <c r="DK135" i="1"/>
  <c r="DK136" i="1"/>
  <c r="DK137" i="1"/>
  <c r="DK138" i="1"/>
  <c r="DK139" i="1"/>
  <c r="DK140" i="1"/>
  <c r="DK141" i="1"/>
  <c r="DK142" i="1"/>
  <c r="DK143" i="1"/>
  <c r="DK144" i="1"/>
  <c r="DK145" i="1"/>
  <c r="DK146" i="1"/>
  <c r="DK147" i="1"/>
  <c r="DK148" i="1"/>
  <c r="DK149" i="1"/>
  <c r="DK150" i="1"/>
  <c r="DK151" i="1"/>
  <c r="DK152" i="1"/>
  <c r="DK153" i="1"/>
  <c r="DK154" i="1"/>
  <c r="DK155" i="1"/>
  <c r="DK156" i="1"/>
  <c r="DK157" i="1"/>
  <c r="DK158" i="1"/>
  <c r="DK159" i="1"/>
  <c r="DK160" i="1"/>
  <c r="DK161" i="1"/>
  <c r="DK162" i="1"/>
  <c r="DK163" i="1"/>
  <c r="DK164" i="1"/>
  <c r="DK165" i="1"/>
  <c r="DK166" i="1"/>
  <c r="DK167" i="1"/>
  <c r="DK168" i="1"/>
  <c r="DK169" i="1"/>
  <c r="DK170" i="1"/>
  <c r="DK171" i="1"/>
  <c r="DK172" i="1"/>
  <c r="DK173" i="1"/>
  <c r="DK174" i="1"/>
  <c r="DK175" i="1"/>
  <c r="DK176" i="1"/>
  <c r="DK177" i="1"/>
  <c r="DK178" i="1"/>
  <c r="DK179" i="1"/>
  <c r="DK180" i="1"/>
  <c r="DK181" i="1"/>
  <c r="DK182" i="1"/>
  <c r="DK183" i="1"/>
  <c r="DK184" i="1"/>
  <c r="DK185" i="1"/>
  <c r="DK186" i="1"/>
  <c r="DK187" i="1"/>
  <c r="DK188" i="1"/>
  <c r="DK189" i="1"/>
  <c r="DK190" i="1"/>
  <c r="DK191" i="1"/>
  <c r="DK192" i="1"/>
  <c r="DK193" i="1"/>
  <c r="DK194" i="1"/>
  <c r="DK195" i="1"/>
  <c r="DK196" i="1"/>
  <c r="DK197" i="1"/>
  <c r="DK198" i="1"/>
  <c r="DK199" i="1"/>
  <c r="DK200" i="1"/>
  <c r="DK201" i="1"/>
  <c r="DK202" i="1"/>
  <c r="DK203" i="1"/>
  <c r="DK204" i="1"/>
  <c r="DK205" i="1"/>
  <c r="DK206" i="1"/>
  <c r="DK207" i="1"/>
  <c r="DK208" i="1"/>
  <c r="DK209" i="1"/>
  <c r="DK210" i="1"/>
  <c r="DK211" i="1"/>
  <c r="DK212" i="1"/>
  <c r="DK213" i="1"/>
  <c r="DK214" i="1"/>
  <c r="DK215" i="1"/>
  <c r="DK216" i="1"/>
  <c r="DK217" i="1"/>
  <c r="DK218" i="1"/>
  <c r="DK219" i="1"/>
  <c r="DK220" i="1"/>
  <c r="DK221" i="1"/>
  <c r="DK222" i="1"/>
  <c r="DK223" i="1"/>
  <c r="DK224" i="1"/>
  <c r="DK225" i="1"/>
  <c r="DK226" i="1"/>
  <c r="DK227" i="1"/>
  <c r="DK228" i="1"/>
  <c r="DK229" i="1"/>
  <c r="DK230" i="1"/>
  <c r="DK231" i="1"/>
  <c r="DK232" i="1"/>
  <c r="DK233" i="1"/>
  <c r="DK234" i="1"/>
  <c r="DK235" i="1"/>
  <c r="DK236" i="1"/>
  <c r="DK237" i="1"/>
  <c r="DK238" i="1"/>
  <c r="DK239" i="1"/>
  <c r="DK240" i="1"/>
  <c r="DK241" i="1"/>
  <c r="DK242" i="1"/>
  <c r="DK243" i="1"/>
  <c r="DK244" i="1"/>
  <c r="DK245" i="1"/>
  <c r="DK246" i="1"/>
  <c r="DK247" i="1"/>
  <c r="DK248" i="1"/>
  <c r="DK249" i="1"/>
  <c r="DK250" i="1"/>
  <c r="DK251" i="1"/>
  <c r="DK252" i="1"/>
  <c r="DK253" i="1"/>
  <c r="DK254" i="1"/>
  <c r="DK255" i="1"/>
  <c r="DK256" i="1"/>
  <c r="DK257" i="1"/>
  <c r="DK258" i="1"/>
  <c r="DK259" i="1"/>
  <c r="DK260" i="1"/>
  <c r="DK262" i="1"/>
  <c r="DK263" i="1"/>
  <c r="DK264" i="1"/>
  <c r="DK265" i="1"/>
  <c r="DK266" i="1"/>
  <c r="DK267" i="1"/>
  <c r="DK268" i="1"/>
  <c r="DK269" i="1"/>
  <c r="DK270" i="1"/>
  <c r="DK271" i="1"/>
  <c r="DK272" i="1"/>
  <c r="DK273" i="1"/>
  <c r="DK274" i="1"/>
  <c r="DK275" i="1"/>
  <c r="DK276" i="1"/>
  <c r="DK277" i="1"/>
  <c r="DK278" i="1"/>
  <c r="DK279" i="1"/>
  <c r="DK280" i="1"/>
  <c r="DK281" i="1"/>
  <c r="DK282" i="1"/>
  <c r="DK283" i="1"/>
  <c r="DK284" i="1"/>
  <c r="DK285" i="1"/>
  <c r="DK286" i="1"/>
  <c r="DK287" i="1"/>
  <c r="DK288" i="1"/>
  <c r="DK289" i="1"/>
  <c r="DK290" i="1"/>
  <c r="DK291" i="1"/>
  <c r="DK292" i="1"/>
  <c r="DK293" i="1"/>
  <c r="DK294" i="1"/>
  <c r="DK295" i="1"/>
  <c r="DK296" i="1"/>
  <c r="DK297" i="1"/>
  <c r="DK298" i="1"/>
  <c r="DK299" i="1"/>
  <c r="DK300" i="1"/>
  <c r="DK301" i="1"/>
  <c r="DK302" i="1"/>
  <c r="DK2" i="1"/>
  <c r="DJ3" i="1"/>
  <c r="DJ4" i="1"/>
  <c r="DJ5" i="1"/>
  <c r="DJ6" i="1"/>
  <c r="DJ7" i="1"/>
  <c r="DJ8" i="1"/>
  <c r="DJ9" i="1"/>
  <c r="DJ10" i="1"/>
  <c r="DJ11" i="1"/>
  <c r="DJ12" i="1"/>
  <c r="DJ13" i="1"/>
  <c r="DJ14" i="1"/>
  <c r="DJ15" i="1"/>
  <c r="DJ16" i="1"/>
  <c r="DJ17" i="1"/>
  <c r="DJ18" i="1"/>
  <c r="DJ19" i="1"/>
  <c r="DJ20" i="1"/>
  <c r="DJ21" i="1"/>
  <c r="DJ22" i="1"/>
  <c r="DJ23" i="1"/>
  <c r="DJ24" i="1"/>
  <c r="DJ25" i="1"/>
  <c r="DJ26" i="1"/>
  <c r="DJ27" i="1"/>
  <c r="DJ28" i="1"/>
  <c r="DJ29" i="1"/>
  <c r="DJ30" i="1"/>
  <c r="DJ31" i="1"/>
  <c r="DJ32" i="1"/>
  <c r="DJ33" i="1"/>
  <c r="DJ34" i="1"/>
  <c r="DJ35" i="1"/>
  <c r="DJ36" i="1"/>
  <c r="DJ37" i="1"/>
  <c r="DJ38" i="1"/>
  <c r="DJ39" i="1"/>
  <c r="DJ40" i="1"/>
  <c r="DJ41" i="1"/>
  <c r="DJ42" i="1"/>
  <c r="DJ43" i="1"/>
  <c r="DJ44" i="1"/>
  <c r="DJ45" i="1"/>
  <c r="DJ46" i="1"/>
  <c r="DJ47" i="1"/>
  <c r="DJ48" i="1"/>
  <c r="DJ49" i="1"/>
  <c r="DJ50" i="1"/>
  <c r="DJ51" i="1"/>
  <c r="DJ52" i="1"/>
  <c r="DJ53" i="1"/>
  <c r="DJ54" i="1"/>
  <c r="DJ55" i="1"/>
  <c r="DJ56" i="1"/>
  <c r="DJ57" i="1"/>
  <c r="DJ58" i="1"/>
  <c r="DJ59" i="1"/>
  <c r="DJ60" i="1"/>
  <c r="DJ61" i="1"/>
  <c r="DJ62" i="1"/>
  <c r="DJ63" i="1"/>
  <c r="DJ64" i="1"/>
  <c r="DJ65" i="1"/>
  <c r="DJ66" i="1"/>
  <c r="DJ67" i="1"/>
  <c r="DJ68" i="1"/>
  <c r="DJ69" i="1"/>
  <c r="DJ70" i="1"/>
  <c r="DJ71" i="1"/>
  <c r="DJ72" i="1"/>
  <c r="DJ73" i="1"/>
  <c r="DJ74" i="1"/>
  <c r="DJ75" i="1"/>
  <c r="DJ76" i="1"/>
  <c r="DJ77" i="1"/>
  <c r="DJ78" i="1"/>
  <c r="DJ79" i="1"/>
  <c r="DJ80" i="1"/>
  <c r="DJ81" i="1"/>
  <c r="DJ82" i="1"/>
  <c r="DJ83" i="1"/>
  <c r="DJ84" i="1"/>
  <c r="DJ85" i="1"/>
  <c r="DJ86" i="1"/>
  <c r="DJ87" i="1"/>
  <c r="DJ88" i="1"/>
  <c r="DJ89" i="1"/>
  <c r="DJ90" i="1"/>
  <c r="DJ91" i="1"/>
  <c r="DJ92" i="1"/>
  <c r="DJ93" i="1"/>
  <c r="DJ94" i="1"/>
  <c r="DJ95" i="1"/>
  <c r="DJ96" i="1"/>
  <c r="DJ97" i="1"/>
  <c r="DJ98" i="1"/>
  <c r="DJ99" i="1"/>
  <c r="DJ100" i="1"/>
  <c r="DJ101" i="1"/>
  <c r="DJ102" i="1"/>
  <c r="DJ103" i="1"/>
  <c r="DJ104" i="1"/>
  <c r="DJ105" i="1"/>
  <c r="DJ106" i="1"/>
  <c r="DJ107" i="1"/>
  <c r="DJ108" i="1"/>
  <c r="DJ109" i="1"/>
  <c r="DJ110" i="1"/>
  <c r="DJ111" i="1"/>
  <c r="DJ112" i="1"/>
  <c r="DJ113" i="1"/>
  <c r="DJ114" i="1"/>
  <c r="DJ115" i="1"/>
  <c r="DJ116" i="1"/>
  <c r="DJ117" i="1"/>
  <c r="DJ118" i="1"/>
  <c r="DJ119" i="1"/>
  <c r="DJ120" i="1"/>
  <c r="DJ121" i="1"/>
  <c r="DJ122" i="1"/>
  <c r="DJ123" i="1"/>
  <c r="DJ124" i="1"/>
  <c r="DJ125" i="1"/>
  <c r="DJ126" i="1"/>
  <c r="DJ127" i="1"/>
  <c r="DJ128" i="1"/>
  <c r="DJ129" i="1"/>
  <c r="DJ130" i="1"/>
  <c r="DJ131" i="1"/>
  <c r="DJ133" i="1"/>
  <c r="DJ134" i="1"/>
  <c r="DJ135" i="1"/>
  <c r="DJ136" i="1"/>
  <c r="DJ137" i="1"/>
  <c r="DJ138" i="1"/>
  <c r="DJ139" i="1"/>
  <c r="DJ140" i="1"/>
  <c r="DJ141" i="1"/>
  <c r="DJ142" i="1"/>
  <c r="DJ143" i="1"/>
  <c r="DJ144" i="1"/>
  <c r="DJ145" i="1"/>
  <c r="DJ146" i="1"/>
  <c r="DJ147" i="1"/>
  <c r="DJ148" i="1"/>
  <c r="DJ149" i="1"/>
  <c r="DJ150" i="1"/>
  <c r="DJ151" i="1"/>
  <c r="DJ152" i="1"/>
  <c r="DJ153" i="1"/>
  <c r="DJ154" i="1"/>
  <c r="DJ155" i="1"/>
  <c r="DJ156" i="1"/>
  <c r="DJ157" i="1"/>
  <c r="DJ158" i="1"/>
  <c r="DJ159" i="1"/>
  <c r="DJ160" i="1"/>
  <c r="DJ161" i="1"/>
  <c r="DJ162" i="1"/>
  <c r="DJ163" i="1"/>
  <c r="DJ164" i="1"/>
  <c r="DJ165" i="1"/>
  <c r="DJ166" i="1"/>
  <c r="DJ167" i="1"/>
  <c r="DJ168" i="1"/>
  <c r="DJ169" i="1"/>
  <c r="DJ170" i="1"/>
  <c r="DJ171" i="1"/>
  <c r="DJ172" i="1"/>
  <c r="DJ173" i="1"/>
  <c r="DJ174" i="1"/>
  <c r="DJ175" i="1"/>
  <c r="DJ176" i="1"/>
  <c r="DJ177" i="1"/>
  <c r="DJ178" i="1"/>
  <c r="DJ179" i="1"/>
  <c r="DJ180" i="1"/>
  <c r="DJ181" i="1"/>
  <c r="DJ182" i="1"/>
  <c r="DJ183" i="1"/>
  <c r="DJ184" i="1"/>
  <c r="DJ185" i="1"/>
  <c r="DJ186" i="1"/>
  <c r="DJ187" i="1"/>
  <c r="DJ188" i="1"/>
  <c r="DJ189" i="1"/>
  <c r="DJ190" i="1"/>
  <c r="DJ191" i="1"/>
  <c r="DJ192" i="1"/>
  <c r="DJ193" i="1"/>
  <c r="DJ194" i="1"/>
  <c r="DJ195" i="1"/>
  <c r="DJ196" i="1"/>
  <c r="DJ197" i="1"/>
  <c r="DJ198" i="1"/>
  <c r="DJ199" i="1"/>
  <c r="DJ200" i="1"/>
  <c r="DJ201" i="1"/>
  <c r="DJ202" i="1"/>
  <c r="DJ203" i="1"/>
  <c r="DJ204" i="1"/>
  <c r="DJ205" i="1"/>
  <c r="DJ206" i="1"/>
  <c r="DJ207" i="1"/>
  <c r="DJ208" i="1"/>
  <c r="DJ209" i="1"/>
  <c r="DJ210" i="1"/>
  <c r="DJ211" i="1"/>
  <c r="DJ212" i="1"/>
  <c r="DJ213" i="1"/>
  <c r="DJ214" i="1"/>
  <c r="DJ215" i="1"/>
  <c r="DJ216" i="1"/>
  <c r="DJ217" i="1"/>
  <c r="DJ218" i="1"/>
  <c r="DJ219" i="1"/>
  <c r="DJ220" i="1"/>
  <c r="DJ221" i="1"/>
  <c r="DJ222" i="1"/>
  <c r="DJ223" i="1"/>
  <c r="DJ224" i="1"/>
  <c r="DJ225" i="1"/>
  <c r="DJ226" i="1"/>
  <c r="DJ227" i="1"/>
  <c r="DJ228" i="1"/>
  <c r="DJ229" i="1"/>
  <c r="DJ230" i="1"/>
  <c r="DJ231" i="1"/>
  <c r="DJ232" i="1"/>
  <c r="DJ233" i="1"/>
  <c r="DJ234" i="1"/>
  <c r="DJ235" i="1"/>
  <c r="DJ236" i="1"/>
  <c r="DJ237" i="1"/>
  <c r="DJ238" i="1"/>
  <c r="DJ239" i="1"/>
  <c r="DJ240" i="1"/>
  <c r="DJ241" i="1"/>
  <c r="DJ242" i="1"/>
  <c r="DJ243" i="1"/>
  <c r="DJ244" i="1"/>
  <c r="DJ245" i="1"/>
  <c r="DJ246" i="1"/>
  <c r="DJ247" i="1"/>
  <c r="DJ248" i="1"/>
  <c r="DJ249" i="1"/>
  <c r="DJ250" i="1"/>
  <c r="DJ251" i="1"/>
  <c r="DJ252" i="1"/>
  <c r="DJ253" i="1"/>
  <c r="DJ254" i="1"/>
  <c r="DJ255" i="1"/>
  <c r="DJ256" i="1"/>
  <c r="DJ257" i="1"/>
  <c r="DJ258" i="1"/>
  <c r="DJ259" i="1"/>
  <c r="DJ260" i="1"/>
  <c r="DJ262" i="1"/>
  <c r="DJ263" i="1"/>
  <c r="DJ264" i="1"/>
  <c r="DJ265" i="1"/>
  <c r="DJ266" i="1"/>
  <c r="DJ267" i="1"/>
  <c r="DJ268" i="1"/>
  <c r="DJ269" i="1"/>
  <c r="DJ270" i="1"/>
  <c r="DJ271" i="1"/>
  <c r="DJ272" i="1"/>
  <c r="DJ273" i="1"/>
  <c r="DJ274" i="1"/>
  <c r="DJ275" i="1"/>
  <c r="DJ276" i="1"/>
  <c r="DJ277" i="1"/>
  <c r="DJ278" i="1"/>
  <c r="DJ279" i="1"/>
  <c r="DJ280" i="1"/>
  <c r="DJ281" i="1"/>
  <c r="DJ282" i="1"/>
  <c r="DJ283" i="1"/>
  <c r="DJ284" i="1"/>
  <c r="DJ285" i="1"/>
  <c r="DJ286" i="1"/>
  <c r="DJ287" i="1"/>
  <c r="DJ288" i="1"/>
  <c r="DJ289" i="1"/>
  <c r="DJ290" i="1"/>
  <c r="DJ291" i="1"/>
  <c r="DJ292" i="1"/>
  <c r="DJ293" i="1"/>
  <c r="DJ294" i="1"/>
  <c r="DJ295" i="1"/>
  <c r="DJ296" i="1"/>
  <c r="DJ297" i="1"/>
  <c r="DJ298" i="1"/>
  <c r="DJ299" i="1"/>
  <c r="DJ300" i="1"/>
  <c r="DJ301" i="1"/>
  <c r="DJ302" i="1"/>
  <c r="DJ2" i="1"/>
  <c r="DG3" i="1"/>
  <c r="DG4" i="1"/>
  <c r="DG5" i="1"/>
  <c r="DH5" i="1" s="1"/>
  <c r="DG6" i="1"/>
  <c r="DH6" i="1" s="1"/>
  <c r="DG7" i="1"/>
  <c r="DH7" i="1" s="1"/>
  <c r="DG8" i="1"/>
  <c r="DI8" i="1" s="1"/>
  <c r="DG9" i="1"/>
  <c r="DI9" i="1" s="1"/>
  <c r="DG10" i="1"/>
  <c r="DG11" i="1"/>
  <c r="DG12" i="1"/>
  <c r="DG13" i="1"/>
  <c r="DG14" i="1"/>
  <c r="DH14" i="1" s="1"/>
  <c r="DG15" i="1"/>
  <c r="DI15" i="1" s="1"/>
  <c r="DG16" i="1"/>
  <c r="DI16" i="1" s="1"/>
  <c r="DG17" i="1"/>
  <c r="DH17" i="1" s="1"/>
  <c r="DG18" i="1"/>
  <c r="DG19" i="1"/>
  <c r="DG20" i="1"/>
  <c r="DG21" i="1"/>
  <c r="DG22" i="1"/>
  <c r="DH22" i="1" s="1"/>
  <c r="DG23" i="1"/>
  <c r="DH23" i="1" s="1"/>
  <c r="DG24" i="1"/>
  <c r="DI24" i="1" s="1"/>
  <c r="DG25" i="1"/>
  <c r="DI25" i="1" s="1"/>
  <c r="DG26" i="1"/>
  <c r="DG27" i="1"/>
  <c r="DG28" i="1"/>
  <c r="DG29" i="1"/>
  <c r="DG30" i="1"/>
  <c r="DH30" i="1" s="1"/>
  <c r="DG31" i="1"/>
  <c r="DI31" i="1" s="1"/>
  <c r="DG32" i="1"/>
  <c r="DI32" i="1" s="1"/>
  <c r="DG33" i="1"/>
  <c r="DH33" i="1" s="1"/>
  <c r="DG34" i="1"/>
  <c r="DG35" i="1"/>
  <c r="DG36" i="1"/>
  <c r="DG37" i="1"/>
  <c r="DH37" i="1" s="1"/>
  <c r="DG38" i="1"/>
  <c r="DH38" i="1" s="1"/>
  <c r="DG39" i="1"/>
  <c r="DH39" i="1" s="1"/>
  <c r="DG40" i="1"/>
  <c r="DI40" i="1" s="1"/>
  <c r="DG41" i="1"/>
  <c r="DI41" i="1" s="1"/>
  <c r="DG42" i="1"/>
  <c r="DG43" i="1"/>
  <c r="DG44" i="1"/>
  <c r="DG45" i="1"/>
  <c r="DG46" i="1"/>
  <c r="DH46" i="1" s="1"/>
  <c r="DG47" i="1"/>
  <c r="DI47" i="1" s="1"/>
  <c r="DG48" i="1"/>
  <c r="DI48" i="1" s="1"/>
  <c r="DG49" i="1"/>
  <c r="DH49" i="1" s="1"/>
  <c r="DG50" i="1"/>
  <c r="DG51" i="1"/>
  <c r="DG52" i="1"/>
  <c r="DG53" i="1"/>
  <c r="DH53" i="1" s="1"/>
  <c r="DG54" i="1"/>
  <c r="DH54" i="1" s="1"/>
  <c r="DG55" i="1"/>
  <c r="DH55" i="1" s="1"/>
  <c r="DG56" i="1"/>
  <c r="DI56" i="1" s="1"/>
  <c r="DG57" i="1"/>
  <c r="DI57" i="1" s="1"/>
  <c r="DG58" i="1"/>
  <c r="DG59" i="1"/>
  <c r="DG60" i="1"/>
  <c r="DG61" i="1"/>
  <c r="DG62" i="1"/>
  <c r="DH62" i="1" s="1"/>
  <c r="DG63" i="1"/>
  <c r="DI63" i="1" s="1"/>
  <c r="DG64" i="1"/>
  <c r="DI64" i="1" s="1"/>
  <c r="DG65" i="1"/>
  <c r="DH65" i="1" s="1"/>
  <c r="DG66" i="1"/>
  <c r="DG67" i="1"/>
  <c r="DG68" i="1"/>
  <c r="DG69" i="1"/>
  <c r="DH69" i="1" s="1"/>
  <c r="DG70" i="1"/>
  <c r="DH70" i="1" s="1"/>
  <c r="DG71" i="1"/>
  <c r="DH71" i="1" s="1"/>
  <c r="DG72" i="1"/>
  <c r="DI72" i="1" s="1"/>
  <c r="DG73" i="1"/>
  <c r="DI73" i="1" s="1"/>
  <c r="DG74" i="1"/>
  <c r="DG75" i="1"/>
  <c r="DG76" i="1"/>
  <c r="DG77" i="1"/>
  <c r="DG78" i="1"/>
  <c r="DH78" i="1" s="1"/>
  <c r="DG79" i="1"/>
  <c r="DI79" i="1" s="1"/>
  <c r="DG80" i="1"/>
  <c r="DI80" i="1" s="1"/>
  <c r="DG81" i="1"/>
  <c r="DH81" i="1" s="1"/>
  <c r="DG82" i="1"/>
  <c r="DG83" i="1"/>
  <c r="DG84" i="1"/>
  <c r="DG85" i="1"/>
  <c r="DG86" i="1"/>
  <c r="DH86" i="1" s="1"/>
  <c r="DG87" i="1"/>
  <c r="DH87" i="1" s="1"/>
  <c r="DG88" i="1"/>
  <c r="DI88" i="1" s="1"/>
  <c r="DG89" i="1"/>
  <c r="DI89" i="1" s="1"/>
  <c r="DG90" i="1"/>
  <c r="DG91" i="1"/>
  <c r="DG92" i="1"/>
  <c r="DG93" i="1"/>
  <c r="DG94" i="1"/>
  <c r="DG95" i="1"/>
  <c r="DH95" i="1" s="1"/>
  <c r="DG96" i="1"/>
  <c r="DI96" i="1" s="1"/>
  <c r="DG97" i="1"/>
  <c r="DH97" i="1" s="1"/>
  <c r="DG98" i="1"/>
  <c r="DG99" i="1"/>
  <c r="DG100" i="1"/>
  <c r="DG101" i="1"/>
  <c r="DH101" i="1" s="1"/>
  <c r="DG102" i="1"/>
  <c r="DG103" i="1"/>
  <c r="DH103" i="1" s="1"/>
  <c r="DG104" i="1"/>
  <c r="DI104" i="1" s="1"/>
  <c r="DG105" i="1"/>
  <c r="DI105" i="1" s="1"/>
  <c r="DG106" i="1"/>
  <c r="DG107" i="1"/>
  <c r="DG108" i="1"/>
  <c r="DG109" i="1"/>
  <c r="DH109" i="1" s="1"/>
  <c r="DG110" i="1"/>
  <c r="DG111" i="1"/>
  <c r="DI111" i="1" s="1"/>
  <c r="DG112" i="1"/>
  <c r="DI112" i="1" s="1"/>
  <c r="DG113" i="1"/>
  <c r="DH113" i="1" s="1"/>
  <c r="DG114" i="1"/>
  <c r="DG115" i="1"/>
  <c r="DG116" i="1"/>
  <c r="DG117" i="1"/>
  <c r="DG118" i="1"/>
  <c r="DG119" i="1"/>
  <c r="DH119" i="1" s="1"/>
  <c r="DG120" i="1"/>
  <c r="DI120" i="1" s="1"/>
  <c r="DG121" i="1"/>
  <c r="DI121" i="1" s="1"/>
  <c r="DG122" i="1"/>
  <c r="DG123" i="1"/>
  <c r="DG124" i="1"/>
  <c r="DG125" i="1"/>
  <c r="DI125" i="1" s="1"/>
  <c r="DG126" i="1"/>
  <c r="DG127" i="1"/>
  <c r="DI127" i="1" s="1"/>
  <c r="DG128" i="1"/>
  <c r="DI128" i="1" s="1"/>
  <c r="DG129" i="1"/>
  <c r="DH129" i="1" s="1"/>
  <c r="DG130" i="1"/>
  <c r="DG131" i="1"/>
  <c r="DG133" i="1"/>
  <c r="DG134" i="1"/>
  <c r="DG135" i="1"/>
  <c r="DG136" i="1"/>
  <c r="DG137" i="1"/>
  <c r="DI137" i="1" s="1"/>
  <c r="DG138" i="1"/>
  <c r="DH138" i="1" s="1"/>
  <c r="DG139" i="1"/>
  <c r="DG140" i="1"/>
  <c r="DG141" i="1"/>
  <c r="DG142" i="1"/>
  <c r="DH142" i="1" s="1"/>
  <c r="DG143" i="1"/>
  <c r="DG144" i="1"/>
  <c r="DH144" i="1" s="1"/>
  <c r="DG145" i="1"/>
  <c r="DI145" i="1" s="1"/>
  <c r="DG146" i="1"/>
  <c r="DH146" i="1" s="1"/>
  <c r="DG147" i="1"/>
  <c r="DG148" i="1"/>
  <c r="DG149" i="1"/>
  <c r="DG150" i="1"/>
  <c r="DG151" i="1"/>
  <c r="DG152" i="1"/>
  <c r="DH152" i="1" s="1"/>
  <c r="DG153" i="1"/>
  <c r="DI153" i="1" s="1"/>
  <c r="DG154" i="1"/>
  <c r="DI154" i="1" s="1"/>
  <c r="DG155" i="1"/>
  <c r="DG156" i="1"/>
  <c r="DG157" i="1"/>
  <c r="DG158" i="1"/>
  <c r="DG159" i="1"/>
  <c r="DG160" i="1"/>
  <c r="DH160" i="1" s="1"/>
  <c r="DG161" i="1"/>
  <c r="DI161" i="1" s="1"/>
  <c r="DG162" i="1"/>
  <c r="DH162" i="1" s="1"/>
  <c r="DG163" i="1"/>
  <c r="DG164" i="1"/>
  <c r="DG165" i="1"/>
  <c r="DG166" i="1"/>
  <c r="DG167" i="1"/>
  <c r="DH167" i="1" s="1"/>
  <c r="DG168" i="1"/>
  <c r="DH168" i="1" s="1"/>
  <c r="DG169" i="1"/>
  <c r="DI169" i="1" s="1"/>
  <c r="DG170" i="1"/>
  <c r="DH170" i="1" s="1"/>
  <c r="DG171" i="1"/>
  <c r="DG172" i="1"/>
  <c r="DG173" i="1"/>
  <c r="DG174" i="1"/>
  <c r="DH174" i="1" s="1"/>
  <c r="DG175" i="1"/>
  <c r="DG176" i="1"/>
  <c r="DH176" i="1" s="1"/>
  <c r="DG177" i="1"/>
  <c r="DI177" i="1" s="1"/>
  <c r="DG178" i="1"/>
  <c r="DH178" i="1" s="1"/>
  <c r="DG179" i="1"/>
  <c r="DG180" i="1"/>
  <c r="DG181" i="1"/>
  <c r="DG182" i="1"/>
  <c r="DI182" i="1" s="1"/>
  <c r="DG183" i="1"/>
  <c r="DG184" i="1"/>
  <c r="DH184" i="1" s="1"/>
  <c r="DG185" i="1"/>
  <c r="DI185" i="1" s="1"/>
  <c r="DG186" i="1"/>
  <c r="DH186" i="1" s="1"/>
  <c r="DG187" i="1"/>
  <c r="DG188" i="1"/>
  <c r="DG189" i="1"/>
  <c r="DG190" i="1"/>
  <c r="DH190" i="1" s="1"/>
  <c r="DG191" i="1"/>
  <c r="DG192" i="1"/>
  <c r="DH192" i="1" s="1"/>
  <c r="DG193" i="1"/>
  <c r="DI193" i="1" s="1"/>
  <c r="DG194" i="1"/>
  <c r="DH194" i="1" s="1"/>
  <c r="DG195" i="1"/>
  <c r="DG196" i="1"/>
  <c r="DG197" i="1"/>
  <c r="DG198" i="1"/>
  <c r="DH198" i="1" s="1"/>
  <c r="DG199" i="1"/>
  <c r="DG200" i="1"/>
  <c r="DH200" i="1" s="1"/>
  <c r="DG201" i="1"/>
  <c r="DI201" i="1" s="1"/>
  <c r="DG202" i="1"/>
  <c r="DH202" i="1" s="1"/>
  <c r="DG203" i="1"/>
  <c r="DG204" i="1"/>
  <c r="DG205" i="1"/>
  <c r="DG206" i="1"/>
  <c r="DH206" i="1" s="1"/>
  <c r="DG207" i="1"/>
  <c r="DG208" i="1"/>
  <c r="DH208" i="1" s="1"/>
  <c r="DG209" i="1"/>
  <c r="DI209" i="1" s="1"/>
  <c r="DG210" i="1"/>
  <c r="DH210" i="1" s="1"/>
  <c r="DG211" i="1"/>
  <c r="DG212" i="1"/>
  <c r="DG213" i="1"/>
  <c r="DG214" i="1"/>
  <c r="DH214" i="1" s="1"/>
  <c r="DG215" i="1"/>
  <c r="DG216" i="1"/>
  <c r="DH216" i="1" s="1"/>
  <c r="DG217" i="1"/>
  <c r="DI217" i="1" s="1"/>
  <c r="DG218" i="1"/>
  <c r="DH218" i="1" s="1"/>
  <c r="DG219" i="1"/>
  <c r="DG220" i="1"/>
  <c r="DG221" i="1"/>
  <c r="DG222" i="1"/>
  <c r="DH222" i="1" s="1"/>
  <c r="DG223" i="1"/>
  <c r="DG224" i="1"/>
  <c r="DH224" i="1" s="1"/>
  <c r="DG225" i="1"/>
  <c r="DI225" i="1" s="1"/>
  <c r="DG226" i="1"/>
  <c r="DH226" i="1" s="1"/>
  <c r="DG227" i="1"/>
  <c r="DG228" i="1"/>
  <c r="DG229" i="1"/>
  <c r="DG230" i="1"/>
  <c r="DH230" i="1" s="1"/>
  <c r="DG231" i="1"/>
  <c r="DH231" i="1" s="1"/>
  <c r="DG232" i="1"/>
  <c r="DH232" i="1" s="1"/>
  <c r="DG233" i="1"/>
  <c r="DI233" i="1" s="1"/>
  <c r="DG234" i="1"/>
  <c r="DH234" i="1" s="1"/>
  <c r="DG235" i="1"/>
  <c r="DG236" i="1"/>
  <c r="DG237" i="1"/>
  <c r="DG238" i="1"/>
  <c r="DH238" i="1" s="1"/>
  <c r="DG239" i="1"/>
  <c r="DG240" i="1"/>
  <c r="DH240" i="1" s="1"/>
  <c r="DG241" i="1"/>
  <c r="DI241" i="1" s="1"/>
  <c r="DG242" i="1"/>
  <c r="DH242" i="1" s="1"/>
  <c r="DG243" i="1"/>
  <c r="DG244" i="1"/>
  <c r="DG245" i="1"/>
  <c r="DG246" i="1"/>
  <c r="DH246" i="1" s="1"/>
  <c r="DG247" i="1"/>
  <c r="DG248" i="1"/>
  <c r="DH248" i="1" s="1"/>
  <c r="DG249" i="1"/>
  <c r="DI249" i="1" s="1"/>
  <c r="DG250" i="1"/>
  <c r="DH250" i="1" s="1"/>
  <c r="DG251" i="1"/>
  <c r="DG252" i="1"/>
  <c r="DG253" i="1"/>
  <c r="DG254" i="1"/>
  <c r="DG255" i="1"/>
  <c r="DH255" i="1" s="1"/>
  <c r="DG256" i="1"/>
  <c r="DG257" i="1"/>
  <c r="DI257" i="1" s="1"/>
  <c r="DG258" i="1"/>
  <c r="DH258" i="1" s="1"/>
  <c r="DG259" i="1"/>
  <c r="DG260" i="1"/>
  <c r="DG262" i="1"/>
  <c r="DG263" i="1"/>
  <c r="DG264" i="1"/>
  <c r="DG265" i="1"/>
  <c r="DG266" i="1"/>
  <c r="DI266" i="1" s="1"/>
  <c r="DG267" i="1"/>
  <c r="DH267" i="1" s="1"/>
  <c r="DG268" i="1"/>
  <c r="DG269" i="1"/>
  <c r="DG270" i="1"/>
  <c r="DG271" i="1"/>
  <c r="DG272" i="1"/>
  <c r="DG273" i="1"/>
  <c r="DG274" i="1"/>
  <c r="DI274" i="1" s="1"/>
  <c r="DG275" i="1"/>
  <c r="DH275" i="1" s="1"/>
  <c r="DG276" i="1"/>
  <c r="DG277" i="1"/>
  <c r="DG278" i="1"/>
  <c r="DG279" i="1"/>
  <c r="DG280" i="1"/>
  <c r="DG281" i="1"/>
  <c r="DG282" i="1"/>
  <c r="DI282" i="1" s="1"/>
  <c r="DG283" i="1"/>
  <c r="DH283" i="1" s="1"/>
  <c r="DG284" i="1"/>
  <c r="DG285" i="1"/>
  <c r="DG286" i="1"/>
  <c r="DG287" i="1"/>
  <c r="DG288" i="1"/>
  <c r="DH288" i="1" s="1"/>
  <c r="DG289" i="1"/>
  <c r="DG290" i="1"/>
  <c r="DI290" i="1" s="1"/>
  <c r="DG291" i="1"/>
  <c r="DH291" i="1" s="1"/>
  <c r="DG292" i="1"/>
  <c r="DG293" i="1"/>
  <c r="DG294" i="1"/>
  <c r="DG295" i="1"/>
  <c r="DG296" i="1"/>
  <c r="DG297" i="1"/>
  <c r="DG298" i="1"/>
  <c r="DI298" i="1" s="1"/>
  <c r="DG299" i="1"/>
  <c r="DH299" i="1" s="1"/>
  <c r="DG300" i="1"/>
  <c r="DG301" i="1"/>
  <c r="DG302" i="1"/>
  <c r="DG2" i="1"/>
  <c r="DH2" i="1" s="1"/>
  <c r="DE4" i="1"/>
  <c r="DE60" i="1"/>
  <c r="DE136" i="1"/>
  <c r="DE145" i="1"/>
  <c r="DE192" i="1"/>
  <c r="DE198" i="1"/>
  <c r="DE202" i="1"/>
  <c r="DE268" i="1"/>
  <c r="DD3" i="1"/>
  <c r="DD4" i="1"/>
  <c r="DD5" i="1"/>
  <c r="DD6" i="1"/>
  <c r="DD7" i="1"/>
  <c r="DD8" i="1"/>
  <c r="DD9" i="1"/>
  <c r="DD10" i="1"/>
  <c r="DD11" i="1"/>
  <c r="DD12" i="1"/>
  <c r="DD13" i="1"/>
  <c r="DD14" i="1"/>
  <c r="DD15" i="1"/>
  <c r="DD16" i="1"/>
  <c r="DD17" i="1"/>
  <c r="DD18" i="1"/>
  <c r="DD19" i="1"/>
  <c r="DD20" i="1"/>
  <c r="DD21" i="1"/>
  <c r="DD22" i="1"/>
  <c r="DD23" i="1"/>
  <c r="DD24" i="1"/>
  <c r="DD25" i="1"/>
  <c r="DD26" i="1"/>
  <c r="DD27" i="1"/>
  <c r="DD28" i="1"/>
  <c r="DD29" i="1"/>
  <c r="DD30" i="1"/>
  <c r="DD31" i="1"/>
  <c r="DD32" i="1"/>
  <c r="DD33" i="1"/>
  <c r="DD34" i="1"/>
  <c r="DD35" i="1"/>
  <c r="DD36" i="1"/>
  <c r="DD37" i="1"/>
  <c r="DD38" i="1"/>
  <c r="DD39" i="1"/>
  <c r="DD40" i="1"/>
  <c r="DD41" i="1"/>
  <c r="DD42" i="1"/>
  <c r="DD43" i="1"/>
  <c r="DD44" i="1"/>
  <c r="DD45" i="1"/>
  <c r="DD46" i="1"/>
  <c r="DD47" i="1"/>
  <c r="DD48" i="1"/>
  <c r="DD49" i="1"/>
  <c r="DD50" i="1"/>
  <c r="DD51" i="1"/>
  <c r="DD52" i="1"/>
  <c r="DD53" i="1"/>
  <c r="DD54" i="1"/>
  <c r="DD55" i="1"/>
  <c r="DD56" i="1"/>
  <c r="DD57" i="1"/>
  <c r="DD58" i="1"/>
  <c r="DD59" i="1"/>
  <c r="DD60" i="1"/>
  <c r="DD61" i="1"/>
  <c r="DD62" i="1"/>
  <c r="DD63" i="1"/>
  <c r="DD64" i="1"/>
  <c r="DD65" i="1"/>
  <c r="DD66" i="1"/>
  <c r="DD67" i="1"/>
  <c r="DD68" i="1"/>
  <c r="DD69" i="1"/>
  <c r="DD70" i="1"/>
  <c r="DD71" i="1"/>
  <c r="DD72" i="1"/>
  <c r="DD73" i="1"/>
  <c r="DD74" i="1"/>
  <c r="DD75" i="1"/>
  <c r="DD76" i="1"/>
  <c r="DD77" i="1"/>
  <c r="DD78" i="1"/>
  <c r="DD79" i="1"/>
  <c r="DD80" i="1"/>
  <c r="DD81" i="1"/>
  <c r="DD82" i="1"/>
  <c r="DD83" i="1"/>
  <c r="DD84" i="1"/>
  <c r="DD85" i="1"/>
  <c r="DD86" i="1"/>
  <c r="DD87" i="1"/>
  <c r="DD88" i="1"/>
  <c r="DD89" i="1"/>
  <c r="DD90" i="1"/>
  <c r="DD91" i="1"/>
  <c r="DD92" i="1"/>
  <c r="DD93" i="1"/>
  <c r="DD94" i="1"/>
  <c r="DD95" i="1"/>
  <c r="DD96" i="1"/>
  <c r="DD97" i="1"/>
  <c r="DD98" i="1"/>
  <c r="DD99" i="1"/>
  <c r="DD100" i="1"/>
  <c r="DD101" i="1"/>
  <c r="DD102" i="1"/>
  <c r="DD103" i="1"/>
  <c r="DD104" i="1"/>
  <c r="DD105" i="1"/>
  <c r="DD106" i="1"/>
  <c r="DD107" i="1"/>
  <c r="DD108" i="1"/>
  <c r="DD109" i="1"/>
  <c r="DD110" i="1"/>
  <c r="DD111" i="1"/>
  <c r="DD112" i="1"/>
  <c r="DD113" i="1"/>
  <c r="DD114" i="1"/>
  <c r="DD115" i="1"/>
  <c r="DD116" i="1"/>
  <c r="DD117" i="1"/>
  <c r="DD118" i="1"/>
  <c r="DD119" i="1"/>
  <c r="DD120" i="1"/>
  <c r="DD121" i="1"/>
  <c r="DD122" i="1"/>
  <c r="DD123" i="1"/>
  <c r="DD124" i="1"/>
  <c r="DD125" i="1"/>
  <c r="DD126" i="1"/>
  <c r="DD127" i="1"/>
  <c r="DD128" i="1"/>
  <c r="DD129" i="1"/>
  <c r="DD130" i="1"/>
  <c r="DD131" i="1"/>
  <c r="DD133" i="1"/>
  <c r="DD134" i="1"/>
  <c r="DD135" i="1"/>
  <c r="DD136" i="1"/>
  <c r="DD137" i="1"/>
  <c r="DD138" i="1"/>
  <c r="DD139" i="1"/>
  <c r="DD140" i="1"/>
  <c r="DD141" i="1"/>
  <c r="DD142" i="1"/>
  <c r="DD143" i="1"/>
  <c r="DD144" i="1"/>
  <c r="DD145" i="1"/>
  <c r="DD146" i="1"/>
  <c r="DD147" i="1"/>
  <c r="DD148" i="1"/>
  <c r="DD149" i="1"/>
  <c r="DD150" i="1"/>
  <c r="DD151" i="1"/>
  <c r="DD152" i="1"/>
  <c r="DD153" i="1"/>
  <c r="DD154" i="1"/>
  <c r="DD155" i="1"/>
  <c r="DD156" i="1"/>
  <c r="DD157" i="1"/>
  <c r="DD158" i="1"/>
  <c r="DD159" i="1"/>
  <c r="DD160" i="1"/>
  <c r="DD161" i="1"/>
  <c r="DD162" i="1"/>
  <c r="DD163" i="1"/>
  <c r="DD164" i="1"/>
  <c r="DD165" i="1"/>
  <c r="DD166" i="1"/>
  <c r="DD167" i="1"/>
  <c r="DD168" i="1"/>
  <c r="DD169" i="1"/>
  <c r="DD170" i="1"/>
  <c r="DD171" i="1"/>
  <c r="DD172" i="1"/>
  <c r="DD173" i="1"/>
  <c r="DD174" i="1"/>
  <c r="DD175" i="1"/>
  <c r="DD176" i="1"/>
  <c r="DD177" i="1"/>
  <c r="DD178" i="1"/>
  <c r="DD179" i="1"/>
  <c r="DD180" i="1"/>
  <c r="DD181" i="1"/>
  <c r="DD182" i="1"/>
  <c r="DD183" i="1"/>
  <c r="DD184" i="1"/>
  <c r="DD185" i="1"/>
  <c r="DD186" i="1"/>
  <c r="DD187" i="1"/>
  <c r="DD188" i="1"/>
  <c r="DD189" i="1"/>
  <c r="DD190" i="1"/>
  <c r="DD191" i="1"/>
  <c r="DD192" i="1"/>
  <c r="DD193" i="1"/>
  <c r="DD194" i="1"/>
  <c r="DD195" i="1"/>
  <c r="DD196" i="1"/>
  <c r="DD197" i="1"/>
  <c r="DD198" i="1"/>
  <c r="DD199" i="1"/>
  <c r="DD200" i="1"/>
  <c r="DD201" i="1"/>
  <c r="DD202" i="1"/>
  <c r="DD203" i="1"/>
  <c r="DD204" i="1"/>
  <c r="DD205" i="1"/>
  <c r="DD206" i="1"/>
  <c r="DD207" i="1"/>
  <c r="DD208" i="1"/>
  <c r="DD209" i="1"/>
  <c r="DD210" i="1"/>
  <c r="DD211" i="1"/>
  <c r="DD212" i="1"/>
  <c r="DD213" i="1"/>
  <c r="DD214" i="1"/>
  <c r="DD215" i="1"/>
  <c r="DD216" i="1"/>
  <c r="DD217" i="1"/>
  <c r="DD218" i="1"/>
  <c r="DD219" i="1"/>
  <c r="DD220" i="1"/>
  <c r="DD221" i="1"/>
  <c r="DD222" i="1"/>
  <c r="DD223" i="1"/>
  <c r="DD224" i="1"/>
  <c r="DD225" i="1"/>
  <c r="DD226" i="1"/>
  <c r="DD227" i="1"/>
  <c r="DD228" i="1"/>
  <c r="DD229" i="1"/>
  <c r="DD230" i="1"/>
  <c r="DD231" i="1"/>
  <c r="DD232" i="1"/>
  <c r="DD233" i="1"/>
  <c r="DD234" i="1"/>
  <c r="DD235" i="1"/>
  <c r="DD236" i="1"/>
  <c r="DD237" i="1"/>
  <c r="DD238" i="1"/>
  <c r="DD239" i="1"/>
  <c r="DD240" i="1"/>
  <c r="DD241" i="1"/>
  <c r="DD242" i="1"/>
  <c r="DD243" i="1"/>
  <c r="DD244" i="1"/>
  <c r="DD245" i="1"/>
  <c r="DD246" i="1"/>
  <c r="DD247" i="1"/>
  <c r="DD248" i="1"/>
  <c r="DD249" i="1"/>
  <c r="DD250" i="1"/>
  <c r="DD251" i="1"/>
  <c r="DD252" i="1"/>
  <c r="DD253" i="1"/>
  <c r="DD254" i="1"/>
  <c r="DD255" i="1"/>
  <c r="DD256" i="1"/>
  <c r="DD257" i="1"/>
  <c r="DD258" i="1"/>
  <c r="DD259" i="1"/>
  <c r="DD260" i="1"/>
  <c r="DD262" i="1"/>
  <c r="DD263" i="1"/>
  <c r="DD264" i="1"/>
  <c r="DD265" i="1"/>
  <c r="DD266" i="1"/>
  <c r="DD267" i="1"/>
  <c r="DD268" i="1"/>
  <c r="DD269" i="1"/>
  <c r="DD270" i="1"/>
  <c r="DD271" i="1"/>
  <c r="DD272" i="1"/>
  <c r="DD273" i="1"/>
  <c r="DD274" i="1"/>
  <c r="DD275" i="1"/>
  <c r="DD276" i="1"/>
  <c r="DD277" i="1"/>
  <c r="DD278" i="1"/>
  <c r="DD279" i="1"/>
  <c r="DD280" i="1"/>
  <c r="DD281" i="1"/>
  <c r="DD282" i="1"/>
  <c r="DD283" i="1"/>
  <c r="DD284" i="1"/>
  <c r="DD285" i="1"/>
  <c r="DD286" i="1"/>
  <c r="DD287" i="1"/>
  <c r="DD288" i="1"/>
  <c r="DD289" i="1"/>
  <c r="DD290" i="1"/>
  <c r="DD291" i="1"/>
  <c r="DD292" i="1"/>
  <c r="DD293" i="1"/>
  <c r="DD294" i="1"/>
  <c r="DD295" i="1"/>
  <c r="DD296" i="1"/>
  <c r="DD297" i="1"/>
  <c r="DD298" i="1"/>
  <c r="DD299" i="1"/>
  <c r="DD300" i="1"/>
  <c r="DD301" i="1"/>
  <c r="DD302" i="1"/>
  <c r="DD2" i="1"/>
  <c r="DC3" i="1"/>
  <c r="DC4" i="1"/>
  <c r="DC5" i="1"/>
  <c r="DC6" i="1"/>
  <c r="DC7" i="1"/>
  <c r="DC8" i="1"/>
  <c r="DC9" i="1"/>
  <c r="DC10" i="1"/>
  <c r="DC11" i="1"/>
  <c r="DC12" i="1"/>
  <c r="DC13" i="1"/>
  <c r="DC14" i="1"/>
  <c r="DC15" i="1"/>
  <c r="DC16" i="1"/>
  <c r="DC17" i="1"/>
  <c r="DC18" i="1"/>
  <c r="DC19" i="1"/>
  <c r="DC20" i="1"/>
  <c r="DC21" i="1"/>
  <c r="DC22" i="1"/>
  <c r="DC23" i="1"/>
  <c r="DC24" i="1"/>
  <c r="DC25" i="1"/>
  <c r="DC26" i="1"/>
  <c r="DC27" i="1"/>
  <c r="DC28" i="1"/>
  <c r="DC29" i="1"/>
  <c r="DC30" i="1"/>
  <c r="DC31" i="1"/>
  <c r="DC32" i="1"/>
  <c r="DC33" i="1"/>
  <c r="DC34" i="1"/>
  <c r="DC35" i="1"/>
  <c r="DC36" i="1"/>
  <c r="DC37" i="1"/>
  <c r="DC38" i="1"/>
  <c r="DC39" i="1"/>
  <c r="DC40" i="1"/>
  <c r="DC41" i="1"/>
  <c r="DC42" i="1"/>
  <c r="DC43" i="1"/>
  <c r="DC44" i="1"/>
  <c r="DC45" i="1"/>
  <c r="DC46" i="1"/>
  <c r="DC47" i="1"/>
  <c r="DC48" i="1"/>
  <c r="DC49" i="1"/>
  <c r="DC50" i="1"/>
  <c r="DC51" i="1"/>
  <c r="DC52" i="1"/>
  <c r="DC53" i="1"/>
  <c r="DC54" i="1"/>
  <c r="DC55" i="1"/>
  <c r="DC56" i="1"/>
  <c r="DC57" i="1"/>
  <c r="DC58" i="1"/>
  <c r="DC59" i="1"/>
  <c r="DC60" i="1"/>
  <c r="DC61" i="1"/>
  <c r="DC62" i="1"/>
  <c r="DC63" i="1"/>
  <c r="DC64" i="1"/>
  <c r="DC65" i="1"/>
  <c r="DC66" i="1"/>
  <c r="DC67" i="1"/>
  <c r="DC68" i="1"/>
  <c r="DC69" i="1"/>
  <c r="DC70" i="1"/>
  <c r="DC71" i="1"/>
  <c r="DC72" i="1"/>
  <c r="DC73" i="1"/>
  <c r="DC74" i="1"/>
  <c r="DC75" i="1"/>
  <c r="DC76" i="1"/>
  <c r="DC77" i="1"/>
  <c r="DC78" i="1"/>
  <c r="DC79" i="1"/>
  <c r="DC80" i="1"/>
  <c r="DC81" i="1"/>
  <c r="DC82" i="1"/>
  <c r="DC83" i="1"/>
  <c r="DC84" i="1"/>
  <c r="DC85" i="1"/>
  <c r="DC86" i="1"/>
  <c r="DC87" i="1"/>
  <c r="DC88" i="1"/>
  <c r="DC89" i="1"/>
  <c r="DC90" i="1"/>
  <c r="DC91" i="1"/>
  <c r="DC92" i="1"/>
  <c r="DC93" i="1"/>
  <c r="DC94" i="1"/>
  <c r="DC95" i="1"/>
  <c r="DC96" i="1"/>
  <c r="DC97" i="1"/>
  <c r="DC98" i="1"/>
  <c r="DC99" i="1"/>
  <c r="DC100" i="1"/>
  <c r="DC101" i="1"/>
  <c r="DC102" i="1"/>
  <c r="DC103" i="1"/>
  <c r="DC104" i="1"/>
  <c r="DC105" i="1"/>
  <c r="DC106" i="1"/>
  <c r="DC107" i="1"/>
  <c r="DC108" i="1"/>
  <c r="DC109" i="1"/>
  <c r="DC110" i="1"/>
  <c r="DC111" i="1"/>
  <c r="DC112" i="1"/>
  <c r="DC113" i="1"/>
  <c r="DC114" i="1"/>
  <c r="DC115" i="1"/>
  <c r="DC116" i="1"/>
  <c r="DC117" i="1"/>
  <c r="DC118" i="1"/>
  <c r="DC119" i="1"/>
  <c r="DC120" i="1"/>
  <c r="DC121" i="1"/>
  <c r="DC122" i="1"/>
  <c r="DC123" i="1"/>
  <c r="DC124" i="1"/>
  <c r="DC125" i="1"/>
  <c r="DC126" i="1"/>
  <c r="DC127" i="1"/>
  <c r="DC128" i="1"/>
  <c r="DC129" i="1"/>
  <c r="DC130" i="1"/>
  <c r="DC131" i="1"/>
  <c r="DC133" i="1"/>
  <c r="DC134" i="1"/>
  <c r="DC135" i="1"/>
  <c r="DC136" i="1"/>
  <c r="DC137" i="1"/>
  <c r="DC138" i="1"/>
  <c r="DC139" i="1"/>
  <c r="DC140" i="1"/>
  <c r="DC141" i="1"/>
  <c r="DC142" i="1"/>
  <c r="DC143" i="1"/>
  <c r="DC144" i="1"/>
  <c r="DC145" i="1"/>
  <c r="DC146" i="1"/>
  <c r="DC147" i="1"/>
  <c r="DC148" i="1"/>
  <c r="DC149" i="1"/>
  <c r="DC150" i="1"/>
  <c r="DC151" i="1"/>
  <c r="DC152" i="1"/>
  <c r="DC153" i="1"/>
  <c r="DC154" i="1"/>
  <c r="DC155" i="1"/>
  <c r="DC156" i="1"/>
  <c r="DC157" i="1"/>
  <c r="DC158" i="1"/>
  <c r="DC159" i="1"/>
  <c r="DC160" i="1"/>
  <c r="DC161" i="1"/>
  <c r="DC162" i="1"/>
  <c r="DC163" i="1"/>
  <c r="DC164" i="1"/>
  <c r="DC165" i="1"/>
  <c r="DC166" i="1"/>
  <c r="DC167" i="1"/>
  <c r="DC168" i="1"/>
  <c r="DC169" i="1"/>
  <c r="DC170" i="1"/>
  <c r="DC171" i="1"/>
  <c r="DC172" i="1"/>
  <c r="DC173" i="1"/>
  <c r="DC174" i="1"/>
  <c r="DC175" i="1"/>
  <c r="DC176" i="1"/>
  <c r="DC177" i="1"/>
  <c r="DC178" i="1"/>
  <c r="DC179" i="1"/>
  <c r="DC180" i="1"/>
  <c r="DC181" i="1"/>
  <c r="DC182" i="1"/>
  <c r="DC183" i="1"/>
  <c r="DC184" i="1"/>
  <c r="DC185" i="1"/>
  <c r="DC186" i="1"/>
  <c r="DC187" i="1"/>
  <c r="DC188" i="1"/>
  <c r="DC189" i="1"/>
  <c r="DC190" i="1"/>
  <c r="DC191" i="1"/>
  <c r="DC192" i="1"/>
  <c r="DC193" i="1"/>
  <c r="DC194" i="1"/>
  <c r="DC195" i="1"/>
  <c r="DC196" i="1"/>
  <c r="DC197" i="1"/>
  <c r="DC198" i="1"/>
  <c r="DC199" i="1"/>
  <c r="DC200" i="1"/>
  <c r="DC201" i="1"/>
  <c r="DC202" i="1"/>
  <c r="DC203" i="1"/>
  <c r="DC204" i="1"/>
  <c r="DC205" i="1"/>
  <c r="DC206" i="1"/>
  <c r="DC207" i="1"/>
  <c r="DC208" i="1"/>
  <c r="DC209" i="1"/>
  <c r="DC210" i="1"/>
  <c r="DC211" i="1"/>
  <c r="DC212" i="1"/>
  <c r="DC213" i="1"/>
  <c r="DC214" i="1"/>
  <c r="DC215" i="1"/>
  <c r="DC216" i="1"/>
  <c r="DC217" i="1"/>
  <c r="DC218" i="1"/>
  <c r="DC219" i="1"/>
  <c r="DC220" i="1"/>
  <c r="DC221" i="1"/>
  <c r="DC222" i="1"/>
  <c r="DC223" i="1"/>
  <c r="DC224" i="1"/>
  <c r="DC225" i="1"/>
  <c r="DC226" i="1"/>
  <c r="DC227" i="1"/>
  <c r="DC228" i="1"/>
  <c r="DC229" i="1"/>
  <c r="DC230" i="1"/>
  <c r="DC231" i="1"/>
  <c r="DC232" i="1"/>
  <c r="DC233" i="1"/>
  <c r="DC234" i="1"/>
  <c r="DC235" i="1"/>
  <c r="DC236" i="1"/>
  <c r="DC237" i="1"/>
  <c r="DC238" i="1"/>
  <c r="DC239" i="1"/>
  <c r="DC240" i="1"/>
  <c r="DC241" i="1"/>
  <c r="DC242" i="1"/>
  <c r="DC243" i="1"/>
  <c r="DC244" i="1"/>
  <c r="DC245" i="1"/>
  <c r="DC246" i="1"/>
  <c r="DC247" i="1"/>
  <c r="DC248" i="1"/>
  <c r="DC249" i="1"/>
  <c r="DC250" i="1"/>
  <c r="DC251" i="1"/>
  <c r="DC252" i="1"/>
  <c r="DC253" i="1"/>
  <c r="DC254" i="1"/>
  <c r="DC255" i="1"/>
  <c r="DC256" i="1"/>
  <c r="DC257" i="1"/>
  <c r="DC258" i="1"/>
  <c r="DC259" i="1"/>
  <c r="DC260" i="1"/>
  <c r="DC262" i="1"/>
  <c r="DC263" i="1"/>
  <c r="DC264" i="1"/>
  <c r="DC265" i="1"/>
  <c r="DC266" i="1"/>
  <c r="DC267" i="1"/>
  <c r="DC268" i="1"/>
  <c r="DC269" i="1"/>
  <c r="DC270" i="1"/>
  <c r="DC271" i="1"/>
  <c r="DC272" i="1"/>
  <c r="DC273" i="1"/>
  <c r="DC274" i="1"/>
  <c r="DC275" i="1"/>
  <c r="DC276" i="1"/>
  <c r="DC277" i="1"/>
  <c r="DC278" i="1"/>
  <c r="DC279" i="1"/>
  <c r="DC280" i="1"/>
  <c r="DC281" i="1"/>
  <c r="DC282" i="1"/>
  <c r="DC283" i="1"/>
  <c r="DC284" i="1"/>
  <c r="DC285" i="1"/>
  <c r="DC286" i="1"/>
  <c r="DC287" i="1"/>
  <c r="DC288" i="1"/>
  <c r="DC289" i="1"/>
  <c r="DC290" i="1"/>
  <c r="DC291" i="1"/>
  <c r="DC292" i="1"/>
  <c r="DC293" i="1"/>
  <c r="DC294" i="1"/>
  <c r="DC295" i="1"/>
  <c r="DC296" i="1"/>
  <c r="DC297" i="1"/>
  <c r="DC298" i="1"/>
  <c r="DC299" i="1"/>
  <c r="DC300" i="1"/>
  <c r="DC301" i="1"/>
  <c r="DC302" i="1"/>
  <c r="DC2" i="1"/>
  <c r="DA3" i="1"/>
  <c r="DA4" i="1"/>
  <c r="DA5" i="1"/>
  <c r="DA6" i="1"/>
  <c r="DA7" i="1"/>
  <c r="DA8" i="1"/>
  <c r="DA9" i="1"/>
  <c r="DA10" i="1"/>
  <c r="DA11" i="1"/>
  <c r="DA12" i="1"/>
  <c r="DA13" i="1"/>
  <c r="DA14" i="1"/>
  <c r="DA15" i="1"/>
  <c r="DA16" i="1"/>
  <c r="DA17" i="1"/>
  <c r="DA18" i="1"/>
  <c r="DA19" i="1"/>
  <c r="DA20" i="1"/>
  <c r="DA21" i="1"/>
  <c r="DA22" i="1"/>
  <c r="DA23" i="1"/>
  <c r="DA24" i="1"/>
  <c r="DA25" i="1"/>
  <c r="DA26" i="1"/>
  <c r="DA27" i="1"/>
  <c r="DA28" i="1"/>
  <c r="DA29" i="1"/>
  <c r="DA30" i="1"/>
  <c r="DA31" i="1"/>
  <c r="DA32" i="1"/>
  <c r="DA33" i="1"/>
  <c r="DA34" i="1"/>
  <c r="DA35" i="1"/>
  <c r="DA36" i="1"/>
  <c r="DA37" i="1"/>
  <c r="DA38" i="1"/>
  <c r="DA39" i="1"/>
  <c r="DA40" i="1"/>
  <c r="DA41" i="1"/>
  <c r="DA42" i="1"/>
  <c r="DA43" i="1"/>
  <c r="DA44" i="1"/>
  <c r="DA45" i="1"/>
  <c r="DA46" i="1"/>
  <c r="DA47" i="1"/>
  <c r="DA48" i="1"/>
  <c r="DA49" i="1"/>
  <c r="DA50" i="1"/>
  <c r="DA51" i="1"/>
  <c r="DA52" i="1"/>
  <c r="DA53" i="1"/>
  <c r="DA54" i="1"/>
  <c r="DA55" i="1"/>
  <c r="DA56" i="1"/>
  <c r="DA57" i="1"/>
  <c r="DA58" i="1"/>
  <c r="DA59" i="1"/>
  <c r="DA60" i="1"/>
  <c r="DA61" i="1"/>
  <c r="DA62" i="1"/>
  <c r="DA63" i="1"/>
  <c r="DA64" i="1"/>
  <c r="DA65" i="1"/>
  <c r="DA66" i="1"/>
  <c r="DA67" i="1"/>
  <c r="DA68" i="1"/>
  <c r="DA69" i="1"/>
  <c r="DA70" i="1"/>
  <c r="DA71" i="1"/>
  <c r="DA72" i="1"/>
  <c r="DA73" i="1"/>
  <c r="DA74" i="1"/>
  <c r="DA75" i="1"/>
  <c r="DA76" i="1"/>
  <c r="DA77" i="1"/>
  <c r="DA78" i="1"/>
  <c r="DA79" i="1"/>
  <c r="DA80" i="1"/>
  <c r="DA81" i="1"/>
  <c r="DA82" i="1"/>
  <c r="DA83" i="1"/>
  <c r="DA84" i="1"/>
  <c r="DA85" i="1"/>
  <c r="DA86" i="1"/>
  <c r="DA87" i="1"/>
  <c r="DA88" i="1"/>
  <c r="DA89" i="1"/>
  <c r="DA90" i="1"/>
  <c r="DA91" i="1"/>
  <c r="DA92" i="1"/>
  <c r="DA93" i="1"/>
  <c r="DA94" i="1"/>
  <c r="DA95" i="1"/>
  <c r="DA96" i="1"/>
  <c r="DA97" i="1"/>
  <c r="DA98" i="1"/>
  <c r="DA99" i="1"/>
  <c r="DA100" i="1"/>
  <c r="DA101" i="1"/>
  <c r="DA102" i="1"/>
  <c r="DA103" i="1"/>
  <c r="DA104" i="1"/>
  <c r="DA105" i="1"/>
  <c r="DA106" i="1"/>
  <c r="DA107" i="1"/>
  <c r="DA108" i="1"/>
  <c r="DA109" i="1"/>
  <c r="DA110" i="1"/>
  <c r="DA111" i="1"/>
  <c r="DA112" i="1"/>
  <c r="DA113" i="1"/>
  <c r="DA114" i="1"/>
  <c r="DA115" i="1"/>
  <c r="DA116" i="1"/>
  <c r="DA117" i="1"/>
  <c r="DA118" i="1"/>
  <c r="DA119" i="1"/>
  <c r="DA120" i="1"/>
  <c r="DA121" i="1"/>
  <c r="DA122" i="1"/>
  <c r="DA123" i="1"/>
  <c r="DA124" i="1"/>
  <c r="DA125" i="1"/>
  <c r="DA126" i="1"/>
  <c r="DA127" i="1"/>
  <c r="DA128" i="1"/>
  <c r="DA129" i="1"/>
  <c r="DA130" i="1"/>
  <c r="DA131" i="1"/>
  <c r="DA133" i="1"/>
  <c r="DA134" i="1"/>
  <c r="DA135" i="1"/>
  <c r="DA136" i="1"/>
  <c r="DA137" i="1"/>
  <c r="DA138" i="1"/>
  <c r="DA139" i="1"/>
  <c r="DA140" i="1"/>
  <c r="DA141" i="1"/>
  <c r="DA142" i="1"/>
  <c r="DA143" i="1"/>
  <c r="DA144" i="1"/>
  <c r="DA145" i="1"/>
  <c r="DA146" i="1"/>
  <c r="DA147" i="1"/>
  <c r="DA148" i="1"/>
  <c r="DA149" i="1"/>
  <c r="DA150" i="1"/>
  <c r="DA151" i="1"/>
  <c r="DA152" i="1"/>
  <c r="DA153" i="1"/>
  <c r="DA154" i="1"/>
  <c r="DA155" i="1"/>
  <c r="DA156" i="1"/>
  <c r="DA157" i="1"/>
  <c r="DA158" i="1"/>
  <c r="DA159" i="1"/>
  <c r="DA160" i="1"/>
  <c r="DA161" i="1"/>
  <c r="DA162" i="1"/>
  <c r="DA163" i="1"/>
  <c r="DA164" i="1"/>
  <c r="DA165" i="1"/>
  <c r="DA166" i="1"/>
  <c r="DA167" i="1"/>
  <c r="DA168" i="1"/>
  <c r="DA169" i="1"/>
  <c r="DA170" i="1"/>
  <c r="DA171" i="1"/>
  <c r="DA172" i="1"/>
  <c r="DA173" i="1"/>
  <c r="DA174" i="1"/>
  <c r="DA175" i="1"/>
  <c r="DA176" i="1"/>
  <c r="DA177" i="1"/>
  <c r="DA178" i="1"/>
  <c r="DA179" i="1"/>
  <c r="DA180" i="1"/>
  <c r="DA181" i="1"/>
  <c r="DA182" i="1"/>
  <c r="DA183" i="1"/>
  <c r="DA184" i="1"/>
  <c r="DA185" i="1"/>
  <c r="DA186" i="1"/>
  <c r="DA187" i="1"/>
  <c r="DA188" i="1"/>
  <c r="DA189" i="1"/>
  <c r="DA190" i="1"/>
  <c r="DA191" i="1"/>
  <c r="DA192" i="1"/>
  <c r="DA193" i="1"/>
  <c r="DA194" i="1"/>
  <c r="DA195" i="1"/>
  <c r="DA196" i="1"/>
  <c r="DA197" i="1"/>
  <c r="DA198" i="1"/>
  <c r="DA199" i="1"/>
  <c r="DA200" i="1"/>
  <c r="DA201" i="1"/>
  <c r="DA202" i="1"/>
  <c r="DA203" i="1"/>
  <c r="DA204" i="1"/>
  <c r="DA205" i="1"/>
  <c r="DA206" i="1"/>
  <c r="DA207" i="1"/>
  <c r="DA208" i="1"/>
  <c r="DA209" i="1"/>
  <c r="DA210" i="1"/>
  <c r="DA211" i="1"/>
  <c r="DA212" i="1"/>
  <c r="DA213" i="1"/>
  <c r="DA214" i="1"/>
  <c r="DA215" i="1"/>
  <c r="DA216" i="1"/>
  <c r="DA217" i="1"/>
  <c r="DA218" i="1"/>
  <c r="DA219" i="1"/>
  <c r="DA220" i="1"/>
  <c r="DA221" i="1"/>
  <c r="DA222" i="1"/>
  <c r="DA223" i="1"/>
  <c r="DA224" i="1"/>
  <c r="DA225" i="1"/>
  <c r="DA226" i="1"/>
  <c r="DA227" i="1"/>
  <c r="DA228" i="1"/>
  <c r="DA229" i="1"/>
  <c r="DA230" i="1"/>
  <c r="DA231" i="1"/>
  <c r="DA232" i="1"/>
  <c r="DA233" i="1"/>
  <c r="DA234" i="1"/>
  <c r="DA235" i="1"/>
  <c r="DA236" i="1"/>
  <c r="DA237" i="1"/>
  <c r="DA238" i="1"/>
  <c r="DA239" i="1"/>
  <c r="DA240" i="1"/>
  <c r="DA241" i="1"/>
  <c r="DA242" i="1"/>
  <c r="DA243" i="1"/>
  <c r="DA244" i="1"/>
  <c r="DA245" i="1"/>
  <c r="DA246" i="1"/>
  <c r="DA247" i="1"/>
  <c r="DA248" i="1"/>
  <c r="DA249" i="1"/>
  <c r="DA250" i="1"/>
  <c r="DA251" i="1"/>
  <c r="DA252" i="1"/>
  <c r="DA253" i="1"/>
  <c r="DA254" i="1"/>
  <c r="DA255" i="1"/>
  <c r="DA256" i="1"/>
  <c r="DA257" i="1"/>
  <c r="DA258" i="1"/>
  <c r="DA259" i="1"/>
  <c r="DA260" i="1"/>
  <c r="DA262" i="1"/>
  <c r="DA263" i="1"/>
  <c r="DA264" i="1"/>
  <c r="DA265" i="1"/>
  <c r="DA266" i="1"/>
  <c r="DA267" i="1"/>
  <c r="DA268" i="1"/>
  <c r="DA269" i="1"/>
  <c r="DA270" i="1"/>
  <c r="DA271" i="1"/>
  <c r="DA272" i="1"/>
  <c r="DA273" i="1"/>
  <c r="DA274" i="1"/>
  <c r="DA275" i="1"/>
  <c r="DA276" i="1"/>
  <c r="DA277" i="1"/>
  <c r="DA278" i="1"/>
  <c r="DA279" i="1"/>
  <c r="DA280" i="1"/>
  <c r="DA281" i="1"/>
  <c r="DA282" i="1"/>
  <c r="DA283" i="1"/>
  <c r="DA284" i="1"/>
  <c r="DA285" i="1"/>
  <c r="DA286" i="1"/>
  <c r="DA287" i="1"/>
  <c r="DA288" i="1"/>
  <c r="DA289" i="1"/>
  <c r="DA290" i="1"/>
  <c r="DA291" i="1"/>
  <c r="DA292" i="1"/>
  <c r="DA293" i="1"/>
  <c r="DA294" i="1"/>
  <c r="DA295" i="1"/>
  <c r="DA296" i="1"/>
  <c r="DA297" i="1"/>
  <c r="DA298" i="1"/>
  <c r="DA299" i="1"/>
  <c r="DA300" i="1"/>
  <c r="DA301" i="1"/>
  <c r="DA302" i="1"/>
  <c r="DA2" i="1"/>
  <c r="CZ3" i="1"/>
  <c r="CZ4" i="1"/>
  <c r="CZ5" i="1"/>
  <c r="CZ6" i="1"/>
  <c r="CZ7" i="1"/>
  <c r="CZ8" i="1"/>
  <c r="CZ9" i="1"/>
  <c r="CZ10" i="1"/>
  <c r="CZ11" i="1"/>
  <c r="CZ12" i="1"/>
  <c r="CZ13" i="1"/>
  <c r="CZ14" i="1"/>
  <c r="CZ15" i="1"/>
  <c r="CZ16" i="1"/>
  <c r="CZ17" i="1"/>
  <c r="CZ18" i="1"/>
  <c r="CZ19" i="1"/>
  <c r="CZ20" i="1"/>
  <c r="CZ21" i="1"/>
  <c r="CZ22" i="1"/>
  <c r="CZ23" i="1"/>
  <c r="CZ24" i="1"/>
  <c r="CZ25" i="1"/>
  <c r="CZ26" i="1"/>
  <c r="CZ27" i="1"/>
  <c r="CZ28" i="1"/>
  <c r="CZ29" i="1"/>
  <c r="CZ30" i="1"/>
  <c r="CZ31" i="1"/>
  <c r="CZ32" i="1"/>
  <c r="CZ33" i="1"/>
  <c r="CZ34" i="1"/>
  <c r="CZ35" i="1"/>
  <c r="CZ36" i="1"/>
  <c r="CZ37" i="1"/>
  <c r="CZ38" i="1"/>
  <c r="CZ39" i="1"/>
  <c r="CZ40" i="1"/>
  <c r="CZ41" i="1"/>
  <c r="CZ42" i="1"/>
  <c r="CZ43" i="1"/>
  <c r="CZ44" i="1"/>
  <c r="CZ45" i="1"/>
  <c r="CZ46" i="1"/>
  <c r="CZ47" i="1"/>
  <c r="CZ48" i="1"/>
  <c r="CZ49" i="1"/>
  <c r="CZ50" i="1"/>
  <c r="CZ51" i="1"/>
  <c r="CZ52" i="1"/>
  <c r="CZ53" i="1"/>
  <c r="CZ54" i="1"/>
  <c r="CZ55" i="1"/>
  <c r="CZ56" i="1"/>
  <c r="CZ57" i="1"/>
  <c r="CZ58" i="1"/>
  <c r="CZ59" i="1"/>
  <c r="CZ60" i="1"/>
  <c r="CZ61" i="1"/>
  <c r="CZ62" i="1"/>
  <c r="CZ63" i="1"/>
  <c r="CZ64" i="1"/>
  <c r="CZ65" i="1"/>
  <c r="CZ66" i="1"/>
  <c r="CZ67" i="1"/>
  <c r="CZ68" i="1"/>
  <c r="CZ69" i="1"/>
  <c r="CZ70" i="1"/>
  <c r="CZ71" i="1"/>
  <c r="CZ72" i="1"/>
  <c r="CZ73" i="1"/>
  <c r="CZ74" i="1"/>
  <c r="CZ75" i="1"/>
  <c r="CZ76" i="1"/>
  <c r="CZ77" i="1"/>
  <c r="CZ78" i="1"/>
  <c r="CZ79" i="1"/>
  <c r="CZ80" i="1"/>
  <c r="CZ81" i="1"/>
  <c r="CZ82" i="1"/>
  <c r="CZ83" i="1"/>
  <c r="CZ84" i="1"/>
  <c r="CZ85" i="1"/>
  <c r="CZ86" i="1"/>
  <c r="CZ87" i="1"/>
  <c r="CZ88" i="1"/>
  <c r="CZ89" i="1"/>
  <c r="CZ90" i="1"/>
  <c r="CZ91" i="1"/>
  <c r="CZ92" i="1"/>
  <c r="CZ93" i="1"/>
  <c r="CZ94" i="1"/>
  <c r="CZ95" i="1"/>
  <c r="CZ96" i="1"/>
  <c r="CZ97" i="1"/>
  <c r="CZ98" i="1"/>
  <c r="CZ99" i="1"/>
  <c r="CZ100" i="1"/>
  <c r="CZ101" i="1"/>
  <c r="CZ102" i="1"/>
  <c r="CZ103" i="1"/>
  <c r="CZ104" i="1"/>
  <c r="CZ105" i="1"/>
  <c r="CZ106" i="1"/>
  <c r="CZ107" i="1"/>
  <c r="CZ108" i="1"/>
  <c r="CZ109" i="1"/>
  <c r="CZ110" i="1"/>
  <c r="CZ111" i="1"/>
  <c r="CZ112" i="1"/>
  <c r="CZ113" i="1"/>
  <c r="CZ114" i="1"/>
  <c r="CZ115" i="1"/>
  <c r="CZ116" i="1"/>
  <c r="CZ117" i="1"/>
  <c r="CZ118" i="1"/>
  <c r="CZ119" i="1"/>
  <c r="CZ120" i="1"/>
  <c r="CZ121" i="1"/>
  <c r="CZ122" i="1"/>
  <c r="CZ123" i="1"/>
  <c r="CZ124" i="1"/>
  <c r="CZ125" i="1"/>
  <c r="CZ126" i="1"/>
  <c r="CZ127" i="1"/>
  <c r="CZ128" i="1"/>
  <c r="CZ129" i="1"/>
  <c r="CZ130" i="1"/>
  <c r="CZ131" i="1"/>
  <c r="CZ133" i="1"/>
  <c r="CZ134" i="1"/>
  <c r="CZ135" i="1"/>
  <c r="CZ136" i="1"/>
  <c r="CZ137" i="1"/>
  <c r="CZ138" i="1"/>
  <c r="CZ139" i="1"/>
  <c r="CZ140" i="1"/>
  <c r="CZ141" i="1"/>
  <c r="CZ142" i="1"/>
  <c r="CZ143" i="1"/>
  <c r="CZ144" i="1"/>
  <c r="CZ145" i="1"/>
  <c r="CZ146" i="1"/>
  <c r="CZ147" i="1"/>
  <c r="CZ148" i="1"/>
  <c r="CZ149" i="1"/>
  <c r="CZ150" i="1"/>
  <c r="CZ151" i="1"/>
  <c r="CZ152" i="1"/>
  <c r="CZ153" i="1"/>
  <c r="CZ154" i="1"/>
  <c r="CZ155" i="1"/>
  <c r="CZ156" i="1"/>
  <c r="CZ157" i="1"/>
  <c r="CZ158" i="1"/>
  <c r="CZ159" i="1"/>
  <c r="CZ160" i="1"/>
  <c r="CZ161" i="1"/>
  <c r="CZ162" i="1"/>
  <c r="CZ163" i="1"/>
  <c r="CZ164" i="1"/>
  <c r="CZ165" i="1"/>
  <c r="CZ166" i="1"/>
  <c r="CZ167" i="1"/>
  <c r="CZ168" i="1"/>
  <c r="CZ169" i="1"/>
  <c r="CZ170" i="1"/>
  <c r="CZ171" i="1"/>
  <c r="CZ172" i="1"/>
  <c r="CZ173" i="1"/>
  <c r="CZ174" i="1"/>
  <c r="CZ175" i="1"/>
  <c r="CZ176" i="1"/>
  <c r="CZ177" i="1"/>
  <c r="CZ178" i="1"/>
  <c r="CZ179" i="1"/>
  <c r="CZ180" i="1"/>
  <c r="CZ181" i="1"/>
  <c r="CZ182" i="1"/>
  <c r="CZ183" i="1"/>
  <c r="CZ184" i="1"/>
  <c r="CZ185" i="1"/>
  <c r="CZ186" i="1"/>
  <c r="CZ187" i="1"/>
  <c r="CZ188" i="1"/>
  <c r="CZ189" i="1"/>
  <c r="CZ190" i="1"/>
  <c r="CZ191" i="1"/>
  <c r="CZ192" i="1"/>
  <c r="CZ193" i="1"/>
  <c r="CZ194" i="1"/>
  <c r="CZ195" i="1"/>
  <c r="CZ196" i="1"/>
  <c r="CZ197" i="1"/>
  <c r="CZ198" i="1"/>
  <c r="CZ199" i="1"/>
  <c r="CZ200" i="1"/>
  <c r="CZ201" i="1"/>
  <c r="CZ202" i="1"/>
  <c r="CZ203" i="1"/>
  <c r="CZ204" i="1"/>
  <c r="CZ205" i="1"/>
  <c r="CZ206" i="1"/>
  <c r="CZ207" i="1"/>
  <c r="CZ208" i="1"/>
  <c r="CZ209" i="1"/>
  <c r="CZ210" i="1"/>
  <c r="CZ211" i="1"/>
  <c r="CZ212" i="1"/>
  <c r="CZ213" i="1"/>
  <c r="CZ214" i="1"/>
  <c r="CZ215" i="1"/>
  <c r="CZ216" i="1"/>
  <c r="CZ217" i="1"/>
  <c r="CZ218" i="1"/>
  <c r="CZ219" i="1"/>
  <c r="CZ220" i="1"/>
  <c r="CZ221" i="1"/>
  <c r="CZ222" i="1"/>
  <c r="CZ223" i="1"/>
  <c r="CZ224" i="1"/>
  <c r="CZ225" i="1"/>
  <c r="CZ226" i="1"/>
  <c r="CZ227" i="1"/>
  <c r="CZ228" i="1"/>
  <c r="CZ229" i="1"/>
  <c r="CZ230" i="1"/>
  <c r="CZ231" i="1"/>
  <c r="CZ232" i="1"/>
  <c r="CZ233" i="1"/>
  <c r="CZ234" i="1"/>
  <c r="CZ235" i="1"/>
  <c r="CZ236" i="1"/>
  <c r="CZ237" i="1"/>
  <c r="CZ238" i="1"/>
  <c r="CZ239" i="1"/>
  <c r="CZ240" i="1"/>
  <c r="CZ241" i="1"/>
  <c r="CZ242" i="1"/>
  <c r="CZ243" i="1"/>
  <c r="CZ244" i="1"/>
  <c r="CZ245" i="1"/>
  <c r="CZ246" i="1"/>
  <c r="CZ247" i="1"/>
  <c r="CZ248" i="1"/>
  <c r="CZ249" i="1"/>
  <c r="CZ250" i="1"/>
  <c r="CZ251" i="1"/>
  <c r="CZ252" i="1"/>
  <c r="CZ253" i="1"/>
  <c r="CZ254" i="1"/>
  <c r="CZ255" i="1"/>
  <c r="CZ256" i="1"/>
  <c r="CZ257" i="1"/>
  <c r="CZ258" i="1"/>
  <c r="CZ259" i="1"/>
  <c r="CZ260" i="1"/>
  <c r="CZ262" i="1"/>
  <c r="CZ263" i="1"/>
  <c r="CZ264" i="1"/>
  <c r="CZ265" i="1"/>
  <c r="CZ266" i="1"/>
  <c r="CZ267" i="1"/>
  <c r="CZ268" i="1"/>
  <c r="CZ269" i="1"/>
  <c r="CZ270" i="1"/>
  <c r="CZ271" i="1"/>
  <c r="CZ272" i="1"/>
  <c r="CZ273" i="1"/>
  <c r="CZ274" i="1"/>
  <c r="CZ275" i="1"/>
  <c r="CZ276" i="1"/>
  <c r="CZ277" i="1"/>
  <c r="CZ278" i="1"/>
  <c r="CZ279" i="1"/>
  <c r="CZ280" i="1"/>
  <c r="CZ281" i="1"/>
  <c r="CZ282" i="1"/>
  <c r="CZ283" i="1"/>
  <c r="CZ284" i="1"/>
  <c r="CZ285" i="1"/>
  <c r="CZ286" i="1"/>
  <c r="CZ287" i="1"/>
  <c r="CZ288" i="1"/>
  <c r="CZ289" i="1"/>
  <c r="CZ290" i="1"/>
  <c r="CZ291" i="1"/>
  <c r="CZ292" i="1"/>
  <c r="CZ293" i="1"/>
  <c r="CZ294" i="1"/>
  <c r="CZ295" i="1"/>
  <c r="CZ296" i="1"/>
  <c r="CZ297" i="1"/>
  <c r="CZ298" i="1"/>
  <c r="CZ299" i="1"/>
  <c r="CZ300" i="1"/>
  <c r="CZ301" i="1"/>
  <c r="CZ302" i="1"/>
  <c r="CZ2" i="1"/>
  <c r="CW3" i="1"/>
  <c r="CX3" i="1" s="1"/>
  <c r="CW4" i="1"/>
  <c r="CX4" i="1" s="1"/>
  <c r="CW5" i="1"/>
  <c r="CY5" i="1" s="1"/>
  <c r="CW6" i="1"/>
  <c r="CX6" i="1" s="1"/>
  <c r="CW7" i="1"/>
  <c r="CY7" i="1" s="1"/>
  <c r="CW8" i="1"/>
  <c r="CY8" i="1" s="1"/>
  <c r="CW9" i="1"/>
  <c r="CY9" i="1" s="1"/>
  <c r="CW10" i="1"/>
  <c r="CW11" i="1"/>
  <c r="CX11" i="1" s="1"/>
  <c r="CW12" i="1"/>
  <c r="CY12" i="1" s="1"/>
  <c r="CW13" i="1"/>
  <c r="CY13" i="1" s="1"/>
  <c r="CW14" i="1"/>
  <c r="CX14" i="1" s="1"/>
  <c r="CW15" i="1"/>
  <c r="CX15" i="1" s="1"/>
  <c r="CW16" i="1"/>
  <c r="CY16" i="1" s="1"/>
  <c r="CW17" i="1"/>
  <c r="CY17" i="1" s="1"/>
  <c r="CW18" i="1"/>
  <c r="CW19" i="1"/>
  <c r="CW20" i="1"/>
  <c r="CW21" i="1"/>
  <c r="CY21" i="1" s="1"/>
  <c r="CW22" i="1"/>
  <c r="CW23" i="1"/>
  <c r="CY23" i="1" s="1"/>
  <c r="CW24" i="1"/>
  <c r="CY24" i="1" s="1"/>
  <c r="CW25" i="1"/>
  <c r="CY25" i="1" s="1"/>
  <c r="CW26" i="1"/>
  <c r="CW27" i="1"/>
  <c r="CW28" i="1"/>
  <c r="CX28" i="1" s="1"/>
  <c r="CW29" i="1"/>
  <c r="CX29" i="1" s="1"/>
  <c r="CW30" i="1"/>
  <c r="CY30" i="1" s="1"/>
  <c r="CW31" i="1"/>
  <c r="CY31" i="1" s="1"/>
  <c r="CW32" i="1"/>
  <c r="CX32" i="1" s="1"/>
  <c r="CW33" i="1"/>
  <c r="CY33" i="1" s="1"/>
  <c r="CW34" i="1"/>
  <c r="CW35" i="1"/>
  <c r="CY35" i="1" s="1"/>
  <c r="CW36" i="1"/>
  <c r="CY36" i="1" s="1"/>
  <c r="CW37" i="1"/>
  <c r="CX37" i="1" s="1"/>
  <c r="CW38" i="1"/>
  <c r="CX38" i="1" s="1"/>
  <c r="CW39" i="1"/>
  <c r="CX39" i="1" s="1"/>
  <c r="CW40" i="1"/>
  <c r="CY40" i="1" s="1"/>
  <c r="CW41" i="1"/>
  <c r="CY41" i="1" s="1"/>
  <c r="CW42" i="1"/>
  <c r="CW43" i="1"/>
  <c r="CY43" i="1" s="1"/>
  <c r="CW44" i="1"/>
  <c r="CY44" i="1" s="1"/>
  <c r="CW45" i="1"/>
  <c r="CY45" i="1" s="1"/>
  <c r="CW46" i="1"/>
  <c r="CY46" i="1" s="1"/>
  <c r="CW47" i="1"/>
  <c r="CX47" i="1" s="1"/>
  <c r="CW48" i="1"/>
  <c r="CY48" i="1" s="1"/>
  <c r="CW49" i="1"/>
  <c r="CY49" i="1" s="1"/>
  <c r="CW50" i="1"/>
  <c r="CW51" i="1"/>
  <c r="CX51" i="1" s="1"/>
  <c r="CW52" i="1"/>
  <c r="CX52" i="1" s="1"/>
  <c r="CW53" i="1"/>
  <c r="CX53" i="1" s="1"/>
  <c r="CW54" i="1"/>
  <c r="CW55" i="1"/>
  <c r="CX55" i="1" s="1"/>
  <c r="CW56" i="1"/>
  <c r="CX56" i="1" s="1"/>
  <c r="CW57" i="1"/>
  <c r="CX57" i="1" s="1"/>
  <c r="CW58" i="1"/>
  <c r="CW59" i="1"/>
  <c r="CX59" i="1" s="1"/>
  <c r="CW60" i="1"/>
  <c r="CX60" i="1" s="1"/>
  <c r="CW61" i="1"/>
  <c r="CX61" i="1" s="1"/>
  <c r="CW62" i="1"/>
  <c r="CX62" i="1" s="1"/>
  <c r="CW63" i="1"/>
  <c r="CX63" i="1" s="1"/>
  <c r="CW64" i="1"/>
  <c r="CX64" i="1" s="1"/>
  <c r="CW65" i="1"/>
  <c r="CX65" i="1" s="1"/>
  <c r="CW66" i="1"/>
  <c r="CW67" i="1"/>
  <c r="CX67" i="1" s="1"/>
  <c r="CW68" i="1"/>
  <c r="CX68" i="1" s="1"/>
  <c r="CW69" i="1"/>
  <c r="CX69" i="1" s="1"/>
  <c r="CW70" i="1"/>
  <c r="CX70" i="1" s="1"/>
  <c r="CW71" i="1"/>
  <c r="CX71" i="1" s="1"/>
  <c r="CW72" i="1"/>
  <c r="CY72" i="1" s="1"/>
  <c r="CW73" i="1"/>
  <c r="CY73" i="1" s="1"/>
  <c r="CW74" i="1"/>
  <c r="CW75" i="1"/>
  <c r="CX75" i="1" s="1"/>
  <c r="CW76" i="1"/>
  <c r="CX76" i="1" s="1"/>
  <c r="CW77" i="1"/>
  <c r="CY77" i="1" s="1"/>
  <c r="CW78" i="1"/>
  <c r="CY78" i="1" s="1"/>
  <c r="CW79" i="1"/>
  <c r="CY79" i="1" s="1"/>
  <c r="CW80" i="1"/>
  <c r="CX80" i="1" s="1"/>
  <c r="CW81" i="1"/>
  <c r="CX81" i="1" s="1"/>
  <c r="CW82" i="1"/>
  <c r="CW83" i="1"/>
  <c r="CY83" i="1" s="1"/>
  <c r="CW84" i="1"/>
  <c r="CW85" i="1"/>
  <c r="CW86" i="1"/>
  <c r="CW87" i="1"/>
  <c r="CY87" i="1" s="1"/>
  <c r="CW88" i="1"/>
  <c r="CW89" i="1"/>
  <c r="CW90" i="1"/>
  <c r="CW91" i="1"/>
  <c r="CW92" i="1"/>
  <c r="CY92" i="1" s="1"/>
  <c r="CW93" i="1"/>
  <c r="CX93" i="1" s="1"/>
  <c r="CW94" i="1"/>
  <c r="CY94" i="1" s="1"/>
  <c r="CW95" i="1"/>
  <c r="CY95" i="1" s="1"/>
  <c r="CW96" i="1"/>
  <c r="CY96" i="1" s="1"/>
  <c r="CW97" i="1"/>
  <c r="CY97" i="1" s="1"/>
  <c r="CW98" i="1"/>
  <c r="CW99" i="1"/>
  <c r="CY99" i="1" s="1"/>
  <c r="CW100" i="1"/>
  <c r="CY100" i="1" s="1"/>
  <c r="CW101" i="1"/>
  <c r="CX101" i="1" s="1"/>
  <c r="CW102" i="1"/>
  <c r="CX102" i="1" s="1"/>
  <c r="CW103" i="1"/>
  <c r="CY103" i="1" s="1"/>
  <c r="CW104" i="1"/>
  <c r="CY104" i="1" s="1"/>
  <c r="CW105" i="1"/>
  <c r="CY105" i="1" s="1"/>
  <c r="CW106" i="1"/>
  <c r="CW107" i="1"/>
  <c r="CY107" i="1" s="1"/>
  <c r="CW108" i="1"/>
  <c r="CY108" i="1" s="1"/>
  <c r="CW109" i="1"/>
  <c r="CY109" i="1" s="1"/>
  <c r="CW110" i="1"/>
  <c r="CY110" i="1" s="1"/>
  <c r="CW111" i="1"/>
  <c r="CX111" i="1" s="1"/>
  <c r="CW112" i="1"/>
  <c r="CW113" i="1"/>
  <c r="CX113" i="1" s="1"/>
  <c r="CW114" i="1"/>
  <c r="CW115" i="1"/>
  <c r="CY115" i="1" s="1"/>
  <c r="CW116" i="1"/>
  <c r="CY116" i="1" s="1"/>
  <c r="CW117" i="1"/>
  <c r="CY117" i="1" s="1"/>
  <c r="CW118" i="1"/>
  <c r="CY118" i="1" s="1"/>
  <c r="CW119" i="1"/>
  <c r="CY119" i="1" s="1"/>
  <c r="CW120" i="1"/>
  <c r="CX120" i="1" s="1"/>
  <c r="CW121" i="1"/>
  <c r="CX121" i="1" s="1"/>
  <c r="CW122" i="1"/>
  <c r="CW123" i="1"/>
  <c r="CX123" i="1" s="1"/>
  <c r="CW124" i="1"/>
  <c r="CX124" i="1" s="1"/>
  <c r="CW125" i="1"/>
  <c r="CX125" i="1" s="1"/>
  <c r="CW126" i="1"/>
  <c r="CX126" i="1" s="1"/>
  <c r="CW127" i="1"/>
  <c r="CY127" i="1" s="1"/>
  <c r="CW128" i="1"/>
  <c r="CY128" i="1" s="1"/>
  <c r="CW129" i="1"/>
  <c r="CX129" i="1" s="1"/>
  <c r="CW130" i="1"/>
  <c r="CW131" i="1"/>
  <c r="CX131" i="1" s="1"/>
  <c r="CW133" i="1"/>
  <c r="CX133" i="1" s="1"/>
  <c r="CW134" i="1"/>
  <c r="CX134" i="1" s="1"/>
  <c r="CW135" i="1"/>
  <c r="CX135" i="1" s="1"/>
  <c r="CW136" i="1"/>
  <c r="CY136" i="1" s="1"/>
  <c r="CW137" i="1"/>
  <c r="CW138" i="1"/>
  <c r="CY138" i="1" s="1"/>
  <c r="CW139" i="1"/>
  <c r="CW140" i="1"/>
  <c r="CX140" i="1" s="1"/>
  <c r="CW141" i="1"/>
  <c r="CX141" i="1" s="1"/>
  <c r="CW142" i="1"/>
  <c r="CX142" i="1" s="1"/>
  <c r="CW143" i="1"/>
  <c r="CY143" i="1" s="1"/>
  <c r="CW144" i="1"/>
  <c r="CY144" i="1" s="1"/>
  <c r="CW145" i="1"/>
  <c r="CY145" i="1" s="1"/>
  <c r="CW146" i="1"/>
  <c r="CX146" i="1" s="1"/>
  <c r="CW147" i="1"/>
  <c r="CW148" i="1"/>
  <c r="CY148" i="1" s="1"/>
  <c r="CW149" i="1"/>
  <c r="CW150" i="1"/>
  <c r="CY150" i="1" s="1"/>
  <c r="CW151" i="1"/>
  <c r="CY151" i="1" s="1"/>
  <c r="CW152" i="1"/>
  <c r="CY152" i="1" s="1"/>
  <c r="CW153" i="1"/>
  <c r="CY153" i="1" s="1"/>
  <c r="CW154" i="1"/>
  <c r="CY154" i="1" s="1"/>
  <c r="CW155" i="1"/>
  <c r="CW156" i="1"/>
  <c r="CW157" i="1"/>
  <c r="CX157" i="1" s="1"/>
  <c r="CW158" i="1"/>
  <c r="CX158" i="1" s="1"/>
  <c r="CW159" i="1"/>
  <c r="CW160" i="1"/>
  <c r="CX160" i="1" s="1"/>
  <c r="CW161" i="1"/>
  <c r="CY161" i="1" s="1"/>
  <c r="CW162" i="1"/>
  <c r="CY162" i="1" s="1"/>
  <c r="CW163" i="1"/>
  <c r="CW164" i="1"/>
  <c r="CW165" i="1"/>
  <c r="CW166" i="1"/>
  <c r="CY166" i="1" s="1"/>
  <c r="CW167" i="1"/>
  <c r="CW168" i="1"/>
  <c r="CY168" i="1" s="1"/>
  <c r="CW169" i="1"/>
  <c r="DB169" i="1" s="1"/>
  <c r="CW170" i="1"/>
  <c r="CY170" i="1" s="1"/>
  <c r="CW171" i="1"/>
  <c r="CW172" i="1"/>
  <c r="CY172" i="1" s="1"/>
  <c r="CW173" i="1"/>
  <c r="CY173" i="1" s="1"/>
  <c r="CW174" i="1"/>
  <c r="CY174" i="1" s="1"/>
  <c r="CW175" i="1"/>
  <c r="CX175" i="1" s="1"/>
  <c r="CW176" i="1"/>
  <c r="CX176" i="1" s="1"/>
  <c r="CW177" i="1"/>
  <c r="CY177" i="1" s="1"/>
  <c r="CW178" i="1"/>
  <c r="CY178" i="1" s="1"/>
  <c r="CW179" i="1"/>
  <c r="CW180" i="1"/>
  <c r="CY180" i="1" s="1"/>
  <c r="CW181" i="1"/>
  <c r="CY181" i="1" s="1"/>
  <c r="CW182" i="1"/>
  <c r="CY182" i="1" s="1"/>
  <c r="CW183" i="1"/>
  <c r="CY183" i="1" s="1"/>
  <c r="CW184" i="1"/>
  <c r="CX184" i="1" s="1"/>
  <c r="CW185" i="1"/>
  <c r="CW186" i="1"/>
  <c r="CY186" i="1" s="1"/>
  <c r="CW187" i="1"/>
  <c r="CW188" i="1"/>
  <c r="CX188" i="1" s="1"/>
  <c r="CW189" i="1"/>
  <c r="CX189" i="1" s="1"/>
  <c r="CW190" i="1"/>
  <c r="CX190" i="1" s="1"/>
  <c r="CW191" i="1"/>
  <c r="CX191" i="1" s="1"/>
  <c r="CW192" i="1"/>
  <c r="CX192" i="1" s="1"/>
  <c r="CW193" i="1"/>
  <c r="CX193" i="1" s="1"/>
  <c r="CW194" i="1"/>
  <c r="CX194" i="1" s="1"/>
  <c r="CW195" i="1"/>
  <c r="CW196" i="1"/>
  <c r="CX196" i="1" s="1"/>
  <c r="CW197" i="1"/>
  <c r="CX197" i="1" s="1"/>
  <c r="CW198" i="1"/>
  <c r="CX198" i="1" s="1"/>
  <c r="CW199" i="1"/>
  <c r="CX199" i="1" s="1"/>
  <c r="CW200" i="1"/>
  <c r="CY200" i="1" s="1"/>
  <c r="CW201" i="1"/>
  <c r="CW202" i="1"/>
  <c r="CX202" i="1" s="1"/>
  <c r="CW203" i="1"/>
  <c r="CW204" i="1"/>
  <c r="CX204" i="1" s="1"/>
  <c r="CW205" i="1"/>
  <c r="CX205" i="1" s="1"/>
  <c r="CW206" i="1"/>
  <c r="CX206" i="1" s="1"/>
  <c r="CW207" i="1"/>
  <c r="CX207" i="1" s="1"/>
  <c r="CW208" i="1"/>
  <c r="CY208" i="1" s="1"/>
  <c r="CW209" i="1"/>
  <c r="CX209" i="1" s="1"/>
  <c r="CW210" i="1"/>
  <c r="CX210" i="1" s="1"/>
  <c r="CW211" i="1"/>
  <c r="CW212" i="1"/>
  <c r="CY212" i="1" s="1"/>
  <c r="CW213" i="1"/>
  <c r="CW214" i="1"/>
  <c r="CY214" i="1" s="1"/>
  <c r="CW215" i="1"/>
  <c r="CY215" i="1" s="1"/>
  <c r="CW216" i="1"/>
  <c r="CX216" i="1" s="1"/>
  <c r="CW217" i="1"/>
  <c r="CW218" i="1"/>
  <c r="CY218" i="1" s="1"/>
  <c r="CW219" i="1"/>
  <c r="CW220" i="1"/>
  <c r="CY220" i="1" s="1"/>
  <c r="CW221" i="1"/>
  <c r="CY221" i="1" s="1"/>
  <c r="CW222" i="1"/>
  <c r="CW223" i="1"/>
  <c r="CW224" i="1"/>
  <c r="CX224" i="1" s="1"/>
  <c r="CW225" i="1"/>
  <c r="CX225" i="1" s="1"/>
  <c r="CW226" i="1"/>
  <c r="CX226" i="1" s="1"/>
  <c r="CW227" i="1"/>
  <c r="CW228" i="1"/>
  <c r="CW229" i="1"/>
  <c r="CY229" i="1" s="1"/>
  <c r="CW230" i="1"/>
  <c r="CX230" i="1" s="1"/>
  <c r="CW231" i="1"/>
  <c r="CW232" i="1"/>
  <c r="CY232" i="1" s="1"/>
  <c r="CW233" i="1"/>
  <c r="CW234" i="1"/>
  <c r="CY234" i="1" s="1"/>
  <c r="CW235" i="1"/>
  <c r="CW236" i="1"/>
  <c r="CY236" i="1" s="1"/>
  <c r="CW237" i="1"/>
  <c r="CW238" i="1"/>
  <c r="CW239" i="1"/>
  <c r="CY239" i="1" s="1"/>
  <c r="CW240" i="1"/>
  <c r="CX240" i="1" s="1"/>
  <c r="CW241" i="1"/>
  <c r="CW242" i="1"/>
  <c r="CY242" i="1" s="1"/>
  <c r="CW243" i="1"/>
  <c r="CW244" i="1"/>
  <c r="CY244" i="1" s="1"/>
  <c r="CW245" i="1"/>
  <c r="CY245" i="1" s="1"/>
  <c r="CW246" i="1"/>
  <c r="CY246" i="1" s="1"/>
  <c r="CW247" i="1"/>
  <c r="CW248" i="1"/>
  <c r="CX248" i="1" s="1"/>
  <c r="CW249" i="1"/>
  <c r="CW250" i="1"/>
  <c r="CY250" i="1" s="1"/>
  <c r="CW251" i="1"/>
  <c r="CW252" i="1"/>
  <c r="CY252" i="1" s="1"/>
  <c r="CW253" i="1"/>
  <c r="CY253" i="1" s="1"/>
  <c r="CW254" i="1"/>
  <c r="CY254" i="1" s="1"/>
  <c r="CW255" i="1"/>
  <c r="CY255" i="1" s="1"/>
  <c r="CW256" i="1"/>
  <c r="CX256" i="1" s="1"/>
  <c r="CW257" i="1"/>
  <c r="CX257" i="1" s="1"/>
  <c r="CW258" i="1"/>
  <c r="CX258" i="1" s="1"/>
  <c r="CW259" i="1"/>
  <c r="CW260" i="1"/>
  <c r="CX260" i="1" s="1"/>
  <c r="CW262" i="1"/>
  <c r="CX262" i="1" s="1"/>
  <c r="CW263" i="1"/>
  <c r="CX263" i="1" s="1"/>
  <c r="CW264" i="1"/>
  <c r="CX264" i="1" s="1"/>
  <c r="CW265" i="1"/>
  <c r="CX265" i="1" s="1"/>
  <c r="CW266" i="1"/>
  <c r="CW267" i="1"/>
  <c r="CX267" i="1" s="1"/>
  <c r="CW268" i="1"/>
  <c r="CW269" i="1"/>
  <c r="CX269" i="1" s="1"/>
  <c r="CW270" i="1"/>
  <c r="CX270" i="1" s="1"/>
  <c r="CW271" i="1"/>
  <c r="CX271" i="1" s="1"/>
  <c r="CW272" i="1"/>
  <c r="CX272" i="1" s="1"/>
  <c r="CW273" i="1"/>
  <c r="CX273" i="1" s="1"/>
  <c r="CW274" i="1"/>
  <c r="CX274" i="1" s="1"/>
  <c r="CW275" i="1"/>
  <c r="CX275" i="1" s="1"/>
  <c r="CW276" i="1"/>
  <c r="CW277" i="1"/>
  <c r="CY277" i="1" s="1"/>
  <c r="CW278" i="1"/>
  <c r="CW279" i="1"/>
  <c r="CY279" i="1" s="1"/>
  <c r="CW280" i="1"/>
  <c r="CW281" i="1"/>
  <c r="CY281" i="1" s="1"/>
  <c r="CW282" i="1"/>
  <c r="CY282" i="1" s="1"/>
  <c r="CW283" i="1"/>
  <c r="CY283" i="1" s="1"/>
  <c r="CW284" i="1"/>
  <c r="CY284" i="1" s="1"/>
  <c r="CW285" i="1"/>
  <c r="CY285" i="1" s="1"/>
  <c r="CW286" i="1"/>
  <c r="CW287" i="1"/>
  <c r="CY287" i="1" s="1"/>
  <c r="CW288" i="1"/>
  <c r="CY288" i="1" s="1"/>
  <c r="CW289" i="1"/>
  <c r="CX289" i="1" s="1"/>
  <c r="CW290" i="1"/>
  <c r="CW291" i="1"/>
  <c r="CY291" i="1" s="1"/>
  <c r="CW292" i="1"/>
  <c r="CY292" i="1" s="1"/>
  <c r="CW293" i="1"/>
  <c r="CY293" i="1" s="1"/>
  <c r="CW294" i="1"/>
  <c r="CW295" i="1"/>
  <c r="CY295" i="1" s="1"/>
  <c r="CW296" i="1"/>
  <c r="CY296" i="1" s="1"/>
  <c r="CW297" i="1"/>
  <c r="CX297" i="1" s="1"/>
  <c r="CW298" i="1"/>
  <c r="CW299" i="1"/>
  <c r="CY299" i="1" s="1"/>
  <c r="CW300" i="1"/>
  <c r="CY300" i="1" s="1"/>
  <c r="CW301" i="1"/>
  <c r="CY301" i="1" s="1"/>
  <c r="CW302" i="1"/>
  <c r="CW2" i="1"/>
  <c r="CX2" i="1" s="1"/>
  <c r="CU4" i="1"/>
  <c r="CU60" i="1"/>
  <c r="CU136" i="1"/>
  <c r="CU145" i="1"/>
  <c r="CU192" i="1"/>
  <c r="CU198" i="1"/>
  <c r="CU202" i="1"/>
  <c r="CU268" i="1"/>
  <c r="CT3" i="1"/>
  <c r="CT4" i="1"/>
  <c r="CT5" i="1"/>
  <c r="CT6" i="1"/>
  <c r="CT7" i="1"/>
  <c r="CT8" i="1"/>
  <c r="CT9" i="1"/>
  <c r="CT10" i="1"/>
  <c r="CT11" i="1"/>
  <c r="CT12" i="1"/>
  <c r="CT13" i="1"/>
  <c r="CT14" i="1"/>
  <c r="CT15" i="1"/>
  <c r="CT16" i="1"/>
  <c r="CT17" i="1"/>
  <c r="CT18" i="1"/>
  <c r="CT19" i="1"/>
  <c r="CT20" i="1"/>
  <c r="CT21" i="1"/>
  <c r="CT22" i="1"/>
  <c r="CT23" i="1"/>
  <c r="CT24" i="1"/>
  <c r="CT25" i="1"/>
  <c r="CT26" i="1"/>
  <c r="CT27" i="1"/>
  <c r="CT28" i="1"/>
  <c r="CT29" i="1"/>
  <c r="CT30" i="1"/>
  <c r="CT31" i="1"/>
  <c r="CT32" i="1"/>
  <c r="CT33" i="1"/>
  <c r="CT34" i="1"/>
  <c r="CT35" i="1"/>
  <c r="CT36" i="1"/>
  <c r="CT37" i="1"/>
  <c r="CT38" i="1"/>
  <c r="CT39" i="1"/>
  <c r="CT40" i="1"/>
  <c r="CT41" i="1"/>
  <c r="CT42" i="1"/>
  <c r="CT43" i="1"/>
  <c r="CT44" i="1"/>
  <c r="CT45" i="1"/>
  <c r="CT46" i="1"/>
  <c r="CT47" i="1"/>
  <c r="CT48" i="1"/>
  <c r="CT49" i="1"/>
  <c r="CT50" i="1"/>
  <c r="CT51" i="1"/>
  <c r="CT52" i="1"/>
  <c r="CT53" i="1"/>
  <c r="CT54" i="1"/>
  <c r="CT55" i="1"/>
  <c r="CT56" i="1"/>
  <c r="CT57" i="1"/>
  <c r="CT58" i="1"/>
  <c r="CT59" i="1"/>
  <c r="CT60" i="1"/>
  <c r="CT61" i="1"/>
  <c r="CT62" i="1"/>
  <c r="CT63" i="1"/>
  <c r="CT64" i="1"/>
  <c r="CT65" i="1"/>
  <c r="CT66" i="1"/>
  <c r="CT67" i="1"/>
  <c r="CT68" i="1"/>
  <c r="CT69" i="1"/>
  <c r="CT70" i="1"/>
  <c r="CT71" i="1"/>
  <c r="CT72" i="1"/>
  <c r="CT73" i="1"/>
  <c r="CT74" i="1"/>
  <c r="CT75" i="1"/>
  <c r="CT76" i="1"/>
  <c r="CT77" i="1"/>
  <c r="CT78" i="1"/>
  <c r="CT79" i="1"/>
  <c r="CT80" i="1"/>
  <c r="CT81" i="1"/>
  <c r="CT82" i="1"/>
  <c r="CT83" i="1"/>
  <c r="CT84" i="1"/>
  <c r="CT85" i="1"/>
  <c r="CT86" i="1"/>
  <c r="CT87" i="1"/>
  <c r="CT88" i="1"/>
  <c r="CT89" i="1"/>
  <c r="CT90" i="1"/>
  <c r="CT91" i="1"/>
  <c r="CT92" i="1"/>
  <c r="CT93" i="1"/>
  <c r="CT94" i="1"/>
  <c r="CT95" i="1"/>
  <c r="CT96" i="1"/>
  <c r="CT97" i="1"/>
  <c r="CT98" i="1"/>
  <c r="CT99" i="1"/>
  <c r="CT100" i="1"/>
  <c r="CT101" i="1"/>
  <c r="CT102" i="1"/>
  <c r="CT103" i="1"/>
  <c r="CT104" i="1"/>
  <c r="CT105" i="1"/>
  <c r="CT106" i="1"/>
  <c r="CT107" i="1"/>
  <c r="CT108" i="1"/>
  <c r="CT109" i="1"/>
  <c r="CT110" i="1"/>
  <c r="CT111" i="1"/>
  <c r="CT112" i="1"/>
  <c r="CT113" i="1"/>
  <c r="CT114" i="1"/>
  <c r="CT115" i="1"/>
  <c r="CT116" i="1"/>
  <c r="CT117" i="1"/>
  <c r="CT118" i="1"/>
  <c r="CT119" i="1"/>
  <c r="CT120" i="1"/>
  <c r="CT121" i="1"/>
  <c r="CT122" i="1"/>
  <c r="CT123" i="1"/>
  <c r="CT124" i="1"/>
  <c r="CT125" i="1"/>
  <c r="CT126" i="1"/>
  <c r="CT127" i="1"/>
  <c r="CT128" i="1"/>
  <c r="CT129" i="1"/>
  <c r="CT130" i="1"/>
  <c r="CT131" i="1"/>
  <c r="CT133" i="1"/>
  <c r="CT134" i="1"/>
  <c r="CT135" i="1"/>
  <c r="CT136" i="1"/>
  <c r="CT137" i="1"/>
  <c r="CT138" i="1"/>
  <c r="CT139" i="1"/>
  <c r="CT140" i="1"/>
  <c r="CT141" i="1"/>
  <c r="CT142" i="1"/>
  <c r="CT143" i="1"/>
  <c r="CT144" i="1"/>
  <c r="CT145" i="1"/>
  <c r="CT146" i="1"/>
  <c r="CT147" i="1"/>
  <c r="CT148" i="1"/>
  <c r="CT149" i="1"/>
  <c r="CT150" i="1"/>
  <c r="CT151" i="1"/>
  <c r="CT152" i="1"/>
  <c r="CT153" i="1"/>
  <c r="CT154" i="1"/>
  <c r="CT155" i="1"/>
  <c r="CT156" i="1"/>
  <c r="CT157" i="1"/>
  <c r="CT158" i="1"/>
  <c r="CT159" i="1"/>
  <c r="CT160" i="1"/>
  <c r="CT161" i="1"/>
  <c r="CT162" i="1"/>
  <c r="CT163" i="1"/>
  <c r="CT164" i="1"/>
  <c r="CT165" i="1"/>
  <c r="CT166" i="1"/>
  <c r="CT167" i="1"/>
  <c r="CT168" i="1"/>
  <c r="CT169" i="1"/>
  <c r="CT170" i="1"/>
  <c r="CT171" i="1"/>
  <c r="CT172" i="1"/>
  <c r="CT173" i="1"/>
  <c r="CT174" i="1"/>
  <c r="CT175" i="1"/>
  <c r="CT176" i="1"/>
  <c r="CT177" i="1"/>
  <c r="CT178" i="1"/>
  <c r="CT179" i="1"/>
  <c r="CT180" i="1"/>
  <c r="CT181" i="1"/>
  <c r="CT182" i="1"/>
  <c r="CT183" i="1"/>
  <c r="CT184" i="1"/>
  <c r="CT185" i="1"/>
  <c r="CT186" i="1"/>
  <c r="CT187" i="1"/>
  <c r="CT188" i="1"/>
  <c r="CT189" i="1"/>
  <c r="CT190" i="1"/>
  <c r="CT191" i="1"/>
  <c r="CT192" i="1"/>
  <c r="CT193" i="1"/>
  <c r="CT194" i="1"/>
  <c r="CT195" i="1"/>
  <c r="CT196" i="1"/>
  <c r="CT197" i="1"/>
  <c r="CT198" i="1"/>
  <c r="CT199" i="1"/>
  <c r="CT200" i="1"/>
  <c r="CT201" i="1"/>
  <c r="CT202" i="1"/>
  <c r="CT203" i="1"/>
  <c r="CT204" i="1"/>
  <c r="CT205" i="1"/>
  <c r="CT206" i="1"/>
  <c r="CT207" i="1"/>
  <c r="CT208" i="1"/>
  <c r="CT209" i="1"/>
  <c r="CT210" i="1"/>
  <c r="CT211" i="1"/>
  <c r="CT212" i="1"/>
  <c r="CT213" i="1"/>
  <c r="CT214" i="1"/>
  <c r="CT215" i="1"/>
  <c r="CT216" i="1"/>
  <c r="CT217" i="1"/>
  <c r="CT218" i="1"/>
  <c r="CT219" i="1"/>
  <c r="CT220" i="1"/>
  <c r="CT221" i="1"/>
  <c r="CT222" i="1"/>
  <c r="CT223" i="1"/>
  <c r="CT224" i="1"/>
  <c r="CT225" i="1"/>
  <c r="CT226" i="1"/>
  <c r="CT227" i="1"/>
  <c r="CT228" i="1"/>
  <c r="CT229" i="1"/>
  <c r="CT230" i="1"/>
  <c r="CT231" i="1"/>
  <c r="CT232" i="1"/>
  <c r="CT233" i="1"/>
  <c r="CT234" i="1"/>
  <c r="CT235" i="1"/>
  <c r="CT236" i="1"/>
  <c r="CT237" i="1"/>
  <c r="CT238" i="1"/>
  <c r="CT239" i="1"/>
  <c r="CT240" i="1"/>
  <c r="CT241" i="1"/>
  <c r="CT242" i="1"/>
  <c r="CT243" i="1"/>
  <c r="CT244" i="1"/>
  <c r="CT245" i="1"/>
  <c r="CT246" i="1"/>
  <c r="CT247" i="1"/>
  <c r="CT248" i="1"/>
  <c r="CT249" i="1"/>
  <c r="CT250" i="1"/>
  <c r="CT251" i="1"/>
  <c r="CT252" i="1"/>
  <c r="CT253" i="1"/>
  <c r="CT254" i="1"/>
  <c r="CT255" i="1"/>
  <c r="CT256" i="1"/>
  <c r="CT257" i="1"/>
  <c r="CT258" i="1"/>
  <c r="CT259" i="1"/>
  <c r="CT260" i="1"/>
  <c r="CT262" i="1"/>
  <c r="CT263" i="1"/>
  <c r="CT264" i="1"/>
  <c r="CT265" i="1"/>
  <c r="CT266" i="1"/>
  <c r="CT267" i="1"/>
  <c r="CT268" i="1"/>
  <c r="CT269" i="1"/>
  <c r="CT270" i="1"/>
  <c r="CT271" i="1"/>
  <c r="CT272" i="1"/>
  <c r="CT273" i="1"/>
  <c r="CT274" i="1"/>
  <c r="CT275" i="1"/>
  <c r="CT276" i="1"/>
  <c r="CT277" i="1"/>
  <c r="CT278" i="1"/>
  <c r="CT279" i="1"/>
  <c r="CT280" i="1"/>
  <c r="CT281" i="1"/>
  <c r="CT282" i="1"/>
  <c r="CT283" i="1"/>
  <c r="CT284" i="1"/>
  <c r="CT285" i="1"/>
  <c r="CT286" i="1"/>
  <c r="CT287" i="1"/>
  <c r="CT288" i="1"/>
  <c r="CT289" i="1"/>
  <c r="CT290" i="1"/>
  <c r="CT291" i="1"/>
  <c r="CT292" i="1"/>
  <c r="CT293" i="1"/>
  <c r="CT294" i="1"/>
  <c r="CT295" i="1"/>
  <c r="CT296" i="1"/>
  <c r="CT297" i="1"/>
  <c r="CT298" i="1"/>
  <c r="CT299" i="1"/>
  <c r="CT300" i="1"/>
  <c r="CT301" i="1"/>
  <c r="CT302" i="1"/>
  <c r="CT2" i="1"/>
  <c r="CS3" i="1"/>
  <c r="CS4" i="1"/>
  <c r="CS5" i="1"/>
  <c r="CS6" i="1"/>
  <c r="CS7" i="1"/>
  <c r="CS8" i="1"/>
  <c r="CS9" i="1"/>
  <c r="CS10" i="1"/>
  <c r="CS11" i="1"/>
  <c r="CS12" i="1"/>
  <c r="CS13" i="1"/>
  <c r="CS14" i="1"/>
  <c r="CS15" i="1"/>
  <c r="CS16" i="1"/>
  <c r="CS17" i="1"/>
  <c r="CS18" i="1"/>
  <c r="CS19" i="1"/>
  <c r="CS20" i="1"/>
  <c r="CS21" i="1"/>
  <c r="CS22" i="1"/>
  <c r="CS23" i="1"/>
  <c r="CS24" i="1"/>
  <c r="CS25" i="1"/>
  <c r="CS26" i="1"/>
  <c r="CS27" i="1"/>
  <c r="CS28" i="1"/>
  <c r="CS29" i="1"/>
  <c r="CS30" i="1"/>
  <c r="CS31" i="1"/>
  <c r="CS32" i="1"/>
  <c r="CS33" i="1"/>
  <c r="CS34" i="1"/>
  <c r="CS35" i="1"/>
  <c r="CS36" i="1"/>
  <c r="CS37" i="1"/>
  <c r="CS38" i="1"/>
  <c r="CS39" i="1"/>
  <c r="CS40" i="1"/>
  <c r="CS41" i="1"/>
  <c r="CS42" i="1"/>
  <c r="CS43" i="1"/>
  <c r="CS44" i="1"/>
  <c r="CS45" i="1"/>
  <c r="CS46" i="1"/>
  <c r="CS47" i="1"/>
  <c r="CS48" i="1"/>
  <c r="CS49" i="1"/>
  <c r="CS50" i="1"/>
  <c r="CS51" i="1"/>
  <c r="CS52" i="1"/>
  <c r="CS53" i="1"/>
  <c r="CS54" i="1"/>
  <c r="CS55" i="1"/>
  <c r="CS56" i="1"/>
  <c r="CS57" i="1"/>
  <c r="CS58" i="1"/>
  <c r="CS59" i="1"/>
  <c r="CS60" i="1"/>
  <c r="CS61" i="1"/>
  <c r="CS62" i="1"/>
  <c r="CS63" i="1"/>
  <c r="CS64" i="1"/>
  <c r="CS65" i="1"/>
  <c r="CS66" i="1"/>
  <c r="CS67" i="1"/>
  <c r="CS68" i="1"/>
  <c r="CS69" i="1"/>
  <c r="CS70" i="1"/>
  <c r="CS71" i="1"/>
  <c r="CS72" i="1"/>
  <c r="CS73" i="1"/>
  <c r="CS74" i="1"/>
  <c r="CS75" i="1"/>
  <c r="CS76" i="1"/>
  <c r="CS77" i="1"/>
  <c r="CS78" i="1"/>
  <c r="CS79" i="1"/>
  <c r="CS80" i="1"/>
  <c r="CS81" i="1"/>
  <c r="CS82" i="1"/>
  <c r="CS83" i="1"/>
  <c r="CS84" i="1"/>
  <c r="CS85" i="1"/>
  <c r="CS86" i="1"/>
  <c r="CS87" i="1"/>
  <c r="CS88" i="1"/>
  <c r="CS89" i="1"/>
  <c r="CS90" i="1"/>
  <c r="CS91" i="1"/>
  <c r="CS92" i="1"/>
  <c r="CS93" i="1"/>
  <c r="CS94" i="1"/>
  <c r="CS95" i="1"/>
  <c r="CS96" i="1"/>
  <c r="CS97" i="1"/>
  <c r="CS98" i="1"/>
  <c r="CS99" i="1"/>
  <c r="CS100" i="1"/>
  <c r="CS101" i="1"/>
  <c r="CS102" i="1"/>
  <c r="CS103" i="1"/>
  <c r="CS104" i="1"/>
  <c r="CS105" i="1"/>
  <c r="CS106" i="1"/>
  <c r="CS107" i="1"/>
  <c r="CS108" i="1"/>
  <c r="CS109" i="1"/>
  <c r="CS110" i="1"/>
  <c r="CS111" i="1"/>
  <c r="CS112" i="1"/>
  <c r="CS113" i="1"/>
  <c r="CS114" i="1"/>
  <c r="CS115" i="1"/>
  <c r="CS116" i="1"/>
  <c r="CS117" i="1"/>
  <c r="CS118" i="1"/>
  <c r="CS119" i="1"/>
  <c r="CS120" i="1"/>
  <c r="CS121" i="1"/>
  <c r="CS122" i="1"/>
  <c r="CS123" i="1"/>
  <c r="CS124" i="1"/>
  <c r="CS125" i="1"/>
  <c r="CS126" i="1"/>
  <c r="CS127" i="1"/>
  <c r="CS128" i="1"/>
  <c r="CS129" i="1"/>
  <c r="CS130" i="1"/>
  <c r="CS131" i="1"/>
  <c r="CS133" i="1"/>
  <c r="CS134" i="1"/>
  <c r="CS135" i="1"/>
  <c r="CS136" i="1"/>
  <c r="CS137" i="1"/>
  <c r="CS138" i="1"/>
  <c r="CS139" i="1"/>
  <c r="CS140" i="1"/>
  <c r="CS141" i="1"/>
  <c r="CS142" i="1"/>
  <c r="CS143" i="1"/>
  <c r="CS144" i="1"/>
  <c r="CS145" i="1"/>
  <c r="CS146" i="1"/>
  <c r="CS147" i="1"/>
  <c r="CS148" i="1"/>
  <c r="CS149" i="1"/>
  <c r="CS150" i="1"/>
  <c r="CS151" i="1"/>
  <c r="CS152" i="1"/>
  <c r="CS153" i="1"/>
  <c r="CS154" i="1"/>
  <c r="CS155" i="1"/>
  <c r="CS156" i="1"/>
  <c r="CS157" i="1"/>
  <c r="CS158" i="1"/>
  <c r="CS159" i="1"/>
  <c r="CS160" i="1"/>
  <c r="CS161" i="1"/>
  <c r="CS162" i="1"/>
  <c r="CS163" i="1"/>
  <c r="CS164" i="1"/>
  <c r="CS165" i="1"/>
  <c r="CS166" i="1"/>
  <c r="CS167" i="1"/>
  <c r="CS168" i="1"/>
  <c r="CS169" i="1"/>
  <c r="CS170" i="1"/>
  <c r="CS171" i="1"/>
  <c r="CS172" i="1"/>
  <c r="CS173" i="1"/>
  <c r="CS174" i="1"/>
  <c r="CS175" i="1"/>
  <c r="CS176" i="1"/>
  <c r="CS177" i="1"/>
  <c r="CS178" i="1"/>
  <c r="CS179" i="1"/>
  <c r="CS180" i="1"/>
  <c r="CS181" i="1"/>
  <c r="CS182" i="1"/>
  <c r="CS183" i="1"/>
  <c r="CS184" i="1"/>
  <c r="CS185" i="1"/>
  <c r="CS186" i="1"/>
  <c r="CS187" i="1"/>
  <c r="CS188" i="1"/>
  <c r="CS189" i="1"/>
  <c r="CS190" i="1"/>
  <c r="CS191" i="1"/>
  <c r="CS192" i="1"/>
  <c r="CS193" i="1"/>
  <c r="CS194" i="1"/>
  <c r="CS195" i="1"/>
  <c r="CS196" i="1"/>
  <c r="CS197" i="1"/>
  <c r="CS198" i="1"/>
  <c r="CS199" i="1"/>
  <c r="CS200" i="1"/>
  <c r="CS201" i="1"/>
  <c r="CS202" i="1"/>
  <c r="CS203" i="1"/>
  <c r="CS204" i="1"/>
  <c r="CS205" i="1"/>
  <c r="CS206" i="1"/>
  <c r="CS207" i="1"/>
  <c r="CS208" i="1"/>
  <c r="CS209" i="1"/>
  <c r="CS210" i="1"/>
  <c r="CS211" i="1"/>
  <c r="CS212" i="1"/>
  <c r="CS213" i="1"/>
  <c r="CS214" i="1"/>
  <c r="CS215" i="1"/>
  <c r="CS216" i="1"/>
  <c r="CS217" i="1"/>
  <c r="CS218" i="1"/>
  <c r="CS219" i="1"/>
  <c r="CS220" i="1"/>
  <c r="CS221" i="1"/>
  <c r="CS222" i="1"/>
  <c r="CS223" i="1"/>
  <c r="CS224" i="1"/>
  <c r="CS225" i="1"/>
  <c r="CS226" i="1"/>
  <c r="CS227" i="1"/>
  <c r="CS228" i="1"/>
  <c r="CS229" i="1"/>
  <c r="CS230" i="1"/>
  <c r="CS231" i="1"/>
  <c r="CS232" i="1"/>
  <c r="CS233" i="1"/>
  <c r="CS234" i="1"/>
  <c r="CS235" i="1"/>
  <c r="CS236" i="1"/>
  <c r="CS237" i="1"/>
  <c r="CS238" i="1"/>
  <c r="CS239" i="1"/>
  <c r="CS240" i="1"/>
  <c r="CS241" i="1"/>
  <c r="CS242" i="1"/>
  <c r="CS243" i="1"/>
  <c r="CS244" i="1"/>
  <c r="CS245" i="1"/>
  <c r="CS246" i="1"/>
  <c r="CS247" i="1"/>
  <c r="CS248" i="1"/>
  <c r="CS249" i="1"/>
  <c r="CS250" i="1"/>
  <c r="CS251" i="1"/>
  <c r="CS252" i="1"/>
  <c r="CS253" i="1"/>
  <c r="CS254" i="1"/>
  <c r="CS255" i="1"/>
  <c r="CS256" i="1"/>
  <c r="CS257" i="1"/>
  <c r="CS258" i="1"/>
  <c r="CS259" i="1"/>
  <c r="CS260" i="1"/>
  <c r="CS262" i="1"/>
  <c r="CS263" i="1"/>
  <c r="CS264" i="1"/>
  <c r="CS265" i="1"/>
  <c r="CS266" i="1"/>
  <c r="CS267" i="1"/>
  <c r="CS268" i="1"/>
  <c r="CS269" i="1"/>
  <c r="CS270" i="1"/>
  <c r="CS271" i="1"/>
  <c r="CS272" i="1"/>
  <c r="CS273" i="1"/>
  <c r="CS274" i="1"/>
  <c r="CS275" i="1"/>
  <c r="CS276" i="1"/>
  <c r="CS277" i="1"/>
  <c r="CS278" i="1"/>
  <c r="CS279" i="1"/>
  <c r="CS280" i="1"/>
  <c r="CS281" i="1"/>
  <c r="CS282" i="1"/>
  <c r="CS283" i="1"/>
  <c r="CS284" i="1"/>
  <c r="CS285" i="1"/>
  <c r="CS286" i="1"/>
  <c r="CS287" i="1"/>
  <c r="CS288" i="1"/>
  <c r="CS289" i="1"/>
  <c r="CS290" i="1"/>
  <c r="CS291" i="1"/>
  <c r="CS292" i="1"/>
  <c r="CS293" i="1"/>
  <c r="CS294" i="1"/>
  <c r="CS295" i="1"/>
  <c r="CS296" i="1"/>
  <c r="CS297" i="1"/>
  <c r="CS298" i="1"/>
  <c r="CS299" i="1"/>
  <c r="CS300" i="1"/>
  <c r="CS301" i="1"/>
  <c r="CS302" i="1"/>
  <c r="CS2" i="1"/>
  <c r="CQ3" i="1"/>
  <c r="CQ4" i="1"/>
  <c r="CQ5" i="1"/>
  <c r="CQ6" i="1"/>
  <c r="CQ7" i="1"/>
  <c r="CQ8" i="1"/>
  <c r="CQ9" i="1"/>
  <c r="CQ10" i="1"/>
  <c r="CQ11" i="1"/>
  <c r="CQ12" i="1"/>
  <c r="CQ13" i="1"/>
  <c r="CQ14" i="1"/>
  <c r="CQ15" i="1"/>
  <c r="CQ16" i="1"/>
  <c r="CQ17" i="1"/>
  <c r="CQ18" i="1"/>
  <c r="CQ19" i="1"/>
  <c r="CQ20" i="1"/>
  <c r="CQ21" i="1"/>
  <c r="CQ22" i="1"/>
  <c r="CQ23" i="1"/>
  <c r="CQ24" i="1"/>
  <c r="CQ25" i="1"/>
  <c r="CQ26" i="1"/>
  <c r="CQ27" i="1"/>
  <c r="CQ28" i="1"/>
  <c r="CQ29" i="1"/>
  <c r="CQ30" i="1"/>
  <c r="CQ31" i="1"/>
  <c r="CQ32" i="1"/>
  <c r="CQ33" i="1"/>
  <c r="CQ34" i="1"/>
  <c r="CQ35" i="1"/>
  <c r="CQ36" i="1"/>
  <c r="CQ37" i="1"/>
  <c r="CQ38" i="1"/>
  <c r="CQ39" i="1"/>
  <c r="CQ40" i="1"/>
  <c r="CQ41" i="1"/>
  <c r="CQ42" i="1"/>
  <c r="CQ43" i="1"/>
  <c r="CQ44" i="1"/>
  <c r="CQ45" i="1"/>
  <c r="CQ46" i="1"/>
  <c r="CQ47" i="1"/>
  <c r="CQ48" i="1"/>
  <c r="CQ49" i="1"/>
  <c r="CQ50" i="1"/>
  <c r="CQ51" i="1"/>
  <c r="CQ52" i="1"/>
  <c r="CQ53" i="1"/>
  <c r="CQ54" i="1"/>
  <c r="CQ55" i="1"/>
  <c r="CQ56" i="1"/>
  <c r="CQ57" i="1"/>
  <c r="CQ58" i="1"/>
  <c r="CQ59" i="1"/>
  <c r="CQ60" i="1"/>
  <c r="CQ61" i="1"/>
  <c r="CQ62" i="1"/>
  <c r="CQ63" i="1"/>
  <c r="CQ64" i="1"/>
  <c r="CQ65" i="1"/>
  <c r="CQ66" i="1"/>
  <c r="CQ67" i="1"/>
  <c r="CQ68" i="1"/>
  <c r="CQ69" i="1"/>
  <c r="CQ70" i="1"/>
  <c r="CQ71" i="1"/>
  <c r="CQ72" i="1"/>
  <c r="CQ73" i="1"/>
  <c r="CQ74" i="1"/>
  <c r="CQ75" i="1"/>
  <c r="CQ76" i="1"/>
  <c r="CQ77" i="1"/>
  <c r="CQ78" i="1"/>
  <c r="CQ79" i="1"/>
  <c r="CQ80" i="1"/>
  <c r="CQ81" i="1"/>
  <c r="CQ82" i="1"/>
  <c r="CQ83" i="1"/>
  <c r="CQ84" i="1"/>
  <c r="CQ85" i="1"/>
  <c r="CQ86" i="1"/>
  <c r="CQ87" i="1"/>
  <c r="CQ88" i="1"/>
  <c r="CQ89" i="1"/>
  <c r="CQ90" i="1"/>
  <c r="CQ91" i="1"/>
  <c r="CQ92" i="1"/>
  <c r="CQ93" i="1"/>
  <c r="CQ94" i="1"/>
  <c r="CQ95" i="1"/>
  <c r="CQ96" i="1"/>
  <c r="CQ97" i="1"/>
  <c r="CQ98" i="1"/>
  <c r="CQ99" i="1"/>
  <c r="CQ100" i="1"/>
  <c r="CQ101" i="1"/>
  <c r="CQ102" i="1"/>
  <c r="CQ103" i="1"/>
  <c r="CQ104" i="1"/>
  <c r="CQ105" i="1"/>
  <c r="CQ106" i="1"/>
  <c r="CQ107" i="1"/>
  <c r="CQ108" i="1"/>
  <c r="CQ109" i="1"/>
  <c r="CQ110" i="1"/>
  <c r="CQ111" i="1"/>
  <c r="CQ112" i="1"/>
  <c r="CQ113" i="1"/>
  <c r="CQ114" i="1"/>
  <c r="CQ115" i="1"/>
  <c r="CQ116" i="1"/>
  <c r="CQ117" i="1"/>
  <c r="CQ118" i="1"/>
  <c r="CQ119" i="1"/>
  <c r="CQ120" i="1"/>
  <c r="CQ121" i="1"/>
  <c r="CQ122" i="1"/>
  <c r="CQ123" i="1"/>
  <c r="CQ124" i="1"/>
  <c r="CQ125" i="1"/>
  <c r="CQ126" i="1"/>
  <c r="CQ127" i="1"/>
  <c r="CQ128" i="1"/>
  <c r="CQ129" i="1"/>
  <c r="CQ130" i="1"/>
  <c r="CQ131" i="1"/>
  <c r="CQ133" i="1"/>
  <c r="CQ134" i="1"/>
  <c r="CQ135" i="1"/>
  <c r="CQ136" i="1"/>
  <c r="CQ137" i="1"/>
  <c r="CQ138" i="1"/>
  <c r="CQ139" i="1"/>
  <c r="CQ140" i="1"/>
  <c r="CQ141" i="1"/>
  <c r="CQ142" i="1"/>
  <c r="CQ143" i="1"/>
  <c r="CQ144" i="1"/>
  <c r="CQ145" i="1"/>
  <c r="CQ146" i="1"/>
  <c r="CQ147" i="1"/>
  <c r="CQ148" i="1"/>
  <c r="CQ149" i="1"/>
  <c r="CQ150" i="1"/>
  <c r="CQ151" i="1"/>
  <c r="CQ152" i="1"/>
  <c r="CQ153" i="1"/>
  <c r="CQ154" i="1"/>
  <c r="CQ155" i="1"/>
  <c r="CQ156" i="1"/>
  <c r="CQ157" i="1"/>
  <c r="CQ158" i="1"/>
  <c r="CQ159" i="1"/>
  <c r="CQ160" i="1"/>
  <c r="CQ161" i="1"/>
  <c r="CQ162" i="1"/>
  <c r="CQ163" i="1"/>
  <c r="CQ164" i="1"/>
  <c r="CQ165" i="1"/>
  <c r="CQ166" i="1"/>
  <c r="CQ167" i="1"/>
  <c r="CQ168" i="1"/>
  <c r="CQ169" i="1"/>
  <c r="CQ170" i="1"/>
  <c r="CQ171" i="1"/>
  <c r="CQ172" i="1"/>
  <c r="CQ173" i="1"/>
  <c r="CQ174" i="1"/>
  <c r="CQ175" i="1"/>
  <c r="CQ176" i="1"/>
  <c r="CQ177" i="1"/>
  <c r="CQ178" i="1"/>
  <c r="CQ179" i="1"/>
  <c r="CQ180" i="1"/>
  <c r="CQ181" i="1"/>
  <c r="CQ182" i="1"/>
  <c r="CQ183" i="1"/>
  <c r="CQ184" i="1"/>
  <c r="CQ185" i="1"/>
  <c r="CQ186" i="1"/>
  <c r="CQ187" i="1"/>
  <c r="CQ188" i="1"/>
  <c r="CQ189" i="1"/>
  <c r="CQ190" i="1"/>
  <c r="CQ191" i="1"/>
  <c r="CQ192" i="1"/>
  <c r="CQ193" i="1"/>
  <c r="CQ194" i="1"/>
  <c r="CQ195" i="1"/>
  <c r="CQ196" i="1"/>
  <c r="CQ197" i="1"/>
  <c r="CQ198" i="1"/>
  <c r="CQ199" i="1"/>
  <c r="CQ200" i="1"/>
  <c r="CQ201" i="1"/>
  <c r="CQ202" i="1"/>
  <c r="CQ203" i="1"/>
  <c r="CQ204" i="1"/>
  <c r="CQ205" i="1"/>
  <c r="CQ206" i="1"/>
  <c r="CQ207" i="1"/>
  <c r="CQ208" i="1"/>
  <c r="CQ209" i="1"/>
  <c r="CQ210" i="1"/>
  <c r="CQ211" i="1"/>
  <c r="CQ212" i="1"/>
  <c r="CQ213" i="1"/>
  <c r="CQ214" i="1"/>
  <c r="CQ215" i="1"/>
  <c r="CQ216" i="1"/>
  <c r="CQ217" i="1"/>
  <c r="CQ218" i="1"/>
  <c r="CQ219" i="1"/>
  <c r="CQ220" i="1"/>
  <c r="CQ221" i="1"/>
  <c r="CQ222" i="1"/>
  <c r="CQ223" i="1"/>
  <c r="CQ224" i="1"/>
  <c r="CQ225" i="1"/>
  <c r="CQ226" i="1"/>
  <c r="CQ227" i="1"/>
  <c r="CQ228" i="1"/>
  <c r="CQ229" i="1"/>
  <c r="CQ230" i="1"/>
  <c r="CQ231" i="1"/>
  <c r="CQ232" i="1"/>
  <c r="CQ233" i="1"/>
  <c r="CQ234" i="1"/>
  <c r="CQ235" i="1"/>
  <c r="CQ236" i="1"/>
  <c r="CQ237" i="1"/>
  <c r="CQ238" i="1"/>
  <c r="CQ239" i="1"/>
  <c r="CQ240" i="1"/>
  <c r="CQ241" i="1"/>
  <c r="CQ242" i="1"/>
  <c r="CQ243" i="1"/>
  <c r="CQ244" i="1"/>
  <c r="CQ245" i="1"/>
  <c r="CQ246" i="1"/>
  <c r="CQ247" i="1"/>
  <c r="CQ248" i="1"/>
  <c r="CQ249" i="1"/>
  <c r="CQ250" i="1"/>
  <c r="CQ251" i="1"/>
  <c r="CQ252" i="1"/>
  <c r="CQ253" i="1"/>
  <c r="CQ254" i="1"/>
  <c r="CQ255" i="1"/>
  <c r="CQ256" i="1"/>
  <c r="CQ257" i="1"/>
  <c r="CQ258" i="1"/>
  <c r="CQ259" i="1"/>
  <c r="CQ260" i="1"/>
  <c r="CQ262" i="1"/>
  <c r="CQ263" i="1"/>
  <c r="CQ264" i="1"/>
  <c r="CQ265" i="1"/>
  <c r="CQ266" i="1"/>
  <c r="CQ267" i="1"/>
  <c r="CQ268" i="1"/>
  <c r="CQ269" i="1"/>
  <c r="CQ270" i="1"/>
  <c r="CQ271" i="1"/>
  <c r="CQ272" i="1"/>
  <c r="CQ273" i="1"/>
  <c r="CQ274" i="1"/>
  <c r="CQ275" i="1"/>
  <c r="CQ276" i="1"/>
  <c r="CQ277" i="1"/>
  <c r="CQ278" i="1"/>
  <c r="CQ279" i="1"/>
  <c r="CQ280" i="1"/>
  <c r="CQ281" i="1"/>
  <c r="CQ282" i="1"/>
  <c r="CQ283" i="1"/>
  <c r="CQ284" i="1"/>
  <c r="CQ285" i="1"/>
  <c r="CQ286" i="1"/>
  <c r="CQ287" i="1"/>
  <c r="CQ288" i="1"/>
  <c r="CQ289" i="1"/>
  <c r="CQ290" i="1"/>
  <c r="CQ291" i="1"/>
  <c r="CQ292" i="1"/>
  <c r="CQ293" i="1"/>
  <c r="CQ294" i="1"/>
  <c r="CQ295" i="1"/>
  <c r="CQ296" i="1"/>
  <c r="CQ297" i="1"/>
  <c r="CQ298" i="1"/>
  <c r="CQ299" i="1"/>
  <c r="CQ300" i="1"/>
  <c r="CQ301" i="1"/>
  <c r="CQ302" i="1"/>
  <c r="CQ2" i="1"/>
  <c r="CP3" i="1"/>
  <c r="CP4" i="1"/>
  <c r="CP5" i="1"/>
  <c r="CP6" i="1"/>
  <c r="CP7" i="1"/>
  <c r="CP8" i="1"/>
  <c r="CP9" i="1"/>
  <c r="CP10" i="1"/>
  <c r="CP11" i="1"/>
  <c r="CP12" i="1"/>
  <c r="CP13" i="1"/>
  <c r="CP14" i="1"/>
  <c r="CP15" i="1"/>
  <c r="CP16" i="1"/>
  <c r="CP17" i="1"/>
  <c r="CP18" i="1"/>
  <c r="CP19" i="1"/>
  <c r="CP20" i="1"/>
  <c r="CP21" i="1"/>
  <c r="CP22" i="1"/>
  <c r="CP23" i="1"/>
  <c r="CP24" i="1"/>
  <c r="CP25" i="1"/>
  <c r="CP26" i="1"/>
  <c r="CP27" i="1"/>
  <c r="CP28" i="1"/>
  <c r="CP29" i="1"/>
  <c r="CP30" i="1"/>
  <c r="CP31" i="1"/>
  <c r="CP32" i="1"/>
  <c r="CP33" i="1"/>
  <c r="CP34" i="1"/>
  <c r="CP35" i="1"/>
  <c r="CP36" i="1"/>
  <c r="CP37" i="1"/>
  <c r="CP38" i="1"/>
  <c r="CP39" i="1"/>
  <c r="CP40" i="1"/>
  <c r="CP41" i="1"/>
  <c r="CP42" i="1"/>
  <c r="CP43" i="1"/>
  <c r="CP44" i="1"/>
  <c r="CP45" i="1"/>
  <c r="CP46" i="1"/>
  <c r="CP47" i="1"/>
  <c r="CP48" i="1"/>
  <c r="CP49" i="1"/>
  <c r="CP50" i="1"/>
  <c r="CP51" i="1"/>
  <c r="CP52" i="1"/>
  <c r="CP53" i="1"/>
  <c r="CP54" i="1"/>
  <c r="CP55" i="1"/>
  <c r="CP56" i="1"/>
  <c r="CP57" i="1"/>
  <c r="CP58" i="1"/>
  <c r="CP59" i="1"/>
  <c r="CP60" i="1"/>
  <c r="CP61" i="1"/>
  <c r="CP62" i="1"/>
  <c r="CP63" i="1"/>
  <c r="CP64" i="1"/>
  <c r="CP65" i="1"/>
  <c r="CP66" i="1"/>
  <c r="CP67" i="1"/>
  <c r="CP68" i="1"/>
  <c r="CP69" i="1"/>
  <c r="CP70" i="1"/>
  <c r="CP71" i="1"/>
  <c r="CP72" i="1"/>
  <c r="CP73" i="1"/>
  <c r="CP74" i="1"/>
  <c r="CP75" i="1"/>
  <c r="CP76" i="1"/>
  <c r="CP77" i="1"/>
  <c r="CP78" i="1"/>
  <c r="CP79" i="1"/>
  <c r="CP80" i="1"/>
  <c r="CP81" i="1"/>
  <c r="CP82" i="1"/>
  <c r="CP83" i="1"/>
  <c r="CP84" i="1"/>
  <c r="CP85" i="1"/>
  <c r="CP86" i="1"/>
  <c r="CP87" i="1"/>
  <c r="CP88" i="1"/>
  <c r="CP89" i="1"/>
  <c r="CP90" i="1"/>
  <c r="CP91" i="1"/>
  <c r="CP92" i="1"/>
  <c r="CP93" i="1"/>
  <c r="CP94" i="1"/>
  <c r="CP95" i="1"/>
  <c r="CP96" i="1"/>
  <c r="CP97" i="1"/>
  <c r="CP98" i="1"/>
  <c r="CP99" i="1"/>
  <c r="CP100" i="1"/>
  <c r="CP101" i="1"/>
  <c r="CP102" i="1"/>
  <c r="CP103" i="1"/>
  <c r="CP104" i="1"/>
  <c r="CP105" i="1"/>
  <c r="CP106" i="1"/>
  <c r="CP107" i="1"/>
  <c r="CP108" i="1"/>
  <c r="CP109" i="1"/>
  <c r="CP110" i="1"/>
  <c r="CP111" i="1"/>
  <c r="CP112" i="1"/>
  <c r="CP113" i="1"/>
  <c r="CP114" i="1"/>
  <c r="CP115" i="1"/>
  <c r="CP116" i="1"/>
  <c r="CP117" i="1"/>
  <c r="CP118" i="1"/>
  <c r="CP119" i="1"/>
  <c r="CP120" i="1"/>
  <c r="CP121" i="1"/>
  <c r="CP122" i="1"/>
  <c r="CP123" i="1"/>
  <c r="CP124" i="1"/>
  <c r="CP125" i="1"/>
  <c r="CP126" i="1"/>
  <c r="CP127" i="1"/>
  <c r="CP128" i="1"/>
  <c r="CP129" i="1"/>
  <c r="CP130" i="1"/>
  <c r="CP131" i="1"/>
  <c r="CP133" i="1"/>
  <c r="CP134" i="1"/>
  <c r="CP135" i="1"/>
  <c r="CP136" i="1"/>
  <c r="CP137" i="1"/>
  <c r="CP138" i="1"/>
  <c r="CP139" i="1"/>
  <c r="CP140" i="1"/>
  <c r="CP141" i="1"/>
  <c r="CP142" i="1"/>
  <c r="CP143" i="1"/>
  <c r="CP144" i="1"/>
  <c r="CP145" i="1"/>
  <c r="CP146" i="1"/>
  <c r="CP147" i="1"/>
  <c r="CP148" i="1"/>
  <c r="CP149" i="1"/>
  <c r="CP150" i="1"/>
  <c r="CP151" i="1"/>
  <c r="CP152" i="1"/>
  <c r="CP153" i="1"/>
  <c r="CP154" i="1"/>
  <c r="CP155" i="1"/>
  <c r="CP156" i="1"/>
  <c r="CP157" i="1"/>
  <c r="CP158" i="1"/>
  <c r="CP159" i="1"/>
  <c r="CP160" i="1"/>
  <c r="CP161" i="1"/>
  <c r="CP162" i="1"/>
  <c r="CP163" i="1"/>
  <c r="CP164" i="1"/>
  <c r="CP165" i="1"/>
  <c r="CP166" i="1"/>
  <c r="CP167" i="1"/>
  <c r="CP168" i="1"/>
  <c r="CP169" i="1"/>
  <c r="CP170" i="1"/>
  <c r="CP171" i="1"/>
  <c r="CP172" i="1"/>
  <c r="CP173" i="1"/>
  <c r="CP174" i="1"/>
  <c r="CP175" i="1"/>
  <c r="CP176" i="1"/>
  <c r="CP177" i="1"/>
  <c r="CP178" i="1"/>
  <c r="CP179" i="1"/>
  <c r="CP180" i="1"/>
  <c r="CP181" i="1"/>
  <c r="CP182" i="1"/>
  <c r="CP183" i="1"/>
  <c r="CP184" i="1"/>
  <c r="CP185" i="1"/>
  <c r="CP186" i="1"/>
  <c r="CP187" i="1"/>
  <c r="CP188" i="1"/>
  <c r="CP189" i="1"/>
  <c r="CP190" i="1"/>
  <c r="CP191" i="1"/>
  <c r="CP192" i="1"/>
  <c r="CP193" i="1"/>
  <c r="CP194" i="1"/>
  <c r="CP195" i="1"/>
  <c r="CP196" i="1"/>
  <c r="CP197" i="1"/>
  <c r="CP198" i="1"/>
  <c r="CP199" i="1"/>
  <c r="CP200" i="1"/>
  <c r="CP201" i="1"/>
  <c r="CP202" i="1"/>
  <c r="CP203" i="1"/>
  <c r="CP204" i="1"/>
  <c r="CP205" i="1"/>
  <c r="CP206" i="1"/>
  <c r="CP207" i="1"/>
  <c r="CP208" i="1"/>
  <c r="CP209" i="1"/>
  <c r="CP210" i="1"/>
  <c r="CP211" i="1"/>
  <c r="CP212" i="1"/>
  <c r="CP213" i="1"/>
  <c r="CP214" i="1"/>
  <c r="CP215" i="1"/>
  <c r="CP216" i="1"/>
  <c r="CP217" i="1"/>
  <c r="CP218" i="1"/>
  <c r="CP219" i="1"/>
  <c r="CP220" i="1"/>
  <c r="CP221" i="1"/>
  <c r="CP222" i="1"/>
  <c r="CP223" i="1"/>
  <c r="CP224" i="1"/>
  <c r="CP225" i="1"/>
  <c r="CP226" i="1"/>
  <c r="CP227" i="1"/>
  <c r="CP228" i="1"/>
  <c r="CP229" i="1"/>
  <c r="CP230" i="1"/>
  <c r="CP231" i="1"/>
  <c r="CP232" i="1"/>
  <c r="CP233" i="1"/>
  <c r="CP234" i="1"/>
  <c r="CP235" i="1"/>
  <c r="CP236" i="1"/>
  <c r="CP237" i="1"/>
  <c r="CP238" i="1"/>
  <c r="CP239" i="1"/>
  <c r="CP240" i="1"/>
  <c r="CP241" i="1"/>
  <c r="CP242" i="1"/>
  <c r="CP243" i="1"/>
  <c r="CP244" i="1"/>
  <c r="CP245" i="1"/>
  <c r="CP246" i="1"/>
  <c r="CP247" i="1"/>
  <c r="CP248" i="1"/>
  <c r="CP249" i="1"/>
  <c r="CP250" i="1"/>
  <c r="CP251" i="1"/>
  <c r="CP252" i="1"/>
  <c r="CP253" i="1"/>
  <c r="CP254" i="1"/>
  <c r="CP255" i="1"/>
  <c r="CP256" i="1"/>
  <c r="CP257" i="1"/>
  <c r="CP258" i="1"/>
  <c r="CP259" i="1"/>
  <c r="CP260" i="1"/>
  <c r="CP262" i="1"/>
  <c r="CP263" i="1"/>
  <c r="CP264" i="1"/>
  <c r="CP265" i="1"/>
  <c r="CP266" i="1"/>
  <c r="CP267" i="1"/>
  <c r="CP268" i="1"/>
  <c r="CP269" i="1"/>
  <c r="CP270" i="1"/>
  <c r="CP271" i="1"/>
  <c r="CP272" i="1"/>
  <c r="CP273" i="1"/>
  <c r="CP274" i="1"/>
  <c r="CP275" i="1"/>
  <c r="CP276" i="1"/>
  <c r="CP277" i="1"/>
  <c r="CP278" i="1"/>
  <c r="CP279" i="1"/>
  <c r="CP280" i="1"/>
  <c r="CP281" i="1"/>
  <c r="CP282" i="1"/>
  <c r="CP283" i="1"/>
  <c r="CP284" i="1"/>
  <c r="CP285" i="1"/>
  <c r="CP286" i="1"/>
  <c r="CP287" i="1"/>
  <c r="CP288" i="1"/>
  <c r="CP289" i="1"/>
  <c r="CP290" i="1"/>
  <c r="CP291" i="1"/>
  <c r="CP292" i="1"/>
  <c r="CP293" i="1"/>
  <c r="CP294" i="1"/>
  <c r="CP295" i="1"/>
  <c r="CP296" i="1"/>
  <c r="CP297" i="1"/>
  <c r="CP298" i="1"/>
  <c r="CP299" i="1"/>
  <c r="CP300" i="1"/>
  <c r="CP301" i="1"/>
  <c r="CP302" i="1"/>
  <c r="CP2" i="1"/>
  <c r="CM3" i="1"/>
  <c r="CM4" i="1"/>
  <c r="CM5" i="1"/>
  <c r="CM6" i="1"/>
  <c r="CO6" i="1" s="1"/>
  <c r="CM7" i="1"/>
  <c r="CO7" i="1" s="1"/>
  <c r="CM8" i="1"/>
  <c r="CN8" i="1" s="1"/>
  <c r="CM9" i="1"/>
  <c r="CN9" i="1" s="1"/>
  <c r="CM10" i="1"/>
  <c r="CO10" i="1" s="1"/>
  <c r="CM11" i="1"/>
  <c r="CO11" i="1" s="1"/>
  <c r="CM12" i="1"/>
  <c r="CO12" i="1" s="1"/>
  <c r="CM13" i="1"/>
  <c r="CM14" i="1"/>
  <c r="CO14" i="1" s="1"/>
  <c r="CM15" i="1"/>
  <c r="CO15" i="1" s="1"/>
  <c r="CM16" i="1"/>
  <c r="CO16" i="1" s="1"/>
  <c r="CM17" i="1"/>
  <c r="CO17" i="1" s="1"/>
  <c r="CM18" i="1"/>
  <c r="CO18" i="1" s="1"/>
  <c r="CM19" i="1"/>
  <c r="CO19" i="1" s="1"/>
  <c r="CM20" i="1"/>
  <c r="CO20" i="1" s="1"/>
  <c r="CM21" i="1"/>
  <c r="CM22" i="1"/>
  <c r="CN22" i="1" s="1"/>
  <c r="CM23" i="1"/>
  <c r="CN23" i="1" s="1"/>
  <c r="CM24" i="1"/>
  <c r="CN24" i="1" s="1"/>
  <c r="CM25" i="1"/>
  <c r="CO25" i="1" s="1"/>
  <c r="CM26" i="1"/>
  <c r="CM27" i="1"/>
  <c r="CM28" i="1"/>
  <c r="CM29" i="1"/>
  <c r="CM30" i="1"/>
  <c r="CN30" i="1" s="1"/>
  <c r="CM31" i="1"/>
  <c r="CN31" i="1" s="1"/>
  <c r="CM32" i="1"/>
  <c r="CN32" i="1" s="1"/>
  <c r="CM33" i="1"/>
  <c r="CN33" i="1" s="1"/>
  <c r="CM34" i="1"/>
  <c r="CO34" i="1" s="1"/>
  <c r="CM35" i="1"/>
  <c r="CM36" i="1"/>
  <c r="CM37" i="1"/>
  <c r="CN37" i="1" s="1"/>
  <c r="CM38" i="1"/>
  <c r="CO38" i="1" s="1"/>
  <c r="CM39" i="1"/>
  <c r="CO39" i="1" s="1"/>
  <c r="CM40" i="1"/>
  <c r="CN40" i="1" s="1"/>
  <c r="CM41" i="1"/>
  <c r="CN41" i="1" s="1"/>
  <c r="CM42" i="1"/>
  <c r="CO42" i="1" s="1"/>
  <c r="CM43" i="1"/>
  <c r="CO43" i="1" s="1"/>
  <c r="CM44" i="1"/>
  <c r="CO44" i="1" s="1"/>
  <c r="CM45" i="1"/>
  <c r="CM46" i="1"/>
  <c r="CO46" i="1" s="1"/>
  <c r="CM47" i="1"/>
  <c r="CO47" i="1" s="1"/>
  <c r="CM48" i="1"/>
  <c r="CO48" i="1" s="1"/>
  <c r="CM49" i="1"/>
  <c r="CO49" i="1" s="1"/>
  <c r="CM50" i="1"/>
  <c r="CO50" i="1" s="1"/>
  <c r="CM51" i="1"/>
  <c r="CO51" i="1" s="1"/>
  <c r="CM52" i="1"/>
  <c r="CO52" i="1" s="1"/>
  <c r="CM53" i="1"/>
  <c r="CM54" i="1"/>
  <c r="CN54" i="1" s="1"/>
  <c r="CM55" i="1"/>
  <c r="CN55" i="1" s="1"/>
  <c r="CM56" i="1"/>
  <c r="CN56" i="1" s="1"/>
  <c r="CM57" i="1"/>
  <c r="CO57" i="1" s="1"/>
  <c r="CM58" i="1"/>
  <c r="CM59" i="1"/>
  <c r="CM60" i="1"/>
  <c r="CM61" i="1"/>
  <c r="CM62" i="1"/>
  <c r="CO62" i="1" s="1"/>
  <c r="CM63" i="1"/>
  <c r="CO63" i="1" s="1"/>
  <c r="CM64" i="1"/>
  <c r="CN64" i="1" s="1"/>
  <c r="CM65" i="1"/>
  <c r="CN65" i="1" s="1"/>
  <c r="CM66" i="1"/>
  <c r="CO66" i="1" s="1"/>
  <c r="CM67" i="1"/>
  <c r="CM68" i="1"/>
  <c r="CM69" i="1"/>
  <c r="CM70" i="1"/>
  <c r="CO70" i="1" s="1"/>
  <c r="CM71" i="1"/>
  <c r="CO71" i="1" s="1"/>
  <c r="CM72" i="1"/>
  <c r="CN72" i="1" s="1"/>
  <c r="CM73" i="1"/>
  <c r="CN73" i="1" s="1"/>
  <c r="CM74" i="1"/>
  <c r="CO74" i="1" s="1"/>
  <c r="CM75" i="1"/>
  <c r="CO75" i="1" s="1"/>
  <c r="CM76" i="1"/>
  <c r="CO76" i="1" s="1"/>
  <c r="CM77" i="1"/>
  <c r="CM78" i="1"/>
  <c r="CO78" i="1" s="1"/>
  <c r="CM79" i="1"/>
  <c r="CO79" i="1" s="1"/>
  <c r="CM80" i="1"/>
  <c r="CO80" i="1" s="1"/>
  <c r="CM81" i="1"/>
  <c r="CO81" i="1" s="1"/>
  <c r="CM82" i="1"/>
  <c r="CO82" i="1" s="1"/>
  <c r="CM83" i="1"/>
  <c r="CO83" i="1" s="1"/>
  <c r="CM84" i="1"/>
  <c r="CO84" i="1" s="1"/>
  <c r="CM85" i="1"/>
  <c r="CM86" i="1"/>
  <c r="CN86" i="1" s="1"/>
  <c r="CM87" i="1"/>
  <c r="CN87" i="1" s="1"/>
  <c r="CM88" i="1"/>
  <c r="CN88" i="1" s="1"/>
  <c r="CM89" i="1"/>
  <c r="CO89" i="1" s="1"/>
  <c r="CM90" i="1"/>
  <c r="CM91" i="1"/>
  <c r="CM92" i="1"/>
  <c r="CM93" i="1"/>
  <c r="CM94" i="1"/>
  <c r="CN94" i="1" s="1"/>
  <c r="CM95" i="1"/>
  <c r="CN95" i="1" s="1"/>
  <c r="CM96" i="1"/>
  <c r="CN96" i="1" s="1"/>
  <c r="CM97" i="1"/>
  <c r="CN97" i="1" s="1"/>
  <c r="CM98" i="1"/>
  <c r="CO98" i="1" s="1"/>
  <c r="CM99" i="1"/>
  <c r="CM100" i="1"/>
  <c r="CM101" i="1"/>
  <c r="CN101" i="1" s="1"/>
  <c r="CM102" i="1"/>
  <c r="CO102" i="1" s="1"/>
  <c r="CM103" i="1"/>
  <c r="CO103" i="1" s="1"/>
  <c r="CM104" i="1"/>
  <c r="CN104" i="1" s="1"/>
  <c r="CM105" i="1"/>
  <c r="CN105" i="1" s="1"/>
  <c r="CM106" i="1"/>
  <c r="CO106" i="1" s="1"/>
  <c r="CM107" i="1"/>
  <c r="CO107" i="1" s="1"/>
  <c r="CM108" i="1"/>
  <c r="CO108" i="1" s="1"/>
  <c r="CM109" i="1"/>
  <c r="CM110" i="1"/>
  <c r="CO110" i="1" s="1"/>
  <c r="CM111" i="1"/>
  <c r="CO111" i="1" s="1"/>
  <c r="CM112" i="1"/>
  <c r="CO112" i="1" s="1"/>
  <c r="CM113" i="1"/>
  <c r="CO113" i="1" s="1"/>
  <c r="CM114" i="1"/>
  <c r="CO114" i="1" s="1"/>
  <c r="CM115" i="1"/>
  <c r="CO115" i="1" s="1"/>
  <c r="CM116" i="1"/>
  <c r="CO116" i="1" s="1"/>
  <c r="CM117" i="1"/>
  <c r="CO117" i="1" s="1"/>
  <c r="CM118" i="1"/>
  <c r="CN118" i="1" s="1"/>
  <c r="CM119" i="1"/>
  <c r="CN119" i="1" s="1"/>
  <c r="CM120" i="1"/>
  <c r="CN120" i="1" s="1"/>
  <c r="CM121" i="1"/>
  <c r="CO121" i="1" s="1"/>
  <c r="CM122" i="1"/>
  <c r="CM123" i="1"/>
  <c r="CM124" i="1"/>
  <c r="CM125" i="1"/>
  <c r="CM126" i="1"/>
  <c r="CO126" i="1" s="1"/>
  <c r="CM127" i="1"/>
  <c r="CO127" i="1" s="1"/>
  <c r="CM128" i="1"/>
  <c r="CN128" i="1" s="1"/>
  <c r="CM129" i="1"/>
  <c r="CN129" i="1" s="1"/>
  <c r="CM130" i="1"/>
  <c r="CO130" i="1" s="1"/>
  <c r="CM131" i="1"/>
  <c r="CM133" i="1"/>
  <c r="CM134" i="1"/>
  <c r="CM135" i="1"/>
  <c r="CO135" i="1" s="1"/>
  <c r="CM136" i="1"/>
  <c r="CN136" i="1" s="1"/>
  <c r="CM137" i="1"/>
  <c r="CN137" i="1" s="1"/>
  <c r="CM138" i="1"/>
  <c r="CN138" i="1" s="1"/>
  <c r="CM139" i="1"/>
  <c r="CO139" i="1" s="1"/>
  <c r="CM140" i="1"/>
  <c r="CO140" i="1" s="1"/>
  <c r="CM141" i="1"/>
  <c r="CM142" i="1"/>
  <c r="CM143" i="1"/>
  <c r="CO143" i="1" s="1"/>
  <c r="CM144" i="1"/>
  <c r="CN144" i="1" s="1"/>
  <c r="CM145" i="1"/>
  <c r="CN145" i="1" s="1"/>
  <c r="CM146" i="1"/>
  <c r="CN146" i="1" s="1"/>
  <c r="CM147" i="1"/>
  <c r="CO147" i="1" s="1"/>
  <c r="CM148" i="1"/>
  <c r="CO148" i="1" s="1"/>
  <c r="CM149" i="1"/>
  <c r="CO149" i="1" s="1"/>
  <c r="CM150" i="1"/>
  <c r="CN150" i="1" s="1"/>
  <c r="CM151" i="1"/>
  <c r="CO151" i="1" s="1"/>
  <c r="CM152" i="1"/>
  <c r="CN152" i="1" s="1"/>
  <c r="CM153" i="1"/>
  <c r="CO153" i="1" s="1"/>
  <c r="CM154" i="1"/>
  <c r="CO154" i="1" s="1"/>
  <c r="CM155" i="1"/>
  <c r="CO155" i="1" s="1"/>
  <c r="CM156" i="1"/>
  <c r="CO156" i="1" s="1"/>
  <c r="CM157" i="1"/>
  <c r="CO157" i="1" s="1"/>
  <c r="CM158" i="1"/>
  <c r="CO158" i="1" s="1"/>
  <c r="CM159" i="1"/>
  <c r="CO159" i="1" s="1"/>
  <c r="CM160" i="1"/>
  <c r="CO160" i="1" s="1"/>
  <c r="CM161" i="1"/>
  <c r="CO161" i="1" s="1"/>
  <c r="CM162" i="1"/>
  <c r="CO162" i="1" s="1"/>
  <c r="CM163" i="1"/>
  <c r="CO163" i="1" s="1"/>
  <c r="CM164" i="1"/>
  <c r="CO164" i="1" s="1"/>
  <c r="CM165" i="1"/>
  <c r="CO165" i="1" s="1"/>
  <c r="CM166" i="1"/>
  <c r="CM167" i="1"/>
  <c r="CO167" i="1" s="1"/>
  <c r="CM168" i="1"/>
  <c r="CO168" i="1" s="1"/>
  <c r="CM169" i="1"/>
  <c r="CO169" i="1" s="1"/>
  <c r="CM170" i="1"/>
  <c r="CO170" i="1" s="1"/>
  <c r="CM171" i="1"/>
  <c r="CM172" i="1"/>
  <c r="CM173" i="1"/>
  <c r="CM174" i="1"/>
  <c r="CM175" i="1"/>
  <c r="CO175" i="1" s="1"/>
  <c r="CM176" i="1"/>
  <c r="CN176" i="1" s="1"/>
  <c r="CM177" i="1"/>
  <c r="CN177" i="1" s="1"/>
  <c r="CM178" i="1"/>
  <c r="CO178" i="1" s="1"/>
  <c r="CM179" i="1"/>
  <c r="CM180" i="1"/>
  <c r="CM181" i="1"/>
  <c r="CM182" i="1"/>
  <c r="CM183" i="1"/>
  <c r="CO183" i="1" s="1"/>
  <c r="CM184" i="1"/>
  <c r="CO184" i="1" s="1"/>
  <c r="CM185" i="1"/>
  <c r="CN185" i="1" s="1"/>
  <c r="CM186" i="1"/>
  <c r="CN186" i="1" s="1"/>
  <c r="CM187" i="1"/>
  <c r="CM188" i="1"/>
  <c r="CM189" i="1"/>
  <c r="CM190" i="1"/>
  <c r="CO190" i="1" s="1"/>
  <c r="CM191" i="1"/>
  <c r="CO191" i="1" s="1"/>
  <c r="CM192" i="1"/>
  <c r="CO192" i="1" s="1"/>
  <c r="CM193" i="1"/>
  <c r="CO193" i="1" s="1"/>
  <c r="CM194" i="1"/>
  <c r="CN194" i="1" s="1"/>
  <c r="CM195" i="1"/>
  <c r="CO195" i="1" s="1"/>
  <c r="CM196" i="1"/>
  <c r="CM197" i="1"/>
  <c r="CM198" i="1"/>
  <c r="CM199" i="1"/>
  <c r="CO199" i="1" s="1"/>
  <c r="CM200" i="1"/>
  <c r="CO200" i="1" s="1"/>
  <c r="CM201" i="1"/>
  <c r="CO201" i="1" s="1"/>
  <c r="CM202" i="1"/>
  <c r="CN202" i="1" s="1"/>
  <c r="CM203" i="1"/>
  <c r="CO203" i="1" s="1"/>
  <c r="CM204" i="1"/>
  <c r="CO204" i="1" s="1"/>
  <c r="CM205" i="1"/>
  <c r="CM206" i="1"/>
  <c r="CM207" i="1"/>
  <c r="CO207" i="1" s="1"/>
  <c r="CM208" i="1"/>
  <c r="CO208" i="1" s="1"/>
  <c r="CM209" i="1"/>
  <c r="CO209" i="1" s="1"/>
  <c r="CM210" i="1"/>
  <c r="CN210" i="1" s="1"/>
  <c r="CM211" i="1"/>
  <c r="CO211" i="1" s="1"/>
  <c r="CM212" i="1"/>
  <c r="CO212" i="1" s="1"/>
  <c r="CM213" i="1"/>
  <c r="CO213" i="1" s="1"/>
  <c r="CM214" i="1"/>
  <c r="CN214" i="1" s="1"/>
  <c r="CM215" i="1"/>
  <c r="CO215" i="1" s="1"/>
  <c r="CM216" i="1"/>
  <c r="CN216" i="1" s="1"/>
  <c r="CM217" i="1"/>
  <c r="CO217" i="1" s="1"/>
  <c r="CM218" i="1"/>
  <c r="CO218" i="1" s="1"/>
  <c r="CM219" i="1"/>
  <c r="CO219" i="1" s="1"/>
  <c r="CM220" i="1"/>
  <c r="CO220" i="1" s="1"/>
  <c r="CM221" i="1"/>
  <c r="CO221" i="1" s="1"/>
  <c r="CM222" i="1"/>
  <c r="CM223" i="1"/>
  <c r="CO223" i="1" s="1"/>
  <c r="CM224" i="1"/>
  <c r="CO224" i="1" s="1"/>
  <c r="CM225" i="1"/>
  <c r="CO225" i="1" s="1"/>
  <c r="CM226" i="1"/>
  <c r="CO226" i="1" s="1"/>
  <c r="CM227" i="1"/>
  <c r="CO227" i="1" s="1"/>
  <c r="CM228" i="1"/>
  <c r="CO228" i="1" s="1"/>
  <c r="CM229" i="1"/>
  <c r="CO229" i="1" s="1"/>
  <c r="CM230" i="1"/>
  <c r="CM231" i="1"/>
  <c r="CO231" i="1" s="1"/>
  <c r="CM232" i="1"/>
  <c r="CO232" i="1" s="1"/>
  <c r="CM233" i="1"/>
  <c r="CM234" i="1"/>
  <c r="CO234" i="1" s="1"/>
  <c r="CM235" i="1"/>
  <c r="CM236" i="1"/>
  <c r="CM237" i="1"/>
  <c r="CM238" i="1"/>
  <c r="CM239" i="1"/>
  <c r="CO239" i="1" s="1"/>
  <c r="CM240" i="1"/>
  <c r="CN240" i="1" s="1"/>
  <c r="CM241" i="1"/>
  <c r="CO241" i="1" s="1"/>
  <c r="CM242" i="1"/>
  <c r="CO242" i="1" s="1"/>
  <c r="CM243" i="1"/>
  <c r="CM244" i="1"/>
  <c r="CM245" i="1"/>
  <c r="CM246" i="1"/>
  <c r="CN246" i="1" s="1"/>
  <c r="CM247" i="1"/>
  <c r="CO247" i="1" s="1"/>
  <c r="CM248" i="1"/>
  <c r="CN248" i="1" s="1"/>
  <c r="CM249" i="1"/>
  <c r="CO249" i="1" s="1"/>
  <c r="CM250" i="1"/>
  <c r="CN250" i="1" s="1"/>
  <c r="CM251" i="1"/>
  <c r="CM252" i="1"/>
  <c r="CM253" i="1"/>
  <c r="CM254" i="1"/>
  <c r="CN254" i="1" s="1"/>
  <c r="CM255" i="1"/>
  <c r="CO255" i="1" s="1"/>
  <c r="CM256" i="1"/>
  <c r="CO256" i="1" s="1"/>
  <c r="CM257" i="1"/>
  <c r="CO257" i="1" s="1"/>
  <c r="CM258" i="1"/>
  <c r="CN258" i="1" s="1"/>
  <c r="CM259" i="1"/>
  <c r="CO259" i="1" s="1"/>
  <c r="CM260" i="1"/>
  <c r="CM262" i="1"/>
  <c r="CM263" i="1"/>
  <c r="CN263" i="1" s="1"/>
  <c r="CM264" i="1"/>
  <c r="CO264" i="1" s="1"/>
  <c r="CM265" i="1"/>
  <c r="CN265" i="1" s="1"/>
  <c r="CM266" i="1"/>
  <c r="CO266" i="1" s="1"/>
  <c r="CM267" i="1"/>
  <c r="CN267" i="1" s="1"/>
  <c r="CM268" i="1"/>
  <c r="CO268" i="1" s="1"/>
  <c r="CM269" i="1"/>
  <c r="CO269" i="1" s="1"/>
  <c r="CM270" i="1"/>
  <c r="CM271" i="1"/>
  <c r="CN271" i="1" s="1"/>
  <c r="CM272" i="1"/>
  <c r="CO272" i="1" s="1"/>
  <c r="CM273" i="1"/>
  <c r="CN273" i="1" s="1"/>
  <c r="CM274" i="1"/>
  <c r="CO274" i="1" s="1"/>
  <c r="CM275" i="1"/>
  <c r="CN275" i="1" s="1"/>
  <c r="CM276" i="1"/>
  <c r="CO276" i="1" s="1"/>
  <c r="CM277" i="1"/>
  <c r="CO277" i="1" s="1"/>
  <c r="CM278" i="1"/>
  <c r="CM279" i="1"/>
  <c r="CN279" i="1" s="1"/>
  <c r="CM280" i="1"/>
  <c r="CO280" i="1" s="1"/>
  <c r="CM281" i="1"/>
  <c r="CO281" i="1" s="1"/>
  <c r="CM282" i="1"/>
  <c r="CO282" i="1" s="1"/>
  <c r="CM283" i="1"/>
  <c r="CO283" i="1" s="1"/>
  <c r="CM284" i="1"/>
  <c r="CO284" i="1" s="1"/>
  <c r="CM285" i="1"/>
  <c r="CO285" i="1" s="1"/>
  <c r="CM286" i="1"/>
  <c r="CM287" i="1"/>
  <c r="CO287" i="1" s="1"/>
  <c r="CM288" i="1"/>
  <c r="CO288" i="1" s="1"/>
  <c r="CM289" i="1"/>
  <c r="CO289" i="1" s="1"/>
  <c r="CM290" i="1"/>
  <c r="CO290" i="1" s="1"/>
  <c r="CM291" i="1"/>
  <c r="CO291" i="1" s="1"/>
  <c r="CM292" i="1"/>
  <c r="CO292" i="1" s="1"/>
  <c r="CM293" i="1"/>
  <c r="CO293" i="1" s="1"/>
  <c r="CM294" i="1"/>
  <c r="CM295" i="1"/>
  <c r="CO295" i="1" s="1"/>
  <c r="CM296" i="1"/>
  <c r="CO296" i="1" s="1"/>
  <c r="CM297" i="1"/>
  <c r="CN297" i="1" s="1"/>
  <c r="CM298" i="1"/>
  <c r="CM299" i="1"/>
  <c r="CO299" i="1" s="1"/>
  <c r="CM300" i="1"/>
  <c r="CM301" i="1"/>
  <c r="CM302" i="1"/>
  <c r="CM2" i="1"/>
  <c r="CN2" i="1" s="1"/>
  <c r="CK4" i="1"/>
  <c r="CK60" i="1"/>
  <c r="CK136" i="1"/>
  <c r="CK145" i="1"/>
  <c r="CK192" i="1"/>
  <c r="CK198" i="1"/>
  <c r="CK202" i="1"/>
  <c r="CK268" i="1"/>
  <c r="CJ3" i="1"/>
  <c r="CJ4" i="1"/>
  <c r="CJ5" i="1"/>
  <c r="CJ6" i="1"/>
  <c r="CJ7" i="1"/>
  <c r="CJ8" i="1"/>
  <c r="CJ9" i="1"/>
  <c r="CJ10" i="1"/>
  <c r="CJ11" i="1"/>
  <c r="CJ12" i="1"/>
  <c r="CJ13" i="1"/>
  <c r="CJ14" i="1"/>
  <c r="CJ15" i="1"/>
  <c r="CJ16" i="1"/>
  <c r="CJ17" i="1"/>
  <c r="CJ18" i="1"/>
  <c r="CJ19" i="1"/>
  <c r="CJ20" i="1"/>
  <c r="CJ21" i="1"/>
  <c r="CJ22" i="1"/>
  <c r="CJ23" i="1"/>
  <c r="CJ24" i="1"/>
  <c r="CJ25" i="1"/>
  <c r="CJ26" i="1"/>
  <c r="CJ27" i="1"/>
  <c r="CJ28" i="1"/>
  <c r="CJ29" i="1"/>
  <c r="CJ30" i="1"/>
  <c r="CJ31" i="1"/>
  <c r="CJ32" i="1"/>
  <c r="CJ33" i="1"/>
  <c r="CJ34" i="1"/>
  <c r="CJ35" i="1"/>
  <c r="CJ36" i="1"/>
  <c r="CJ37" i="1"/>
  <c r="CJ38" i="1"/>
  <c r="CJ39" i="1"/>
  <c r="CJ40" i="1"/>
  <c r="CJ41" i="1"/>
  <c r="CJ42" i="1"/>
  <c r="CJ43" i="1"/>
  <c r="CJ44" i="1"/>
  <c r="CJ45" i="1"/>
  <c r="CJ46" i="1"/>
  <c r="CJ47" i="1"/>
  <c r="CJ48" i="1"/>
  <c r="CJ49" i="1"/>
  <c r="CJ50" i="1"/>
  <c r="CJ51" i="1"/>
  <c r="CJ52" i="1"/>
  <c r="CJ53" i="1"/>
  <c r="CJ54" i="1"/>
  <c r="CJ55" i="1"/>
  <c r="CJ56" i="1"/>
  <c r="CJ57" i="1"/>
  <c r="CJ58" i="1"/>
  <c r="CJ59" i="1"/>
  <c r="CJ60" i="1"/>
  <c r="CJ61" i="1"/>
  <c r="CJ62" i="1"/>
  <c r="CJ63" i="1"/>
  <c r="CJ64" i="1"/>
  <c r="CJ65" i="1"/>
  <c r="CJ66" i="1"/>
  <c r="CJ67" i="1"/>
  <c r="CJ68" i="1"/>
  <c r="CJ69" i="1"/>
  <c r="CJ70" i="1"/>
  <c r="CJ71" i="1"/>
  <c r="CJ72" i="1"/>
  <c r="CJ73" i="1"/>
  <c r="CJ74" i="1"/>
  <c r="CJ75" i="1"/>
  <c r="CJ76" i="1"/>
  <c r="CJ77" i="1"/>
  <c r="CJ78" i="1"/>
  <c r="CJ79" i="1"/>
  <c r="CJ80" i="1"/>
  <c r="CJ81" i="1"/>
  <c r="CJ82" i="1"/>
  <c r="CJ83" i="1"/>
  <c r="CJ84" i="1"/>
  <c r="CJ85" i="1"/>
  <c r="CJ86" i="1"/>
  <c r="CJ87" i="1"/>
  <c r="CJ88" i="1"/>
  <c r="CJ89" i="1"/>
  <c r="CJ90" i="1"/>
  <c r="CJ91" i="1"/>
  <c r="CJ92" i="1"/>
  <c r="CJ93" i="1"/>
  <c r="CJ94" i="1"/>
  <c r="CJ95" i="1"/>
  <c r="CJ96" i="1"/>
  <c r="CJ97" i="1"/>
  <c r="CJ98" i="1"/>
  <c r="CJ99" i="1"/>
  <c r="CJ100" i="1"/>
  <c r="CJ101" i="1"/>
  <c r="CJ102" i="1"/>
  <c r="CJ103" i="1"/>
  <c r="CJ104" i="1"/>
  <c r="CJ105" i="1"/>
  <c r="CJ106" i="1"/>
  <c r="CJ107" i="1"/>
  <c r="CJ108" i="1"/>
  <c r="CJ109" i="1"/>
  <c r="CJ110" i="1"/>
  <c r="CJ111" i="1"/>
  <c r="CJ112" i="1"/>
  <c r="CJ113" i="1"/>
  <c r="CJ114" i="1"/>
  <c r="CJ115" i="1"/>
  <c r="CJ116" i="1"/>
  <c r="CJ117" i="1"/>
  <c r="CJ118" i="1"/>
  <c r="CJ119" i="1"/>
  <c r="CJ120" i="1"/>
  <c r="CJ121" i="1"/>
  <c r="CJ122" i="1"/>
  <c r="CJ123" i="1"/>
  <c r="CJ124" i="1"/>
  <c r="CJ125" i="1"/>
  <c r="CJ126" i="1"/>
  <c r="CJ127" i="1"/>
  <c r="CJ128" i="1"/>
  <c r="CJ129" i="1"/>
  <c r="CJ130" i="1"/>
  <c r="CJ131" i="1"/>
  <c r="CJ133" i="1"/>
  <c r="CJ134" i="1"/>
  <c r="CJ135" i="1"/>
  <c r="CJ136" i="1"/>
  <c r="CJ137" i="1"/>
  <c r="CJ138" i="1"/>
  <c r="CJ139" i="1"/>
  <c r="CJ140" i="1"/>
  <c r="CJ141" i="1"/>
  <c r="CJ142" i="1"/>
  <c r="CJ143" i="1"/>
  <c r="CJ144" i="1"/>
  <c r="CJ145" i="1"/>
  <c r="CJ146" i="1"/>
  <c r="CJ147" i="1"/>
  <c r="CJ148" i="1"/>
  <c r="CJ149" i="1"/>
  <c r="CJ150" i="1"/>
  <c r="CJ151" i="1"/>
  <c r="CJ152" i="1"/>
  <c r="CJ153" i="1"/>
  <c r="CJ154" i="1"/>
  <c r="CJ155" i="1"/>
  <c r="CJ156" i="1"/>
  <c r="CJ157" i="1"/>
  <c r="CJ158" i="1"/>
  <c r="CJ159" i="1"/>
  <c r="CJ160" i="1"/>
  <c r="CJ161" i="1"/>
  <c r="CJ162" i="1"/>
  <c r="CJ163" i="1"/>
  <c r="CJ164" i="1"/>
  <c r="CJ165" i="1"/>
  <c r="CJ166" i="1"/>
  <c r="CJ167" i="1"/>
  <c r="CJ168" i="1"/>
  <c r="CJ169" i="1"/>
  <c r="CJ170" i="1"/>
  <c r="CJ171" i="1"/>
  <c r="CJ172" i="1"/>
  <c r="CJ173" i="1"/>
  <c r="CJ174" i="1"/>
  <c r="CJ175" i="1"/>
  <c r="CJ176" i="1"/>
  <c r="CJ177" i="1"/>
  <c r="CJ178" i="1"/>
  <c r="CJ179" i="1"/>
  <c r="CJ180" i="1"/>
  <c r="CJ181" i="1"/>
  <c r="CJ182" i="1"/>
  <c r="CJ183" i="1"/>
  <c r="CJ184" i="1"/>
  <c r="CJ185" i="1"/>
  <c r="CJ186" i="1"/>
  <c r="CJ187" i="1"/>
  <c r="CJ188" i="1"/>
  <c r="CJ189" i="1"/>
  <c r="CJ190" i="1"/>
  <c r="CJ191" i="1"/>
  <c r="CJ192" i="1"/>
  <c r="CJ193" i="1"/>
  <c r="CJ194" i="1"/>
  <c r="CJ195" i="1"/>
  <c r="CJ196" i="1"/>
  <c r="CJ197" i="1"/>
  <c r="CJ198" i="1"/>
  <c r="CJ199" i="1"/>
  <c r="CJ200" i="1"/>
  <c r="CJ201" i="1"/>
  <c r="CJ202" i="1"/>
  <c r="CJ203" i="1"/>
  <c r="CJ204" i="1"/>
  <c r="CJ205" i="1"/>
  <c r="CJ206" i="1"/>
  <c r="CJ207" i="1"/>
  <c r="CJ208" i="1"/>
  <c r="CJ209" i="1"/>
  <c r="CJ210" i="1"/>
  <c r="CJ211" i="1"/>
  <c r="CJ212" i="1"/>
  <c r="CJ213" i="1"/>
  <c r="CJ214" i="1"/>
  <c r="CJ215" i="1"/>
  <c r="CJ216" i="1"/>
  <c r="CJ217" i="1"/>
  <c r="CJ218" i="1"/>
  <c r="CJ219" i="1"/>
  <c r="CJ220" i="1"/>
  <c r="CJ221" i="1"/>
  <c r="CJ222" i="1"/>
  <c r="CJ223" i="1"/>
  <c r="CJ224" i="1"/>
  <c r="CJ225" i="1"/>
  <c r="CJ226" i="1"/>
  <c r="CJ227" i="1"/>
  <c r="CJ228" i="1"/>
  <c r="CJ229" i="1"/>
  <c r="CJ230" i="1"/>
  <c r="CJ231" i="1"/>
  <c r="CJ232" i="1"/>
  <c r="CJ233" i="1"/>
  <c r="CJ234" i="1"/>
  <c r="CJ235" i="1"/>
  <c r="CJ236" i="1"/>
  <c r="CJ237" i="1"/>
  <c r="CJ238" i="1"/>
  <c r="CJ239" i="1"/>
  <c r="CJ240" i="1"/>
  <c r="CJ241" i="1"/>
  <c r="CJ242" i="1"/>
  <c r="CJ243" i="1"/>
  <c r="CJ244" i="1"/>
  <c r="CJ245" i="1"/>
  <c r="CJ246" i="1"/>
  <c r="CJ247" i="1"/>
  <c r="CJ248" i="1"/>
  <c r="CJ249" i="1"/>
  <c r="CJ250" i="1"/>
  <c r="CJ251" i="1"/>
  <c r="CJ252" i="1"/>
  <c r="CJ253" i="1"/>
  <c r="CJ254" i="1"/>
  <c r="CJ255" i="1"/>
  <c r="CJ256" i="1"/>
  <c r="CJ257" i="1"/>
  <c r="CJ258" i="1"/>
  <c r="CJ259" i="1"/>
  <c r="CJ260" i="1"/>
  <c r="CJ262" i="1"/>
  <c r="CJ263" i="1"/>
  <c r="CJ264" i="1"/>
  <c r="CJ265" i="1"/>
  <c r="CJ266" i="1"/>
  <c r="CJ267" i="1"/>
  <c r="CJ268" i="1"/>
  <c r="CJ269" i="1"/>
  <c r="CJ270" i="1"/>
  <c r="CJ271" i="1"/>
  <c r="CJ272" i="1"/>
  <c r="CJ273" i="1"/>
  <c r="CJ274" i="1"/>
  <c r="CJ275" i="1"/>
  <c r="CJ276" i="1"/>
  <c r="CJ277" i="1"/>
  <c r="CJ278" i="1"/>
  <c r="CJ279" i="1"/>
  <c r="CJ280" i="1"/>
  <c r="CJ281" i="1"/>
  <c r="CJ282" i="1"/>
  <c r="CJ283" i="1"/>
  <c r="CJ284" i="1"/>
  <c r="CJ285" i="1"/>
  <c r="CJ286" i="1"/>
  <c r="CJ287" i="1"/>
  <c r="CJ288" i="1"/>
  <c r="CJ289" i="1"/>
  <c r="CJ290" i="1"/>
  <c r="CJ291" i="1"/>
  <c r="CJ292" i="1"/>
  <c r="CJ293" i="1"/>
  <c r="CJ294" i="1"/>
  <c r="CJ295" i="1"/>
  <c r="CJ296" i="1"/>
  <c r="CJ297" i="1"/>
  <c r="CJ298" i="1"/>
  <c r="CJ299" i="1"/>
  <c r="CJ300" i="1"/>
  <c r="CJ301" i="1"/>
  <c r="CJ302" i="1"/>
  <c r="CJ2" i="1"/>
  <c r="CI3" i="1"/>
  <c r="CI4" i="1"/>
  <c r="CI5" i="1"/>
  <c r="CI6" i="1"/>
  <c r="CI7" i="1"/>
  <c r="CI8" i="1"/>
  <c r="CI9" i="1"/>
  <c r="CI10" i="1"/>
  <c r="CI11" i="1"/>
  <c r="CI12" i="1"/>
  <c r="CI13" i="1"/>
  <c r="CI14" i="1"/>
  <c r="CI15" i="1"/>
  <c r="CI16" i="1"/>
  <c r="CI17" i="1"/>
  <c r="CI18" i="1"/>
  <c r="CI19" i="1"/>
  <c r="CI20" i="1"/>
  <c r="CI21" i="1"/>
  <c r="CI22" i="1"/>
  <c r="CI23" i="1"/>
  <c r="CI24" i="1"/>
  <c r="CI25" i="1"/>
  <c r="CI26" i="1"/>
  <c r="CI27" i="1"/>
  <c r="CI28" i="1"/>
  <c r="CI29" i="1"/>
  <c r="CI30" i="1"/>
  <c r="CI31" i="1"/>
  <c r="CI32" i="1"/>
  <c r="CI33" i="1"/>
  <c r="CI34" i="1"/>
  <c r="CI35" i="1"/>
  <c r="CI36" i="1"/>
  <c r="CI37" i="1"/>
  <c r="CI38" i="1"/>
  <c r="CI39" i="1"/>
  <c r="CI40" i="1"/>
  <c r="CI41" i="1"/>
  <c r="CI42" i="1"/>
  <c r="CI43" i="1"/>
  <c r="CI44" i="1"/>
  <c r="CI45" i="1"/>
  <c r="CI46" i="1"/>
  <c r="CI47" i="1"/>
  <c r="CI48" i="1"/>
  <c r="CI49" i="1"/>
  <c r="CI50" i="1"/>
  <c r="CI51" i="1"/>
  <c r="CI52" i="1"/>
  <c r="CI53" i="1"/>
  <c r="CI54" i="1"/>
  <c r="CI55" i="1"/>
  <c r="CI56" i="1"/>
  <c r="CI57" i="1"/>
  <c r="CI58" i="1"/>
  <c r="CI59" i="1"/>
  <c r="CI60" i="1"/>
  <c r="CI61" i="1"/>
  <c r="CI62" i="1"/>
  <c r="CI63" i="1"/>
  <c r="CI64" i="1"/>
  <c r="CI65" i="1"/>
  <c r="CI66" i="1"/>
  <c r="CI67" i="1"/>
  <c r="CI68" i="1"/>
  <c r="CI69" i="1"/>
  <c r="CI70" i="1"/>
  <c r="CI71" i="1"/>
  <c r="CI72" i="1"/>
  <c r="CI73" i="1"/>
  <c r="CI74" i="1"/>
  <c r="CI75" i="1"/>
  <c r="CI76" i="1"/>
  <c r="CI77" i="1"/>
  <c r="CI78" i="1"/>
  <c r="CI79" i="1"/>
  <c r="CI80" i="1"/>
  <c r="CI81" i="1"/>
  <c r="CI82" i="1"/>
  <c r="CI83" i="1"/>
  <c r="CI84" i="1"/>
  <c r="CI85" i="1"/>
  <c r="CI86" i="1"/>
  <c r="CI87" i="1"/>
  <c r="CI88" i="1"/>
  <c r="CI89" i="1"/>
  <c r="CI90" i="1"/>
  <c r="CI91" i="1"/>
  <c r="CI92" i="1"/>
  <c r="CI93" i="1"/>
  <c r="CI94" i="1"/>
  <c r="CI95" i="1"/>
  <c r="CI96" i="1"/>
  <c r="CI97" i="1"/>
  <c r="CI98" i="1"/>
  <c r="CI99" i="1"/>
  <c r="CI100" i="1"/>
  <c r="CI101" i="1"/>
  <c r="CI102" i="1"/>
  <c r="CI103" i="1"/>
  <c r="CI104" i="1"/>
  <c r="CI105" i="1"/>
  <c r="CI106" i="1"/>
  <c r="CI107" i="1"/>
  <c r="CI108" i="1"/>
  <c r="CI109" i="1"/>
  <c r="CI110" i="1"/>
  <c r="CI111" i="1"/>
  <c r="CI112" i="1"/>
  <c r="CI113" i="1"/>
  <c r="CI114" i="1"/>
  <c r="CI115" i="1"/>
  <c r="CI116" i="1"/>
  <c r="CI117" i="1"/>
  <c r="CI118" i="1"/>
  <c r="CI119" i="1"/>
  <c r="CI120" i="1"/>
  <c r="CI121" i="1"/>
  <c r="CI122" i="1"/>
  <c r="CI123" i="1"/>
  <c r="CI124" i="1"/>
  <c r="CI125" i="1"/>
  <c r="CI126" i="1"/>
  <c r="CI127" i="1"/>
  <c r="CI128" i="1"/>
  <c r="CI129" i="1"/>
  <c r="CI130" i="1"/>
  <c r="CI131" i="1"/>
  <c r="CI133" i="1"/>
  <c r="CI134" i="1"/>
  <c r="CI135" i="1"/>
  <c r="CI136" i="1"/>
  <c r="CI137" i="1"/>
  <c r="CI138" i="1"/>
  <c r="CI139" i="1"/>
  <c r="CI140" i="1"/>
  <c r="CI141" i="1"/>
  <c r="CI142" i="1"/>
  <c r="CI143" i="1"/>
  <c r="CI144" i="1"/>
  <c r="CI145" i="1"/>
  <c r="CI146" i="1"/>
  <c r="CI147" i="1"/>
  <c r="CI148" i="1"/>
  <c r="CI149" i="1"/>
  <c r="CI150" i="1"/>
  <c r="CI151" i="1"/>
  <c r="CI152" i="1"/>
  <c r="CI153" i="1"/>
  <c r="CI154" i="1"/>
  <c r="CI155" i="1"/>
  <c r="CI156" i="1"/>
  <c r="CI157" i="1"/>
  <c r="CI158" i="1"/>
  <c r="CI159" i="1"/>
  <c r="CI160" i="1"/>
  <c r="CI161" i="1"/>
  <c r="CI162" i="1"/>
  <c r="CI163" i="1"/>
  <c r="CI164" i="1"/>
  <c r="CI165" i="1"/>
  <c r="CI166" i="1"/>
  <c r="CI167" i="1"/>
  <c r="CI168" i="1"/>
  <c r="CI169" i="1"/>
  <c r="CI170" i="1"/>
  <c r="CI171" i="1"/>
  <c r="CI172" i="1"/>
  <c r="CI173" i="1"/>
  <c r="CI174" i="1"/>
  <c r="CI175" i="1"/>
  <c r="CI176" i="1"/>
  <c r="CI177" i="1"/>
  <c r="CI178" i="1"/>
  <c r="CI179" i="1"/>
  <c r="CI180" i="1"/>
  <c r="CI181" i="1"/>
  <c r="CI182" i="1"/>
  <c r="CI183" i="1"/>
  <c r="CI184" i="1"/>
  <c r="CI185" i="1"/>
  <c r="CI186" i="1"/>
  <c r="CI187" i="1"/>
  <c r="CI188" i="1"/>
  <c r="CI189" i="1"/>
  <c r="CI190" i="1"/>
  <c r="CI191" i="1"/>
  <c r="CI192" i="1"/>
  <c r="CI193" i="1"/>
  <c r="CI194" i="1"/>
  <c r="CI195" i="1"/>
  <c r="CI196" i="1"/>
  <c r="CI197" i="1"/>
  <c r="CI198" i="1"/>
  <c r="CI199" i="1"/>
  <c r="CI200" i="1"/>
  <c r="CI201" i="1"/>
  <c r="CI202" i="1"/>
  <c r="CI203" i="1"/>
  <c r="CI204" i="1"/>
  <c r="CI205" i="1"/>
  <c r="CI206" i="1"/>
  <c r="CI207" i="1"/>
  <c r="CI208" i="1"/>
  <c r="CI209" i="1"/>
  <c r="CI210" i="1"/>
  <c r="CI211" i="1"/>
  <c r="CI212" i="1"/>
  <c r="CI213" i="1"/>
  <c r="CI214" i="1"/>
  <c r="CI215" i="1"/>
  <c r="CI216" i="1"/>
  <c r="CI217" i="1"/>
  <c r="CI218" i="1"/>
  <c r="CI219" i="1"/>
  <c r="CI220" i="1"/>
  <c r="CI221" i="1"/>
  <c r="CI222" i="1"/>
  <c r="CI223" i="1"/>
  <c r="CI224" i="1"/>
  <c r="CI225" i="1"/>
  <c r="CI226" i="1"/>
  <c r="CI227" i="1"/>
  <c r="CI228" i="1"/>
  <c r="CI229" i="1"/>
  <c r="CI230" i="1"/>
  <c r="CI231" i="1"/>
  <c r="CI232" i="1"/>
  <c r="CI233" i="1"/>
  <c r="CI234" i="1"/>
  <c r="CI235" i="1"/>
  <c r="CI236" i="1"/>
  <c r="CI237" i="1"/>
  <c r="CI238" i="1"/>
  <c r="CI239" i="1"/>
  <c r="CI240" i="1"/>
  <c r="CI241" i="1"/>
  <c r="CI242" i="1"/>
  <c r="CI243" i="1"/>
  <c r="CI244" i="1"/>
  <c r="CI245" i="1"/>
  <c r="CI246" i="1"/>
  <c r="CI247" i="1"/>
  <c r="CI248" i="1"/>
  <c r="CI249" i="1"/>
  <c r="CI250" i="1"/>
  <c r="CI251" i="1"/>
  <c r="CI252" i="1"/>
  <c r="CI253" i="1"/>
  <c r="CI254" i="1"/>
  <c r="CI255" i="1"/>
  <c r="CI256" i="1"/>
  <c r="CI257" i="1"/>
  <c r="CI258" i="1"/>
  <c r="CI259" i="1"/>
  <c r="CI260" i="1"/>
  <c r="CI262" i="1"/>
  <c r="CI263" i="1"/>
  <c r="CI264" i="1"/>
  <c r="CI265" i="1"/>
  <c r="CI266" i="1"/>
  <c r="CI267" i="1"/>
  <c r="CI268" i="1"/>
  <c r="CI269" i="1"/>
  <c r="CI270" i="1"/>
  <c r="CI271" i="1"/>
  <c r="CI272" i="1"/>
  <c r="CI273" i="1"/>
  <c r="CI274" i="1"/>
  <c r="CI275" i="1"/>
  <c r="CI276" i="1"/>
  <c r="CI277" i="1"/>
  <c r="CI278" i="1"/>
  <c r="CI279" i="1"/>
  <c r="CI280" i="1"/>
  <c r="CI281" i="1"/>
  <c r="CI282" i="1"/>
  <c r="CI283" i="1"/>
  <c r="CI284" i="1"/>
  <c r="CI285" i="1"/>
  <c r="CI286" i="1"/>
  <c r="CI287" i="1"/>
  <c r="CI288" i="1"/>
  <c r="CI289" i="1"/>
  <c r="CI290" i="1"/>
  <c r="CI291" i="1"/>
  <c r="CI292" i="1"/>
  <c r="CI293" i="1"/>
  <c r="CI294" i="1"/>
  <c r="CI295" i="1"/>
  <c r="CI296" i="1"/>
  <c r="CI297" i="1"/>
  <c r="CI298" i="1"/>
  <c r="CI299" i="1"/>
  <c r="CI300" i="1"/>
  <c r="CI301" i="1"/>
  <c r="CI302" i="1"/>
  <c r="CI2" i="1"/>
  <c r="CG3" i="1"/>
  <c r="CG4" i="1"/>
  <c r="CG5" i="1"/>
  <c r="CG6" i="1"/>
  <c r="CG7" i="1"/>
  <c r="CG8" i="1"/>
  <c r="CG9" i="1"/>
  <c r="CG10" i="1"/>
  <c r="CG11" i="1"/>
  <c r="CG12" i="1"/>
  <c r="CG13" i="1"/>
  <c r="CG14" i="1"/>
  <c r="CG15" i="1"/>
  <c r="CG16" i="1"/>
  <c r="CG17" i="1"/>
  <c r="CG18" i="1"/>
  <c r="CG19" i="1"/>
  <c r="CG20" i="1"/>
  <c r="CG21" i="1"/>
  <c r="CG22" i="1"/>
  <c r="CG23" i="1"/>
  <c r="CG24" i="1"/>
  <c r="CG25" i="1"/>
  <c r="CG26" i="1"/>
  <c r="CG27" i="1"/>
  <c r="CG28" i="1"/>
  <c r="CG29" i="1"/>
  <c r="CG30" i="1"/>
  <c r="CG31" i="1"/>
  <c r="CG32" i="1"/>
  <c r="CG33" i="1"/>
  <c r="CG34" i="1"/>
  <c r="CG35" i="1"/>
  <c r="CG36" i="1"/>
  <c r="CG37" i="1"/>
  <c r="CG38" i="1"/>
  <c r="CG39" i="1"/>
  <c r="CG40" i="1"/>
  <c r="CG41" i="1"/>
  <c r="CG42" i="1"/>
  <c r="CG43" i="1"/>
  <c r="CG44" i="1"/>
  <c r="CG45" i="1"/>
  <c r="CG46" i="1"/>
  <c r="CG47" i="1"/>
  <c r="CG48" i="1"/>
  <c r="CG49" i="1"/>
  <c r="CG50" i="1"/>
  <c r="CG51" i="1"/>
  <c r="CG52" i="1"/>
  <c r="CG53" i="1"/>
  <c r="CG54" i="1"/>
  <c r="CG55" i="1"/>
  <c r="CG56" i="1"/>
  <c r="CG57" i="1"/>
  <c r="CG58" i="1"/>
  <c r="CG59" i="1"/>
  <c r="CG60" i="1"/>
  <c r="CG61" i="1"/>
  <c r="CG62" i="1"/>
  <c r="CG63" i="1"/>
  <c r="CG64" i="1"/>
  <c r="CG65" i="1"/>
  <c r="CG66" i="1"/>
  <c r="CG67" i="1"/>
  <c r="CG68" i="1"/>
  <c r="CG69" i="1"/>
  <c r="CG70" i="1"/>
  <c r="CG71" i="1"/>
  <c r="CG72" i="1"/>
  <c r="CG73" i="1"/>
  <c r="CG74" i="1"/>
  <c r="CG75" i="1"/>
  <c r="CG76" i="1"/>
  <c r="CG77" i="1"/>
  <c r="CG78" i="1"/>
  <c r="CG79" i="1"/>
  <c r="CG80" i="1"/>
  <c r="CG81" i="1"/>
  <c r="CG82" i="1"/>
  <c r="CG83" i="1"/>
  <c r="CG84" i="1"/>
  <c r="CG85" i="1"/>
  <c r="CG86" i="1"/>
  <c r="CG87" i="1"/>
  <c r="CG88" i="1"/>
  <c r="CG89" i="1"/>
  <c r="CG90" i="1"/>
  <c r="CG91" i="1"/>
  <c r="CG92" i="1"/>
  <c r="CG93" i="1"/>
  <c r="CG94" i="1"/>
  <c r="CG95" i="1"/>
  <c r="CG96" i="1"/>
  <c r="CG97" i="1"/>
  <c r="CG98" i="1"/>
  <c r="CG99" i="1"/>
  <c r="CG100" i="1"/>
  <c r="CG101" i="1"/>
  <c r="CG102" i="1"/>
  <c r="CG103" i="1"/>
  <c r="CG104" i="1"/>
  <c r="CG105" i="1"/>
  <c r="CG106" i="1"/>
  <c r="CG107" i="1"/>
  <c r="CG108" i="1"/>
  <c r="CG109" i="1"/>
  <c r="CG110" i="1"/>
  <c r="CG111" i="1"/>
  <c r="CG112" i="1"/>
  <c r="CG113" i="1"/>
  <c r="CG114" i="1"/>
  <c r="CG115" i="1"/>
  <c r="CG116" i="1"/>
  <c r="CG117" i="1"/>
  <c r="CG118" i="1"/>
  <c r="CG119" i="1"/>
  <c r="CG120" i="1"/>
  <c r="CG121" i="1"/>
  <c r="CG122" i="1"/>
  <c r="CG123" i="1"/>
  <c r="CG124" i="1"/>
  <c r="CG125" i="1"/>
  <c r="CG126" i="1"/>
  <c r="CG127" i="1"/>
  <c r="CG128" i="1"/>
  <c r="CG129" i="1"/>
  <c r="CG130" i="1"/>
  <c r="CG131" i="1"/>
  <c r="CG133" i="1"/>
  <c r="CG134" i="1"/>
  <c r="CG135" i="1"/>
  <c r="CG136" i="1"/>
  <c r="CG137" i="1"/>
  <c r="CG138" i="1"/>
  <c r="CG139" i="1"/>
  <c r="CG140" i="1"/>
  <c r="CG141" i="1"/>
  <c r="CG142" i="1"/>
  <c r="CG143" i="1"/>
  <c r="CG144" i="1"/>
  <c r="CG145" i="1"/>
  <c r="CG146" i="1"/>
  <c r="CG147" i="1"/>
  <c r="CG148" i="1"/>
  <c r="CG149" i="1"/>
  <c r="CG150" i="1"/>
  <c r="CG151" i="1"/>
  <c r="CG152" i="1"/>
  <c r="CG153" i="1"/>
  <c r="CG154" i="1"/>
  <c r="CG155" i="1"/>
  <c r="CG156" i="1"/>
  <c r="CG157" i="1"/>
  <c r="CG158" i="1"/>
  <c r="CG159" i="1"/>
  <c r="CG160" i="1"/>
  <c r="CG161" i="1"/>
  <c r="CG162" i="1"/>
  <c r="CG163" i="1"/>
  <c r="CG164" i="1"/>
  <c r="CG165" i="1"/>
  <c r="CG166" i="1"/>
  <c r="CG167" i="1"/>
  <c r="CG168" i="1"/>
  <c r="CG169" i="1"/>
  <c r="CG170" i="1"/>
  <c r="CG171" i="1"/>
  <c r="CG172" i="1"/>
  <c r="CG173" i="1"/>
  <c r="CG174" i="1"/>
  <c r="CG175" i="1"/>
  <c r="CG176" i="1"/>
  <c r="CG177" i="1"/>
  <c r="CG178" i="1"/>
  <c r="CG179" i="1"/>
  <c r="CG180" i="1"/>
  <c r="CG181" i="1"/>
  <c r="CG182" i="1"/>
  <c r="CG183" i="1"/>
  <c r="CG184" i="1"/>
  <c r="CG185" i="1"/>
  <c r="CG186" i="1"/>
  <c r="CG187" i="1"/>
  <c r="CG188" i="1"/>
  <c r="CG189" i="1"/>
  <c r="CG190" i="1"/>
  <c r="CG191" i="1"/>
  <c r="CG192" i="1"/>
  <c r="CG193" i="1"/>
  <c r="CG194" i="1"/>
  <c r="CG195" i="1"/>
  <c r="CG196" i="1"/>
  <c r="CG197" i="1"/>
  <c r="CG198" i="1"/>
  <c r="CG199" i="1"/>
  <c r="CG200" i="1"/>
  <c r="CG201" i="1"/>
  <c r="CG202" i="1"/>
  <c r="CG203" i="1"/>
  <c r="CG204" i="1"/>
  <c r="CG205" i="1"/>
  <c r="CG206" i="1"/>
  <c r="CG207" i="1"/>
  <c r="CG208" i="1"/>
  <c r="CG209" i="1"/>
  <c r="CG210" i="1"/>
  <c r="CG211" i="1"/>
  <c r="CG212" i="1"/>
  <c r="CG213" i="1"/>
  <c r="CG214" i="1"/>
  <c r="CG215" i="1"/>
  <c r="CG216" i="1"/>
  <c r="CG217" i="1"/>
  <c r="CG218" i="1"/>
  <c r="CG219" i="1"/>
  <c r="CG220" i="1"/>
  <c r="CG221" i="1"/>
  <c r="CG222" i="1"/>
  <c r="CG223" i="1"/>
  <c r="CG224" i="1"/>
  <c r="CG225" i="1"/>
  <c r="CG226" i="1"/>
  <c r="CG227" i="1"/>
  <c r="CG228" i="1"/>
  <c r="CG229" i="1"/>
  <c r="CG230" i="1"/>
  <c r="CG231" i="1"/>
  <c r="CG232" i="1"/>
  <c r="CG233" i="1"/>
  <c r="CG234" i="1"/>
  <c r="CG235" i="1"/>
  <c r="CG236" i="1"/>
  <c r="CG237" i="1"/>
  <c r="CG238" i="1"/>
  <c r="CG239" i="1"/>
  <c r="CG240" i="1"/>
  <c r="CG241" i="1"/>
  <c r="CG242" i="1"/>
  <c r="CG243" i="1"/>
  <c r="CG244" i="1"/>
  <c r="CG245" i="1"/>
  <c r="CG246" i="1"/>
  <c r="CG247" i="1"/>
  <c r="CG248" i="1"/>
  <c r="CG249" i="1"/>
  <c r="CG250" i="1"/>
  <c r="CG251" i="1"/>
  <c r="CG252" i="1"/>
  <c r="CG253" i="1"/>
  <c r="CG254" i="1"/>
  <c r="CG255" i="1"/>
  <c r="CG256" i="1"/>
  <c r="CG257" i="1"/>
  <c r="CG258" i="1"/>
  <c r="CG259" i="1"/>
  <c r="CG260" i="1"/>
  <c r="CG262" i="1"/>
  <c r="CG263" i="1"/>
  <c r="CG264" i="1"/>
  <c r="CG265" i="1"/>
  <c r="CG266" i="1"/>
  <c r="CG267" i="1"/>
  <c r="CG268" i="1"/>
  <c r="CG269" i="1"/>
  <c r="CG270" i="1"/>
  <c r="CG271" i="1"/>
  <c r="CG272" i="1"/>
  <c r="CG273" i="1"/>
  <c r="CG274" i="1"/>
  <c r="CG275" i="1"/>
  <c r="CG276" i="1"/>
  <c r="CG277" i="1"/>
  <c r="CG278" i="1"/>
  <c r="CG279" i="1"/>
  <c r="CG280" i="1"/>
  <c r="CG281" i="1"/>
  <c r="CG282" i="1"/>
  <c r="CG283" i="1"/>
  <c r="CG284" i="1"/>
  <c r="CG285" i="1"/>
  <c r="CG286" i="1"/>
  <c r="CG287" i="1"/>
  <c r="CG288" i="1"/>
  <c r="CG289" i="1"/>
  <c r="CG290" i="1"/>
  <c r="CG291" i="1"/>
  <c r="CG292" i="1"/>
  <c r="CG293" i="1"/>
  <c r="CG294" i="1"/>
  <c r="CG295" i="1"/>
  <c r="CG296" i="1"/>
  <c r="CG297" i="1"/>
  <c r="CG298" i="1"/>
  <c r="CG299" i="1"/>
  <c r="CG300" i="1"/>
  <c r="CG301" i="1"/>
  <c r="CG302" i="1"/>
  <c r="CG2" i="1"/>
  <c r="CF3" i="1"/>
  <c r="CF4" i="1"/>
  <c r="CF5" i="1"/>
  <c r="CF6" i="1"/>
  <c r="CF7" i="1"/>
  <c r="CF8" i="1"/>
  <c r="CF9" i="1"/>
  <c r="CF10" i="1"/>
  <c r="CF11" i="1"/>
  <c r="CF12" i="1"/>
  <c r="CF13" i="1"/>
  <c r="CF14" i="1"/>
  <c r="CF15" i="1"/>
  <c r="CF16" i="1"/>
  <c r="CF17" i="1"/>
  <c r="CF18" i="1"/>
  <c r="CF19" i="1"/>
  <c r="CF20" i="1"/>
  <c r="CF21" i="1"/>
  <c r="CF22" i="1"/>
  <c r="CF23" i="1"/>
  <c r="CF24" i="1"/>
  <c r="CF25" i="1"/>
  <c r="CF26" i="1"/>
  <c r="CF27" i="1"/>
  <c r="CF28" i="1"/>
  <c r="CF29" i="1"/>
  <c r="CF30" i="1"/>
  <c r="CF31" i="1"/>
  <c r="CF32" i="1"/>
  <c r="CF33" i="1"/>
  <c r="CF34" i="1"/>
  <c r="CF35" i="1"/>
  <c r="CF36" i="1"/>
  <c r="CF37" i="1"/>
  <c r="CF38" i="1"/>
  <c r="CF39" i="1"/>
  <c r="CF40" i="1"/>
  <c r="CF41" i="1"/>
  <c r="CF42" i="1"/>
  <c r="CF43" i="1"/>
  <c r="CF44" i="1"/>
  <c r="CF45" i="1"/>
  <c r="CF46" i="1"/>
  <c r="CF47" i="1"/>
  <c r="CF48" i="1"/>
  <c r="CF49" i="1"/>
  <c r="CF50" i="1"/>
  <c r="CF51" i="1"/>
  <c r="CF52" i="1"/>
  <c r="CF53" i="1"/>
  <c r="CF54" i="1"/>
  <c r="CF55" i="1"/>
  <c r="CF56" i="1"/>
  <c r="CF57" i="1"/>
  <c r="CF58" i="1"/>
  <c r="CF59" i="1"/>
  <c r="CF60" i="1"/>
  <c r="CF61" i="1"/>
  <c r="CF62" i="1"/>
  <c r="CF63" i="1"/>
  <c r="CF64" i="1"/>
  <c r="CF65" i="1"/>
  <c r="CF66" i="1"/>
  <c r="CF67" i="1"/>
  <c r="CF68" i="1"/>
  <c r="CF69" i="1"/>
  <c r="CF70" i="1"/>
  <c r="CF71" i="1"/>
  <c r="CF72" i="1"/>
  <c r="CF73" i="1"/>
  <c r="CF74" i="1"/>
  <c r="CF75" i="1"/>
  <c r="CF76" i="1"/>
  <c r="CF77" i="1"/>
  <c r="CF78" i="1"/>
  <c r="CF79" i="1"/>
  <c r="CF80" i="1"/>
  <c r="CF81" i="1"/>
  <c r="CF82" i="1"/>
  <c r="CF83" i="1"/>
  <c r="CF84" i="1"/>
  <c r="CF85" i="1"/>
  <c r="CF86" i="1"/>
  <c r="CF87" i="1"/>
  <c r="CF88" i="1"/>
  <c r="CF89" i="1"/>
  <c r="CF90" i="1"/>
  <c r="CF91" i="1"/>
  <c r="CF92" i="1"/>
  <c r="CF93" i="1"/>
  <c r="CF94" i="1"/>
  <c r="CF95" i="1"/>
  <c r="CF96" i="1"/>
  <c r="CF97" i="1"/>
  <c r="CF98" i="1"/>
  <c r="CF99" i="1"/>
  <c r="CF100" i="1"/>
  <c r="CF101" i="1"/>
  <c r="CF102" i="1"/>
  <c r="CF103" i="1"/>
  <c r="CF104" i="1"/>
  <c r="CF105" i="1"/>
  <c r="CF106" i="1"/>
  <c r="CF107" i="1"/>
  <c r="CF108" i="1"/>
  <c r="CF109" i="1"/>
  <c r="CF110" i="1"/>
  <c r="CF111" i="1"/>
  <c r="CF112" i="1"/>
  <c r="CF113" i="1"/>
  <c r="CF114" i="1"/>
  <c r="CF115" i="1"/>
  <c r="CF116" i="1"/>
  <c r="CF117" i="1"/>
  <c r="CF118" i="1"/>
  <c r="CF119" i="1"/>
  <c r="CF120" i="1"/>
  <c r="CF121" i="1"/>
  <c r="CF122" i="1"/>
  <c r="CF123" i="1"/>
  <c r="CF124" i="1"/>
  <c r="CF125" i="1"/>
  <c r="CF126" i="1"/>
  <c r="CF127" i="1"/>
  <c r="CF128" i="1"/>
  <c r="CF129" i="1"/>
  <c r="CF130" i="1"/>
  <c r="CF131" i="1"/>
  <c r="CF133" i="1"/>
  <c r="CF134" i="1"/>
  <c r="CF135" i="1"/>
  <c r="CF136" i="1"/>
  <c r="CF137" i="1"/>
  <c r="CF138" i="1"/>
  <c r="CF139" i="1"/>
  <c r="CF140" i="1"/>
  <c r="CF141" i="1"/>
  <c r="CF142" i="1"/>
  <c r="CF143" i="1"/>
  <c r="CF144" i="1"/>
  <c r="CF145" i="1"/>
  <c r="CF146" i="1"/>
  <c r="CF147" i="1"/>
  <c r="CF148" i="1"/>
  <c r="CF149" i="1"/>
  <c r="CF150" i="1"/>
  <c r="CF151" i="1"/>
  <c r="CF152" i="1"/>
  <c r="CF153" i="1"/>
  <c r="CF154" i="1"/>
  <c r="CF155" i="1"/>
  <c r="CF156" i="1"/>
  <c r="CF157" i="1"/>
  <c r="CF158" i="1"/>
  <c r="CF159" i="1"/>
  <c r="CF160" i="1"/>
  <c r="CF161" i="1"/>
  <c r="CF162" i="1"/>
  <c r="CF163" i="1"/>
  <c r="CF164" i="1"/>
  <c r="CF165" i="1"/>
  <c r="CF166" i="1"/>
  <c r="CF167" i="1"/>
  <c r="CF168" i="1"/>
  <c r="CF169" i="1"/>
  <c r="CF170" i="1"/>
  <c r="CF171" i="1"/>
  <c r="CF172" i="1"/>
  <c r="CF173" i="1"/>
  <c r="CF174" i="1"/>
  <c r="CF175" i="1"/>
  <c r="CF176" i="1"/>
  <c r="CF177" i="1"/>
  <c r="CF178" i="1"/>
  <c r="CF179" i="1"/>
  <c r="CF180" i="1"/>
  <c r="CF181" i="1"/>
  <c r="CF182" i="1"/>
  <c r="CF183" i="1"/>
  <c r="CF184" i="1"/>
  <c r="CF185" i="1"/>
  <c r="CF186" i="1"/>
  <c r="CF187" i="1"/>
  <c r="CF188" i="1"/>
  <c r="CF189" i="1"/>
  <c r="CF190" i="1"/>
  <c r="CF191" i="1"/>
  <c r="CF192" i="1"/>
  <c r="CF193" i="1"/>
  <c r="CF194" i="1"/>
  <c r="CF195" i="1"/>
  <c r="CF196" i="1"/>
  <c r="CF197" i="1"/>
  <c r="CF198" i="1"/>
  <c r="CF199" i="1"/>
  <c r="CF200" i="1"/>
  <c r="CF201" i="1"/>
  <c r="CF202" i="1"/>
  <c r="CF203" i="1"/>
  <c r="CF204" i="1"/>
  <c r="CF205" i="1"/>
  <c r="CF206" i="1"/>
  <c r="CF207" i="1"/>
  <c r="CF208" i="1"/>
  <c r="CF209" i="1"/>
  <c r="CF210" i="1"/>
  <c r="CF211" i="1"/>
  <c r="CF212" i="1"/>
  <c r="CF213" i="1"/>
  <c r="CF214" i="1"/>
  <c r="CF215" i="1"/>
  <c r="CF216" i="1"/>
  <c r="CF217" i="1"/>
  <c r="CF218" i="1"/>
  <c r="CF219" i="1"/>
  <c r="CF220" i="1"/>
  <c r="CF221" i="1"/>
  <c r="CF222" i="1"/>
  <c r="CF223" i="1"/>
  <c r="CF224" i="1"/>
  <c r="CF225" i="1"/>
  <c r="CF226" i="1"/>
  <c r="CF227" i="1"/>
  <c r="CF228" i="1"/>
  <c r="CF229" i="1"/>
  <c r="CF230" i="1"/>
  <c r="CF231" i="1"/>
  <c r="CF232" i="1"/>
  <c r="CF233" i="1"/>
  <c r="CF234" i="1"/>
  <c r="CF235" i="1"/>
  <c r="CF236" i="1"/>
  <c r="CF237" i="1"/>
  <c r="CF238" i="1"/>
  <c r="CF239" i="1"/>
  <c r="CF240" i="1"/>
  <c r="CF241" i="1"/>
  <c r="CF242" i="1"/>
  <c r="CF243" i="1"/>
  <c r="CF244" i="1"/>
  <c r="CF245" i="1"/>
  <c r="CF246" i="1"/>
  <c r="CF247" i="1"/>
  <c r="CF248" i="1"/>
  <c r="CF249" i="1"/>
  <c r="CF250" i="1"/>
  <c r="CF251" i="1"/>
  <c r="CF252" i="1"/>
  <c r="CF253" i="1"/>
  <c r="CF254" i="1"/>
  <c r="CF255" i="1"/>
  <c r="CF256" i="1"/>
  <c r="CF257" i="1"/>
  <c r="CF258" i="1"/>
  <c r="CF259" i="1"/>
  <c r="CF260" i="1"/>
  <c r="CF262" i="1"/>
  <c r="CF263" i="1"/>
  <c r="CF264" i="1"/>
  <c r="CF265" i="1"/>
  <c r="CF266" i="1"/>
  <c r="CF267" i="1"/>
  <c r="CF268" i="1"/>
  <c r="CF269" i="1"/>
  <c r="CF270" i="1"/>
  <c r="CF271" i="1"/>
  <c r="CF272" i="1"/>
  <c r="CF273" i="1"/>
  <c r="CF274" i="1"/>
  <c r="CF275" i="1"/>
  <c r="CF276" i="1"/>
  <c r="CF277" i="1"/>
  <c r="CF278" i="1"/>
  <c r="CF279" i="1"/>
  <c r="CF280" i="1"/>
  <c r="CF281" i="1"/>
  <c r="CF282" i="1"/>
  <c r="CF283" i="1"/>
  <c r="CF284" i="1"/>
  <c r="CF285" i="1"/>
  <c r="CF286" i="1"/>
  <c r="CF287" i="1"/>
  <c r="CF288" i="1"/>
  <c r="CF289" i="1"/>
  <c r="CF290" i="1"/>
  <c r="CF291" i="1"/>
  <c r="CF292" i="1"/>
  <c r="CF293" i="1"/>
  <c r="CF294" i="1"/>
  <c r="CF295" i="1"/>
  <c r="CF296" i="1"/>
  <c r="CF297" i="1"/>
  <c r="CF298" i="1"/>
  <c r="CF299" i="1"/>
  <c r="CF300" i="1"/>
  <c r="CF301" i="1"/>
  <c r="CF302" i="1"/>
  <c r="CF2" i="1"/>
  <c r="CC3" i="1"/>
  <c r="CE3" i="1" s="1"/>
  <c r="CC4" i="1"/>
  <c r="CD4" i="1" s="1"/>
  <c r="CC5" i="1"/>
  <c r="CC6" i="1"/>
  <c r="CC7" i="1"/>
  <c r="CE7" i="1" s="1"/>
  <c r="CC8" i="1"/>
  <c r="CC9" i="1"/>
  <c r="CC10" i="1"/>
  <c r="CD10" i="1" s="1"/>
  <c r="CC11" i="1"/>
  <c r="CE11" i="1" s="1"/>
  <c r="CC12" i="1"/>
  <c r="CD12" i="1" s="1"/>
  <c r="CC13" i="1"/>
  <c r="CC14" i="1"/>
  <c r="CC15" i="1"/>
  <c r="CE15" i="1" s="1"/>
  <c r="CC16" i="1"/>
  <c r="CD16" i="1" s="1"/>
  <c r="CC17" i="1"/>
  <c r="CE17" i="1" s="1"/>
  <c r="CC18" i="1"/>
  <c r="CE18" i="1" s="1"/>
  <c r="CC19" i="1"/>
  <c r="CD19" i="1" s="1"/>
  <c r="CC20" i="1"/>
  <c r="CE20" i="1" s="1"/>
  <c r="CC21" i="1"/>
  <c r="CC22" i="1"/>
  <c r="CC23" i="1"/>
  <c r="CE23" i="1" s="1"/>
  <c r="CC24" i="1"/>
  <c r="CD24" i="1" s="1"/>
  <c r="CC25" i="1"/>
  <c r="CC26" i="1"/>
  <c r="CD26" i="1" s="1"/>
  <c r="CC27" i="1"/>
  <c r="CE27" i="1" s="1"/>
  <c r="CC28" i="1"/>
  <c r="CD28" i="1" s="1"/>
  <c r="CC29" i="1"/>
  <c r="CC30" i="1"/>
  <c r="CC31" i="1"/>
  <c r="CE31" i="1" s="1"/>
  <c r="CC32" i="1"/>
  <c r="CD32" i="1" s="1"/>
  <c r="CC33" i="1"/>
  <c r="CE33" i="1" s="1"/>
  <c r="CC34" i="1"/>
  <c r="CE34" i="1" s="1"/>
  <c r="CC35" i="1"/>
  <c r="CE35" i="1" s="1"/>
  <c r="CC36" i="1"/>
  <c r="CE36" i="1" s="1"/>
  <c r="CC37" i="1"/>
  <c r="CC38" i="1"/>
  <c r="CC39" i="1"/>
  <c r="CE39" i="1" s="1"/>
  <c r="CC40" i="1"/>
  <c r="CD40" i="1" s="1"/>
  <c r="CC41" i="1"/>
  <c r="CE41" i="1" s="1"/>
  <c r="CC42" i="1"/>
  <c r="CC43" i="1"/>
  <c r="CE43" i="1" s="1"/>
  <c r="CC44" i="1"/>
  <c r="CD44" i="1" s="1"/>
  <c r="CC45" i="1"/>
  <c r="CC46" i="1"/>
  <c r="CC47" i="1"/>
  <c r="CE47" i="1" s="1"/>
  <c r="CC48" i="1"/>
  <c r="CD48" i="1" s="1"/>
  <c r="CC49" i="1"/>
  <c r="CE49" i="1" s="1"/>
  <c r="CC50" i="1"/>
  <c r="CC51" i="1"/>
  <c r="CD51" i="1" s="1"/>
  <c r="CC52" i="1"/>
  <c r="CC53" i="1"/>
  <c r="CC54" i="1"/>
  <c r="CC55" i="1"/>
  <c r="CE55" i="1" s="1"/>
  <c r="CC56" i="1"/>
  <c r="CD56" i="1" s="1"/>
  <c r="CC57" i="1"/>
  <c r="CE57" i="1" s="1"/>
  <c r="CC58" i="1"/>
  <c r="CC59" i="1"/>
  <c r="CD59" i="1" s="1"/>
  <c r="CC60" i="1"/>
  <c r="CE60" i="1" s="1"/>
  <c r="CC61" i="1"/>
  <c r="CC62" i="1"/>
  <c r="CC63" i="1"/>
  <c r="CE63" i="1" s="1"/>
  <c r="CC64" i="1"/>
  <c r="CC65" i="1"/>
  <c r="CE65" i="1" s="1"/>
  <c r="CC66" i="1"/>
  <c r="CD66" i="1" s="1"/>
  <c r="CC67" i="1"/>
  <c r="CD67" i="1" s="1"/>
  <c r="CC68" i="1"/>
  <c r="CE68" i="1" s="1"/>
  <c r="CC69" i="1"/>
  <c r="CC70" i="1"/>
  <c r="CC71" i="1"/>
  <c r="CE71" i="1" s="1"/>
  <c r="CC72" i="1"/>
  <c r="CD72" i="1" s="1"/>
  <c r="CC73" i="1"/>
  <c r="CC74" i="1"/>
  <c r="CD74" i="1" s="1"/>
  <c r="CC75" i="1"/>
  <c r="CE75" i="1" s="1"/>
  <c r="CC76" i="1"/>
  <c r="CD76" i="1" s="1"/>
  <c r="CC77" i="1"/>
  <c r="CC78" i="1"/>
  <c r="CC79" i="1"/>
  <c r="CE79" i="1" s="1"/>
  <c r="CC80" i="1"/>
  <c r="CD80" i="1" s="1"/>
  <c r="CC81" i="1"/>
  <c r="CE81" i="1" s="1"/>
  <c r="CC82" i="1"/>
  <c r="CE82" i="1" s="1"/>
  <c r="CC83" i="1"/>
  <c r="CD83" i="1" s="1"/>
  <c r="CC84" i="1"/>
  <c r="CE84" i="1" s="1"/>
  <c r="CC85" i="1"/>
  <c r="CC86" i="1"/>
  <c r="CC87" i="1"/>
  <c r="CE87" i="1" s="1"/>
  <c r="CC88" i="1"/>
  <c r="CC89" i="1"/>
  <c r="CC90" i="1"/>
  <c r="CD90" i="1" s="1"/>
  <c r="CC91" i="1"/>
  <c r="CD91" i="1" s="1"/>
  <c r="CC92" i="1"/>
  <c r="CD92" i="1" s="1"/>
  <c r="CC93" i="1"/>
  <c r="CC94" i="1"/>
  <c r="CC95" i="1"/>
  <c r="CE95" i="1" s="1"/>
  <c r="CC96" i="1"/>
  <c r="CD96" i="1" s="1"/>
  <c r="CC97" i="1"/>
  <c r="CE97" i="1" s="1"/>
  <c r="CC98" i="1"/>
  <c r="CC99" i="1"/>
  <c r="CD99" i="1" s="1"/>
  <c r="CC100" i="1"/>
  <c r="CE100" i="1" s="1"/>
  <c r="CC101" i="1"/>
  <c r="CC102" i="1"/>
  <c r="CC103" i="1"/>
  <c r="CE103" i="1" s="1"/>
  <c r="CC104" i="1"/>
  <c r="CC105" i="1"/>
  <c r="CC106" i="1"/>
  <c r="CD106" i="1" s="1"/>
  <c r="CC107" i="1"/>
  <c r="CE107" i="1" s="1"/>
  <c r="CC108" i="1"/>
  <c r="CD108" i="1" s="1"/>
  <c r="CC109" i="1"/>
  <c r="CC110" i="1"/>
  <c r="CC111" i="1"/>
  <c r="CE111" i="1" s="1"/>
  <c r="CC112" i="1"/>
  <c r="CD112" i="1" s="1"/>
  <c r="CC113" i="1"/>
  <c r="CC114" i="1"/>
  <c r="CC115" i="1"/>
  <c r="CE115" i="1" s="1"/>
  <c r="CC116" i="1"/>
  <c r="CC117" i="1"/>
  <c r="CC118" i="1"/>
  <c r="CC119" i="1"/>
  <c r="CE119" i="1" s="1"/>
  <c r="CC120" i="1"/>
  <c r="CD120" i="1" s="1"/>
  <c r="CC121" i="1"/>
  <c r="CE121" i="1" s="1"/>
  <c r="CC122" i="1"/>
  <c r="CD122" i="1" s="1"/>
  <c r="CC123" i="1"/>
  <c r="CD123" i="1" s="1"/>
  <c r="CC124" i="1"/>
  <c r="CD124" i="1" s="1"/>
  <c r="CC125" i="1"/>
  <c r="CC126" i="1"/>
  <c r="CC127" i="1"/>
  <c r="CE127" i="1" s="1"/>
  <c r="CC128" i="1"/>
  <c r="CC129" i="1"/>
  <c r="CC130" i="1"/>
  <c r="CD130" i="1" s="1"/>
  <c r="CC131" i="1"/>
  <c r="CD131" i="1" s="1"/>
  <c r="CC133" i="1"/>
  <c r="CD133" i="1" s="1"/>
  <c r="CC134" i="1"/>
  <c r="CC135" i="1"/>
  <c r="CC136" i="1"/>
  <c r="CE136" i="1" s="1"/>
  <c r="CC137" i="1"/>
  <c r="CD137" i="1" s="1"/>
  <c r="CC138" i="1"/>
  <c r="CE138" i="1" s="1"/>
  <c r="CC139" i="1"/>
  <c r="CD139" i="1" s="1"/>
  <c r="CC140" i="1"/>
  <c r="CE140" i="1" s="1"/>
  <c r="CC141" i="1"/>
  <c r="CD141" i="1" s="1"/>
  <c r="CC142" i="1"/>
  <c r="CC143" i="1"/>
  <c r="CC144" i="1"/>
  <c r="CE144" i="1" s="1"/>
  <c r="CC145" i="1"/>
  <c r="CD145" i="1" s="1"/>
  <c r="CC146" i="1"/>
  <c r="CE146" i="1" s="1"/>
  <c r="CC147" i="1"/>
  <c r="CE147" i="1" s="1"/>
  <c r="CC148" i="1"/>
  <c r="CD148" i="1" s="1"/>
  <c r="CC149" i="1"/>
  <c r="CE149" i="1" s="1"/>
  <c r="CC150" i="1"/>
  <c r="CC151" i="1"/>
  <c r="CC152" i="1"/>
  <c r="CE152" i="1" s="1"/>
  <c r="CC153" i="1"/>
  <c r="CC154" i="1"/>
  <c r="CE154" i="1" s="1"/>
  <c r="CC155" i="1"/>
  <c r="CD155" i="1" s="1"/>
  <c r="CC156" i="1"/>
  <c r="CE156" i="1" s="1"/>
  <c r="CC157" i="1"/>
  <c r="CD157" i="1" s="1"/>
  <c r="CC158" i="1"/>
  <c r="CC159" i="1"/>
  <c r="CC160" i="1"/>
  <c r="CE160" i="1" s="1"/>
  <c r="CC161" i="1"/>
  <c r="CD161" i="1" s="1"/>
  <c r="CC162" i="1"/>
  <c r="CC163" i="1"/>
  <c r="CC164" i="1"/>
  <c r="CE164" i="1" s="1"/>
  <c r="CC165" i="1"/>
  <c r="CC166" i="1"/>
  <c r="CC167" i="1"/>
  <c r="CC168" i="1"/>
  <c r="CE168" i="1" s="1"/>
  <c r="CC169" i="1"/>
  <c r="CH169" i="1" s="1"/>
  <c r="CC170" i="1"/>
  <c r="CE170" i="1" s="1"/>
  <c r="CC171" i="1"/>
  <c r="CD171" i="1" s="1"/>
  <c r="CC172" i="1"/>
  <c r="CD172" i="1" s="1"/>
  <c r="CC173" i="1"/>
  <c r="CD173" i="1" s="1"/>
  <c r="CC174" i="1"/>
  <c r="CC175" i="1"/>
  <c r="CC176" i="1"/>
  <c r="CE176" i="1" s="1"/>
  <c r="CC177" i="1"/>
  <c r="CD177" i="1" s="1"/>
  <c r="CC178" i="1"/>
  <c r="CE178" i="1" s="1"/>
  <c r="CC179" i="1"/>
  <c r="CE179" i="1" s="1"/>
  <c r="CC180" i="1"/>
  <c r="CD180" i="1" s="1"/>
  <c r="CC181" i="1"/>
  <c r="CE181" i="1" s="1"/>
  <c r="CC182" i="1"/>
  <c r="CC183" i="1"/>
  <c r="CC184" i="1"/>
  <c r="CE184" i="1" s="1"/>
  <c r="CC185" i="1"/>
  <c r="CD185" i="1" s="1"/>
  <c r="CC186" i="1"/>
  <c r="CE186" i="1" s="1"/>
  <c r="CC187" i="1"/>
  <c r="CE187" i="1" s="1"/>
  <c r="CC188" i="1"/>
  <c r="CC189" i="1"/>
  <c r="CE189" i="1" s="1"/>
  <c r="CC190" i="1"/>
  <c r="CC191" i="1"/>
  <c r="CC192" i="1"/>
  <c r="CE192" i="1" s="1"/>
  <c r="CC193" i="1"/>
  <c r="CC194" i="1"/>
  <c r="CC195" i="1"/>
  <c r="CD195" i="1" s="1"/>
  <c r="CC196" i="1"/>
  <c r="CE196" i="1" s="1"/>
  <c r="CC197" i="1"/>
  <c r="CD197" i="1" s="1"/>
  <c r="CC198" i="1"/>
  <c r="CC199" i="1"/>
  <c r="CC200" i="1"/>
  <c r="CC201" i="1"/>
  <c r="CD201" i="1" s="1"/>
  <c r="CC202" i="1"/>
  <c r="CE202" i="1" s="1"/>
  <c r="CC203" i="1"/>
  <c r="CD203" i="1" s="1"/>
  <c r="CC204" i="1"/>
  <c r="CE204" i="1" s="1"/>
  <c r="CC205" i="1"/>
  <c r="CD205" i="1" s="1"/>
  <c r="CC206" i="1"/>
  <c r="CC207" i="1"/>
  <c r="CC208" i="1"/>
  <c r="CC209" i="1"/>
  <c r="CD209" i="1" s="1"/>
  <c r="CC210" i="1"/>
  <c r="CE210" i="1" s="1"/>
  <c r="CC211" i="1"/>
  <c r="CE211" i="1" s="1"/>
  <c r="CC212" i="1"/>
  <c r="CD212" i="1" s="1"/>
  <c r="CC213" i="1"/>
  <c r="CC214" i="1"/>
  <c r="CC215" i="1"/>
  <c r="CC216" i="1"/>
  <c r="CC217" i="1"/>
  <c r="CC218" i="1"/>
  <c r="CE218" i="1" s="1"/>
  <c r="CC219" i="1"/>
  <c r="CD219" i="1" s="1"/>
  <c r="CC220" i="1"/>
  <c r="CD220" i="1" s="1"/>
  <c r="CC221" i="1"/>
  <c r="CD221" i="1" s="1"/>
  <c r="CC222" i="1"/>
  <c r="CC223" i="1"/>
  <c r="CC224" i="1"/>
  <c r="CC225" i="1"/>
  <c r="CD225" i="1" s="1"/>
  <c r="CC226" i="1"/>
  <c r="CE226" i="1" s="1"/>
  <c r="CC227" i="1"/>
  <c r="CC228" i="1"/>
  <c r="CD228" i="1" s="1"/>
  <c r="CC229" i="1"/>
  <c r="CD229" i="1" s="1"/>
  <c r="CC230" i="1"/>
  <c r="CC231" i="1"/>
  <c r="CC232" i="1"/>
  <c r="CC233" i="1"/>
  <c r="CC234" i="1"/>
  <c r="CE234" i="1" s="1"/>
  <c r="CC235" i="1"/>
  <c r="CD235" i="1" s="1"/>
  <c r="CC236" i="1"/>
  <c r="CE236" i="1" s="1"/>
  <c r="CC237" i="1"/>
  <c r="CE237" i="1" s="1"/>
  <c r="CC238" i="1"/>
  <c r="CC239" i="1"/>
  <c r="CC240" i="1"/>
  <c r="CC241" i="1"/>
  <c r="CD241" i="1" s="1"/>
  <c r="CC242" i="1"/>
  <c r="CC243" i="1"/>
  <c r="CC244" i="1"/>
  <c r="CE244" i="1" s="1"/>
  <c r="CC245" i="1"/>
  <c r="CE245" i="1" s="1"/>
  <c r="CC246" i="1"/>
  <c r="CC247" i="1"/>
  <c r="CC248" i="1"/>
  <c r="CC249" i="1"/>
  <c r="CD249" i="1" s="1"/>
  <c r="CC250" i="1"/>
  <c r="CC251" i="1"/>
  <c r="CE251" i="1" s="1"/>
  <c r="CC252" i="1"/>
  <c r="CD252" i="1" s="1"/>
  <c r="CC253" i="1"/>
  <c r="CE253" i="1" s="1"/>
  <c r="CC254" i="1"/>
  <c r="CC255" i="1"/>
  <c r="CC256" i="1"/>
  <c r="CC257" i="1"/>
  <c r="CC258" i="1"/>
  <c r="CC259" i="1"/>
  <c r="CE259" i="1" s="1"/>
  <c r="CC260" i="1"/>
  <c r="CD260" i="1" s="1"/>
  <c r="CC262" i="1"/>
  <c r="CD262" i="1" s="1"/>
  <c r="CC263" i="1"/>
  <c r="CC264" i="1"/>
  <c r="CC265" i="1"/>
  <c r="CC266" i="1"/>
  <c r="CD266" i="1" s="1"/>
  <c r="CC267" i="1"/>
  <c r="CC268" i="1"/>
  <c r="CD268" i="1" s="1"/>
  <c r="CC269" i="1"/>
  <c r="CD269" i="1" s="1"/>
  <c r="CC270" i="1"/>
  <c r="CC271" i="1"/>
  <c r="CC272" i="1"/>
  <c r="CC273" i="1"/>
  <c r="CC274" i="1"/>
  <c r="CD274" i="1" s="1"/>
  <c r="CC275" i="1"/>
  <c r="CE275" i="1" s="1"/>
  <c r="CC276" i="1"/>
  <c r="CE276" i="1" s="1"/>
  <c r="CC277" i="1"/>
  <c r="CD277" i="1" s="1"/>
  <c r="CC278" i="1"/>
  <c r="CC279" i="1"/>
  <c r="CC280" i="1"/>
  <c r="CC281" i="1"/>
  <c r="CC282" i="1"/>
  <c r="CC283" i="1"/>
  <c r="CE283" i="1" s="1"/>
  <c r="CC284" i="1"/>
  <c r="CC285" i="1"/>
  <c r="CD285" i="1" s="1"/>
  <c r="CC286" i="1"/>
  <c r="CC287" i="1"/>
  <c r="CC288" i="1"/>
  <c r="CC289" i="1"/>
  <c r="CC290" i="1"/>
  <c r="CD290" i="1" s="1"/>
  <c r="CC291" i="1"/>
  <c r="CD291" i="1" s="1"/>
  <c r="CC292" i="1"/>
  <c r="CC293" i="1"/>
  <c r="CD293" i="1" s="1"/>
  <c r="CC294" i="1"/>
  <c r="CE294" i="1" s="1"/>
  <c r="CC295" i="1"/>
  <c r="CC296" i="1"/>
  <c r="CC297" i="1"/>
  <c r="CC298" i="1"/>
  <c r="CC299" i="1"/>
  <c r="CC300" i="1"/>
  <c r="CD300" i="1" s="1"/>
  <c r="CC301" i="1"/>
  <c r="CE301" i="1" s="1"/>
  <c r="CC302" i="1"/>
  <c r="CE302" i="1" s="1"/>
  <c r="CC2" i="1"/>
  <c r="CD2" i="1" s="1"/>
  <c r="CA4" i="1"/>
  <c r="CA60" i="1"/>
  <c r="CA136" i="1"/>
  <c r="CA145" i="1"/>
  <c r="CA192" i="1"/>
  <c r="CA198" i="1"/>
  <c r="CA202" i="1"/>
  <c r="CA268" i="1"/>
  <c r="BZ3" i="1"/>
  <c r="BZ4" i="1"/>
  <c r="BZ5" i="1"/>
  <c r="BZ6" i="1"/>
  <c r="BZ7" i="1"/>
  <c r="BZ8" i="1"/>
  <c r="BZ9" i="1"/>
  <c r="BZ10" i="1"/>
  <c r="BZ11" i="1"/>
  <c r="BZ12" i="1"/>
  <c r="BZ13" i="1"/>
  <c r="BZ14" i="1"/>
  <c r="BZ15" i="1"/>
  <c r="BZ16" i="1"/>
  <c r="BZ17" i="1"/>
  <c r="BZ18" i="1"/>
  <c r="BZ19" i="1"/>
  <c r="BZ20" i="1"/>
  <c r="BZ21" i="1"/>
  <c r="BZ22" i="1"/>
  <c r="BZ23" i="1"/>
  <c r="BZ24" i="1"/>
  <c r="BZ25" i="1"/>
  <c r="BZ26" i="1"/>
  <c r="BZ27" i="1"/>
  <c r="BZ28" i="1"/>
  <c r="BZ29" i="1"/>
  <c r="BZ30" i="1"/>
  <c r="BZ31" i="1"/>
  <c r="BZ32" i="1"/>
  <c r="BZ33" i="1"/>
  <c r="BZ34" i="1"/>
  <c r="BZ35" i="1"/>
  <c r="BZ36" i="1"/>
  <c r="BZ37" i="1"/>
  <c r="BZ38" i="1"/>
  <c r="BZ39" i="1"/>
  <c r="BZ40" i="1"/>
  <c r="BZ41" i="1"/>
  <c r="BZ42" i="1"/>
  <c r="BZ43" i="1"/>
  <c r="BZ44" i="1"/>
  <c r="BZ45" i="1"/>
  <c r="BZ46" i="1"/>
  <c r="BZ47" i="1"/>
  <c r="BZ48" i="1"/>
  <c r="BZ49" i="1"/>
  <c r="BZ50" i="1"/>
  <c r="BZ51" i="1"/>
  <c r="BZ52" i="1"/>
  <c r="BZ53" i="1"/>
  <c r="BZ54" i="1"/>
  <c r="BZ55" i="1"/>
  <c r="BZ56" i="1"/>
  <c r="BZ57" i="1"/>
  <c r="BZ58" i="1"/>
  <c r="BZ59" i="1"/>
  <c r="BZ60" i="1"/>
  <c r="BZ61" i="1"/>
  <c r="BZ62" i="1"/>
  <c r="BZ63" i="1"/>
  <c r="BZ64" i="1"/>
  <c r="BZ65" i="1"/>
  <c r="BZ66" i="1"/>
  <c r="BZ67" i="1"/>
  <c r="BZ68" i="1"/>
  <c r="BZ69" i="1"/>
  <c r="BZ70" i="1"/>
  <c r="BZ71" i="1"/>
  <c r="BZ72" i="1"/>
  <c r="BZ73" i="1"/>
  <c r="BZ74" i="1"/>
  <c r="BZ75" i="1"/>
  <c r="BZ76" i="1"/>
  <c r="BZ77" i="1"/>
  <c r="BZ78" i="1"/>
  <c r="BZ79" i="1"/>
  <c r="BZ80" i="1"/>
  <c r="BZ81" i="1"/>
  <c r="BZ82" i="1"/>
  <c r="BZ83" i="1"/>
  <c r="BZ84" i="1"/>
  <c r="BZ85" i="1"/>
  <c r="BZ86" i="1"/>
  <c r="BZ87" i="1"/>
  <c r="BZ88" i="1"/>
  <c r="BZ89" i="1"/>
  <c r="BZ90" i="1"/>
  <c r="BZ91" i="1"/>
  <c r="BZ92" i="1"/>
  <c r="BZ93" i="1"/>
  <c r="BZ94" i="1"/>
  <c r="BZ95" i="1"/>
  <c r="BZ96" i="1"/>
  <c r="BZ97" i="1"/>
  <c r="BZ98" i="1"/>
  <c r="BZ99" i="1"/>
  <c r="BZ100" i="1"/>
  <c r="BZ101" i="1"/>
  <c r="BZ102" i="1"/>
  <c r="BZ103" i="1"/>
  <c r="BZ104" i="1"/>
  <c r="BZ105" i="1"/>
  <c r="BZ106" i="1"/>
  <c r="BZ107" i="1"/>
  <c r="BZ108" i="1"/>
  <c r="BZ109" i="1"/>
  <c r="BZ110" i="1"/>
  <c r="BZ111" i="1"/>
  <c r="BZ112" i="1"/>
  <c r="BZ113" i="1"/>
  <c r="BZ114" i="1"/>
  <c r="BZ115" i="1"/>
  <c r="BZ116" i="1"/>
  <c r="BZ117" i="1"/>
  <c r="BZ118" i="1"/>
  <c r="BZ119" i="1"/>
  <c r="BZ120" i="1"/>
  <c r="BZ121" i="1"/>
  <c r="BZ122" i="1"/>
  <c r="BZ123" i="1"/>
  <c r="BZ124" i="1"/>
  <c r="BZ125" i="1"/>
  <c r="BZ126" i="1"/>
  <c r="BZ127" i="1"/>
  <c r="BZ128" i="1"/>
  <c r="BZ129" i="1"/>
  <c r="BZ130" i="1"/>
  <c r="BZ131" i="1"/>
  <c r="BZ133" i="1"/>
  <c r="BZ134" i="1"/>
  <c r="BZ135" i="1"/>
  <c r="BZ136" i="1"/>
  <c r="BZ137" i="1"/>
  <c r="BZ138" i="1"/>
  <c r="BZ139" i="1"/>
  <c r="BZ140" i="1"/>
  <c r="BZ141" i="1"/>
  <c r="BZ142" i="1"/>
  <c r="BZ143" i="1"/>
  <c r="BZ144" i="1"/>
  <c r="BZ145" i="1"/>
  <c r="BZ146" i="1"/>
  <c r="BZ147" i="1"/>
  <c r="BZ148" i="1"/>
  <c r="BZ149" i="1"/>
  <c r="BZ150" i="1"/>
  <c r="BZ151" i="1"/>
  <c r="BZ152" i="1"/>
  <c r="BZ153" i="1"/>
  <c r="BZ154" i="1"/>
  <c r="BZ155" i="1"/>
  <c r="BZ156" i="1"/>
  <c r="BZ157" i="1"/>
  <c r="BZ158" i="1"/>
  <c r="BZ159" i="1"/>
  <c r="BZ160" i="1"/>
  <c r="BZ161" i="1"/>
  <c r="BZ162" i="1"/>
  <c r="BZ163" i="1"/>
  <c r="BZ164" i="1"/>
  <c r="BZ165" i="1"/>
  <c r="BZ166" i="1"/>
  <c r="BZ167" i="1"/>
  <c r="BZ168" i="1"/>
  <c r="BZ169" i="1"/>
  <c r="BZ170" i="1"/>
  <c r="BZ171" i="1"/>
  <c r="BZ172" i="1"/>
  <c r="BZ173" i="1"/>
  <c r="BZ174" i="1"/>
  <c r="BZ175" i="1"/>
  <c r="BZ176" i="1"/>
  <c r="BZ177" i="1"/>
  <c r="BZ178" i="1"/>
  <c r="BZ179" i="1"/>
  <c r="BZ180" i="1"/>
  <c r="BZ181" i="1"/>
  <c r="BZ182" i="1"/>
  <c r="BZ183" i="1"/>
  <c r="BZ184" i="1"/>
  <c r="BZ185" i="1"/>
  <c r="BZ186" i="1"/>
  <c r="BZ187" i="1"/>
  <c r="BZ188" i="1"/>
  <c r="BZ189" i="1"/>
  <c r="BZ190" i="1"/>
  <c r="BZ191" i="1"/>
  <c r="BZ192" i="1"/>
  <c r="BZ193" i="1"/>
  <c r="BZ194" i="1"/>
  <c r="BZ195" i="1"/>
  <c r="BZ196" i="1"/>
  <c r="BZ197" i="1"/>
  <c r="BZ198" i="1"/>
  <c r="BZ199" i="1"/>
  <c r="BZ200" i="1"/>
  <c r="BZ201" i="1"/>
  <c r="BZ202" i="1"/>
  <c r="BZ203" i="1"/>
  <c r="BZ204" i="1"/>
  <c r="BZ205" i="1"/>
  <c r="BZ206" i="1"/>
  <c r="BZ207" i="1"/>
  <c r="BZ208" i="1"/>
  <c r="BZ209" i="1"/>
  <c r="BZ210" i="1"/>
  <c r="BZ211" i="1"/>
  <c r="BZ212" i="1"/>
  <c r="BZ213" i="1"/>
  <c r="BZ214" i="1"/>
  <c r="BZ215" i="1"/>
  <c r="BZ216" i="1"/>
  <c r="BZ217" i="1"/>
  <c r="BZ218" i="1"/>
  <c r="BZ219" i="1"/>
  <c r="BZ220" i="1"/>
  <c r="BZ221" i="1"/>
  <c r="BZ222" i="1"/>
  <c r="BZ223" i="1"/>
  <c r="BZ224" i="1"/>
  <c r="BZ225" i="1"/>
  <c r="BZ226" i="1"/>
  <c r="BZ227" i="1"/>
  <c r="BZ228" i="1"/>
  <c r="BZ229" i="1"/>
  <c r="BZ230" i="1"/>
  <c r="BZ231" i="1"/>
  <c r="BZ232" i="1"/>
  <c r="BZ233" i="1"/>
  <c r="BZ234" i="1"/>
  <c r="BZ235" i="1"/>
  <c r="BZ236" i="1"/>
  <c r="BZ237" i="1"/>
  <c r="BZ238" i="1"/>
  <c r="BZ239" i="1"/>
  <c r="BZ240" i="1"/>
  <c r="BZ241" i="1"/>
  <c r="BZ242" i="1"/>
  <c r="BZ243" i="1"/>
  <c r="BZ244" i="1"/>
  <c r="BZ245" i="1"/>
  <c r="BZ246" i="1"/>
  <c r="BZ247" i="1"/>
  <c r="BZ248" i="1"/>
  <c r="BZ249" i="1"/>
  <c r="BZ250" i="1"/>
  <c r="BZ251" i="1"/>
  <c r="BZ252" i="1"/>
  <c r="BZ253" i="1"/>
  <c r="BZ254" i="1"/>
  <c r="BZ255" i="1"/>
  <c r="BZ256" i="1"/>
  <c r="BZ257" i="1"/>
  <c r="BZ258" i="1"/>
  <c r="BZ259" i="1"/>
  <c r="BZ260" i="1"/>
  <c r="BZ262" i="1"/>
  <c r="BZ263" i="1"/>
  <c r="BZ264" i="1"/>
  <c r="BZ265" i="1"/>
  <c r="BZ266" i="1"/>
  <c r="BZ267" i="1"/>
  <c r="BZ268" i="1"/>
  <c r="BZ269" i="1"/>
  <c r="BZ270" i="1"/>
  <c r="BZ271" i="1"/>
  <c r="BZ272" i="1"/>
  <c r="BZ273" i="1"/>
  <c r="BZ274" i="1"/>
  <c r="BZ275" i="1"/>
  <c r="BZ276" i="1"/>
  <c r="BZ277" i="1"/>
  <c r="BZ278" i="1"/>
  <c r="BZ279" i="1"/>
  <c r="BZ280" i="1"/>
  <c r="BZ281" i="1"/>
  <c r="BZ282" i="1"/>
  <c r="BZ283" i="1"/>
  <c r="BZ284" i="1"/>
  <c r="BZ285" i="1"/>
  <c r="BZ286" i="1"/>
  <c r="BZ287" i="1"/>
  <c r="BZ288" i="1"/>
  <c r="BZ289" i="1"/>
  <c r="BZ290" i="1"/>
  <c r="BZ291" i="1"/>
  <c r="BZ292" i="1"/>
  <c r="BZ293" i="1"/>
  <c r="BZ294" i="1"/>
  <c r="BZ295" i="1"/>
  <c r="BZ296" i="1"/>
  <c r="BZ297" i="1"/>
  <c r="BZ298" i="1"/>
  <c r="BZ299" i="1"/>
  <c r="BZ300" i="1"/>
  <c r="BZ301" i="1"/>
  <c r="BZ302" i="1"/>
  <c r="BZ2" i="1"/>
  <c r="BY3" i="1"/>
  <c r="BY4" i="1"/>
  <c r="BY5" i="1"/>
  <c r="BY6" i="1"/>
  <c r="BY7" i="1"/>
  <c r="BY8" i="1"/>
  <c r="BY9" i="1"/>
  <c r="BY10" i="1"/>
  <c r="BY11" i="1"/>
  <c r="BY12" i="1"/>
  <c r="BY13" i="1"/>
  <c r="BY14" i="1"/>
  <c r="BY15" i="1"/>
  <c r="BY16" i="1"/>
  <c r="BY17" i="1"/>
  <c r="BY18" i="1"/>
  <c r="BY19" i="1"/>
  <c r="BY20" i="1"/>
  <c r="BY21" i="1"/>
  <c r="BY22" i="1"/>
  <c r="BY23" i="1"/>
  <c r="BY24" i="1"/>
  <c r="BY25" i="1"/>
  <c r="BY26" i="1"/>
  <c r="BY27" i="1"/>
  <c r="BY28" i="1"/>
  <c r="BY29" i="1"/>
  <c r="BY30" i="1"/>
  <c r="BY31" i="1"/>
  <c r="BY32" i="1"/>
  <c r="BY33" i="1"/>
  <c r="BY34" i="1"/>
  <c r="BY35" i="1"/>
  <c r="BY36" i="1"/>
  <c r="BY37" i="1"/>
  <c r="BY38" i="1"/>
  <c r="BY39" i="1"/>
  <c r="BY40" i="1"/>
  <c r="BY41" i="1"/>
  <c r="BY42" i="1"/>
  <c r="BY43" i="1"/>
  <c r="BY44" i="1"/>
  <c r="BY45" i="1"/>
  <c r="BY46" i="1"/>
  <c r="BY47" i="1"/>
  <c r="BY48" i="1"/>
  <c r="BY49" i="1"/>
  <c r="BY50" i="1"/>
  <c r="BY51" i="1"/>
  <c r="BY52" i="1"/>
  <c r="BY53" i="1"/>
  <c r="BY54" i="1"/>
  <c r="BY55" i="1"/>
  <c r="BY56" i="1"/>
  <c r="BY57" i="1"/>
  <c r="BY58" i="1"/>
  <c r="BY59" i="1"/>
  <c r="BY60" i="1"/>
  <c r="BY61" i="1"/>
  <c r="BY62" i="1"/>
  <c r="BY63" i="1"/>
  <c r="BY64" i="1"/>
  <c r="BY65" i="1"/>
  <c r="BY66" i="1"/>
  <c r="BY67" i="1"/>
  <c r="BY68" i="1"/>
  <c r="BY69" i="1"/>
  <c r="BY70" i="1"/>
  <c r="BY71" i="1"/>
  <c r="BY72" i="1"/>
  <c r="BY73" i="1"/>
  <c r="BY74" i="1"/>
  <c r="BY75" i="1"/>
  <c r="BY76" i="1"/>
  <c r="BY77" i="1"/>
  <c r="BY78" i="1"/>
  <c r="BY79" i="1"/>
  <c r="BY80" i="1"/>
  <c r="BY81" i="1"/>
  <c r="BY82" i="1"/>
  <c r="BY83" i="1"/>
  <c r="BY84" i="1"/>
  <c r="BY85" i="1"/>
  <c r="BY86" i="1"/>
  <c r="BY87" i="1"/>
  <c r="BY88" i="1"/>
  <c r="BY89" i="1"/>
  <c r="BY90" i="1"/>
  <c r="BY91" i="1"/>
  <c r="BY92" i="1"/>
  <c r="BY93" i="1"/>
  <c r="BY94" i="1"/>
  <c r="BY95" i="1"/>
  <c r="BY96" i="1"/>
  <c r="BY97" i="1"/>
  <c r="BY98" i="1"/>
  <c r="BY99" i="1"/>
  <c r="BY100" i="1"/>
  <c r="BY101" i="1"/>
  <c r="BY102" i="1"/>
  <c r="BY103" i="1"/>
  <c r="BY104" i="1"/>
  <c r="BY105" i="1"/>
  <c r="BY106" i="1"/>
  <c r="BY107" i="1"/>
  <c r="BY108" i="1"/>
  <c r="BY109" i="1"/>
  <c r="BY110" i="1"/>
  <c r="BY111" i="1"/>
  <c r="BY112" i="1"/>
  <c r="BY113" i="1"/>
  <c r="BY114" i="1"/>
  <c r="BY115" i="1"/>
  <c r="BY116" i="1"/>
  <c r="BY117" i="1"/>
  <c r="BY118" i="1"/>
  <c r="BY119" i="1"/>
  <c r="BY120" i="1"/>
  <c r="BY121" i="1"/>
  <c r="BY122" i="1"/>
  <c r="BY123" i="1"/>
  <c r="BY124" i="1"/>
  <c r="BY125" i="1"/>
  <c r="BY126" i="1"/>
  <c r="BY127" i="1"/>
  <c r="BY128" i="1"/>
  <c r="BY129" i="1"/>
  <c r="BY130" i="1"/>
  <c r="BY131" i="1"/>
  <c r="BY133" i="1"/>
  <c r="BY134" i="1"/>
  <c r="BY135" i="1"/>
  <c r="BY136" i="1"/>
  <c r="BY137" i="1"/>
  <c r="BY138" i="1"/>
  <c r="BY139" i="1"/>
  <c r="BY140" i="1"/>
  <c r="BY141" i="1"/>
  <c r="BY142" i="1"/>
  <c r="BY143" i="1"/>
  <c r="BY144" i="1"/>
  <c r="BY145" i="1"/>
  <c r="BY146" i="1"/>
  <c r="BY147" i="1"/>
  <c r="BY148" i="1"/>
  <c r="BY149" i="1"/>
  <c r="BY150" i="1"/>
  <c r="BY151" i="1"/>
  <c r="BY152" i="1"/>
  <c r="BY153" i="1"/>
  <c r="BY154" i="1"/>
  <c r="BY155" i="1"/>
  <c r="BY156" i="1"/>
  <c r="BY157" i="1"/>
  <c r="BY158" i="1"/>
  <c r="BY159" i="1"/>
  <c r="BY160" i="1"/>
  <c r="BY161" i="1"/>
  <c r="BY162" i="1"/>
  <c r="BY163" i="1"/>
  <c r="BY164" i="1"/>
  <c r="BY165" i="1"/>
  <c r="BY166" i="1"/>
  <c r="BY167" i="1"/>
  <c r="BY168" i="1"/>
  <c r="BY169" i="1"/>
  <c r="BY170" i="1"/>
  <c r="BY171" i="1"/>
  <c r="BY172" i="1"/>
  <c r="BY173" i="1"/>
  <c r="BY174" i="1"/>
  <c r="BY175" i="1"/>
  <c r="BY176" i="1"/>
  <c r="BY177" i="1"/>
  <c r="BY178" i="1"/>
  <c r="BY179" i="1"/>
  <c r="BY180" i="1"/>
  <c r="BY181" i="1"/>
  <c r="BY182" i="1"/>
  <c r="BY183" i="1"/>
  <c r="BY184" i="1"/>
  <c r="BY185" i="1"/>
  <c r="BY186" i="1"/>
  <c r="BY187" i="1"/>
  <c r="BY188" i="1"/>
  <c r="BY189" i="1"/>
  <c r="BY190" i="1"/>
  <c r="BY191" i="1"/>
  <c r="BY192" i="1"/>
  <c r="BY193" i="1"/>
  <c r="BY194" i="1"/>
  <c r="BY195" i="1"/>
  <c r="BY196" i="1"/>
  <c r="BY197" i="1"/>
  <c r="BY198" i="1"/>
  <c r="BY199" i="1"/>
  <c r="BY200" i="1"/>
  <c r="BY201" i="1"/>
  <c r="BY202" i="1"/>
  <c r="BY203" i="1"/>
  <c r="BY204" i="1"/>
  <c r="BY205" i="1"/>
  <c r="BY206" i="1"/>
  <c r="BY207" i="1"/>
  <c r="BY208" i="1"/>
  <c r="BY209" i="1"/>
  <c r="BY210" i="1"/>
  <c r="BY211" i="1"/>
  <c r="BY212" i="1"/>
  <c r="BY213" i="1"/>
  <c r="BY214" i="1"/>
  <c r="BY215" i="1"/>
  <c r="BY216" i="1"/>
  <c r="BY217" i="1"/>
  <c r="BY218" i="1"/>
  <c r="BY219" i="1"/>
  <c r="BY220" i="1"/>
  <c r="BY221" i="1"/>
  <c r="BY222" i="1"/>
  <c r="BY223" i="1"/>
  <c r="BY224" i="1"/>
  <c r="BY225" i="1"/>
  <c r="BY226" i="1"/>
  <c r="BY227" i="1"/>
  <c r="BY228" i="1"/>
  <c r="BY229" i="1"/>
  <c r="BY230" i="1"/>
  <c r="BY231" i="1"/>
  <c r="BY232" i="1"/>
  <c r="BY233" i="1"/>
  <c r="BY234" i="1"/>
  <c r="BY235" i="1"/>
  <c r="BY236" i="1"/>
  <c r="BY237" i="1"/>
  <c r="BY238" i="1"/>
  <c r="BY239" i="1"/>
  <c r="BY240" i="1"/>
  <c r="BY241" i="1"/>
  <c r="BY242" i="1"/>
  <c r="BY243" i="1"/>
  <c r="BY244" i="1"/>
  <c r="BY245" i="1"/>
  <c r="BY246" i="1"/>
  <c r="BY247" i="1"/>
  <c r="BY248" i="1"/>
  <c r="BY249" i="1"/>
  <c r="BY250" i="1"/>
  <c r="BY251" i="1"/>
  <c r="BY252" i="1"/>
  <c r="BY253" i="1"/>
  <c r="BY254" i="1"/>
  <c r="BY255" i="1"/>
  <c r="BY256" i="1"/>
  <c r="BY257" i="1"/>
  <c r="BY258" i="1"/>
  <c r="BY259" i="1"/>
  <c r="BY260" i="1"/>
  <c r="BY262" i="1"/>
  <c r="BY263" i="1"/>
  <c r="BY264" i="1"/>
  <c r="BY265" i="1"/>
  <c r="BY266" i="1"/>
  <c r="BY267" i="1"/>
  <c r="BY268" i="1"/>
  <c r="BY269" i="1"/>
  <c r="BY270" i="1"/>
  <c r="BY271" i="1"/>
  <c r="BY272" i="1"/>
  <c r="BY273" i="1"/>
  <c r="BY274" i="1"/>
  <c r="BY275" i="1"/>
  <c r="BY276" i="1"/>
  <c r="BY277" i="1"/>
  <c r="BY278" i="1"/>
  <c r="BY279" i="1"/>
  <c r="BY280" i="1"/>
  <c r="BY281" i="1"/>
  <c r="BY282" i="1"/>
  <c r="BY283" i="1"/>
  <c r="BY284" i="1"/>
  <c r="BY285" i="1"/>
  <c r="BY286" i="1"/>
  <c r="BY287" i="1"/>
  <c r="BY288" i="1"/>
  <c r="BY289" i="1"/>
  <c r="BY290" i="1"/>
  <c r="BY291" i="1"/>
  <c r="BY292" i="1"/>
  <c r="BY293" i="1"/>
  <c r="BY294" i="1"/>
  <c r="BY295" i="1"/>
  <c r="BY296" i="1"/>
  <c r="BY297" i="1"/>
  <c r="BY298" i="1"/>
  <c r="BY299" i="1"/>
  <c r="BY300" i="1"/>
  <c r="BY301" i="1"/>
  <c r="BY302" i="1"/>
  <c r="BY2" i="1"/>
  <c r="BW3" i="1"/>
  <c r="BW4" i="1"/>
  <c r="BW5" i="1"/>
  <c r="BW6" i="1"/>
  <c r="BW7" i="1"/>
  <c r="BW8" i="1"/>
  <c r="BW9" i="1"/>
  <c r="BW10" i="1"/>
  <c r="BW11" i="1"/>
  <c r="BW12" i="1"/>
  <c r="BW13" i="1"/>
  <c r="BW14" i="1"/>
  <c r="BW15" i="1"/>
  <c r="BW16" i="1"/>
  <c r="BW17" i="1"/>
  <c r="BW18" i="1"/>
  <c r="BW19" i="1"/>
  <c r="BW20" i="1"/>
  <c r="BW21" i="1"/>
  <c r="BW22" i="1"/>
  <c r="BW23" i="1"/>
  <c r="BW24" i="1"/>
  <c r="BW25" i="1"/>
  <c r="BW26" i="1"/>
  <c r="BW27" i="1"/>
  <c r="BW28" i="1"/>
  <c r="BW29" i="1"/>
  <c r="BW30" i="1"/>
  <c r="BW31" i="1"/>
  <c r="BW32" i="1"/>
  <c r="BW33" i="1"/>
  <c r="BW34" i="1"/>
  <c r="BW35" i="1"/>
  <c r="BW36" i="1"/>
  <c r="BW37" i="1"/>
  <c r="BW38" i="1"/>
  <c r="BW39" i="1"/>
  <c r="BW40" i="1"/>
  <c r="BW41" i="1"/>
  <c r="BW42" i="1"/>
  <c r="BW43" i="1"/>
  <c r="BW44" i="1"/>
  <c r="BW45" i="1"/>
  <c r="BW46" i="1"/>
  <c r="BW47" i="1"/>
  <c r="BW48" i="1"/>
  <c r="BW49" i="1"/>
  <c r="BW50" i="1"/>
  <c r="BW51" i="1"/>
  <c r="BW52" i="1"/>
  <c r="BW53" i="1"/>
  <c r="BW54" i="1"/>
  <c r="BW55" i="1"/>
  <c r="BW56" i="1"/>
  <c r="BW57" i="1"/>
  <c r="BW58" i="1"/>
  <c r="BW59" i="1"/>
  <c r="BW60" i="1"/>
  <c r="BW61" i="1"/>
  <c r="BW62" i="1"/>
  <c r="BW63" i="1"/>
  <c r="BW64" i="1"/>
  <c r="BW65" i="1"/>
  <c r="BW66" i="1"/>
  <c r="BW67" i="1"/>
  <c r="BW68" i="1"/>
  <c r="BW69" i="1"/>
  <c r="BW70" i="1"/>
  <c r="BW71" i="1"/>
  <c r="BW72" i="1"/>
  <c r="BW73" i="1"/>
  <c r="BW74" i="1"/>
  <c r="BW75" i="1"/>
  <c r="BW76" i="1"/>
  <c r="BW77" i="1"/>
  <c r="BW78" i="1"/>
  <c r="BW79" i="1"/>
  <c r="BW80" i="1"/>
  <c r="BW81" i="1"/>
  <c r="BW82" i="1"/>
  <c r="BW83" i="1"/>
  <c r="BW84" i="1"/>
  <c r="BW85" i="1"/>
  <c r="BW86" i="1"/>
  <c r="BW87" i="1"/>
  <c r="BW88" i="1"/>
  <c r="BW89" i="1"/>
  <c r="BW90" i="1"/>
  <c r="BW91" i="1"/>
  <c r="BW92" i="1"/>
  <c r="BW93" i="1"/>
  <c r="BW94" i="1"/>
  <c r="BW95" i="1"/>
  <c r="BW96" i="1"/>
  <c r="BW97" i="1"/>
  <c r="BW98" i="1"/>
  <c r="BW99" i="1"/>
  <c r="BW100" i="1"/>
  <c r="BW101" i="1"/>
  <c r="BW102" i="1"/>
  <c r="BW103" i="1"/>
  <c r="BW104" i="1"/>
  <c r="BW105" i="1"/>
  <c r="BW106" i="1"/>
  <c r="BW107" i="1"/>
  <c r="BW108" i="1"/>
  <c r="BW109" i="1"/>
  <c r="BW110" i="1"/>
  <c r="BW111" i="1"/>
  <c r="BW112" i="1"/>
  <c r="BW113" i="1"/>
  <c r="BW114" i="1"/>
  <c r="BW115" i="1"/>
  <c r="BW116" i="1"/>
  <c r="BW117" i="1"/>
  <c r="BW118" i="1"/>
  <c r="BW119" i="1"/>
  <c r="BW120" i="1"/>
  <c r="BW121" i="1"/>
  <c r="BW122" i="1"/>
  <c r="BW123" i="1"/>
  <c r="BW124" i="1"/>
  <c r="BW125" i="1"/>
  <c r="BW126" i="1"/>
  <c r="BW127" i="1"/>
  <c r="BW128" i="1"/>
  <c r="BW129" i="1"/>
  <c r="BW130" i="1"/>
  <c r="BW131" i="1"/>
  <c r="BW133" i="1"/>
  <c r="BW134" i="1"/>
  <c r="BW135" i="1"/>
  <c r="BW136" i="1"/>
  <c r="BW137" i="1"/>
  <c r="BW138" i="1"/>
  <c r="BW139" i="1"/>
  <c r="BW140" i="1"/>
  <c r="BW141" i="1"/>
  <c r="BW142" i="1"/>
  <c r="BW143" i="1"/>
  <c r="BW144" i="1"/>
  <c r="BW145" i="1"/>
  <c r="BW146" i="1"/>
  <c r="BW147" i="1"/>
  <c r="BW148" i="1"/>
  <c r="BW149" i="1"/>
  <c r="BW150" i="1"/>
  <c r="BW151" i="1"/>
  <c r="BW152" i="1"/>
  <c r="BW153" i="1"/>
  <c r="BW154" i="1"/>
  <c r="BW155" i="1"/>
  <c r="BW156" i="1"/>
  <c r="BW157" i="1"/>
  <c r="BW158" i="1"/>
  <c r="BW159" i="1"/>
  <c r="BW160" i="1"/>
  <c r="BW161" i="1"/>
  <c r="BW162" i="1"/>
  <c r="BW163" i="1"/>
  <c r="BW164" i="1"/>
  <c r="BW165" i="1"/>
  <c r="BW166" i="1"/>
  <c r="BW167" i="1"/>
  <c r="BW168" i="1"/>
  <c r="BW169" i="1"/>
  <c r="BW170" i="1"/>
  <c r="BW171" i="1"/>
  <c r="BW172" i="1"/>
  <c r="BW173" i="1"/>
  <c r="BW174" i="1"/>
  <c r="BW175" i="1"/>
  <c r="BW176" i="1"/>
  <c r="BW177" i="1"/>
  <c r="BW178" i="1"/>
  <c r="BW179" i="1"/>
  <c r="BW180" i="1"/>
  <c r="BW181" i="1"/>
  <c r="BW182" i="1"/>
  <c r="BW183" i="1"/>
  <c r="BW184" i="1"/>
  <c r="BW185" i="1"/>
  <c r="BW186" i="1"/>
  <c r="BW187" i="1"/>
  <c r="BW188" i="1"/>
  <c r="BW189" i="1"/>
  <c r="BW190" i="1"/>
  <c r="BW191" i="1"/>
  <c r="BW192" i="1"/>
  <c r="BW193" i="1"/>
  <c r="BW194" i="1"/>
  <c r="BW195" i="1"/>
  <c r="BW196" i="1"/>
  <c r="BW197" i="1"/>
  <c r="BW198" i="1"/>
  <c r="BW199" i="1"/>
  <c r="BW200" i="1"/>
  <c r="BW201" i="1"/>
  <c r="BW202" i="1"/>
  <c r="BW203" i="1"/>
  <c r="BW204" i="1"/>
  <c r="BW205" i="1"/>
  <c r="BW206" i="1"/>
  <c r="BW207" i="1"/>
  <c r="BW208" i="1"/>
  <c r="BW209" i="1"/>
  <c r="BW210" i="1"/>
  <c r="BW211" i="1"/>
  <c r="BW212" i="1"/>
  <c r="BW213" i="1"/>
  <c r="BW214" i="1"/>
  <c r="BW215" i="1"/>
  <c r="BW216" i="1"/>
  <c r="BW217" i="1"/>
  <c r="BW218" i="1"/>
  <c r="BW219" i="1"/>
  <c r="BW220" i="1"/>
  <c r="BW221" i="1"/>
  <c r="BW222" i="1"/>
  <c r="BW223" i="1"/>
  <c r="BW224" i="1"/>
  <c r="BW225" i="1"/>
  <c r="BW226" i="1"/>
  <c r="BW227" i="1"/>
  <c r="BW228" i="1"/>
  <c r="BW229" i="1"/>
  <c r="BW230" i="1"/>
  <c r="BW231" i="1"/>
  <c r="BW232" i="1"/>
  <c r="BW233" i="1"/>
  <c r="BW234" i="1"/>
  <c r="BW235" i="1"/>
  <c r="BW236" i="1"/>
  <c r="BW237" i="1"/>
  <c r="BW238" i="1"/>
  <c r="BW239" i="1"/>
  <c r="BW240" i="1"/>
  <c r="BW241" i="1"/>
  <c r="BW242" i="1"/>
  <c r="BW243" i="1"/>
  <c r="BW244" i="1"/>
  <c r="BW245" i="1"/>
  <c r="BW246" i="1"/>
  <c r="BW247" i="1"/>
  <c r="BW248" i="1"/>
  <c r="BW249" i="1"/>
  <c r="BW250" i="1"/>
  <c r="BW251" i="1"/>
  <c r="BW252" i="1"/>
  <c r="BW253" i="1"/>
  <c r="BW254" i="1"/>
  <c r="BW255" i="1"/>
  <c r="BW256" i="1"/>
  <c r="BW257" i="1"/>
  <c r="BW258" i="1"/>
  <c r="BW259" i="1"/>
  <c r="BW260" i="1"/>
  <c r="BW262" i="1"/>
  <c r="BW263" i="1"/>
  <c r="BW264" i="1"/>
  <c r="BW265" i="1"/>
  <c r="BW266" i="1"/>
  <c r="BW267" i="1"/>
  <c r="BW268" i="1"/>
  <c r="BW269" i="1"/>
  <c r="BW270" i="1"/>
  <c r="BW271" i="1"/>
  <c r="BW272" i="1"/>
  <c r="BW273" i="1"/>
  <c r="BW274" i="1"/>
  <c r="BW275" i="1"/>
  <c r="BW276" i="1"/>
  <c r="BW277" i="1"/>
  <c r="BW278" i="1"/>
  <c r="BW279" i="1"/>
  <c r="BW280" i="1"/>
  <c r="BW281" i="1"/>
  <c r="BW282" i="1"/>
  <c r="BW283" i="1"/>
  <c r="BW284" i="1"/>
  <c r="BW285" i="1"/>
  <c r="BW286" i="1"/>
  <c r="BW287" i="1"/>
  <c r="BW288" i="1"/>
  <c r="BW289" i="1"/>
  <c r="BW290" i="1"/>
  <c r="BW291" i="1"/>
  <c r="BW292" i="1"/>
  <c r="BW293" i="1"/>
  <c r="BW294" i="1"/>
  <c r="BW295" i="1"/>
  <c r="BW296" i="1"/>
  <c r="BW297" i="1"/>
  <c r="BW298" i="1"/>
  <c r="BW299" i="1"/>
  <c r="BW300" i="1"/>
  <c r="BW301" i="1"/>
  <c r="BW302" i="1"/>
  <c r="BW2" i="1"/>
  <c r="BV3" i="1"/>
  <c r="BV4" i="1"/>
  <c r="BV5" i="1"/>
  <c r="BV6" i="1"/>
  <c r="BV7" i="1"/>
  <c r="BV8" i="1"/>
  <c r="BV9" i="1"/>
  <c r="BV10" i="1"/>
  <c r="BV11" i="1"/>
  <c r="BV12" i="1"/>
  <c r="BV13" i="1"/>
  <c r="BV14" i="1"/>
  <c r="BV15" i="1"/>
  <c r="BV16" i="1"/>
  <c r="BV17" i="1"/>
  <c r="BV18" i="1"/>
  <c r="BV19" i="1"/>
  <c r="BV20" i="1"/>
  <c r="BV21" i="1"/>
  <c r="BV22" i="1"/>
  <c r="BV23" i="1"/>
  <c r="BV24" i="1"/>
  <c r="BV25" i="1"/>
  <c r="BV26" i="1"/>
  <c r="BV27" i="1"/>
  <c r="BV28" i="1"/>
  <c r="BV29" i="1"/>
  <c r="BV30" i="1"/>
  <c r="BV31" i="1"/>
  <c r="BV32" i="1"/>
  <c r="BV33" i="1"/>
  <c r="BV34" i="1"/>
  <c r="BV35" i="1"/>
  <c r="BV36" i="1"/>
  <c r="BV37" i="1"/>
  <c r="BV38" i="1"/>
  <c r="BV39" i="1"/>
  <c r="BV40" i="1"/>
  <c r="BV41" i="1"/>
  <c r="BV42" i="1"/>
  <c r="BV43" i="1"/>
  <c r="BV44" i="1"/>
  <c r="BV45" i="1"/>
  <c r="BV46" i="1"/>
  <c r="BV47" i="1"/>
  <c r="BV48" i="1"/>
  <c r="BV49" i="1"/>
  <c r="BV50" i="1"/>
  <c r="BV51" i="1"/>
  <c r="BV52" i="1"/>
  <c r="BV53" i="1"/>
  <c r="BV54" i="1"/>
  <c r="BV55" i="1"/>
  <c r="BV56" i="1"/>
  <c r="BV57" i="1"/>
  <c r="BV58" i="1"/>
  <c r="BV59" i="1"/>
  <c r="BV60" i="1"/>
  <c r="BV61" i="1"/>
  <c r="BV62" i="1"/>
  <c r="BV63" i="1"/>
  <c r="BV64" i="1"/>
  <c r="BV65" i="1"/>
  <c r="BV66" i="1"/>
  <c r="BV67" i="1"/>
  <c r="BV68" i="1"/>
  <c r="BV69" i="1"/>
  <c r="BV70" i="1"/>
  <c r="BV71" i="1"/>
  <c r="BV72" i="1"/>
  <c r="BV73" i="1"/>
  <c r="BV74" i="1"/>
  <c r="BV75" i="1"/>
  <c r="BV76" i="1"/>
  <c r="BV77" i="1"/>
  <c r="BV78" i="1"/>
  <c r="BV79" i="1"/>
  <c r="BV80" i="1"/>
  <c r="BV81" i="1"/>
  <c r="BV82" i="1"/>
  <c r="BV83" i="1"/>
  <c r="BV84" i="1"/>
  <c r="BV85" i="1"/>
  <c r="BV86" i="1"/>
  <c r="BV87" i="1"/>
  <c r="BV88" i="1"/>
  <c r="BV89" i="1"/>
  <c r="BV90" i="1"/>
  <c r="BV91" i="1"/>
  <c r="BV92" i="1"/>
  <c r="BV93" i="1"/>
  <c r="BV94" i="1"/>
  <c r="BV95" i="1"/>
  <c r="BV96" i="1"/>
  <c r="BV97" i="1"/>
  <c r="BV98" i="1"/>
  <c r="BV99" i="1"/>
  <c r="BV100" i="1"/>
  <c r="BV101" i="1"/>
  <c r="BV102" i="1"/>
  <c r="BV103" i="1"/>
  <c r="BV104" i="1"/>
  <c r="BV105" i="1"/>
  <c r="BV106" i="1"/>
  <c r="BV107" i="1"/>
  <c r="BV108" i="1"/>
  <c r="BV109" i="1"/>
  <c r="BV110" i="1"/>
  <c r="BV111" i="1"/>
  <c r="BV112" i="1"/>
  <c r="BV113" i="1"/>
  <c r="BV114" i="1"/>
  <c r="BV115" i="1"/>
  <c r="BV116" i="1"/>
  <c r="BV117" i="1"/>
  <c r="BV118" i="1"/>
  <c r="BV119" i="1"/>
  <c r="BV120" i="1"/>
  <c r="BV121" i="1"/>
  <c r="BV122" i="1"/>
  <c r="BV123" i="1"/>
  <c r="BV124" i="1"/>
  <c r="BV125" i="1"/>
  <c r="BV126" i="1"/>
  <c r="BV127" i="1"/>
  <c r="BV128" i="1"/>
  <c r="BV129" i="1"/>
  <c r="BV130" i="1"/>
  <c r="BV131" i="1"/>
  <c r="BV133" i="1"/>
  <c r="BV134" i="1"/>
  <c r="BV135" i="1"/>
  <c r="BV136" i="1"/>
  <c r="BV137" i="1"/>
  <c r="BV138" i="1"/>
  <c r="BV139" i="1"/>
  <c r="BV140" i="1"/>
  <c r="BV141" i="1"/>
  <c r="BV142" i="1"/>
  <c r="BV143" i="1"/>
  <c r="BV144" i="1"/>
  <c r="BV145" i="1"/>
  <c r="BV146" i="1"/>
  <c r="BV147" i="1"/>
  <c r="BV148" i="1"/>
  <c r="BV149" i="1"/>
  <c r="BV150" i="1"/>
  <c r="BV151" i="1"/>
  <c r="BV152" i="1"/>
  <c r="BV153" i="1"/>
  <c r="BV154" i="1"/>
  <c r="BV155" i="1"/>
  <c r="BV156" i="1"/>
  <c r="BV157" i="1"/>
  <c r="BV158" i="1"/>
  <c r="BV159" i="1"/>
  <c r="BV160" i="1"/>
  <c r="BV161" i="1"/>
  <c r="BV162" i="1"/>
  <c r="BV163" i="1"/>
  <c r="BV164" i="1"/>
  <c r="BV165" i="1"/>
  <c r="BV166" i="1"/>
  <c r="BV167" i="1"/>
  <c r="BV168" i="1"/>
  <c r="BV169" i="1"/>
  <c r="BV170" i="1"/>
  <c r="BV171" i="1"/>
  <c r="BV172" i="1"/>
  <c r="BV173" i="1"/>
  <c r="BV174" i="1"/>
  <c r="BV175" i="1"/>
  <c r="BV176" i="1"/>
  <c r="BV177" i="1"/>
  <c r="BV178" i="1"/>
  <c r="BV179" i="1"/>
  <c r="BV180" i="1"/>
  <c r="BV181" i="1"/>
  <c r="BV182" i="1"/>
  <c r="BV183" i="1"/>
  <c r="BV184" i="1"/>
  <c r="BV185" i="1"/>
  <c r="BV186" i="1"/>
  <c r="BV187" i="1"/>
  <c r="BV188" i="1"/>
  <c r="BV189" i="1"/>
  <c r="BV190" i="1"/>
  <c r="BV191" i="1"/>
  <c r="BV192" i="1"/>
  <c r="BV193" i="1"/>
  <c r="BV194" i="1"/>
  <c r="BV195" i="1"/>
  <c r="BV196" i="1"/>
  <c r="BV197" i="1"/>
  <c r="BV198" i="1"/>
  <c r="BV199" i="1"/>
  <c r="BV200" i="1"/>
  <c r="BV201" i="1"/>
  <c r="BV202" i="1"/>
  <c r="BV203" i="1"/>
  <c r="BV204" i="1"/>
  <c r="BV205" i="1"/>
  <c r="BV206" i="1"/>
  <c r="BV207" i="1"/>
  <c r="BV208" i="1"/>
  <c r="BV209" i="1"/>
  <c r="BV210" i="1"/>
  <c r="BV211" i="1"/>
  <c r="BV212" i="1"/>
  <c r="BV213" i="1"/>
  <c r="BV214" i="1"/>
  <c r="BV215" i="1"/>
  <c r="BV216" i="1"/>
  <c r="BV217" i="1"/>
  <c r="BV218" i="1"/>
  <c r="BV219" i="1"/>
  <c r="BV220" i="1"/>
  <c r="BV221" i="1"/>
  <c r="BV222" i="1"/>
  <c r="BV223" i="1"/>
  <c r="BV224" i="1"/>
  <c r="BV225" i="1"/>
  <c r="BV226" i="1"/>
  <c r="BV227" i="1"/>
  <c r="BV228" i="1"/>
  <c r="BV229" i="1"/>
  <c r="BV230" i="1"/>
  <c r="BV231" i="1"/>
  <c r="BV232" i="1"/>
  <c r="BV233" i="1"/>
  <c r="BV234" i="1"/>
  <c r="BV235" i="1"/>
  <c r="BV236" i="1"/>
  <c r="BV237" i="1"/>
  <c r="BV238" i="1"/>
  <c r="BV239" i="1"/>
  <c r="BV240" i="1"/>
  <c r="BV241" i="1"/>
  <c r="BV242" i="1"/>
  <c r="BV243" i="1"/>
  <c r="BV244" i="1"/>
  <c r="BV245" i="1"/>
  <c r="BV246" i="1"/>
  <c r="BV247" i="1"/>
  <c r="BV248" i="1"/>
  <c r="BV249" i="1"/>
  <c r="BV250" i="1"/>
  <c r="BV251" i="1"/>
  <c r="BV252" i="1"/>
  <c r="BV253" i="1"/>
  <c r="BV254" i="1"/>
  <c r="BV255" i="1"/>
  <c r="BV256" i="1"/>
  <c r="BV257" i="1"/>
  <c r="BV258" i="1"/>
  <c r="BV259" i="1"/>
  <c r="BV260" i="1"/>
  <c r="BV262" i="1"/>
  <c r="BV263" i="1"/>
  <c r="BV264" i="1"/>
  <c r="BV265" i="1"/>
  <c r="BV266" i="1"/>
  <c r="BV267" i="1"/>
  <c r="BV268" i="1"/>
  <c r="BV269" i="1"/>
  <c r="BV270" i="1"/>
  <c r="BV271" i="1"/>
  <c r="BV272" i="1"/>
  <c r="BV273" i="1"/>
  <c r="BV274" i="1"/>
  <c r="BV275" i="1"/>
  <c r="BV276" i="1"/>
  <c r="BV277" i="1"/>
  <c r="BV278" i="1"/>
  <c r="BV279" i="1"/>
  <c r="BV280" i="1"/>
  <c r="BV281" i="1"/>
  <c r="BV282" i="1"/>
  <c r="BV283" i="1"/>
  <c r="BV284" i="1"/>
  <c r="BV285" i="1"/>
  <c r="BV286" i="1"/>
  <c r="BV287" i="1"/>
  <c r="BV288" i="1"/>
  <c r="BV289" i="1"/>
  <c r="BV290" i="1"/>
  <c r="BV291" i="1"/>
  <c r="BV292" i="1"/>
  <c r="BV293" i="1"/>
  <c r="BV294" i="1"/>
  <c r="BV295" i="1"/>
  <c r="BV296" i="1"/>
  <c r="BV297" i="1"/>
  <c r="BV298" i="1"/>
  <c r="BV299" i="1"/>
  <c r="BV300" i="1"/>
  <c r="BV301" i="1"/>
  <c r="BV302" i="1"/>
  <c r="BV2" i="1"/>
  <c r="BS3" i="1"/>
  <c r="BT3" i="1" s="1"/>
  <c r="BS4" i="1"/>
  <c r="BU4" i="1" s="1"/>
  <c r="BS5" i="1"/>
  <c r="BS6" i="1"/>
  <c r="BT6" i="1" s="1"/>
  <c r="BS7" i="1"/>
  <c r="BT7" i="1" s="1"/>
  <c r="BS8" i="1"/>
  <c r="BS9" i="1"/>
  <c r="BS10" i="1"/>
  <c r="BT10" i="1" s="1"/>
  <c r="BS11" i="1"/>
  <c r="BT11" i="1" s="1"/>
  <c r="BS12" i="1"/>
  <c r="BU12" i="1" s="1"/>
  <c r="BS13" i="1"/>
  <c r="BT13" i="1" s="1"/>
  <c r="BS14" i="1"/>
  <c r="BS15" i="1"/>
  <c r="BT15" i="1" s="1"/>
  <c r="BS16" i="1"/>
  <c r="BS17" i="1"/>
  <c r="BS18" i="1"/>
  <c r="BT18" i="1" s="1"/>
  <c r="BS19" i="1"/>
  <c r="BT19" i="1" s="1"/>
  <c r="BS20" i="1"/>
  <c r="BU20" i="1" s="1"/>
  <c r="BS21" i="1"/>
  <c r="BS22" i="1"/>
  <c r="BS23" i="1"/>
  <c r="BT23" i="1" s="1"/>
  <c r="BS24" i="1"/>
  <c r="BS25" i="1"/>
  <c r="BS26" i="1"/>
  <c r="BT26" i="1" s="1"/>
  <c r="BS27" i="1"/>
  <c r="BT27" i="1" s="1"/>
  <c r="BS28" i="1"/>
  <c r="BU28" i="1" s="1"/>
  <c r="BS29" i="1"/>
  <c r="BS30" i="1"/>
  <c r="BU30" i="1" s="1"/>
  <c r="BS31" i="1"/>
  <c r="BU31" i="1" s="1"/>
  <c r="BS32" i="1"/>
  <c r="BS33" i="1"/>
  <c r="BS34" i="1"/>
  <c r="BT34" i="1" s="1"/>
  <c r="BS35" i="1"/>
  <c r="BT35" i="1" s="1"/>
  <c r="BS36" i="1"/>
  <c r="BU36" i="1" s="1"/>
  <c r="BS37" i="1"/>
  <c r="BU37" i="1" s="1"/>
  <c r="BS38" i="1"/>
  <c r="BU38" i="1" s="1"/>
  <c r="BS39" i="1"/>
  <c r="BU39" i="1" s="1"/>
  <c r="BS40" i="1"/>
  <c r="BS41" i="1"/>
  <c r="BS42" i="1"/>
  <c r="BT42" i="1" s="1"/>
  <c r="BS43" i="1"/>
  <c r="BT43" i="1" s="1"/>
  <c r="BS44" i="1"/>
  <c r="BU44" i="1" s="1"/>
  <c r="BS45" i="1"/>
  <c r="BS46" i="1"/>
  <c r="BS47" i="1"/>
  <c r="BT47" i="1" s="1"/>
  <c r="BS48" i="1"/>
  <c r="BS49" i="1"/>
  <c r="BS50" i="1"/>
  <c r="BT50" i="1" s="1"/>
  <c r="BS51" i="1"/>
  <c r="BT51" i="1" s="1"/>
  <c r="BS52" i="1"/>
  <c r="BU52" i="1" s="1"/>
  <c r="BS53" i="1"/>
  <c r="BU53" i="1" s="1"/>
  <c r="BS54" i="1"/>
  <c r="BS55" i="1"/>
  <c r="BT55" i="1" s="1"/>
  <c r="BS56" i="1"/>
  <c r="BS57" i="1"/>
  <c r="BS58" i="1"/>
  <c r="BT58" i="1" s="1"/>
  <c r="BS59" i="1"/>
  <c r="BT59" i="1" s="1"/>
  <c r="BS60" i="1"/>
  <c r="BU60" i="1" s="1"/>
  <c r="BS61" i="1"/>
  <c r="BS62" i="1"/>
  <c r="BU62" i="1" s="1"/>
  <c r="BS63" i="1"/>
  <c r="BT63" i="1" s="1"/>
  <c r="BS64" i="1"/>
  <c r="BS65" i="1"/>
  <c r="BS66" i="1"/>
  <c r="BT66" i="1" s="1"/>
  <c r="BS67" i="1"/>
  <c r="BT67" i="1" s="1"/>
  <c r="BS68" i="1"/>
  <c r="BT68" i="1" s="1"/>
  <c r="BS69" i="1"/>
  <c r="BT69" i="1" s="1"/>
  <c r="BS70" i="1"/>
  <c r="BU70" i="1" s="1"/>
  <c r="BS71" i="1"/>
  <c r="BT71" i="1" s="1"/>
  <c r="BS72" i="1"/>
  <c r="BS73" i="1"/>
  <c r="BS74" i="1"/>
  <c r="BT74" i="1" s="1"/>
  <c r="BS75" i="1"/>
  <c r="BT75" i="1" s="1"/>
  <c r="BS76" i="1"/>
  <c r="BU76" i="1" s="1"/>
  <c r="BS77" i="1"/>
  <c r="BT77" i="1" s="1"/>
  <c r="BS78" i="1"/>
  <c r="BU78" i="1" s="1"/>
  <c r="BS79" i="1"/>
  <c r="BT79" i="1" s="1"/>
  <c r="BS80" i="1"/>
  <c r="BS81" i="1"/>
  <c r="BS82" i="1"/>
  <c r="BT82" i="1" s="1"/>
  <c r="BS83" i="1"/>
  <c r="BT83" i="1" s="1"/>
  <c r="BS84" i="1"/>
  <c r="BU84" i="1" s="1"/>
  <c r="BS85" i="1"/>
  <c r="BS86" i="1"/>
  <c r="BU86" i="1" s="1"/>
  <c r="BS87" i="1"/>
  <c r="BT87" i="1" s="1"/>
  <c r="BS88" i="1"/>
  <c r="BS89" i="1"/>
  <c r="BS90" i="1"/>
  <c r="BT90" i="1" s="1"/>
  <c r="BS91" i="1"/>
  <c r="BT91" i="1" s="1"/>
  <c r="BS92" i="1"/>
  <c r="BU92" i="1" s="1"/>
  <c r="BS93" i="1"/>
  <c r="BT93" i="1" s="1"/>
  <c r="BS94" i="1"/>
  <c r="BU94" i="1" s="1"/>
  <c r="BS95" i="1"/>
  <c r="BT95" i="1" s="1"/>
  <c r="BS96" i="1"/>
  <c r="BS97" i="1"/>
  <c r="BS98" i="1"/>
  <c r="BT98" i="1" s="1"/>
  <c r="BS99" i="1"/>
  <c r="BT99" i="1" s="1"/>
  <c r="BS100" i="1"/>
  <c r="BT100" i="1" s="1"/>
  <c r="BS101" i="1"/>
  <c r="BT101" i="1" s="1"/>
  <c r="BS102" i="1"/>
  <c r="BU102" i="1" s="1"/>
  <c r="BS103" i="1"/>
  <c r="BT103" i="1" s="1"/>
  <c r="BS104" i="1"/>
  <c r="BS105" i="1"/>
  <c r="BS106" i="1"/>
  <c r="BT106" i="1" s="1"/>
  <c r="BS107" i="1"/>
  <c r="BT107" i="1" s="1"/>
  <c r="BS108" i="1"/>
  <c r="BS109" i="1"/>
  <c r="BS110" i="1"/>
  <c r="BU110" i="1" s="1"/>
  <c r="BS111" i="1"/>
  <c r="BT111" i="1" s="1"/>
  <c r="BS112" i="1"/>
  <c r="BS113" i="1"/>
  <c r="BS114" i="1"/>
  <c r="BT114" i="1" s="1"/>
  <c r="BS115" i="1"/>
  <c r="BT115" i="1" s="1"/>
  <c r="BS116" i="1"/>
  <c r="BU116" i="1" s="1"/>
  <c r="BS117" i="1"/>
  <c r="BT117" i="1" s="1"/>
  <c r="BS118" i="1"/>
  <c r="BU118" i="1" s="1"/>
  <c r="BS119" i="1"/>
  <c r="BT119" i="1" s="1"/>
  <c r="BS120" i="1"/>
  <c r="BS121" i="1"/>
  <c r="BS122" i="1"/>
  <c r="BT122" i="1" s="1"/>
  <c r="BS123" i="1"/>
  <c r="BT123" i="1" s="1"/>
  <c r="BS124" i="1"/>
  <c r="BU124" i="1" s="1"/>
  <c r="BS125" i="1"/>
  <c r="BT125" i="1" s="1"/>
  <c r="BS126" i="1"/>
  <c r="BU126" i="1" s="1"/>
  <c r="BS127" i="1"/>
  <c r="BU127" i="1" s="1"/>
  <c r="BS128" i="1"/>
  <c r="BS129" i="1"/>
  <c r="BS130" i="1"/>
  <c r="BT130" i="1" s="1"/>
  <c r="BS131" i="1"/>
  <c r="BT131" i="1" s="1"/>
  <c r="BS133" i="1"/>
  <c r="BT133" i="1" s="1"/>
  <c r="BS134" i="1"/>
  <c r="BS135" i="1"/>
  <c r="BU135" i="1" s="1"/>
  <c r="BS136" i="1"/>
  <c r="BT136" i="1" s="1"/>
  <c r="BS137" i="1"/>
  <c r="BS138" i="1"/>
  <c r="BS139" i="1"/>
  <c r="BT139" i="1" s="1"/>
  <c r="BS140" i="1"/>
  <c r="BT140" i="1" s="1"/>
  <c r="BS141" i="1"/>
  <c r="BU141" i="1" s="1"/>
  <c r="BS142" i="1"/>
  <c r="BT142" i="1" s="1"/>
  <c r="BS143" i="1"/>
  <c r="BU143" i="1" s="1"/>
  <c r="BS144" i="1"/>
  <c r="BT144" i="1" s="1"/>
  <c r="BS145" i="1"/>
  <c r="BS146" i="1"/>
  <c r="BS147" i="1"/>
  <c r="BT147" i="1" s="1"/>
  <c r="BS148" i="1"/>
  <c r="BT148" i="1" s="1"/>
  <c r="BS149" i="1"/>
  <c r="BT149" i="1" s="1"/>
  <c r="BS150" i="1"/>
  <c r="BS151" i="1"/>
  <c r="BU151" i="1" s="1"/>
  <c r="BS152" i="1"/>
  <c r="BS153" i="1"/>
  <c r="BS154" i="1"/>
  <c r="BS155" i="1"/>
  <c r="BT155" i="1" s="1"/>
  <c r="BS156" i="1"/>
  <c r="BT156" i="1" s="1"/>
  <c r="BS157" i="1"/>
  <c r="BU157" i="1" s="1"/>
  <c r="BS158" i="1"/>
  <c r="BT158" i="1" s="1"/>
  <c r="BS159" i="1"/>
  <c r="BU159" i="1" s="1"/>
  <c r="BS160" i="1"/>
  <c r="BT160" i="1" s="1"/>
  <c r="BS161" i="1"/>
  <c r="BS162" i="1"/>
  <c r="BS163" i="1"/>
  <c r="BT163" i="1" s="1"/>
  <c r="BS164" i="1"/>
  <c r="BT164" i="1" s="1"/>
  <c r="BS165" i="1"/>
  <c r="BU165" i="1" s="1"/>
  <c r="BS166" i="1"/>
  <c r="BU166" i="1" s="1"/>
  <c r="BS167" i="1"/>
  <c r="BU167" i="1" s="1"/>
  <c r="BS168" i="1"/>
  <c r="BT168" i="1" s="1"/>
  <c r="BS169" i="1"/>
  <c r="BX169" i="1" s="1"/>
  <c r="BS170" i="1"/>
  <c r="BS171" i="1"/>
  <c r="BT171" i="1" s="1"/>
  <c r="BS172" i="1"/>
  <c r="BT172" i="1" s="1"/>
  <c r="BS173" i="1"/>
  <c r="BS174" i="1"/>
  <c r="BS175" i="1"/>
  <c r="BU175" i="1" s="1"/>
  <c r="BS176" i="1"/>
  <c r="BT176" i="1" s="1"/>
  <c r="BS177" i="1"/>
  <c r="BS178" i="1"/>
  <c r="BS179" i="1"/>
  <c r="BT179" i="1" s="1"/>
  <c r="BS180" i="1"/>
  <c r="BT180" i="1" s="1"/>
  <c r="BS181" i="1"/>
  <c r="BU181" i="1" s="1"/>
  <c r="BS182" i="1"/>
  <c r="BT182" i="1" s="1"/>
  <c r="BS183" i="1"/>
  <c r="BU183" i="1" s="1"/>
  <c r="BS184" i="1"/>
  <c r="BT184" i="1" s="1"/>
  <c r="BS185" i="1"/>
  <c r="BS186" i="1"/>
  <c r="BS187" i="1"/>
  <c r="BT187" i="1" s="1"/>
  <c r="BS188" i="1"/>
  <c r="BT188" i="1" s="1"/>
  <c r="BS189" i="1"/>
  <c r="BU189" i="1" s="1"/>
  <c r="BS190" i="1"/>
  <c r="BT190" i="1" s="1"/>
  <c r="BS191" i="1"/>
  <c r="BU191" i="1" s="1"/>
  <c r="BS192" i="1"/>
  <c r="BT192" i="1" s="1"/>
  <c r="BS193" i="1"/>
  <c r="BS194" i="1"/>
  <c r="BS195" i="1"/>
  <c r="BT195" i="1" s="1"/>
  <c r="BS196" i="1"/>
  <c r="BT196" i="1" s="1"/>
  <c r="BS197" i="1"/>
  <c r="BT197" i="1" s="1"/>
  <c r="BS198" i="1"/>
  <c r="BS199" i="1"/>
  <c r="BU199" i="1" s="1"/>
  <c r="BS200" i="1"/>
  <c r="BT200" i="1" s="1"/>
  <c r="BS201" i="1"/>
  <c r="BS202" i="1"/>
  <c r="BS203" i="1"/>
  <c r="BT203" i="1" s="1"/>
  <c r="BS204" i="1"/>
  <c r="BT204" i="1" s="1"/>
  <c r="BS205" i="1"/>
  <c r="BU205" i="1" s="1"/>
  <c r="BS206" i="1"/>
  <c r="BT206" i="1" s="1"/>
  <c r="BS207" i="1"/>
  <c r="BU207" i="1" s="1"/>
  <c r="BS208" i="1"/>
  <c r="BT208" i="1" s="1"/>
  <c r="BS209" i="1"/>
  <c r="BS210" i="1"/>
  <c r="BS211" i="1"/>
  <c r="BT211" i="1" s="1"/>
  <c r="BS212" i="1"/>
  <c r="BT212" i="1" s="1"/>
  <c r="BS213" i="1"/>
  <c r="BU213" i="1" s="1"/>
  <c r="BS214" i="1"/>
  <c r="BS215" i="1"/>
  <c r="BU215" i="1" s="1"/>
  <c r="BS216" i="1"/>
  <c r="BT216" i="1" s="1"/>
  <c r="BS217" i="1"/>
  <c r="BS218" i="1"/>
  <c r="BS219" i="1"/>
  <c r="BT219" i="1" s="1"/>
  <c r="BS220" i="1"/>
  <c r="BT220" i="1" s="1"/>
  <c r="BS221" i="1"/>
  <c r="BU221" i="1" s="1"/>
  <c r="BS222" i="1"/>
  <c r="BS223" i="1"/>
  <c r="BU223" i="1" s="1"/>
  <c r="BS224" i="1"/>
  <c r="BT224" i="1" s="1"/>
  <c r="BS225" i="1"/>
  <c r="BS226" i="1"/>
  <c r="BS227" i="1"/>
  <c r="BT227" i="1" s="1"/>
  <c r="BS228" i="1"/>
  <c r="BT228" i="1" s="1"/>
  <c r="BS229" i="1"/>
  <c r="BU229" i="1" s="1"/>
  <c r="BS230" i="1"/>
  <c r="BU230" i="1" s="1"/>
  <c r="BS231" i="1"/>
  <c r="BU231" i="1" s="1"/>
  <c r="BS232" i="1"/>
  <c r="BU232" i="1" s="1"/>
  <c r="BS233" i="1"/>
  <c r="BS234" i="1"/>
  <c r="BS235" i="1"/>
  <c r="BT235" i="1" s="1"/>
  <c r="BS236" i="1"/>
  <c r="BT236" i="1" s="1"/>
  <c r="BS237" i="1"/>
  <c r="BS238" i="1"/>
  <c r="BS239" i="1"/>
  <c r="BU239" i="1" s="1"/>
  <c r="BS240" i="1"/>
  <c r="BT240" i="1" s="1"/>
  <c r="BS241" i="1"/>
  <c r="BS242" i="1"/>
  <c r="BS243" i="1"/>
  <c r="BT243" i="1" s="1"/>
  <c r="BS244" i="1"/>
  <c r="BT244" i="1" s="1"/>
  <c r="BS245" i="1"/>
  <c r="BT245" i="1" s="1"/>
  <c r="BS246" i="1"/>
  <c r="BS247" i="1"/>
  <c r="BU247" i="1" s="1"/>
  <c r="BS248" i="1"/>
  <c r="BU248" i="1" s="1"/>
  <c r="BS249" i="1"/>
  <c r="BS250" i="1"/>
  <c r="BS251" i="1"/>
  <c r="BT251" i="1" s="1"/>
  <c r="BS252" i="1"/>
  <c r="BT252" i="1" s="1"/>
  <c r="BS253" i="1"/>
  <c r="BU253" i="1" s="1"/>
  <c r="BS254" i="1"/>
  <c r="BT254" i="1" s="1"/>
  <c r="BS255" i="1"/>
  <c r="BU255" i="1" s="1"/>
  <c r="BS256" i="1"/>
  <c r="BT256" i="1" s="1"/>
  <c r="BS257" i="1"/>
  <c r="BS258" i="1"/>
  <c r="BS259" i="1"/>
  <c r="BT259" i="1" s="1"/>
  <c r="BS260" i="1"/>
  <c r="BT260" i="1" s="1"/>
  <c r="BS262" i="1"/>
  <c r="BT262" i="1" s="1"/>
  <c r="BS263" i="1"/>
  <c r="BS264" i="1"/>
  <c r="BU264" i="1" s="1"/>
  <c r="BS265" i="1"/>
  <c r="BT265" i="1" s="1"/>
  <c r="BS266" i="1"/>
  <c r="BS267" i="1"/>
  <c r="BS268" i="1"/>
  <c r="BT268" i="1" s="1"/>
  <c r="BS269" i="1"/>
  <c r="BT269" i="1" s="1"/>
  <c r="BS270" i="1"/>
  <c r="BU270" i="1" s="1"/>
  <c r="BS271" i="1"/>
  <c r="BS272" i="1"/>
  <c r="BU272" i="1" s="1"/>
  <c r="BS273" i="1"/>
  <c r="BT273" i="1" s="1"/>
  <c r="BS274" i="1"/>
  <c r="BS275" i="1"/>
  <c r="BS276" i="1"/>
  <c r="BT276" i="1" s="1"/>
  <c r="BS277" i="1"/>
  <c r="BT277" i="1" s="1"/>
  <c r="BS278" i="1"/>
  <c r="BT278" i="1" s="1"/>
  <c r="BS279" i="1"/>
  <c r="BU279" i="1" s="1"/>
  <c r="BS280" i="1"/>
  <c r="BU280" i="1" s="1"/>
  <c r="BS281" i="1"/>
  <c r="BT281" i="1" s="1"/>
  <c r="BS282" i="1"/>
  <c r="BS283" i="1"/>
  <c r="BS284" i="1"/>
  <c r="BT284" i="1" s="1"/>
  <c r="BS285" i="1"/>
  <c r="BT285" i="1" s="1"/>
  <c r="BS286" i="1"/>
  <c r="BU286" i="1" s="1"/>
  <c r="BS287" i="1"/>
  <c r="BS288" i="1"/>
  <c r="BU288" i="1" s="1"/>
  <c r="BS289" i="1"/>
  <c r="BT289" i="1" s="1"/>
  <c r="BS290" i="1"/>
  <c r="BS291" i="1"/>
  <c r="BS292" i="1"/>
  <c r="BT292" i="1" s="1"/>
  <c r="BS293" i="1"/>
  <c r="BT293" i="1" s="1"/>
  <c r="BS294" i="1"/>
  <c r="BT294" i="1" s="1"/>
  <c r="BS295" i="1"/>
  <c r="BS296" i="1"/>
  <c r="BU296" i="1" s="1"/>
  <c r="BS297" i="1"/>
  <c r="BT297" i="1" s="1"/>
  <c r="BS298" i="1"/>
  <c r="BS299" i="1"/>
  <c r="BS300" i="1"/>
  <c r="BT300" i="1" s="1"/>
  <c r="BS301" i="1"/>
  <c r="BT301" i="1" s="1"/>
  <c r="BS302" i="1"/>
  <c r="BS2" i="1"/>
  <c r="BT2" i="1" s="1"/>
  <c r="BQ4" i="1"/>
  <c r="BQ60" i="1"/>
  <c r="BQ136" i="1"/>
  <c r="BQ145" i="1"/>
  <c r="BQ192" i="1"/>
  <c r="BQ198" i="1"/>
  <c r="BQ202" i="1"/>
  <c r="BQ268" i="1"/>
  <c r="BP3" i="1"/>
  <c r="BP4" i="1"/>
  <c r="BP5" i="1"/>
  <c r="BP6" i="1"/>
  <c r="BP7" i="1"/>
  <c r="BP8" i="1"/>
  <c r="BP9" i="1"/>
  <c r="BP10" i="1"/>
  <c r="BP11" i="1"/>
  <c r="BP12" i="1"/>
  <c r="BP13" i="1"/>
  <c r="BP14" i="1"/>
  <c r="BP15" i="1"/>
  <c r="BP16" i="1"/>
  <c r="BP17" i="1"/>
  <c r="BP18" i="1"/>
  <c r="BP19" i="1"/>
  <c r="BP20" i="1"/>
  <c r="BP21" i="1"/>
  <c r="BP22" i="1"/>
  <c r="BP23" i="1"/>
  <c r="BP24" i="1"/>
  <c r="BP25" i="1"/>
  <c r="BP26" i="1"/>
  <c r="BP27" i="1"/>
  <c r="BP28" i="1"/>
  <c r="BP29" i="1"/>
  <c r="BP30" i="1"/>
  <c r="BP31" i="1"/>
  <c r="BP32" i="1"/>
  <c r="BP33" i="1"/>
  <c r="BP34" i="1"/>
  <c r="BP35" i="1"/>
  <c r="BP36" i="1"/>
  <c r="BP37" i="1"/>
  <c r="BP38" i="1"/>
  <c r="BP39" i="1"/>
  <c r="BP40" i="1"/>
  <c r="BP41" i="1"/>
  <c r="BP42" i="1"/>
  <c r="BP43" i="1"/>
  <c r="BP44" i="1"/>
  <c r="BP45" i="1"/>
  <c r="BP46" i="1"/>
  <c r="BP47" i="1"/>
  <c r="BP48" i="1"/>
  <c r="BP49" i="1"/>
  <c r="BP50" i="1"/>
  <c r="BP51" i="1"/>
  <c r="BP52" i="1"/>
  <c r="BP53" i="1"/>
  <c r="BP54" i="1"/>
  <c r="BP55" i="1"/>
  <c r="BP56" i="1"/>
  <c r="BP57" i="1"/>
  <c r="BP58" i="1"/>
  <c r="BP59" i="1"/>
  <c r="BP60" i="1"/>
  <c r="BP61" i="1"/>
  <c r="BP62" i="1"/>
  <c r="BP63" i="1"/>
  <c r="BP64" i="1"/>
  <c r="BP65" i="1"/>
  <c r="BP66" i="1"/>
  <c r="BP67" i="1"/>
  <c r="BP68" i="1"/>
  <c r="BP69" i="1"/>
  <c r="BP70" i="1"/>
  <c r="BP71" i="1"/>
  <c r="BP72" i="1"/>
  <c r="BP73" i="1"/>
  <c r="BP74" i="1"/>
  <c r="BP75" i="1"/>
  <c r="BP76" i="1"/>
  <c r="BP77" i="1"/>
  <c r="BP78" i="1"/>
  <c r="BP79" i="1"/>
  <c r="BP80" i="1"/>
  <c r="BP81" i="1"/>
  <c r="BP82" i="1"/>
  <c r="BP83" i="1"/>
  <c r="BP84" i="1"/>
  <c r="BP85" i="1"/>
  <c r="BP86" i="1"/>
  <c r="BP87" i="1"/>
  <c r="BP88" i="1"/>
  <c r="BP89" i="1"/>
  <c r="BP90" i="1"/>
  <c r="BP91" i="1"/>
  <c r="BP92" i="1"/>
  <c r="BP93" i="1"/>
  <c r="BP94" i="1"/>
  <c r="BP95" i="1"/>
  <c r="BP96" i="1"/>
  <c r="BP97" i="1"/>
  <c r="BP98" i="1"/>
  <c r="BP99" i="1"/>
  <c r="BP100" i="1"/>
  <c r="BP101" i="1"/>
  <c r="BP102" i="1"/>
  <c r="BP103" i="1"/>
  <c r="BP104" i="1"/>
  <c r="BP105" i="1"/>
  <c r="BP106" i="1"/>
  <c r="BP107" i="1"/>
  <c r="BP108" i="1"/>
  <c r="BP109" i="1"/>
  <c r="BP110" i="1"/>
  <c r="BP111" i="1"/>
  <c r="BP112" i="1"/>
  <c r="BP113" i="1"/>
  <c r="BP114" i="1"/>
  <c r="BP115" i="1"/>
  <c r="BP116" i="1"/>
  <c r="BP117" i="1"/>
  <c r="BP118" i="1"/>
  <c r="BP119" i="1"/>
  <c r="BP120" i="1"/>
  <c r="BP121" i="1"/>
  <c r="BP122" i="1"/>
  <c r="BP123" i="1"/>
  <c r="BP124" i="1"/>
  <c r="BP125" i="1"/>
  <c r="BP126" i="1"/>
  <c r="BP127" i="1"/>
  <c r="BP128" i="1"/>
  <c r="BP129" i="1"/>
  <c r="BP130" i="1"/>
  <c r="BP131" i="1"/>
  <c r="BP133" i="1"/>
  <c r="BP134" i="1"/>
  <c r="BP135" i="1"/>
  <c r="BP136" i="1"/>
  <c r="BP137" i="1"/>
  <c r="BP138" i="1"/>
  <c r="BP139" i="1"/>
  <c r="BP140" i="1"/>
  <c r="BP141" i="1"/>
  <c r="BP142" i="1"/>
  <c r="BP143" i="1"/>
  <c r="BP144" i="1"/>
  <c r="BP145" i="1"/>
  <c r="BP146" i="1"/>
  <c r="BP147" i="1"/>
  <c r="BP148" i="1"/>
  <c r="BP149" i="1"/>
  <c r="BP150" i="1"/>
  <c r="BP151" i="1"/>
  <c r="BP152" i="1"/>
  <c r="BP153" i="1"/>
  <c r="BP154" i="1"/>
  <c r="BP155" i="1"/>
  <c r="BP156" i="1"/>
  <c r="BP157" i="1"/>
  <c r="BP158" i="1"/>
  <c r="BP159" i="1"/>
  <c r="BP160" i="1"/>
  <c r="BP161" i="1"/>
  <c r="BP162" i="1"/>
  <c r="BP163" i="1"/>
  <c r="BP164" i="1"/>
  <c r="BP165" i="1"/>
  <c r="BP166" i="1"/>
  <c r="BP167" i="1"/>
  <c r="BP168" i="1"/>
  <c r="BP169" i="1"/>
  <c r="BP170" i="1"/>
  <c r="BP171" i="1"/>
  <c r="BP172" i="1"/>
  <c r="BP173" i="1"/>
  <c r="BP174" i="1"/>
  <c r="BP175" i="1"/>
  <c r="BP176" i="1"/>
  <c r="BP177" i="1"/>
  <c r="BP178" i="1"/>
  <c r="BP179" i="1"/>
  <c r="BP180" i="1"/>
  <c r="BP181" i="1"/>
  <c r="BP182" i="1"/>
  <c r="BP183" i="1"/>
  <c r="BP184" i="1"/>
  <c r="BP185" i="1"/>
  <c r="BP186" i="1"/>
  <c r="BP187" i="1"/>
  <c r="BP188" i="1"/>
  <c r="BP189" i="1"/>
  <c r="BP190" i="1"/>
  <c r="BP191" i="1"/>
  <c r="BP192" i="1"/>
  <c r="BP193" i="1"/>
  <c r="BP194" i="1"/>
  <c r="BP195" i="1"/>
  <c r="BP196" i="1"/>
  <c r="BP197" i="1"/>
  <c r="BP198" i="1"/>
  <c r="BP199" i="1"/>
  <c r="BP200" i="1"/>
  <c r="BP201" i="1"/>
  <c r="BP202" i="1"/>
  <c r="BP203" i="1"/>
  <c r="BP204" i="1"/>
  <c r="BP205" i="1"/>
  <c r="BP206" i="1"/>
  <c r="BP207" i="1"/>
  <c r="BP208" i="1"/>
  <c r="BP209" i="1"/>
  <c r="BP210" i="1"/>
  <c r="BP211" i="1"/>
  <c r="BP212" i="1"/>
  <c r="BP213" i="1"/>
  <c r="BP214" i="1"/>
  <c r="BP215" i="1"/>
  <c r="BP216" i="1"/>
  <c r="BP217" i="1"/>
  <c r="BP218" i="1"/>
  <c r="BP219" i="1"/>
  <c r="BP220" i="1"/>
  <c r="BP221" i="1"/>
  <c r="BP222" i="1"/>
  <c r="BP223" i="1"/>
  <c r="BP224" i="1"/>
  <c r="BP225" i="1"/>
  <c r="BP226" i="1"/>
  <c r="BP227" i="1"/>
  <c r="BP228" i="1"/>
  <c r="BP229" i="1"/>
  <c r="BP230" i="1"/>
  <c r="BP231" i="1"/>
  <c r="BP232" i="1"/>
  <c r="BP233" i="1"/>
  <c r="BP234" i="1"/>
  <c r="BP235" i="1"/>
  <c r="BP236" i="1"/>
  <c r="BP237" i="1"/>
  <c r="BP238" i="1"/>
  <c r="BP239" i="1"/>
  <c r="BP240" i="1"/>
  <c r="BP241" i="1"/>
  <c r="BP242" i="1"/>
  <c r="BP243" i="1"/>
  <c r="BP244" i="1"/>
  <c r="BP245" i="1"/>
  <c r="BP246" i="1"/>
  <c r="BP247" i="1"/>
  <c r="BP248" i="1"/>
  <c r="BP249" i="1"/>
  <c r="BP250" i="1"/>
  <c r="BP251" i="1"/>
  <c r="BP252" i="1"/>
  <c r="BP253" i="1"/>
  <c r="BP254" i="1"/>
  <c r="BP255" i="1"/>
  <c r="BP256" i="1"/>
  <c r="BP257" i="1"/>
  <c r="BP258" i="1"/>
  <c r="BP259" i="1"/>
  <c r="BP260" i="1"/>
  <c r="BP262" i="1"/>
  <c r="BP263" i="1"/>
  <c r="BP264" i="1"/>
  <c r="BP265" i="1"/>
  <c r="BP266" i="1"/>
  <c r="BP267" i="1"/>
  <c r="BP268" i="1"/>
  <c r="BP269" i="1"/>
  <c r="BP270" i="1"/>
  <c r="BP271" i="1"/>
  <c r="BP272" i="1"/>
  <c r="BP273" i="1"/>
  <c r="BP274" i="1"/>
  <c r="BP275" i="1"/>
  <c r="BP276" i="1"/>
  <c r="BP277" i="1"/>
  <c r="BP278" i="1"/>
  <c r="BP279" i="1"/>
  <c r="BP280" i="1"/>
  <c r="BP281" i="1"/>
  <c r="BP282" i="1"/>
  <c r="BP283" i="1"/>
  <c r="BP284" i="1"/>
  <c r="BP285" i="1"/>
  <c r="BP286" i="1"/>
  <c r="BP287" i="1"/>
  <c r="BP288" i="1"/>
  <c r="BP289" i="1"/>
  <c r="BP290" i="1"/>
  <c r="BP291" i="1"/>
  <c r="BP292" i="1"/>
  <c r="BP293" i="1"/>
  <c r="BP294" i="1"/>
  <c r="BP295" i="1"/>
  <c r="BP296" i="1"/>
  <c r="BP297" i="1"/>
  <c r="BP298" i="1"/>
  <c r="BP299" i="1"/>
  <c r="BP300" i="1"/>
  <c r="BP301" i="1"/>
  <c r="BP302" i="1"/>
  <c r="BP2" i="1"/>
  <c r="BO3" i="1"/>
  <c r="BO4" i="1"/>
  <c r="BO5" i="1"/>
  <c r="BO6" i="1"/>
  <c r="BO7" i="1"/>
  <c r="BO8" i="1"/>
  <c r="BO9" i="1"/>
  <c r="BO10" i="1"/>
  <c r="BO11" i="1"/>
  <c r="BO12" i="1"/>
  <c r="BO13" i="1"/>
  <c r="BO14" i="1"/>
  <c r="BO15" i="1"/>
  <c r="BO16" i="1"/>
  <c r="BO17" i="1"/>
  <c r="BO18" i="1"/>
  <c r="BO19" i="1"/>
  <c r="BO20" i="1"/>
  <c r="BO21" i="1"/>
  <c r="BO22" i="1"/>
  <c r="BO23" i="1"/>
  <c r="BO24" i="1"/>
  <c r="BO25" i="1"/>
  <c r="BO26" i="1"/>
  <c r="BO27" i="1"/>
  <c r="BO28" i="1"/>
  <c r="BO29" i="1"/>
  <c r="BO30" i="1"/>
  <c r="BO31" i="1"/>
  <c r="BO32" i="1"/>
  <c r="BO33" i="1"/>
  <c r="BO34" i="1"/>
  <c r="BO35" i="1"/>
  <c r="BO36" i="1"/>
  <c r="BO37" i="1"/>
  <c r="BO38" i="1"/>
  <c r="BO39" i="1"/>
  <c r="BO40" i="1"/>
  <c r="BO41" i="1"/>
  <c r="BO42" i="1"/>
  <c r="BO43" i="1"/>
  <c r="BO44" i="1"/>
  <c r="BO45" i="1"/>
  <c r="BO46" i="1"/>
  <c r="BO47" i="1"/>
  <c r="BO48" i="1"/>
  <c r="BO49" i="1"/>
  <c r="BO50" i="1"/>
  <c r="BO51" i="1"/>
  <c r="BO52" i="1"/>
  <c r="BO53" i="1"/>
  <c r="BO54" i="1"/>
  <c r="BO55" i="1"/>
  <c r="BO56" i="1"/>
  <c r="BO57" i="1"/>
  <c r="BO58" i="1"/>
  <c r="BO59" i="1"/>
  <c r="BO60" i="1"/>
  <c r="BO61" i="1"/>
  <c r="BO62" i="1"/>
  <c r="BO63" i="1"/>
  <c r="BO64" i="1"/>
  <c r="BO65" i="1"/>
  <c r="BO66" i="1"/>
  <c r="BO67" i="1"/>
  <c r="BO68" i="1"/>
  <c r="BO69" i="1"/>
  <c r="BO70" i="1"/>
  <c r="BO71" i="1"/>
  <c r="BO72" i="1"/>
  <c r="BO73" i="1"/>
  <c r="BO74" i="1"/>
  <c r="BO75" i="1"/>
  <c r="BO76" i="1"/>
  <c r="BO77" i="1"/>
  <c r="BO78" i="1"/>
  <c r="BO79" i="1"/>
  <c r="BO80" i="1"/>
  <c r="BO81" i="1"/>
  <c r="BO82" i="1"/>
  <c r="BO83" i="1"/>
  <c r="BO84" i="1"/>
  <c r="BO85" i="1"/>
  <c r="BO86" i="1"/>
  <c r="BO87" i="1"/>
  <c r="BO88" i="1"/>
  <c r="BO89" i="1"/>
  <c r="BO90" i="1"/>
  <c r="BO91" i="1"/>
  <c r="BO92" i="1"/>
  <c r="BO93" i="1"/>
  <c r="BO94" i="1"/>
  <c r="BO95" i="1"/>
  <c r="BO96" i="1"/>
  <c r="BO97" i="1"/>
  <c r="BO98" i="1"/>
  <c r="BO99" i="1"/>
  <c r="BO100" i="1"/>
  <c r="BO101" i="1"/>
  <c r="BO102" i="1"/>
  <c r="BO103" i="1"/>
  <c r="BO104" i="1"/>
  <c r="BO105" i="1"/>
  <c r="BO106" i="1"/>
  <c r="BO107" i="1"/>
  <c r="BO108" i="1"/>
  <c r="BO109" i="1"/>
  <c r="BO110" i="1"/>
  <c r="BO111" i="1"/>
  <c r="BO112" i="1"/>
  <c r="BO113" i="1"/>
  <c r="BO114" i="1"/>
  <c r="BO115" i="1"/>
  <c r="BO116" i="1"/>
  <c r="BO117" i="1"/>
  <c r="BO118" i="1"/>
  <c r="BO119" i="1"/>
  <c r="BO120" i="1"/>
  <c r="BO121" i="1"/>
  <c r="BO122" i="1"/>
  <c r="BO123" i="1"/>
  <c r="BO124" i="1"/>
  <c r="BO125" i="1"/>
  <c r="BO126" i="1"/>
  <c r="BO127" i="1"/>
  <c r="BO128" i="1"/>
  <c r="BO129" i="1"/>
  <c r="BO130" i="1"/>
  <c r="BO131" i="1"/>
  <c r="BO133" i="1"/>
  <c r="BO134" i="1"/>
  <c r="BO135" i="1"/>
  <c r="BO136" i="1"/>
  <c r="BO137" i="1"/>
  <c r="BO138" i="1"/>
  <c r="BO139" i="1"/>
  <c r="BO140" i="1"/>
  <c r="BO141" i="1"/>
  <c r="BO142" i="1"/>
  <c r="BO143" i="1"/>
  <c r="BO144" i="1"/>
  <c r="BO145" i="1"/>
  <c r="BO146" i="1"/>
  <c r="BO147" i="1"/>
  <c r="BO148" i="1"/>
  <c r="BO149" i="1"/>
  <c r="BO150" i="1"/>
  <c r="BO151" i="1"/>
  <c r="BO152" i="1"/>
  <c r="BO153" i="1"/>
  <c r="BO154" i="1"/>
  <c r="BO155" i="1"/>
  <c r="BO156" i="1"/>
  <c r="BO157" i="1"/>
  <c r="BO158" i="1"/>
  <c r="BO159" i="1"/>
  <c r="BO160" i="1"/>
  <c r="BO161" i="1"/>
  <c r="BO162" i="1"/>
  <c r="BO163" i="1"/>
  <c r="BO164" i="1"/>
  <c r="BO165" i="1"/>
  <c r="BO166" i="1"/>
  <c r="BO167" i="1"/>
  <c r="BO168" i="1"/>
  <c r="BO169" i="1"/>
  <c r="BO170" i="1"/>
  <c r="BO171" i="1"/>
  <c r="BO172" i="1"/>
  <c r="BO173" i="1"/>
  <c r="BO174" i="1"/>
  <c r="BO175" i="1"/>
  <c r="BO176" i="1"/>
  <c r="BO177" i="1"/>
  <c r="BO178" i="1"/>
  <c r="BO179" i="1"/>
  <c r="BO180" i="1"/>
  <c r="BO181" i="1"/>
  <c r="BO182" i="1"/>
  <c r="BO183" i="1"/>
  <c r="BO184" i="1"/>
  <c r="BO185" i="1"/>
  <c r="BO186" i="1"/>
  <c r="BO187" i="1"/>
  <c r="BO188" i="1"/>
  <c r="BO189" i="1"/>
  <c r="BO190" i="1"/>
  <c r="BO191" i="1"/>
  <c r="BO192" i="1"/>
  <c r="BO193" i="1"/>
  <c r="BO194" i="1"/>
  <c r="BO195" i="1"/>
  <c r="BO196" i="1"/>
  <c r="BO197" i="1"/>
  <c r="BO198" i="1"/>
  <c r="BO199" i="1"/>
  <c r="BO200" i="1"/>
  <c r="BO201" i="1"/>
  <c r="BO202" i="1"/>
  <c r="BO203" i="1"/>
  <c r="BO204" i="1"/>
  <c r="BO205" i="1"/>
  <c r="BO206" i="1"/>
  <c r="BO207" i="1"/>
  <c r="BO208" i="1"/>
  <c r="BO209" i="1"/>
  <c r="BO210" i="1"/>
  <c r="BO211" i="1"/>
  <c r="BO212" i="1"/>
  <c r="BO213" i="1"/>
  <c r="BO214" i="1"/>
  <c r="BO215" i="1"/>
  <c r="BO216" i="1"/>
  <c r="BO217" i="1"/>
  <c r="BO218" i="1"/>
  <c r="BO219" i="1"/>
  <c r="BO220" i="1"/>
  <c r="BO221" i="1"/>
  <c r="BO222" i="1"/>
  <c r="BO223" i="1"/>
  <c r="BO224" i="1"/>
  <c r="BO225" i="1"/>
  <c r="BO226" i="1"/>
  <c r="BO227" i="1"/>
  <c r="BO228" i="1"/>
  <c r="BO229" i="1"/>
  <c r="BO230" i="1"/>
  <c r="BO231" i="1"/>
  <c r="BO232" i="1"/>
  <c r="BO233" i="1"/>
  <c r="BO234" i="1"/>
  <c r="BO235" i="1"/>
  <c r="BO236" i="1"/>
  <c r="BO237" i="1"/>
  <c r="BO238" i="1"/>
  <c r="BO239" i="1"/>
  <c r="BO240" i="1"/>
  <c r="BO241" i="1"/>
  <c r="BO242" i="1"/>
  <c r="BO243" i="1"/>
  <c r="BO244" i="1"/>
  <c r="BO245" i="1"/>
  <c r="BO246" i="1"/>
  <c r="BO247" i="1"/>
  <c r="BO248" i="1"/>
  <c r="BO249" i="1"/>
  <c r="BO250" i="1"/>
  <c r="BO251" i="1"/>
  <c r="BO252" i="1"/>
  <c r="BO253" i="1"/>
  <c r="BO254" i="1"/>
  <c r="BO255" i="1"/>
  <c r="BO256" i="1"/>
  <c r="BO257" i="1"/>
  <c r="BO258" i="1"/>
  <c r="BO259" i="1"/>
  <c r="BO260" i="1"/>
  <c r="BO262" i="1"/>
  <c r="BO263" i="1"/>
  <c r="BO264" i="1"/>
  <c r="BO265" i="1"/>
  <c r="BO266" i="1"/>
  <c r="BO267" i="1"/>
  <c r="BO268" i="1"/>
  <c r="BO269" i="1"/>
  <c r="BO270" i="1"/>
  <c r="BO271" i="1"/>
  <c r="BO272" i="1"/>
  <c r="BO273" i="1"/>
  <c r="BO274" i="1"/>
  <c r="BO275" i="1"/>
  <c r="BO276" i="1"/>
  <c r="BO277" i="1"/>
  <c r="BO278" i="1"/>
  <c r="BO279" i="1"/>
  <c r="BO280" i="1"/>
  <c r="BO281" i="1"/>
  <c r="BO282" i="1"/>
  <c r="BO283" i="1"/>
  <c r="BO284" i="1"/>
  <c r="BO285" i="1"/>
  <c r="BO286" i="1"/>
  <c r="BO287" i="1"/>
  <c r="BO288" i="1"/>
  <c r="BO289" i="1"/>
  <c r="BO290" i="1"/>
  <c r="BO291" i="1"/>
  <c r="BO292" i="1"/>
  <c r="BO293" i="1"/>
  <c r="BO294" i="1"/>
  <c r="BO295" i="1"/>
  <c r="BO296" i="1"/>
  <c r="BO297" i="1"/>
  <c r="BO298" i="1"/>
  <c r="BO299" i="1"/>
  <c r="BO300" i="1"/>
  <c r="BO301" i="1"/>
  <c r="BO302" i="1"/>
  <c r="BO2" i="1"/>
  <c r="BM3" i="1"/>
  <c r="BM4" i="1"/>
  <c r="BM5" i="1"/>
  <c r="BM6" i="1"/>
  <c r="BM7" i="1"/>
  <c r="BM8" i="1"/>
  <c r="BM9" i="1"/>
  <c r="BM10" i="1"/>
  <c r="BM11" i="1"/>
  <c r="BM12" i="1"/>
  <c r="BM13" i="1"/>
  <c r="BM14" i="1"/>
  <c r="BM15" i="1"/>
  <c r="BM16" i="1"/>
  <c r="BM17" i="1"/>
  <c r="BM18" i="1"/>
  <c r="BM19" i="1"/>
  <c r="BM20" i="1"/>
  <c r="BM21" i="1"/>
  <c r="BM22" i="1"/>
  <c r="BM23" i="1"/>
  <c r="BM24" i="1"/>
  <c r="BM25" i="1"/>
  <c r="BM26" i="1"/>
  <c r="BM27" i="1"/>
  <c r="BM28" i="1"/>
  <c r="BM29" i="1"/>
  <c r="BM30" i="1"/>
  <c r="BM31" i="1"/>
  <c r="BM32" i="1"/>
  <c r="BM33" i="1"/>
  <c r="BM34" i="1"/>
  <c r="BM35" i="1"/>
  <c r="BM36" i="1"/>
  <c r="BM37" i="1"/>
  <c r="BM38" i="1"/>
  <c r="BM39" i="1"/>
  <c r="BM40" i="1"/>
  <c r="BM41" i="1"/>
  <c r="BM42" i="1"/>
  <c r="BM43" i="1"/>
  <c r="BM44" i="1"/>
  <c r="BM45" i="1"/>
  <c r="BM46" i="1"/>
  <c r="BM47" i="1"/>
  <c r="BM48" i="1"/>
  <c r="BM49" i="1"/>
  <c r="BM50" i="1"/>
  <c r="BM51" i="1"/>
  <c r="BM52" i="1"/>
  <c r="BM53" i="1"/>
  <c r="BM54" i="1"/>
  <c r="BM55" i="1"/>
  <c r="BM56" i="1"/>
  <c r="BM57" i="1"/>
  <c r="BM58" i="1"/>
  <c r="BM59" i="1"/>
  <c r="BM60" i="1"/>
  <c r="BM61" i="1"/>
  <c r="BM62" i="1"/>
  <c r="BM63" i="1"/>
  <c r="BM64" i="1"/>
  <c r="BM65" i="1"/>
  <c r="BM66" i="1"/>
  <c r="BM67" i="1"/>
  <c r="BM68" i="1"/>
  <c r="BM69" i="1"/>
  <c r="BM70" i="1"/>
  <c r="BM71" i="1"/>
  <c r="BM72" i="1"/>
  <c r="BM73" i="1"/>
  <c r="BM74" i="1"/>
  <c r="BM75" i="1"/>
  <c r="BM76" i="1"/>
  <c r="BM77" i="1"/>
  <c r="BM78" i="1"/>
  <c r="BM79" i="1"/>
  <c r="BM80" i="1"/>
  <c r="BM81" i="1"/>
  <c r="BM82" i="1"/>
  <c r="BM83" i="1"/>
  <c r="BM84" i="1"/>
  <c r="BM85" i="1"/>
  <c r="BM86" i="1"/>
  <c r="BM87" i="1"/>
  <c r="BM88" i="1"/>
  <c r="BM89" i="1"/>
  <c r="BM90" i="1"/>
  <c r="BM91" i="1"/>
  <c r="BM92" i="1"/>
  <c r="BM93" i="1"/>
  <c r="BM94" i="1"/>
  <c r="BM95" i="1"/>
  <c r="BM96" i="1"/>
  <c r="BM97" i="1"/>
  <c r="BM98" i="1"/>
  <c r="BM99" i="1"/>
  <c r="BM100" i="1"/>
  <c r="BM101" i="1"/>
  <c r="BM102" i="1"/>
  <c r="BM103" i="1"/>
  <c r="BM104" i="1"/>
  <c r="BM105" i="1"/>
  <c r="BM106" i="1"/>
  <c r="BM107" i="1"/>
  <c r="BM108" i="1"/>
  <c r="BM109" i="1"/>
  <c r="BM110" i="1"/>
  <c r="BM111" i="1"/>
  <c r="BM112" i="1"/>
  <c r="BM113" i="1"/>
  <c r="BM114" i="1"/>
  <c r="BM115" i="1"/>
  <c r="BM116" i="1"/>
  <c r="BM117" i="1"/>
  <c r="BM118" i="1"/>
  <c r="BM119" i="1"/>
  <c r="BM120" i="1"/>
  <c r="BM121" i="1"/>
  <c r="BM122" i="1"/>
  <c r="BM123" i="1"/>
  <c r="BM124" i="1"/>
  <c r="BM125" i="1"/>
  <c r="BM126" i="1"/>
  <c r="BM127" i="1"/>
  <c r="BM128" i="1"/>
  <c r="BM129" i="1"/>
  <c r="BM130" i="1"/>
  <c r="BM131" i="1"/>
  <c r="BM133" i="1"/>
  <c r="BM134" i="1"/>
  <c r="BM135" i="1"/>
  <c r="BM136" i="1"/>
  <c r="BM137" i="1"/>
  <c r="BM138" i="1"/>
  <c r="BM139" i="1"/>
  <c r="BM140" i="1"/>
  <c r="BM141" i="1"/>
  <c r="BM142" i="1"/>
  <c r="BM143" i="1"/>
  <c r="BM144" i="1"/>
  <c r="BM145" i="1"/>
  <c r="BM146" i="1"/>
  <c r="BM147" i="1"/>
  <c r="BM148" i="1"/>
  <c r="BM149" i="1"/>
  <c r="BM150" i="1"/>
  <c r="BM151" i="1"/>
  <c r="BM152" i="1"/>
  <c r="BM153" i="1"/>
  <c r="BM154" i="1"/>
  <c r="BM155" i="1"/>
  <c r="BM156" i="1"/>
  <c r="BM157" i="1"/>
  <c r="BM158" i="1"/>
  <c r="BM159" i="1"/>
  <c r="BM160" i="1"/>
  <c r="BM161" i="1"/>
  <c r="BM162" i="1"/>
  <c r="BM163" i="1"/>
  <c r="BM164" i="1"/>
  <c r="BM165" i="1"/>
  <c r="BM166" i="1"/>
  <c r="BM167" i="1"/>
  <c r="BM168" i="1"/>
  <c r="BM169" i="1"/>
  <c r="BM170" i="1"/>
  <c r="BM171" i="1"/>
  <c r="BM172" i="1"/>
  <c r="BM173" i="1"/>
  <c r="BM174" i="1"/>
  <c r="BM175" i="1"/>
  <c r="BM176" i="1"/>
  <c r="BM177" i="1"/>
  <c r="BM178" i="1"/>
  <c r="BM179" i="1"/>
  <c r="BM180" i="1"/>
  <c r="BM181" i="1"/>
  <c r="BM182" i="1"/>
  <c r="BM183" i="1"/>
  <c r="BM184" i="1"/>
  <c r="BM185" i="1"/>
  <c r="BM186" i="1"/>
  <c r="BM187" i="1"/>
  <c r="BM188" i="1"/>
  <c r="BM189" i="1"/>
  <c r="BM190" i="1"/>
  <c r="BM191" i="1"/>
  <c r="BM192" i="1"/>
  <c r="BM193" i="1"/>
  <c r="BM194" i="1"/>
  <c r="BM195" i="1"/>
  <c r="BM196" i="1"/>
  <c r="BM197" i="1"/>
  <c r="BM198" i="1"/>
  <c r="BM199" i="1"/>
  <c r="BM200" i="1"/>
  <c r="BM201" i="1"/>
  <c r="BM202" i="1"/>
  <c r="BM203" i="1"/>
  <c r="BM204" i="1"/>
  <c r="BM205" i="1"/>
  <c r="BM206" i="1"/>
  <c r="BM207" i="1"/>
  <c r="BM208" i="1"/>
  <c r="BM209" i="1"/>
  <c r="BM210" i="1"/>
  <c r="BM211" i="1"/>
  <c r="BM212" i="1"/>
  <c r="BM213" i="1"/>
  <c r="BM214" i="1"/>
  <c r="BM215" i="1"/>
  <c r="BM216" i="1"/>
  <c r="BM217" i="1"/>
  <c r="BM218" i="1"/>
  <c r="BM219" i="1"/>
  <c r="BM220" i="1"/>
  <c r="BM221" i="1"/>
  <c r="BM222" i="1"/>
  <c r="BM223" i="1"/>
  <c r="BM224" i="1"/>
  <c r="BM225" i="1"/>
  <c r="BM226" i="1"/>
  <c r="BM227" i="1"/>
  <c r="BM228" i="1"/>
  <c r="BM229" i="1"/>
  <c r="BM230" i="1"/>
  <c r="BM231" i="1"/>
  <c r="BM232" i="1"/>
  <c r="BM233" i="1"/>
  <c r="BM234" i="1"/>
  <c r="BM235" i="1"/>
  <c r="BM236" i="1"/>
  <c r="BM237" i="1"/>
  <c r="BM238" i="1"/>
  <c r="BM239" i="1"/>
  <c r="BM240" i="1"/>
  <c r="BM241" i="1"/>
  <c r="BM242" i="1"/>
  <c r="BM243" i="1"/>
  <c r="BM244" i="1"/>
  <c r="BM245" i="1"/>
  <c r="BM246" i="1"/>
  <c r="BM247" i="1"/>
  <c r="BM248" i="1"/>
  <c r="BM249" i="1"/>
  <c r="BM250" i="1"/>
  <c r="BM251" i="1"/>
  <c r="BM252" i="1"/>
  <c r="BM253" i="1"/>
  <c r="BM254" i="1"/>
  <c r="BM255" i="1"/>
  <c r="BM256" i="1"/>
  <c r="BM257" i="1"/>
  <c r="BM258" i="1"/>
  <c r="BM259" i="1"/>
  <c r="BM260" i="1"/>
  <c r="BM262" i="1"/>
  <c r="BM263" i="1"/>
  <c r="BM264" i="1"/>
  <c r="BM265" i="1"/>
  <c r="BM266" i="1"/>
  <c r="BM267" i="1"/>
  <c r="BM268" i="1"/>
  <c r="BM269" i="1"/>
  <c r="BM270" i="1"/>
  <c r="BM271" i="1"/>
  <c r="BM272" i="1"/>
  <c r="BM273" i="1"/>
  <c r="BM274" i="1"/>
  <c r="BM275" i="1"/>
  <c r="BM276" i="1"/>
  <c r="BM277" i="1"/>
  <c r="BM278" i="1"/>
  <c r="BM279" i="1"/>
  <c r="BM280" i="1"/>
  <c r="BM281" i="1"/>
  <c r="BM282" i="1"/>
  <c r="BM283" i="1"/>
  <c r="BM284" i="1"/>
  <c r="BM285" i="1"/>
  <c r="BM286" i="1"/>
  <c r="BM287" i="1"/>
  <c r="BM288" i="1"/>
  <c r="BM289" i="1"/>
  <c r="BM290" i="1"/>
  <c r="BM291" i="1"/>
  <c r="BM292" i="1"/>
  <c r="BM293" i="1"/>
  <c r="BM294" i="1"/>
  <c r="BM295" i="1"/>
  <c r="BM296" i="1"/>
  <c r="BM297" i="1"/>
  <c r="BM298" i="1"/>
  <c r="BM299" i="1"/>
  <c r="BM300" i="1"/>
  <c r="BM301" i="1"/>
  <c r="BM302" i="1"/>
  <c r="BM2" i="1"/>
  <c r="BL3" i="1"/>
  <c r="BL4" i="1"/>
  <c r="BL5" i="1"/>
  <c r="BL6" i="1"/>
  <c r="BL7" i="1"/>
  <c r="BL8" i="1"/>
  <c r="BL9" i="1"/>
  <c r="BL10" i="1"/>
  <c r="BL11" i="1"/>
  <c r="BL12" i="1"/>
  <c r="BL13" i="1"/>
  <c r="BL14" i="1"/>
  <c r="BL15" i="1"/>
  <c r="BL16" i="1"/>
  <c r="BL17" i="1"/>
  <c r="BL18" i="1"/>
  <c r="BL19" i="1"/>
  <c r="BL20" i="1"/>
  <c r="BL21" i="1"/>
  <c r="BL22" i="1"/>
  <c r="BL23" i="1"/>
  <c r="BL24" i="1"/>
  <c r="BL25" i="1"/>
  <c r="BL26" i="1"/>
  <c r="BL27" i="1"/>
  <c r="BL28" i="1"/>
  <c r="BL29" i="1"/>
  <c r="BL30" i="1"/>
  <c r="BL31" i="1"/>
  <c r="BL32" i="1"/>
  <c r="BL33" i="1"/>
  <c r="BL34" i="1"/>
  <c r="BL35" i="1"/>
  <c r="BL36" i="1"/>
  <c r="BL37" i="1"/>
  <c r="BL38" i="1"/>
  <c r="BL39" i="1"/>
  <c r="BL40" i="1"/>
  <c r="BL41" i="1"/>
  <c r="BL42" i="1"/>
  <c r="BL43" i="1"/>
  <c r="BL44" i="1"/>
  <c r="BL45" i="1"/>
  <c r="BL46" i="1"/>
  <c r="BL47" i="1"/>
  <c r="BL48" i="1"/>
  <c r="BL49" i="1"/>
  <c r="BL50" i="1"/>
  <c r="BL51" i="1"/>
  <c r="BL52" i="1"/>
  <c r="BL53" i="1"/>
  <c r="BL54" i="1"/>
  <c r="BL55" i="1"/>
  <c r="BL56" i="1"/>
  <c r="BL57" i="1"/>
  <c r="BL58" i="1"/>
  <c r="BL59" i="1"/>
  <c r="BL60" i="1"/>
  <c r="BL61" i="1"/>
  <c r="BL62" i="1"/>
  <c r="BL63" i="1"/>
  <c r="BL64" i="1"/>
  <c r="BL65" i="1"/>
  <c r="BL66" i="1"/>
  <c r="BL67" i="1"/>
  <c r="BL68" i="1"/>
  <c r="BL69" i="1"/>
  <c r="BL70" i="1"/>
  <c r="BL71" i="1"/>
  <c r="BL72" i="1"/>
  <c r="BL73" i="1"/>
  <c r="BL74" i="1"/>
  <c r="BL75" i="1"/>
  <c r="BL76" i="1"/>
  <c r="BL77" i="1"/>
  <c r="BL78" i="1"/>
  <c r="BL79" i="1"/>
  <c r="BL80" i="1"/>
  <c r="BL81" i="1"/>
  <c r="BL82" i="1"/>
  <c r="BL83" i="1"/>
  <c r="BL84" i="1"/>
  <c r="BL85" i="1"/>
  <c r="BL86" i="1"/>
  <c r="BL87" i="1"/>
  <c r="BL88" i="1"/>
  <c r="BL89" i="1"/>
  <c r="BL90" i="1"/>
  <c r="BL91" i="1"/>
  <c r="BL92" i="1"/>
  <c r="BL93" i="1"/>
  <c r="BL94" i="1"/>
  <c r="BL95" i="1"/>
  <c r="BL96" i="1"/>
  <c r="BL97" i="1"/>
  <c r="BL98" i="1"/>
  <c r="BL99" i="1"/>
  <c r="BL100" i="1"/>
  <c r="BL101" i="1"/>
  <c r="BL102" i="1"/>
  <c r="BL103" i="1"/>
  <c r="BL104" i="1"/>
  <c r="BL105" i="1"/>
  <c r="BL106" i="1"/>
  <c r="BL107" i="1"/>
  <c r="BL108" i="1"/>
  <c r="BL109" i="1"/>
  <c r="BL110" i="1"/>
  <c r="BL111" i="1"/>
  <c r="BL112" i="1"/>
  <c r="BL113" i="1"/>
  <c r="BL114" i="1"/>
  <c r="BL115" i="1"/>
  <c r="BL116" i="1"/>
  <c r="BL117" i="1"/>
  <c r="BL118" i="1"/>
  <c r="BL119" i="1"/>
  <c r="BL120" i="1"/>
  <c r="BL121" i="1"/>
  <c r="BL122" i="1"/>
  <c r="BL123" i="1"/>
  <c r="BL124" i="1"/>
  <c r="BL125" i="1"/>
  <c r="BL126" i="1"/>
  <c r="BL127" i="1"/>
  <c r="BL128" i="1"/>
  <c r="BL129" i="1"/>
  <c r="BL130" i="1"/>
  <c r="BL131" i="1"/>
  <c r="BL133" i="1"/>
  <c r="BL134" i="1"/>
  <c r="BL135" i="1"/>
  <c r="BL136" i="1"/>
  <c r="BL137" i="1"/>
  <c r="BL138" i="1"/>
  <c r="BL139" i="1"/>
  <c r="BL140" i="1"/>
  <c r="BL141" i="1"/>
  <c r="BL142" i="1"/>
  <c r="BL143" i="1"/>
  <c r="BL144" i="1"/>
  <c r="BL145" i="1"/>
  <c r="BL146" i="1"/>
  <c r="BL147" i="1"/>
  <c r="BL148" i="1"/>
  <c r="BL149" i="1"/>
  <c r="BL150" i="1"/>
  <c r="BL151" i="1"/>
  <c r="BL152" i="1"/>
  <c r="BL153" i="1"/>
  <c r="BL154" i="1"/>
  <c r="BL155" i="1"/>
  <c r="BL156" i="1"/>
  <c r="BL157" i="1"/>
  <c r="BL158" i="1"/>
  <c r="BL159" i="1"/>
  <c r="BL160" i="1"/>
  <c r="BL161" i="1"/>
  <c r="BL162" i="1"/>
  <c r="BL163" i="1"/>
  <c r="BL164" i="1"/>
  <c r="BL165" i="1"/>
  <c r="BL166" i="1"/>
  <c r="BL167" i="1"/>
  <c r="BL168" i="1"/>
  <c r="BL169" i="1"/>
  <c r="BL170" i="1"/>
  <c r="BL171" i="1"/>
  <c r="BL172" i="1"/>
  <c r="BL173" i="1"/>
  <c r="BL174" i="1"/>
  <c r="BL175" i="1"/>
  <c r="BL176" i="1"/>
  <c r="BL177" i="1"/>
  <c r="BL178" i="1"/>
  <c r="BL179" i="1"/>
  <c r="BL180" i="1"/>
  <c r="BL181" i="1"/>
  <c r="BL182" i="1"/>
  <c r="BL183" i="1"/>
  <c r="BL184" i="1"/>
  <c r="BL185" i="1"/>
  <c r="BL186" i="1"/>
  <c r="BL187" i="1"/>
  <c r="BL188" i="1"/>
  <c r="BL189" i="1"/>
  <c r="BL190" i="1"/>
  <c r="BL191" i="1"/>
  <c r="BL192" i="1"/>
  <c r="BL193" i="1"/>
  <c r="BL194" i="1"/>
  <c r="BL195" i="1"/>
  <c r="BL196" i="1"/>
  <c r="BL197" i="1"/>
  <c r="BL198" i="1"/>
  <c r="BL199" i="1"/>
  <c r="BL200" i="1"/>
  <c r="BL201" i="1"/>
  <c r="BL202" i="1"/>
  <c r="BL203" i="1"/>
  <c r="BL204" i="1"/>
  <c r="BL205" i="1"/>
  <c r="BL206" i="1"/>
  <c r="BL207" i="1"/>
  <c r="BL208" i="1"/>
  <c r="BL209" i="1"/>
  <c r="BL210" i="1"/>
  <c r="BL211" i="1"/>
  <c r="BL212" i="1"/>
  <c r="BL213" i="1"/>
  <c r="BL214" i="1"/>
  <c r="BL215" i="1"/>
  <c r="BL216" i="1"/>
  <c r="BL217" i="1"/>
  <c r="BL218" i="1"/>
  <c r="BL219" i="1"/>
  <c r="BL220" i="1"/>
  <c r="BL221" i="1"/>
  <c r="BL222" i="1"/>
  <c r="BL223" i="1"/>
  <c r="BL224" i="1"/>
  <c r="BL225" i="1"/>
  <c r="BL226" i="1"/>
  <c r="BL227" i="1"/>
  <c r="BL228" i="1"/>
  <c r="BL229" i="1"/>
  <c r="BL230" i="1"/>
  <c r="BL231" i="1"/>
  <c r="BL232" i="1"/>
  <c r="BL233" i="1"/>
  <c r="BL234" i="1"/>
  <c r="BL235" i="1"/>
  <c r="BL236" i="1"/>
  <c r="BL237" i="1"/>
  <c r="BL238" i="1"/>
  <c r="BL239" i="1"/>
  <c r="BL240" i="1"/>
  <c r="BL241" i="1"/>
  <c r="BL242" i="1"/>
  <c r="BL243" i="1"/>
  <c r="BL244" i="1"/>
  <c r="BL245" i="1"/>
  <c r="BL246" i="1"/>
  <c r="BL247" i="1"/>
  <c r="BL248" i="1"/>
  <c r="BL249" i="1"/>
  <c r="BL250" i="1"/>
  <c r="BL251" i="1"/>
  <c r="BL252" i="1"/>
  <c r="BL253" i="1"/>
  <c r="BL254" i="1"/>
  <c r="BL255" i="1"/>
  <c r="BL256" i="1"/>
  <c r="BL257" i="1"/>
  <c r="BL258" i="1"/>
  <c r="BL259" i="1"/>
  <c r="BL260" i="1"/>
  <c r="BL262" i="1"/>
  <c r="BL263" i="1"/>
  <c r="BL264" i="1"/>
  <c r="BL265" i="1"/>
  <c r="BL266" i="1"/>
  <c r="BL267" i="1"/>
  <c r="BL268" i="1"/>
  <c r="BL269" i="1"/>
  <c r="BL270" i="1"/>
  <c r="BL271" i="1"/>
  <c r="BL272" i="1"/>
  <c r="BL273" i="1"/>
  <c r="BL274" i="1"/>
  <c r="BL275" i="1"/>
  <c r="BL276" i="1"/>
  <c r="BL277" i="1"/>
  <c r="BL278" i="1"/>
  <c r="BL279" i="1"/>
  <c r="BL280" i="1"/>
  <c r="BL281" i="1"/>
  <c r="BL282" i="1"/>
  <c r="BL283" i="1"/>
  <c r="BL284" i="1"/>
  <c r="BL285" i="1"/>
  <c r="BL286" i="1"/>
  <c r="BL287" i="1"/>
  <c r="BL288" i="1"/>
  <c r="BL289" i="1"/>
  <c r="BL290" i="1"/>
  <c r="BL291" i="1"/>
  <c r="BL292" i="1"/>
  <c r="BL293" i="1"/>
  <c r="BL294" i="1"/>
  <c r="BL295" i="1"/>
  <c r="BL296" i="1"/>
  <c r="BL297" i="1"/>
  <c r="BL298" i="1"/>
  <c r="BL299" i="1"/>
  <c r="BL300" i="1"/>
  <c r="BL301" i="1"/>
  <c r="BL302" i="1"/>
  <c r="BL2" i="1"/>
  <c r="BI3" i="1"/>
  <c r="BJ3" i="1" s="1"/>
  <c r="BI4" i="1"/>
  <c r="BJ4" i="1" s="1"/>
  <c r="BI5" i="1"/>
  <c r="BJ5" i="1" s="1"/>
  <c r="BI6" i="1"/>
  <c r="BJ6" i="1" s="1"/>
  <c r="BI7" i="1"/>
  <c r="BJ7" i="1" s="1"/>
  <c r="BI8" i="1"/>
  <c r="BJ8" i="1" s="1"/>
  <c r="BI9" i="1"/>
  <c r="BI10" i="1"/>
  <c r="BI11" i="1"/>
  <c r="BI12" i="1"/>
  <c r="BJ12" i="1" s="1"/>
  <c r="BI13" i="1"/>
  <c r="BK13" i="1" s="1"/>
  <c r="BI14" i="1"/>
  <c r="BJ14" i="1" s="1"/>
  <c r="BI15" i="1"/>
  <c r="BK15" i="1" s="1"/>
  <c r="BI16" i="1"/>
  <c r="BJ16" i="1" s="1"/>
  <c r="BI17" i="1"/>
  <c r="BJ17" i="1" s="1"/>
  <c r="BI18" i="1"/>
  <c r="BI19" i="1"/>
  <c r="BJ19" i="1" s="1"/>
  <c r="BI20" i="1"/>
  <c r="BJ20" i="1" s="1"/>
  <c r="BI21" i="1"/>
  <c r="BK21" i="1" s="1"/>
  <c r="BI22" i="1"/>
  <c r="BI23" i="1"/>
  <c r="BK23" i="1" s="1"/>
  <c r="BI24" i="1"/>
  <c r="BK24" i="1" s="1"/>
  <c r="BI25" i="1"/>
  <c r="BI26" i="1"/>
  <c r="BK26" i="1" s="1"/>
  <c r="BI27" i="1"/>
  <c r="BI28" i="1"/>
  <c r="BJ28" i="1" s="1"/>
  <c r="BI29" i="1"/>
  <c r="BK29" i="1" s="1"/>
  <c r="BI30" i="1"/>
  <c r="BI31" i="1"/>
  <c r="BK31" i="1" s="1"/>
  <c r="BI32" i="1"/>
  <c r="BK32" i="1" s="1"/>
  <c r="BI33" i="1"/>
  <c r="BI34" i="1"/>
  <c r="BI35" i="1"/>
  <c r="BK35" i="1" s="1"/>
  <c r="BI36" i="1"/>
  <c r="BJ36" i="1" s="1"/>
  <c r="BI37" i="1"/>
  <c r="BJ37" i="1" s="1"/>
  <c r="BI38" i="1"/>
  <c r="BI39" i="1"/>
  <c r="BK39" i="1" s="1"/>
  <c r="BI40" i="1"/>
  <c r="BK40" i="1" s="1"/>
  <c r="BI41" i="1"/>
  <c r="BK41" i="1" s="1"/>
  <c r="BI42" i="1"/>
  <c r="BI43" i="1"/>
  <c r="BK43" i="1" s="1"/>
  <c r="BI44" i="1"/>
  <c r="BJ44" i="1" s="1"/>
  <c r="BI45" i="1"/>
  <c r="BK45" i="1" s="1"/>
  <c r="BI46" i="1"/>
  <c r="BJ46" i="1" s="1"/>
  <c r="BI47" i="1"/>
  <c r="BI48" i="1"/>
  <c r="BI49" i="1"/>
  <c r="BI50" i="1"/>
  <c r="BI51" i="1"/>
  <c r="BK51" i="1" s="1"/>
  <c r="BI52" i="1"/>
  <c r="BJ52" i="1" s="1"/>
  <c r="BI53" i="1"/>
  <c r="BJ53" i="1" s="1"/>
  <c r="BI54" i="1"/>
  <c r="BJ54" i="1" s="1"/>
  <c r="BI55" i="1"/>
  <c r="BJ55" i="1" s="1"/>
  <c r="BI56" i="1"/>
  <c r="BI57" i="1"/>
  <c r="BI58" i="1"/>
  <c r="BI59" i="1"/>
  <c r="BK59" i="1" s="1"/>
  <c r="BI60" i="1"/>
  <c r="BJ60" i="1" s="1"/>
  <c r="BI61" i="1"/>
  <c r="BJ61" i="1" s="1"/>
  <c r="BI62" i="1"/>
  <c r="BJ62" i="1" s="1"/>
  <c r="BI63" i="1"/>
  <c r="BJ63" i="1" s="1"/>
  <c r="BI64" i="1"/>
  <c r="BJ64" i="1" s="1"/>
  <c r="BI65" i="1"/>
  <c r="BI66" i="1"/>
  <c r="BI67" i="1"/>
  <c r="BJ67" i="1" s="1"/>
  <c r="BI68" i="1"/>
  <c r="BJ68" i="1" s="1"/>
  <c r="BI69" i="1"/>
  <c r="BJ69" i="1" s="1"/>
  <c r="BI70" i="1"/>
  <c r="BJ70" i="1" s="1"/>
  <c r="BI71" i="1"/>
  <c r="BJ71" i="1" s="1"/>
  <c r="BI72" i="1"/>
  <c r="BJ72" i="1" s="1"/>
  <c r="BI73" i="1"/>
  <c r="BI74" i="1"/>
  <c r="BI75" i="1"/>
  <c r="BI76" i="1"/>
  <c r="BJ76" i="1" s="1"/>
  <c r="BI77" i="1"/>
  <c r="BJ77" i="1" s="1"/>
  <c r="BI78" i="1"/>
  <c r="BJ78" i="1" s="1"/>
  <c r="BI79" i="1"/>
  <c r="BJ79" i="1" s="1"/>
  <c r="BI80" i="1"/>
  <c r="BJ80" i="1" s="1"/>
  <c r="BI81" i="1"/>
  <c r="BJ81" i="1" s="1"/>
  <c r="BI82" i="1"/>
  <c r="BI83" i="1"/>
  <c r="BJ83" i="1" s="1"/>
  <c r="BI84" i="1"/>
  <c r="BJ84" i="1" s="1"/>
  <c r="BI85" i="1"/>
  <c r="BK85" i="1" s="1"/>
  <c r="BI86" i="1"/>
  <c r="BI87" i="1"/>
  <c r="BK87" i="1" s="1"/>
  <c r="BI88" i="1"/>
  <c r="BK88" i="1" s="1"/>
  <c r="BI89" i="1"/>
  <c r="BI90" i="1"/>
  <c r="BK90" i="1" s="1"/>
  <c r="BI91" i="1"/>
  <c r="BI92" i="1"/>
  <c r="BJ92" i="1" s="1"/>
  <c r="BI93" i="1"/>
  <c r="BK93" i="1" s="1"/>
  <c r="BI94" i="1"/>
  <c r="BI95" i="1"/>
  <c r="BK95" i="1" s="1"/>
  <c r="BI96" i="1"/>
  <c r="BK96" i="1" s="1"/>
  <c r="BI97" i="1"/>
  <c r="BI98" i="1"/>
  <c r="BI99" i="1"/>
  <c r="BK99" i="1" s="1"/>
  <c r="BI100" i="1"/>
  <c r="BJ100" i="1" s="1"/>
  <c r="BI101" i="1"/>
  <c r="BK101" i="1" s="1"/>
  <c r="BI102" i="1"/>
  <c r="BI103" i="1"/>
  <c r="BK103" i="1" s="1"/>
  <c r="BI104" i="1"/>
  <c r="BK104" i="1" s="1"/>
  <c r="BI105" i="1"/>
  <c r="BK105" i="1" s="1"/>
  <c r="BI106" i="1"/>
  <c r="BI107" i="1"/>
  <c r="BK107" i="1" s="1"/>
  <c r="BI108" i="1"/>
  <c r="BJ108" i="1" s="1"/>
  <c r="BI109" i="1"/>
  <c r="BK109" i="1" s="1"/>
  <c r="BI110" i="1"/>
  <c r="BJ110" i="1" s="1"/>
  <c r="BI111" i="1"/>
  <c r="BI112" i="1"/>
  <c r="BI113" i="1"/>
  <c r="BI114" i="1"/>
  <c r="BI115" i="1"/>
  <c r="BK115" i="1" s="1"/>
  <c r="BI116" i="1"/>
  <c r="BK116" i="1" s="1"/>
  <c r="BI117" i="1"/>
  <c r="BJ117" i="1" s="1"/>
  <c r="BI118" i="1"/>
  <c r="BJ118" i="1" s="1"/>
  <c r="BI119" i="1"/>
  <c r="BI120" i="1"/>
  <c r="BI121" i="1"/>
  <c r="BI122" i="1"/>
  <c r="BI123" i="1"/>
  <c r="BK123" i="1" s="1"/>
  <c r="BI124" i="1"/>
  <c r="BJ124" i="1" s="1"/>
  <c r="BI125" i="1"/>
  <c r="BJ125" i="1" s="1"/>
  <c r="BI126" i="1"/>
  <c r="BJ126" i="1" s="1"/>
  <c r="BI127" i="1"/>
  <c r="BI128" i="1"/>
  <c r="BI129" i="1"/>
  <c r="BI130" i="1"/>
  <c r="BI131" i="1"/>
  <c r="BJ131" i="1" s="1"/>
  <c r="BI133" i="1"/>
  <c r="BK133" i="1" s="1"/>
  <c r="BI134" i="1"/>
  <c r="BK134" i="1" s="1"/>
  <c r="BI135" i="1"/>
  <c r="BJ135" i="1" s="1"/>
  <c r="BI136" i="1"/>
  <c r="BI137" i="1"/>
  <c r="BI138" i="1"/>
  <c r="BI139" i="1"/>
  <c r="BI140" i="1"/>
  <c r="BI141" i="1"/>
  <c r="BJ141" i="1" s="1"/>
  <c r="BI142" i="1"/>
  <c r="BJ142" i="1" s="1"/>
  <c r="BI143" i="1"/>
  <c r="BJ143" i="1" s="1"/>
  <c r="BI144" i="1"/>
  <c r="BK144" i="1" s="1"/>
  <c r="BI145" i="1"/>
  <c r="BI146" i="1"/>
  <c r="BI147" i="1"/>
  <c r="BI148" i="1"/>
  <c r="BK148" i="1" s="1"/>
  <c r="BI149" i="1"/>
  <c r="BK149" i="1" s="1"/>
  <c r="BI150" i="1"/>
  <c r="BK150" i="1" s="1"/>
  <c r="BI151" i="1"/>
  <c r="BJ151" i="1" s="1"/>
  <c r="BI152" i="1"/>
  <c r="BK152" i="1" s="1"/>
  <c r="BI153" i="1"/>
  <c r="BK153" i="1" s="1"/>
  <c r="BI154" i="1"/>
  <c r="BI155" i="1"/>
  <c r="BI156" i="1"/>
  <c r="BI157" i="1"/>
  <c r="BJ157" i="1" s="1"/>
  <c r="BI158" i="1"/>
  <c r="BJ158" i="1" s="1"/>
  <c r="BI159" i="1"/>
  <c r="BJ159" i="1" s="1"/>
  <c r="BI160" i="1"/>
  <c r="BK160" i="1" s="1"/>
  <c r="BI161" i="1"/>
  <c r="BK161" i="1" s="1"/>
  <c r="BI162" i="1"/>
  <c r="BI163" i="1"/>
  <c r="BI164" i="1"/>
  <c r="BK164" i="1" s="1"/>
  <c r="BI165" i="1"/>
  <c r="BK165" i="1" s="1"/>
  <c r="BI166" i="1"/>
  <c r="BJ166" i="1" s="1"/>
  <c r="BI167" i="1"/>
  <c r="BJ167" i="1" s="1"/>
  <c r="BI168" i="1"/>
  <c r="BK168" i="1" s="1"/>
  <c r="BI169" i="1"/>
  <c r="BK169" i="1" s="1"/>
  <c r="BI170" i="1"/>
  <c r="BK170" i="1" s="1"/>
  <c r="BI171" i="1"/>
  <c r="BI172" i="1"/>
  <c r="BK172" i="1" s="1"/>
  <c r="BI173" i="1"/>
  <c r="BK173" i="1" s="1"/>
  <c r="BI174" i="1"/>
  <c r="BK174" i="1" s="1"/>
  <c r="BI175" i="1"/>
  <c r="BJ175" i="1" s="1"/>
  <c r="BI176" i="1"/>
  <c r="BI177" i="1"/>
  <c r="BI178" i="1"/>
  <c r="BI179" i="1"/>
  <c r="BK179" i="1" s="1"/>
  <c r="BI180" i="1"/>
  <c r="BK180" i="1" s="1"/>
  <c r="BI181" i="1"/>
  <c r="BK181" i="1" s="1"/>
  <c r="BI182" i="1"/>
  <c r="BJ182" i="1" s="1"/>
  <c r="BI183" i="1"/>
  <c r="BJ183" i="1" s="1"/>
  <c r="BI184" i="1"/>
  <c r="BI185" i="1"/>
  <c r="BI186" i="1"/>
  <c r="BI187" i="1"/>
  <c r="BI188" i="1"/>
  <c r="BK188" i="1" s="1"/>
  <c r="BI189" i="1"/>
  <c r="BJ189" i="1" s="1"/>
  <c r="BI190" i="1"/>
  <c r="BJ190" i="1" s="1"/>
  <c r="BI191" i="1"/>
  <c r="BJ191" i="1" s="1"/>
  <c r="BI192" i="1"/>
  <c r="BI193" i="1"/>
  <c r="BI194" i="1"/>
  <c r="BI195" i="1"/>
  <c r="BI196" i="1"/>
  <c r="BJ196" i="1" s="1"/>
  <c r="BI197" i="1"/>
  <c r="BK197" i="1" s="1"/>
  <c r="BI198" i="1"/>
  <c r="BK198" i="1" s="1"/>
  <c r="BI199" i="1"/>
  <c r="BJ199" i="1" s="1"/>
  <c r="BI200" i="1"/>
  <c r="BI201" i="1"/>
  <c r="BI202" i="1"/>
  <c r="BI203" i="1"/>
  <c r="BI204" i="1"/>
  <c r="BI205" i="1"/>
  <c r="BJ205" i="1" s="1"/>
  <c r="BI206" i="1"/>
  <c r="BK206" i="1" s="1"/>
  <c r="BI207" i="1"/>
  <c r="BJ207" i="1" s="1"/>
  <c r="BI208" i="1"/>
  <c r="BK208" i="1" s="1"/>
  <c r="BI209" i="1"/>
  <c r="BI210" i="1"/>
  <c r="BI211" i="1"/>
  <c r="BI212" i="1"/>
  <c r="BK212" i="1" s="1"/>
  <c r="BI213" i="1"/>
  <c r="BK213" i="1" s="1"/>
  <c r="BI214" i="1"/>
  <c r="BJ214" i="1" s="1"/>
  <c r="BI215" i="1"/>
  <c r="BJ215" i="1" s="1"/>
  <c r="BI216" i="1"/>
  <c r="BK216" i="1" s="1"/>
  <c r="BI217" i="1"/>
  <c r="BK217" i="1" s="1"/>
  <c r="BI218" i="1"/>
  <c r="BI219" i="1"/>
  <c r="BI220" i="1"/>
  <c r="BI221" i="1"/>
  <c r="BK221" i="1" s="1"/>
  <c r="BI222" i="1"/>
  <c r="BK222" i="1" s="1"/>
  <c r="BI223" i="1"/>
  <c r="BJ223" i="1" s="1"/>
  <c r="BI224" i="1"/>
  <c r="BK224" i="1" s="1"/>
  <c r="BI225" i="1"/>
  <c r="BK225" i="1" s="1"/>
  <c r="BI226" i="1"/>
  <c r="BI227" i="1"/>
  <c r="BI228" i="1"/>
  <c r="BK228" i="1" s="1"/>
  <c r="BI229" i="1"/>
  <c r="BK229" i="1" s="1"/>
  <c r="BI230" i="1"/>
  <c r="BK230" i="1" s="1"/>
  <c r="BI231" i="1"/>
  <c r="BJ231" i="1" s="1"/>
  <c r="BI232" i="1"/>
  <c r="BK232" i="1" s="1"/>
  <c r="BI233" i="1"/>
  <c r="BK233" i="1" s="1"/>
  <c r="BI234" i="1"/>
  <c r="BK234" i="1" s="1"/>
  <c r="BI235" i="1"/>
  <c r="BI236" i="1"/>
  <c r="BK236" i="1" s="1"/>
  <c r="BI237" i="1"/>
  <c r="BK237" i="1" s="1"/>
  <c r="BI238" i="1"/>
  <c r="BK238" i="1" s="1"/>
  <c r="BI239" i="1"/>
  <c r="BJ239" i="1" s="1"/>
  <c r="BI240" i="1"/>
  <c r="BI241" i="1"/>
  <c r="BI242" i="1"/>
  <c r="BI243" i="1"/>
  <c r="BI244" i="1"/>
  <c r="BK244" i="1" s="1"/>
  <c r="BI245" i="1"/>
  <c r="BK245" i="1" s="1"/>
  <c r="BI246" i="1"/>
  <c r="BJ246" i="1" s="1"/>
  <c r="BI247" i="1"/>
  <c r="BJ247" i="1" s="1"/>
  <c r="BI248" i="1"/>
  <c r="BI249" i="1"/>
  <c r="BI250" i="1"/>
  <c r="BI251" i="1"/>
  <c r="BI252" i="1"/>
  <c r="BK252" i="1" s="1"/>
  <c r="BI253" i="1"/>
  <c r="BJ253" i="1" s="1"/>
  <c r="BI254" i="1"/>
  <c r="BJ254" i="1" s="1"/>
  <c r="BI255" i="1"/>
  <c r="BJ255" i="1" s="1"/>
  <c r="BI256" i="1"/>
  <c r="BI257" i="1"/>
  <c r="BI258" i="1"/>
  <c r="BI259" i="1"/>
  <c r="BI260" i="1"/>
  <c r="BJ260" i="1" s="1"/>
  <c r="BI262" i="1"/>
  <c r="BK262" i="1" s="1"/>
  <c r="BI263" i="1"/>
  <c r="BK263" i="1" s="1"/>
  <c r="BI264" i="1"/>
  <c r="BJ264" i="1" s="1"/>
  <c r="BI265" i="1"/>
  <c r="BI266" i="1"/>
  <c r="BI267" i="1"/>
  <c r="BI268" i="1"/>
  <c r="BI269" i="1"/>
  <c r="BI270" i="1"/>
  <c r="BJ270" i="1" s="1"/>
  <c r="BI271" i="1"/>
  <c r="BK271" i="1" s="1"/>
  <c r="BI272" i="1"/>
  <c r="BJ272" i="1" s="1"/>
  <c r="BI273" i="1"/>
  <c r="BK273" i="1" s="1"/>
  <c r="BI274" i="1"/>
  <c r="BI275" i="1"/>
  <c r="BI276" i="1"/>
  <c r="BI277" i="1"/>
  <c r="BK277" i="1" s="1"/>
  <c r="BI278" i="1"/>
  <c r="BJ278" i="1" s="1"/>
  <c r="BI279" i="1"/>
  <c r="BJ279" i="1" s="1"/>
  <c r="BI280" i="1"/>
  <c r="BJ280" i="1" s="1"/>
  <c r="BI281" i="1"/>
  <c r="BK281" i="1" s="1"/>
  <c r="BI282" i="1"/>
  <c r="BK282" i="1" s="1"/>
  <c r="BI283" i="1"/>
  <c r="BI284" i="1"/>
  <c r="BI285" i="1"/>
  <c r="BI286" i="1"/>
  <c r="BJ286" i="1" s="1"/>
  <c r="BI287" i="1"/>
  <c r="BJ287" i="1" s="1"/>
  <c r="BI288" i="1"/>
  <c r="BJ288" i="1" s="1"/>
  <c r="BI289" i="1"/>
  <c r="BK289" i="1" s="1"/>
  <c r="BI290" i="1"/>
  <c r="BK290" i="1" s="1"/>
  <c r="BI291" i="1"/>
  <c r="BI292" i="1"/>
  <c r="BI293" i="1"/>
  <c r="BK293" i="1" s="1"/>
  <c r="BI294" i="1"/>
  <c r="BK294" i="1" s="1"/>
  <c r="BI295" i="1"/>
  <c r="BK295" i="1" s="1"/>
  <c r="BI296" i="1"/>
  <c r="BJ296" i="1" s="1"/>
  <c r="BI297" i="1"/>
  <c r="BK297" i="1" s="1"/>
  <c r="BI298" i="1"/>
  <c r="BK298" i="1" s="1"/>
  <c r="BI299" i="1"/>
  <c r="BK299" i="1" s="1"/>
  <c r="BI300" i="1"/>
  <c r="BI301" i="1"/>
  <c r="BK301" i="1" s="1"/>
  <c r="BI302" i="1"/>
  <c r="BK302" i="1" s="1"/>
  <c r="BI2" i="1"/>
  <c r="BJ2" i="1" s="1"/>
  <c r="BG4" i="1"/>
  <c r="BG60" i="1"/>
  <c r="BG136" i="1"/>
  <c r="BG145" i="1"/>
  <c r="BG192" i="1"/>
  <c r="BG198" i="1"/>
  <c r="BG202" i="1"/>
  <c r="BG268" i="1"/>
  <c r="BF3" i="1"/>
  <c r="BF4" i="1"/>
  <c r="BF5" i="1"/>
  <c r="BF6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2" i="1"/>
  <c r="BE3" i="1"/>
  <c r="BE4" i="1"/>
  <c r="BE5" i="1"/>
  <c r="BE6" i="1"/>
  <c r="BE7" i="1"/>
  <c r="BE8" i="1"/>
  <c r="BE9" i="1"/>
  <c r="BE10" i="1"/>
  <c r="BE11" i="1"/>
  <c r="BE12" i="1"/>
  <c r="BE13" i="1"/>
  <c r="BE14" i="1"/>
  <c r="BE15" i="1"/>
  <c r="BE16" i="1"/>
  <c r="BE17" i="1"/>
  <c r="BE18" i="1"/>
  <c r="BE19" i="1"/>
  <c r="BE20" i="1"/>
  <c r="BE21" i="1"/>
  <c r="BE22" i="1"/>
  <c r="BE23" i="1"/>
  <c r="BE24" i="1"/>
  <c r="BE25" i="1"/>
  <c r="BE26" i="1"/>
  <c r="BE27" i="1"/>
  <c r="BE28" i="1"/>
  <c r="BE29" i="1"/>
  <c r="BE30" i="1"/>
  <c r="BE31" i="1"/>
  <c r="BE32" i="1"/>
  <c r="BE33" i="1"/>
  <c r="BE34" i="1"/>
  <c r="BE35" i="1"/>
  <c r="BE36" i="1"/>
  <c r="BE37" i="1"/>
  <c r="BE38" i="1"/>
  <c r="BE39" i="1"/>
  <c r="BE40" i="1"/>
  <c r="BE41" i="1"/>
  <c r="BE42" i="1"/>
  <c r="BE43" i="1"/>
  <c r="BE44" i="1"/>
  <c r="BE45" i="1"/>
  <c r="BE46" i="1"/>
  <c r="BE47" i="1"/>
  <c r="BE48" i="1"/>
  <c r="BE49" i="1"/>
  <c r="BE50" i="1"/>
  <c r="BE51" i="1"/>
  <c r="BE52" i="1"/>
  <c r="BE53" i="1"/>
  <c r="BE54" i="1"/>
  <c r="BE55" i="1"/>
  <c r="BE56" i="1"/>
  <c r="BE57" i="1"/>
  <c r="BE58" i="1"/>
  <c r="BE59" i="1"/>
  <c r="BE60" i="1"/>
  <c r="BE61" i="1"/>
  <c r="BE62" i="1"/>
  <c r="BE63" i="1"/>
  <c r="BE64" i="1"/>
  <c r="BE65" i="1"/>
  <c r="BE66" i="1"/>
  <c r="BE67" i="1"/>
  <c r="BE68" i="1"/>
  <c r="BE69" i="1"/>
  <c r="BE70" i="1"/>
  <c r="BE71" i="1"/>
  <c r="BE72" i="1"/>
  <c r="BE73" i="1"/>
  <c r="BE74" i="1"/>
  <c r="BE75" i="1"/>
  <c r="BE76" i="1"/>
  <c r="BE77" i="1"/>
  <c r="BE78" i="1"/>
  <c r="BE79" i="1"/>
  <c r="BE80" i="1"/>
  <c r="BE81" i="1"/>
  <c r="BE82" i="1"/>
  <c r="BE83" i="1"/>
  <c r="BE84" i="1"/>
  <c r="BE85" i="1"/>
  <c r="BE86" i="1"/>
  <c r="BE87" i="1"/>
  <c r="BE88" i="1"/>
  <c r="BE89" i="1"/>
  <c r="BE90" i="1"/>
  <c r="BE91" i="1"/>
  <c r="BE92" i="1"/>
  <c r="BE93" i="1"/>
  <c r="BE94" i="1"/>
  <c r="BE95" i="1"/>
  <c r="BE96" i="1"/>
  <c r="BE97" i="1"/>
  <c r="BE98" i="1"/>
  <c r="BE99" i="1"/>
  <c r="BE100" i="1"/>
  <c r="BE101" i="1"/>
  <c r="BE102" i="1"/>
  <c r="BE103" i="1"/>
  <c r="BE104" i="1"/>
  <c r="BE105" i="1"/>
  <c r="BE106" i="1"/>
  <c r="BE107" i="1"/>
  <c r="BE108" i="1"/>
  <c r="BE109" i="1"/>
  <c r="BE110" i="1"/>
  <c r="BE111" i="1"/>
  <c r="BE112" i="1"/>
  <c r="BE113" i="1"/>
  <c r="BE114" i="1"/>
  <c r="BE115" i="1"/>
  <c r="BE116" i="1"/>
  <c r="BE117" i="1"/>
  <c r="BE118" i="1"/>
  <c r="BE119" i="1"/>
  <c r="BE120" i="1"/>
  <c r="BE121" i="1"/>
  <c r="BE122" i="1"/>
  <c r="BE123" i="1"/>
  <c r="BE124" i="1"/>
  <c r="BE125" i="1"/>
  <c r="BE126" i="1"/>
  <c r="BE127" i="1"/>
  <c r="BE128" i="1"/>
  <c r="BE129" i="1"/>
  <c r="BE130" i="1"/>
  <c r="BE131" i="1"/>
  <c r="BE133" i="1"/>
  <c r="BE134" i="1"/>
  <c r="BE135" i="1"/>
  <c r="BE136" i="1"/>
  <c r="BE137" i="1"/>
  <c r="BE138" i="1"/>
  <c r="BE139" i="1"/>
  <c r="BE140" i="1"/>
  <c r="BE141" i="1"/>
  <c r="BE142" i="1"/>
  <c r="BE143" i="1"/>
  <c r="BE144" i="1"/>
  <c r="BE145" i="1"/>
  <c r="BE146" i="1"/>
  <c r="BE147" i="1"/>
  <c r="BE148" i="1"/>
  <c r="BE149" i="1"/>
  <c r="BE150" i="1"/>
  <c r="BE151" i="1"/>
  <c r="BE152" i="1"/>
  <c r="BE153" i="1"/>
  <c r="BE154" i="1"/>
  <c r="BE155" i="1"/>
  <c r="BE156" i="1"/>
  <c r="BE157" i="1"/>
  <c r="BE158" i="1"/>
  <c r="BE159" i="1"/>
  <c r="BE160" i="1"/>
  <c r="BE161" i="1"/>
  <c r="BE162" i="1"/>
  <c r="BE163" i="1"/>
  <c r="BE164" i="1"/>
  <c r="BE165" i="1"/>
  <c r="BE166" i="1"/>
  <c r="BE167" i="1"/>
  <c r="BE168" i="1"/>
  <c r="BE169" i="1"/>
  <c r="BE170" i="1"/>
  <c r="BE171" i="1"/>
  <c r="BE172" i="1"/>
  <c r="BE173" i="1"/>
  <c r="BE174" i="1"/>
  <c r="BE175" i="1"/>
  <c r="BE176" i="1"/>
  <c r="BE177" i="1"/>
  <c r="BE178" i="1"/>
  <c r="BE179" i="1"/>
  <c r="BE180" i="1"/>
  <c r="BE181" i="1"/>
  <c r="BE182" i="1"/>
  <c r="BE183" i="1"/>
  <c r="BE184" i="1"/>
  <c r="BE185" i="1"/>
  <c r="BE186" i="1"/>
  <c r="BE187" i="1"/>
  <c r="BE188" i="1"/>
  <c r="BE189" i="1"/>
  <c r="BE190" i="1"/>
  <c r="BE191" i="1"/>
  <c r="BE192" i="1"/>
  <c r="BE193" i="1"/>
  <c r="BE194" i="1"/>
  <c r="BE195" i="1"/>
  <c r="BE196" i="1"/>
  <c r="BE197" i="1"/>
  <c r="BE198" i="1"/>
  <c r="BE199" i="1"/>
  <c r="BE200" i="1"/>
  <c r="BE201" i="1"/>
  <c r="BE202" i="1"/>
  <c r="BE203" i="1"/>
  <c r="BE204" i="1"/>
  <c r="BE205" i="1"/>
  <c r="BE206" i="1"/>
  <c r="BE207" i="1"/>
  <c r="BE208" i="1"/>
  <c r="BE209" i="1"/>
  <c r="BE210" i="1"/>
  <c r="BE211" i="1"/>
  <c r="BE212" i="1"/>
  <c r="BE213" i="1"/>
  <c r="BE214" i="1"/>
  <c r="BE215" i="1"/>
  <c r="BE216" i="1"/>
  <c r="BE217" i="1"/>
  <c r="BE218" i="1"/>
  <c r="BE219" i="1"/>
  <c r="BE220" i="1"/>
  <c r="BE221" i="1"/>
  <c r="BE222" i="1"/>
  <c r="BE223" i="1"/>
  <c r="BE224" i="1"/>
  <c r="BE225" i="1"/>
  <c r="BE226" i="1"/>
  <c r="BE227" i="1"/>
  <c r="BE228" i="1"/>
  <c r="BE229" i="1"/>
  <c r="BE230" i="1"/>
  <c r="BE231" i="1"/>
  <c r="BE232" i="1"/>
  <c r="BE233" i="1"/>
  <c r="BE234" i="1"/>
  <c r="BE235" i="1"/>
  <c r="BE236" i="1"/>
  <c r="BE237" i="1"/>
  <c r="BE238" i="1"/>
  <c r="BE239" i="1"/>
  <c r="BE240" i="1"/>
  <c r="BE241" i="1"/>
  <c r="BE242" i="1"/>
  <c r="BE243" i="1"/>
  <c r="BE244" i="1"/>
  <c r="BE245" i="1"/>
  <c r="BE246" i="1"/>
  <c r="BE247" i="1"/>
  <c r="BE248" i="1"/>
  <c r="BE249" i="1"/>
  <c r="BE250" i="1"/>
  <c r="BE251" i="1"/>
  <c r="BE252" i="1"/>
  <c r="BE253" i="1"/>
  <c r="BE254" i="1"/>
  <c r="BE255" i="1"/>
  <c r="BE256" i="1"/>
  <c r="BE257" i="1"/>
  <c r="BE258" i="1"/>
  <c r="BE259" i="1"/>
  <c r="BE260" i="1"/>
  <c r="BE262" i="1"/>
  <c r="BE263" i="1"/>
  <c r="BE264" i="1"/>
  <c r="BE265" i="1"/>
  <c r="BE266" i="1"/>
  <c r="BE267" i="1"/>
  <c r="BE268" i="1"/>
  <c r="BE269" i="1"/>
  <c r="BE270" i="1"/>
  <c r="BE271" i="1"/>
  <c r="BE272" i="1"/>
  <c r="BE273" i="1"/>
  <c r="BE274" i="1"/>
  <c r="BE275" i="1"/>
  <c r="BE276" i="1"/>
  <c r="BE277" i="1"/>
  <c r="BE278" i="1"/>
  <c r="BE279" i="1"/>
  <c r="BE280" i="1"/>
  <c r="BE281" i="1"/>
  <c r="BE282" i="1"/>
  <c r="BE283" i="1"/>
  <c r="BE284" i="1"/>
  <c r="BE285" i="1"/>
  <c r="BE286" i="1"/>
  <c r="BE287" i="1"/>
  <c r="BE288" i="1"/>
  <c r="BE289" i="1"/>
  <c r="BE290" i="1"/>
  <c r="BE291" i="1"/>
  <c r="BE292" i="1"/>
  <c r="BE293" i="1"/>
  <c r="BE294" i="1"/>
  <c r="BE295" i="1"/>
  <c r="BE296" i="1"/>
  <c r="BE297" i="1"/>
  <c r="BE298" i="1"/>
  <c r="BE299" i="1"/>
  <c r="BE300" i="1"/>
  <c r="BE301" i="1"/>
  <c r="BE302" i="1"/>
  <c r="BE2" i="1"/>
  <c r="BC3" i="1"/>
  <c r="BC4" i="1"/>
  <c r="BC5" i="1"/>
  <c r="BC6" i="1"/>
  <c r="BC7" i="1"/>
  <c r="BC8" i="1"/>
  <c r="BC9" i="1"/>
  <c r="BC10" i="1"/>
  <c r="BC11" i="1"/>
  <c r="BC12" i="1"/>
  <c r="BC13" i="1"/>
  <c r="BC14" i="1"/>
  <c r="BC15" i="1"/>
  <c r="BC16" i="1"/>
  <c r="BC17" i="1"/>
  <c r="BC18" i="1"/>
  <c r="BC19" i="1"/>
  <c r="BC20" i="1"/>
  <c r="BC21" i="1"/>
  <c r="BC22" i="1"/>
  <c r="BC23" i="1"/>
  <c r="BC24" i="1"/>
  <c r="BC25" i="1"/>
  <c r="BC26" i="1"/>
  <c r="BC27" i="1"/>
  <c r="BC28" i="1"/>
  <c r="BC29" i="1"/>
  <c r="BC30" i="1"/>
  <c r="BC31" i="1"/>
  <c r="BC32" i="1"/>
  <c r="BC33" i="1"/>
  <c r="BC34" i="1"/>
  <c r="BC35" i="1"/>
  <c r="BC36" i="1"/>
  <c r="BC37" i="1"/>
  <c r="BC38" i="1"/>
  <c r="BC39" i="1"/>
  <c r="BC40" i="1"/>
  <c r="BC41" i="1"/>
  <c r="BC42" i="1"/>
  <c r="BC43" i="1"/>
  <c r="BC44" i="1"/>
  <c r="BC45" i="1"/>
  <c r="BC46" i="1"/>
  <c r="BC47" i="1"/>
  <c r="BC48" i="1"/>
  <c r="BC49" i="1"/>
  <c r="BC50" i="1"/>
  <c r="BC51" i="1"/>
  <c r="BC52" i="1"/>
  <c r="BC53" i="1"/>
  <c r="BC54" i="1"/>
  <c r="BC55" i="1"/>
  <c r="BC56" i="1"/>
  <c r="BC57" i="1"/>
  <c r="BC58" i="1"/>
  <c r="BC59" i="1"/>
  <c r="BC60" i="1"/>
  <c r="BC61" i="1"/>
  <c r="BC62" i="1"/>
  <c r="BC63" i="1"/>
  <c r="BC64" i="1"/>
  <c r="BC65" i="1"/>
  <c r="BC66" i="1"/>
  <c r="BC67" i="1"/>
  <c r="BC68" i="1"/>
  <c r="BC69" i="1"/>
  <c r="BC70" i="1"/>
  <c r="BC71" i="1"/>
  <c r="BC72" i="1"/>
  <c r="BC73" i="1"/>
  <c r="BC74" i="1"/>
  <c r="BC75" i="1"/>
  <c r="BC76" i="1"/>
  <c r="BC77" i="1"/>
  <c r="BC78" i="1"/>
  <c r="BC79" i="1"/>
  <c r="BC80" i="1"/>
  <c r="BC81" i="1"/>
  <c r="BC82" i="1"/>
  <c r="BC83" i="1"/>
  <c r="BC84" i="1"/>
  <c r="BC85" i="1"/>
  <c r="BC86" i="1"/>
  <c r="BC87" i="1"/>
  <c r="BC88" i="1"/>
  <c r="BC89" i="1"/>
  <c r="BC90" i="1"/>
  <c r="BC91" i="1"/>
  <c r="BC92" i="1"/>
  <c r="BC93" i="1"/>
  <c r="BC94" i="1"/>
  <c r="BC95" i="1"/>
  <c r="BC96" i="1"/>
  <c r="BC97" i="1"/>
  <c r="BC98" i="1"/>
  <c r="BC99" i="1"/>
  <c r="BC100" i="1"/>
  <c r="BC101" i="1"/>
  <c r="BC102" i="1"/>
  <c r="BC103" i="1"/>
  <c r="BC104" i="1"/>
  <c r="BC105" i="1"/>
  <c r="BC106" i="1"/>
  <c r="BC107" i="1"/>
  <c r="BC108" i="1"/>
  <c r="BC109" i="1"/>
  <c r="BC110" i="1"/>
  <c r="BC111" i="1"/>
  <c r="BC112" i="1"/>
  <c r="BC113" i="1"/>
  <c r="BC114" i="1"/>
  <c r="BC115" i="1"/>
  <c r="BC116" i="1"/>
  <c r="BC117" i="1"/>
  <c r="BC118" i="1"/>
  <c r="BC119" i="1"/>
  <c r="BC120" i="1"/>
  <c r="BC121" i="1"/>
  <c r="BC122" i="1"/>
  <c r="BC123" i="1"/>
  <c r="BC124" i="1"/>
  <c r="BC125" i="1"/>
  <c r="BC126" i="1"/>
  <c r="BC127" i="1"/>
  <c r="BC128" i="1"/>
  <c r="BC129" i="1"/>
  <c r="BC130" i="1"/>
  <c r="BC131" i="1"/>
  <c r="BC133" i="1"/>
  <c r="BC134" i="1"/>
  <c r="BC135" i="1"/>
  <c r="BC136" i="1"/>
  <c r="BC137" i="1"/>
  <c r="BC138" i="1"/>
  <c r="BC139" i="1"/>
  <c r="BC140" i="1"/>
  <c r="BC141" i="1"/>
  <c r="BC142" i="1"/>
  <c r="BC143" i="1"/>
  <c r="BC144" i="1"/>
  <c r="BC145" i="1"/>
  <c r="BC146" i="1"/>
  <c r="BC147" i="1"/>
  <c r="BC148" i="1"/>
  <c r="BC149" i="1"/>
  <c r="BC150" i="1"/>
  <c r="BC151" i="1"/>
  <c r="BC152" i="1"/>
  <c r="BC153" i="1"/>
  <c r="BC154" i="1"/>
  <c r="BC155" i="1"/>
  <c r="BC156" i="1"/>
  <c r="BC157" i="1"/>
  <c r="BC158" i="1"/>
  <c r="BC159" i="1"/>
  <c r="BC160" i="1"/>
  <c r="BC161" i="1"/>
  <c r="BC162" i="1"/>
  <c r="BC163" i="1"/>
  <c r="BC164" i="1"/>
  <c r="BC165" i="1"/>
  <c r="BC166" i="1"/>
  <c r="BC167" i="1"/>
  <c r="BC168" i="1"/>
  <c r="BC169" i="1"/>
  <c r="BC170" i="1"/>
  <c r="BC171" i="1"/>
  <c r="BC172" i="1"/>
  <c r="BC173" i="1"/>
  <c r="BC174" i="1"/>
  <c r="BC175" i="1"/>
  <c r="BC176" i="1"/>
  <c r="BC177" i="1"/>
  <c r="BC178" i="1"/>
  <c r="BC179" i="1"/>
  <c r="BC180" i="1"/>
  <c r="BC181" i="1"/>
  <c r="BC182" i="1"/>
  <c r="BC183" i="1"/>
  <c r="BC184" i="1"/>
  <c r="BC185" i="1"/>
  <c r="BC186" i="1"/>
  <c r="BC187" i="1"/>
  <c r="BC188" i="1"/>
  <c r="BC189" i="1"/>
  <c r="BC190" i="1"/>
  <c r="BC191" i="1"/>
  <c r="BC192" i="1"/>
  <c r="BC193" i="1"/>
  <c r="BC194" i="1"/>
  <c r="BC195" i="1"/>
  <c r="BC196" i="1"/>
  <c r="BC197" i="1"/>
  <c r="BC198" i="1"/>
  <c r="BC199" i="1"/>
  <c r="BC200" i="1"/>
  <c r="BC201" i="1"/>
  <c r="BC202" i="1"/>
  <c r="BC203" i="1"/>
  <c r="BC204" i="1"/>
  <c r="BC205" i="1"/>
  <c r="BC206" i="1"/>
  <c r="BC207" i="1"/>
  <c r="BC208" i="1"/>
  <c r="BC209" i="1"/>
  <c r="BC210" i="1"/>
  <c r="BC211" i="1"/>
  <c r="BC212" i="1"/>
  <c r="BC213" i="1"/>
  <c r="BC214" i="1"/>
  <c r="BC215" i="1"/>
  <c r="BC216" i="1"/>
  <c r="BC217" i="1"/>
  <c r="BC218" i="1"/>
  <c r="BC219" i="1"/>
  <c r="BC220" i="1"/>
  <c r="BC221" i="1"/>
  <c r="BC222" i="1"/>
  <c r="BC223" i="1"/>
  <c r="BC224" i="1"/>
  <c r="BC225" i="1"/>
  <c r="BC226" i="1"/>
  <c r="BC227" i="1"/>
  <c r="BC228" i="1"/>
  <c r="BC229" i="1"/>
  <c r="BC230" i="1"/>
  <c r="BC231" i="1"/>
  <c r="BC232" i="1"/>
  <c r="BC233" i="1"/>
  <c r="BC234" i="1"/>
  <c r="BC235" i="1"/>
  <c r="BC236" i="1"/>
  <c r="BC237" i="1"/>
  <c r="BC238" i="1"/>
  <c r="BC239" i="1"/>
  <c r="BC240" i="1"/>
  <c r="BC241" i="1"/>
  <c r="BC242" i="1"/>
  <c r="BC243" i="1"/>
  <c r="BC244" i="1"/>
  <c r="BC245" i="1"/>
  <c r="BC246" i="1"/>
  <c r="BC247" i="1"/>
  <c r="BC248" i="1"/>
  <c r="BC249" i="1"/>
  <c r="BC250" i="1"/>
  <c r="BC251" i="1"/>
  <c r="BC252" i="1"/>
  <c r="BC253" i="1"/>
  <c r="BC254" i="1"/>
  <c r="BC255" i="1"/>
  <c r="BC256" i="1"/>
  <c r="BC257" i="1"/>
  <c r="BC258" i="1"/>
  <c r="BC259" i="1"/>
  <c r="BC260" i="1"/>
  <c r="BC262" i="1"/>
  <c r="BC263" i="1"/>
  <c r="BC264" i="1"/>
  <c r="BC265" i="1"/>
  <c r="BC266" i="1"/>
  <c r="BC267" i="1"/>
  <c r="BC268" i="1"/>
  <c r="BC269" i="1"/>
  <c r="BC270" i="1"/>
  <c r="BC271" i="1"/>
  <c r="BC272" i="1"/>
  <c r="BC273" i="1"/>
  <c r="BC274" i="1"/>
  <c r="BC275" i="1"/>
  <c r="BC276" i="1"/>
  <c r="BC277" i="1"/>
  <c r="BC278" i="1"/>
  <c r="BC279" i="1"/>
  <c r="BC280" i="1"/>
  <c r="BC281" i="1"/>
  <c r="BC282" i="1"/>
  <c r="BC283" i="1"/>
  <c r="BC284" i="1"/>
  <c r="BC285" i="1"/>
  <c r="BC286" i="1"/>
  <c r="BC287" i="1"/>
  <c r="BC288" i="1"/>
  <c r="BC289" i="1"/>
  <c r="BC290" i="1"/>
  <c r="BC291" i="1"/>
  <c r="BC292" i="1"/>
  <c r="BC293" i="1"/>
  <c r="BC294" i="1"/>
  <c r="BC295" i="1"/>
  <c r="BC296" i="1"/>
  <c r="BC297" i="1"/>
  <c r="BC298" i="1"/>
  <c r="BC299" i="1"/>
  <c r="BC300" i="1"/>
  <c r="BC301" i="1"/>
  <c r="BC302" i="1"/>
  <c r="BC2" i="1"/>
  <c r="BB3" i="1"/>
  <c r="BB4" i="1"/>
  <c r="BB5" i="1"/>
  <c r="BB6" i="1"/>
  <c r="BB7" i="1"/>
  <c r="BB8" i="1"/>
  <c r="BB9" i="1"/>
  <c r="BB10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29" i="1"/>
  <c r="BB30" i="1"/>
  <c r="BB31" i="1"/>
  <c r="BB32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2" i="1"/>
  <c r="AX3" i="1"/>
  <c r="AX4" i="1"/>
  <c r="AX5" i="1"/>
  <c r="AY5" i="1" s="1"/>
  <c r="AX6" i="1"/>
  <c r="AX7" i="1"/>
  <c r="AY7" i="1" s="1"/>
  <c r="AX8" i="1"/>
  <c r="AY8" i="1" s="1"/>
  <c r="AX9" i="1"/>
  <c r="BA9" i="1" s="1"/>
  <c r="AX10" i="1"/>
  <c r="AY10" i="1" s="1"/>
  <c r="AX11" i="1"/>
  <c r="AY11" i="1" s="1"/>
  <c r="AX12" i="1"/>
  <c r="AX13" i="1"/>
  <c r="AY13" i="1" s="1"/>
  <c r="AX14" i="1"/>
  <c r="AX15" i="1"/>
  <c r="AY15" i="1" s="1"/>
  <c r="AX16" i="1"/>
  <c r="AY16" i="1" s="1"/>
  <c r="AX17" i="1"/>
  <c r="AY17" i="1" s="1"/>
  <c r="AX18" i="1"/>
  <c r="BA18" i="1" s="1"/>
  <c r="AX19" i="1"/>
  <c r="AY19" i="1" s="1"/>
  <c r="AX20" i="1"/>
  <c r="AY20" i="1" s="1"/>
  <c r="AX21" i="1"/>
  <c r="AY21" i="1" s="1"/>
  <c r="AX22" i="1"/>
  <c r="AX23" i="1"/>
  <c r="AY23" i="1" s="1"/>
  <c r="AX24" i="1"/>
  <c r="AY24" i="1" s="1"/>
  <c r="AX25" i="1"/>
  <c r="BA25" i="1" s="1"/>
  <c r="AX26" i="1"/>
  <c r="AY26" i="1" s="1"/>
  <c r="AX27" i="1"/>
  <c r="AY27" i="1" s="1"/>
  <c r="AX28" i="1"/>
  <c r="BA28" i="1" s="1"/>
  <c r="AX29" i="1"/>
  <c r="AY29" i="1" s="1"/>
  <c r="AX30" i="1"/>
  <c r="AY30" i="1" s="1"/>
  <c r="AX31" i="1"/>
  <c r="AX32" i="1"/>
  <c r="BA32" i="1" s="1"/>
  <c r="AX33" i="1"/>
  <c r="BA33" i="1" s="1"/>
  <c r="AX34" i="1"/>
  <c r="BA34" i="1" s="1"/>
  <c r="AX35" i="1"/>
  <c r="AX36" i="1"/>
  <c r="AY36" i="1" s="1"/>
  <c r="AX37" i="1"/>
  <c r="AY37" i="1" s="1"/>
  <c r="AX38" i="1"/>
  <c r="AX39" i="1"/>
  <c r="AX40" i="1"/>
  <c r="AY40" i="1" s="1"/>
  <c r="AX41" i="1"/>
  <c r="BA41" i="1" s="1"/>
  <c r="AX42" i="1"/>
  <c r="AX43" i="1"/>
  <c r="BA43" i="1" s="1"/>
  <c r="AX44" i="1"/>
  <c r="BA44" i="1" s="1"/>
  <c r="AX45" i="1"/>
  <c r="AY45" i="1" s="1"/>
  <c r="AX46" i="1"/>
  <c r="AX47" i="1"/>
  <c r="AY47" i="1" s="1"/>
  <c r="AX48" i="1"/>
  <c r="BA48" i="1" s="1"/>
  <c r="AX49" i="1"/>
  <c r="BA49" i="1" s="1"/>
  <c r="AX50" i="1"/>
  <c r="BA50" i="1" s="1"/>
  <c r="AX51" i="1"/>
  <c r="BA51" i="1" s="1"/>
  <c r="AX52" i="1"/>
  <c r="AX53" i="1"/>
  <c r="AY53" i="1" s="1"/>
  <c r="AX54" i="1"/>
  <c r="AX55" i="1"/>
  <c r="AX56" i="1"/>
  <c r="AY56" i="1" s="1"/>
  <c r="AX57" i="1"/>
  <c r="AX58" i="1"/>
  <c r="AY58" i="1" s="1"/>
  <c r="AX59" i="1"/>
  <c r="AY59" i="1" s="1"/>
  <c r="AX60" i="1"/>
  <c r="BA60" i="1" s="1"/>
  <c r="AX61" i="1"/>
  <c r="AY61" i="1" s="1"/>
  <c r="AX62" i="1"/>
  <c r="BA62" i="1" s="1"/>
  <c r="AX63" i="1"/>
  <c r="AY63" i="1" s="1"/>
  <c r="AX64" i="1"/>
  <c r="BA64" i="1" s="1"/>
  <c r="AX65" i="1"/>
  <c r="BA65" i="1" s="1"/>
  <c r="AX66" i="1"/>
  <c r="AX67" i="1"/>
  <c r="AX68" i="1"/>
  <c r="AY68" i="1" s="1"/>
  <c r="AX69" i="1"/>
  <c r="AY69" i="1" s="1"/>
  <c r="AX70" i="1"/>
  <c r="BA70" i="1" s="1"/>
  <c r="AX71" i="1"/>
  <c r="AY71" i="1" s="1"/>
  <c r="AX72" i="1"/>
  <c r="AY72" i="1" s="1"/>
  <c r="AX73" i="1"/>
  <c r="AX74" i="1"/>
  <c r="AY74" i="1" s="1"/>
  <c r="AX75" i="1"/>
  <c r="AY75" i="1" s="1"/>
  <c r="AX76" i="1"/>
  <c r="AY76" i="1" s="1"/>
  <c r="AX77" i="1"/>
  <c r="AY77" i="1" s="1"/>
  <c r="AX78" i="1"/>
  <c r="AY78" i="1" s="1"/>
  <c r="AX79" i="1"/>
  <c r="AY79" i="1" s="1"/>
  <c r="AX80" i="1"/>
  <c r="AY80" i="1" s="1"/>
  <c r="AX81" i="1"/>
  <c r="AY81" i="1" s="1"/>
  <c r="AX82" i="1"/>
  <c r="BA82" i="1" s="1"/>
  <c r="AX83" i="1"/>
  <c r="AY83" i="1" s="1"/>
  <c r="AX84" i="1"/>
  <c r="AY84" i="1" s="1"/>
  <c r="AX85" i="1"/>
  <c r="AY85" i="1" s="1"/>
  <c r="AX86" i="1"/>
  <c r="AX87" i="1"/>
  <c r="AY87" i="1" s="1"/>
  <c r="AX88" i="1"/>
  <c r="AY88" i="1" s="1"/>
  <c r="AX89" i="1"/>
  <c r="AX90" i="1"/>
  <c r="AY90" i="1" s="1"/>
  <c r="AX91" i="1"/>
  <c r="AY91" i="1" s="1"/>
  <c r="AX92" i="1"/>
  <c r="BA92" i="1" s="1"/>
  <c r="AX93" i="1"/>
  <c r="AY93" i="1" s="1"/>
  <c r="AX94" i="1"/>
  <c r="AY94" i="1" s="1"/>
  <c r="AX95" i="1"/>
  <c r="AX96" i="1"/>
  <c r="BA96" i="1" s="1"/>
  <c r="AX97" i="1"/>
  <c r="BA97" i="1" s="1"/>
  <c r="AX98" i="1"/>
  <c r="BA98" i="1" s="1"/>
  <c r="AX99" i="1"/>
  <c r="AX100" i="1"/>
  <c r="AX101" i="1"/>
  <c r="AY101" i="1" s="1"/>
  <c r="AX102" i="1"/>
  <c r="AY102" i="1" s="1"/>
  <c r="AX103" i="1"/>
  <c r="AX104" i="1"/>
  <c r="BA104" i="1" s="1"/>
  <c r="AX105" i="1"/>
  <c r="BA105" i="1" s="1"/>
  <c r="AX106" i="1"/>
  <c r="AX107" i="1"/>
  <c r="BA107" i="1" s="1"/>
  <c r="AX108" i="1"/>
  <c r="BA108" i="1" s="1"/>
  <c r="AX109" i="1"/>
  <c r="AY109" i="1" s="1"/>
  <c r="AX110" i="1"/>
  <c r="AX111" i="1"/>
  <c r="AY111" i="1" s="1"/>
  <c r="AX112" i="1"/>
  <c r="BA112" i="1" s="1"/>
  <c r="AX113" i="1"/>
  <c r="AY113" i="1" s="1"/>
  <c r="AX114" i="1"/>
  <c r="BA114" i="1" s="1"/>
  <c r="AX115" i="1"/>
  <c r="BA115" i="1" s="1"/>
  <c r="AX116" i="1"/>
  <c r="AX117" i="1"/>
  <c r="AY117" i="1" s="1"/>
  <c r="AX118" i="1"/>
  <c r="BA118" i="1" s="1"/>
  <c r="AX119" i="1"/>
  <c r="AX120" i="1"/>
  <c r="AY120" i="1" s="1"/>
  <c r="AX121" i="1"/>
  <c r="AX122" i="1"/>
  <c r="AY122" i="1" s="1"/>
  <c r="AX123" i="1"/>
  <c r="AY123" i="1" s="1"/>
  <c r="AX124" i="1"/>
  <c r="BA124" i="1" s="1"/>
  <c r="AX125" i="1"/>
  <c r="AX126" i="1"/>
  <c r="BA126" i="1" s="1"/>
  <c r="AX127" i="1"/>
  <c r="AX128" i="1"/>
  <c r="BA128" i="1" s="1"/>
  <c r="AX129" i="1"/>
  <c r="AX130" i="1"/>
  <c r="AY130" i="1" s="1"/>
  <c r="AX131" i="1"/>
  <c r="AX133" i="1"/>
  <c r="AY133" i="1" s="1"/>
  <c r="AX134" i="1"/>
  <c r="BA134" i="1" s="1"/>
  <c r="AX135" i="1"/>
  <c r="AX136" i="1"/>
  <c r="AX137" i="1"/>
  <c r="AY137" i="1" s="1"/>
  <c r="AX138" i="1"/>
  <c r="BA138" i="1" s="1"/>
  <c r="AX139" i="1"/>
  <c r="AY139" i="1" s="1"/>
  <c r="AX140" i="1"/>
  <c r="AY140" i="1" s="1"/>
  <c r="AX141" i="1"/>
  <c r="AY141" i="1" s="1"/>
  <c r="AX142" i="1"/>
  <c r="AX143" i="1"/>
  <c r="AY143" i="1" s="1"/>
  <c r="AX144" i="1"/>
  <c r="AX145" i="1"/>
  <c r="AY145" i="1" s="1"/>
  <c r="AX146" i="1"/>
  <c r="AX147" i="1"/>
  <c r="BA147" i="1" s="1"/>
  <c r="AX148" i="1"/>
  <c r="AX149" i="1"/>
  <c r="AX150" i="1"/>
  <c r="AX151" i="1"/>
  <c r="AX152" i="1"/>
  <c r="AX153" i="1"/>
  <c r="AY153" i="1" s="1"/>
  <c r="AX154" i="1"/>
  <c r="BA154" i="1" s="1"/>
  <c r="AX155" i="1"/>
  <c r="AY155" i="1" s="1"/>
  <c r="AX156" i="1"/>
  <c r="BA156" i="1" s="1"/>
  <c r="AX157" i="1"/>
  <c r="BA157" i="1" s="1"/>
  <c r="AX158" i="1"/>
  <c r="AX159" i="1"/>
  <c r="AY159" i="1" s="1"/>
  <c r="AX160" i="1"/>
  <c r="AX161" i="1"/>
  <c r="BA161" i="1" s="1"/>
  <c r="AX162" i="1"/>
  <c r="BA162" i="1" s="1"/>
  <c r="AX163" i="1"/>
  <c r="AY163" i="1" s="1"/>
  <c r="AX164" i="1"/>
  <c r="AX165" i="1"/>
  <c r="BA165" i="1" s="1"/>
  <c r="AX166" i="1"/>
  <c r="AX167" i="1"/>
  <c r="AY167" i="1" s="1"/>
  <c r="AX168" i="1"/>
  <c r="AX169" i="1"/>
  <c r="AY169" i="1" s="1"/>
  <c r="AX170" i="1"/>
  <c r="BA170" i="1" s="1"/>
  <c r="AX171" i="1"/>
  <c r="AY171" i="1" s="1"/>
  <c r="AX172" i="1"/>
  <c r="AY172" i="1" s="1"/>
  <c r="AX173" i="1"/>
  <c r="BA173" i="1" s="1"/>
  <c r="AX174" i="1"/>
  <c r="AX175" i="1"/>
  <c r="BA175" i="1" s="1"/>
  <c r="AX176" i="1"/>
  <c r="AX177" i="1"/>
  <c r="BA177" i="1" s="1"/>
  <c r="AX178" i="1"/>
  <c r="BA178" i="1" s="1"/>
  <c r="AX179" i="1"/>
  <c r="AX180" i="1"/>
  <c r="BA180" i="1" s="1"/>
  <c r="AX181" i="1"/>
  <c r="BA181" i="1" s="1"/>
  <c r="AX182" i="1"/>
  <c r="BA182" i="1" s="1"/>
  <c r="AX183" i="1"/>
  <c r="AX184" i="1"/>
  <c r="AX185" i="1"/>
  <c r="AY185" i="1" s="1"/>
  <c r="AX186" i="1"/>
  <c r="AX187" i="1"/>
  <c r="AY187" i="1" s="1"/>
  <c r="AX188" i="1"/>
  <c r="AY188" i="1" s="1"/>
  <c r="AX189" i="1"/>
  <c r="BA189" i="1" s="1"/>
  <c r="AX190" i="1"/>
  <c r="AX191" i="1"/>
  <c r="BA191" i="1" s="1"/>
  <c r="AX192" i="1"/>
  <c r="AX193" i="1"/>
  <c r="BA193" i="1" s="1"/>
  <c r="AX194" i="1"/>
  <c r="AX195" i="1"/>
  <c r="AY195" i="1" s="1"/>
  <c r="AX196" i="1"/>
  <c r="AX197" i="1"/>
  <c r="BA197" i="1" s="1"/>
  <c r="AX198" i="1"/>
  <c r="BA198" i="1" s="1"/>
  <c r="AX199" i="1"/>
  <c r="AX200" i="1"/>
  <c r="AX201" i="1"/>
  <c r="AY201" i="1" s="1"/>
  <c r="AX202" i="1"/>
  <c r="BA202" i="1" s="1"/>
  <c r="AX203" i="1"/>
  <c r="AY203" i="1" s="1"/>
  <c r="AX204" i="1"/>
  <c r="AY204" i="1" s="1"/>
  <c r="AX205" i="1"/>
  <c r="AY205" i="1" s="1"/>
  <c r="AX206" i="1"/>
  <c r="AX207" i="1"/>
  <c r="BA207" i="1" s="1"/>
  <c r="AX208" i="1"/>
  <c r="AX209" i="1"/>
  <c r="BA209" i="1" s="1"/>
  <c r="AX210" i="1"/>
  <c r="AX211" i="1"/>
  <c r="BA211" i="1" s="1"/>
  <c r="AX212" i="1"/>
  <c r="AX213" i="1"/>
  <c r="AX214" i="1"/>
  <c r="AX215" i="1"/>
  <c r="AX216" i="1"/>
  <c r="AX217" i="1"/>
  <c r="AY217" i="1" s="1"/>
  <c r="AX218" i="1"/>
  <c r="BA218" i="1" s="1"/>
  <c r="AX219" i="1"/>
  <c r="AY219" i="1" s="1"/>
  <c r="AX220" i="1"/>
  <c r="BA220" i="1" s="1"/>
  <c r="AX221" i="1"/>
  <c r="BA221" i="1" s="1"/>
  <c r="AX222" i="1"/>
  <c r="AX223" i="1"/>
  <c r="AY223" i="1" s="1"/>
  <c r="AX224" i="1"/>
  <c r="AX225" i="1"/>
  <c r="BA225" i="1" s="1"/>
  <c r="AX226" i="1"/>
  <c r="AX227" i="1"/>
  <c r="AX228" i="1"/>
  <c r="AX229" i="1"/>
  <c r="BA229" i="1" s="1"/>
  <c r="AX230" i="1"/>
  <c r="AX231" i="1"/>
  <c r="AY231" i="1" s="1"/>
  <c r="AX232" i="1"/>
  <c r="AX233" i="1"/>
  <c r="BA233" i="1" s="1"/>
  <c r="AX234" i="1"/>
  <c r="BA234" i="1" s="1"/>
  <c r="AX235" i="1"/>
  <c r="AY235" i="1" s="1"/>
  <c r="AX236" i="1"/>
  <c r="AY236" i="1" s="1"/>
  <c r="AX237" i="1"/>
  <c r="BA237" i="1" s="1"/>
  <c r="AX238" i="1"/>
  <c r="AX239" i="1"/>
  <c r="BA239" i="1" s="1"/>
  <c r="AX240" i="1"/>
  <c r="AX241" i="1"/>
  <c r="BA241" i="1" s="1"/>
  <c r="AX242" i="1"/>
  <c r="BA242" i="1" s="1"/>
  <c r="AX243" i="1"/>
  <c r="AY243" i="1" s="1"/>
  <c r="AX244" i="1"/>
  <c r="BA244" i="1" s="1"/>
  <c r="AX245" i="1"/>
  <c r="BA245" i="1" s="1"/>
  <c r="AX246" i="1"/>
  <c r="BA246" i="1" s="1"/>
  <c r="AX247" i="1"/>
  <c r="AX248" i="1"/>
  <c r="AX249" i="1"/>
  <c r="AY249" i="1" s="1"/>
  <c r="AX250" i="1"/>
  <c r="AX251" i="1"/>
  <c r="AY251" i="1" s="1"/>
  <c r="AX252" i="1"/>
  <c r="AY252" i="1" s="1"/>
  <c r="AX253" i="1"/>
  <c r="BA253" i="1" s="1"/>
  <c r="AX254" i="1"/>
  <c r="AX255" i="1"/>
  <c r="BA255" i="1" s="1"/>
  <c r="AX256" i="1"/>
  <c r="AX257" i="1"/>
  <c r="BA257" i="1" s="1"/>
  <c r="AX258" i="1"/>
  <c r="AX259" i="1"/>
  <c r="AY259" i="1" s="1"/>
  <c r="AX260" i="1"/>
  <c r="AX262" i="1"/>
  <c r="BA262" i="1" s="1"/>
  <c r="AX263" i="1"/>
  <c r="BA263" i="1" s="1"/>
  <c r="AX264" i="1"/>
  <c r="BA264" i="1" s="1"/>
  <c r="AX265" i="1"/>
  <c r="AX266" i="1"/>
  <c r="AY266" i="1" s="1"/>
  <c r="AX267" i="1"/>
  <c r="BA267" i="1" s="1"/>
  <c r="AX268" i="1"/>
  <c r="AY268" i="1" s="1"/>
  <c r="AX269" i="1"/>
  <c r="AY269" i="1" s="1"/>
  <c r="AX270" i="1"/>
  <c r="AX271" i="1"/>
  <c r="AX272" i="1"/>
  <c r="BA272" i="1" s="1"/>
  <c r="AX273" i="1"/>
  <c r="AX274" i="1"/>
  <c r="AY274" i="1" s="1"/>
  <c r="AX275" i="1"/>
  <c r="AX276" i="1"/>
  <c r="BA276" i="1" s="1"/>
  <c r="AX277" i="1"/>
  <c r="AX278" i="1"/>
  <c r="AX279" i="1"/>
  <c r="AX280" i="1"/>
  <c r="AY280" i="1" s="1"/>
  <c r="AX281" i="1"/>
  <c r="AX282" i="1"/>
  <c r="AY282" i="1" s="1"/>
  <c r="AX283" i="1"/>
  <c r="BA283" i="1" s="1"/>
  <c r="AX284" i="1"/>
  <c r="AX285" i="1"/>
  <c r="BA285" i="1" s="1"/>
  <c r="AX286" i="1"/>
  <c r="BA286" i="1" s="1"/>
  <c r="AX287" i="1"/>
  <c r="AX288" i="1"/>
  <c r="AY288" i="1" s="1"/>
  <c r="AX289" i="1"/>
  <c r="AX290" i="1"/>
  <c r="AY290" i="1" s="1"/>
  <c r="AX291" i="1"/>
  <c r="AX292" i="1"/>
  <c r="BA292" i="1" s="1"/>
  <c r="AX293" i="1"/>
  <c r="AX294" i="1"/>
  <c r="BA294" i="1" s="1"/>
  <c r="AX295" i="1"/>
  <c r="AX296" i="1"/>
  <c r="AY296" i="1" s="1"/>
  <c r="AX297" i="1"/>
  <c r="AX298" i="1"/>
  <c r="AY298" i="1" s="1"/>
  <c r="AX299" i="1"/>
  <c r="BA299" i="1" s="1"/>
  <c r="AX300" i="1"/>
  <c r="AX301" i="1"/>
  <c r="AY301" i="1" s="1"/>
  <c r="AX302" i="1"/>
  <c r="BA302" i="1" s="1"/>
  <c r="AX2" i="1"/>
  <c r="AY2" i="1" s="1"/>
  <c r="AV4" i="1"/>
  <c r="AV60" i="1"/>
  <c r="AV136" i="1"/>
  <c r="AV145" i="1"/>
  <c r="AV192" i="1"/>
  <c r="AV198" i="1"/>
  <c r="AV202" i="1"/>
  <c r="AV268" i="1"/>
  <c r="AU3" i="1"/>
  <c r="AU4" i="1"/>
  <c r="AU5" i="1"/>
  <c r="AU6" i="1"/>
  <c r="AU7" i="1"/>
  <c r="AU8" i="1"/>
  <c r="AU9" i="1"/>
  <c r="AU10" i="1"/>
  <c r="AU11" i="1"/>
  <c r="AU12" i="1"/>
  <c r="AU13" i="1"/>
  <c r="AU14" i="1"/>
  <c r="AU15" i="1"/>
  <c r="AU16" i="1"/>
  <c r="AU17" i="1"/>
  <c r="AU18" i="1"/>
  <c r="AU19" i="1"/>
  <c r="AU20" i="1"/>
  <c r="AU21" i="1"/>
  <c r="AU22" i="1"/>
  <c r="AU23" i="1"/>
  <c r="AU24" i="1"/>
  <c r="AU25" i="1"/>
  <c r="AU26" i="1"/>
  <c r="AU27" i="1"/>
  <c r="AU28" i="1"/>
  <c r="AU29" i="1"/>
  <c r="AU30" i="1"/>
  <c r="AU31" i="1"/>
  <c r="AU32" i="1"/>
  <c r="AU33" i="1"/>
  <c r="AU34" i="1"/>
  <c r="AU35" i="1"/>
  <c r="AU36" i="1"/>
  <c r="AU37" i="1"/>
  <c r="AU38" i="1"/>
  <c r="AU39" i="1"/>
  <c r="AU40" i="1"/>
  <c r="AU41" i="1"/>
  <c r="AU42" i="1"/>
  <c r="AU43" i="1"/>
  <c r="AU44" i="1"/>
  <c r="AU45" i="1"/>
  <c r="AU46" i="1"/>
  <c r="AU47" i="1"/>
  <c r="AU48" i="1"/>
  <c r="AU49" i="1"/>
  <c r="AU50" i="1"/>
  <c r="AU51" i="1"/>
  <c r="AU52" i="1"/>
  <c r="AU53" i="1"/>
  <c r="AU54" i="1"/>
  <c r="AU55" i="1"/>
  <c r="AU56" i="1"/>
  <c r="AU57" i="1"/>
  <c r="AU58" i="1"/>
  <c r="AU59" i="1"/>
  <c r="AU60" i="1"/>
  <c r="AU61" i="1"/>
  <c r="AU62" i="1"/>
  <c r="AU63" i="1"/>
  <c r="AU64" i="1"/>
  <c r="AU65" i="1"/>
  <c r="AU66" i="1"/>
  <c r="AU67" i="1"/>
  <c r="AU68" i="1"/>
  <c r="AU69" i="1"/>
  <c r="AU70" i="1"/>
  <c r="AU71" i="1"/>
  <c r="AU72" i="1"/>
  <c r="AU73" i="1"/>
  <c r="AU74" i="1"/>
  <c r="AU75" i="1"/>
  <c r="AU76" i="1"/>
  <c r="AU77" i="1"/>
  <c r="AU78" i="1"/>
  <c r="AU79" i="1"/>
  <c r="AU80" i="1"/>
  <c r="AU81" i="1"/>
  <c r="AU82" i="1"/>
  <c r="AU83" i="1"/>
  <c r="AU84" i="1"/>
  <c r="AU85" i="1"/>
  <c r="AU86" i="1"/>
  <c r="AU87" i="1"/>
  <c r="AU88" i="1"/>
  <c r="AU89" i="1"/>
  <c r="AU90" i="1"/>
  <c r="AU91" i="1"/>
  <c r="AU92" i="1"/>
  <c r="AU93" i="1"/>
  <c r="AU94" i="1"/>
  <c r="AU95" i="1"/>
  <c r="AU96" i="1"/>
  <c r="AU97" i="1"/>
  <c r="AU98" i="1"/>
  <c r="AU99" i="1"/>
  <c r="AU100" i="1"/>
  <c r="AU101" i="1"/>
  <c r="AU102" i="1"/>
  <c r="AU103" i="1"/>
  <c r="AU104" i="1"/>
  <c r="AU105" i="1"/>
  <c r="AU106" i="1"/>
  <c r="AU107" i="1"/>
  <c r="AU108" i="1"/>
  <c r="AU109" i="1"/>
  <c r="AU110" i="1"/>
  <c r="AU111" i="1"/>
  <c r="AU112" i="1"/>
  <c r="AU113" i="1"/>
  <c r="AU114" i="1"/>
  <c r="AU115" i="1"/>
  <c r="AU116" i="1"/>
  <c r="AU117" i="1"/>
  <c r="AU118" i="1"/>
  <c r="AU119" i="1"/>
  <c r="AU120" i="1"/>
  <c r="AU121" i="1"/>
  <c r="AU122" i="1"/>
  <c r="AU123" i="1"/>
  <c r="AU124" i="1"/>
  <c r="AU125" i="1"/>
  <c r="AU126" i="1"/>
  <c r="AU127" i="1"/>
  <c r="AU128" i="1"/>
  <c r="AU129" i="1"/>
  <c r="AU130" i="1"/>
  <c r="AU131" i="1"/>
  <c r="AU133" i="1"/>
  <c r="AU134" i="1"/>
  <c r="AU135" i="1"/>
  <c r="AU136" i="1"/>
  <c r="AU137" i="1"/>
  <c r="AU138" i="1"/>
  <c r="AU139" i="1"/>
  <c r="AU140" i="1"/>
  <c r="AU141" i="1"/>
  <c r="AU142" i="1"/>
  <c r="AU143" i="1"/>
  <c r="AU144" i="1"/>
  <c r="AU145" i="1"/>
  <c r="AU146" i="1"/>
  <c r="AU147" i="1"/>
  <c r="AU148" i="1"/>
  <c r="AU149" i="1"/>
  <c r="AU150" i="1"/>
  <c r="AU151" i="1"/>
  <c r="AU152" i="1"/>
  <c r="AU153" i="1"/>
  <c r="AU154" i="1"/>
  <c r="AU155" i="1"/>
  <c r="AU156" i="1"/>
  <c r="AU157" i="1"/>
  <c r="AU158" i="1"/>
  <c r="AU159" i="1"/>
  <c r="AU160" i="1"/>
  <c r="AU161" i="1"/>
  <c r="AU162" i="1"/>
  <c r="AU163" i="1"/>
  <c r="AU164" i="1"/>
  <c r="AU165" i="1"/>
  <c r="AU166" i="1"/>
  <c r="AU167" i="1"/>
  <c r="AU168" i="1"/>
  <c r="AU169" i="1"/>
  <c r="AU170" i="1"/>
  <c r="AU171" i="1"/>
  <c r="AU172" i="1"/>
  <c r="AU173" i="1"/>
  <c r="AU174" i="1"/>
  <c r="AU175" i="1"/>
  <c r="AU176" i="1"/>
  <c r="AU177" i="1"/>
  <c r="AU178" i="1"/>
  <c r="AU179" i="1"/>
  <c r="AU180" i="1"/>
  <c r="AU181" i="1"/>
  <c r="AU182" i="1"/>
  <c r="AU183" i="1"/>
  <c r="AU184" i="1"/>
  <c r="AU185" i="1"/>
  <c r="AU186" i="1"/>
  <c r="AU187" i="1"/>
  <c r="AU188" i="1"/>
  <c r="AU189" i="1"/>
  <c r="AU190" i="1"/>
  <c r="AU191" i="1"/>
  <c r="AU192" i="1"/>
  <c r="AU193" i="1"/>
  <c r="AU194" i="1"/>
  <c r="AU195" i="1"/>
  <c r="AU196" i="1"/>
  <c r="AU197" i="1"/>
  <c r="AU198" i="1"/>
  <c r="AU199" i="1"/>
  <c r="AU200" i="1"/>
  <c r="AU201" i="1"/>
  <c r="AU202" i="1"/>
  <c r="AU203" i="1"/>
  <c r="AU204" i="1"/>
  <c r="AU205" i="1"/>
  <c r="AU206" i="1"/>
  <c r="AU207" i="1"/>
  <c r="AU208" i="1"/>
  <c r="AU209" i="1"/>
  <c r="AU210" i="1"/>
  <c r="AU211" i="1"/>
  <c r="AU212" i="1"/>
  <c r="AU213" i="1"/>
  <c r="AU214" i="1"/>
  <c r="AU215" i="1"/>
  <c r="AU216" i="1"/>
  <c r="AU217" i="1"/>
  <c r="AU218" i="1"/>
  <c r="AU219" i="1"/>
  <c r="AU220" i="1"/>
  <c r="AU221" i="1"/>
  <c r="AU222" i="1"/>
  <c r="AU223" i="1"/>
  <c r="AU224" i="1"/>
  <c r="AU225" i="1"/>
  <c r="AU226" i="1"/>
  <c r="AU227" i="1"/>
  <c r="AU228" i="1"/>
  <c r="AU229" i="1"/>
  <c r="AU230" i="1"/>
  <c r="AU231" i="1"/>
  <c r="AU232" i="1"/>
  <c r="AU233" i="1"/>
  <c r="AU234" i="1"/>
  <c r="AU235" i="1"/>
  <c r="AU236" i="1"/>
  <c r="AU237" i="1"/>
  <c r="AU238" i="1"/>
  <c r="AU239" i="1"/>
  <c r="AU240" i="1"/>
  <c r="AU241" i="1"/>
  <c r="AU242" i="1"/>
  <c r="AU243" i="1"/>
  <c r="AU244" i="1"/>
  <c r="AU245" i="1"/>
  <c r="AU246" i="1"/>
  <c r="AU247" i="1"/>
  <c r="AU248" i="1"/>
  <c r="AU249" i="1"/>
  <c r="AU250" i="1"/>
  <c r="AU251" i="1"/>
  <c r="AU252" i="1"/>
  <c r="AU253" i="1"/>
  <c r="AU254" i="1"/>
  <c r="AU255" i="1"/>
  <c r="AU256" i="1"/>
  <c r="AU257" i="1"/>
  <c r="AU258" i="1"/>
  <c r="AU259" i="1"/>
  <c r="AU260" i="1"/>
  <c r="AU262" i="1"/>
  <c r="AU263" i="1"/>
  <c r="AU264" i="1"/>
  <c r="AU265" i="1"/>
  <c r="AU266" i="1"/>
  <c r="AU267" i="1"/>
  <c r="AU268" i="1"/>
  <c r="AU269" i="1"/>
  <c r="AU270" i="1"/>
  <c r="AU271" i="1"/>
  <c r="AU272" i="1"/>
  <c r="AU273" i="1"/>
  <c r="AU274" i="1"/>
  <c r="AU275" i="1"/>
  <c r="AU276" i="1"/>
  <c r="AU277" i="1"/>
  <c r="AU278" i="1"/>
  <c r="AU279" i="1"/>
  <c r="AU280" i="1"/>
  <c r="AU281" i="1"/>
  <c r="AU282" i="1"/>
  <c r="AU283" i="1"/>
  <c r="AU284" i="1"/>
  <c r="AU285" i="1"/>
  <c r="AU286" i="1"/>
  <c r="AU287" i="1"/>
  <c r="AU288" i="1"/>
  <c r="AU289" i="1"/>
  <c r="AU290" i="1"/>
  <c r="AU291" i="1"/>
  <c r="AU292" i="1"/>
  <c r="AU293" i="1"/>
  <c r="AU294" i="1"/>
  <c r="AU295" i="1"/>
  <c r="AU296" i="1"/>
  <c r="AU297" i="1"/>
  <c r="AU298" i="1"/>
  <c r="AU299" i="1"/>
  <c r="AU300" i="1"/>
  <c r="AU301" i="1"/>
  <c r="AU302" i="1"/>
  <c r="AU2" i="1"/>
  <c r="AT3" i="1"/>
  <c r="AT4" i="1"/>
  <c r="AT5" i="1"/>
  <c r="AT6" i="1"/>
  <c r="AT7" i="1"/>
  <c r="AT8" i="1"/>
  <c r="AT9" i="1"/>
  <c r="AT10" i="1"/>
  <c r="AT11" i="1"/>
  <c r="AT12" i="1"/>
  <c r="AT13" i="1"/>
  <c r="AT14" i="1"/>
  <c r="AT15" i="1"/>
  <c r="AT16" i="1"/>
  <c r="AT17" i="1"/>
  <c r="AT18" i="1"/>
  <c r="AT19" i="1"/>
  <c r="AT20" i="1"/>
  <c r="AT21" i="1"/>
  <c r="AT22" i="1"/>
  <c r="AT23" i="1"/>
  <c r="AT24" i="1"/>
  <c r="AT25" i="1"/>
  <c r="AT26" i="1"/>
  <c r="AT27" i="1"/>
  <c r="AT28" i="1"/>
  <c r="AT29" i="1"/>
  <c r="AT30" i="1"/>
  <c r="AT31" i="1"/>
  <c r="AT32" i="1"/>
  <c r="AT33" i="1"/>
  <c r="AT34" i="1"/>
  <c r="AT35" i="1"/>
  <c r="AT36" i="1"/>
  <c r="AT37" i="1"/>
  <c r="AT38" i="1"/>
  <c r="AT39" i="1"/>
  <c r="AT40" i="1"/>
  <c r="AT41" i="1"/>
  <c r="AT42" i="1"/>
  <c r="AT43" i="1"/>
  <c r="AT44" i="1"/>
  <c r="AT45" i="1"/>
  <c r="AT46" i="1"/>
  <c r="AT47" i="1"/>
  <c r="AT48" i="1"/>
  <c r="AT49" i="1"/>
  <c r="AT50" i="1"/>
  <c r="AT51" i="1"/>
  <c r="AT52" i="1"/>
  <c r="AT53" i="1"/>
  <c r="AT54" i="1"/>
  <c r="AT55" i="1"/>
  <c r="AT56" i="1"/>
  <c r="AT57" i="1"/>
  <c r="AT58" i="1"/>
  <c r="AT59" i="1"/>
  <c r="AT60" i="1"/>
  <c r="AT61" i="1"/>
  <c r="AT62" i="1"/>
  <c r="AT63" i="1"/>
  <c r="AT64" i="1"/>
  <c r="AT65" i="1"/>
  <c r="AT66" i="1"/>
  <c r="AT67" i="1"/>
  <c r="AT68" i="1"/>
  <c r="AT69" i="1"/>
  <c r="AT70" i="1"/>
  <c r="AT71" i="1"/>
  <c r="AT72" i="1"/>
  <c r="AT73" i="1"/>
  <c r="AT74" i="1"/>
  <c r="AT75" i="1"/>
  <c r="AT76" i="1"/>
  <c r="AT77" i="1"/>
  <c r="AT78" i="1"/>
  <c r="AT79" i="1"/>
  <c r="AT80" i="1"/>
  <c r="AT81" i="1"/>
  <c r="AT82" i="1"/>
  <c r="AT83" i="1"/>
  <c r="AT84" i="1"/>
  <c r="AT85" i="1"/>
  <c r="AT86" i="1"/>
  <c r="AT87" i="1"/>
  <c r="AT88" i="1"/>
  <c r="AT89" i="1"/>
  <c r="AT90" i="1"/>
  <c r="AT91" i="1"/>
  <c r="AT92" i="1"/>
  <c r="AT93" i="1"/>
  <c r="AT94" i="1"/>
  <c r="AT95" i="1"/>
  <c r="AT96" i="1"/>
  <c r="AT97" i="1"/>
  <c r="AT98" i="1"/>
  <c r="AT99" i="1"/>
  <c r="AT100" i="1"/>
  <c r="AT101" i="1"/>
  <c r="AT102" i="1"/>
  <c r="AT103" i="1"/>
  <c r="AT104" i="1"/>
  <c r="AT105" i="1"/>
  <c r="AT106" i="1"/>
  <c r="AT107" i="1"/>
  <c r="AT108" i="1"/>
  <c r="AT109" i="1"/>
  <c r="AT110" i="1"/>
  <c r="AT111" i="1"/>
  <c r="AT112" i="1"/>
  <c r="AT113" i="1"/>
  <c r="AT114" i="1"/>
  <c r="AT115" i="1"/>
  <c r="AT116" i="1"/>
  <c r="AT117" i="1"/>
  <c r="AT118" i="1"/>
  <c r="AT119" i="1"/>
  <c r="AT120" i="1"/>
  <c r="AT121" i="1"/>
  <c r="AT122" i="1"/>
  <c r="AT123" i="1"/>
  <c r="AT124" i="1"/>
  <c r="AT125" i="1"/>
  <c r="AT126" i="1"/>
  <c r="AT127" i="1"/>
  <c r="AT128" i="1"/>
  <c r="AT129" i="1"/>
  <c r="AT130" i="1"/>
  <c r="AT131" i="1"/>
  <c r="AT133" i="1"/>
  <c r="AT134" i="1"/>
  <c r="AT135" i="1"/>
  <c r="AT136" i="1"/>
  <c r="AT137" i="1"/>
  <c r="AT138" i="1"/>
  <c r="AT139" i="1"/>
  <c r="AT140" i="1"/>
  <c r="AT141" i="1"/>
  <c r="AT142" i="1"/>
  <c r="AT143" i="1"/>
  <c r="AT144" i="1"/>
  <c r="AT145" i="1"/>
  <c r="AT146" i="1"/>
  <c r="AT147" i="1"/>
  <c r="AT148" i="1"/>
  <c r="AT149" i="1"/>
  <c r="AT150" i="1"/>
  <c r="AT151" i="1"/>
  <c r="AT152" i="1"/>
  <c r="AT153" i="1"/>
  <c r="AT154" i="1"/>
  <c r="AT155" i="1"/>
  <c r="AT156" i="1"/>
  <c r="AT157" i="1"/>
  <c r="AT158" i="1"/>
  <c r="AT159" i="1"/>
  <c r="AT160" i="1"/>
  <c r="AT161" i="1"/>
  <c r="AT162" i="1"/>
  <c r="AT163" i="1"/>
  <c r="AT164" i="1"/>
  <c r="AT165" i="1"/>
  <c r="AT166" i="1"/>
  <c r="AT167" i="1"/>
  <c r="AT168" i="1"/>
  <c r="AT169" i="1"/>
  <c r="AT170" i="1"/>
  <c r="AT171" i="1"/>
  <c r="AT172" i="1"/>
  <c r="AT173" i="1"/>
  <c r="AT174" i="1"/>
  <c r="AT175" i="1"/>
  <c r="AT176" i="1"/>
  <c r="AT177" i="1"/>
  <c r="AT178" i="1"/>
  <c r="AT179" i="1"/>
  <c r="AT180" i="1"/>
  <c r="AT181" i="1"/>
  <c r="AT182" i="1"/>
  <c r="AT183" i="1"/>
  <c r="AT184" i="1"/>
  <c r="AT185" i="1"/>
  <c r="AT186" i="1"/>
  <c r="AT187" i="1"/>
  <c r="AT188" i="1"/>
  <c r="AT189" i="1"/>
  <c r="AT190" i="1"/>
  <c r="AT191" i="1"/>
  <c r="AT192" i="1"/>
  <c r="AT193" i="1"/>
  <c r="AT194" i="1"/>
  <c r="AT195" i="1"/>
  <c r="AT196" i="1"/>
  <c r="AT197" i="1"/>
  <c r="AT198" i="1"/>
  <c r="AT199" i="1"/>
  <c r="AT200" i="1"/>
  <c r="AT201" i="1"/>
  <c r="AT202" i="1"/>
  <c r="AT203" i="1"/>
  <c r="AT204" i="1"/>
  <c r="AT205" i="1"/>
  <c r="AT206" i="1"/>
  <c r="AT207" i="1"/>
  <c r="AT208" i="1"/>
  <c r="AT209" i="1"/>
  <c r="AT210" i="1"/>
  <c r="AT211" i="1"/>
  <c r="AT212" i="1"/>
  <c r="AT213" i="1"/>
  <c r="AT214" i="1"/>
  <c r="AT215" i="1"/>
  <c r="AT216" i="1"/>
  <c r="AT217" i="1"/>
  <c r="AT218" i="1"/>
  <c r="AT219" i="1"/>
  <c r="AT220" i="1"/>
  <c r="AT221" i="1"/>
  <c r="AT222" i="1"/>
  <c r="AT223" i="1"/>
  <c r="AT224" i="1"/>
  <c r="AT225" i="1"/>
  <c r="AT226" i="1"/>
  <c r="AT227" i="1"/>
  <c r="AT228" i="1"/>
  <c r="AT229" i="1"/>
  <c r="AT230" i="1"/>
  <c r="AT231" i="1"/>
  <c r="AT232" i="1"/>
  <c r="AT233" i="1"/>
  <c r="AT234" i="1"/>
  <c r="AT235" i="1"/>
  <c r="AT236" i="1"/>
  <c r="AT237" i="1"/>
  <c r="AT238" i="1"/>
  <c r="AT239" i="1"/>
  <c r="AT240" i="1"/>
  <c r="AT241" i="1"/>
  <c r="AT242" i="1"/>
  <c r="AT243" i="1"/>
  <c r="AT244" i="1"/>
  <c r="AT245" i="1"/>
  <c r="AT246" i="1"/>
  <c r="AT247" i="1"/>
  <c r="AT248" i="1"/>
  <c r="AT249" i="1"/>
  <c r="AT250" i="1"/>
  <c r="AT251" i="1"/>
  <c r="AT252" i="1"/>
  <c r="AT253" i="1"/>
  <c r="AT254" i="1"/>
  <c r="AT255" i="1"/>
  <c r="AT256" i="1"/>
  <c r="AT257" i="1"/>
  <c r="AT258" i="1"/>
  <c r="AT259" i="1"/>
  <c r="AT260" i="1"/>
  <c r="AT262" i="1"/>
  <c r="AT263" i="1"/>
  <c r="AT264" i="1"/>
  <c r="AT265" i="1"/>
  <c r="AT266" i="1"/>
  <c r="AT267" i="1"/>
  <c r="AT268" i="1"/>
  <c r="AT269" i="1"/>
  <c r="AT270" i="1"/>
  <c r="AT271" i="1"/>
  <c r="AT272" i="1"/>
  <c r="AT273" i="1"/>
  <c r="AT274" i="1"/>
  <c r="AT275" i="1"/>
  <c r="AT276" i="1"/>
  <c r="AT277" i="1"/>
  <c r="AT278" i="1"/>
  <c r="AT279" i="1"/>
  <c r="AT280" i="1"/>
  <c r="AT281" i="1"/>
  <c r="AT282" i="1"/>
  <c r="AT283" i="1"/>
  <c r="AT284" i="1"/>
  <c r="AT285" i="1"/>
  <c r="AT286" i="1"/>
  <c r="AT287" i="1"/>
  <c r="AT288" i="1"/>
  <c r="AT289" i="1"/>
  <c r="AT290" i="1"/>
  <c r="AT291" i="1"/>
  <c r="AT292" i="1"/>
  <c r="AT293" i="1"/>
  <c r="AT294" i="1"/>
  <c r="AT295" i="1"/>
  <c r="AT296" i="1"/>
  <c r="AT297" i="1"/>
  <c r="AT298" i="1"/>
  <c r="AT299" i="1"/>
  <c r="AT300" i="1"/>
  <c r="AT301" i="1"/>
  <c r="AT302" i="1"/>
  <c r="AT2" i="1"/>
  <c r="AR3" i="1"/>
  <c r="AR4" i="1"/>
  <c r="AR5" i="1"/>
  <c r="AR6" i="1"/>
  <c r="AR7" i="1"/>
  <c r="AR8" i="1"/>
  <c r="AR9" i="1"/>
  <c r="AR10" i="1"/>
  <c r="AR11" i="1"/>
  <c r="AR12" i="1"/>
  <c r="AR13" i="1"/>
  <c r="AR14" i="1"/>
  <c r="AR15" i="1"/>
  <c r="AR16" i="1"/>
  <c r="AR17" i="1"/>
  <c r="AR18" i="1"/>
  <c r="AR19" i="1"/>
  <c r="AR20" i="1"/>
  <c r="AR21" i="1"/>
  <c r="AR22" i="1"/>
  <c r="AR23" i="1"/>
  <c r="AR24" i="1"/>
  <c r="AR25" i="1"/>
  <c r="AR26" i="1"/>
  <c r="AR27" i="1"/>
  <c r="AR28" i="1"/>
  <c r="AR29" i="1"/>
  <c r="AR30" i="1"/>
  <c r="AR31" i="1"/>
  <c r="AR32" i="1"/>
  <c r="AR33" i="1"/>
  <c r="AR34" i="1"/>
  <c r="AR35" i="1"/>
  <c r="AR36" i="1"/>
  <c r="AR37" i="1"/>
  <c r="AR38" i="1"/>
  <c r="AR39" i="1"/>
  <c r="AR40" i="1"/>
  <c r="AR41" i="1"/>
  <c r="AR42" i="1"/>
  <c r="AR43" i="1"/>
  <c r="AR44" i="1"/>
  <c r="AR45" i="1"/>
  <c r="AR46" i="1"/>
  <c r="AR47" i="1"/>
  <c r="AR48" i="1"/>
  <c r="AR49" i="1"/>
  <c r="AR50" i="1"/>
  <c r="AR51" i="1"/>
  <c r="AR52" i="1"/>
  <c r="AR53" i="1"/>
  <c r="AR54" i="1"/>
  <c r="AR55" i="1"/>
  <c r="AR56" i="1"/>
  <c r="AR57" i="1"/>
  <c r="AR58" i="1"/>
  <c r="AR59" i="1"/>
  <c r="AR60" i="1"/>
  <c r="AR61" i="1"/>
  <c r="AR62" i="1"/>
  <c r="AR63" i="1"/>
  <c r="AR64" i="1"/>
  <c r="AR65" i="1"/>
  <c r="AR66" i="1"/>
  <c r="AR67" i="1"/>
  <c r="AR68" i="1"/>
  <c r="AR69" i="1"/>
  <c r="AR70" i="1"/>
  <c r="AR71" i="1"/>
  <c r="AR72" i="1"/>
  <c r="AR73" i="1"/>
  <c r="AR74" i="1"/>
  <c r="AR75" i="1"/>
  <c r="AR76" i="1"/>
  <c r="AR77" i="1"/>
  <c r="AR78" i="1"/>
  <c r="AR79" i="1"/>
  <c r="AR80" i="1"/>
  <c r="AR81" i="1"/>
  <c r="AR82" i="1"/>
  <c r="AR83" i="1"/>
  <c r="AR84" i="1"/>
  <c r="AR85" i="1"/>
  <c r="AR86" i="1"/>
  <c r="AR87" i="1"/>
  <c r="AR88" i="1"/>
  <c r="AR89" i="1"/>
  <c r="AR90" i="1"/>
  <c r="AR91" i="1"/>
  <c r="AR92" i="1"/>
  <c r="AR93" i="1"/>
  <c r="AR94" i="1"/>
  <c r="AR95" i="1"/>
  <c r="AR96" i="1"/>
  <c r="AR97" i="1"/>
  <c r="AR98" i="1"/>
  <c r="AR99" i="1"/>
  <c r="AR100" i="1"/>
  <c r="AR101" i="1"/>
  <c r="AR102" i="1"/>
  <c r="AR103" i="1"/>
  <c r="AR104" i="1"/>
  <c r="AR105" i="1"/>
  <c r="AR106" i="1"/>
  <c r="AR107" i="1"/>
  <c r="AR108" i="1"/>
  <c r="AR109" i="1"/>
  <c r="AR110" i="1"/>
  <c r="AR111" i="1"/>
  <c r="AR112" i="1"/>
  <c r="AR113" i="1"/>
  <c r="AR114" i="1"/>
  <c r="AR115" i="1"/>
  <c r="AR116" i="1"/>
  <c r="AR117" i="1"/>
  <c r="AR118" i="1"/>
  <c r="AR119" i="1"/>
  <c r="AR120" i="1"/>
  <c r="AR121" i="1"/>
  <c r="AR122" i="1"/>
  <c r="AR123" i="1"/>
  <c r="AR124" i="1"/>
  <c r="AR125" i="1"/>
  <c r="AR126" i="1"/>
  <c r="AR127" i="1"/>
  <c r="AR128" i="1"/>
  <c r="AR129" i="1"/>
  <c r="AR130" i="1"/>
  <c r="AR131" i="1"/>
  <c r="AR133" i="1"/>
  <c r="AR134" i="1"/>
  <c r="AR135" i="1"/>
  <c r="AR136" i="1"/>
  <c r="AR137" i="1"/>
  <c r="AR138" i="1"/>
  <c r="AR139" i="1"/>
  <c r="AR140" i="1"/>
  <c r="AR141" i="1"/>
  <c r="AR142" i="1"/>
  <c r="AR143" i="1"/>
  <c r="AR144" i="1"/>
  <c r="AR145" i="1"/>
  <c r="AR146" i="1"/>
  <c r="AR147" i="1"/>
  <c r="AR148" i="1"/>
  <c r="AR149" i="1"/>
  <c r="AR150" i="1"/>
  <c r="AR151" i="1"/>
  <c r="AR152" i="1"/>
  <c r="AR153" i="1"/>
  <c r="AR154" i="1"/>
  <c r="AR155" i="1"/>
  <c r="AR156" i="1"/>
  <c r="AR157" i="1"/>
  <c r="AR158" i="1"/>
  <c r="AR159" i="1"/>
  <c r="AR160" i="1"/>
  <c r="AR161" i="1"/>
  <c r="AR162" i="1"/>
  <c r="AR163" i="1"/>
  <c r="AR164" i="1"/>
  <c r="AR165" i="1"/>
  <c r="AR166" i="1"/>
  <c r="AR167" i="1"/>
  <c r="AR168" i="1"/>
  <c r="AR169" i="1"/>
  <c r="AR170" i="1"/>
  <c r="AR171" i="1"/>
  <c r="AR172" i="1"/>
  <c r="AR173" i="1"/>
  <c r="AR174" i="1"/>
  <c r="AR175" i="1"/>
  <c r="AR176" i="1"/>
  <c r="AR177" i="1"/>
  <c r="AR178" i="1"/>
  <c r="AR179" i="1"/>
  <c r="AR180" i="1"/>
  <c r="AR181" i="1"/>
  <c r="AR182" i="1"/>
  <c r="AR183" i="1"/>
  <c r="AR184" i="1"/>
  <c r="AR185" i="1"/>
  <c r="AR186" i="1"/>
  <c r="AR187" i="1"/>
  <c r="AR188" i="1"/>
  <c r="AR189" i="1"/>
  <c r="AR190" i="1"/>
  <c r="AR191" i="1"/>
  <c r="AR192" i="1"/>
  <c r="AR193" i="1"/>
  <c r="AR194" i="1"/>
  <c r="AR195" i="1"/>
  <c r="AR196" i="1"/>
  <c r="AR197" i="1"/>
  <c r="AR198" i="1"/>
  <c r="AR199" i="1"/>
  <c r="AR200" i="1"/>
  <c r="AR201" i="1"/>
  <c r="AR202" i="1"/>
  <c r="AR203" i="1"/>
  <c r="AR204" i="1"/>
  <c r="AR205" i="1"/>
  <c r="AR206" i="1"/>
  <c r="AR207" i="1"/>
  <c r="AR208" i="1"/>
  <c r="AR209" i="1"/>
  <c r="AR210" i="1"/>
  <c r="AR211" i="1"/>
  <c r="AR212" i="1"/>
  <c r="AR213" i="1"/>
  <c r="AR214" i="1"/>
  <c r="AR215" i="1"/>
  <c r="AR216" i="1"/>
  <c r="AR217" i="1"/>
  <c r="AR218" i="1"/>
  <c r="AR219" i="1"/>
  <c r="AR220" i="1"/>
  <c r="AR221" i="1"/>
  <c r="AR222" i="1"/>
  <c r="AR223" i="1"/>
  <c r="AR224" i="1"/>
  <c r="AR225" i="1"/>
  <c r="AR226" i="1"/>
  <c r="AR227" i="1"/>
  <c r="AR228" i="1"/>
  <c r="AR229" i="1"/>
  <c r="AR230" i="1"/>
  <c r="AR231" i="1"/>
  <c r="AR232" i="1"/>
  <c r="AR233" i="1"/>
  <c r="AR234" i="1"/>
  <c r="AR235" i="1"/>
  <c r="AR236" i="1"/>
  <c r="AR237" i="1"/>
  <c r="AR238" i="1"/>
  <c r="AR239" i="1"/>
  <c r="AR240" i="1"/>
  <c r="AR241" i="1"/>
  <c r="AR242" i="1"/>
  <c r="AR243" i="1"/>
  <c r="AR244" i="1"/>
  <c r="AR245" i="1"/>
  <c r="AR246" i="1"/>
  <c r="AR247" i="1"/>
  <c r="AR248" i="1"/>
  <c r="AR249" i="1"/>
  <c r="AR250" i="1"/>
  <c r="AR251" i="1"/>
  <c r="AR252" i="1"/>
  <c r="AR253" i="1"/>
  <c r="AR254" i="1"/>
  <c r="AR255" i="1"/>
  <c r="AR256" i="1"/>
  <c r="AR257" i="1"/>
  <c r="AR258" i="1"/>
  <c r="AR259" i="1"/>
  <c r="AR260" i="1"/>
  <c r="AR262" i="1"/>
  <c r="AR263" i="1"/>
  <c r="AR264" i="1"/>
  <c r="AR265" i="1"/>
  <c r="AR266" i="1"/>
  <c r="AR267" i="1"/>
  <c r="AR268" i="1"/>
  <c r="AR269" i="1"/>
  <c r="AR270" i="1"/>
  <c r="AR271" i="1"/>
  <c r="AR272" i="1"/>
  <c r="AR273" i="1"/>
  <c r="AR274" i="1"/>
  <c r="AR275" i="1"/>
  <c r="AR276" i="1"/>
  <c r="AR277" i="1"/>
  <c r="AR278" i="1"/>
  <c r="AR279" i="1"/>
  <c r="AR280" i="1"/>
  <c r="AR281" i="1"/>
  <c r="AR282" i="1"/>
  <c r="AR283" i="1"/>
  <c r="AR284" i="1"/>
  <c r="AR285" i="1"/>
  <c r="AR286" i="1"/>
  <c r="AR287" i="1"/>
  <c r="AR288" i="1"/>
  <c r="AR289" i="1"/>
  <c r="AR290" i="1"/>
  <c r="AR291" i="1"/>
  <c r="AR292" i="1"/>
  <c r="AR293" i="1"/>
  <c r="AR294" i="1"/>
  <c r="AR295" i="1"/>
  <c r="AR296" i="1"/>
  <c r="AR297" i="1"/>
  <c r="AR298" i="1"/>
  <c r="AR299" i="1"/>
  <c r="AR300" i="1"/>
  <c r="AR301" i="1"/>
  <c r="AR302" i="1"/>
  <c r="AR2" i="1"/>
  <c r="AQ3" i="1"/>
  <c r="AQ4" i="1"/>
  <c r="AQ5" i="1"/>
  <c r="AQ6" i="1"/>
  <c r="AQ7" i="1"/>
  <c r="AQ8" i="1"/>
  <c r="AQ9" i="1"/>
  <c r="AQ10" i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29" i="1"/>
  <c r="AQ30" i="1"/>
  <c r="AQ31" i="1"/>
  <c r="AQ32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2" i="1"/>
  <c r="AN3" i="1"/>
  <c r="AO3" i="1" s="1"/>
  <c r="AN4" i="1"/>
  <c r="AO4" i="1" s="1"/>
  <c r="AN5" i="1"/>
  <c r="AN6" i="1"/>
  <c r="AO6" i="1" s="1"/>
  <c r="AN7" i="1"/>
  <c r="AN8" i="1"/>
  <c r="AN9" i="1"/>
  <c r="AP9" i="1" s="1"/>
  <c r="AN10" i="1"/>
  <c r="AN11" i="1"/>
  <c r="AP11" i="1" s="1"/>
  <c r="AN12" i="1"/>
  <c r="AO12" i="1" s="1"/>
  <c r="AN13" i="1"/>
  <c r="AN14" i="1"/>
  <c r="AO14" i="1" s="1"/>
  <c r="AN15" i="1"/>
  <c r="AO15" i="1" s="1"/>
  <c r="AN16" i="1"/>
  <c r="AN17" i="1"/>
  <c r="AP17" i="1" s="1"/>
  <c r="AN18" i="1"/>
  <c r="AN19" i="1"/>
  <c r="AP19" i="1" s="1"/>
  <c r="AN20" i="1"/>
  <c r="AO20" i="1" s="1"/>
  <c r="AN21" i="1"/>
  <c r="AO21" i="1" s="1"/>
  <c r="AN22" i="1"/>
  <c r="AO22" i="1" s="1"/>
  <c r="AN23" i="1"/>
  <c r="AP23" i="1" s="1"/>
  <c r="AN24" i="1"/>
  <c r="AN25" i="1"/>
  <c r="AP25" i="1" s="1"/>
  <c r="AN26" i="1"/>
  <c r="AN27" i="1"/>
  <c r="AP27" i="1" s="1"/>
  <c r="AN28" i="1"/>
  <c r="AO28" i="1" s="1"/>
  <c r="AN29" i="1"/>
  <c r="AN30" i="1"/>
  <c r="AO30" i="1" s="1"/>
  <c r="AN31" i="1"/>
  <c r="AP31" i="1" s="1"/>
  <c r="AN32" i="1"/>
  <c r="AN33" i="1"/>
  <c r="AP33" i="1" s="1"/>
  <c r="AN34" i="1"/>
  <c r="AN35" i="1"/>
  <c r="AN36" i="1"/>
  <c r="AO36" i="1" s="1"/>
  <c r="AN37" i="1"/>
  <c r="AP37" i="1" s="1"/>
  <c r="AN38" i="1"/>
  <c r="AO38" i="1" s="1"/>
  <c r="AN39" i="1"/>
  <c r="AO39" i="1" s="1"/>
  <c r="AN40" i="1"/>
  <c r="AN41" i="1"/>
  <c r="AP41" i="1" s="1"/>
  <c r="AN42" i="1"/>
  <c r="AN43" i="1"/>
  <c r="AO43" i="1" s="1"/>
  <c r="AN44" i="1"/>
  <c r="AO44" i="1" s="1"/>
  <c r="AN45" i="1"/>
  <c r="AO45" i="1" s="1"/>
  <c r="AN46" i="1"/>
  <c r="AO46" i="1" s="1"/>
  <c r="AN47" i="1"/>
  <c r="AO47" i="1" s="1"/>
  <c r="AN48" i="1"/>
  <c r="AN49" i="1"/>
  <c r="AP49" i="1" s="1"/>
  <c r="AN50" i="1"/>
  <c r="AN51" i="1"/>
  <c r="AP51" i="1" s="1"/>
  <c r="AN52" i="1"/>
  <c r="AO52" i="1" s="1"/>
  <c r="AN53" i="1"/>
  <c r="AP53" i="1" s="1"/>
  <c r="AN54" i="1"/>
  <c r="AO54" i="1" s="1"/>
  <c r="AN55" i="1"/>
  <c r="AN56" i="1"/>
  <c r="AN57" i="1"/>
  <c r="AP57" i="1" s="1"/>
  <c r="AN58" i="1"/>
  <c r="AN59" i="1"/>
  <c r="AN60" i="1"/>
  <c r="AO60" i="1" s="1"/>
  <c r="AN61" i="1"/>
  <c r="AN62" i="1"/>
  <c r="AO62" i="1" s="1"/>
  <c r="AN63" i="1"/>
  <c r="AP63" i="1" s="1"/>
  <c r="AN64" i="1"/>
  <c r="AN65" i="1"/>
  <c r="AP65" i="1" s="1"/>
  <c r="AN66" i="1"/>
  <c r="AN67" i="1"/>
  <c r="AN68" i="1"/>
  <c r="AO68" i="1" s="1"/>
  <c r="AN69" i="1"/>
  <c r="AN70" i="1"/>
  <c r="AO70" i="1" s="1"/>
  <c r="AN71" i="1"/>
  <c r="AN72" i="1"/>
  <c r="AN73" i="1"/>
  <c r="AP73" i="1" s="1"/>
  <c r="AN74" i="1"/>
  <c r="AN75" i="1"/>
  <c r="AP75" i="1" s="1"/>
  <c r="AN76" i="1"/>
  <c r="AO76" i="1" s="1"/>
  <c r="AN77" i="1"/>
  <c r="AP77" i="1" s="1"/>
  <c r="AN78" i="1"/>
  <c r="AO78" i="1" s="1"/>
  <c r="AN79" i="1"/>
  <c r="AP79" i="1" s="1"/>
  <c r="AN80" i="1"/>
  <c r="AN81" i="1"/>
  <c r="AP81" i="1" s="1"/>
  <c r="AN82" i="1"/>
  <c r="AN83" i="1"/>
  <c r="AP83" i="1" s="1"/>
  <c r="AN84" i="1"/>
  <c r="AO84" i="1" s="1"/>
  <c r="AN85" i="1"/>
  <c r="AO85" i="1" s="1"/>
  <c r="AN86" i="1"/>
  <c r="AO86" i="1" s="1"/>
  <c r="AN87" i="1"/>
  <c r="AO87" i="1" s="1"/>
  <c r="AN88" i="1"/>
  <c r="AN89" i="1"/>
  <c r="AP89" i="1" s="1"/>
  <c r="AN90" i="1"/>
  <c r="AN91" i="1"/>
  <c r="AO91" i="1" s="1"/>
  <c r="AN92" i="1"/>
  <c r="AO92" i="1" s="1"/>
  <c r="AN93" i="1"/>
  <c r="AP93" i="1" s="1"/>
  <c r="AN94" i="1"/>
  <c r="AO94" i="1" s="1"/>
  <c r="AN95" i="1"/>
  <c r="AO95" i="1" s="1"/>
  <c r="AN96" i="1"/>
  <c r="AN97" i="1"/>
  <c r="AP97" i="1" s="1"/>
  <c r="AN98" i="1"/>
  <c r="AN99" i="1"/>
  <c r="AN100" i="1"/>
  <c r="AO100" i="1" s="1"/>
  <c r="AN101" i="1"/>
  <c r="AP101" i="1" s="1"/>
  <c r="AN102" i="1"/>
  <c r="AO102" i="1" s="1"/>
  <c r="AN103" i="1"/>
  <c r="AP103" i="1" s="1"/>
  <c r="AN104" i="1"/>
  <c r="AN105" i="1"/>
  <c r="AP105" i="1" s="1"/>
  <c r="AN106" i="1"/>
  <c r="AN107" i="1"/>
  <c r="AO107" i="1" s="1"/>
  <c r="AN108" i="1"/>
  <c r="AO108" i="1" s="1"/>
  <c r="AN109" i="1"/>
  <c r="AN110" i="1"/>
  <c r="AO110" i="1" s="1"/>
  <c r="AN111" i="1"/>
  <c r="AO111" i="1" s="1"/>
  <c r="AN112" i="1"/>
  <c r="AN113" i="1"/>
  <c r="AP113" i="1" s="1"/>
  <c r="AN114" i="1"/>
  <c r="AN115" i="1"/>
  <c r="AO115" i="1" s="1"/>
  <c r="AN116" i="1"/>
  <c r="AO116" i="1" s="1"/>
  <c r="AN117" i="1"/>
  <c r="AP117" i="1" s="1"/>
  <c r="AN118" i="1"/>
  <c r="AO118" i="1" s="1"/>
  <c r="AN119" i="1"/>
  <c r="AP119" i="1" s="1"/>
  <c r="AN120" i="1"/>
  <c r="AN121" i="1"/>
  <c r="AP121" i="1" s="1"/>
  <c r="AN122" i="1"/>
  <c r="AN123" i="1"/>
  <c r="AO123" i="1" s="1"/>
  <c r="AN124" i="1"/>
  <c r="AO124" i="1" s="1"/>
  <c r="AN125" i="1"/>
  <c r="AO125" i="1" s="1"/>
  <c r="AN126" i="1"/>
  <c r="AO126" i="1" s="1"/>
  <c r="AN127" i="1"/>
  <c r="AO127" i="1" s="1"/>
  <c r="AN128" i="1"/>
  <c r="AN129" i="1"/>
  <c r="AP129" i="1" s="1"/>
  <c r="AN130" i="1"/>
  <c r="AN131" i="1"/>
  <c r="AO131" i="1" s="1"/>
  <c r="AN133" i="1"/>
  <c r="AO133" i="1" s="1"/>
  <c r="AN134" i="1"/>
  <c r="AP134" i="1" s="1"/>
  <c r="AN135" i="1"/>
  <c r="AO135" i="1" s="1"/>
  <c r="AN136" i="1"/>
  <c r="AN137" i="1"/>
  <c r="AN138" i="1"/>
  <c r="AP138" i="1" s="1"/>
  <c r="AN139" i="1"/>
  <c r="AN140" i="1"/>
  <c r="AO140" i="1" s="1"/>
  <c r="AN141" i="1"/>
  <c r="AO141" i="1" s="1"/>
  <c r="AN142" i="1"/>
  <c r="AN143" i="1"/>
  <c r="AO143" i="1" s="1"/>
  <c r="AN144" i="1"/>
  <c r="AN145" i="1"/>
  <c r="AN146" i="1"/>
  <c r="AP146" i="1" s="1"/>
  <c r="AN147" i="1"/>
  <c r="AN148" i="1"/>
  <c r="AO148" i="1" s="1"/>
  <c r="AN149" i="1"/>
  <c r="AO149" i="1" s="1"/>
  <c r="AN150" i="1"/>
  <c r="AP150" i="1" s="1"/>
  <c r="AN151" i="1"/>
  <c r="AO151" i="1" s="1"/>
  <c r="AN152" i="1"/>
  <c r="AN153" i="1"/>
  <c r="AN154" i="1"/>
  <c r="AP154" i="1" s="1"/>
  <c r="AN155" i="1"/>
  <c r="AN156" i="1"/>
  <c r="AO156" i="1" s="1"/>
  <c r="AN157" i="1"/>
  <c r="AO157" i="1" s="1"/>
  <c r="AN158" i="1"/>
  <c r="AN159" i="1"/>
  <c r="AP159" i="1" s="1"/>
  <c r="AN160" i="1"/>
  <c r="AN161" i="1"/>
  <c r="AN162" i="1"/>
  <c r="AP162" i="1" s="1"/>
  <c r="AN163" i="1"/>
  <c r="AN164" i="1"/>
  <c r="AO164" i="1" s="1"/>
  <c r="AN165" i="1"/>
  <c r="AO165" i="1" s="1"/>
  <c r="AN166" i="1"/>
  <c r="AN167" i="1"/>
  <c r="AP167" i="1" s="1"/>
  <c r="AN168" i="1"/>
  <c r="AN169" i="1"/>
  <c r="AN170" i="1"/>
  <c r="AP170" i="1" s="1"/>
  <c r="AN171" i="1"/>
  <c r="AN172" i="1"/>
  <c r="AO172" i="1" s="1"/>
  <c r="AN173" i="1"/>
  <c r="AO173" i="1" s="1"/>
  <c r="AN174" i="1"/>
  <c r="AP174" i="1" s="1"/>
  <c r="AN175" i="1"/>
  <c r="AP175" i="1" s="1"/>
  <c r="AN176" i="1"/>
  <c r="AP176" i="1" s="1"/>
  <c r="AN177" i="1"/>
  <c r="AN178" i="1"/>
  <c r="AP178" i="1" s="1"/>
  <c r="AN179" i="1"/>
  <c r="AN180" i="1"/>
  <c r="AO180" i="1" s="1"/>
  <c r="AN181" i="1"/>
  <c r="AO181" i="1" s="1"/>
  <c r="AN182" i="1"/>
  <c r="AP182" i="1" s="1"/>
  <c r="AN183" i="1"/>
  <c r="AP183" i="1" s="1"/>
  <c r="AN184" i="1"/>
  <c r="AN185" i="1"/>
  <c r="AN186" i="1"/>
  <c r="AP186" i="1" s="1"/>
  <c r="AN187" i="1"/>
  <c r="AN188" i="1"/>
  <c r="AO188" i="1" s="1"/>
  <c r="AN189" i="1"/>
  <c r="AO189" i="1" s="1"/>
  <c r="AN190" i="1"/>
  <c r="AO190" i="1" s="1"/>
  <c r="AN191" i="1"/>
  <c r="AP191" i="1" s="1"/>
  <c r="AN192" i="1"/>
  <c r="AO192" i="1" s="1"/>
  <c r="AN193" i="1"/>
  <c r="AN194" i="1"/>
  <c r="AP194" i="1" s="1"/>
  <c r="AN195" i="1"/>
  <c r="AN196" i="1"/>
  <c r="AO196" i="1" s="1"/>
  <c r="AN197" i="1"/>
  <c r="AO197" i="1" s="1"/>
  <c r="AN198" i="1"/>
  <c r="AO198" i="1" s="1"/>
  <c r="AN199" i="1"/>
  <c r="AP199" i="1" s="1"/>
  <c r="AN200" i="1"/>
  <c r="AN201" i="1"/>
  <c r="AN202" i="1"/>
  <c r="AP202" i="1" s="1"/>
  <c r="AN203" i="1"/>
  <c r="AN204" i="1"/>
  <c r="AO204" i="1" s="1"/>
  <c r="AN205" i="1"/>
  <c r="AO205" i="1" s="1"/>
  <c r="AN206" i="1"/>
  <c r="AN207" i="1"/>
  <c r="AP207" i="1" s="1"/>
  <c r="AN208" i="1"/>
  <c r="AN209" i="1"/>
  <c r="AN210" i="1"/>
  <c r="AP210" i="1" s="1"/>
  <c r="AN211" i="1"/>
  <c r="AN212" i="1"/>
  <c r="AO212" i="1" s="1"/>
  <c r="AN213" i="1"/>
  <c r="AO213" i="1" s="1"/>
  <c r="AN214" i="1"/>
  <c r="AP214" i="1" s="1"/>
  <c r="AN215" i="1"/>
  <c r="AP215" i="1" s="1"/>
  <c r="AN216" i="1"/>
  <c r="AO216" i="1" s="1"/>
  <c r="AN217" i="1"/>
  <c r="AN218" i="1"/>
  <c r="AP218" i="1" s="1"/>
  <c r="AN219" i="1"/>
  <c r="AN220" i="1"/>
  <c r="AO220" i="1" s="1"/>
  <c r="AN221" i="1"/>
  <c r="AO221" i="1" s="1"/>
  <c r="AN222" i="1"/>
  <c r="AN223" i="1"/>
  <c r="AP223" i="1" s="1"/>
  <c r="AN224" i="1"/>
  <c r="AO224" i="1" s="1"/>
  <c r="AN225" i="1"/>
  <c r="AN226" i="1"/>
  <c r="AP226" i="1" s="1"/>
  <c r="AN227" i="1"/>
  <c r="AN228" i="1"/>
  <c r="AO228" i="1" s="1"/>
  <c r="AN229" i="1"/>
  <c r="AO229" i="1" s="1"/>
  <c r="AN230" i="1"/>
  <c r="AN231" i="1"/>
  <c r="AP231" i="1" s="1"/>
  <c r="AN232" i="1"/>
  <c r="AO232" i="1" s="1"/>
  <c r="AN233" i="1"/>
  <c r="AN234" i="1"/>
  <c r="AP234" i="1" s="1"/>
  <c r="AN235" i="1"/>
  <c r="AN236" i="1"/>
  <c r="AO236" i="1" s="1"/>
  <c r="AN237" i="1"/>
  <c r="AO237" i="1" s="1"/>
  <c r="AN238" i="1"/>
  <c r="AN239" i="1"/>
  <c r="AP239" i="1" s="1"/>
  <c r="AN240" i="1"/>
  <c r="AN241" i="1"/>
  <c r="AN242" i="1"/>
  <c r="AP242" i="1" s="1"/>
  <c r="AN243" i="1"/>
  <c r="AN244" i="1"/>
  <c r="AO244" i="1" s="1"/>
  <c r="AN245" i="1"/>
  <c r="AO245" i="1" s="1"/>
  <c r="AN246" i="1"/>
  <c r="AP246" i="1" s="1"/>
  <c r="AN247" i="1"/>
  <c r="AP247" i="1" s="1"/>
  <c r="AN248" i="1"/>
  <c r="AN249" i="1"/>
  <c r="AN250" i="1"/>
  <c r="AP250" i="1" s="1"/>
  <c r="AN251" i="1"/>
  <c r="AN252" i="1"/>
  <c r="AO252" i="1" s="1"/>
  <c r="AN253" i="1"/>
  <c r="AO253" i="1" s="1"/>
  <c r="AN254" i="1"/>
  <c r="AP254" i="1" s="1"/>
  <c r="AN255" i="1"/>
  <c r="AP255" i="1" s="1"/>
  <c r="AN256" i="1"/>
  <c r="AO256" i="1" s="1"/>
  <c r="AN257" i="1"/>
  <c r="AN258" i="1"/>
  <c r="AP258" i="1" s="1"/>
  <c r="AN259" i="1"/>
  <c r="AN260" i="1"/>
  <c r="AO260" i="1" s="1"/>
  <c r="AN262" i="1"/>
  <c r="AO262" i="1" s="1"/>
  <c r="AN263" i="1"/>
  <c r="AN264" i="1"/>
  <c r="AP264" i="1" s="1"/>
  <c r="AN265" i="1"/>
  <c r="AN266" i="1"/>
  <c r="AN267" i="1"/>
  <c r="AP267" i="1" s="1"/>
  <c r="AN268" i="1"/>
  <c r="AN269" i="1"/>
  <c r="AO269" i="1" s="1"/>
  <c r="AN270" i="1"/>
  <c r="AO270" i="1" s="1"/>
  <c r="AN271" i="1"/>
  <c r="AN272" i="1"/>
  <c r="AP272" i="1" s="1"/>
  <c r="AN273" i="1"/>
  <c r="AN274" i="1"/>
  <c r="AN275" i="1"/>
  <c r="AP275" i="1" s="1"/>
  <c r="AN276" i="1"/>
  <c r="AN277" i="1"/>
  <c r="AO277" i="1" s="1"/>
  <c r="AN278" i="1"/>
  <c r="AO278" i="1" s="1"/>
  <c r="AN279" i="1"/>
  <c r="AP279" i="1" s="1"/>
  <c r="AN280" i="1"/>
  <c r="AP280" i="1" s="1"/>
  <c r="AN281" i="1"/>
  <c r="AN282" i="1"/>
  <c r="AN283" i="1"/>
  <c r="AP283" i="1" s="1"/>
  <c r="AN284" i="1"/>
  <c r="AN285" i="1"/>
  <c r="AO285" i="1" s="1"/>
  <c r="AN286" i="1"/>
  <c r="AO286" i="1" s="1"/>
  <c r="AN287" i="1"/>
  <c r="AN288" i="1"/>
  <c r="AP288" i="1" s="1"/>
  <c r="AN289" i="1"/>
  <c r="AO289" i="1" s="1"/>
  <c r="AN290" i="1"/>
  <c r="AN291" i="1"/>
  <c r="AP291" i="1" s="1"/>
  <c r="AN292" i="1"/>
  <c r="AN293" i="1"/>
  <c r="AO293" i="1" s="1"/>
  <c r="AN294" i="1"/>
  <c r="AO294" i="1" s="1"/>
  <c r="AN295" i="1"/>
  <c r="AN296" i="1"/>
  <c r="AP296" i="1" s="1"/>
  <c r="AN297" i="1"/>
  <c r="AP297" i="1" s="1"/>
  <c r="AN298" i="1"/>
  <c r="AN299" i="1"/>
  <c r="AP299" i="1" s="1"/>
  <c r="AN300" i="1"/>
  <c r="AN301" i="1"/>
  <c r="AO301" i="1" s="1"/>
  <c r="AN302" i="1"/>
  <c r="AO302" i="1" s="1"/>
  <c r="AN2" i="1"/>
  <c r="AO2" i="1" s="1"/>
  <c r="AL4" i="1"/>
  <c r="AL60" i="1"/>
  <c r="AL136" i="1"/>
  <c r="AL145" i="1"/>
  <c r="AL192" i="1"/>
  <c r="AL198" i="1"/>
  <c r="AL202" i="1"/>
  <c r="AL268" i="1"/>
  <c r="AB4" i="1"/>
  <c r="AB60" i="1"/>
  <c r="AB136" i="1"/>
  <c r="AB145" i="1"/>
  <c r="AB192" i="1"/>
  <c r="AB198" i="1"/>
  <c r="AB202" i="1"/>
  <c r="AB268" i="1"/>
  <c r="AJ3" i="1"/>
  <c r="AK3" i="1"/>
  <c r="AJ4" i="1"/>
  <c r="AK4" i="1"/>
  <c r="AJ5" i="1"/>
  <c r="AK5" i="1"/>
  <c r="AJ6" i="1"/>
  <c r="AK6" i="1"/>
  <c r="AJ7" i="1"/>
  <c r="AK7" i="1"/>
  <c r="AJ8" i="1"/>
  <c r="AK8" i="1"/>
  <c r="AJ9" i="1"/>
  <c r="AK9" i="1"/>
  <c r="AJ10" i="1"/>
  <c r="AK10" i="1"/>
  <c r="AJ11" i="1"/>
  <c r="AK11" i="1"/>
  <c r="AJ12" i="1"/>
  <c r="AK12" i="1"/>
  <c r="AJ13" i="1"/>
  <c r="AK13" i="1"/>
  <c r="AJ14" i="1"/>
  <c r="AK14" i="1"/>
  <c r="AJ15" i="1"/>
  <c r="AK15" i="1"/>
  <c r="AJ16" i="1"/>
  <c r="AK16" i="1"/>
  <c r="AJ17" i="1"/>
  <c r="AK17" i="1"/>
  <c r="AJ18" i="1"/>
  <c r="AK18" i="1"/>
  <c r="AJ19" i="1"/>
  <c r="AK19" i="1"/>
  <c r="AJ20" i="1"/>
  <c r="AK20" i="1"/>
  <c r="AJ21" i="1"/>
  <c r="AK21" i="1"/>
  <c r="AJ22" i="1"/>
  <c r="AK22" i="1"/>
  <c r="AJ23" i="1"/>
  <c r="AK23" i="1"/>
  <c r="AJ24" i="1"/>
  <c r="AK24" i="1"/>
  <c r="AJ25" i="1"/>
  <c r="AK25" i="1"/>
  <c r="AJ26" i="1"/>
  <c r="AK26" i="1"/>
  <c r="AJ27" i="1"/>
  <c r="AK27" i="1"/>
  <c r="AJ28" i="1"/>
  <c r="AK28" i="1"/>
  <c r="AJ29" i="1"/>
  <c r="AK29" i="1"/>
  <c r="AJ30" i="1"/>
  <c r="AK30" i="1"/>
  <c r="AJ31" i="1"/>
  <c r="AK31" i="1"/>
  <c r="AJ32" i="1"/>
  <c r="AK32" i="1"/>
  <c r="AJ33" i="1"/>
  <c r="AK33" i="1"/>
  <c r="AJ34" i="1"/>
  <c r="AK34" i="1"/>
  <c r="AJ35" i="1"/>
  <c r="AK35" i="1"/>
  <c r="AJ36" i="1"/>
  <c r="AK36" i="1"/>
  <c r="AJ37" i="1"/>
  <c r="AK37" i="1"/>
  <c r="AJ38" i="1"/>
  <c r="AK38" i="1"/>
  <c r="AJ39" i="1"/>
  <c r="AK39" i="1"/>
  <c r="AJ40" i="1"/>
  <c r="AK40" i="1"/>
  <c r="AJ41" i="1"/>
  <c r="AK41" i="1"/>
  <c r="AJ42" i="1"/>
  <c r="AK42" i="1"/>
  <c r="AJ43" i="1"/>
  <c r="AK43" i="1"/>
  <c r="AJ44" i="1"/>
  <c r="AK44" i="1"/>
  <c r="AJ45" i="1"/>
  <c r="AK45" i="1"/>
  <c r="AJ46" i="1"/>
  <c r="AK46" i="1"/>
  <c r="AJ47" i="1"/>
  <c r="AK47" i="1"/>
  <c r="AJ48" i="1"/>
  <c r="AK48" i="1"/>
  <c r="AJ49" i="1"/>
  <c r="AK49" i="1"/>
  <c r="AJ50" i="1"/>
  <c r="AK50" i="1"/>
  <c r="AJ51" i="1"/>
  <c r="AK51" i="1"/>
  <c r="AJ52" i="1"/>
  <c r="AK52" i="1"/>
  <c r="AJ53" i="1"/>
  <c r="AK53" i="1"/>
  <c r="AJ54" i="1"/>
  <c r="AK54" i="1"/>
  <c r="AJ55" i="1"/>
  <c r="AK55" i="1"/>
  <c r="AJ56" i="1"/>
  <c r="AK56" i="1"/>
  <c r="AJ57" i="1"/>
  <c r="AK57" i="1"/>
  <c r="AJ58" i="1"/>
  <c r="AK58" i="1"/>
  <c r="AJ59" i="1"/>
  <c r="AK59" i="1"/>
  <c r="AJ60" i="1"/>
  <c r="AK60" i="1"/>
  <c r="AJ61" i="1"/>
  <c r="AK61" i="1"/>
  <c r="AJ62" i="1"/>
  <c r="AK62" i="1"/>
  <c r="AJ63" i="1"/>
  <c r="AK63" i="1"/>
  <c r="AJ64" i="1"/>
  <c r="AK64" i="1"/>
  <c r="AJ65" i="1"/>
  <c r="AK65" i="1"/>
  <c r="AJ66" i="1"/>
  <c r="AK66" i="1"/>
  <c r="AJ67" i="1"/>
  <c r="AK67" i="1"/>
  <c r="AJ68" i="1"/>
  <c r="AK68" i="1"/>
  <c r="AJ69" i="1"/>
  <c r="AK69" i="1"/>
  <c r="AJ70" i="1"/>
  <c r="AK70" i="1"/>
  <c r="AJ71" i="1"/>
  <c r="AK71" i="1"/>
  <c r="AJ72" i="1"/>
  <c r="AK72" i="1"/>
  <c r="AJ73" i="1"/>
  <c r="AK73" i="1"/>
  <c r="AJ74" i="1"/>
  <c r="AK74" i="1"/>
  <c r="AJ75" i="1"/>
  <c r="AK75" i="1"/>
  <c r="AJ76" i="1"/>
  <c r="AK76" i="1"/>
  <c r="AJ77" i="1"/>
  <c r="AK77" i="1"/>
  <c r="AJ78" i="1"/>
  <c r="AK78" i="1"/>
  <c r="AJ79" i="1"/>
  <c r="AK79" i="1"/>
  <c r="AJ80" i="1"/>
  <c r="AK80" i="1"/>
  <c r="AJ81" i="1"/>
  <c r="AK81" i="1"/>
  <c r="AJ82" i="1"/>
  <c r="AK82" i="1"/>
  <c r="AJ83" i="1"/>
  <c r="AK83" i="1"/>
  <c r="AJ84" i="1"/>
  <c r="AK84" i="1"/>
  <c r="AJ85" i="1"/>
  <c r="AK85" i="1"/>
  <c r="AJ86" i="1"/>
  <c r="AK86" i="1"/>
  <c r="AJ87" i="1"/>
  <c r="AK87" i="1"/>
  <c r="AJ88" i="1"/>
  <c r="AK88" i="1"/>
  <c r="AJ89" i="1"/>
  <c r="AK89" i="1"/>
  <c r="AJ90" i="1"/>
  <c r="AK90" i="1"/>
  <c r="AJ91" i="1"/>
  <c r="AK91" i="1"/>
  <c r="AJ92" i="1"/>
  <c r="AK92" i="1"/>
  <c r="AJ93" i="1"/>
  <c r="AK93" i="1"/>
  <c r="AJ94" i="1"/>
  <c r="AK94" i="1"/>
  <c r="AJ95" i="1"/>
  <c r="AK95" i="1"/>
  <c r="AJ96" i="1"/>
  <c r="AK96" i="1"/>
  <c r="AJ97" i="1"/>
  <c r="AK97" i="1"/>
  <c r="AJ98" i="1"/>
  <c r="AK98" i="1"/>
  <c r="AJ99" i="1"/>
  <c r="AK99" i="1"/>
  <c r="AJ100" i="1"/>
  <c r="AK100" i="1"/>
  <c r="AJ101" i="1"/>
  <c r="AK101" i="1"/>
  <c r="AJ102" i="1"/>
  <c r="AK102" i="1"/>
  <c r="AJ103" i="1"/>
  <c r="AK103" i="1"/>
  <c r="AJ104" i="1"/>
  <c r="AK104" i="1"/>
  <c r="AJ105" i="1"/>
  <c r="AK105" i="1"/>
  <c r="AJ106" i="1"/>
  <c r="AK106" i="1"/>
  <c r="AJ107" i="1"/>
  <c r="AK107" i="1"/>
  <c r="AJ108" i="1"/>
  <c r="AK108" i="1"/>
  <c r="AJ109" i="1"/>
  <c r="AK109" i="1"/>
  <c r="AJ110" i="1"/>
  <c r="AK110" i="1"/>
  <c r="AJ111" i="1"/>
  <c r="AK111" i="1"/>
  <c r="AJ112" i="1"/>
  <c r="AK112" i="1"/>
  <c r="AJ113" i="1"/>
  <c r="AK113" i="1"/>
  <c r="AJ114" i="1"/>
  <c r="AK114" i="1"/>
  <c r="AJ115" i="1"/>
  <c r="AK115" i="1"/>
  <c r="AJ116" i="1"/>
  <c r="AK116" i="1"/>
  <c r="AJ117" i="1"/>
  <c r="AK117" i="1"/>
  <c r="AJ118" i="1"/>
  <c r="AK118" i="1"/>
  <c r="AJ119" i="1"/>
  <c r="AK119" i="1"/>
  <c r="AJ120" i="1"/>
  <c r="AK120" i="1"/>
  <c r="AJ121" i="1"/>
  <c r="AK121" i="1"/>
  <c r="AJ122" i="1"/>
  <c r="AK122" i="1"/>
  <c r="AJ123" i="1"/>
  <c r="AK123" i="1"/>
  <c r="AJ124" i="1"/>
  <c r="AK124" i="1"/>
  <c r="AJ125" i="1"/>
  <c r="AK125" i="1"/>
  <c r="AJ126" i="1"/>
  <c r="AK126" i="1"/>
  <c r="AJ127" i="1"/>
  <c r="AK127" i="1"/>
  <c r="AJ128" i="1"/>
  <c r="AK128" i="1"/>
  <c r="AJ129" i="1"/>
  <c r="AK129" i="1"/>
  <c r="AJ130" i="1"/>
  <c r="AK130" i="1"/>
  <c r="AJ131" i="1"/>
  <c r="AK131" i="1"/>
  <c r="AJ133" i="1"/>
  <c r="AK133" i="1"/>
  <c r="AJ134" i="1"/>
  <c r="AK134" i="1"/>
  <c r="AJ135" i="1"/>
  <c r="AK135" i="1"/>
  <c r="AJ136" i="1"/>
  <c r="AK136" i="1"/>
  <c r="AJ137" i="1"/>
  <c r="AK137" i="1"/>
  <c r="AJ138" i="1"/>
  <c r="AK138" i="1"/>
  <c r="AJ139" i="1"/>
  <c r="AK139" i="1"/>
  <c r="AJ140" i="1"/>
  <c r="AK140" i="1"/>
  <c r="AJ141" i="1"/>
  <c r="AK141" i="1"/>
  <c r="AJ142" i="1"/>
  <c r="AK142" i="1"/>
  <c r="AJ143" i="1"/>
  <c r="AK143" i="1"/>
  <c r="AJ144" i="1"/>
  <c r="AK144" i="1"/>
  <c r="AJ145" i="1"/>
  <c r="AK145" i="1"/>
  <c r="AJ146" i="1"/>
  <c r="AK146" i="1"/>
  <c r="AJ147" i="1"/>
  <c r="AK147" i="1"/>
  <c r="AJ148" i="1"/>
  <c r="AK148" i="1"/>
  <c r="AJ149" i="1"/>
  <c r="AK149" i="1"/>
  <c r="AJ150" i="1"/>
  <c r="AK150" i="1"/>
  <c r="AJ151" i="1"/>
  <c r="AK151" i="1"/>
  <c r="AJ152" i="1"/>
  <c r="AK152" i="1"/>
  <c r="AJ153" i="1"/>
  <c r="AK153" i="1"/>
  <c r="AJ154" i="1"/>
  <c r="AK154" i="1"/>
  <c r="AJ155" i="1"/>
  <c r="AK155" i="1"/>
  <c r="AJ156" i="1"/>
  <c r="AK156" i="1"/>
  <c r="AJ157" i="1"/>
  <c r="AK157" i="1"/>
  <c r="AJ158" i="1"/>
  <c r="AK158" i="1"/>
  <c r="AJ159" i="1"/>
  <c r="AK159" i="1"/>
  <c r="AJ160" i="1"/>
  <c r="AK160" i="1"/>
  <c r="AJ161" i="1"/>
  <c r="AK161" i="1"/>
  <c r="AJ162" i="1"/>
  <c r="AK162" i="1"/>
  <c r="AJ163" i="1"/>
  <c r="AK163" i="1"/>
  <c r="AJ164" i="1"/>
  <c r="AK164" i="1"/>
  <c r="AJ165" i="1"/>
  <c r="AK165" i="1"/>
  <c r="AJ166" i="1"/>
  <c r="AK166" i="1"/>
  <c r="AJ167" i="1"/>
  <c r="AK167" i="1"/>
  <c r="AJ168" i="1"/>
  <c r="AK168" i="1"/>
  <c r="AJ169" i="1"/>
  <c r="AK169" i="1"/>
  <c r="AJ170" i="1"/>
  <c r="AK170" i="1"/>
  <c r="AJ171" i="1"/>
  <c r="AK171" i="1"/>
  <c r="AJ172" i="1"/>
  <c r="AK172" i="1"/>
  <c r="AJ173" i="1"/>
  <c r="AK173" i="1"/>
  <c r="AJ174" i="1"/>
  <c r="AK174" i="1"/>
  <c r="AJ175" i="1"/>
  <c r="AK175" i="1"/>
  <c r="AJ176" i="1"/>
  <c r="AK176" i="1"/>
  <c r="AJ177" i="1"/>
  <c r="AK177" i="1"/>
  <c r="AJ178" i="1"/>
  <c r="AK178" i="1"/>
  <c r="AJ179" i="1"/>
  <c r="AK179" i="1"/>
  <c r="AJ180" i="1"/>
  <c r="AK180" i="1"/>
  <c r="AJ181" i="1"/>
  <c r="AK181" i="1"/>
  <c r="AJ182" i="1"/>
  <c r="AK182" i="1"/>
  <c r="AJ183" i="1"/>
  <c r="AK183" i="1"/>
  <c r="AJ184" i="1"/>
  <c r="AK184" i="1"/>
  <c r="AJ185" i="1"/>
  <c r="AK185" i="1"/>
  <c r="AJ186" i="1"/>
  <c r="AK186" i="1"/>
  <c r="AJ187" i="1"/>
  <c r="AK187" i="1"/>
  <c r="AJ188" i="1"/>
  <c r="AK188" i="1"/>
  <c r="AJ189" i="1"/>
  <c r="AK189" i="1"/>
  <c r="AJ190" i="1"/>
  <c r="AK190" i="1"/>
  <c r="AJ191" i="1"/>
  <c r="AK191" i="1"/>
  <c r="AJ192" i="1"/>
  <c r="AK192" i="1"/>
  <c r="AJ193" i="1"/>
  <c r="AK193" i="1"/>
  <c r="AJ194" i="1"/>
  <c r="AK194" i="1"/>
  <c r="AJ195" i="1"/>
  <c r="AK195" i="1"/>
  <c r="AJ196" i="1"/>
  <c r="AK196" i="1"/>
  <c r="AJ197" i="1"/>
  <c r="AK197" i="1"/>
  <c r="AJ198" i="1"/>
  <c r="AK198" i="1"/>
  <c r="AJ199" i="1"/>
  <c r="AK199" i="1"/>
  <c r="AJ200" i="1"/>
  <c r="AK200" i="1"/>
  <c r="AJ201" i="1"/>
  <c r="AK201" i="1"/>
  <c r="AJ202" i="1"/>
  <c r="AK202" i="1"/>
  <c r="AJ203" i="1"/>
  <c r="AK203" i="1"/>
  <c r="AJ204" i="1"/>
  <c r="AK204" i="1"/>
  <c r="AJ205" i="1"/>
  <c r="AK205" i="1"/>
  <c r="AJ206" i="1"/>
  <c r="AK206" i="1"/>
  <c r="AJ207" i="1"/>
  <c r="AK207" i="1"/>
  <c r="AJ208" i="1"/>
  <c r="AK208" i="1"/>
  <c r="AJ209" i="1"/>
  <c r="AK209" i="1"/>
  <c r="AJ210" i="1"/>
  <c r="AK210" i="1"/>
  <c r="AJ211" i="1"/>
  <c r="AK211" i="1"/>
  <c r="AJ212" i="1"/>
  <c r="AK212" i="1"/>
  <c r="AJ213" i="1"/>
  <c r="AK213" i="1"/>
  <c r="AJ214" i="1"/>
  <c r="AK214" i="1"/>
  <c r="AJ215" i="1"/>
  <c r="AK215" i="1"/>
  <c r="AJ216" i="1"/>
  <c r="AK216" i="1"/>
  <c r="AJ217" i="1"/>
  <c r="AK217" i="1"/>
  <c r="AJ218" i="1"/>
  <c r="AK218" i="1"/>
  <c r="AJ219" i="1"/>
  <c r="AK219" i="1"/>
  <c r="AJ220" i="1"/>
  <c r="AK220" i="1"/>
  <c r="AJ221" i="1"/>
  <c r="AK221" i="1"/>
  <c r="AJ222" i="1"/>
  <c r="AK222" i="1"/>
  <c r="AJ223" i="1"/>
  <c r="AK223" i="1"/>
  <c r="AJ224" i="1"/>
  <c r="AK224" i="1"/>
  <c r="AJ225" i="1"/>
  <c r="AK225" i="1"/>
  <c r="AJ226" i="1"/>
  <c r="AK226" i="1"/>
  <c r="AJ227" i="1"/>
  <c r="AK227" i="1"/>
  <c r="AJ228" i="1"/>
  <c r="AK228" i="1"/>
  <c r="AJ229" i="1"/>
  <c r="AK229" i="1"/>
  <c r="AJ230" i="1"/>
  <c r="AK230" i="1"/>
  <c r="AJ231" i="1"/>
  <c r="AK231" i="1"/>
  <c r="AJ232" i="1"/>
  <c r="AK232" i="1"/>
  <c r="AJ233" i="1"/>
  <c r="AK233" i="1"/>
  <c r="AJ234" i="1"/>
  <c r="AK234" i="1"/>
  <c r="AJ235" i="1"/>
  <c r="AK235" i="1"/>
  <c r="AJ236" i="1"/>
  <c r="AK236" i="1"/>
  <c r="AJ237" i="1"/>
  <c r="AK237" i="1"/>
  <c r="AJ238" i="1"/>
  <c r="AK238" i="1"/>
  <c r="AJ239" i="1"/>
  <c r="AK239" i="1"/>
  <c r="AJ240" i="1"/>
  <c r="AK240" i="1"/>
  <c r="AJ241" i="1"/>
  <c r="AK241" i="1"/>
  <c r="AJ242" i="1"/>
  <c r="AK242" i="1"/>
  <c r="AJ243" i="1"/>
  <c r="AK243" i="1"/>
  <c r="AJ244" i="1"/>
  <c r="AK244" i="1"/>
  <c r="AJ245" i="1"/>
  <c r="AK245" i="1"/>
  <c r="AJ246" i="1"/>
  <c r="AK246" i="1"/>
  <c r="AJ247" i="1"/>
  <c r="AK247" i="1"/>
  <c r="AJ248" i="1"/>
  <c r="AK248" i="1"/>
  <c r="AJ249" i="1"/>
  <c r="AK249" i="1"/>
  <c r="AJ250" i="1"/>
  <c r="AK250" i="1"/>
  <c r="AJ251" i="1"/>
  <c r="AK251" i="1"/>
  <c r="AJ252" i="1"/>
  <c r="AK252" i="1"/>
  <c r="AJ253" i="1"/>
  <c r="AK253" i="1"/>
  <c r="AJ254" i="1"/>
  <c r="AK254" i="1"/>
  <c r="AJ255" i="1"/>
  <c r="AK255" i="1"/>
  <c r="AJ256" i="1"/>
  <c r="AK256" i="1"/>
  <c r="AJ257" i="1"/>
  <c r="AK257" i="1"/>
  <c r="AJ258" i="1"/>
  <c r="AK258" i="1"/>
  <c r="AJ259" i="1"/>
  <c r="AK259" i="1"/>
  <c r="AJ260" i="1"/>
  <c r="AK260" i="1"/>
  <c r="AJ262" i="1"/>
  <c r="AK262" i="1"/>
  <c r="AJ263" i="1"/>
  <c r="AK263" i="1"/>
  <c r="AJ264" i="1"/>
  <c r="AK264" i="1"/>
  <c r="AJ265" i="1"/>
  <c r="AK265" i="1"/>
  <c r="AJ266" i="1"/>
  <c r="AK266" i="1"/>
  <c r="AJ267" i="1"/>
  <c r="AK267" i="1"/>
  <c r="AJ268" i="1"/>
  <c r="AK268" i="1"/>
  <c r="AJ269" i="1"/>
  <c r="AK269" i="1"/>
  <c r="AJ270" i="1"/>
  <c r="AK270" i="1"/>
  <c r="AJ271" i="1"/>
  <c r="AK271" i="1"/>
  <c r="AJ272" i="1"/>
  <c r="AK272" i="1"/>
  <c r="AJ273" i="1"/>
  <c r="AK273" i="1"/>
  <c r="AJ274" i="1"/>
  <c r="AK274" i="1"/>
  <c r="AJ275" i="1"/>
  <c r="AK275" i="1"/>
  <c r="AJ276" i="1"/>
  <c r="AK276" i="1"/>
  <c r="AJ277" i="1"/>
  <c r="AK277" i="1"/>
  <c r="AJ278" i="1"/>
  <c r="AK278" i="1"/>
  <c r="AJ279" i="1"/>
  <c r="AK279" i="1"/>
  <c r="AJ280" i="1"/>
  <c r="AK280" i="1"/>
  <c r="AJ281" i="1"/>
  <c r="AK281" i="1"/>
  <c r="AJ282" i="1"/>
  <c r="AK282" i="1"/>
  <c r="AJ283" i="1"/>
  <c r="AK283" i="1"/>
  <c r="AJ284" i="1"/>
  <c r="AK284" i="1"/>
  <c r="AJ285" i="1"/>
  <c r="AK285" i="1"/>
  <c r="AJ286" i="1"/>
  <c r="AK286" i="1"/>
  <c r="AJ287" i="1"/>
  <c r="AK287" i="1"/>
  <c r="AJ288" i="1"/>
  <c r="AK288" i="1"/>
  <c r="AJ289" i="1"/>
  <c r="AK289" i="1"/>
  <c r="AJ290" i="1"/>
  <c r="AK290" i="1"/>
  <c r="AJ291" i="1"/>
  <c r="AK291" i="1"/>
  <c r="AJ292" i="1"/>
  <c r="AK292" i="1"/>
  <c r="AJ293" i="1"/>
  <c r="AK293" i="1"/>
  <c r="AJ294" i="1"/>
  <c r="AK294" i="1"/>
  <c r="AJ295" i="1"/>
  <c r="AK295" i="1"/>
  <c r="AJ296" i="1"/>
  <c r="AK296" i="1"/>
  <c r="AJ297" i="1"/>
  <c r="AK297" i="1"/>
  <c r="AJ298" i="1"/>
  <c r="AK298" i="1"/>
  <c r="AJ299" i="1"/>
  <c r="AK299" i="1"/>
  <c r="AJ300" i="1"/>
  <c r="AK300" i="1"/>
  <c r="AJ301" i="1"/>
  <c r="AK301" i="1"/>
  <c r="AJ302" i="1"/>
  <c r="AK302" i="1"/>
  <c r="AK2" i="1"/>
  <c r="AJ2" i="1"/>
  <c r="AH3" i="1"/>
  <c r="AH4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H39" i="1"/>
  <c r="AH40" i="1"/>
  <c r="AH41" i="1"/>
  <c r="AH42" i="1"/>
  <c r="AH43" i="1"/>
  <c r="AH44" i="1"/>
  <c r="AH45" i="1"/>
  <c r="AH46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1" i="1"/>
  <c r="AH62" i="1"/>
  <c r="AH63" i="1"/>
  <c r="AH64" i="1"/>
  <c r="AH65" i="1"/>
  <c r="AH66" i="1"/>
  <c r="AH67" i="1"/>
  <c r="AH68" i="1"/>
  <c r="AH69" i="1"/>
  <c r="AH70" i="1"/>
  <c r="AH71" i="1"/>
  <c r="AH72" i="1"/>
  <c r="AH73" i="1"/>
  <c r="AH74" i="1"/>
  <c r="AH75" i="1"/>
  <c r="AH76" i="1"/>
  <c r="AH77" i="1"/>
  <c r="AH78" i="1"/>
  <c r="AH79" i="1"/>
  <c r="AH80" i="1"/>
  <c r="AH81" i="1"/>
  <c r="AH82" i="1"/>
  <c r="AH83" i="1"/>
  <c r="AH84" i="1"/>
  <c r="AH85" i="1"/>
  <c r="AH86" i="1"/>
  <c r="AH87" i="1"/>
  <c r="AH88" i="1"/>
  <c r="AH89" i="1"/>
  <c r="AH90" i="1"/>
  <c r="AH91" i="1"/>
  <c r="AH92" i="1"/>
  <c r="AH93" i="1"/>
  <c r="AH94" i="1"/>
  <c r="AH95" i="1"/>
  <c r="AH96" i="1"/>
  <c r="AH97" i="1"/>
  <c r="AH98" i="1"/>
  <c r="AH99" i="1"/>
  <c r="AH100" i="1"/>
  <c r="AH101" i="1"/>
  <c r="AH102" i="1"/>
  <c r="AH103" i="1"/>
  <c r="AH104" i="1"/>
  <c r="AH105" i="1"/>
  <c r="AH106" i="1"/>
  <c r="AH107" i="1"/>
  <c r="AH108" i="1"/>
  <c r="AH109" i="1"/>
  <c r="AH110" i="1"/>
  <c r="AH111" i="1"/>
  <c r="AH112" i="1"/>
  <c r="AH113" i="1"/>
  <c r="AH114" i="1"/>
  <c r="AH115" i="1"/>
  <c r="AH116" i="1"/>
  <c r="AH117" i="1"/>
  <c r="AH118" i="1"/>
  <c r="AH119" i="1"/>
  <c r="AH120" i="1"/>
  <c r="AH121" i="1"/>
  <c r="AH122" i="1"/>
  <c r="AH123" i="1"/>
  <c r="AH124" i="1"/>
  <c r="AH125" i="1"/>
  <c r="AH126" i="1"/>
  <c r="AH127" i="1"/>
  <c r="AH128" i="1"/>
  <c r="AH129" i="1"/>
  <c r="AH130" i="1"/>
  <c r="AH131" i="1"/>
  <c r="AH133" i="1"/>
  <c r="AH134" i="1"/>
  <c r="AH135" i="1"/>
  <c r="AH136" i="1"/>
  <c r="AH137" i="1"/>
  <c r="AH138" i="1"/>
  <c r="AH139" i="1"/>
  <c r="AH140" i="1"/>
  <c r="AH141" i="1"/>
  <c r="AH142" i="1"/>
  <c r="AH143" i="1"/>
  <c r="AH144" i="1"/>
  <c r="AH145" i="1"/>
  <c r="AH146" i="1"/>
  <c r="AH147" i="1"/>
  <c r="AH148" i="1"/>
  <c r="AH149" i="1"/>
  <c r="AH150" i="1"/>
  <c r="AH151" i="1"/>
  <c r="AH152" i="1"/>
  <c r="AH153" i="1"/>
  <c r="AH154" i="1"/>
  <c r="AH155" i="1"/>
  <c r="AH156" i="1"/>
  <c r="AH157" i="1"/>
  <c r="AH158" i="1"/>
  <c r="AH159" i="1"/>
  <c r="AH160" i="1"/>
  <c r="AH161" i="1"/>
  <c r="AH162" i="1"/>
  <c r="AH163" i="1"/>
  <c r="AH164" i="1"/>
  <c r="AH165" i="1"/>
  <c r="AH166" i="1"/>
  <c r="AH167" i="1"/>
  <c r="AH168" i="1"/>
  <c r="AH169" i="1"/>
  <c r="AH170" i="1"/>
  <c r="AH171" i="1"/>
  <c r="AH172" i="1"/>
  <c r="AH173" i="1"/>
  <c r="AH174" i="1"/>
  <c r="AH175" i="1"/>
  <c r="AH176" i="1"/>
  <c r="AH177" i="1"/>
  <c r="AH178" i="1"/>
  <c r="AH179" i="1"/>
  <c r="AH180" i="1"/>
  <c r="AH181" i="1"/>
  <c r="AH182" i="1"/>
  <c r="AH183" i="1"/>
  <c r="AH184" i="1"/>
  <c r="AH185" i="1"/>
  <c r="AH186" i="1"/>
  <c r="AH187" i="1"/>
  <c r="AH188" i="1"/>
  <c r="AH189" i="1"/>
  <c r="AH190" i="1"/>
  <c r="AH191" i="1"/>
  <c r="AH192" i="1"/>
  <c r="AH193" i="1"/>
  <c r="AH194" i="1"/>
  <c r="AH195" i="1"/>
  <c r="AH196" i="1"/>
  <c r="AH197" i="1"/>
  <c r="AH198" i="1"/>
  <c r="AH199" i="1"/>
  <c r="AH200" i="1"/>
  <c r="AH201" i="1"/>
  <c r="AH202" i="1"/>
  <c r="AH203" i="1"/>
  <c r="AH204" i="1"/>
  <c r="AH205" i="1"/>
  <c r="AH206" i="1"/>
  <c r="AH207" i="1"/>
  <c r="AH208" i="1"/>
  <c r="AH209" i="1"/>
  <c r="AH210" i="1"/>
  <c r="AH211" i="1"/>
  <c r="AH212" i="1"/>
  <c r="AH213" i="1"/>
  <c r="AH214" i="1"/>
  <c r="AH215" i="1"/>
  <c r="AH216" i="1"/>
  <c r="AH217" i="1"/>
  <c r="AH218" i="1"/>
  <c r="AH219" i="1"/>
  <c r="AH220" i="1"/>
  <c r="AH221" i="1"/>
  <c r="AH222" i="1"/>
  <c r="AH223" i="1"/>
  <c r="AH224" i="1"/>
  <c r="AH225" i="1"/>
  <c r="AH226" i="1"/>
  <c r="AH227" i="1"/>
  <c r="AH228" i="1"/>
  <c r="AH229" i="1"/>
  <c r="AH230" i="1"/>
  <c r="AH231" i="1"/>
  <c r="AH232" i="1"/>
  <c r="AH233" i="1"/>
  <c r="AH234" i="1"/>
  <c r="AH235" i="1"/>
  <c r="AH236" i="1"/>
  <c r="AH237" i="1"/>
  <c r="AH238" i="1"/>
  <c r="AH239" i="1"/>
  <c r="AH240" i="1"/>
  <c r="AH241" i="1"/>
  <c r="AH242" i="1"/>
  <c r="AH243" i="1"/>
  <c r="AH244" i="1"/>
  <c r="AH245" i="1"/>
  <c r="AH246" i="1"/>
  <c r="AH247" i="1"/>
  <c r="AH248" i="1"/>
  <c r="AH249" i="1"/>
  <c r="AH250" i="1"/>
  <c r="AH251" i="1"/>
  <c r="AH252" i="1"/>
  <c r="AH253" i="1"/>
  <c r="AH254" i="1"/>
  <c r="AH255" i="1"/>
  <c r="AH256" i="1"/>
  <c r="AH257" i="1"/>
  <c r="AH258" i="1"/>
  <c r="AH259" i="1"/>
  <c r="AH260" i="1"/>
  <c r="AH262" i="1"/>
  <c r="AH263" i="1"/>
  <c r="AH264" i="1"/>
  <c r="AH265" i="1"/>
  <c r="AH266" i="1"/>
  <c r="AH267" i="1"/>
  <c r="AH268" i="1"/>
  <c r="AH269" i="1"/>
  <c r="AH270" i="1"/>
  <c r="AH271" i="1"/>
  <c r="AH272" i="1"/>
  <c r="AH273" i="1"/>
  <c r="AH274" i="1"/>
  <c r="AH275" i="1"/>
  <c r="AH276" i="1"/>
  <c r="AH277" i="1"/>
  <c r="AH278" i="1"/>
  <c r="AH279" i="1"/>
  <c r="AH280" i="1"/>
  <c r="AH281" i="1"/>
  <c r="AH282" i="1"/>
  <c r="AH283" i="1"/>
  <c r="AH284" i="1"/>
  <c r="AH285" i="1"/>
  <c r="AH286" i="1"/>
  <c r="AH287" i="1"/>
  <c r="AH288" i="1"/>
  <c r="AH289" i="1"/>
  <c r="AH290" i="1"/>
  <c r="AH291" i="1"/>
  <c r="AH292" i="1"/>
  <c r="AH293" i="1"/>
  <c r="AH294" i="1"/>
  <c r="AH295" i="1"/>
  <c r="AH296" i="1"/>
  <c r="AH297" i="1"/>
  <c r="AH298" i="1"/>
  <c r="AH299" i="1"/>
  <c r="AH300" i="1"/>
  <c r="AH301" i="1"/>
  <c r="AH302" i="1"/>
  <c r="AH2" i="1"/>
  <c r="AG3" i="1"/>
  <c r="AG4" i="1"/>
  <c r="AG5" i="1"/>
  <c r="AG6" i="1"/>
  <c r="AG7" i="1"/>
  <c r="AG8" i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74" i="1"/>
  <c r="AG75" i="1"/>
  <c r="AG76" i="1"/>
  <c r="AG77" i="1"/>
  <c r="AG78" i="1"/>
  <c r="AG79" i="1"/>
  <c r="AG80" i="1"/>
  <c r="AG81" i="1"/>
  <c r="AG82" i="1"/>
  <c r="AG83" i="1"/>
  <c r="AG84" i="1"/>
  <c r="AG85" i="1"/>
  <c r="AG86" i="1"/>
  <c r="AG87" i="1"/>
  <c r="AG88" i="1"/>
  <c r="AG89" i="1"/>
  <c r="AG90" i="1"/>
  <c r="AG91" i="1"/>
  <c r="AG92" i="1"/>
  <c r="AG93" i="1"/>
  <c r="AG94" i="1"/>
  <c r="AG95" i="1"/>
  <c r="AG96" i="1"/>
  <c r="AG97" i="1"/>
  <c r="AG98" i="1"/>
  <c r="AG99" i="1"/>
  <c r="AG100" i="1"/>
  <c r="AG101" i="1"/>
  <c r="AG102" i="1"/>
  <c r="AG103" i="1"/>
  <c r="AG104" i="1"/>
  <c r="AG105" i="1"/>
  <c r="AG106" i="1"/>
  <c r="AG107" i="1"/>
  <c r="AG108" i="1"/>
  <c r="AG109" i="1"/>
  <c r="AG110" i="1"/>
  <c r="AG111" i="1"/>
  <c r="AG112" i="1"/>
  <c r="AG113" i="1"/>
  <c r="AG114" i="1"/>
  <c r="AG115" i="1"/>
  <c r="AG116" i="1"/>
  <c r="AG117" i="1"/>
  <c r="AG118" i="1"/>
  <c r="AG119" i="1"/>
  <c r="AG120" i="1"/>
  <c r="AG121" i="1"/>
  <c r="AG122" i="1"/>
  <c r="AG123" i="1"/>
  <c r="AG124" i="1"/>
  <c r="AG125" i="1"/>
  <c r="AG126" i="1"/>
  <c r="AG127" i="1"/>
  <c r="AG128" i="1"/>
  <c r="AG129" i="1"/>
  <c r="AG130" i="1"/>
  <c r="AG131" i="1"/>
  <c r="AG133" i="1"/>
  <c r="AG134" i="1"/>
  <c r="AG135" i="1"/>
  <c r="AG136" i="1"/>
  <c r="AG137" i="1"/>
  <c r="AG138" i="1"/>
  <c r="AG139" i="1"/>
  <c r="AG140" i="1"/>
  <c r="AG141" i="1"/>
  <c r="AG142" i="1"/>
  <c r="AG143" i="1"/>
  <c r="AG144" i="1"/>
  <c r="AG145" i="1"/>
  <c r="AG146" i="1"/>
  <c r="AG147" i="1"/>
  <c r="AG148" i="1"/>
  <c r="AG149" i="1"/>
  <c r="AG150" i="1"/>
  <c r="AG151" i="1"/>
  <c r="AG152" i="1"/>
  <c r="AG153" i="1"/>
  <c r="AG154" i="1"/>
  <c r="AG155" i="1"/>
  <c r="AG156" i="1"/>
  <c r="AG157" i="1"/>
  <c r="AG158" i="1"/>
  <c r="AG159" i="1"/>
  <c r="AG160" i="1"/>
  <c r="AG161" i="1"/>
  <c r="AG162" i="1"/>
  <c r="AG163" i="1"/>
  <c r="AG164" i="1"/>
  <c r="AG165" i="1"/>
  <c r="AG166" i="1"/>
  <c r="AG167" i="1"/>
  <c r="AG168" i="1"/>
  <c r="AG169" i="1"/>
  <c r="AG170" i="1"/>
  <c r="AG171" i="1"/>
  <c r="AG172" i="1"/>
  <c r="AG173" i="1"/>
  <c r="AG174" i="1"/>
  <c r="AG175" i="1"/>
  <c r="AG176" i="1"/>
  <c r="AG177" i="1"/>
  <c r="AG178" i="1"/>
  <c r="AG179" i="1"/>
  <c r="AG180" i="1"/>
  <c r="AG181" i="1"/>
  <c r="AG182" i="1"/>
  <c r="AG183" i="1"/>
  <c r="AG184" i="1"/>
  <c r="AG185" i="1"/>
  <c r="AG186" i="1"/>
  <c r="AG187" i="1"/>
  <c r="AG188" i="1"/>
  <c r="AG189" i="1"/>
  <c r="AG190" i="1"/>
  <c r="AG191" i="1"/>
  <c r="AG192" i="1"/>
  <c r="AG193" i="1"/>
  <c r="AG194" i="1"/>
  <c r="AG195" i="1"/>
  <c r="AG196" i="1"/>
  <c r="AG197" i="1"/>
  <c r="AG198" i="1"/>
  <c r="AG199" i="1"/>
  <c r="AG200" i="1"/>
  <c r="AG201" i="1"/>
  <c r="AG202" i="1"/>
  <c r="AG203" i="1"/>
  <c r="AG204" i="1"/>
  <c r="AG205" i="1"/>
  <c r="AG206" i="1"/>
  <c r="AG207" i="1"/>
  <c r="AG208" i="1"/>
  <c r="AG209" i="1"/>
  <c r="AG210" i="1"/>
  <c r="AG211" i="1"/>
  <c r="AG212" i="1"/>
  <c r="AG213" i="1"/>
  <c r="AG214" i="1"/>
  <c r="AG215" i="1"/>
  <c r="AG216" i="1"/>
  <c r="AG217" i="1"/>
  <c r="AG218" i="1"/>
  <c r="AG219" i="1"/>
  <c r="AG220" i="1"/>
  <c r="AG221" i="1"/>
  <c r="AG222" i="1"/>
  <c r="AG223" i="1"/>
  <c r="AG224" i="1"/>
  <c r="AG225" i="1"/>
  <c r="AG226" i="1"/>
  <c r="AG227" i="1"/>
  <c r="AG228" i="1"/>
  <c r="AG229" i="1"/>
  <c r="AG230" i="1"/>
  <c r="AG231" i="1"/>
  <c r="AG232" i="1"/>
  <c r="AG233" i="1"/>
  <c r="AG234" i="1"/>
  <c r="AG235" i="1"/>
  <c r="AG236" i="1"/>
  <c r="AG237" i="1"/>
  <c r="AG238" i="1"/>
  <c r="AG239" i="1"/>
  <c r="AG240" i="1"/>
  <c r="AG241" i="1"/>
  <c r="AG242" i="1"/>
  <c r="AG243" i="1"/>
  <c r="AG244" i="1"/>
  <c r="AG245" i="1"/>
  <c r="AG246" i="1"/>
  <c r="AG247" i="1"/>
  <c r="AG248" i="1"/>
  <c r="AG249" i="1"/>
  <c r="AG250" i="1"/>
  <c r="AG251" i="1"/>
  <c r="AG252" i="1"/>
  <c r="AG253" i="1"/>
  <c r="AG254" i="1"/>
  <c r="AG255" i="1"/>
  <c r="AG256" i="1"/>
  <c r="AG257" i="1"/>
  <c r="AG258" i="1"/>
  <c r="AG259" i="1"/>
  <c r="AG260" i="1"/>
  <c r="AG262" i="1"/>
  <c r="AG263" i="1"/>
  <c r="AG264" i="1"/>
  <c r="AG265" i="1"/>
  <c r="AG266" i="1"/>
  <c r="AG267" i="1"/>
  <c r="AG268" i="1"/>
  <c r="AG269" i="1"/>
  <c r="AG270" i="1"/>
  <c r="AG271" i="1"/>
  <c r="AG272" i="1"/>
  <c r="AG273" i="1"/>
  <c r="AG274" i="1"/>
  <c r="AG275" i="1"/>
  <c r="AG276" i="1"/>
  <c r="AG277" i="1"/>
  <c r="AG278" i="1"/>
  <c r="AG279" i="1"/>
  <c r="AG280" i="1"/>
  <c r="AG281" i="1"/>
  <c r="AG282" i="1"/>
  <c r="AG283" i="1"/>
  <c r="AG284" i="1"/>
  <c r="AG285" i="1"/>
  <c r="AG286" i="1"/>
  <c r="AG287" i="1"/>
  <c r="AG288" i="1"/>
  <c r="AG289" i="1"/>
  <c r="AG290" i="1"/>
  <c r="AG291" i="1"/>
  <c r="AG292" i="1"/>
  <c r="AG293" i="1"/>
  <c r="AG294" i="1"/>
  <c r="AG295" i="1"/>
  <c r="AG296" i="1"/>
  <c r="AG297" i="1"/>
  <c r="AG298" i="1"/>
  <c r="AG299" i="1"/>
  <c r="AG300" i="1"/>
  <c r="AG301" i="1"/>
  <c r="AG302" i="1"/>
  <c r="AG2" i="1"/>
  <c r="AD3" i="1"/>
  <c r="AD4" i="1"/>
  <c r="AD5" i="1"/>
  <c r="AD6" i="1"/>
  <c r="AD7" i="1"/>
  <c r="AD8" i="1"/>
  <c r="AE8" i="1" s="1"/>
  <c r="AD9" i="1"/>
  <c r="AD10" i="1"/>
  <c r="AD11" i="1"/>
  <c r="AD12" i="1"/>
  <c r="AD13" i="1"/>
  <c r="AD14" i="1"/>
  <c r="AD15" i="1"/>
  <c r="AD16" i="1"/>
  <c r="AE16" i="1" s="1"/>
  <c r="AD17" i="1"/>
  <c r="AD18" i="1"/>
  <c r="AD19" i="1"/>
  <c r="AD20" i="1"/>
  <c r="AD21" i="1"/>
  <c r="AD22" i="1"/>
  <c r="AD23" i="1"/>
  <c r="AD24" i="1"/>
  <c r="AE24" i="1" s="1"/>
  <c r="AD25" i="1"/>
  <c r="AD26" i="1"/>
  <c r="AD27" i="1"/>
  <c r="AD28" i="1"/>
  <c r="AD29" i="1"/>
  <c r="AD30" i="1"/>
  <c r="AD31" i="1"/>
  <c r="AD32" i="1"/>
  <c r="AE32" i="1" s="1"/>
  <c r="AD33" i="1"/>
  <c r="AD34" i="1"/>
  <c r="AD35" i="1"/>
  <c r="AD36" i="1"/>
  <c r="AD37" i="1"/>
  <c r="AD38" i="1"/>
  <c r="AD39" i="1"/>
  <c r="AD40" i="1"/>
  <c r="AE40" i="1" s="1"/>
  <c r="AD41" i="1"/>
  <c r="AD42" i="1"/>
  <c r="AD43" i="1"/>
  <c r="AD44" i="1"/>
  <c r="AD45" i="1"/>
  <c r="AD46" i="1"/>
  <c r="AD47" i="1"/>
  <c r="AD48" i="1"/>
  <c r="AE48" i="1" s="1"/>
  <c r="AD49" i="1"/>
  <c r="AD50" i="1"/>
  <c r="AD51" i="1"/>
  <c r="AD52" i="1"/>
  <c r="AD53" i="1"/>
  <c r="AD54" i="1"/>
  <c r="AD55" i="1"/>
  <c r="AD56" i="1"/>
  <c r="AE56" i="1" s="1"/>
  <c r="AD57" i="1"/>
  <c r="AD58" i="1"/>
  <c r="AD59" i="1"/>
  <c r="AD60" i="1"/>
  <c r="AD61" i="1"/>
  <c r="AD62" i="1"/>
  <c r="AD63" i="1"/>
  <c r="AD64" i="1"/>
  <c r="AE64" i="1" s="1"/>
  <c r="AD65" i="1"/>
  <c r="AF65" i="1" s="1"/>
  <c r="AD66" i="1"/>
  <c r="AE66" i="1" s="1"/>
  <c r="AD67" i="1"/>
  <c r="AE67" i="1" s="1"/>
  <c r="AD68" i="1"/>
  <c r="AE68" i="1" s="1"/>
  <c r="AD69" i="1"/>
  <c r="AD70" i="1"/>
  <c r="AF70" i="1" s="1"/>
  <c r="AD71" i="1"/>
  <c r="AE71" i="1" s="1"/>
  <c r="AD72" i="1"/>
  <c r="AE72" i="1" s="1"/>
  <c r="AD73" i="1"/>
  <c r="AE73" i="1" s="1"/>
  <c r="AD74" i="1"/>
  <c r="AE74" i="1" s="1"/>
  <c r="AD75" i="1"/>
  <c r="AE75" i="1" s="1"/>
  <c r="AD76" i="1"/>
  <c r="AE76" i="1" s="1"/>
  <c r="AD77" i="1"/>
  <c r="AE77" i="1" s="1"/>
  <c r="AD78" i="1"/>
  <c r="AD79" i="1"/>
  <c r="AE79" i="1" s="1"/>
  <c r="AD80" i="1"/>
  <c r="AE80" i="1" s="1"/>
  <c r="AD81" i="1"/>
  <c r="AE81" i="1" s="1"/>
  <c r="AD82" i="1"/>
  <c r="AE82" i="1" s="1"/>
  <c r="AD83" i="1"/>
  <c r="AF83" i="1" s="1"/>
  <c r="AD84" i="1"/>
  <c r="AE84" i="1" s="1"/>
  <c r="AD85" i="1"/>
  <c r="AE85" i="1" s="1"/>
  <c r="AD86" i="1"/>
  <c r="AE86" i="1" s="1"/>
  <c r="AD87" i="1"/>
  <c r="AE87" i="1" s="1"/>
  <c r="AD88" i="1"/>
  <c r="AE88" i="1" s="1"/>
  <c r="AD89" i="1"/>
  <c r="AF89" i="1" s="1"/>
  <c r="AD90" i="1"/>
  <c r="AD91" i="1"/>
  <c r="AF91" i="1" s="1"/>
  <c r="AD92" i="1"/>
  <c r="AE92" i="1" s="1"/>
  <c r="AD93" i="1"/>
  <c r="AE93" i="1" s="1"/>
  <c r="AD94" i="1"/>
  <c r="AF94" i="1" s="1"/>
  <c r="AD95" i="1"/>
  <c r="AE95" i="1" s="1"/>
  <c r="AD96" i="1"/>
  <c r="AE96" i="1" s="1"/>
  <c r="AD97" i="1"/>
  <c r="AE97" i="1" s="1"/>
  <c r="AD98" i="1"/>
  <c r="AE98" i="1" s="1"/>
  <c r="AD99" i="1"/>
  <c r="AE99" i="1" s="1"/>
  <c r="AD100" i="1"/>
  <c r="AE100" i="1" s="1"/>
  <c r="AD101" i="1"/>
  <c r="AE101" i="1" s="1"/>
  <c r="AD102" i="1"/>
  <c r="AE102" i="1" s="1"/>
  <c r="AD103" i="1"/>
  <c r="AE103" i="1" s="1"/>
  <c r="AD104" i="1"/>
  <c r="AF104" i="1" s="1"/>
  <c r="AD105" i="1"/>
  <c r="AF105" i="1" s="1"/>
  <c r="AD106" i="1"/>
  <c r="AF106" i="1" s="1"/>
  <c r="AD107" i="1"/>
  <c r="AE107" i="1" s="1"/>
  <c r="AD108" i="1"/>
  <c r="AE108" i="1" s="1"/>
  <c r="AD109" i="1"/>
  <c r="AE109" i="1" s="1"/>
  <c r="AD110" i="1"/>
  <c r="AE110" i="1" s="1"/>
  <c r="AD111" i="1"/>
  <c r="AE111" i="1" s="1"/>
  <c r="AD112" i="1"/>
  <c r="AE112" i="1" s="1"/>
  <c r="AD113" i="1"/>
  <c r="AE113" i="1" s="1"/>
  <c r="AD114" i="1"/>
  <c r="AF114" i="1" s="1"/>
  <c r="AD115" i="1"/>
  <c r="AE115" i="1" s="1"/>
  <c r="AD116" i="1"/>
  <c r="AD117" i="1"/>
  <c r="AE117" i="1" s="1"/>
  <c r="AD118" i="1"/>
  <c r="AF118" i="1" s="1"/>
  <c r="AD119" i="1"/>
  <c r="AD120" i="1"/>
  <c r="AE120" i="1" s="1"/>
  <c r="AD121" i="1"/>
  <c r="AE121" i="1" s="1"/>
  <c r="AD122" i="1"/>
  <c r="AF122" i="1" s="1"/>
  <c r="AD123" i="1"/>
  <c r="AE123" i="1" s="1"/>
  <c r="AD124" i="1"/>
  <c r="AE124" i="1" s="1"/>
  <c r="AD125" i="1"/>
  <c r="AE125" i="1" s="1"/>
  <c r="AD126" i="1"/>
  <c r="AF126" i="1" s="1"/>
  <c r="AD127" i="1"/>
  <c r="AE127" i="1" s="1"/>
  <c r="AD128" i="1"/>
  <c r="AE128" i="1" s="1"/>
  <c r="AD129" i="1"/>
  <c r="AF129" i="1" s="1"/>
  <c r="AD130" i="1"/>
  <c r="AF130" i="1" s="1"/>
  <c r="AD131" i="1"/>
  <c r="AF131" i="1" s="1"/>
  <c r="AD133" i="1"/>
  <c r="AE133" i="1" s="1"/>
  <c r="AD134" i="1"/>
  <c r="AE134" i="1" s="1"/>
  <c r="AD135" i="1"/>
  <c r="AE135" i="1" s="1"/>
  <c r="AD136" i="1"/>
  <c r="AF136" i="1" s="1"/>
  <c r="AD137" i="1"/>
  <c r="AE137" i="1" s="1"/>
  <c r="AD138" i="1"/>
  <c r="AE138" i="1" s="1"/>
  <c r="AD139" i="1"/>
  <c r="AE139" i="1" s="1"/>
  <c r="AD140" i="1"/>
  <c r="AE140" i="1" s="1"/>
  <c r="AD141" i="1"/>
  <c r="AE141" i="1" s="1"/>
  <c r="AD142" i="1"/>
  <c r="AE142" i="1" s="1"/>
  <c r="AD143" i="1"/>
  <c r="AE143" i="1" s="1"/>
  <c r="AD144" i="1"/>
  <c r="AE144" i="1" s="1"/>
  <c r="AD145" i="1"/>
  <c r="AF145" i="1" s="1"/>
  <c r="AD146" i="1"/>
  <c r="AE146" i="1" s="1"/>
  <c r="AD147" i="1"/>
  <c r="AE147" i="1" s="1"/>
  <c r="AD148" i="1"/>
  <c r="AF148" i="1" s="1"/>
  <c r="AD149" i="1"/>
  <c r="AF149" i="1" s="1"/>
  <c r="AD150" i="1"/>
  <c r="AE150" i="1" s="1"/>
  <c r="AD151" i="1"/>
  <c r="AF151" i="1" s="1"/>
  <c r="AD152" i="1"/>
  <c r="AF152" i="1" s="1"/>
  <c r="AD153" i="1"/>
  <c r="AE153" i="1" s="1"/>
  <c r="AD154" i="1"/>
  <c r="AF154" i="1" s="1"/>
  <c r="AD155" i="1"/>
  <c r="AE155" i="1" s="1"/>
  <c r="AD156" i="1"/>
  <c r="AF156" i="1" s="1"/>
  <c r="AD157" i="1"/>
  <c r="AE157" i="1" s="1"/>
  <c r="AD158" i="1"/>
  <c r="AF158" i="1" s="1"/>
  <c r="AD159" i="1"/>
  <c r="AE159" i="1" s="1"/>
  <c r="AD160" i="1"/>
  <c r="AF160" i="1" s="1"/>
  <c r="AD161" i="1"/>
  <c r="AE161" i="1" s="1"/>
  <c r="AD162" i="1"/>
  <c r="AE162" i="1" s="1"/>
  <c r="AD163" i="1"/>
  <c r="AE163" i="1" s="1"/>
  <c r="AD164" i="1"/>
  <c r="AE164" i="1" s="1"/>
  <c r="AD165" i="1"/>
  <c r="AF165" i="1" s="1"/>
  <c r="AD166" i="1"/>
  <c r="AE166" i="1" s="1"/>
  <c r="AD167" i="1"/>
  <c r="AF167" i="1" s="1"/>
  <c r="AD168" i="1"/>
  <c r="AE168" i="1" s="1"/>
  <c r="AD169" i="1"/>
  <c r="AE169" i="1" s="1"/>
  <c r="AD170" i="1"/>
  <c r="AE170" i="1" s="1"/>
  <c r="AD171" i="1"/>
  <c r="AE171" i="1" s="1"/>
  <c r="AD172" i="1"/>
  <c r="AE172" i="1" s="1"/>
  <c r="AD173" i="1"/>
  <c r="AE173" i="1" s="1"/>
  <c r="AD174" i="1"/>
  <c r="AE174" i="1" s="1"/>
  <c r="AD175" i="1"/>
  <c r="AF175" i="1" s="1"/>
  <c r="AD176" i="1"/>
  <c r="AE176" i="1" s="1"/>
  <c r="AD177" i="1"/>
  <c r="AE177" i="1" s="1"/>
  <c r="AD178" i="1"/>
  <c r="AE178" i="1" s="1"/>
  <c r="AD179" i="1"/>
  <c r="AE179" i="1" s="1"/>
  <c r="AD180" i="1"/>
  <c r="AE180" i="1" s="1"/>
  <c r="AD181" i="1"/>
  <c r="AE181" i="1" s="1"/>
  <c r="AD182" i="1"/>
  <c r="AF182" i="1" s="1"/>
  <c r="AD183" i="1"/>
  <c r="AE183" i="1" s="1"/>
  <c r="AD184" i="1"/>
  <c r="AE184" i="1" s="1"/>
  <c r="AD185" i="1"/>
  <c r="AF185" i="1" s="1"/>
  <c r="AD186" i="1"/>
  <c r="AF186" i="1" s="1"/>
  <c r="AD187" i="1"/>
  <c r="AE187" i="1" s="1"/>
  <c r="AD188" i="1"/>
  <c r="AE188" i="1" s="1"/>
  <c r="AD189" i="1"/>
  <c r="AF189" i="1" s="1"/>
  <c r="AD190" i="1"/>
  <c r="AE190" i="1" s="1"/>
  <c r="AD191" i="1"/>
  <c r="AE191" i="1" s="1"/>
  <c r="AD192" i="1"/>
  <c r="AE192" i="1" s="1"/>
  <c r="AD193" i="1"/>
  <c r="AE193" i="1" s="1"/>
  <c r="AD194" i="1"/>
  <c r="AF194" i="1" s="1"/>
  <c r="AD195" i="1"/>
  <c r="AF195" i="1" s="1"/>
  <c r="AD196" i="1"/>
  <c r="AE196" i="1" s="1"/>
  <c r="AD197" i="1"/>
  <c r="AE197" i="1" s="1"/>
  <c r="AD198" i="1"/>
  <c r="AE198" i="1" s="1"/>
  <c r="AD199" i="1"/>
  <c r="AE199" i="1" s="1"/>
  <c r="AD200" i="1"/>
  <c r="AE200" i="1" s="1"/>
  <c r="AD201" i="1"/>
  <c r="AF201" i="1" s="1"/>
  <c r="AD202" i="1"/>
  <c r="AD203" i="1"/>
  <c r="AD204" i="1"/>
  <c r="AE204" i="1" s="1"/>
  <c r="AD205" i="1"/>
  <c r="AE205" i="1" s="1"/>
  <c r="AD206" i="1"/>
  <c r="AE206" i="1" s="1"/>
  <c r="AD207" i="1"/>
  <c r="AE207" i="1" s="1"/>
  <c r="AD208" i="1"/>
  <c r="AF208" i="1" s="1"/>
  <c r="AD209" i="1"/>
  <c r="AE209" i="1" s="1"/>
  <c r="AD210" i="1"/>
  <c r="AF210" i="1" s="1"/>
  <c r="AD211" i="1"/>
  <c r="AE211" i="1" s="1"/>
  <c r="AD212" i="1"/>
  <c r="AE212" i="1" s="1"/>
  <c r="AD213" i="1"/>
  <c r="AD214" i="1"/>
  <c r="AE214" i="1" s="1"/>
  <c r="AD215" i="1"/>
  <c r="AE215" i="1" s="1"/>
  <c r="AD216" i="1"/>
  <c r="AE216" i="1" s="1"/>
  <c r="AD217" i="1"/>
  <c r="AF217" i="1" s="1"/>
  <c r="AD218" i="1"/>
  <c r="AE218" i="1" s="1"/>
  <c r="AD219" i="1"/>
  <c r="AE219" i="1" s="1"/>
  <c r="AD220" i="1"/>
  <c r="AF220" i="1" s="1"/>
  <c r="AD221" i="1"/>
  <c r="AE221" i="1" s="1"/>
  <c r="AD222" i="1"/>
  <c r="AF222" i="1" s="1"/>
  <c r="AD223" i="1"/>
  <c r="AE223" i="1" s="1"/>
  <c r="AD224" i="1"/>
  <c r="AD225" i="1"/>
  <c r="AE225" i="1" s="1"/>
  <c r="AD226" i="1"/>
  <c r="AE226" i="1" s="1"/>
  <c r="AD227" i="1"/>
  <c r="AE227" i="1" s="1"/>
  <c r="AD228" i="1"/>
  <c r="AE228" i="1" s="1"/>
  <c r="AD229" i="1"/>
  <c r="AF229" i="1" s="1"/>
  <c r="AD230" i="1"/>
  <c r="AE230" i="1" s="1"/>
  <c r="AD231" i="1"/>
  <c r="AE231" i="1" s="1"/>
  <c r="AD232" i="1"/>
  <c r="AE232" i="1" s="1"/>
  <c r="AD233" i="1"/>
  <c r="AE233" i="1" s="1"/>
  <c r="AD234" i="1"/>
  <c r="AE234" i="1" s="1"/>
  <c r="AD235" i="1"/>
  <c r="AE235" i="1" s="1"/>
  <c r="AD236" i="1"/>
  <c r="AE236" i="1" s="1"/>
  <c r="AD237" i="1"/>
  <c r="AE237" i="1" s="1"/>
  <c r="AD238" i="1"/>
  <c r="AE238" i="1" s="1"/>
  <c r="AD239" i="1"/>
  <c r="AF239" i="1" s="1"/>
  <c r="AD240" i="1"/>
  <c r="AE240" i="1" s="1"/>
  <c r="AD241" i="1"/>
  <c r="AE241" i="1" s="1"/>
  <c r="AD242" i="1"/>
  <c r="AE242" i="1" s="1"/>
  <c r="AD243" i="1"/>
  <c r="AE243" i="1" s="1"/>
  <c r="AD244" i="1"/>
  <c r="AF244" i="1" s="1"/>
  <c r="AD245" i="1"/>
  <c r="AE245" i="1" s="1"/>
  <c r="AD246" i="1"/>
  <c r="AE246" i="1" s="1"/>
  <c r="AD247" i="1"/>
  <c r="AE247" i="1" s="1"/>
  <c r="AD248" i="1"/>
  <c r="AF248" i="1" s="1"/>
  <c r="AD249" i="1"/>
  <c r="AE249" i="1" s="1"/>
  <c r="AD250" i="1"/>
  <c r="AE250" i="1" s="1"/>
  <c r="AD251" i="1"/>
  <c r="AE251" i="1" s="1"/>
  <c r="AD252" i="1"/>
  <c r="AE252" i="1" s="1"/>
  <c r="AD253" i="1"/>
  <c r="AF253" i="1" s="1"/>
  <c r="AD254" i="1"/>
  <c r="AE254" i="1" s="1"/>
  <c r="AD255" i="1"/>
  <c r="AE255" i="1" s="1"/>
  <c r="AD256" i="1"/>
  <c r="AE256" i="1" s="1"/>
  <c r="AD257" i="1"/>
  <c r="AE257" i="1" s="1"/>
  <c r="AD258" i="1"/>
  <c r="AF258" i="1" s="1"/>
  <c r="AD259" i="1"/>
  <c r="AF259" i="1" s="1"/>
  <c r="AD260" i="1"/>
  <c r="AE260" i="1" s="1"/>
  <c r="AD262" i="1"/>
  <c r="AE262" i="1" s="1"/>
  <c r="AD263" i="1"/>
  <c r="AE263" i="1" s="1"/>
  <c r="AD264" i="1"/>
  <c r="AE264" i="1" s="1"/>
  <c r="AD265" i="1"/>
  <c r="AE265" i="1" s="1"/>
  <c r="AD266" i="1"/>
  <c r="AE266" i="1" s="1"/>
  <c r="AD267" i="1"/>
  <c r="AF267" i="1" s="1"/>
  <c r="AD268" i="1"/>
  <c r="AF268" i="1" s="1"/>
  <c r="AD269" i="1"/>
  <c r="AE269" i="1" s="1"/>
  <c r="AD270" i="1"/>
  <c r="AE270" i="1" s="1"/>
  <c r="AD271" i="1"/>
  <c r="AE271" i="1" s="1"/>
  <c r="AD272" i="1"/>
  <c r="AE272" i="1" s="1"/>
  <c r="AD273" i="1"/>
  <c r="AE273" i="1" s="1"/>
  <c r="AD274" i="1"/>
  <c r="AE274" i="1" s="1"/>
  <c r="AD275" i="1"/>
  <c r="AE275" i="1" s="1"/>
  <c r="AD276" i="1"/>
  <c r="AE276" i="1" s="1"/>
  <c r="AD277" i="1"/>
  <c r="AF277" i="1" s="1"/>
  <c r="AD278" i="1"/>
  <c r="AE278" i="1" s="1"/>
  <c r="AD279" i="1"/>
  <c r="AE279" i="1" s="1"/>
  <c r="AD280" i="1"/>
  <c r="AE280" i="1" s="1"/>
  <c r="AD281" i="1"/>
  <c r="AE281" i="1" s="1"/>
  <c r="AD282" i="1"/>
  <c r="AE282" i="1" s="1"/>
  <c r="AD283" i="1"/>
  <c r="AE283" i="1" s="1"/>
  <c r="AD284" i="1"/>
  <c r="AE284" i="1" s="1"/>
  <c r="AD285" i="1"/>
  <c r="AE285" i="1" s="1"/>
  <c r="AD286" i="1"/>
  <c r="AF286" i="1" s="1"/>
  <c r="AD287" i="1"/>
  <c r="AF287" i="1" s="1"/>
  <c r="AD288" i="1"/>
  <c r="AE288" i="1" s="1"/>
  <c r="AD289" i="1"/>
  <c r="AE289" i="1" s="1"/>
  <c r="AD290" i="1"/>
  <c r="AD291" i="1"/>
  <c r="AE291" i="1" s="1"/>
  <c r="AD292" i="1"/>
  <c r="AE292" i="1" s="1"/>
  <c r="AD293" i="1"/>
  <c r="AE293" i="1" s="1"/>
  <c r="AD294" i="1"/>
  <c r="AE294" i="1" s="1"/>
  <c r="AD295" i="1"/>
  <c r="AF295" i="1" s="1"/>
  <c r="AD296" i="1"/>
  <c r="AE296" i="1" s="1"/>
  <c r="AD297" i="1"/>
  <c r="AE297" i="1" s="1"/>
  <c r="AD298" i="1"/>
  <c r="AE298" i="1" s="1"/>
  <c r="AD299" i="1"/>
  <c r="AE299" i="1" s="1"/>
  <c r="AD300" i="1"/>
  <c r="AE300" i="1" s="1"/>
  <c r="AD301" i="1"/>
  <c r="AF301" i="1" s="1"/>
  <c r="AD302" i="1"/>
  <c r="AF302" i="1" s="1"/>
  <c r="AD2" i="1"/>
  <c r="AE2" i="1" s="1"/>
  <c r="AE78" i="1"/>
  <c r="Z3" i="1"/>
  <c r="AA3" i="1"/>
  <c r="Z4" i="1"/>
  <c r="AA4" i="1"/>
  <c r="Z5" i="1"/>
  <c r="AA5" i="1"/>
  <c r="Z6" i="1"/>
  <c r="AA6" i="1"/>
  <c r="Z7" i="1"/>
  <c r="AA7" i="1"/>
  <c r="Z8" i="1"/>
  <c r="AA8" i="1"/>
  <c r="Z9" i="1"/>
  <c r="AA9" i="1"/>
  <c r="Z10" i="1"/>
  <c r="AA10" i="1"/>
  <c r="Z11" i="1"/>
  <c r="AA11" i="1"/>
  <c r="Z12" i="1"/>
  <c r="AA12" i="1"/>
  <c r="Z13" i="1"/>
  <c r="AA13" i="1"/>
  <c r="Z14" i="1"/>
  <c r="AA14" i="1"/>
  <c r="Z15" i="1"/>
  <c r="AA15" i="1"/>
  <c r="Z16" i="1"/>
  <c r="AA16" i="1"/>
  <c r="Z17" i="1"/>
  <c r="AA17" i="1"/>
  <c r="Z18" i="1"/>
  <c r="AA18" i="1"/>
  <c r="Z19" i="1"/>
  <c r="AA19" i="1"/>
  <c r="Z20" i="1"/>
  <c r="AA20" i="1"/>
  <c r="Z21" i="1"/>
  <c r="AA21" i="1"/>
  <c r="Z22" i="1"/>
  <c r="AA22" i="1"/>
  <c r="Z23" i="1"/>
  <c r="AA23" i="1"/>
  <c r="Z24" i="1"/>
  <c r="AA24" i="1"/>
  <c r="Z25" i="1"/>
  <c r="AA25" i="1"/>
  <c r="Z26" i="1"/>
  <c r="AA26" i="1"/>
  <c r="Z27" i="1"/>
  <c r="AA27" i="1"/>
  <c r="Z28" i="1"/>
  <c r="AA28" i="1"/>
  <c r="Z29" i="1"/>
  <c r="AA29" i="1"/>
  <c r="Z30" i="1"/>
  <c r="AA30" i="1"/>
  <c r="Z31" i="1"/>
  <c r="AA31" i="1"/>
  <c r="Z32" i="1"/>
  <c r="AA32" i="1"/>
  <c r="Z33" i="1"/>
  <c r="AA33" i="1"/>
  <c r="Z34" i="1"/>
  <c r="AA34" i="1"/>
  <c r="Z35" i="1"/>
  <c r="AA35" i="1"/>
  <c r="Z36" i="1"/>
  <c r="AA36" i="1"/>
  <c r="Z37" i="1"/>
  <c r="AA37" i="1"/>
  <c r="Z38" i="1"/>
  <c r="AA38" i="1"/>
  <c r="Z39" i="1"/>
  <c r="AA39" i="1"/>
  <c r="Z40" i="1"/>
  <c r="AA40" i="1"/>
  <c r="Z41" i="1"/>
  <c r="AA41" i="1"/>
  <c r="Z42" i="1"/>
  <c r="AA42" i="1"/>
  <c r="Z43" i="1"/>
  <c r="AA43" i="1"/>
  <c r="Z44" i="1"/>
  <c r="AA44" i="1"/>
  <c r="Z45" i="1"/>
  <c r="AA45" i="1"/>
  <c r="Z46" i="1"/>
  <c r="AA46" i="1"/>
  <c r="Z47" i="1"/>
  <c r="AA47" i="1"/>
  <c r="Z48" i="1"/>
  <c r="AA48" i="1"/>
  <c r="Z49" i="1"/>
  <c r="AA49" i="1"/>
  <c r="Z50" i="1"/>
  <c r="AA50" i="1"/>
  <c r="Z51" i="1"/>
  <c r="AA51" i="1"/>
  <c r="Z52" i="1"/>
  <c r="AA52" i="1"/>
  <c r="Z53" i="1"/>
  <c r="AA53" i="1"/>
  <c r="Z54" i="1"/>
  <c r="AA54" i="1"/>
  <c r="Z55" i="1"/>
  <c r="AA55" i="1"/>
  <c r="Z56" i="1"/>
  <c r="AA56" i="1"/>
  <c r="Z57" i="1"/>
  <c r="AA57" i="1"/>
  <c r="Z58" i="1"/>
  <c r="AA58" i="1"/>
  <c r="Z59" i="1"/>
  <c r="AA59" i="1"/>
  <c r="Z60" i="1"/>
  <c r="AA60" i="1"/>
  <c r="Z61" i="1"/>
  <c r="AA61" i="1"/>
  <c r="Z62" i="1"/>
  <c r="AA62" i="1"/>
  <c r="Z63" i="1"/>
  <c r="AA63" i="1"/>
  <c r="Z64" i="1"/>
  <c r="AA64" i="1"/>
  <c r="Z65" i="1"/>
  <c r="AA65" i="1"/>
  <c r="Z66" i="1"/>
  <c r="AA66" i="1"/>
  <c r="Z67" i="1"/>
  <c r="AA67" i="1"/>
  <c r="Z68" i="1"/>
  <c r="AA68" i="1"/>
  <c r="Z69" i="1"/>
  <c r="AA69" i="1"/>
  <c r="Z70" i="1"/>
  <c r="AA70" i="1"/>
  <c r="Z71" i="1"/>
  <c r="AA71" i="1"/>
  <c r="Z72" i="1"/>
  <c r="AA72" i="1"/>
  <c r="Z73" i="1"/>
  <c r="AA73" i="1"/>
  <c r="Z74" i="1"/>
  <c r="AA74" i="1"/>
  <c r="Z75" i="1"/>
  <c r="AA75" i="1"/>
  <c r="Z76" i="1"/>
  <c r="AA76" i="1"/>
  <c r="Z77" i="1"/>
  <c r="AA77" i="1"/>
  <c r="Z78" i="1"/>
  <c r="AA78" i="1"/>
  <c r="Z79" i="1"/>
  <c r="AA79" i="1"/>
  <c r="Z80" i="1"/>
  <c r="AA80" i="1"/>
  <c r="Z81" i="1"/>
  <c r="AA81" i="1"/>
  <c r="Z82" i="1"/>
  <c r="AA82" i="1"/>
  <c r="Z83" i="1"/>
  <c r="AA83" i="1"/>
  <c r="Z84" i="1"/>
  <c r="AA84" i="1"/>
  <c r="Z85" i="1"/>
  <c r="AA85" i="1"/>
  <c r="Z86" i="1"/>
  <c r="AA86" i="1"/>
  <c r="Z87" i="1"/>
  <c r="AA87" i="1"/>
  <c r="Z88" i="1"/>
  <c r="AA88" i="1"/>
  <c r="Z89" i="1"/>
  <c r="AA89" i="1"/>
  <c r="Z90" i="1"/>
  <c r="AA90" i="1"/>
  <c r="Z91" i="1"/>
  <c r="AA91" i="1"/>
  <c r="Z92" i="1"/>
  <c r="AA92" i="1"/>
  <c r="Z93" i="1"/>
  <c r="AA93" i="1"/>
  <c r="Z94" i="1"/>
  <c r="AA94" i="1"/>
  <c r="Z95" i="1"/>
  <c r="AA95" i="1"/>
  <c r="Z96" i="1"/>
  <c r="AA96" i="1"/>
  <c r="Z97" i="1"/>
  <c r="AA97" i="1"/>
  <c r="Z98" i="1"/>
  <c r="AA98" i="1"/>
  <c r="Z99" i="1"/>
  <c r="AA99" i="1"/>
  <c r="Z100" i="1"/>
  <c r="AA100" i="1"/>
  <c r="Z101" i="1"/>
  <c r="AA101" i="1"/>
  <c r="Z102" i="1"/>
  <c r="AA102" i="1"/>
  <c r="Z103" i="1"/>
  <c r="AA103" i="1"/>
  <c r="Z104" i="1"/>
  <c r="AA104" i="1"/>
  <c r="Z105" i="1"/>
  <c r="AA105" i="1"/>
  <c r="Z106" i="1"/>
  <c r="AA106" i="1"/>
  <c r="Z107" i="1"/>
  <c r="AA107" i="1"/>
  <c r="Z108" i="1"/>
  <c r="AA108" i="1"/>
  <c r="Z109" i="1"/>
  <c r="AA109" i="1"/>
  <c r="Z110" i="1"/>
  <c r="AA110" i="1"/>
  <c r="Z111" i="1"/>
  <c r="AA111" i="1"/>
  <c r="Z112" i="1"/>
  <c r="AA112" i="1"/>
  <c r="Z113" i="1"/>
  <c r="AA113" i="1"/>
  <c r="Z114" i="1"/>
  <c r="AA114" i="1"/>
  <c r="Z115" i="1"/>
  <c r="AA115" i="1"/>
  <c r="Z116" i="1"/>
  <c r="AA116" i="1"/>
  <c r="Z117" i="1"/>
  <c r="AA117" i="1"/>
  <c r="Z118" i="1"/>
  <c r="AA118" i="1"/>
  <c r="Z119" i="1"/>
  <c r="AA119" i="1"/>
  <c r="Z120" i="1"/>
  <c r="AA120" i="1"/>
  <c r="Z121" i="1"/>
  <c r="AA121" i="1"/>
  <c r="Z122" i="1"/>
  <c r="AA122" i="1"/>
  <c r="Z123" i="1"/>
  <c r="AA123" i="1"/>
  <c r="Z124" i="1"/>
  <c r="AA124" i="1"/>
  <c r="Z125" i="1"/>
  <c r="AA125" i="1"/>
  <c r="Z126" i="1"/>
  <c r="AA126" i="1"/>
  <c r="Z127" i="1"/>
  <c r="AA127" i="1"/>
  <c r="Z128" i="1"/>
  <c r="AA128" i="1"/>
  <c r="Z129" i="1"/>
  <c r="AA129" i="1"/>
  <c r="Z130" i="1"/>
  <c r="AA130" i="1"/>
  <c r="Z131" i="1"/>
  <c r="AA131" i="1"/>
  <c r="Z133" i="1"/>
  <c r="AA133" i="1"/>
  <c r="Z134" i="1"/>
  <c r="AA134" i="1"/>
  <c r="Z135" i="1"/>
  <c r="AA135" i="1"/>
  <c r="Z136" i="1"/>
  <c r="AA136" i="1"/>
  <c r="Z137" i="1"/>
  <c r="AA137" i="1"/>
  <c r="Z138" i="1"/>
  <c r="AA138" i="1"/>
  <c r="Z139" i="1"/>
  <c r="AA139" i="1"/>
  <c r="Z140" i="1"/>
  <c r="AA140" i="1"/>
  <c r="Z141" i="1"/>
  <c r="AA141" i="1"/>
  <c r="Z142" i="1"/>
  <c r="AA142" i="1"/>
  <c r="Z143" i="1"/>
  <c r="AA143" i="1"/>
  <c r="Z144" i="1"/>
  <c r="AA144" i="1"/>
  <c r="Z145" i="1"/>
  <c r="AA145" i="1"/>
  <c r="Z146" i="1"/>
  <c r="AA146" i="1"/>
  <c r="Z147" i="1"/>
  <c r="AA147" i="1"/>
  <c r="Z148" i="1"/>
  <c r="AA148" i="1"/>
  <c r="Z149" i="1"/>
  <c r="AA149" i="1"/>
  <c r="Z150" i="1"/>
  <c r="AA150" i="1"/>
  <c r="Z151" i="1"/>
  <c r="AA151" i="1"/>
  <c r="Z152" i="1"/>
  <c r="AA152" i="1"/>
  <c r="Z153" i="1"/>
  <c r="AA153" i="1"/>
  <c r="Z154" i="1"/>
  <c r="AA154" i="1"/>
  <c r="Z155" i="1"/>
  <c r="AA155" i="1"/>
  <c r="Z156" i="1"/>
  <c r="AA156" i="1"/>
  <c r="Z157" i="1"/>
  <c r="AA157" i="1"/>
  <c r="Z158" i="1"/>
  <c r="AA158" i="1"/>
  <c r="Z159" i="1"/>
  <c r="AA159" i="1"/>
  <c r="Z160" i="1"/>
  <c r="AA160" i="1"/>
  <c r="Z161" i="1"/>
  <c r="AA161" i="1"/>
  <c r="Z162" i="1"/>
  <c r="AA162" i="1"/>
  <c r="Z163" i="1"/>
  <c r="AA163" i="1"/>
  <c r="Z164" i="1"/>
  <c r="AA164" i="1"/>
  <c r="Z165" i="1"/>
  <c r="AA165" i="1"/>
  <c r="Z166" i="1"/>
  <c r="AA166" i="1"/>
  <c r="Z167" i="1"/>
  <c r="AA167" i="1"/>
  <c r="Z168" i="1"/>
  <c r="AA168" i="1"/>
  <c r="Z169" i="1"/>
  <c r="AA169" i="1"/>
  <c r="Z170" i="1"/>
  <c r="AA170" i="1"/>
  <c r="Z171" i="1"/>
  <c r="AA171" i="1"/>
  <c r="Z172" i="1"/>
  <c r="AA172" i="1"/>
  <c r="Z173" i="1"/>
  <c r="AA173" i="1"/>
  <c r="Z174" i="1"/>
  <c r="AA174" i="1"/>
  <c r="Z175" i="1"/>
  <c r="AA175" i="1"/>
  <c r="Z176" i="1"/>
  <c r="AA176" i="1"/>
  <c r="Z177" i="1"/>
  <c r="AA177" i="1"/>
  <c r="Z178" i="1"/>
  <c r="AA178" i="1"/>
  <c r="Z179" i="1"/>
  <c r="AA179" i="1"/>
  <c r="Z180" i="1"/>
  <c r="AA180" i="1"/>
  <c r="Z181" i="1"/>
  <c r="AA181" i="1"/>
  <c r="Z182" i="1"/>
  <c r="AA182" i="1"/>
  <c r="Z183" i="1"/>
  <c r="AA183" i="1"/>
  <c r="Z184" i="1"/>
  <c r="AA184" i="1"/>
  <c r="Z185" i="1"/>
  <c r="AA185" i="1"/>
  <c r="Z186" i="1"/>
  <c r="AA186" i="1"/>
  <c r="Z187" i="1"/>
  <c r="AA187" i="1"/>
  <c r="Z188" i="1"/>
  <c r="AA188" i="1"/>
  <c r="Z189" i="1"/>
  <c r="AA189" i="1"/>
  <c r="Z190" i="1"/>
  <c r="AA190" i="1"/>
  <c r="Z191" i="1"/>
  <c r="AA191" i="1"/>
  <c r="Z192" i="1"/>
  <c r="AA192" i="1"/>
  <c r="Z193" i="1"/>
  <c r="AA193" i="1"/>
  <c r="Z194" i="1"/>
  <c r="AA194" i="1"/>
  <c r="Z195" i="1"/>
  <c r="AA195" i="1"/>
  <c r="Z196" i="1"/>
  <c r="AA196" i="1"/>
  <c r="Z197" i="1"/>
  <c r="AA197" i="1"/>
  <c r="Z198" i="1"/>
  <c r="AA198" i="1"/>
  <c r="Z199" i="1"/>
  <c r="AA199" i="1"/>
  <c r="Z200" i="1"/>
  <c r="AA200" i="1"/>
  <c r="Z201" i="1"/>
  <c r="AA201" i="1"/>
  <c r="Z202" i="1"/>
  <c r="AA202" i="1"/>
  <c r="Z203" i="1"/>
  <c r="AA203" i="1"/>
  <c r="Z204" i="1"/>
  <c r="AA204" i="1"/>
  <c r="Z205" i="1"/>
  <c r="AA205" i="1"/>
  <c r="Z206" i="1"/>
  <c r="AA206" i="1"/>
  <c r="Z207" i="1"/>
  <c r="AA207" i="1"/>
  <c r="Z208" i="1"/>
  <c r="AA208" i="1"/>
  <c r="Z209" i="1"/>
  <c r="AA209" i="1"/>
  <c r="Z210" i="1"/>
  <c r="AA210" i="1"/>
  <c r="Z211" i="1"/>
  <c r="AA211" i="1"/>
  <c r="Z212" i="1"/>
  <c r="AA212" i="1"/>
  <c r="Z213" i="1"/>
  <c r="AA213" i="1"/>
  <c r="Z214" i="1"/>
  <c r="AA214" i="1"/>
  <c r="Z215" i="1"/>
  <c r="AA215" i="1"/>
  <c r="Z216" i="1"/>
  <c r="AA216" i="1"/>
  <c r="Z217" i="1"/>
  <c r="AA217" i="1"/>
  <c r="Z218" i="1"/>
  <c r="AA218" i="1"/>
  <c r="Z219" i="1"/>
  <c r="AA219" i="1"/>
  <c r="Z220" i="1"/>
  <c r="AA220" i="1"/>
  <c r="Z221" i="1"/>
  <c r="AA221" i="1"/>
  <c r="Z222" i="1"/>
  <c r="AA222" i="1"/>
  <c r="Z223" i="1"/>
  <c r="AA223" i="1"/>
  <c r="Z224" i="1"/>
  <c r="AA224" i="1"/>
  <c r="Z225" i="1"/>
  <c r="AA225" i="1"/>
  <c r="Z226" i="1"/>
  <c r="AA226" i="1"/>
  <c r="Z227" i="1"/>
  <c r="AA227" i="1"/>
  <c r="Z228" i="1"/>
  <c r="AA228" i="1"/>
  <c r="Z229" i="1"/>
  <c r="AA229" i="1"/>
  <c r="Z230" i="1"/>
  <c r="AA230" i="1"/>
  <c r="Z231" i="1"/>
  <c r="AA231" i="1"/>
  <c r="Z232" i="1"/>
  <c r="AA232" i="1"/>
  <c r="Z233" i="1"/>
  <c r="AA233" i="1"/>
  <c r="Z234" i="1"/>
  <c r="AA234" i="1"/>
  <c r="Z235" i="1"/>
  <c r="AA235" i="1"/>
  <c r="Z236" i="1"/>
  <c r="AA236" i="1"/>
  <c r="Z237" i="1"/>
  <c r="AA237" i="1"/>
  <c r="Z238" i="1"/>
  <c r="AA238" i="1"/>
  <c r="Z239" i="1"/>
  <c r="AA239" i="1"/>
  <c r="Z240" i="1"/>
  <c r="AA240" i="1"/>
  <c r="Z241" i="1"/>
  <c r="AA241" i="1"/>
  <c r="Z242" i="1"/>
  <c r="AA242" i="1"/>
  <c r="Z243" i="1"/>
  <c r="AA243" i="1"/>
  <c r="Z244" i="1"/>
  <c r="AA244" i="1"/>
  <c r="Z245" i="1"/>
  <c r="AA245" i="1"/>
  <c r="Z246" i="1"/>
  <c r="AA246" i="1"/>
  <c r="Z247" i="1"/>
  <c r="AA247" i="1"/>
  <c r="Z248" i="1"/>
  <c r="AA248" i="1"/>
  <c r="Z249" i="1"/>
  <c r="AA249" i="1"/>
  <c r="Z250" i="1"/>
  <c r="AA250" i="1"/>
  <c r="Z251" i="1"/>
  <c r="AA251" i="1"/>
  <c r="Z252" i="1"/>
  <c r="AA252" i="1"/>
  <c r="Z253" i="1"/>
  <c r="AA253" i="1"/>
  <c r="Z254" i="1"/>
  <c r="AA254" i="1"/>
  <c r="Z255" i="1"/>
  <c r="AA255" i="1"/>
  <c r="Z256" i="1"/>
  <c r="AA256" i="1"/>
  <c r="Z257" i="1"/>
  <c r="AA257" i="1"/>
  <c r="Z258" i="1"/>
  <c r="AA258" i="1"/>
  <c r="Z259" i="1"/>
  <c r="AA259" i="1"/>
  <c r="Z260" i="1"/>
  <c r="AA260" i="1"/>
  <c r="Z262" i="1"/>
  <c r="AA262" i="1"/>
  <c r="Z263" i="1"/>
  <c r="AA263" i="1"/>
  <c r="Z264" i="1"/>
  <c r="AA264" i="1"/>
  <c r="Z265" i="1"/>
  <c r="AA265" i="1"/>
  <c r="Z266" i="1"/>
  <c r="AA266" i="1"/>
  <c r="Z267" i="1"/>
  <c r="AA267" i="1"/>
  <c r="Z268" i="1"/>
  <c r="AA268" i="1"/>
  <c r="Z269" i="1"/>
  <c r="AA269" i="1"/>
  <c r="Z270" i="1"/>
  <c r="AA270" i="1"/>
  <c r="Z271" i="1"/>
  <c r="AA271" i="1"/>
  <c r="Z272" i="1"/>
  <c r="AA272" i="1"/>
  <c r="Z273" i="1"/>
  <c r="AA273" i="1"/>
  <c r="Z274" i="1"/>
  <c r="AA274" i="1"/>
  <c r="Z275" i="1"/>
  <c r="AA275" i="1"/>
  <c r="Z276" i="1"/>
  <c r="AA276" i="1"/>
  <c r="Z277" i="1"/>
  <c r="AA277" i="1"/>
  <c r="Z278" i="1"/>
  <c r="AA278" i="1"/>
  <c r="Z279" i="1"/>
  <c r="AA279" i="1"/>
  <c r="Z280" i="1"/>
  <c r="AA280" i="1"/>
  <c r="Z281" i="1"/>
  <c r="AA281" i="1"/>
  <c r="Z282" i="1"/>
  <c r="AA282" i="1"/>
  <c r="Z283" i="1"/>
  <c r="AA283" i="1"/>
  <c r="Z284" i="1"/>
  <c r="AA284" i="1"/>
  <c r="Z285" i="1"/>
  <c r="AA285" i="1"/>
  <c r="Z286" i="1"/>
  <c r="AA286" i="1"/>
  <c r="Z287" i="1"/>
  <c r="AA287" i="1"/>
  <c r="Z288" i="1"/>
  <c r="AA288" i="1"/>
  <c r="Z289" i="1"/>
  <c r="AA289" i="1"/>
  <c r="Z290" i="1"/>
  <c r="AA290" i="1"/>
  <c r="Z291" i="1"/>
  <c r="AA291" i="1"/>
  <c r="Z292" i="1"/>
  <c r="AA292" i="1"/>
  <c r="Z293" i="1"/>
  <c r="AA293" i="1"/>
  <c r="Z294" i="1"/>
  <c r="AA294" i="1"/>
  <c r="Z295" i="1"/>
  <c r="AA295" i="1"/>
  <c r="Z296" i="1"/>
  <c r="AA296" i="1"/>
  <c r="Z297" i="1"/>
  <c r="AA297" i="1"/>
  <c r="Z298" i="1"/>
  <c r="AA298" i="1"/>
  <c r="Z299" i="1"/>
  <c r="AA299" i="1"/>
  <c r="Z300" i="1"/>
  <c r="AA300" i="1"/>
  <c r="Z301" i="1"/>
  <c r="AA301" i="1"/>
  <c r="Z302" i="1"/>
  <c r="AA302" i="1"/>
  <c r="AA2" i="1"/>
  <c r="Z2" i="1"/>
  <c r="X3" i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7" i="1"/>
  <c r="X68" i="1"/>
  <c r="X69" i="1"/>
  <c r="X70" i="1"/>
  <c r="X71" i="1"/>
  <c r="X72" i="1"/>
  <c r="X73" i="1"/>
  <c r="X74" i="1"/>
  <c r="X75" i="1"/>
  <c r="X76" i="1"/>
  <c r="X77" i="1"/>
  <c r="X78" i="1"/>
  <c r="X79" i="1"/>
  <c r="X80" i="1"/>
  <c r="X81" i="1"/>
  <c r="X82" i="1"/>
  <c r="X83" i="1"/>
  <c r="X84" i="1"/>
  <c r="X85" i="1"/>
  <c r="X86" i="1"/>
  <c r="X87" i="1"/>
  <c r="X88" i="1"/>
  <c r="X89" i="1"/>
  <c r="X90" i="1"/>
  <c r="X91" i="1"/>
  <c r="X92" i="1"/>
  <c r="X93" i="1"/>
  <c r="X94" i="1"/>
  <c r="X95" i="1"/>
  <c r="X96" i="1"/>
  <c r="X97" i="1"/>
  <c r="X98" i="1"/>
  <c r="X99" i="1"/>
  <c r="X100" i="1"/>
  <c r="X101" i="1"/>
  <c r="X102" i="1"/>
  <c r="X103" i="1"/>
  <c r="X104" i="1"/>
  <c r="X105" i="1"/>
  <c r="X106" i="1"/>
  <c r="X107" i="1"/>
  <c r="X108" i="1"/>
  <c r="X109" i="1"/>
  <c r="X110" i="1"/>
  <c r="X111" i="1"/>
  <c r="X112" i="1"/>
  <c r="X113" i="1"/>
  <c r="X114" i="1"/>
  <c r="X115" i="1"/>
  <c r="X116" i="1"/>
  <c r="X117" i="1"/>
  <c r="X118" i="1"/>
  <c r="X119" i="1"/>
  <c r="X120" i="1"/>
  <c r="X121" i="1"/>
  <c r="X122" i="1"/>
  <c r="X123" i="1"/>
  <c r="X124" i="1"/>
  <c r="X125" i="1"/>
  <c r="X126" i="1"/>
  <c r="X127" i="1"/>
  <c r="X128" i="1"/>
  <c r="X129" i="1"/>
  <c r="X130" i="1"/>
  <c r="X131" i="1"/>
  <c r="X133" i="1"/>
  <c r="X134" i="1"/>
  <c r="X135" i="1"/>
  <c r="X136" i="1"/>
  <c r="X137" i="1"/>
  <c r="X138" i="1"/>
  <c r="X139" i="1"/>
  <c r="X140" i="1"/>
  <c r="X141" i="1"/>
  <c r="X142" i="1"/>
  <c r="X143" i="1"/>
  <c r="X144" i="1"/>
  <c r="X145" i="1"/>
  <c r="X146" i="1"/>
  <c r="X147" i="1"/>
  <c r="X148" i="1"/>
  <c r="X149" i="1"/>
  <c r="X150" i="1"/>
  <c r="X151" i="1"/>
  <c r="X152" i="1"/>
  <c r="X153" i="1"/>
  <c r="X154" i="1"/>
  <c r="X155" i="1"/>
  <c r="X156" i="1"/>
  <c r="X157" i="1"/>
  <c r="X158" i="1"/>
  <c r="X159" i="1"/>
  <c r="X160" i="1"/>
  <c r="X161" i="1"/>
  <c r="X162" i="1"/>
  <c r="X163" i="1"/>
  <c r="X164" i="1"/>
  <c r="X165" i="1"/>
  <c r="X166" i="1"/>
  <c r="X167" i="1"/>
  <c r="X168" i="1"/>
  <c r="X169" i="1"/>
  <c r="X170" i="1"/>
  <c r="X171" i="1"/>
  <c r="X172" i="1"/>
  <c r="X173" i="1"/>
  <c r="X174" i="1"/>
  <c r="X175" i="1"/>
  <c r="X176" i="1"/>
  <c r="X177" i="1"/>
  <c r="X178" i="1"/>
  <c r="X179" i="1"/>
  <c r="X180" i="1"/>
  <c r="X181" i="1"/>
  <c r="X182" i="1"/>
  <c r="X183" i="1"/>
  <c r="X184" i="1"/>
  <c r="X185" i="1"/>
  <c r="X186" i="1"/>
  <c r="X187" i="1"/>
  <c r="X188" i="1"/>
  <c r="X189" i="1"/>
  <c r="X190" i="1"/>
  <c r="X191" i="1"/>
  <c r="X192" i="1"/>
  <c r="X193" i="1"/>
  <c r="X194" i="1"/>
  <c r="X195" i="1"/>
  <c r="X196" i="1"/>
  <c r="X197" i="1"/>
  <c r="X198" i="1"/>
  <c r="X199" i="1"/>
  <c r="X200" i="1"/>
  <c r="X201" i="1"/>
  <c r="X202" i="1"/>
  <c r="X203" i="1"/>
  <c r="X204" i="1"/>
  <c r="X205" i="1"/>
  <c r="X206" i="1"/>
  <c r="X207" i="1"/>
  <c r="X208" i="1"/>
  <c r="X209" i="1"/>
  <c r="X210" i="1"/>
  <c r="X211" i="1"/>
  <c r="X212" i="1"/>
  <c r="X213" i="1"/>
  <c r="X214" i="1"/>
  <c r="X215" i="1"/>
  <c r="X216" i="1"/>
  <c r="X217" i="1"/>
  <c r="X218" i="1"/>
  <c r="X219" i="1"/>
  <c r="X220" i="1"/>
  <c r="X221" i="1"/>
  <c r="X222" i="1"/>
  <c r="X223" i="1"/>
  <c r="X224" i="1"/>
  <c r="X225" i="1"/>
  <c r="X226" i="1"/>
  <c r="X227" i="1"/>
  <c r="X228" i="1"/>
  <c r="X229" i="1"/>
  <c r="X230" i="1"/>
  <c r="X231" i="1"/>
  <c r="X232" i="1"/>
  <c r="X233" i="1"/>
  <c r="X234" i="1"/>
  <c r="X235" i="1"/>
  <c r="X236" i="1"/>
  <c r="X237" i="1"/>
  <c r="X238" i="1"/>
  <c r="X239" i="1"/>
  <c r="X240" i="1"/>
  <c r="X241" i="1"/>
  <c r="X242" i="1"/>
  <c r="X243" i="1"/>
  <c r="X244" i="1"/>
  <c r="X245" i="1"/>
  <c r="X246" i="1"/>
  <c r="X247" i="1"/>
  <c r="X248" i="1"/>
  <c r="X249" i="1"/>
  <c r="X250" i="1"/>
  <c r="X251" i="1"/>
  <c r="X252" i="1"/>
  <c r="X253" i="1"/>
  <c r="X254" i="1"/>
  <c r="X255" i="1"/>
  <c r="X256" i="1"/>
  <c r="X257" i="1"/>
  <c r="X258" i="1"/>
  <c r="X259" i="1"/>
  <c r="X260" i="1"/>
  <c r="X262" i="1"/>
  <c r="X263" i="1"/>
  <c r="X264" i="1"/>
  <c r="X265" i="1"/>
  <c r="X266" i="1"/>
  <c r="X267" i="1"/>
  <c r="X268" i="1"/>
  <c r="X269" i="1"/>
  <c r="X270" i="1"/>
  <c r="X271" i="1"/>
  <c r="X272" i="1"/>
  <c r="X273" i="1"/>
  <c r="X274" i="1"/>
  <c r="X275" i="1"/>
  <c r="X276" i="1"/>
  <c r="X277" i="1"/>
  <c r="X278" i="1"/>
  <c r="X279" i="1"/>
  <c r="X280" i="1"/>
  <c r="X281" i="1"/>
  <c r="X282" i="1"/>
  <c r="X283" i="1"/>
  <c r="X284" i="1"/>
  <c r="X285" i="1"/>
  <c r="X286" i="1"/>
  <c r="X287" i="1"/>
  <c r="X288" i="1"/>
  <c r="X289" i="1"/>
  <c r="X290" i="1"/>
  <c r="X291" i="1"/>
  <c r="X292" i="1"/>
  <c r="X293" i="1"/>
  <c r="X294" i="1"/>
  <c r="X295" i="1"/>
  <c r="X296" i="1"/>
  <c r="X297" i="1"/>
  <c r="X298" i="1"/>
  <c r="X299" i="1"/>
  <c r="X300" i="1"/>
  <c r="X301" i="1"/>
  <c r="X302" i="1"/>
  <c r="X2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0" i="1"/>
  <c r="W131" i="1"/>
  <c r="W133" i="1"/>
  <c r="W134" i="1"/>
  <c r="W135" i="1"/>
  <c r="W136" i="1"/>
  <c r="W137" i="1"/>
  <c r="W138" i="1"/>
  <c r="W139" i="1"/>
  <c r="W140" i="1"/>
  <c r="W141" i="1"/>
  <c r="W142" i="1"/>
  <c r="W143" i="1"/>
  <c r="W144" i="1"/>
  <c r="W145" i="1"/>
  <c r="W146" i="1"/>
  <c r="W147" i="1"/>
  <c r="W148" i="1"/>
  <c r="W149" i="1"/>
  <c r="W150" i="1"/>
  <c r="W151" i="1"/>
  <c r="W152" i="1"/>
  <c r="W153" i="1"/>
  <c r="W154" i="1"/>
  <c r="W155" i="1"/>
  <c r="W156" i="1"/>
  <c r="W157" i="1"/>
  <c r="W158" i="1"/>
  <c r="W159" i="1"/>
  <c r="W160" i="1"/>
  <c r="W161" i="1"/>
  <c r="W162" i="1"/>
  <c r="W163" i="1"/>
  <c r="W164" i="1"/>
  <c r="W165" i="1"/>
  <c r="W166" i="1"/>
  <c r="W167" i="1"/>
  <c r="W168" i="1"/>
  <c r="W169" i="1"/>
  <c r="W170" i="1"/>
  <c r="W171" i="1"/>
  <c r="W172" i="1"/>
  <c r="W173" i="1"/>
  <c r="W174" i="1"/>
  <c r="W175" i="1"/>
  <c r="W176" i="1"/>
  <c r="W177" i="1"/>
  <c r="W178" i="1"/>
  <c r="W179" i="1"/>
  <c r="W180" i="1"/>
  <c r="W181" i="1"/>
  <c r="W182" i="1"/>
  <c r="W183" i="1"/>
  <c r="W184" i="1"/>
  <c r="W185" i="1"/>
  <c r="W186" i="1"/>
  <c r="W187" i="1"/>
  <c r="W188" i="1"/>
  <c r="W189" i="1"/>
  <c r="W190" i="1"/>
  <c r="W191" i="1"/>
  <c r="W192" i="1"/>
  <c r="W193" i="1"/>
  <c r="W194" i="1"/>
  <c r="W195" i="1"/>
  <c r="W196" i="1"/>
  <c r="W197" i="1"/>
  <c r="W198" i="1"/>
  <c r="W199" i="1"/>
  <c r="W200" i="1"/>
  <c r="W201" i="1"/>
  <c r="W202" i="1"/>
  <c r="W203" i="1"/>
  <c r="W204" i="1"/>
  <c r="W205" i="1"/>
  <c r="W206" i="1"/>
  <c r="W207" i="1"/>
  <c r="W208" i="1"/>
  <c r="W209" i="1"/>
  <c r="W210" i="1"/>
  <c r="W211" i="1"/>
  <c r="W212" i="1"/>
  <c r="W213" i="1"/>
  <c r="W214" i="1"/>
  <c r="W215" i="1"/>
  <c r="W216" i="1"/>
  <c r="W217" i="1"/>
  <c r="W218" i="1"/>
  <c r="W219" i="1"/>
  <c r="W220" i="1"/>
  <c r="W221" i="1"/>
  <c r="W222" i="1"/>
  <c r="W223" i="1"/>
  <c r="W224" i="1"/>
  <c r="W225" i="1"/>
  <c r="W226" i="1"/>
  <c r="W227" i="1"/>
  <c r="W228" i="1"/>
  <c r="W229" i="1"/>
  <c r="W230" i="1"/>
  <c r="W231" i="1"/>
  <c r="W232" i="1"/>
  <c r="W233" i="1"/>
  <c r="W234" i="1"/>
  <c r="W235" i="1"/>
  <c r="W236" i="1"/>
  <c r="W237" i="1"/>
  <c r="W238" i="1"/>
  <c r="W239" i="1"/>
  <c r="W240" i="1"/>
  <c r="W241" i="1"/>
  <c r="W242" i="1"/>
  <c r="W243" i="1"/>
  <c r="W244" i="1"/>
  <c r="W245" i="1"/>
  <c r="W246" i="1"/>
  <c r="W247" i="1"/>
  <c r="W248" i="1"/>
  <c r="W249" i="1"/>
  <c r="W250" i="1"/>
  <c r="W251" i="1"/>
  <c r="W252" i="1"/>
  <c r="W253" i="1"/>
  <c r="W254" i="1"/>
  <c r="W255" i="1"/>
  <c r="W256" i="1"/>
  <c r="W257" i="1"/>
  <c r="W258" i="1"/>
  <c r="W259" i="1"/>
  <c r="W260" i="1"/>
  <c r="W262" i="1"/>
  <c r="W263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7" i="1"/>
  <c r="W288" i="1"/>
  <c r="W289" i="1"/>
  <c r="W290" i="1"/>
  <c r="W291" i="1"/>
  <c r="W292" i="1"/>
  <c r="W293" i="1"/>
  <c r="W294" i="1"/>
  <c r="W295" i="1"/>
  <c r="W296" i="1"/>
  <c r="W297" i="1"/>
  <c r="W298" i="1"/>
  <c r="W299" i="1"/>
  <c r="W300" i="1"/>
  <c r="W301" i="1"/>
  <c r="W302" i="1"/>
  <c r="W2" i="1"/>
  <c r="T3" i="1"/>
  <c r="U3" i="1" s="1"/>
  <c r="T4" i="1"/>
  <c r="U4" i="1" s="1"/>
  <c r="T5" i="1"/>
  <c r="U5" i="1" s="1"/>
  <c r="T6" i="1"/>
  <c r="V6" i="1" s="1"/>
  <c r="T7" i="1"/>
  <c r="V7" i="1" s="1"/>
  <c r="T8" i="1"/>
  <c r="V8" i="1" s="1"/>
  <c r="T9" i="1"/>
  <c r="V9" i="1" s="1"/>
  <c r="T10" i="1"/>
  <c r="V10" i="1" s="1"/>
  <c r="T11" i="1"/>
  <c r="V11" i="1" s="1"/>
  <c r="T12" i="1"/>
  <c r="V12" i="1" s="1"/>
  <c r="T13" i="1"/>
  <c r="V13" i="1" s="1"/>
  <c r="T14" i="1"/>
  <c r="U14" i="1" s="1"/>
  <c r="T15" i="1"/>
  <c r="V15" i="1" s="1"/>
  <c r="T16" i="1"/>
  <c r="U16" i="1" s="1"/>
  <c r="T17" i="1"/>
  <c r="V17" i="1" s="1"/>
  <c r="T18" i="1"/>
  <c r="V18" i="1" s="1"/>
  <c r="T19" i="1"/>
  <c r="V19" i="1" s="1"/>
  <c r="T20" i="1"/>
  <c r="V20" i="1" s="1"/>
  <c r="T21" i="1"/>
  <c r="U21" i="1" s="1"/>
  <c r="T22" i="1"/>
  <c r="V22" i="1" s="1"/>
  <c r="T23" i="1"/>
  <c r="V23" i="1" s="1"/>
  <c r="T24" i="1"/>
  <c r="V24" i="1" s="1"/>
  <c r="T25" i="1"/>
  <c r="V25" i="1" s="1"/>
  <c r="T26" i="1"/>
  <c r="V26" i="1" s="1"/>
  <c r="T27" i="1"/>
  <c r="V27" i="1" s="1"/>
  <c r="T28" i="1"/>
  <c r="V28" i="1" s="1"/>
  <c r="T29" i="1"/>
  <c r="V29" i="1" s="1"/>
  <c r="T30" i="1"/>
  <c r="V30" i="1" s="1"/>
  <c r="T31" i="1"/>
  <c r="V31" i="1" s="1"/>
  <c r="T32" i="1"/>
  <c r="U32" i="1" s="1"/>
  <c r="T33" i="1"/>
  <c r="V33" i="1" s="1"/>
  <c r="T34" i="1"/>
  <c r="V34" i="1" s="1"/>
  <c r="T35" i="1"/>
  <c r="V35" i="1" s="1"/>
  <c r="T36" i="1"/>
  <c r="V36" i="1" s="1"/>
  <c r="T37" i="1"/>
  <c r="V37" i="1" s="1"/>
  <c r="T38" i="1"/>
  <c r="V38" i="1" s="1"/>
  <c r="T39" i="1"/>
  <c r="U39" i="1" s="1"/>
  <c r="T40" i="1"/>
  <c r="U40" i="1" s="1"/>
  <c r="T41" i="1"/>
  <c r="V41" i="1" s="1"/>
  <c r="T42" i="1"/>
  <c r="U42" i="1" s="1"/>
  <c r="T43" i="1"/>
  <c r="V43" i="1" s="1"/>
  <c r="T44" i="1"/>
  <c r="V44" i="1" s="1"/>
  <c r="T45" i="1"/>
  <c r="V45" i="1" s="1"/>
  <c r="T46" i="1"/>
  <c r="V46" i="1" s="1"/>
  <c r="T47" i="1"/>
  <c r="U47" i="1" s="1"/>
  <c r="T48" i="1"/>
  <c r="U48" i="1" s="1"/>
  <c r="T49" i="1"/>
  <c r="V49" i="1" s="1"/>
  <c r="T50" i="1"/>
  <c r="V50" i="1" s="1"/>
  <c r="T51" i="1"/>
  <c r="V51" i="1" s="1"/>
  <c r="T52" i="1"/>
  <c r="V52" i="1" s="1"/>
  <c r="T53" i="1"/>
  <c r="V53" i="1" s="1"/>
  <c r="T54" i="1"/>
  <c r="V54" i="1" s="1"/>
  <c r="T55" i="1"/>
  <c r="U55" i="1" s="1"/>
  <c r="T56" i="1"/>
  <c r="U56" i="1" s="1"/>
  <c r="T57" i="1"/>
  <c r="V57" i="1" s="1"/>
  <c r="T58" i="1"/>
  <c r="U58" i="1" s="1"/>
  <c r="T59" i="1"/>
  <c r="U59" i="1" s="1"/>
  <c r="T60" i="1"/>
  <c r="V60" i="1" s="1"/>
  <c r="T61" i="1"/>
  <c r="V61" i="1" s="1"/>
  <c r="T62" i="1"/>
  <c r="V62" i="1" s="1"/>
  <c r="T63" i="1"/>
  <c r="U63" i="1" s="1"/>
  <c r="T64" i="1"/>
  <c r="U64" i="1" s="1"/>
  <c r="T65" i="1"/>
  <c r="T66" i="1"/>
  <c r="U66" i="1" s="1"/>
  <c r="T67" i="1"/>
  <c r="U67" i="1" s="1"/>
  <c r="T68" i="1"/>
  <c r="V68" i="1" s="1"/>
  <c r="T69" i="1"/>
  <c r="V69" i="1" s="1"/>
  <c r="T70" i="1"/>
  <c r="V70" i="1" s="1"/>
  <c r="T71" i="1"/>
  <c r="U71" i="1" s="1"/>
  <c r="T72" i="1"/>
  <c r="U72" i="1" s="1"/>
  <c r="T73" i="1"/>
  <c r="V73" i="1" s="1"/>
  <c r="T74" i="1"/>
  <c r="V74" i="1" s="1"/>
  <c r="T75" i="1"/>
  <c r="V75" i="1" s="1"/>
  <c r="T76" i="1"/>
  <c r="U76" i="1" s="1"/>
  <c r="T77" i="1"/>
  <c r="V77" i="1" s="1"/>
  <c r="T78" i="1"/>
  <c r="U78" i="1" s="1"/>
  <c r="T79" i="1"/>
  <c r="V79" i="1" s="1"/>
  <c r="T80" i="1"/>
  <c r="V80" i="1" s="1"/>
  <c r="T81" i="1"/>
  <c r="V81" i="1" s="1"/>
  <c r="T82" i="1"/>
  <c r="V82" i="1" s="1"/>
  <c r="T83" i="1"/>
  <c r="V83" i="1" s="1"/>
  <c r="T84" i="1"/>
  <c r="V84" i="1" s="1"/>
  <c r="T85" i="1"/>
  <c r="U85" i="1" s="1"/>
  <c r="T86" i="1"/>
  <c r="U86" i="1" s="1"/>
  <c r="T87" i="1"/>
  <c r="U87" i="1" s="1"/>
  <c r="T88" i="1"/>
  <c r="V88" i="1" s="1"/>
  <c r="T89" i="1"/>
  <c r="V89" i="1" s="1"/>
  <c r="T90" i="1"/>
  <c r="V90" i="1" s="1"/>
  <c r="T91" i="1"/>
  <c r="V91" i="1" s="1"/>
  <c r="T92" i="1"/>
  <c r="U92" i="1" s="1"/>
  <c r="T93" i="1"/>
  <c r="V93" i="1" s="1"/>
  <c r="T94" i="1"/>
  <c r="V94" i="1" s="1"/>
  <c r="T95" i="1"/>
  <c r="U95" i="1" s="1"/>
  <c r="T96" i="1"/>
  <c r="V96" i="1" s="1"/>
  <c r="T97" i="1"/>
  <c r="V97" i="1" s="1"/>
  <c r="T98" i="1"/>
  <c r="U98" i="1" s="1"/>
  <c r="T99" i="1"/>
  <c r="V99" i="1" s="1"/>
  <c r="T100" i="1"/>
  <c r="V100" i="1" s="1"/>
  <c r="T101" i="1"/>
  <c r="V101" i="1" s="1"/>
  <c r="T102" i="1"/>
  <c r="V102" i="1" s="1"/>
  <c r="T103" i="1"/>
  <c r="U103" i="1" s="1"/>
  <c r="T104" i="1"/>
  <c r="U104" i="1" s="1"/>
  <c r="T105" i="1"/>
  <c r="V105" i="1" s="1"/>
  <c r="T106" i="1"/>
  <c r="V106" i="1" s="1"/>
  <c r="T107" i="1"/>
  <c r="V107" i="1" s="1"/>
  <c r="T108" i="1"/>
  <c r="V108" i="1" s="1"/>
  <c r="T109" i="1"/>
  <c r="V109" i="1" s="1"/>
  <c r="T110" i="1"/>
  <c r="V110" i="1" s="1"/>
  <c r="T111" i="1"/>
  <c r="U111" i="1" s="1"/>
  <c r="T112" i="1"/>
  <c r="U112" i="1" s="1"/>
  <c r="T113" i="1"/>
  <c r="V113" i="1" s="1"/>
  <c r="T114" i="1"/>
  <c r="V114" i="1" s="1"/>
  <c r="T115" i="1"/>
  <c r="V115" i="1" s="1"/>
  <c r="T116" i="1"/>
  <c r="V116" i="1" s="1"/>
  <c r="T117" i="1"/>
  <c r="V117" i="1" s="1"/>
  <c r="T118" i="1"/>
  <c r="V118" i="1" s="1"/>
  <c r="T119" i="1"/>
  <c r="U119" i="1" s="1"/>
  <c r="T120" i="1"/>
  <c r="U120" i="1" s="1"/>
  <c r="T121" i="1"/>
  <c r="V121" i="1" s="1"/>
  <c r="T122" i="1"/>
  <c r="V122" i="1" s="1"/>
  <c r="T123" i="1"/>
  <c r="U123" i="1" s="1"/>
  <c r="T124" i="1"/>
  <c r="V124" i="1" s="1"/>
  <c r="T125" i="1"/>
  <c r="V125" i="1" s="1"/>
  <c r="T126" i="1"/>
  <c r="V126" i="1" s="1"/>
  <c r="T127" i="1"/>
  <c r="U127" i="1" s="1"/>
  <c r="T128" i="1"/>
  <c r="U128" i="1" s="1"/>
  <c r="T129" i="1"/>
  <c r="V129" i="1" s="1"/>
  <c r="T130" i="1"/>
  <c r="V130" i="1" s="1"/>
  <c r="T131" i="1"/>
  <c r="V131" i="1" s="1"/>
  <c r="T133" i="1"/>
  <c r="V133" i="1" s="1"/>
  <c r="T134" i="1"/>
  <c r="V134" i="1" s="1"/>
  <c r="T135" i="1"/>
  <c r="V135" i="1" s="1"/>
  <c r="T136" i="1"/>
  <c r="U136" i="1" s="1"/>
  <c r="T137" i="1"/>
  <c r="U137" i="1" s="1"/>
  <c r="T138" i="1"/>
  <c r="V138" i="1" s="1"/>
  <c r="T139" i="1"/>
  <c r="V139" i="1" s="1"/>
  <c r="T140" i="1"/>
  <c r="V140" i="1" s="1"/>
  <c r="T141" i="1"/>
  <c r="V141" i="1" s="1"/>
  <c r="T142" i="1"/>
  <c r="V142" i="1" s="1"/>
  <c r="T143" i="1"/>
  <c r="V143" i="1" s="1"/>
  <c r="T144" i="1"/>
  <c r="U144" i="1" s="1"/>
  <c r="T145" i="1"/>
  <c r="U145" i="1" s="1"/>
  <c r="T146" i="1"/>
  <c r="V146" i="1" s="1"/>
  <c r="T147" i="1"/>
  <c r="V147" i="1" s="1"/>
  <c r="T148" i="1"/>
  <c r="V148" i="1" s="1"/>
  <c r="T149" i="1"/>
  <c r="V149" i="1" s="1"/>
  <c r="T150" i="1"/>
  <c r="V150" i="1" s="1"/>
  <c r="T151" i="1"/>
  <c r="V151" i="1" s="1"/>
  <c r="T152" i="1"/>
  <c r="U152" i="1" s="1"/>
  <c r="T153" i="1"/>
  <c r="U153" i="1" s="1"/>
  <c r="T154" i="1"/>
  <c r="V154" i="1" s="1"/>
  <c r="T155" i="1"/>
  <c r="V155" i="1" s="1"/>
  <c r="T156" i="1"/>
  <c r="V156" i="1" s="1"/>
  <c r="T157" i="1"/>
  <c r="V157" i="1" s="1"/>
  <c r="T158" i="1"/>
  <c r="V158" i="1" s="1"/>
  <c r="T159" i="1"/>
  <c r="V159" i="1" s="1"/>
  <c r="T160" i="1"/>
  <c r="U160" i="1" s="1"/>
  <c r="T161" i="1"/>
  <c r="V161" i="1" s="1"/>
  <c r="T162" i="1"/>
  <c r="V162" i="1" s="1"/>
  <c r="T163" i="1"/>
  <c r="V163" i="1" s="1"/>
  <c r="T164" i="1"/>
  <c r="V164" i="1" s="1"/>
  <c r="T165" i="1"/>
  <c r="V165" i="1" s="1"/>
  <c r="T166" i="1"/>
  <c r="V166" i="1" s="1"/>
  <c r="T167" i="1"/>
  <c r="V167" i="1" s="1"/>
  <c r="T168" i="1"/>
  <c r="U168" i="1" s="1"/>
  <c r="T169" i="1"/>
  <c r="U169" i="1" s="1"/>
  <c r="T170" i="1"/>
  <c r="V170" i="1" s="1"/>
  <c r="T171" i="1"/>
  <c r="V171" i="1" s="1"/>
  <c r="T172" i="1"/>
  <c r="V172" i="1" s="1"/>
  <c r="T173" i="1"/>
  <c r="V173" i="1" s="1"/>
  <c r="T174" i="1"/>
  <c r="V174" i="1" s="1"/>
  <c r="T175" i="1"/>
  <c r="V175" i="1" s="1"/>
  <c r="T176" i="1"/>
  <c r="U176" i="1" s="1"/>
  <c r="T177" i="1"/>
  <c r="U177" i="1" s="1"/>
  <c r="T178" i="1"/>
  <c r="V178" i="1" s="1"/>
  <c r="T179" i="1"/>
  <c r="V179" i="1" s="1"/>
  <c r="T180" i="1"/>
  <c r="V180" i="1" s="1"/>
  <c r="T181" i="1"/>
  <c r="V181" i="1" s="1"/>
  <c r="T182" i="1"/>
  <c r="V182" i="1" s="1"/>
  <c r="T183" i="1"/>
  <c r="V183" i="1" s="1"/>
  <c r="T184" i="1"/>
  <c r="U184" i="1" s="1"/>
  <c r="T185" i="1"/>
  <c r="U185" i="1" s="1"/>
  <c r="T186" i="1"/>
  <c r="V186" i="1" s="1"/>
  <c r="T187" i="1"/>
  <c r="V187" i="1" s="1"/>
  <c r="T188" i="1"/>
  <c r="V188" i="1" s="1"/>
  <c r="T189" i="1"/>
  <c r="V189" i="1" s="1"/>
  <c r="T190" i="1"/>
  <c r="V190" i="1" s="1"/>
  <c r="T191" i="1"/>
  <c r="V191" i="1" s="1"/>
  <c r="T192" i="1"/>
  <c r="U192" i="1" s="1"/>
  <c r="T193" i="1"/>
  <c r="U193" i="1" s="1"/>
  <c r="T194" i="1"/>
  <c r="T195" i="1"/>
  <c r="V195" i="1" s="1"/>
  <c r="T196" i="1"/>
  <c r="V196" i="1" s="1"/>
  <c r="T197" i="1"/>
  <c r="V197" i="1" s="1"/>
  <c r="T198" i="1"/>
  <c r="V198" i="1" s="1"/>
  <c r="T199" i="1"/>
  <c r="V199" i="1" s="1"/>
  <c r="T200" i="1"/>
  <c r="U200" i="1" s="1"/>
  <c r="T201" i="1"/>
  <c r="U201" i="1" s="1"/>
  <c r="T202" i="1"/>
  <c r="V202" i="1" s="1"/>
  <c r="T203" i="1"/>
  <c r="V203" i="1" s="1"/>
  <c r="T204" i="1"/>
  <c r="T205" i="1"/>
  <c r="V205" i="1" s="1"/>
  <c r="T206" i="1"/>
  <c r="V206" i="1" s="1"/>
  <c r="T207" i="1"/>
  <c r="V207" i="1" s="1"/>
  <c r="T208" i="1"/>
  <c r="U208" i="1" s="1"/>
  <c r="T209" i="1"/>
  <c r="U209" i="1" s="1"/>
  <c r="T210" i="1"/>
  <c r="T211" i="1"/>
  <c r="V211" i="1" s="1"/>
  <c r="T212" i="1"/>
  <c r="V212" i="1" s="1"/>
  <c r="T213" i="1"/>
  <c r="V213" i="1" s="1"/>
  <c r="T214" i="1"/>
  <c r="V214" i="1" s="1"/>
  <c r="T215" i="1"/>
  <c r="V215" i="1" s="1"/>
  <c r="T216" i="1"/>
  <c r="U216" i="1" s="1"/>
  <c r="T217" i="1"/>
  <c r="U217" i="1" s="1"/>
  <c r="T218" i="1"/>
  <c r="V218" i="1" s="1"/>
  <c r="T219" i="1"/>
  <c r="V219" i="1" s="1"/>
  <c r="T220" i="1"/>
  <c r="V220" i="1" s="1"/>
  <c r="T221" i="1"/>
  <c r="V221" i="1" s="1"/>
  <c r="T222" i="1"/>
  <c r="V222" i="1" s="1"/>
  <c r="T223" i="1"/>
  <c r="V223" i="1" s="1"/>
  <c r="T224" i="1"/>
  <c r="U224" i="1" s="1"/>
  <c r="T225" i="1"/>
  <c r="U225" i="1" s="1"/>
  <c r="T226" i="1"/>
  <c r="V226" i="1" s="1"/>
  <c r="T227" i="1"/>
  <c r="V227" i="1" s="1"/>
  <c r="T228" i="1"/>
  <c r="V228" i="1" s="1"/>
  <c r="T229" i="1"/>
  <c r="V229" i="1" s="1"/>
  <c r="T230" i="1"/>
  <c r="V230" i="1" s="1"/>
  <c r="T231" i="1"/>
  <c r="V231" i="1" s="1"/>
  <c r="T232" i="1"/>
  <c r="U232" i="1" s="1"/>
  <c r="T233" i="1"/>
  <c r="U233" i="1" s="1"/>
  <c r="T234" i="1"/>
  <c r="V234" i="1" s="1"/>
  <c r="T235" i="1"/>
  <c r="V235" i="1" s="1"/>
  <c r="T236" i="1"/>
  <c r="V236" i="1" s="1"/>
  <c r="T237" i="1"/>
  <c r="V237" i="1" s="1"/>
  <c r="T238" i="1"/>
  <c r="V238" i="1" s="1"/>
  <c r="T239" i="1"/>
  <c r="V239" i="1" s="1"/>
  <c r="T240" i="1"/>
  <c r="U240" i="1" s="1"/>
  <c r="T241" i="1"/>
  <c r="U241" i="1" s="1"/>
  <c r="T242" i="1"/>
  <c r="V242" i="1" s="1"/>
  <c r="T243" i="1"/>
  <c r="V243" i="1" s="1"/>
  <c r="T244" i="1"/>
  <c r="V244" i="1" s="1"/>
  <c r="T245" i="1"/>
  <c r="V245" i="1" s="1"/>
  <c r="T246" i="1"/>
  <c r="V246" i="1" s="1"/>
  <c r="T247" i="1"/>
  <c r="V247" i="1" s="1"/>
  <c r="T248" i="1"/>
  <c r="U248" i="1" s="1"/>
  <c r="T249" i="1"/>
  <c r="U249" i="1" s="1"/>
  <c r="T250" i="1"/>
  <c r="V250" i="1" s="1"/>
  <c r="T251" i="1"/>
  <c r="V251" i="1" s="1"/>
  <c r="T252" i="1"/>
  <c r="V252" i="1" s="1"/>
  <c r="T253" i="1"/>
  <c r="V253" i="1" s="1"/>
  <c r="T254" i="1"/>
  <c r="V254" i="1" s="1"/>
  <c r="T255" i="1"/>
  <c r="V255" i="1" s="1"/>
  <c r="T256" i="1"/>
  <c r="U256" i="1" s="1"/>
  <c r="T257" i="1"/>
  <c r="U257" i="1" s="1"/>
  <c r="T258" i="1"/>
  <c r="V258" i="1" s="1"/>
  <c r="T259" i="1"/>
  <c r="V259" i="1" s="1"/>
  <c r="T260" i="1"/>
  <c r="V260" i="1" s="1"/>
  <c r="T262" i="1"/>
  <c r="V262" i="1" s="1"/>
  <c r="T263" i="1"/>
  <c r="V263" i="1" s="1"/>
  <c r="T264" i="1"/>
  <c r="V264" i="1" s="1"/>
  <c r="T265" i="1"/>
  <c r="U265" i="1" s="1"/>
  <c r="T266" i="1"/>
  <c r="U266" i="1" s="1"/>
  <c r="T267" i="1"/>
  <c r="V267" i="1" s="1"/>
  <c r="T268" i="1"/>
  <c r="V268" i="1" s="1"/>
  <c r="T269" i="1"/>
  <c r="V269" i="1" s="1"/>
  <c r="T270" i="1"/>
  <c r="V270" i="1" s="1"/>
  <c r="T271" i="1"/>
  <c r="V271" i="1" s="1"/>
  <c r="T272" i="1"/>
  <c r="V272" i="1" s="1"/>
  <c r="T273" i="1"/>
  <c r="U273" i="1" s="1"/>
  <c r="T274" i="1"/>
  <c r="U274" i="1" s="1"/>
  <c r="T275" i="1"/>
  <c r="V275" i="1" s="1"/>
  <c r="T276" i="1"/>
  <c r="V276" i="1" s="1"/>
  <c r="T277" i="1"/>
  <c r="V277" i="1" s="1"/>
  <c r="T278" i="1"/>
  <c r="V278" i="1" s="1"/>
  <c r="T279" i="1"/>
  <c r="V279" i="1" s="1"/>
  <c r="T280" i="1"/>
  <c r="V280" i="1" s="1"/>
  <c r="T281" i="1"/>
  <c r="U281" i="1" s="1"/>
  <c r="T282" i="1"/>
  <c r="U282" i="1" s="1"/>
  <c r="T283" i="1"/>
  <c r="V283" i="1" s="1"/>
  <c r="T284" i="1"/>
  <c r="V284" i="1" s="1"/>
  <c r="T285" i="1"/>
  <c r="V285" i="1" s="1"/>
  <c r="T286" i="1"/>
  <c r="V286" i="1" s="1"/>
  <c r="T287" i="1"/>
  <c r="V287" i="1" s="1"/>
  <c r="T288" i="1"/>
  <c r="V288" i="1" s="1"/>
  <c r="T289" i="1"/>
  <c r="U289" i="1" s="1"/>
  <c r="T290" i="1"/>
  <c r="U290" i="1" s="1"/>
  <c r="T291" i="1"/>
  <c r="V291" i="1" s="1"/>
  <c r="T292" i="1"/>
  <c r="V292" i="1" s="1"/>
  <c r="T293" i="1"/>
  <c r="V293" i="1" s="1"/>
  <c r="T294" i="1"/>
  <c r="V294" i="1" s="1"/>
  <c r="T295" i="1"/>
  <c r="V295" i="1" s="1"/>
  <c r="T296" i="1"/>
  <c r="V296" i="1" s="1"/>
  <c r="T297" i="1"/>
  <c r="U297" i="1" s="1"/>
  <c r="T298" i="1"/>
  <c r="U298" i="1" s="1"/>
  <c r="T299" i="1"/>
  <c r="V299" i="1" s="1"/>
  <c r="T300" i="1"/>
  <c r="V300" i="1" s="1"/>
  <c r="T301" i="1"/>
  <c r="V301" i="1" s="1"/>
  <c r="T302" i="1"/>
  <c r="V302" i="1" s="1"/>
  <c r="T2" i="1"/>
  <c r="U2" i="1" s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2" i="1"/>
  <c r="R4" i="1"/>
  <c r="R60" i="1"/>
  <c r="R136" i="1"/>
  <c r="R145" i="1"/>
  <c r="R192" i="1"/>
  <c r="R198" i="1"/>
  <c r="R202" i="1"/>
  <c r="R268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2" i="1"/>
  <c r="J3" i="1"/>
  <c r="K3" i="1" s="1"/>
  <c r="J4" i="1"/>
  <c r="K4" i="1" s="1"/>
  <c r="J5" i="1"/>
  <c r="K5" i="1" s="1"/>
  <c r="J6" i="1"/>
  <c r="K6" i="1" s="1"/>
  <c r="J7" i="1"/>
  <c r="K7" i="1" s="1"/>
  <c r="J8" i="1"/>
  <c r="L8" i="1" s="1"/>
  <c r="J9" i="1"/>
  <c r="L9" i="1" s="1"/>
  <c r="J10" i="1"/>
  <c r="L10" i="1" s="1"/>
  <c r="J11" i="1"/>
  <c r="L11" i="1" s="1"/>
  <c r="J12" i="1"/>
  <c r="L12" i="1" s="1"/>
  <c r="J13" i="1"/>
  <c r="K13" i="1" s="1"/>
  <c r="J14" i="1"/>
  <c r="K14" i="1" s="1"/>
  <c r="J15" i="1"/>
  <c r="K15" i="1" s="1"/>
  <c r="J16" i="1"/>
  <c r="L16" i="1" s="1"/>
  <c r="J17" i="1"/>
  <c r="L17" i="1" s="1"/>
  <c r="J18" i="1"/>
  <c r="L18" i="1" s="1"/>
  <c r="J19" i="1"/>
  <c r="L19" i="1" s="1"/>
  <c r="J20" i="1"/>
  <c r="L20" i="1" s="1"/>
  <c r="J21" i="1"/>
  <c r="K21" i="1" s="1"/>
  <c r="J22" i="1"/>
  <c r="K22" i="1" s="1"/>
  <c r="J23" i="1"/>
  <c r="K23" i="1" s="1"/>
  <c r="J24" i="1"/>
  <c r="K24" i="1" s="1"/>
  <c r="J25" i="1"/>
  <c r="L25" i="1" s="1"/>
  <c r="J26" i="1"/>
  <c r="L26" i="1" s="1"/>
  <c r="J27" i="1"/>
  <c r="L27" i="1" s="1"/>
  <c r="J28" i="1"/>
  <c r="L28" i="1" s="1"/>
  <c r="J29" i="1"/>
  <c r="L29" i="1" s="1"/>
  <c r="J30" i="1"/>
  <c r="K30" i="1" s="1"/>
  <c r="J31" i="1"/>
  <c r="K31" i="1" s="1"/>
  <c r="J32" i="1"/>
  <c r="K32" i="1" s="1"/>
  <c r="J33" i="1"/>
  <c r="L33" i="1" s="1"/>
  <c r="J34" i="1"/>
  <c r="L34" i="1" s="1"/>
  <c r="J35" i="1"/>
  <c r="L35" i="1" s="1"/>
  <c r="J36" i="1"/>
  <c r="L36" i="1" s="1"/>
  <c r="J37" i="1"/>
  <c r="L37" i="1" s="1"/>
  <c r="J38" i="1"/>
  <c r="K38" i="1" s="1"/>
  <c r="J39" i="1"/>
  <c r="K39" i="1" s="1"/>
  <c r="J40" i="1"/>
  <c r="K40" i="1" s="1"/>
  <c r="J41" i="1"/>
  <c r="L41" i="1" s="1"/>
  <c r="J42" i="1"/>
  <c r="K42" i="1" s="1"/>
  <c r="J43" i="1"/>
  <c r="L43" i="1" s="1"/>
  <c r="J44" i="1"/>
  <c r="K44" i="1" s="1"/>
  <c r="J45" i="1"/>
  <c r="L45" i="1" s="1"/>
  <c r="J46" i="1"/>
  <c r="L46" i="1" s="1"/>
  <c r="J47" i="1"/>
  <c r="K47" i="1" s="1"/>
  <c r="J48" i="1"/>
  <c r="K48" i="1" s="1"/>
  <c r="J49" i="1"/>
  <c r="L49" i="1" s="1"/>
  <c r="J50" i="1"/>
  <c r="K50" i="1" s="1"/>
  <c r="J51" i="1"/>
  <c r="L51" i="1" s="1"/>
  <c r="J52" i="1"/>
  <c r="L52" i="1" s="1"/>
  <c r="J53" i="1"/>
  <c r="L53" i="1" s="1"/>
  <c r="J54" i="1"/>
  <c r="L54" i="1" s="1"/>
  <c r="J55" i="1"/>
  <c r="K55" i="1" s="1"/>
  <c r="J56" i="1"/>
  <c r="L56" i="1" s="1"/>
  <c r="J57" i="1"/>
  <c r="L57" i="1" s="1"/>
  <c r="J58" i="1"/>
  <c r="K58" i="1" s="1"/>
  <c r="J59" i="1"/>
  <c r="K59" i="1" s="1"/>
  <c r="J60" i="1"/>
  <c r="K60" i="1" s="1"/>
  <c r="J61" i="1"/>
  <c r="K61" i="1" s="1"/>
  <c r="J62" i="1"/>
  <c r="L62" i="1" s="1"/>
  <c r="J63" i="1"/>
  <c r="K63" i="1" s="1"/>
  <c r="J64" i="1"/>
  <c r="L64" i="1" s="1"/>
  <c r="J65" i="1"/>
  <c r="L65" i="1" s="1"/>
  <c r="J66" i="1"/>
  <c r="K66" i="1" s="1"/>
  <c r="J67" i="1"/>
  <c r="K67" i="1" s="1"/>
  <c r="J68" i="1"/>
  <c r="K68" i="1" s="1"/>
  <c r="J69" i="1"/>
  <c r="K69" i="1" s="1"/>
  <c r="J70" i="1"/>
  <c r="K70" i="1" s="1"/>
  <c r="J71" i="1"/>
  <c r="K71" i="1" s="1"/>
  <c r="J72" i="1"/>
  <c r="L72" i="1" s="1"/>
  <c r="J73" i="1"/>
  <c r="L73" i="1" s="1"/>
  <c r="J74" i="1"/>
  <c r="L74" i="1" s="1"/>
  <c r="J75" i="1"/>
  <c r="L75" i="1" s="1"/>
  <c r="J76" i="1"/>
  <c r="K76" i="1" s="1"/>
  <c r="J77" i="1"/>
  <c r="K77" i="1" s="1"/>
  <c r="J78" i="1"/>
  <c r="K78" i="1" s="1"/>
  <c r="J79" i="1"/>
  <c r="K79" i="1" s="1"/>
  <c r="J80" i="1"/>
  <c r="L80" i="1" s="1"/>
  <c r="J81" i="1"/>
  <c r="L81" i="1" s="1"/>
  <c r="J82" i="1"/>
  <c r="L82" i="1" s="1"/>
  <c r="J83" i="1"/>
  <c r="L83" i="1" s="1"/>
  <c r="J84" i="1"/>
  <c r="K84" i="1" s="1"/>
  <c r="J85" i="1"/>
  <c r="K85" i="1" s="1"/>
  <c r="J86" i="1"/>
  <c r="K86" i="1" s="1"/>
  <c r="J87" i="1"/>
  <c r="K87" i="1" s="1"/>
  <c r="J88" i="1"/>
  <c r="K88" i="1" s="1"/>
  <c r="J89" i="1"/>
  <c r="L89" i="1" s="1"/>
  <c r="J90" i="1"/>
  <c r="L90" i="1" s="1"/>
  <c r="J91" i="1"/>
  <c r="L91" i="1" s="1"/>
  <c r="J92" i="1"/>
  <c r="L92" i="1" s="1"/>
  <c r="J93" i="1"/>
  <c r="K93" i="1" s="1"/>
  <c r="J94" i="1"/>
  <c r="K94" i="1" s="1"/>
  <c r="J95" i="1"/>
  <c r="L95" i="1" s="1"/>
  <c r="J96" i="1"/>
  <c r="K96" i="1" s="1"/>
  <c r="J97" i="1"/>
  <c r="L97" i="1" s="1"/>
  <c r="J98" i="1"/>
  <c r="K98" i="1" s="1"/>
  <c r="J99" i="1"/>
  <c r="L99" i="1" s="1"/>
  <c r="J100" i="1"/>
  <c r="L100" i="1" s="1"/>
  <c r="J101" i="1"/>
  <c r="K101" i="1" s="1"/>
  <c r="J102" i="1"/>
  <c r="K102" i="1" s="1"/>
  <c r="J103" i="1"/>
  <c r="K103" i="1" s="1"/>
  <c r="J104" i="1"/>
  <c r="K104" i="1" s="1"/>
  <c r="J105" i="1"/>
  <c r="L105" i="1" s="1"/>
  <c r="J106" i="1"/>
  <c r="L106" i="1" s="1"/>
  <c r="J107" i="1"/>
  <c r="K107" i="1" s="1"/>
  <c r="J108" i="1"/>
  <c r="L108" i="1" s="1"/>
  <c r="J109" i="1"/>
  <c r="K109" i="1" s="1"/>
  <c r="J110" i="1"/>
  <c r="K110" i="1" s="1"/>
  <c r="J111" i="1"/>
  <c r="K111" i="1" s="1"/>
  <c r="J112" i="1"/>
  <c r="K112" i="1" s="1"/>
  <c r="J113" i="1"/>
  <c r="L113" i="1" s="1"/>
  <c r="J114" i="1"/>
  <c r="L114" i="1" s="1"/>
  <c r="J115" i="1"/>
  <c r="L115" i="1" s="1"/>
  <c r="J116" i="1"/>
  <c r="L116" i="1" s="1"/>
  <c r="J117" i="1"/>
  <c r="L117" i="1" s="1"/>
  <c r="J118" i="1"/>
  <c r="L118" i="1" s="1"/>
  <c r="J119" i="1"/>
  <c r="L119" i="1" s="1"/>
  <c r="J120" i="1"/>
  <c r="L120" i="1" s="1"/>
  <c r="J121" i="1"/>
  <c r="L121" i="1" s="1"/>
  <c r="J122" i="1"/>
  <c r="L122" i="1" s="1"/>
  <c r="J123" i="1"/>
  <c r="L123" i="1" s="1"/>
  <c r="J124" i="1"/>
  <c r="L124" i="1" s="1"/>
  <c r="J125" i="1"/>
  <c r="K125" i="1" s="1"/>
  <c r="J126" i="1"/>
  <c r="K126" i="1" s="1"/>
  <c r="J127" i="1"/>
  <c r="L127" i="1" s="1"/>
  <c r="J128" i="1"/>
  <c r="L128" i="1" s="1"/>
  <c r="J129" i="1"/>
  <c r="L129" i="1" s="1"/>
  <c r="J130" i="1"/>
  <c r="L130" i="1" s="1"/>
  <c r="J131" i="1"/>
  <c r="L131" i="1" s="1"/>
  <c r="J133" i="1"/>
  <c r="L133" i="1" s="1"/>
  <c r="J134" i="1"/>
  <c r="K134" i="1" s="1"/>
  <c r="J135" i="1"/>
  <c r="K135" i="1" s="1"/>
  <c r="J136" i="1"/>
  <c r="K136" i="1" s="1"/>
  <c r="J137" i="1"/>
  <c r="L137" i="1" s="1"/>
  <c r="J138" i="1"/>
  <c r="L138" i="1" s="1"/>
  <c r="J139" i="1"/>
  <c r="L139" i="1" s="1"/>
  <c r="J140" i="1"/>
  <c r="L140" i="1" s="1"/>
  <c r="J141" i="1"/>
  <c r="L141" i="1" s="1"/>
  <c r="J142" i="1"/>
  <c r="K142" i="1" s="1"/>
  <c r="J143" i="1"/>
  <c r="K143" i="1" s="1"/>
  <c r="J144" i="1"/>
  <c r="K144" i="1" s="1"/>
  <c r="J145" i="1"/>
  <c r="K145" i="1" s="1"/>
  <c r="J146" i="1"/>
  <c r="L146" i="1" s="1"/>
  <c r="J147" i="1"/>
  <c r="L147" i="1" s="1"/>
  <c r="J148" i="1"/>
  <c r="L148" i="1" s="1"/>
  <c r="J149" i="1"/>
  <c r="L149" i="1" s="1"/>
  <c r="J150" i="1"/>
  <c r="K150" i="1" s="1"/>
  <c r="J151" i="1"/>
  <c r="K151" i="1" s="1"/>
  <c r="J152" i="1"/>
  <c r="L152" i="1" s="1"/>
  <c r="J153" i="1"/>
  <c r="K153" i="1" s="1"/>
  <c r="J154" i="1"/>
  <c r="L154" i="1" s="1"/>
  <c r="J155" i="1"/>
  <c r="L155" i="1" s="1"/>
  <c r="J156" i="1"/>
  <c r="L156" i="1" s="1"/>
  <c r="J157" i="1"/>
  <c r="L157" i="1" s="1"/>
  <c r="J158" i="1"/>
  <c r="K158" i="1" s="1"/>
  <c r="J159" i="1"/>
  <c r="K159" i="1" s="1"/>
  <c r="J160" i="1"/>
  <c r="K160" i="1" s="1"/>
  <c r="J161" i="1"/>
  <c r="K161" i="1" s="1"/>
  <c r="J162" i="1"/>
  <c r="K162" i="1" s="1"/>
  <c r="J163" i="1"/>
  <c r="L163" i="1" s="1"/>
  <c r="J164" i="1"/>
  <c r="K164" i="1" s="1"/>
  <c r="J165" i="1"/>
  <c r="L165" i="1" s="1"/>
  <c r="J166" i="1"/>
  <c r="K166" i="1" s="1"/>
  <c r="J167" i="1"/>
  <c r="K167" i="1" s="1"/>
  <c r="J168" i="1"/>
  <c r="K168" i="1" s="1"/>
  <c r="J169" i="1"/>
  <c r="K169" i="1" s="1"/>
  <c r="J170" i="1"/>
  <c r="K170" i="1" s="1"/>
  <c r="J171" i="1"/>
  <c r="L171" i="1" s="1"/>
  <c r="J172" i="1"/>
  <c r="L172" i="1" s="1"/>
  <c r="J173" i="1"/>
  <c r="L173" i="1" s="1"/>
  <c r="J174" i="1"/>
  <c r="L174" i="1" s="1"/>
  <c r="J175" i="1"/>
  <c r="L175" i="1" s="1"/>
  <c r="J176" i="1"/>
  <c r="L176" i="1" s="1"/>
  <c r="J177" i="1"/>
  <c r="L177" i="1" s="1"/>
  <c r="J178" i="1"/>
  <c r="L178" i="1" s="1"/>
  <c r="J179" i="1"/>
  <c r="L179" i="1" s="1"/>
  <c r="J180" i="1"/>
  <c r="L180" i="1" s="1"/>
  <c r="J181" i="1"/>
  <c r="L181" i="1" s="1"/>
  <c r="J182" i="1"/>
  <c r="K182" i="1" s="1"/>
  <c r="J183" i="1"/>
  <c r="L183" i="1" s="1"/>
  <c r="J184" i="1"/>
  <c r="L184" i="1" s="1"/>
  <c r="J185" i="1"/>
  <c r="L185" i="1" s="1"/>
  <c r="J186" i="1"/>
  <c r="L186" i="1" s="1"/>
  <c r="J187" i="1"/>
  <c r="L187" i="1" s="1"/>
  <c r="J188" i="1"/>
  <c r="L188" i="1" s="1"/>
  <c r="J189" i="1"/>
  <c r="L189" i="1" s="1"/>
  <c r="J190" i="1"/>
  <c r="K190" i="1" s="1"/>
  <c r="J191" i="1"/>
  <c r="K191" i="1" s="1"/>
  <c r="J192" i="1"/>
  <c r="L192" i="1" s="1"/>
  <c r="J193" i="1"/>
  <c r="L193" i="1" s="1"/>
  <c r="J194" i="1"/>
  <c r="L194" i="1" s="1"/>
  <c r="J195" i="1"/>
  <c r="L195" i="1" s="1"/>
  <c r="J196" i="1"/>
  <c r="L196" i="1" s="1"/>
  <c r="J197" i="1"/>
  <c r="L197" i="1" s="1"/>
  <c r="J198" i="1"/>
  <c r="K198" i="1" s="1"/>
  <c r="J199" i="1"/>
  <c r="K199" i="1" s="1"/>
  <c r="J200" i="1"/>
  <c r="K200" i="1" s="1"/>
  <c r="J201" i="1"/>
  <c r="L201" i="1" s="1"/>
  <c r="J202" i="1"/>
  <c r="L202" i="1" s="1"/>
  <c r="J203" i="1"/>
  <c r="L203" i="1" s="1"/>
  <c r="J204" i="1"/>
  <c r="L204" i="1" s="1"/>
  <c r="J205" i="1"/>
  <c r="L205" i="1" s="1"/>
  <c r="J206" i="1"/>
  <c r="K206" i="1" s="1"/>
  <c r="J207" i="1"/>
  <c r="K207" i="1" s="1"/>
  <c r="J208" i="1"/>
  <c r="K208" i="1" s="1"/>
  <c r="J209" i="1"/>
  <c r="K209" i="1" s="1"/>
  <c r="J210" i="1"/>
  <c r="L210" i="1" s="1"/>
  <c r="J211" i="1"/>
  <c r="L211" i="1" s="1"/>
  <c r="J212" i="1"/>
  <c r="L212" i="1" s="1"/>
  <c r="J213" i="1"/>
  <c r="L213" i="1" s="1"/>
  <c r="J214" i="1"/>
  <c r="K214" i="1" s="1"/>
  <c r="J215" i="1"/>
  <c r="K215" i="1" s="1"/>
  <c r="J216" i="1"/>
  <c r="K216" i="1" s="1"/>
  <c r="J217" i="1"/>
  <c r="K217" i="1" s="1"/>
  <c r="J218" i="1"/>
  <c r="K218" i="1" s="1"/>
  <c r="J219" i="1"/>
  <c r="L219" i="1" s="1"/>
  <c r="J220" i="1"/>
  <c r="L220" i="1" s="1"/>
  <c r="J221" i="1"/>
  <c r="L221" i="1" s="1"/>
  <c r="J222" i="1"/>
  <c r="K222" i="1" s="1"/>
  <c r="J223" i="1"/>
  <c r="K223" i="1" s="1"/>
  <c r="J224" i="1"/>
  <c r="K224" i="1" s="1"/>
  <c r="J225" i="1"/>
  <c r="K225" i="1" s="1"/>
  <c r="J226" i="1"/>
  <c r="K226" i="1" s="1"/>
  <c r="J227" i="1"/>
  <c r="L227" i="1" s="1"/>
  <c r="J228" i="1"/>
  <c r="K228" i="1" s="1"/>
  <c r="J229" i="1"/>
  <c r="L229" i="1" s="1"/>
  <c r="J230" i="1"/>
  <c r="K230" i="1" s="1"/>
  <c r="J231" i="1"/>
  <c r="K231" i="1" s="1"/>
  <c r="J232" i="1"/>
  <c r="K232" i="1" s="1"/>
  <c r="J233" i="1"/>
  <c r="K233" i="1" s="1"/>
  <c r="J234" i="1"/>
  <c r="K234" i="1" s="1"/>
  <c r="J235" i="1"/>
  <c r="L235" i="1" s="1"/>
  <c r="J236" i="1"/>
  <c r="L236" i="1" s="1"/>
  <c r="J237" i="1"/>
  <c r="L237" i="1" s="1"/>
  <c r="J238" i="1"/>
  <c r="L238" i="1" s="1"/>
  <c r="J239" i="1"/>
  <c r="L239" i="1" s="1"/>
  <c r="J240" i="1"/>
  <c r="L240" i="1" s="1"/>
  <c r="J241" i="1"/>
  <c r="L241" i="1" s="1"/>
  <c r="J242" i="1"/>
  <c r="L242" i="1" s="1"/>
  <c r="J243" i="1"/>
  <c r="L243" i="1" s="1"/>
  <c r="J244" i="1"/>
  <c r="L244" i="1" s="1"/>
  <c r="J245" i="1"/>
  <c r="L245" i="1" s="1"/>
  <c r="J246" i="1"/>
  <c r="K246" i="1" s="1"/>
  <c r="J247" i="1"/>
  <c r="L247" i="1" s="1"/>
  <c r="J248" i="1"/>
  <c r="L248" i="1" s="1"/>
  <c r="J249" i="1"/>
  <c r="L249" i="1" s="1"/>
  <c r="J250" i="1"/>
  <c r="L250" i="1" s="1"/>
  <c r="J251" i="1"/>
  <c r="L251" i="1" s="1"/>
  <c r="J252" i="1"/>
  <c r="L252" i="1" s="1"/>
  <c r="J253" i="1"/>
  <c r="L253" i="1" s="1"/>
  <c r="J254" i="1"/>
  <c r="K254" i="1" s="1"/>
  <c r="J255" i="1"/>
  <c r="K255" i="1" s="1"/>
  <c r="J256" i="1"/>
  <c r="L256" i="1" s="1"/>
  <c r="J257" i="1"/>
  <c r="L257" i="1" s="1"/>
  <c r="J258" i="1"/>
  <c r="L258" i="1" s="1"/>
  <c r="J259" i="1"/>
  <c r="L259" i="1" s="1"/>
  <c r="J260" i="1"/>
  <c r="L260" i="1" s="1"/>
  <c r="J262" i="1"/>
  <c r="L262" i="1" s="1"/>
  <c r="J263" i="1"/>
  <c r="K263" i="1" s="1"/>
  <c r="J264" i="1"/>
  <c r="K264" i="1" s="1"/>
  <c r="J265" i="1"/>
  <c r="K265" i="1" s="1"/>
  <c r="J266" i="1"/>
  <c r="L266" i="1" s="1"/>
  <c r="J267" i="1"/>
  <c r="L267" i="1" s="1"/>
  <c r="J268" i="1"/>
  <c r="L268" i="1" s="1"/>
  <c r="J269" i="1"/>
  <c r="L269" i="1" s="1"/>
  <c r="J270" i="1"/>
  <c r="L270" i="1" s="1"/>
  <c r="J271" i="1"/>
  <c r="K271" i="1" s="1"/>
  <c r="J272" i="1"/>
  <c r="K272" i="1" s="1"/>
  <c r="J273" i="1"/>
  <c r="K273" i="1" s="1"/>
  <c r="J274" i="1"/>
  <c r="K274" i="1" s="1"/>
  <c r="J275" i="1"/>
  <c r="L275" i="1" s="1"/>
  <c r="J276" i="1"/>
  <c r="L276" i="1" s="1"/>
  <c r="J277" i="1"/>
  <c r="L277" i="1" s="1"/>
  <c r="J278" i="1"/>
  <c r="L278" i="1" s="1"/>
  <c r="J279" i="1"/>
  <c r="K279" i="1" s="1"/>
  <c r="J280" i="1"/>
  <c r="K280" i="1" s="1"/>
  <c r="J281" i="1"/>
  <c r="K281" i="1" s="1"/>
  <c r="J282" i="1"/>
  <c r="K282" i="1" s="1"/>
  <c r="J283" i="1"/>
  <c r="K283" i="1" s="1"/>
  <c r="J284" i="1"/>
  <c r="L284" i="1" s="1"/>
  <c r="J285" i="1"/>
  <c r="L285" i="1" s="1"/>
  <c r="J286" i="1"/>
  <c r="L286" i="1" s="1"/>
  <c r="J287" i="1"/>
  <c r="K287" i="1" s="1"/>
  <c r="J288" i="1"/>
  <c r="K288" i="1" s="1"/>
  <c r="J289" i="1"/>
  <c r="K289" i="1" s="1"/>
  <c r="J290" i="1"/>
  <c r="L290" i="1" s="1"/>
  <c r="J291" i="1"/>
  <c r="K291" i="1" s="1"/>
  <c r="J292" i="1"/>
  <c r="L292" i="1" s="1"/>
  <c r="J293" i="1"/>
  <c r="L293" i="1" s="1"/>
  <c r="J294" i="1"/>
  <c r="L294" i="1" s="1"/>
  <c r="J295" i="1"/>
  <c r="K295" i="1" s="1"/>
  <c r="J296" i="1"/>
  <c r="K296" i="1" s="1"/>
  <c r="J297" i="1"/>
  <c r="K297" i="1" s="1"/>
  <c r="J298" i="1"/>
  <c r="K298" i="1" s="1"/>
  <c r="J299" i="1"/>
  <c r="K299" i="1" s="1"/>
  <c r="J300" i="1"/>
  <c r="L300" i="1" s="1"/>
  <c r="J301" i="1"/>
  <c r="K301" i="1" s="1"/>
  <c r="J302" i="1"/>
  <c r="K302" i="1" s="1"/>
  <c r="J2" i="1"/>
  <c r="K2" i="1" s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2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2" i="1"/>
  <c r="AO261" i="1" l="1"/>
  <c r="AS261" i="1" s="1"/>
  <c r="AV261" i="1" s="1"/>
  <c r="AW261" i="1" s="1"/>
  <c r="DR261" i="1"/>
  <c r="DH261" i="1"/>
  <c r="DL261" i="1" s="1"/>
  <c r="DO261" i="1" s="1"/>
  <c r="DP261" i="1" s="1"/>
  <c r="DV261" i="1"/>
  <c r="EF261" i="1"/>
  <c r="EG261" i="1"/>
  <c r="AF303" i="1"/>
  <c r="AI303" i="1" s="1"/>
  <c r="DI303" i="1"/>
  <c r="EF303" i="1"/>
  <c r="EG303" i="1"/>
  <c r="BU303" i="1"/>
  <c r="DY261" i="1"/>
  <c r="CE261" i="1"/>
  <c r="CH261" i="1" s="1"/>
  <c r="AO303" i="1"/>
  <c r="AS303" i="1" s="1"/>
  <c r="CD303" i="1"/>
  <c r="CH303" i="1" s="1"/>
  <c r="DR303" i="1"/>
  <c r="DV303" i="1" s="1"/>
  <c r="DS303" i="1"/>
  <c r="L261" i="1"/>
  <c r="O261" i="1" s="1"/>
  <c r="BA261" i="1"/>
  <c r="BD261" i="1" s="1"/>
  <c r="CO261" i="1"/>
  <c r="CR261" i="1" s="1"/>
  <c r="K303" i="1"/>
  <c r="O303" i="1" s="1"/>
  <c r="AY303" i="1"/>
  <c r="BX303" i="1"/>
  <c r="CN303" i="1"/>
  <c r="DL303" i="1"/>
  <c r="U261" i="1"/>
  <c r="Y261" i="1" s="1"/>
  <c r="BJ261" i="1"/>
  <c r="BN261" i="1" s="1"/>
  <c r="CX261" i="1"/>
  <c r="DB261" i="1" s="1"/>
  <c r="L303" i="1"/>
  <c r="BA303" i="1"/>
  <c r="CO303" i="1"/>
  <c r="U303" i="1"/>
  <c r="Y303" i="1" s="1"/>
  <c r="BJ303" i="1"/>
  <c r="BN303" i="1" s="1"/>
  <c r="CX303" i="1"/>
  <c r="DB303" i="1" s="1"/>
  <c r="AE261" i="1"/>
  <c r="AI261" i="1" s="1"/>
  <c r="BT261" i="1"/>
  <c r="BX261" i="1" s="1"/>
  <c r="CR132" i="1"/>
  <c r="CH132" i="1"/>
  <c r="CR169" i="1"/>
  <c r="AS132" i="1"/>
  <c r="AV132" i="1" s="1"/>
  <c r="AW132" i="1" s="1"/>
  <c r="AP132" i="1"/>
  <c r="BD132" i="1"/>
  <c r="BD169" i="1"/>
  <c r="DL169" i="1"/>
  <c r="DV132" i="1"/>
  <c r="DB132" i="1"/>
  <c r="BN169" i="1"/>
  <c r="BN132" i="1"/>
  <c r="Y202" i="1"/>
  <c r="Y130" i="1"/>
  <c r="Y24" i="1"/>
  <c r="Y135" i="1"/>
  <c r="Y295" i="1"/>
  <c r="V132" i="1"/>
  <c r="EF132" i="1"/>
  <c r="Y268" i="1"/>
  <c r="O295" i="1"/>
  <c r="DR132" i="1"/>
  <c r="U132" i="1"/>
  <c r="O268" i="1"/>
  <c r="O202" i="1"/>
  <c r="O135" i="1"/>
  <c r="O132" i="1"/>
  <c r="EG132" i="1"/>
  <c r="O130" i="1"/>
  <c r="CD132" i="1"/>
  <c r="O24" i="1"/>
  <c r="DI132" i="1"/>
  <c r="BU132" i="1"/>
  <c r="AF132" i="1"/>
  <c r="DH132" i="1"/>
  <c r="BT132" i="1"/>
  <c r="AE132" i="1"/>
  <c r="CY132" i="1"/>
  <c r="BK132" i="1"/>
  <c r="CO132" i="1"/>
  <c r="BA132" i="1"/>
  <c r="L132" i="1"/>
  <c r="AF143" i="1"/>
  <c r="AI143" i="1" s="1"/>
  <c r="AE149" i="1"/>
  <c r="AI149" i="1" s="1"/>
  <c r="AF124" i="1"/>
  <c r="AI124" i="1" s="1"/>
  <c r="AF181" i="1"/>
  <c r="AI181" i="1" s="1"/>
  <c r="DH31" i="1"/>
  <c r="DL31" i="1" s="1"/>
  <c r="DO31" i="1" s="1"/>
  <c r="DP31" i="1" s="1"/>
  <c r="CN62" i="1"/>
  <c r="CR62" i="1" s="1"/>
  <c r="AF221" i="1"/>
  <c r="AI221" i="1" s="1"/>
  <c r="AF108" i="1"/>
  <c r="AI108" i="1" s="1"/>
  <c r="AE229" i="1"/>
  <c r="AI229" i="1" s="1"/>
  <c r="DH15" i="1"/>
  <c r="DL15" i="1" s="1"/>
  <c r="DO15" i="1" s="1"/>
  <c r="DP15" i="1" s="1"/>
  <c r="CX110" i="1"/>
  <c r="DB110" i="1" s="1"/>
  <c r="V16" i="1"/>
  <c r="Y16" i="1" s="1"/>
  <c r="BU103" i="1"/>
  <c r="BX103" i="1" s="1"/>
  <c r="CA103" i="1" s="1"/>
  <c r="CB103" i="1" s="1"/>
  <c r="BU71" i="1"/>
  <c r="BX71" i="1" s="1"/>
  <c r="CA71" i="1" s="1"/>
  <c r="CB71" i="1" s="1"/>
  <c r="BU15" i="1"/>
  <c r="BX15" i="1" s="1"/>
  <c r="CD20" i="1"/>
  <c r="CH20" i="1" s="1"/>
  <c r="CE157" i="1"/>
  <c r="CH157" i="1" s="1"/>
  <c r="CO94" i="1"/>
  <c r="CR94" i="1" s="1"/>
  <c r="CO41" i="1"/>
  <c r="CR41" i="1" s="1"/>
  <c r="AF245" i="1"/>
  <c r="AI245" i="1" s="1"/>
  <c r="AP70" i="1"/>
  <c r="AS70" i="1" s="1"/>
  <c r="AP6" i="1"/>
  <c r="AS6" i="1" s="1"/>
  <c r="AV6" i="1" s="1"/>
  <c r="AW6" i="1" s="1"/>
  <c r="BA243" i="1"/>
  <c r="BD243" i="1" s="1"/>
  <c r="BA145" i="1"/>
  <c r="BD145" i="1" s="1"/>
  <c r="DS44" i="1"/>
  <c r="DV44" i="1" s="1"/>
  <c r="DY44" i="1" s="1"/>
  <c r="CY133" i="1"/>
  <c r="DB133" i="1" s="1"/>
  <c r="CX92" i="1"/>
  <c r="DB92" i="1" s="1"/>
  <c r="BJ213" i="1"/>
  <c r="BN213" i="1" s="1"/>
  <c r="BQ213" i="1" s="1"/>
  <c r="BR213" i="1" s="1"/>
  <c r="BJ173" i="1"/>
  <c r="BK157" i="1"/>
  <c r="BN157" i="1" s="1"/>
  <c r="BQ157" i="1" s="1"/>
  <c r="BR157" i="1" s="1"/>
  <c r="BK36" i="1"/>
  <c r="BN36" i="1" s="1"/>
  <c r="BQ36" i="1" s="1"/>
  <c r="BR36" i="1" s="1"/>
  <c r="BK28" i="1"/>
  <c r="BN28" i="1" s="1"/>
  <c r="V40" i="1"/>
  <c r="Y40" i="1" s="1"/>
  <c r="BU265" i="1"/>
  <c r="BX265" i="1" s="1"/>
  <c r="CA265" i="1" s="1"/>
  <c r="CB265" i="1" s="1"/>
  <c r="BU184" i="1"/>
  <c r="BX184" i="1" s="1"/>
  <c r="CA184" i="1" s="1"/>
  <c r="CB184" i="1" s="1"/>
  <c r="BU160" i="1"/>
  <c r="BX160" i="1" s="1"/>
  <c r="CA160" i="1" s="1"/>
  <c r="CB160" i="1" s="1"/>
  <c r="BT189" i="1"/>
  <c r="BX189" i="1" s="1"/>
  <c r="BT141" i="1"/>
  <c r="BX141" i="1" s="1"/>
  <c r="BT92" i="1"/>
  <c r="BX92" i="1" s="1"/>
  <c r="BT38" i="1"/>
  <c r="BU6" i="1"/>
  <c r="CD275" i="1"/>
  <c r="CH275" i="1" s="1"/>
  <c r="CD138" i="1"/>
  <c r="CH138" i="1" s="1"/>
  <c r="CD97" i="1"/>
  <c r="CH97" i="1" s="1"/>
  <c r="CD81" i="1"/>
  <c r="CH81" i="1" s="1"/>
  <c r="CD164" i="1"/>
  <c r="CH164" i="1" s="1"/>
  <c r="CK164" i="1" s="1"/>
  <c r="CL164" i="1" s="1"/>
  <c r="CD27" i="1"/>
  <c r="CH27" i="1" s="1"/>
  <c r="CE228" i="1"/>
  <c r="CH228" i="1" s="1"/>
  <c r="CO128" i="1"/>
  <c r="CR128" i="1" s="1"/>
  <c r="CD75" i="1"/>
  <c r="CH75" i="1" s="1"/>
  <c r="CK75" i="1" s="1"/>
  <c r="CL75" i="1" s="1"/>
  <c r="CD121" i="1"/>
  <c r="CH121" i="1" s="1"/>
  <c r="CD60" i="1"/>
  <c r="CH60" i="1" s="1"/>
  <c r="CL60" i="1" s="1"/>
  <c r="CD3" i="1"/>
  <c r="CH3" i="1" s="1"/>
  <c r="CE99" i="1"/>
  <c r="CH99" i="1" s="1"/>
  <c r="CK99" i="1" s="1"/>
  <c r="CL99" i="1" s="1"/>
  <c r="CO40" i="1"/>
  <c r="CR40" i="1" s="1"/>
  <c r="CD244" i="1"/>
  <c r="CH244" i="1" s="1"/>
  <c r="CD115" i="1"/>
  <c r="CE92" i="1"/>
  <c r="CH92" i="1" s="1"/>
  <c r="CD11" i="1"/>
  <c r="CH11" i="1" s="1"/>
  <c r="CK11" i="1" s="1"/>
  <c r="CL11" i="1" s="1"/>
  <c r="CD107" i="1"/>
  <c r="CH107" i="1" s="1"/>
  <c r="CD57" i="1"/>
  <c r="CH57" i="1" s="1"/>
  <c r="CE293" i="1"/>
  <c r="CH293" i="1" s="1"/>
  <c r="CD196" i="1"/>
  <c r="CH196" i="1" s="1"/>
  <c r="CD100" i="1"/>
  <c r="CH100" i="1" s="1"/>
  <c r="CD43" i="1"/>
  <c r="CH43" i="1" s="1"/>
  <c r="CE285" i="1"/>
  <c r="CH285" i="1" s="1"/>
  <c r="CK285" i="1" s="1"/>
  <c r="CL285" i="1" s="1"/>
  <c r="CE28" i="1"/>
  <c r="CH28" i="1" s="1"/>
  <c r="CD178" i="1"/>
  <c r="CH178" i="1" s="1"/>
  <c r="CE277" i="1"/>
  <c r="CE12" i="1"/>
  <c r="CH12" i="1" s="1"/>
  <c r="CN39" i="1"/>
  <c r="CR39" i="1" s="1"/>
  <c r="CN184" i="1"/>
  <c r="CO297" i="1"/>
  <c r="CR297" i="1" s="1"/>
  <c r="CU297" i="1" s="1"/>
  <c r="CV297" i="1" s="1"/>
  <c r="CO145" i="1"/>
  <c r="CR145" i="1" s="1"/>
  <c r="CV145" i="1" s="1"/>
  <c r="CO88" i="1"/>
  <c r="CR88" i="1" s="1"/>
  <c r="CO24" i="1"/>
  <c r="CR24" i="1" s="1"/>
  <c r="CN200" i="1"/>
  <c r="CR200" i="1" s="1"/>
  <c r="CO152" i="1"/>
  <c r="CR152" i="1" s="1"/>
  <c r="CN168" i="1"/>
  <c r="CR168" i="1" s="1"/>
  <c r="CU168" i="1" s="1"/>
  <c r="CV168" i="1" s="1"/>
  <c r="CO265" i="1"/>
  <c r="CR265" i="1" s="1"/>
  <c r="CO87" i="1"/>
  <c r="CR87" i="1" s="1"/>
  <c r="CO23" i="1"/>
  <c r="CR23" i="1" s="1"/>
  <c r="AE189" i="1"/>
  <c r="AI189" i="1" s="1"/>
  <c r="CO248" i="1"/>
  <c r="CR248" i="1" s="1"/>
  <c r="CU248" i="1" s="1"/>
  <c r="CV248" i="1" s="1"/>
  <c r="CO120" i="1"/>
  <c r="CR120" i="1" s="1"/>
  <c r="CO64" i="1"/>
  <c r="CR64" i="1" s="1"/>
  <c r="CN103" i="1"/>
  <c r="CR103" i="1" s="1"/>
  <c r="CO119" i="1"/>
  <c r="CR119" i="1" s="1"/>
  <c r="CO56" i="1"/>
  <c r="CR56" i="1" s="1"/>
  <c r="CN71" i="1"/>
  <c r="CR71" i="1" s="1"/>
  <c r="CO177" i="1"/>
  <c r="CR177" i="1" s="1"/>
  <c r="CO104" i="1"/>
  <c r="CR104" i="1" s="1"/>
  <c r="CO55" i="1"/>
  <c r="CR55" i="1" s="1"/>
  <c r="AF92" i="1"/>
  <c r="AI92" i="1" s="1"/>
  <c r="CN281" i="1"/>
  <c r="CR281" i="1" s="1"/>
  <c r="CU281" i="1" s="1"/>
  <c r="CV281" i="1" s="1"/>
  <c r="CN63" i="1"/>
  <c r="CR63" i="1" s="1"/>
  <c r="CO176" i="1"/>
  <c r="CO96" i="1"/>
  <c r="CR96" i="1" s="1"/>
  <c r="CN232" i="1"/>
  <c r="CR232" i="1" s="1"/>
  <c r="CU232" i="1" s="1"/>
  <c r="CV232" i="1" s="1"/>
  <c r="CO95" i="1"/>
  <c r="CR95" i="1" s="1"/>
  <c r="AF225" i="1"/>
  <c r="AI225" i="1" s="1"/>
  <c r="AO83" i="1"/>
  <c r="AS83" i="1" s="1"/>
  <c r="AV83" i="1" s="1"/>
  <c r="AW83" i="1" s="1"/>
  <c r="AP102" i="1"/>
  <c r="AS102" i="1" s="1"/>
  <c r="AV102" i="1" s="1"/>
  <c r="AW102" i="1" s="1"/>
  <c r="AP45" i="1"/>
  <c r="AS45" i="1" s="1"/>
  <c r="AP30" i="1"/>
  <c r="AS30" i="1" s="1"/>
  <c r="AO117" i="1"/>
  <c r="AS117" i="1" s="1"/>
  <c r="AV117" i="1" s="1"/>
  <c r="AW117" i="1" s="1"/>
  <c r="AP110" i="1"/>
  <c r="AP14" i="1"/>
  <c r="AO53" i="1"/>
  <c r="AS53" i="1" s="1"/>
  <c r="AP86" i="1"/>
  <c r="AS86" i="1" s="1"/>
  <c r="AV86" i="1" s="1"/>
  <c r="AW86" i="1" s="1"/>
  <c r="BA16" i="1"/>
  <c r="BD16" i="1" s="1"/>
  <c r="DH154" i="1"/>
  <c r="DH79" i="1"/>
  <c r="DH73" i="1"/>
  <c r="DL73" i="1" s="1"/>
  <c r="DO73" i="1" s="1"/>
  <c r="DP73" i="1" s="1"/>
  <c r="AY161" i="1"/>
  <c r="BD161" i="1" s="1"/>
  <c r="AY211" i="1"/>
  <c r="BD211" i="1" s="1"/>
  <c r="BA80" i="1"/>
  <c r="BD80" i="1" s="1"/>
  <c r="DR76" i="1"/>
  <c r="DV76" i="1" s="1"/>
  <c r="BA236" i="1"/>
  <c r="BD236" i="1" s="1"/>
  <c r="CX44" i="1"/>
  <c r="DB44" i="1" s="1"/>
  <c r="CY6" i="1"/>
  <c r="DB6" i="1" s="1"/>
  <c r="DS158" i="1"/>
  <c r="DV158" i="1" s="1"/>
  <c r="DY158" i="1" s="1"/>
  <c r="DZ158" i="1" s="1"/>
  <c r="CX246" i="1"/>
  <c r="DB246" i="1" s="1"/>
  <c r="CY62" i="1"/>
  <c r="DB62" i="1" s="1"/>
  <c r="CY135" i="1"/>
  <c r="DB135" i="1" s="1"/>
  <c r="CX96" i="1"/>
  <c r="DB96" i="1" s="1"/>
  <c r="DS12" i="1"/>
  <c r="DV12" i="1" s="1"/>
  <c r="BK12" i="1"/>
  <c r="BN12" i="1" s="1"/>
  <c r="CY2" i="1"/>
  <c r="DB2" i="1" s="1"/>
  <c r="BK270" i="1"/>
  <c r="BN270" i="1" s="1"/>
  <c r="CX143" i="1"/>
  <c r="DB143" i="1" s="1"/>
  <c r="CX78" i="1"/>
  <c r="DB78" i="1" s="1"/>
  <c r="CY124" i="1"/>
  <c r="DB124" i="1" s="1"/>
  <c r="BJ262" i="1"/>
  <c r="BN262" i="1" s="1"/>
  <c r="BQ262" i="1" s="1"/>
  <c r="BR262" i="1" s="1"/>
  <c r="CX138" i="1"/>
  <c r="DB138" i="1" s="1"/>
  <c r="BJ229" i="1"/>
  <c r="BN229" i="1" s="1"/>
  <c r="BK79" i="1"/>
  <c r="BN79" i="1" s="1"/>
  <c r="BK214" i="1"/>
  <c r="BN214" i="1" s="1"/>
  <c r="BK77" i="1"/>
  <c r="BN77" i="1" s="1"/>
  <c r="BK5" i="1"/>
  <c r="BN5" i="1" s="1"/>
  <c r="BJ165" i="1"/>
  <c r="BN165" i="1" s="1"/>
  <c r="BJ45" i="1"/>
  <c r="BN45" i="1" s="1"/>
  <c r="BK189" i="1"/>
  <c r="BK76" i="1"/>
  <c r="BN76" i="1" s="1"/>
  <c r="BK4" i="1"/>
  <c r="BJ302" i="1"/>
  <c r="BN302" i="1" s="1"/>
  <c r="BJ221" i="1"/>
  <c r="BN221" i="1" s="1"/>
  <c r="BJ150" i="1"/>
  <c r="BN150" i="1" s="1"/>
  <c r="BK279" i="1"/>
  <c r="BN279" i="1" s="1"/>
  <c r="BK124" i="1"/>
  <c r="BK44" i="1"/>
  <c r="BJ294" i="1"/>
  <c r="BN294" i="1" s="1"/>
  <c r="BJ149" i="1"/>
  <c r="BN149" i="1" s="1"/>
  <c r="BQ149" i="1" s="1"/>
  <c r="BR149" i="1" s="1"/>
  <c r="BK278" i="1"/>
  <c r="BN278" i="1" s="1"/>
  <c r="BQ278" i="1" s="1"/>
  <c r="BR278" i="1" s="1"/>
  <c r="BK108" i="1"/>
  <c r="BJ134" i="1"/>
  <c r="BN134" i="1" s="1"/>
  <c r="BJ271" i="1"/>
  <c r="BN271" i="1" s="1"/>
  <c r="BJ133" i="1"/>
  <c r="BN133" i="1" s="1"/>
  <c r="BQ133" i="1" s="1"/>
  <c r="BR133" i="1" s="1"/>
  <c r="BK92" i="1"/>
  <c r="BN92" i="1" s="1"/>
  <c r="BK20" i="1"/>
  <c r="BN20" i="1" s="1"/>
  <c r="BQ20" i="1" s="1"/>
  <c r="BR20" i="1" s="1"/>
  <c r="BJ174" i="1"/>
  <c r="BN174" i="1" s="1"/>
  <c r="BJ109" i="1"/>
  <c r="BN109" i="1" s="1"/>
  <c r="V86" i="1"/>
  <c r="Y86" i="1" s="1"/>
  <c r="U175" i="1"/>
  <c r="Y175" i="1" s="1"/>
  <c r="U126" i="1"/>
  <c r="Y126" i="1" s="1"/>
  <c r="U60" i="1"/>
  <c r="Y60" i="1" s="1"/>
  <c r="AC60" i="1" s="1"/>
  <c r="U24" i="1"/>
  <c r="BU256" i="1"/>
  <c r="BU168" i="1"/>
  <c r="BX168" i="1" s="1"/>
  <c r="BT165" i="1"/>
  <c r="BX165" i="1" s="1"/>
  <c r="BU119" i="1"/>
  <c r="BX119" i="1" s="1"/>
  <c r="BU63" i="1"/>
  <c r="BX63" i="1" s="1"/>
  <c r="CA63" i="1" s="1"/>
  <c r="CB63" i="1" s="1"/>
  <c r="BU7" i="1"/>
  <c r="BX7" i="1" s="1"/>
  <c r="CA7" i="1" s="1"/>
  <c r="CB7" i="1" s="1"/>
  <c r="BU297" i="1"/>
  <c r="BX297" i="1" s="1"/>
  <c r="CA297" i="1" s="1"/>
  <c r="CB297" i="1" s="1"/>
  <c r="BU208" i="1"/>
  <c r="BU144" i="1"/>
  <c r="BX144" i="1" s="1"/>
  <c r="BU95" i="1"/>
  <c r="BT213" i="1"/>
  <c r="BX213" i="1" s="1"/>
  <c r="BT116" i="1"/>
  <c r="BX116" i="1" s="1"/>
  <c r="BU289" i="1"/>
  <c r="BU200" i="1"/>
  <c r="BX200" i="1" s="1"/>
  <c r="CA200" i="1" s="1"/>
  <c r="CB200" i="1" s="1"/>
  <c r="BU136" i="1"/>
  <c r="BX136" i="1" s="1"/>
  <c r="CB136" i="1" s="1"/>
  <c r="BU224" i="1"/>
  <c r="BX224" i="1" s="1"/>
  <c r="BU55" i="1"/>
  <c r="BX55" i="1" s="1"/>
  <c r="BU273" i="1"/>
  <c r="BU192" i="1"/>
  <c r="BX192" i="1" s="1"/>
  <c r="CB192" i="1" s="1"/>
  <c r="BU79" i="1"/>
  <c r="BX79" i="1" s="1"/>
  <c r="CA79" i="1" s="1"/>
  <c r="CB79" i="1" s="1"/>
  <c r="BT295" i="1"/>
  <c r="BU295" i="1"/>
  <c r="BU287" i="1"/>
  <c r="BT287" i="1"/>
  <c r="BT46" i="1"/>
  <c r="BT30" i="1"/>
  <c r="BX30" i="1" s="1"/>
  <c r="BT14" i="1"/>
  <c r="BT166" i="1"/>
  <c r="BX166" i="1" s="1"/>
  <c r="CA166" i="1" s="1"/>
  <c r="CB166" i="1" s="1"/>
  <c r="BT44" i="1"/>
  <c r="BX44" i="1" s="1"/>
  <c r="BT22" i="1"/>
  <c r="BT4" i="1"/>
  <c r="BX4" i="1" s="1"/>
  <c r="BU262" i="1"/>
  <c r="BX262" i="1" s="1"/>
  <c r="BU197" i="1"/>
  <c r="BX197" i="1" s="1"/>
  <c r="BU133" i="1"/>
  <c r="BX133" i="1" s="1"/>
  <c r="BU68" i="1"/>
  <c r="BX68" i="1" s="1"/>
  <c r="BU46" i="1"/>
  <c r="BU22" i="1"/>
  <c r="CD259" i="1"/>
  <c r="CH259" i="1" s="1"/>
  <c r="CD218" i="1"/>
  <c r="CH218" i="1" s="1"/>
  <c r="CD149" i="1"/>
  <c r="CH149" i="1" s="1"/>
  <c r="CD68" i="1"/>
  <c r="CH68" i="1" s="1"/>
  <c r="CE205" i="1"/>
  <c r="CH205" i="1" s="1"/>
  <c r="CE141" i="1"/>
  <c r="CH141" i="1" s="1"/>
  <c r="CE76" i="1"/>
  <c r="CH76" i="1" s="1"/>
  <c r="CE292" i="1"/>
  <c r="CD292" i="1"/>
  <c r="CD284" i="1"/>
  <c r="CE284" i="1"/>
  <c r="CE243" i="1"/>
  <c r="CD243" i="1"/>
  <c r="CE227" i="1"/>
  <c r="CD227" i="1"/>
  <c r="CE163" i="1"/>
  <c r="CD163" i="1"/>
  <c r="CE114" i="1"/>
  <c r="CD114" i="1"/>
  <c r="CE98" i="1"/>
  <c r="CD98" i="1"/>
  <c r="CE58" i="1"/>
  <c r="CD58" i="1"/>
  <c r="CD50" i="1"/>
  <c r="CE50" i="1"/>
  <c r="CE42" i="1"/>
  <c r="CD42" i="1"/>
  <c r="CD302" i="1"/>
  <c r="CH302" i="1" s="1"/>
  <c r="CD253" i="1"/>
  <c r="CH253" i="1" s="1"/>
  <c r="CD211" i="1"/>
  <c r="CH211" i="1" s="1"/>
  <c r="CD147" i="1"/>
  <c r="CH147" i="1" s="1"/>
  <c r="CD18" i="1"/>
  <c r="CH18" i="1" s="1"/>
  <c r="CE268" i="1"/>
  <c r="CH268" i="1" s="1"/>
  <c r="CL268" i="1" s="1"/>
  <c r="CE203" i="1"/>
  <c r="CH203" i="1" s="1"/>
  <c r="CE139" i="1"/>
  <c r="CH139" i="1" s="1"/>
  <c r="CE74" i="1"/>
  <c r="CH74" i="1" s="1"/>
  <c r="CE10" i="1"/>
  <c r="CH10" i="1" s="1"/>
  <c r="BU190" i="1"/>
  <c r="BU109" i="1"/>
  <c r="BU108" i="1"/>
  <c r="BT108" i="1"/>
  <c r="BT60" i="1"/>
  <c r="BX60" i="1" s="1"/>
  <c r="CE267" i="1"/>
  <c r="CD267" i="1"/>
  <c r="CE258" i="1"/>
  <c r="CD258" i="1"/>
  <c r="CH258" i="1" s="1"/>
  <c r="CE250" i="1"/>
  <c r="CD250" i="1"/>
  <c r="CE242" i="1"/>
  <c r="CD242" i="1"/>
  <c r="CE194" i="1"/>
  <c r="CD194" i="1"/>
  <c r="CE162" i="1"/>
  <c r="CD162" i="1"/>
  <c r="CH162" i="1" s="1"/>
  <c r="CE129" i="1"/>
  <c r="CD129" i="1"/>
  <c r="CE113" i="1"/>
  <c r="CD113" i="1"/>
  <c r="CE105" i="1"/>
  <c r="CD105" i="1"/>
  <c r="CE89" i="1"/>
  <c r="CD89" i="1"/>
  <c r="CH89" i="1" s="1"/>
  <c r="CE73" i="1"/>
  <c r="CD73" i="1"/>
  <c r="CE25" i="1"/>
  <c r="CD25" i="1"/>
  <c r="CE9" i="1"/>
  <c r="CD9" i="1"/>
  <c r="CD294" i="1"/>
  <c r="CH294" i="1" s="1"/>
  <c r="CD210" i="1"/>
  <c r="CH210" i="1" s="1"/>
  <c r="CD146" i="1"/>
  <c r="CH146" i="1" s="1"/>
  <c r="CD17" i="1"/>
  <c r="CH17" i="1" s="1"/>
  <c r="CE262" i="1"/>
  <c r="CH262" i="1" s="1"/>
  <c r="CE197" i="1"/>
  <c r="CH197" i="1" s="1"/>
  <c r="CE133" i="1"/>
  <c r="CH133" i="1" s="1"/>
  <c r="CE4" i="1"/>
  <c r="CH4" i="1" s="1"/>
  <c r="CL4" i="1" s="1"/>
  <c r="BU238" i="1"/>
  <c r="BU29" i="1"/>
  <c r="BT230" i="1"/>
  <c r="BT134" i="1"/>
  <c r="BT109" i="1"/>
  <c r="BX109" i="1" s="1"/>
  <c r="BT84" i="1"/>
  <c r="BX84" i="1" s="1"/>
  <c r="BT37" i="1"/>
  <c r="BX37" i="1" s="1"/>
  <c r="CA37" i="1" s="1"/>
  <c r="CB37" i="1" s="1"/>
  <c r="BU101" i="1"/>
  <c r="BX101" i="1" s="1"/>
  <c r="CE195" i="1"/>
  <c r="CH195" i="1" s="1"/>
  <c r="CE130" i="1"/>
  <c r="CH130" i="1" s="1"/>
  <c r="CE66" i="1"/>
  <c r="CH66" i="1" s="1"/>
  <c r="BT279" i="1"/>
  <c r="BX279" i="1" s="1"/>
  <c r="BU222" i="1"/>
  <c r="BU206" i="1"/>
  <c r="BX206" i="1" s="1"/>
  <c r="BU142" i="1"/>
  <c r="BX142" i="1" s="1"/>
  <c r="BU93" i="1"/>
  <c r="BU61" i="1"/>
  <c r="BU45" i="1"/>
  <c r="BU13" i="1"/>
  <c r="BX13" i="1" s="1"/>
  <c r="BT263" i="1"/>
  <c r="BT61" i="1"/>
  <c r="BT21" i="1"/>
  <c r="BU302" i="1"/>
  <c r="BT302" i="1"/>
  <c r="BU237" i="1"/>
  <c r="BT237" i="1"/>
  <c r="BU173" i="1"/>
  <c r="BT173" i="1"/>
  <c r="BT286" i="1"/>
  <c r="BX286" i="1" s="1"/>
  <c r="BT20" i="1"/>
  <c r="BX20" i="1" s="1"/>
  <c r="BU278" i="1"/>
  <c r="BX278" i="1" s="1"/>
  <c r="BU149" i="1"/>
  <c r="BX149" i="1" s="1"/>
  <c r="BT253" i="1"/>
  <c r="BX253" i="1" s="1"/>
  <c r="BT229" i="1"/>
  <c r="BX229" i="1" s="1"/>
  <c r="BT205" i="1"/>
  <c r="BX205" i="1" s="1"/>
  <c r="BT181" i="1"/>
  <c r="BX181" i="1" s="1"/>
  <c r="BT157" i="1"/>
  <c r="BX157" i="1" s="1"/>
  <c r="BT54" i="1"/>
  <c r="BT36" i="1"/>
  <c r="BX36" i="1" s="1"/>
  <c r="BT12" i="1"/>
  <c r="BX12" i="1" s="1"/>
  <c r="BU294" i="1"/>
  <c r="BX294" i="1" s="1"/>
  <c r="BU100" i="1"/>
  <c r="BX100" i="1" s="1"/>
  <c r="BU54" i="1"/>
  <c r="BU14" i="1"/>
  <c r="CD283" i="1"/>
  <c r="CH283" i="1" s="1"/>
  <c r="CD237" i="1"/>
  <c r="CH237" i="1" s="1"/>
  <c r="CD181" i="1"/>
  <c r="CH181" i="1" s="1"/>
  <c r="CD84" i="1"/>
  <c r="CH84" i="1" s="1"/>
  <c r="CE173" i="1"/>
  <c r="CH173" i="1" s="1"/>
  <c r="CE108" i="1"/>
  <c r="CH108" i="1" s="1"/>
  <c r="CE44" i="1"/>
  <c r="CH44" i="1" s="1"/>
  <c r="BU158" i="1"/>
  <c r="BT85" i="1"/>
  <c r="BU21" i="1"/>
  <c r="BT53" i="1"/>
  <c r="BX53" i="1" s="1"/>
  <c r="BT29" i="1"/>
  <c r="BU246" i="1"/>
  <c r="BU182" i="1"/>
  <c r="BX182" i="1" s="1"/>
  <c r="BU117" i="1"/>
  <c r="BX117" i="1" s="1"/>
  <c r="CD276" i="1"/>
  <c r="CH276" i="1" s="1"/>
  <c r="CD234" i="1"/>
  <c r="CH234" i="1" s="1"/>
  <c r="CD179" i="1"/>
  <c r="CH179" i="1" s="1"/>
  <c r="CD82" i="1"/>
  <c r="CH82" i="1" s="1"/>
  <c r="CD41" i="1"/>
  <c r="CH41" i="1" s="1"/>
  <c r="CE221" i="1"/>
  <c r="CH221" i="1" s="1"/>
  <c r="BU271" i="1"/>
  <c r="BU254" i="1"/>
  <c r="BT214" i="1"/>
  <c r="BU174" i="1"/>
  <c r="BT150" i="1"/>
  <c r="BU125" i="1"/>
  <c r="BX125" i="1" s="1"/>
  <c r="BU77" i="1"/>
  <c r="BT238" i="1"/>
  <c r="BX238" i="1" s="1"/>
  <c r="BU214" i="1"/>
  <c r="BU150" i="1"/>
  <c r="BU85" i="1"/>
  <c r="BT271" i="1"/>
  <c r="BT246" i="1"/>
  <c r="BT222" i="1"/>
  <c r="BT198" i="1"/>
  <c r="BT174" i="1"/>
  <c r="BT124" i="1"/>
  <c r="BX124" i="1" s="1"/>
  <c r="BT76" i="1"/>
  <c r="BX76" i="1" s="1"/>
  <c r="BT52" i="1"/>
  <c r="BX52" i="1" s="1"/>
  <c r="BT28" i="1"/>
  <c r="BX28" i="1" s="1"/>
  <c r="BU245" i="1"/>
  <c r="BX245" i="1" s="1"/>
  <c r="BT248" i="1"/>
  <c r="BX248" i="1" s="1"/>
  <c r="BT232" i="1"/>
  <c r="BT152" i="1"/>
  <c r="BT127" i="1"/>
  <c r="BX127" i="1" s="1"/>
  <c r="BT39" i="1"/>
  <c r="BT31" i="1"/>
  <c r="BX31" i="1" s="1"/>
  <c r="BT270" i="1"/>
  <c r="BX270" i="1" s="1"/>
  <c r="BT221" i="1"/>
  <c r="BX221" i="1" s="1"/>
  <c r="BT45" i="1"/>
  <c r="BT5" i="1"/>
  <c r="BU281" i="1"/>
  <c r="BX281" i="1" s="1"/>
  <c r="CA281" i="1" s="1"/>
  <c r="CB281" i="1" s="1"/>
  <c r="BU263" i="1"/>
  <c r="BU240" i="1"/>
  <c r="BU216" i="1"/>
  <c r="BX216" i="1" s="1"/>
  <c r="BU198" i="1"/>
  <c r="BU176" i="1"/>
  <c r="BX176" i="1" s="1"/>
  <c r="BU152" i="1"/>
  <c r="BU134" i="1"/>
  <c r="BU111" i="1"/>
  <c r="BX111" i="1" s="1"/>
  <c r="BU87" i="1"/>
  <c r="BU69" i="1"/>
  <c r="BX69" i="1" s="1"/>
  <c r="BU47" i="1"/>
  <c r="BU23" i="1"/>
  <c r="BU5" i="1"/>
  <c r="CD286" i="1"/>
  <c r="CE286" i="1"/>
  <c r="CD278" i="1"/>
  <c r="CE278" i="1"/>
  <c r="CE270" i="1"/>
  <c r="CD270" i="1"/>
  <c r="CD213" i="1"/>
  <c r="CE213" i="1"/>
  <c r="CE165" i="1"/>
  <c r="CD165" i="1"/>
  <c r="CE116" i="1"/>
  <c r="CD116" i="1"/>
  <c r="CE52" i="1"/>
  <c r="CD52" i="1"/>
  <c r="CD226" i="1"/>
  <c r="CH226" i="1" s="1"/>
  <c r="CE219" i="1"/>
  <c r="CH219" i="1" s="1"/>
  <c r="CE155" i="1"/>
  <c r="CH155" i="1" s="1"/>
  <c r="CE90" i="1"/>
  <c r="CH90" i="1" s="1"/>
  <c r="CE26" i="1"/>
  <c r="CH26" i="1" s="1"/>
  <c r="CD140" i="1"/>
  <c r="CE260" i="1"/>
  <c r="CH260" i="1" s="1"/>
  <c r="CE220" i="1"/>
  <c r="CE131" i="1"/>
  <c r="CH131" i="1" s="1"/>
  <c r="CE91" i="1"/>
  <c r="CH91" i="1" s="1"/>
  <c r="CE67" i="1"/>
  <c r="CH67" i="1" s="1"/>
  <c r="CE180" i="1"/>
  <c r="CH180" i="1" s="1"/>
  <c r="CE51" i="1"/>
  <c r="CE212" i="1"/>
  <c r="CH212" i="1" s="1"/>
  <c r="CE148" i="1"/>
  <c r="CE83" i="1"/>
  <c r="CE19" i="1"/>
  <c r="CH19" i="1" s="1"/>
  <c r="CD236" i="1"/>
  <c r="CH236" i="1" s="1"/>
  <c r="CE172" i="1"/>
  <c r="CH172" i="1" s="1"/>
  <c r="CE8" i="1"/>
  <c r="CD8" i="1"/>
  <c r="CD189" i="1"/>
  <c r="CH189" i="1" s="1"/>
  <c r="CN7" i="1"/>
  <c r="CR7" i="1" s="1"/>
  <c r="CO32" i="1"/>
  <c r="CR32" i="1" s="1"/>
  <c r="CD36" i="1"/>
  <c r="CH36" i="1" s="1"/>
  <c r="CE300" i="1"/>
  <c r="CH300" i="1" s="1"/>
  <c r="CE235" i="1"/>
  <c r="CH235" i="1" s="1"/>
  <c r="CE171" i="1"/>
  <c r="CH171" i="1" s="1"/>
  <c r="CE124" i="1"/>
  <c r="CH124" i="1" s="1"/>
  <c r="CE106" i="1"/>
  <c r="CH106" i="1" s="1"/>
  <c r="CD251" i="1"/>
  <c r="CH251" i="1" s="1"/>
  <c r="CD204" i="1"/>
  <c r="CH204" i="1" s="1"/>
  <c r="CD188" i="1"/>
  <c r="CD156" i="1"/>
  <c r="CH156" i="1" s="1"/>
  <c r="CD65" i="1"/>
  <c r="CH65" i="1" s="1"/>
  <c r="CD49" i="1"/>
  <c r="CH49" i="1" s="1"/>
  <c r="CD35" i="1"/>
  <c r="CE252" i="1"/>
  <c r="CE229" i="1"/>
  <c r="CH229" i="1" s="1"/>
  <c r="CE188" i="1"/>
  <c r="CE123" i="1"/>
  <c r="CH123" i="1" s="1"/>
  <c r="CE59" i="1"/>
  <c r="CN127" i="1"/>
  <c r="CR127" i="1" s="1"/>
  <c r="CO216" i="1"/>
  <c r="CR216" i="1" s="1"/>
  <c r="CO105" i="1"/>
  <c r="CR105" i="1" s="1"/>
  <c r="CO31" i="1"/>
  <c r="CR31" i="1" s="1"/>
  <c r="CN126" i="1"/>
  <c r="CR126" i="1" s="1"/>
  <c r="CO194" i="1"/>
  <c r="CR194" i="1" s="1"/>
  <c r="CO30" i="1"/>
  <c r="CR30" i="1" s="1"/>
  <c r="CD187" i="1"/>
  <c r="CH187" i="1" s="1"/>
  <c r="CD34" i="1"/>
  <c r="CH34" i="1" s="1"/>
  <c r="CE122" i="1"/>
  <c r="CH122" i="1" s="1"/>
  <c r="CD245" i="1"/>
  <c r="CH245" i="1" s="1"/>
  <c r="CD202" i="1"/>
  <c r="CD186" i="1"/>
  <c r="CH186" i="1" s="1"/>
  <c r="CD170" i="1"/>
  <c r="CH170" i="1" s="1"/>
  <c r="CD154" i="1"/>
  <c r="CH154" i="1" s="1"/>
  <c r="CD33" i="1"/>
  <c r="CH33" i="1" s="1"/>
  <c r="CE269" i="1"/>
  <c r="CH269" i="1" s="1"/>
  <c r="CO146" i="1"/>
  <c r="CR146" i="1" s="1"/>
  <c r="CO267" i="1"/>
  <c r="CR267" i="1" s="1"/>
  <c r="CN85" i="1"/>
  <c r="AE253" i="1"/>
  <c r="AI253" i="1" s="1"/>
  <c r="AF100" i="1"/>
  <c r="AI100" i="1" s="1"/>
  <c r="CN182" i="1"/>
  <c r="CN125" i="1"/>
  <c r="CN102" i="1"/>
  <c r="CR102" i="1" s="1"/>
  <c r="CN79" i="1"/>
  <c r="CR79" i="1" s="1"/>
  <c r="CN61" i="1"/>
  <c r="CN38" i="1"/>
  <c r="CR38" i="1" s="1"/>
  <c r="CN15" i="1"/>
  <c r="CR15" i="1" s="1"/>
  <c r="CO258" i="1"/>
  <c r="CR258" i="1" s="1"/>
  <c r="CO210" i="1"/>
  <c r="CR210" i="1" s="1"/>
  <c r="CO174" i="1"/>
  <c r="CO144" i="1"/>
  <c r="CR144" i="1" s="1"/>
  <c r="CO129" i="1"/>
  <c r="CR129" i="1" s="1"/>
  <c r="CO118" i="1"/>
  <c r="CR118" i="1" s="1"/>
  <c r="CO93" i="1"/>
  <c r="CO65" i="1"/>
  <c r="CR65" i="1" s="1"/>
  <c r="CO54" i="1"/>
  <c r="CR54" i="1" s="1"/>
  <c r="CO29" i="1"/>
  <c r="CN208" i="1"/>
  <c r="CR208" i="1" s="1"/>
  <c r="CN78" i="1"/>
  <c r="CR78" i="1" s="1"/>
  <c r="CN14" i="1"/>
  <c r="CR14" i="1" s="1"/>
  <c r="CO230" i="1"/>
  <c r="CO186" i="1"/>
  <c r="CR186" i="1" s="1"/>
  <c r="CO53" i="1"/>
  <c r="CN21" i="1"/>
  <c r="CO214" i="1"/>
  <c r="CR214" i="1" s="1"/>
  <c r="CO134" i="1"/>
  <c r="CO69" i="1"/>
  <c r="CO5" i="1"/>
  <c r="AF150" i="1"/>
  <c r="AI150" i="1" s="1"/>
  <c r="CN238" i="1"/>
  <c r="CN206" i="1"/>
  <c r="CN174" i="1"/>
  <c r="CN142" i="1"/>
  <c r="CN77" i="1"/>
  <c r="CN13" i="1"/>
  <c r="CO250" i="1"/>
  <c r="CR250" i="1" s="1"/>
  <c r="CO206" i="1"/>
  <c r="CO185" i="1"/>
  <c r="CR185" i="1" s="1"/>
  <c r="CO142" i="1"/>
  <c r="CO77" i="1"/>
  <c r="CO13" i="1"/>
  <c r="CN117" i="1"/>
  <c r="CN53" i="1"/>
  <c r="CO202" i="1"/>
  <c r="CR202" i="1" s="1"/>
  <c r="CV202" i="1" s="1"/>
  <c r="CO138" i="1"/>
  <c r="CR138" i="1" s="1"/>
  <c r="CO101" i="1"/>
  <c r="CR101" i="1" s="1"/>
  <c r="CO73" i="1"/>
  <c r="CR73" i="1" s="1"/>
  <c r="CO37" i="1"/>
  <c r="CR37" i="1" s="1"/>
  <c r="CO9" i="1"/>
  <c r="CR9" i="1" s="1"/>
  <c r="CN295" i="1"/>
  <c r="CR295" i="1" s="1"/>
  <c r="CN230" i="1"/>
  <c r="CN198" i="1"/>
  <c r="CN166" i="1"/>
  <c r="CN135" i="1"/>
  <c r="CR135" i="1" s="1"/>
  <c r="CN111" i="1"/>
  <c r="CR111" i="1" s="1"/>
  <c r="CN93" i="1"/>
  <c r="CN70" i="1"/>
  <c r="CR70" i="1" s="1"/>
  <c r="CN47" i="1"/>
  <c r="CR47" i="1" s="1"/>
  <c r="CN29" i="1"/>
  <c r="CN6" i="1"/>
  <c r="CR6" i="1" s="1"/>
  <c r="CO275" i="1"/>
  <c r="CR275" i="1" s="1"/>
  <c r="CO222" i="1"/>
  <c r="CO182" i="1"/>
  <c r="CO166" i="1"/>
  <c r="CO137" i="1"/>
  <c r="CR137" i="1" s="1"/>
  <c r="CO125" i="1"/>
  <c r="CO97" i="1"/>
  <c r="CR97" i="1" s="1"/>
  <c r="CO86" i="1"/>
  <c r="CR86" i="1" s="1"/>
  <c r="CO72" i="1"/>
  <c r="CR72" i="1" s="1"/>
  <c r="CO61" i="1"/>
  <c r="CO33" i="1"/>
  <c r="CR33" i="1" s="1"/>
  <c r="CO22" i="1"/>
  <c r="CR22" i="1" s="1"/>
  <c r="CO8" i="1"/>
  <c r="CR8" i="1" s="1"/>
  <c r="CN289" i="1"/>
  <c r="CN256" i="1"/>
  <c r="CN224" i="1"/>
  <c r="CN192" i="1"/>
  <c r="CR192" i="1" s="1"/>
  <c r="CN160" i="1"/>
  <c r="CR160" i="1" s="1"/>
  <c r="CN134" i="1"/>
  <c r="CN110" i="1"/>
  <c r="CR110" i="1" s="1"/>
  <c r="CN69" i="1"/>
  <c r="CN46" i="1"/>
  <c r="CR46" i="1" s="1"/>
  <c r="CN5" i="1"/>
  <c r="CO273" i="1"/>
  <c r="CR273" i="1" s="1"/>
  <c r="CO240" i="1"/>
  <c r="CR240" i="1" s="1"/>
  <c r="CO198" i="1"/>
  <c r="CO150" i="1"/>
  <c r="CO136" i="1"/>
  <c r="CO85" i="1"/>
  <c r="CO21" i="1"/>
  <c r="CN287" i="1"/>
  <c r="CR287" i="1" s="1"/>
  <c r="CN222" i="1"/>
  <c r="CN190" i="1"/>
  <c r="CR190" i="1" s="1"/>
  <c r="CN158" i="1"/>
  <c r="CN109" i="1"/>
  <c r="CN45" i="1"/>
  <c r="CO238" i="1"/>
  <c r="CO109" i="1"/>
  <c r="CO45" i="1"/>
  <c r="AO182" i="1"/>
  <c r="AO75" i="1"/>
  <c r="AS75" i="1" s="1"/>
  <c r="AO27" i="1"/>
  <c r="AS27" i="1" s="1"/>
  <c r="AP135" i="1"/>
  <c r="AS135" i="1" s="1"/>
  <c r="AP78" i="1"/>
  <c r="AP54" i="1"/>
  <c r="AP3" i="1"/>
  <c r="AO254" i="1"/>
  <c r="AO63" i="1"/>
  <c r="AO23" i="1"/>
  <c r="AS23" i="1" s="1"/>
  <c r="AP95" i="1"/>
  <c r="AS95" i="1" s="1"/>
  <c r="AV95" i="1" s="1"/>
  <c r="AO31" i="1"/>
  <c r="AO150" i="1"/>
  <c r="AS150" i="1" s="1"/>
  <c r="AO103" i="1"/>
  <c r="AP126" i="1"/>
  <c r="AP22" i="1"/>
  <c r="AS22" i="1" s="1"/>
  <c r="AO19" i="1"/>
  <c r="AP91" i="1"/>
  <c r="AS91" i="1" s="1"/>
  <c r="AP39" i="1"/>
  <c r="AS39" i="1" s="1"/>
  <c r="AV39" i="1" s="1"/>
  <c r="AW39" i="1" s="1"/>
  <c r="AO11" i="1"/>
  <c r="AS11" i="1" s="1"/>
  <c r="AP216" i="1"/>
  <c r="AS216" i="1" s="1"/>
  <c r="AV216" i="1" s="1"/>
  <c r="AW216" i="1" s="1"/>
  <c r="AP151" i="1"/>
  <c r="AS151" i="1" s="1"/>
  <c r="AP118" i="1"/>
  <c r="AP87" i="1"/>
  <c r="AP38" i="1"/>
  <c r="AP15" i="1"/>
  <c r="AS15" i="1" s="1"/>
  <c r="AO297" i="1"/>
  <c r="AS297" i="1" s="1"/>
  <c r="AV297" i="1" s="1"/>
  <c r="AW297" i="1" s="1"/>
  <c r="AP143" i="1"/>
  <c r="AS143" i="1" s="1"/>
  <c r="AP62" i="1"/>
  <c r="AP248" i="1"/>
  <c r="AO248" i="1"/>
  <c r="AP208" i="1"/>
  <c r="AO208" i="1"/>
  <c r="AP273" i="1"/>
  <c r="AO273" i="1"/>
  <c r="AP184" i="1"/>
  <c r="AO184" i="1"/>
  <c r="AP144" i="1"/>
  <c r="AO144" i="1"/>
  <c r="AS144" i="1" s="1"/>
  <c r="AO152" i="1"/>
  <c r="AP281" i="1"/>
  <c r="AP295" i="1"/>
  <c r="AO295" i="1"/>
  <c r="AP271" i="1"/>
  <c r="AO271" i="1"/>
  <c r="AP230" i="1"/>
  <c r="AO230" i="1"/>
  <c r="AS230" i="1" s="1"/>
  <c r="AP166" i="1"/>
  <c r="AO166" i="1"/>
  <c r="AP125" i="1"/>
  <c r="AP109" i="1"/>
  <c r="AO93" i="1"/>
  <c r="AS93" i="1" s="1"/>
  <c r="AO77" i="1"/>
  <c r="AS77" i="1" s="1"/>
  <c r="AP61" i="1"/>
  <c r="AO29" i="1"/>
  <c r="AO13" i="1"/>
  <c r="AO176" i="1"/>
  <c r="AO136" i="1"/>
  <c r="AP240" i="1"/>
  <c r="AP222" i="1"/>
  <c r="AO222" i="1"/>
  <c r="AP206" i="1"/>
  <c r="AO206" i="1"/>
  <c r="AS206" i="1" s="1"/>
  <c r="AP158" i="1"/>
  <c r="AO158" i="1"/>
  <c r="AP142" i="1"/>
  <c r="AO142" i="1"/>
  <c r="AO101" i="1"/>
  <c r="AS101" i="1" s="1"/>
  <c r="AP85" i="1"/>
  <c r="AS85" i="1" s="1"/>
  <c r="AP69" i="1"/>
  <c r="AO37" i="1"/>
  <c r="AP21" i="1"/>
  <c r="AS21" i="1" s="1"/>
  <c r="AP5" i="1"/>
  <c r="AO281" i="1"/>
  <c r="AS281" i="1" s="1"/>
  <c r="AO246" i="1"/>
  <c r="AS246" i="1" s="1"/>
  <c r="AO214" i="1"/>
  <c r="AS214" i="1" s="1"/>
  <c r="AO109" i="1"/>
  <c r="AO5" i="1"/>
  <c r="AP238" i="1"/>
  <c r="AO279" i="1"/>
  <c r="AO240" i="1"/>
  <c r="AO174" i="1"/>
  <c r="AS174" i="1" s="1"/>
  <c r="AO69" i="1"/>
  <c r="AS69" i="1" s="1"/>
  <c r="AP198" i="1"/>
  <c r="AS198" i="1" s="1"/>
  <c r="AP168" i="1"/>
  <c r="AP136" i="1"/>
  <c r="AY65" i="1"/>
  <c r="BD65" i="1" s="1"/>
  <c r="AP287" i="1"/>
  <c r="AO287" i="1"/>
  <c r="AO99" i="1"/>
  <c r="AP99" i="1"/>
  <c r="AP59" i="1"/>
  <c r="AO59" i="1"/>
  <c r="AO51" i="1"/>
  <c r="AP43" i="1"/>
  <c r="AO35" i="1"/>
  <c r="AP35" i="1"/>
  <c r="AO238" i="1"/>
  <c r="AS238" i="1" s="1"/>
  <c r="AO134" i="1"/>
  <c r="AS134" i="1" s="1"/>
  <c r="AO67" i="1"/>
  <c r="AP263" i="1"/>
  <c r="AP232" i="1"/>
  <c r="AP160" i="1"/>
  <c r="AP67" i="1"/>
  <c r="AP29" i="1"/>
  <c r="AP13" i="1"/>
  <c r="AY49" i="1"/>
  <c r="BD49" i="1" s="1"/>
  <c r="AP200" i="1"/>
  <c r="AO200" i="1"/>
  <c r="AY270" i="1"/>
  <c r="BA270" i="1"/>
  <c r="AY116" i="1"/>
  <c r="BA116" i="1"/>
  <c r="AY100" i="1"/>
  <c r="BA100" i="1"/>
  <c r="BA52" i="1"/>
  <c r="AY52" i="1"/>
  <c r="BA12" i="1"/>
  <c r="AY12" i="1"/>
  <c r="AY4" i="1"/>
  <c r="BA4" i="1"/>
  <c r="AY147" i="1"/>
  <c r="BD147" i="1" s="1"/>
  <c r="AY28" i="1"/>
  <c r="BD28" i="1" s="1"/>
  <c r="BA163" i="1"/>
  <c r="BD163" i="1" s="1"/>
  <c r="AO168" i="1"/>
  <c r="AS168" i="1" s="1"/>
  <c r="AP224" i="1"/>
  <c r="AS224" i="1" s="1"/>
  <c r="AP192" i="1"/>
  <c r="AO263" i="1"/>
  <c r="AO160" i="1"/>
  <c r="AO61" i="1"/>
  <c r="AS61" i="1" s="1"/>
  <c r="AP289" i="1"/>
  <c r="AS289" i="1" s="1"/>
  <c r="AP256" i="1"/>
  <c r="AS256" i="1" s="1"/>
  <c r="AP190" i="1"/>
  <c r="AP152" i="1"/>
  <c r="AY227" i="1"/>
  <c r="BA227" i="1"/>
  <c r="BA179" i="1"/>
  <c r="AY179" i="1"/>
  <c r="AY276" i="1"/>
  <c r="BD276" i="1" s="1"/>
  <c r="AP265" i="1"/>
  <c r="AO265" i="1"/>
  <c r="AO119" i="1"/>
  <c r="BA89" i="1"/>
  <c r="AY89" i="1"/>
  <c r="BA73" i="1"/>
  <c r="AY73" i="1"/>
  <c r="AY128" i="1"/>
  <c r="BD128" i="1" s="1"/>
  <c r="AY64" i="1"/>
  <c r="BD64" i="1" s="1"/>
  <c r="BA24" i="1"/>
  <c r="BD24" i="1" s="1"/>
  <c r="AO79" i="1"/>
  <c r="AS79" i="1" s="1"/>
  <c r="AP47" i="1"/>
  <c r="AO55" i="1"/>
  <c r="AP127" i="1"/>
  <c r="AS127" i="1" s="1"/>
  <c r="AP111" i="1"/>
  <c r="AS111" i="1" s="1"/>
  <c r="AP71" i="1"/>
  <c r="AP46" i="1"/>
  <c r="AS46" i="1" s="1"/>
  <c r="AP7" i="1"/>
  <c r="AO71" i="1"/>
  <c r="AO7" i="1"/>
  <c r="AP94" i="1"/>
  <c r="AP55" i="1"/>
  <c r="BA40" i="1"/>
  <c r="BD40" i="1" s="1"/>
  <c r="AY239" i="1"/>
  <c r="BD239" i="1" s="1"/>
  <c r="AY175" i="1"/>
  <c r="BD175" i="1" s="1"/>
  <c r="AY54" i="1"/>
  <c r="AY38" i="1"/>
  <c r="AY14" i="1"/>
  <c r="BA298" i="1"/>
  <c r="BD298" i="1" s="1"/>
  <c r="BA274" i="1"/>
  <c r="BD274" i="1" s="1"/>
  <c r="BA223" i="1"/>
  <c r="BA169" i="1"/>
  <c r="AY257" i="1"/>
  <c r="BD257" i="1" s="1"/>
  <c r="AY215" i="1"/>
  <c r="AY193" i="1"/>
  <c r="BD193" i="1" s="1"/>
  <c r="AY151" i="1"/>
  <c r="AY110" i="1"/>
  <c r="AY255" i="1"/>
  <c r="BD255" i="1" s="1"/>
  <c r="AY233" i="1"/>
  <c r="BD233" i="1" s="1"/>
  <c r="AY191" i="1"/>
  <c r="BD191" i="1" s="1"/>
  <c r="AY108" i="1"/>
  <c r="BD108" i="1" s="1"/>
  <c r="BA215" i="1"/>
  <c r="BA183" i="1"/>
  <c r="BA143" i="1"/>
  <c r="BD143" i="1" s="1"/>
  <c r="BA78" i="1"/>
  <c r="BA36" i="1"/>
  <c r="BD36" i="1" s="1"/>
  <c r="AY209" i="1"/>
  <c r="BD209" i="1" s="1"/>
  <c r="AY105" i="1"/>
  <c r="BD105" i="1" s="1"/>
  <c r="AY25" i="1"/>
  <c r="BD25" i="1" s="1"/>
  <c r="AY9" i="1"/>
  <c r="BD9" i="1" s="1"/>
  <c r="BA290" i="1"/>
  <c r="BD290" i="1" s="1"/>
  <c r="BA141" i="1"/>
  <c r="BD141" i="1" s="1"/>
  <c r="BA113" i="1"/>
  <c r="BD113" i="1" s="1"/>
  <c r="BA76" i="1"/>
  <c r="BD76" i="1" s="1"/>
  <c r="DH25" i="1"/>
  <c r="DL25" i="1" s="1"/>
  <c r="DI129" i="1"/>
  <c r="DL129" i="1" s="1"/>
  <c r="DI65" i="1"/>
  <c r="DL65" i="1" s="1"/>
  <c r="AY272" i="1"/>
  <c r="BD272" i="1" s="1"/>
  <c r="AY207" i="1"/>
  <c r="BD207" i="1" s="1"/>
  <c r="AY104" i="1"/>
  <c r="BD104" i="1" s="1"/>
  <c r="AY46" i="1"/>
  <c r="AY22" i="1"/>
  <c r="BA288" i="1"/>
  <c r="BD288" i="1" s="1"/>
  <c r="BA110" i="1"/>
  <c r="BA94" i="1"/>
  <c r="BA14" i="1"/>
  <c r="DH63" i="1"/>
  <c r="AY86" i="1"/>
  <c r="BA54" i="1"/>
  <c r="BA38" i="1"/>
  <c r="BA22" i="1"/>
  <c r="AY126" i="1"/>
  <c r="BD126" i="1" s="1"/>
  <c r="AY247" i="1"/>
  <c r="AY225" i="1"/>
  <c r="BD225" i="1" s="1"/>
  <c r="AY183" i="1"/>
  <c r="BD183" i="1" s="1"/>
  <c r="AY118" i="1"/>
  <c r="BD118" i="1" s="1"/>
  <c r="AY62" i="1"/>
  <c r="AY44" i="1"/>
  <c r="BD44" i="1" s="1"/>
  <c r="BG44" i="1" s="1"/>
  <c r="BH44" i="1" s="1"/>
  <c r="AY6" i="1"/>
  <c r="BA205" i="1"/>
  <c r="BD205" i="1" s="1"/>
  <c r="BA159" i="1"/>
  <c r="BD159" i="1" s="1"/>
  <c r="BA135" i="1"/>
  <c r="BA46" i="1"/>
  <c r="DH57" i="1"/>
  <c r="DI113" i="1"/>
  <c r="DI49" i="1"/>
  <c r="AY92" i="1"/>
  <c r="BD92" i="1" s="1"/>
  <c r="AY41" i="1"/>
  <c r="BD41" i="1" s="1"/>
  <c r="BA301" i="1"/>
  <c r="BD301" i="1" s="1"/>
  <c r="BA280" i="1"/>
  <c r="BD280" i="1" s="1"/>
  <c r="BA247" i="1"/>
  <c r="BA172" i="1"/>
  <c r="BD172" i="1" s="1"/>
  <c r="BA133" i="1"/>
  <c r="BD133" i="1" s="1"/>
  <c r="BA88" i="1"/>
  <c r="BD88" i="1" s="1"/>
  <c r="BA68" i="1"/>
  <c r="BA30" i="1"/>
  <c r="DH111" i="1"/>
  <c r="DH9" i="1"/>
  <c r="AY264" i="1"/>
  <c r="AY241" i="1"/>
  <c r="BD241" i="1" s="1"/>
  <c r="AY199" i="1"/>
  <c r="AY177" i="1"/>
  <c r="BD177" i="1" s="1"/>
  <c r="AY135" i="1"/>
  <c r="BD135" i="1" s="1"/>
  <c r="BA199" i="1"/>
  <c r="BA151" i="1"/>
  <c r="BA86" i="1"/>
  <c r="BA6" i="1"/>
  <c r="DH89" i="1"/>
  <c r="DH47" i="1"/>
  <c r="DL47" i="1" s="1"/>
  <c r="DI162" i="1"/>
  <c r="DL162" i="1" s="1"/>
  <c r="DI97" i="1"/>
  <c r="DI33" i="1"/>
  <c r="DH41" i="1"/>
  <c r="DI146" i="1"/>
  <c r="DI81" i="1"/>
  <c r="DI17" i="1"/>
  <c r="DL17" i="1" s="1"/>
  <c r="DH150" i="1"/>
  <c r="DH105" i="1"/>
  <c r="DI178" i="1"/>
  <c r="DL178" i="1" s="1"/>
  <c r="DO178" i="1" s="1"/>
  <c r="DP178" i="1" s="1"/>
  <c r="DH127" i="1"/>
  <c r="DL127" i="1" s="1"/>
  <c r="DH125" i="1"/>
  <c r="DL125" i="1" s="1"/>
  <c r="DH85" i="1"/>
  <c r="DH21" i="1"/>
  <c r="DI202" i="1"/>
  <c r="DL202" i="1" s="1"/>
  <c r="DI160" i="1"/>
  <c r="DI144" i="1"/>
  <c r="DL144" i="1" s="1"/>
  <c r="DI95" i="1"/>
  <c r="DL95" i="1" s="1"/>
  <c r="DS62" i="1"/>
  <c r="DH121" i="1"/>
  <c r="DL121" i="1" s="1"/>
  <c r="DI174" i="1"/>
  <c r="DI158" i="1"/>
  <c r="DI142" i="1"/>
  <c r="DL142" i="1" s="1"/>
  <c r="DI109" i="1"/>
  <c r="DI93" i="1"/>
  <c r="DI77" i="1"/>
  <c r="DI61" i="1"/>
  <c r="DI45" i="1"/>
  <c r="DI29" i="1"/>
  <c r="DI13" i="1"/>
  <c r="DS247" i="1"/>
  <c r="DV247" i="1" s="1"/>
  <c r="DS61" i="1"/>
  <c r="DV61" i="1" s="1"/>
  <c r="DS167" i="1"/>
  <c r="DV167" i="1" s="1"/>
  <c r="DH166" i="1"/>
  <c r="DI194" i="1"/>
  <c r="DI170" i="1"/>
  <c r="DL170" i="1" s="1"/>
  <c r="DI138" i="1"/>
  <c r="DH117" i="1"/>
  <c r="DI234" i="1"/>
  <c r="DL234" i="1" s="1"/>
  <c r="DS30" i="1"/>
  <c r="DH158" i="1"/>
  <c r="DH136" i="1"/>
  <c r="DH93" i="1"/>
  <c r="DH77" i="1"/>
  <c r="DH61" i="1"/>
  <c r="DH45" i="1"/>
  <c r="DH29" i="1"/>
  <c r="DH13" i="1"/>
  <c r="DI226" i="1"/>
  <c r="DL226" i="1" s="1"/>
  <c r="DI186" i="1"/>
  <c r="DI168" i="1"/>
  <c r="DL168" i="1" s="1"/>
  <c r="DI152" i="1"/>
  <c r="DL152" i="1" s="1"/>
  <c r="DI136" i="1"/>
  <c r="DI119" i="1"/>
  <c r="DL119" i="1" s="1"/>
  <c r="DI103" i="1"/>
  <c r="DL103" i="1" s="1"/>
  <c r="DI87" i="1"/>
  <c r="DL87" i="1" s="1"/>
  <c r="DI71" i="1"/>
  <c r="DL71" i="1" s="1"/>
  <c r="DI55" i="1"/>
  <c r="DL55" i="1" s="1"/>
  <c r="DI39" i="1"/>
  <c r="DL39" i="1" s="1"/>
  <c r="DI23" i="1"/>
  <c r="DL23" i="1" s="1"/>
  <c r="DI7" i="1"/>
  <c r="DH182" i="1"/>
  <c r="DL182" i="1" s="1"/>
  <c r="DH134" i="1"/>
  <c r="DI166" i="1"/>
  <c r="DI150" i="1"/>
  <c r="DI134" i="1"/>
  <c r="DI117" i="1"/>
  <c r="DI101" i="1"/>
  <c r="DI85" i="1"/>
  <c r="DI69" i="1"/>
  <c r="DL69" i="1" s="1"/>
  <c r="DI53" i="1"/>
  <c r="DL53" i="1" s="1"/>
  <c r="DI37" i="1"/>
  <c r="DL37" i="1" s="1"/>
  <c r="DI21" i="1"/>
  <c r="DI5" i="1"/>
  <c r="DL5" i="1" s="1"/>
  <c r="DS135" i="1"/>
  <c r="DR190" i="1"/>
  <c r="DV190" i="1" s="1"/>
  <c r="DY190" i="1" s="1"/>
  <c r="DR125" i="1"/>
  <c r="CX77" i="1"/>
  <c r="DB77" i="1" s="1"/>
  <c r="CY69" i="1"/>
  <c r="DB69" i="1" s="1"/>
  <c r="DR182" i="1"/>
  <c r="DV182" i="1" s="1"/>
  <c r="DR117" i="1"/>
  <c r="DV117" i="1" s="1"/>
  <c r="DR53" i="1"/>
  <c r="DV53" i="1" s="1"/>
  <c r="DS214" i="1"/>
  <c r="DV214" i="1" s="1"/>
  <c r="CX182" i="1"/>
  <c r="DB182" i="1" s="1"/>
  <c r="CX128" i="1"/>
  <c r="DB128" i="1" s="1"/>
  <c r="CX13" i="1"/>
  <c r="DB13" i="1" s="1"/>
  <c r="CX161" i="1"/>
  <c r="DB161" i="1" s="1"/>
  <c r="CX117" i="1"/>
  <c r="DB117" i="1" s="1"/>
  <c r="CX9" i="1"/>
  <c r="DB9" i="1" s="1"/>
  <c r="CY113" i="1"/>
  <c r="DB113" i="1" s="1"/>
  <c r="CY64" i="1"/>
  <c r="DB64" i="1" s="1"/>
  <c r="DS199" i="1"/>
  <c r="DV199" i="1" s="1"/>
  <c r="DY199" i="1" s="1"/>
  <c r="DZ199" i="1" s="1"/>
  <c r="CY81" i="1"/>
  <c r="DB81" i="1" s="1"/>
  <c r="CX108" i="1"/>
  <c r="DB108" i="1" s="1"/>
  <c r="CY206" i="1"/>
  <c r="DB206" i="1" s="1"/>
  <c r="DR29" i="1"/>
  <c r="CY198" i="1"/>
  <c r="DR85" i="1"/>
  <c r="DV85" i="1" s="1"/>
  <c r="DR21" i="1"/>
  <c r="DV21" i="1" s="1"/>
  <c r="CX31" i="1"/>
  <c r="DB31" i="1" s="1"/>
  <c r="CY192" i="1"/>
  <c r="DB192" i="1" s="1"/>
  <c r="DF192" i="1" s="1"/>
  <c r="CY160" i="1"/>
  <c r="DB160" i="1" s="1"/>
  <c r="CY39" i="1"/>
  <c r="DB39" i="1" s="1"/>
  <c r="CY15" i="1"/>
  <c r="DB15" i="1" s="1"/>
  <c r="CX281" i="1"/>
  <c r="DB281" i="1" s="1"/>
  <c r="CY273" i="1"/>
  <c r="DB273" i="1" s="1"/>
  <c r="BJ206" i="1"/>
  <c r="BN206" i="1" s="1"/>
  <c r="BJ15" i="1"/>
  <c r="BN15" i="1" s="1"/>
  <c r="CX239" i="1"/>
  <c r="DB239" i="1" s="1"/>
  <c r="CX208" i="1"/>
  <c r="DB208" i="1" s="1"/>
  <c r="CX152" i="1"/>
  <c r="DB152" i="1" s="1"/>
  <c r="CX127" i="1"/>
  <c r="DB127" i="1" s="1"/>
  <c r="CX104" i="1"/>
  <c r="DB104" i="1" s="1"/>
  <c r="CX87" i="1"/>
  <c r="DB87" i="1" s="1"/>
  <c r="CX46" i="1"/>
  <c r="DB46" i="1" s="1"/>
  <c r="CX8" i="1"/>
  <c r="DB8" i="1" s="1"/>
  <c r="CY272" i="1"/>
  <c r="DB272" i="1" s="1"/>
  <c r="CY224" i="1"/>
  <c r="DB224" i="1" s="1"/>
  <c r="CY184" i="1"/>
  <c r="DB184" i="1" s="1"/>
  <c r="CY63" i="1"/>
  <c r="DB63" i="1" s="1"/>
  <c r="CY37" i="1"/>
  <c r="DB37" i="1" s="1"/>
  <c r="CY14" i="1"/>
  <c r="DB14" i="1" s="1"/>
  <c r="CX232" i="1"/>
  <c r="DB232" i="1" s="1"/>
  <c r="CX7" i="1"/>
  <c r="DB7" i="1" s="1"/>
  <c r="CY216" i="1"/>
  <c r="DB216" i="1" s="1"/>
  <c r="BJ238" i="1"/>
  <c r="BN238" i="1" s="1"/>
  <c r="BJ198" i="1"/>
  <c r="BN198" i="1" s="1"/>
  <c r="BR198" i="1" s="1"/>
  <c r="BJ13" i="1"/>
  <c r="BN13" i="1" s="1"/>
  <c r="BK69" i="1"/>
  <c r="BN69" i="1" s="1"/>
  <c r="CX200" i="1"/>
  <c r="DB200" i="1" s="1"/>
  <c r="CX145" i="1"/>
  <c r="DB145" i="1" s="1"/>
  <c r="CX103" i="1"/>
  <c r="DB103" i="1" s="1"/>
  <c r="CY265" i="1"/>
  <c r="DB265" i="1" s="1"/>
  <c r="BJ237" i="1"/>
  <c r="BJ197" i="1"/>
  <c r="BN197" i="1" s="1"/>
  <c r="BQ197" i="1" s="1"/>
  <c r="BR197" i="1" s="1"/>
  <c r="BK253" i="1"/>
  <c r="BK60" i="1"/>
  <c r="CX168" i="1"/>
  <c r="DB168" i="1" s="1"/>
  <c r="CX144" i="1"/>
  <c r="DB144" i="1" s="1"/>
  <c r="CX79" i="1"/>
  <c r="DB79" i="1" s="1"/>
  <c r="CX40" i="1"/>
  <c r="DB40" i="1" s="1"/>
  <c r="CX23" i="1"/>
  <c r="DB23" i="1" s="1"/>
  <c r="CX5" i="1"/>
  <c r="DB5" i="1" s="1"/>
  <c r="CY257" i="1"/>
  <c r="DB257" i="1" s="1"/>
  <c r="CY61" i="1"/>
  <c r="DB61" i="1" s="1"/>
  <c r="CX166" i="1"/>
  <c r="DB166" i="1" s="1"/>
  <c r="CX119" i="1"/>
  <c r="DB119" i="1" s="1"/>
  <c r="CX16" i="1"/>
  <c r="DB16" i="1" s="1"/>
  <c r="CY297" i="1"/>
  <c r="DB297" i="1" s="1"/>
  <c r="CY256" i="1"/>
  <c r="DB256" i="1" s="1"/>
  <c r="CY125" i="1"/>
  <c r="DB125" i="1" s="1"/>
  <c r="CY55" i="1"/>
  <c r="DB55" i="1" s="1"/>
  <c r="CY289" i="1"/>
  <c r="DB289" i="1" s="1"/>
  <c r="CY248" i="1"/>
  <c r="DB248" i="1" s="1"/>
  <c r="BJ263" i="1"/>
  <c r="BN263" i="1" s="1"/>
  <c r="BJ101" i="1"/>
  <c r="BN101" i="1" s="1"/>
  <c r="BK142" i="1"/>
  <c r="BN142" i="1" s="1"/>
  <c r="BK166" i="1"/>
  <c r="BN166" i="1" s="1"/>
  <c r="BK37" i="1"/>
  <c r="BN37" i="1" s="1"/>
  <c r="CX295" i="1"/>
  <c r="DB295" i="1" s="1"/>
  <c r="CX221" i="1"/>
  <c r="DB221" i="1" s="1"/>
  <c r="CX136" i="1"/>
  <c r="DB136" i="1" s="1"/>
  <c r="DF136" i="1" s="1"/>
  <c r="CX95" i="1"/>
  <c r="DB95" i="1" s="1"/>
  <c r="CX73" i="1"/>
  <c r="DB73" i="1" s="1"/>
  <c r="CY71" i="1"/>
  <c r="DB71" i="1" s="1"/>
  <c r="CY4" i="1"/>
  <c r="DB4" i="1" s="1"/>
  <c r="DF4" i="1" s="1"/>
  <c r="BJ295" i="1"/>
  <c r="BN295" i="1" s="1"/>
  <c r="BJ230" i="1"/>
  <c r="BN230" i="1" s="1"/>
  <c r="BJ99" i="1"/>
  <c r="BN99" i="1" s="1"/>
  <c r="BK158" i="1"/>
  <c r="BN158" i="1" s="1"/>
  <c r="BK141" i="1"/>
  <c r="BN141" i="1" s="1"/>
  <c r="BK68" i="1"/>
  <c r="BK3" i="1"/>
  <c r="BN3" i="1" s="1"/>
  <c r="BJ35" i="1"/>
  <c r="BN35" i="1" s="1"/>
  <c r="BJ43" i="1"/>
  <c r="BN43" i="1" s="1"/>
  <c r="BK287" i="1"/>
  <c r="BN287" i="1" s="1"/>
  <c r="BJ107" i="1"/>
  <c r="BN107" i="1" s="1"/>
  <c r="BK196" i="1"/>
  <c r="BN196" i="1" s="1"/>
  <c r="BK67" i="1"/>
  <c r="BJ245" i="1"/>
  <c r="BN245" i="1" s="1"/>
  <c r="BJ222" i="1"/>
  <c r="BN222" i="1" s="1"/>
  <c r="BJ181" i="1"/>
  <c r="BN181" i="1" s="1"/>
  <c r="BJ116" i="1"/>
  <c r="BN116" i="1" s="1"/>
  <c r="BK205" i="1"/>
  <c r="BN205" i="1" s="1"/>
  <c r="BK131" i="1"/>
  <c r="BN131" i="1" s="1"/>
  <c r="BK100" i="1"/>
  <c r="BN100" i="1" s="1"/>
  <c r="BK84" i="1"/>
  <c r="BN84" i="1" s="1"/>
  <c r="BQ84" i="1" s="1"/>
  <c r="BR84" i="1" s="1"/>
  <c r="U38" i="1"/>
  <c r="Y38" i="1" s="1"/>
  <c r="U159" i="1"/>
  <c r="Y159" i="1" s="1"/>
  <c r="V78" i="1"/>
  <c r="Y78" i="1" s="1"/>
  <c r="U135" i="1"/>
  <c r="V72" i="1"/>
  <c r="Y72" i="1" s="1"/>
  <c r="U70" i="1"/>
  <c r="Y70" i="1" s="1"/>
  <c r="V32" i="1"/>
  <c r="Y32" i="1" s="1"/>
  <c r="U239" i="1"/>
  <c r="Y239" i="1" s="1"/>
  <c r="U84" i="1"/>
  <c r="Y84" i="1" s="1"/>
  <c r="U223" i="1"/>
  <c r="Y223" i="1" s="1"/>
  <c r="U207" i="1"/>
  <c r="Y207" i="1" s="1"/>
  <c r="U68" i="1"/>
  <c r="Y68" i="1" s="1"/>
  <c r="V76" i="1"/>
  <c r="U44" i="1"/>
  <c r="U296" i="1"/>
  <c r="Y296" i="1" s="1"/>
  <c r="U264" i="1"/>
  <c r="Y264" i="1" s="1"/>
  <c r="U20" i="1"/>
  <c r="Y20" i="1" s="1"/>
  <c r="V4" i="1"/>
  <c r="Y4" i="1" s="1"/>
  <c r="AC4" i="1" s="1"/>
  <c r="DR35" i="1"/>
  <c r="DV35" i="1" s="1"/>
  <c r="DS111" i="1"/>
  <c r="DV111" i="1" s="1"/>
  <c r="DS289" i="1"/>
  <c r="DV289" i="1" s="1"/>
  <c r="DS223" i="1"/>
  <c r="DV223" i="1" s="1"/>
  <c r="DS175" i="1"/>
  <c r="DV175" i="1" s="1"/>
  <c r="DY175" i="1" s="1"/>
  <c r="DZ175" i="1" s="1"/>
  <c r="DS152" i="1"/>
  <c r="DS119" i="1"/>
  <c r="DS110" i="1"/>
  <c r="DV110" i="1" s="1"/>
  <c r="DS102" i="1"/>
  <c r="DS94" i="1"/>
  <c r="DS79" i="1"/>
  <c r="DS54" i="1"/>
  <c r="DS47" i="1"/>
  <c r="DV47" i="1" s="1"/>
  <c r="DY47" i="1" s="1"/>
  <c r="DZ47" i="1" s="1"/>
  <c r="DS22" i="1"/>
  <c r="DV22" i="1" s="1"/>
  <c r="DS15" i="1"/>
  <c r="DS11" i="1"/>
  <c r="DV11" i="1" s="1"/>
  <c r="DR3" i="1"/>
  <c r="DS273" i="1"/>
  <c r="DV273" i="1" s="1"/>
  <c r="DS224" i="1"/>
  <c r="DV224" i="1" s="1"/>
  <c r="DY224" i="1" s="1"/>
  <c r="DZ224" i="1" s="1"/>
  <c r="DS176" i="1"/>
  <c r="DS144" i="1"/>
  <c r="DS103" i="1"/>
  <c r="DV103" i="1" s="1"/>
  <c r="DY103" i="1" s="1"/>
  <c r="DZ103" i="1" s="1"/>
  <c r="DS95" i="1"/>
  <c r="DV95" i="1" s="1"/>
  <c r="DS87" i="1"/>
  <c r="DV87" i="1" s="1"/>
  <c r="DY87" i="1" s="1"/>
  <c r="DS83" i="1"/>
  <c r="DV83" i="1" s="1"/>
  <c r="DS55" i="1"/>
  <c r="DV55" i="1" s="1"/>
  <c r="DS51" i="1"/>
  <c r="DS23" i="1"/>
  <c r="DS19" i="1"/>
  <c r="DR43" i="1"/>
  <c r="DV43" i="1" s="1"/>
  <c r="DS240" i="1"/>
  <c r="DS86" i="1"/>
  <c r="DR230" i="1"/>
  <c r="DR198" i="1"/>
  <c r="DR166" i="1"/>
  <c r="DV166" i="1" s="1"/>
  <c r="DY166" i="1" s="1"/>
  <c r="DZ166" i="1" s="1"/>
  <c r="DR134" i="1"/>
  <c r="DV134" i="1" s="1"/>
  <c r="DY134" i="1" s="1"/>
  <c r="DR101" i="1"/>
  <c r="DV101" i="1" s="1"/>
  <c r="DR69" i="1"/>
  <c r="DR60" i="1"/>
  <c r="DV60" i="1" s="1"/>
  <c r="DR51" i="1"/>
  <c r="DR37" i="1"/>
  <c r="DV37" i="1" s="1"/>
  <c r="DR28" i="1"/>
  <c r="DR19" i="1"/>
  <c r="DR5" i="1"/>
  <c r="DV5" i="1" s="1"/>
  <c r="DS288" i="1"/>
  <c r="DV288" i="1" s="1"/>
  <c r="DS256" i="1"/>
  <c r="DV256" i="1" s="1"/>
  <c r="DY256" i="1" s="1"/>
  <c r="DS232" i="1"/>
  <c r="DV232" i="1" s="1"/>
  <c r="DY232" i="1" s="1"/>
  <c r="DS222" i="1"/>
  <c r="DV222" i="1" s="1"/>
  <c r="DS206" i="1"/>
  <c r="DV206" i="1" s="1"/>
  <c r="DS192" i="1"/>
  <c r="DV192" i="1" s="1"/>
  <c r="DS183" i="1"/>
  <c r="DV183" i="1" s="1"/>
  <c r="DY183" i="1" s="1"/>
  <c r="DS174" i="1"/>
  <c r="DS160" i="1"/>
  <c r="DV160" i="1" s="1"/>
  <c r="DS151" i="1"/>
  <c r="DS142" i="1"/>
  <c r="DV142" i="1" s="1"/>
  <c r="DS127" i="1"/>
  <c r="DV127" i="1" s="1"/>
  <c r="DS118" i="1"/>
  <c r="DS109" i="1"/>
  <c r="DS93" i="1"/>
  <c r="DS78" i="1"/>
  <c r="DV78" i="1" s="1"/>
  <c r="DS71" i="1"/>
  <c r="DV71" i="1" s="1"/>
  <c r="DS67" i="1"/>
  <c r="DS46" i="1"/>
  <c r="DV46" i="1" s="1"/>
  <c r="DS39" i="1"/>
  <c r="DV39" i="1" s="1"/>
  <c r="DS14" i="1"/>
  <c r="DS7" i="1"/>
  <c r="DV7" i="1" s="1"/>
  <c r="DS3" i="1"/>
  <c r="DR67" i="1"/>
  <c r="DR75" i="1"/>
  <c r="DV75" i="1" s="1"/>
  <c r="DS265" i="1"/>
  <c r="DS208" i="1"/>
  <c r="DV208" i="1" s="1"/>
  <c r="DS184" i="1"/>
  <c r="DV184" i="1" s="1"/>
  <c r="DS143" i="1"/>
  <c r="DR174" i="1"/>
  <c r="DR109" i="1"/>
  <c r="DR100" i="1"/>
  <c r="DR77" i="1"/>
  <c r="DR68" i="1"/>
  <c r="DV68" i="1" s="1"/>
  <c r="DR59" i="1"/>
  <c r="DR45" i="1"/>
  <c r="DR36" i="1"/>
  <c r="DV36" i="1" s="1"/>
  <c r="DY36" i="1" s="1"/>
  <c r="DZ36" i="1" s="1"/>
  <c r="DR27" i="1"/>
  <c r="DR13" i="1"/>
  <c r="DR4" i="1"/>
  <c r="DS281" i="1"/>
  <c r="DV281" i="1" s="1"/>
  <c r="DY281" i="1" s="1"/>
  <c r="DZ281" i="1" s="1"/>
  <c r="DS248" i="1"/>
  <c r="DV248" i="1" s="1"/>
  <c r="DS230" i="1"/>
  <c r="DS216" i="1"/>
  <c r="DV216" i="1" s="1"/>
  <c r="DY216" i="1" s="1"/>
  <c r="DZ216" i="1" s="1"/>
  <c r="DS200" i="1"/>
  <c r="DV200" i="1" s="1"/>
  <c r="DY200" i="1" s="1"/>
  <c r="DS191" i="1"/>
  <c r="DV191" i="1" s="1"/>
  <c r="DY191" i="1" s="1"/>
  <c r="DS168" i="1"/>
  <c r="DS159" i="1"/>
  <c r="DV159" i="1" s="1"/>
  <c r="DY159" i="1" s="1"/>
  <c r="DS150" i="1"/>
  <c r="DV150" i="1" s="1"/>
  <c r="DY150" i="1" s="1"/>
  <c r="DS136" i="1"/>
  <c r="DV136" i="1" s="1"/>
  <c r="DS126" i="1"/>
  <c r="DS108" i="1"/>
  <c r="DS100" i="1"/>
  <c r="DS92" i="1"/>
  <c r="DV92" i="1" s="1"/>
  <c r="DY92" i="1" s="1"/>
  <c r="DS84" i="1"/>
  <c r="DS77" i="1"/>
  <c r="DS70" i="1"/>
  <c r="DV70" i="1" s="1"/>
  <c r="DY70" i="1" s="1"/>
  <c r="DZ70" i="1" s="1"/>
  <c r="DS63" i="1"/>
  <c r="DV63" i="1" s="1"/>
  <c r="DY63" i="1" s="1"/>
  <c r="DS59" i="1"/>
  <c r="DS52" i="1"/>
  <c r="DV52" i="1" s="1"/>
  <c r="DS45" i="1"/>
  <c r="DS38" i="1"/>
  <c r="DV38" i="1" s="1"/>
  <c r="DS31" i="1"/>
  <c r="DV31" i="1" s="1"/>
  <c r="DS27" i="1"/>
  <c r="DS20" i="1"/>
  <c r="DV20" i="1" s="1"/>
  <c r="DY20" i="1" s="1"/>
  <c r="DZ20" i="1" s="1"/>
  <c r="DS13" i="1"/>
  <c r="DS6" i="1"/>
  <c r="DV6" i="1" s="1"/>
  <c r="U101" i="1"/>
  <c r="Y101" i="1" s="1"/>
  <c r="U45" i="1"/>
  <c r="Y45" i="1" s="1"/>
  <c r="V21" i="1"/>
  <c r="Y21" i="1" s="1"/>
  <c r="AY99" i="1"/>
  <c r="AY35" i="1"/>
  <c r="BA271" i="1"/>
  <c r="BA252" i="1"/>
  <c r="BD252" i="1" s="1"/>
  <c r="BA206" i="1"/>
  <c r="BA188" i="1"/>
  <c r="BD188" i="1" s="1"/>
  <c r="BA142" i="1"/>
  <c r="BA123" i="1"/>
  <c r="BD123" i="1" s="1"/>
  <c r="BA77" i="1"/>
  <c r="BD77" i="1" s="1"/>
  <c r="BA59" i="1"/>
  <c r="BD59" i="1" s="1"/>
  <c r="BA13" i="1"/>
  <c r="BD13" i="1" s="1"/>
  <c r="U13" i="1"/>
  <c r="AE148" i="1"/>
  <c r="AI148" i="1" s="1"/>
  <c r="AO300" i="1"/>
  <c r="AO292" i="1"/>
  <c r="AO284" i="1"/>
  <c r="AO276" i="1"/>
  <c r="AO268" i="1"/>
  <c r="AO259" i="1"/>
  <c r="AO251" i="1"/>
  <c r="AO243" i="1"/>
  <c r="AO235" i="1"/>
  <c r="AO227" i="1"/>
  <c r="AO219" i="1"/>
  <c r="AO211" i="1"/>
  <c r="AO203" i="1"/>
  <c r="AO195" i="1"/>
  <c r="AO187" i="1"/>
  <c r="AO179" i="1"/>
  <c r="AO171" i="1"/>
  <c r="AO163" i="1"/>
  <c r="AO155" i="1"/>
  <c r="AO147" i="1"/>
  <c r="AO139" i="1"/>
  <c r="AO130" i="1"/>
  <c r="AO122" i="1"/>
  <c r="AO114" i="1"/>
  <c r="AO106" i="1"/>
  <c r="AO98" i="1"/>
  <c r="AO90" i="1"/>
  <c r="AO82" i="1"/>
  <c r="AO74" i="1"/>
  <c r="AO66" i="1"/>
  <c r="AO58" i="1"/>
  <c r="AO50" i="1"/>
  <c r="AO42" i="1"/>
  <c r="AO34" i="1"/>
  <c r="AO26" i="1"/>
  <c r="AO18" i="1"/>
  <c r="AO10" i="1"/>
  <c r="AP302" i="1"/>
  <c r="AS302" i="1" s="1"/>
  <c r="AP294" i="1"/>
  <c r="AS294" i="1" s="1"/>
  <c r="AP286" i="1"/>
  <c r="AS286" i="1" s="1"/>
  <c r="AP278" i="1"/>
  <c r="AS278" i="1" s="1"/>
  <c r="AP270" i="1"/>
  <c r="AS270" i="1" s="1"/>
  <c r="AP262" i="1"/>
  <c r="AS262" i="1" s="1"/>
  <c r="AP253" i="1"/>
  <c r="AS253" i="1" s="1"/>
  <c r="AP245" i="1"/>
  <c r="AS245" i="1" s="1"/>
  <c r="AP237" i="1"/>
  <c r="AS237" i="1" s="1"/>
  <c r="AP229" i="1"/>
  <c r="AS229" i="1" s="1"/>
  <c r="AP221" i="1"/>
  <c r="AS221" i="1" s="1"/>
  <c r="AP213" i="1"/>
  <c r="AS213" i="1" s="1"/>
  <c r="AP205" i="1"/>
  <c r="AS205" i="1" s="1"/>
  <c r="AP197" i="1"/>
  <c r="AS197" i="1" s="1"/>
  <c r="AP189" i="1"/>
  <c r="AS189" i="1" s="1"/>
  <c r="AP181" i="1"/>
  <c r="AS181" i="1" s="1"/>
  <c r="AP173" i="1"/>
  <c r="AS173" i="1" s="1"/>
  <c r="AP165" i="1"/>
  <c r="AS165" i="1" s="1"/>
  <c r="AP157" i="1"/>
  <c r="AS157" i="1" s="1"/>
  <c r="AP149" i="1"/>
  <c r="AS149" i="1" s="1"/>
  <c r="AP141" i="1"/>
  <c r="AS141" i="1" s="1"/>
  <c r="AP133" i="1"/>
  <c r="AS133" i="1" s="1"/>
  <c r="AP124" i="1"/>
  <c r="AS124" i="1" s="1"/>
  <c r="AP116" i="1"/>
  <c r="AS116" i="1" s="1"/>
  <c r="AP108" i="1"/>
  <c r="AS108" i="1" s="1"/>
  <c r="AP100" i="1"/>
  <c r="AS100" i="1" s="1"/>
  <c r="AP92" i="1"/>
  <c r="AS92" i="1" s="1"/>
  <c r="AP84" i="1"/>
  <c r="AS84" i="1" s="1"/>
  <c r="AP76" i="1"/>
  <c r="AS76" i="1" s="1"/>
  <c r="AP68" i="1"/>
  <c r="AS68" i="1" s="1"/>
  <c r="AP60" i="1"/>
  <c r="AP52" i="1"/>
  <c r="AS52" i="1" s="1"/>
  <c r="AP44" i="1"/>
  <c r="AS44" i="1" s="1"/>
  <c r="AP36" i="1"/>
  <c r="AS36" i="1" s="1"/>
  <c r="AP28" i="1"/>
  <c r="AS28" i="1" s="1"/>
  <c r="AP20" i="1"/>
  <c r="AS20" i="1" s="1"/>
  <c r="AP12" i="1"/>
  <c r="AS12" i="1" s="1"/>
  <c r="AP4" i="1"/>
  <c r="AS4" i="1" s="1"/>
  <c r="AY295" i="1"/>
  <c r="AY287" i="1"/>
  <c r="AY279" i="1"/>
  <c r="AY271" i="1"/>
  <c r="AY263" i="1"/>
  <c r="BD263" i="1" s="1"/>
  <c r="AY254" i="1"/>
  <c r="AY246" i="1"/>
  <c r="BD246" i="1" s="1"/>
  <c r="AY238" i="1"/>
  <c r="AY230" i="1"/>
  <c r="AY222" i="1"/>
  <c r="AY214" i="1"/>
  <c r="AY206" i="1"/>
  <c r="AY198" i="1"/>
  <c r="AY190" i="1"/>
  <c r="AY182" i="1"/>
  <c r="BD182" i="1" s="1"/>
  <c r="AY174" i="1"/>
  <c r="AY166" i="1"/>
  <c r="AY158" i="1"/>
  <c r="AY150" i="1"/>
  <c r="AY142" i="1"/>
  <c r="AY134" i="1"/>
  <c r="BD134" i="1" s="1"/>
  <c r="AY125" i="1"/>
  <c r="AY107" i="1"/>
  <c r="BD107" i="1" s="1"/>
  <c r="AY98" i="1"/>
  <c r="BD98" i="1" s="1"/>
  <c r="AY43" i="1"/>
  <c r="BD43" i="1" s="1"/>
  <c r="AY34" i="1"/>
  <c r="BD34" i="1" s="1"/>
  <c r="BA279" i="1"/>
  <c r="BA260" i="1"/>
  <c r="BA251" i="1"/>
  <c r="BD251" i="1" s="1"/>
  <c r="BA214" i="1"/>
  <c r="BA196" i="1"/>
  <c r="BA187" i="1"/>
  <c r="BD187" i="1" s="1"/>
  <c r="BA150" i="1"/>
  <c r="BA131" i="1"/>
  <c r="BA122" i="1"/>
  <c r="BD122" i="1" s="1"/>
  <c r="BA85" i="1"/>
  <c r="BD85" i="1" s="1"/>
  <c r="BA67" i="1"/>
  <c r="BA58" i="1"/>
  <c r="BD58" i="1" s="1"/>
  <c r="BA21" i="1"/>
  <c r="BD21" i="1" s="1"/>
  <c r="BA3" i="1"/>
  <c r="BK300" i="1"/>
  <c r="BJ300" i="1"/>
  <c r="BK292" i="1"/>
  <c r="BJ292" i="1"/>
  <c r="BK284" i="1"/>
  <c r="BJ284" i="1"/>
  <c r="BN284" i="1" s="1"/>
  <c r="BK276" i="1"/>
  <c r="BJ276" i="1"/>
  <c r="BK268" i="1"/>
  <c r="BJ268" i="1"/>
  <c r="BJ259" i="1"/>
  <c r="BK259" i="1"/>
  <c r="BJ251" i="1"/>
  <c r="BK251" i="1"/>
  <c r="BJ243" i="1"/>
  <c r="BK235" i="1"/>
  <c r="BJ235" i="1"/>
  <c r="BK227" i="1"/>
  <c r="BJ227" i="1"/>
  <c r="BK219" i="1"/>
  <c r="BJ219" i="1"/>
  <c r="BK211" i="1"/>
  <c r="BJ211" i="1"/>
  <c r="BK203" i="1"/>
  <c r="BJ203" i="1"/>
  <c r="BJ195" i="1"/>
  <c r="BK195" i="1"/>
  <c r="BJ187" i="1"/>
  <c r="BK187" i="1"/>
  <c r="BJ179" i="1"/>
  <c r="BN179" i="1" s="1"/>
  <c r="BK171" i="1"/>
  <c r="BJ171" i="1"/>
  <c r="BK163" i="1"/>
  <c r="BJ163" i="1"/>
  <c r="BK155" i="1"/>
  <c r="BJ155" i="1"/>
  <c r="BK147" i="1"/>
  <c r="BJ147" i="1"/>
  <c r="BN147" i="1" s="1"/>
  <c r="BK139" i="1"/>
  <c r="BJ139" i="1"/>
  <c r="BJ130" i="1"/>
  <c r="BK130" i="1"/>
  <c r="BJ122" i="1"/>
  <c r="BK122" i="1"/>
  <c r="BJ114" i="1"/>
  <c r="BK106" i="1"/>
  <c r="BJ106" i="1"/>
  <c r="BK98" i="1"/>
  <c r="BJ98" i="1"/>
  <c r="BJ82" i="1"/>
  <c r="BK82" i="1"/>
  <c r="BJ74" i="1"/>
  <c r="BK74" i="1"/>
  <c r="BJ66" i="1"/>
  <c r="BK66" i="1"/>
  <c r="BJ58" i="1"/>
  <c r="BK58" i="1"/>
  <c r="BJ50" i="1"/>
  <c r="BK42" i="1"/>
  <c r="BJ42" i="1"/>
  <c r="BK34" i="1"/>
  <c r="BJ34" i="1"/>
  <c r="BN34" i="1" s="1"/>
  <c r="BJ18" i="1"/>
  <c r="BK18" i="1"/>
  <c r="BJ10" i="1"/>
  <c r="BK10" i="1"/>
  <c r="U288" i="1"/>
  <c r="Y288" i="1" s="1"/>
  <c r="U199" i="1"/>
  <c r="Y199" i="1" s="1"/>
  <c r="U125" i="1"/>
  <c r="Y125" i="1" s="1"/>
  <c r="U12" i="1"/>
  <c r="Y12" i="1" s="1"/>
  <c r="AF88" i="1"/>
  <c r="AI88" i="1" s="1"/>
  <c r="AO299" i="1"/>
  <c r="AS299" i="1" s="1"/>
  <c r="AO291" i="1"/>
  <c r="AS291" i="1" s="1"/>
  <c r="AO283" i="1"/>
  <c r="AS283" i="1" s="1"/>
  <c r="AO275" i="1"/>
  <c r="AS275" i="1" s="1"/>
  <c r="AO267" i="1"/>
  <c r="AS267" i="1" s="1"/>
  <c r="AO258" i="1"/>
  <c r="AS258" i="1" s="1"/>
  <c r="AO250" i="1"/>
  <c r="AS250" i="1" s="1"/>
  <c r="AO242" i="1"/>
  <c r="AS242" i="1" s="1"/>
  <c r="AO234" i="1"/>
  <c r="AS234" i="1" s="1"/>
  <c r="AO226" i="1"/>
  <c r="AS226" i="1" s="1"/>
  <c r="AO218" i="1"/>
  <c r="AS218" i="1" s="1"/>
  <c r="AO210" i="1"/>
  <c r="AS210" i="1" s="1"/>
  <c r="AO202" i="1"/>
  <c r="AO194" i="1"/>
  <c r="AS194" i="1" s="1"/>
  <c r="AO186" i="1"/>
  <c r="AS186" i="1" s="1"/>
  <c r="AO178" i="1"/>
  <c r="AS178" i="1" s="1"/>
  <c r="AO170" i="1"/>
  <c r="AS170" i="1" s="1"/>
  <c r="AO162" i="1"/>
  <c r="AS162" i="1" s="1"/>
  <c r="AO154" i="1"/>
  <c r="AS154" i="1" s="1"/>
  <c r="AO146" i="1"/>
  <c r="AS146" i="1" s="1"/>
  <c r="AO138" i="1"/>
  <c r="AS138" i="1" s="1"/>
  <c r="AO129" i="1"/>
  <c r="AS129" i="1" s="1"/>
  <c r="AO121" i="1"/>
  <c r="AS121" i="1" s="1"/>
  <c r="AO113" i="1"/>
  <c r="AS113" i="1" s="1"/>
  <c r="AO105" i="1"/>
  <c r="AS105" i="1" s="1"/>
  <c r="AO97" i="1"/>
  <c r="AS97" i="1" s="1"/>
  <c r="AO89" i="1"/>
  <c r="AS89" i="1" s="1"/>
  <c r="AO81" i="1"/>
  <c r="AS81" i="1" s="1"/>
  <c r="AO73" i="1"/>
  <c r="AS73" i="1" s="1"/>
  <c r="AO65" i="1"/>
  <c r="AS65" i="1" s="1"/>
  <c r="AO57" i="1"/>
  <c r="AS57" i="1" s="1"/>
  <c r="AO49" i="1"/>
  <c r="AS49" i="1" s="1"/>
  <c r="AO41" i="1"/>
  <c r="AS41" i="1" s="1"/>
  <c r="AO33" i="1"/>
  <c r="AS33" i="1" s="1"/>
  <c r="AO25" i="1"/>
  <c r="AS25" i="1" s="1"/>
  <c r="AO17" i="1"/>
  <c r="AS17" i="1" s="1"/>
  <c r="AO9" i="1"/>
  <c r="AS9" i="1" s="1"/>
  <c r="AP301" i="1"/>
  <c r="AS301" i="1" s="1"/>
  <c r="AP293" i="1"/>
  <c r="AS293" i="1" s="1"/>
  <c r="AP285" i="1"/>
  <c r="AS285" i="1" s="1"/>
  <c r="AP277" i="1"/>
  <c r="AS277" i="1" s="1"/>
  <c r="AP269" i="1"/>
  <c r="AS269" i="1" s="1"/>
  <c r="AP260" i="1"/>
  <c r="AS260" i="1" s="1"/>
  <c r="AP252" i="1"/>
  <c r="AS252" i="1" s="1"/>
  <c r="AP244" i="1"/>
  <c r="AS244" i="1" s="1"/>
  <c r="AP236" i="1"/>
  <c r="AS236" i="1" s="1"/>
  <c r="AP228" i="1"/>
  <c r="AS228" i="1" s="1"/>
  <c r="AP220" i="1"/>
  <c r="AS220" i="1" s="1"/>
  <c r="AP212" i="1"/>
  <c r="AS212" i="1" s="1"/>
  <c r="AP204" i="1"/>
  <c r="AS204" i="1" s="1"/>
  <c r="AP196" i="1"/>
  <c r="AS196" i="1" s="1"/>
  <c r="AP188" i="1"/>
  <c r="AS188" i="1" s="1"/>
  <c r="AP180" i="1"/>
  <c r="AS180" i="1" s="1"/>
  <c r="AP172" i="1"/>
  <c r="AS172" i="1" s="1"/>
  <c r="AP164" i="1"/>
  <c r="AS164" i="1" s="1"/>
  <c r="AP156" i="1"/>
  <c r="AS156" i="1" s="1"/>
  <c r="AP148" i="1"/>
  <c r="AS148" i="1" s="1"/>
  <c r="AP140" i="1"/>
  <c r="AS140" i="1" s="1"/>
  <c r="AP131" i="1"/>
  <c r="AS131" i="1" s="1"/>
  <c r="AP123" i="1"/>
  <c r="AS123" i="1" s="1"/>
  <c r="AP115" i="1"/>
  <c r="AS115" i="1" s="1"/>
  <c r="AP107" i="1"/>
  <c r="AS107" i="1" s="1"/>
  <c r="AY302" i="1"/>
  <c r="BD302" i="1" s="1"/>
  <c r="AY294" i="1"/>
  <c r="BD294" i="1" s="1"/>
  <c r="AY286" i="1"/>
  <c r="BD286" i="1" s="1"/>
  <c r="AY278" i="1"/>
  <c r="AY262" i="1"/>
  <c r="BD262" i="1" s="1"/>
  <c r="AY253" i="1"/>
  <c r="BD253" i="1" s="1"/>
  <c r="AY245" i="1"/>
  <c r="BD245" i="1" s="1"/>
  <c r="AY237" i="1"/>
  <c r="BD237" i="1" s="1"/>
  <c r="AY229" i="1"/>
  <c r="BD229" i="1" s="1"/>
  <c r="AY221" i="1"/>
  <c r="BD221" i="1" s="1"/>
  <c r="AY213" i="1"/>
  <c r="AY197" i="1"/>
  <c r="BD197" i="1" s="1"/>
  <c r="AY189" i="1"/>
  <c r="BD189" i="1" s="1"/>
  <c r="AY181" i="1"/>
  <c r="BD181" i="1" s="1"/>
  <c r="AY173" i="1"/>
  <c r="BD173" i="1" s="1"/>
  <c r="AY165" i="1"/>
  <c r="BD165" i="1" s="1"/>
  <c r="AY157" i="1"/>
  <c r="BD157" i="1" s="1"/>
  <c r="AY149" i="1"/>
  <c r="AY124" i="1"/>
  <c r="BD124" i="1" s="1"/>
  <c r="AY115" i="1"/>
  <c r="BD115" i="1" s="1"/>
  <c r="AY106" i="1"/>
  <c r="AY97" i="1"/>
  <c r="BD97" i="1" s="1"/>
  <c r="AY70" i="1"/>
  <c r="BD70" i="1" s="1"/>
  <c r="AY60" i="1"/>
  <c r="AY51" i="1"/>
  <c r="BD51" i="1" s="1"/>
  <c r="AY42" i="1"/>
  <c r="AY33" i="1"/>
  <c r="BD33" i="1" s="1"/>
  <c r="BA296" i="1"/>
  <c r="BD296" i="1" s="1"/>
  <c r="BA287" i="1"/>
  <c r="BA278" i="1"/>
  <c r="BA269" i="1"/>
  <c r="BD269" i="1" s="1"/>
  <c r="BA259" i="1"/>
  <c r="BD259" i="1" s="1"/>
  <c r="BA250" i="1"/>
  <c r="BA231" i="1"/>
  <c r="BD231" i="1" s="1"/>
  <c r="BA222" i="1"/>
  <c r="BA213" i="1"/>
  <c r="BA204" i="1"/>
  <c r="BD204" i="1" s="1"/>
  <c r="BA195" i="1"/>
  <c r="BD195" i="1" s="1"/>
  <c r="BA186" i="1"/>
  <c r="BA167" i="1"/>
  <c r="BD167" i="1" s="1"/>
  <c r="BA158" i="1"/>
  <c r="BA149" i="1"/>
  <c r="BA140" i="1"/>
  <c r="BD140" i="1" s="1"/>
  <c r="BA130" i="1"/>
  <c r="BD130" i="1" s="1"/>
  <c r="BA121" i="1"/>
  <c r="BA102" i="1"/>
  <c r="BD102" i="1" s="1"/>
  <c r="BA93" i="1"/>
  <c r="BD93" i="1" s="1"/>
  <c r="BA84" i="1"/>
  <c r="BD84" i="1" s="1"/>
  <c r="BA75" i="1"/>
  <c r="BD75" i="1" s="1"/>
  <c r="BA66" i="1"/>
  <c r="BA57" i="1"/>
  <c r="BA29" i="1"/>
  <c r="BD29" i="1" s="1"/>
  <c r="BA20" i="1"/>
  <c r="BD20" i="1" s="1"/>
  <c r="BA11" i="1"/>
  <c r="BD11" i="1" s="1"/>
  <c r="BJ26" i="1"/>
  <c r="BN26" i="1" s="1"/>
  <c r="U272" i="1"/>
  <c r="Y272" i="1" s="1"/>
  <c r="U191" i="1"/>
  <c r="Y191" i="1" s="1"/>
  <c r="U116" i="1"/>
  <c r="Y116" i="1" s="1"/>
  <c r="U69" i="1"/>
  <c r="Y69" i="1" s="1"/>
  <c r="U37" i="1"/>
  <c r="Y37" i="1" s="1"/>
  <c r="U6" i="1"/>
  <c r="Y6" i="1" s="1"/>
  <c r="V48" i="1"/>
  <c r="Y48" i="1" s="1"/>
  <c r="V5" i="1"/>
  <c r="Y5" i="1" s="1"/>
  <c r="AF193" i="1"/>
  <c r="AI193" i="1" s="1"/>
  <c r="AO298" i="1"/>
  <c r="AO290" i="1"/>
  <c r="AO282" i="1"/>
  <c r="AO274" i="1"/>
  <c r="AO266" i="1"/>
  <c r="AO257" i="1"/>
  <c r="AO249" i="1"/>
  <c r="AO241" i="1"/>
  <c r="AO233" i="1"/>
  <c r="AO225" i="1"/>
  <c r="AO217" i="1"/>
  <c r="AO209" i="1"/>
  <c r="AO201" i="1"/>
  <c r="AO193" i="1"/>
  <c r="AO185" i="1"/>
  <c r="AO177" i="1"/>
  <c r="AO169" i="1"/>
  <c r="AO161" i="1"/>
  <c r="AO153" i="1"/>
  <c r="AO145" i="1"/>
  <c r="AO137" i="1"/>
  <c r="AO128" i="1"/>
  <c r="AO120" i="1"/>
  <c r="AO112" i="1"/>
  <c r="AO104" i="1"/>
  <c r="AO96" i="1"/>
  <c r="AO88" i="1"/>
  <c r="AO80" i="1"/>
  <c r="AO72" i="1"/>
  <c r="AO64" i="1"/>
  <c r="AO56" i="1"/>
  <c r="AO48" i="1"/>
  <c r="AO40" i="1"/>
  <c r="AO32" i="1"/>
  <c r="AO24" i="1"/>
  <c r="AO16" i="1"/>
  <c r="AO8" i="1"/>
  <c r="AP300" i="1"/>
  <c r="AP292" i="1"/>
  <c r="AP284" i="1"/>
  <c r="AP276" i="1"/>
  <c r="AP268" i="1"/>
  <c r="AP259" i="1"/>
  <c r="AP251" i="1"/>
  <c r="AP243" i="1"/>
  <c r="AP235" i="1"/>
  <c r="AP227" i="1"/>
  <c r="AP219" i="1"/>
  <c r="AP211" i="1"/>
  <c r="AP203" i="1"/>
  <c r="AP195" i="1"/>
  <c r="AP187" i="1"/>
  <c r="AP179" i="1"/>
  <c r="AP171" i="1"/>
  <c r="AP163" i="1"/>
  <c r="AP155" i="1"/>
  <c r="AP147" i="1"/>
  <c r="AP139" i="1"/>
  <c r="AP130" i="1"/>
  <c r="AP122" i="1"/>
  <c r="AP114" i="1"/>
  <c r="AP106" i="1"/>
  <c r="AP98" i="1"/>
  <c r="AP90" i="1"/>
  <c r="AP82" i="1"/>
  <c r="AP74" i="1"/>
  <c r="AP66" i="1"/>
  <c r="AP58" i="1"/>
  <c r="AP50" i="1"/>
  <c r="AP42" i="1"/>
  <c r="AP34" i="1"/>
  <c r="AP26" i="1"/>
  <c r="AP18" i="1"/>
  <c r="AP10" i="1"/>
  <c r="AY293" i="1"/>
  <c r="AY285" i="1"/>
  <c r="BD285" i="1" s="1"/>
  <c r="AY277" i="1"/>
  <c r="AY260" i="1"/>
  <c r="AY244" i="1"/>
  <c r="BD244" i="1" s="1"/>
  <c r="AY228" i="1"/>
  <c r="AY220" i="1"/>
  <c r="BD220" i="1" s="1"/>
  <c r="AY212" i="1"/>
  <c r="AY196" i="1"/>
  <c r="AY180" i="1"/>
  <c r="BD180" i="1" s="1"/>
  <c r="AY164" i="1"/>
  <c r="AY156" i="1"/>
  <c r="BD156" i="1" s="1"/>
  <c r="AY148" i="1"/>
  <c r="AY131" i="1"/>
  <c r="AY114" i="1"/>
  <c r="BD114" i="1" s="1"/>
  <c r="AY96" i="1"/>
  <c r="BD96" i="1" s="1"/>
  <c r="AY50" i="1"/>
  <c r="BD50" i="1" s="1"/>
  <c r="AY32" i="1"/>
  <c r="BD32" i="1" s="1"/>
  <c r="BA295" i="1"/>
  <c r="BA277" i="1"/>
  <c r="BA268" i="1"/>
  <c r="BA258" i="1"/>
  <c r="BA249" i="1"/>
  <c r="BD249" i="1" s="1"/>
  <c r="BA230" i="1"/>
  <c r="BA212" i="1"/>
  <c r="BA203" i="1"/>
  <c r="BD203" i="1" s="1"/>
  <c r="BA194" i="1"/>
  <c r="BA185" i="1"/>
  <c r="BD185" i="1" s="1"/>
  <c r="BA166" i="1"/>
  <c r="BA148" i="1"/>
  <c r="BA139" i="1"/>
  <c r="BD139" i="1" s="1"/>
  <c r="BA129" i="1"/>
  <c r="BA120" i="1"/>
  <c r="BD120" i="1" s="1"/>
  <c r="BA101" i="1"/>
  <c r="BD101" i="1" s="1"/>
  <c r="BA83" i="1"/>
  <c r="BD83" i="1" s="1"/>
  <c r="BA74" i="1"/>
  <c r="BD74" i="1" s="1"/>
  <c r="BA56" i="1"/>
  <c r="BD56" i="1" s="1"/>
  <c r="BA37" i="1"/>
  <c r="BD37" i="1" s="1"/>
  <c r="BA19" i="1"/>
  <c r="BD19" i="1" s="1"/>
  <c r="BA10" i="1"/>
  <c r="BD10" i="1" s="1"/>
  <c r="U109" i="1"/>
  <c r="Y109" i="1" s="1"/>
  <c r="U29" i="1"/>
  <c r="Y29" i="1" s="1"/>
  <c r="AF99" i="1"/>
  <c r="AI99" i="1" s="1"/>
  <c r="AF115" i="1"/>
  <c r="AI115" i="1" s="1"/>
  <c r="BA297" i="1"/>
  <c r="BA289" i="1"/>
  <c r="BA281" i="1"/>
  <c r="BA273" i="1"/>
  <c r="BA265" i="1"/>
  <c r="BA256" i="1"/>
  <c r="BA248" i="1"/>
  <c r="BA240" i="1"/>
  <c r="BA232" i="1"/>
  <c r="BA224" i="1"/>
  <c r="BA216" i="1"/>
  <c r="BA208" i="1"/>
  <c r="BA200" i="1"/>
  <c r="BA192" i="1"/>
  <c r="BA184" i="1"/>
  <c r="BA176" i="1"/>
  <c r="BA168" i="1"/>
  <c r="BA160" i="1"/>
  <c r="BA152" i="1"/>
  <c r="BA144" i="1"/>
  <c r="BA136" i="1"/>
  <c r="BA127" i="1"/>
  <c r="BA119" i="1"/>
  <c r="BA111" i="1"/>
  <c r="BD111" i="1" s="1"/>
  <c r="BA103" i="1"/>
  <c r="BA95" i="1"/>
  <c r="BA87" i="1"/>
  <c r="BD87" i="1" s="1"/>
  <c r="BA79" i="1"/>
  <c r="BD79" i="1" s="1"/>
  <c r="BA71" i="1"/>
  <c r="BD71" i="1" s="1"/>
  <c r="BA63" i="1"/>
  <c r="BD63" i="1" s="1"/>
  <c r="BA55" i="1"/>
  <c r="BA47" i="1"/>
  <c r="BD47" i="1" s="1"/>
  <c r="BA39" i="1"/>
  <c r="BA31" i="1"/>
  <c r="BA23" i="1"/>
  <c r="BD23" i="1" s="1"/>
  <c r="BA15" i="1"/>
  <c r="BD15" i="1" s="1"/>
  <c r="BA7" i="1"/>
  <c r="BD7" i="1" s="1"/>
  <c r="AY300" i="1"/>
  <c r="AY292" i="1"/>
  <c r="BD292" i="1" s="1"/>
  <c r="AY284" i="1"/>
  <c r="AY95" i="1"/>
  <c r="AY67" i="1"/>
  <c r="BD67" i="1" s="1"/>
  <c r="AY31" i="1"/>
  <c r="AY3" i="1"/>
  <c r="BA238" i="1"/>
  <c r="BA174" i="1"/>
  <c r="BA109" i="1"/>
  <c r="BD109" i="1" s="1"/>
  <c r="BA91" i="1"/>
  <c r="BD91" i="1" s="1"/>
  <c r="BA45" i="1"/>
  <c r="BD45" i="1" s="1"/>
  <c r="BA27" i="1"/>
  <c r="BD27" i="1" s="1"/>
  <c r="BK243" i="1"/>
  <c r="BK50" i="1"/>
  <c r="U255" i="1"/>
  <c r="Y255" i="1" s="1"/>
  <c r="U167" i="1"/>
  <c r="Y167" i="1" s="1"/>
  <c r="U102" i="1"/>
  <c r="Y102" i="1" s="1"/>
  <c r="U61" i="1"/>
  <c r="Y61" i="1" s="1"/>
  <c r="U28" i="1"/>
  <c r="Y28" i="1" s="1"/>
  <c r="AB28" i="1" s="1"/>
  <c r="V42" i="1"/>
  <c r="Y42" i="1" s="1"/>
  <c r="AF80" i="1"/>
  <c r="AI80" i="1" s="1"/>
  <c r="AO296" i="1"/>
  <c r="AS296" i="1" s="1"/>
  <c r="AO288" i="1"/>
  <c r="AS288" i="1" s="1"/>
  <c r="AO280" i="1"/>
  <c r="AS280" i="1" s="1"/>
  <c r="AO272" i="1"/>
  <c r="AS272" i="1" s="1"/>
  <c r="AO264" i="1"/>
  <c r="AS264" i="1" s="1"/>
  <c r="AO255" i="1"/>
  <c r="AS255" i="1" s="1"/>
  <c r="AO247" i="1"/>
  <c r="AS247" i="1" s="1"/>
  <c r="AO239" i="1"/>
  <c r="AS239" i="1" s="1"/>
  <c r="AO231" i="1"/>
  <c r="AS231" i="1" s="1"/>
  <c r="AO223" i="1"/>
  <c r="AS223" i="1" s="1"/>
  <c r="AO215" i="1"/>
  <c r="AS215" i="1" s="1"/>
  <c r="AO207" i="1"/>
  <c r="AS207" i="1" s="1"/>
  <c r="AO199" i="1"/>
  <c r="AS199" i="1" s="1"/>
  <c r="AO191" i="1"/>
  <c r="AS191" i="1" s="1"/>
  <c r="AO183" i="1"/>
  <c r="AS183" i="1" s="1"/>
  <c r="AO175" i="1"/>
  <c r="AS175" i="1" s="1"/>
  <c r="AO167" i="1"/>
  <c r="AS167" i="1" s="1"/>
  <c r="AO159" i="1"/>
  <c r="AS159" i="1" s="1"/>
  <c r="AP298" i="1"/>
  <c r="AP290" i="1"/>
  <c r="AP282" i="1"/>
  <c r="AP274" i="1"/>
  <c r="AP266" i="1"/>
  <c r="AP257" i="1"/>
  <c r="AP249" i="1"/>
  <c r="AP241" i="1"/>
  <c r="AP233" i="1"/>
  <c r="AP225" i="1"/>
  <c r="AP217" i="1"/>
  <c r="AP209" i="1"/>
  <c r="AP201" i="1"/>
  <c r="AP193" i="1"/>
  <c r="AP185" i="1"/>
  <c r="AP177" i="1"/>
  <c r="AP169" i="1"/>
  <c r="AP161" i="1"/>
  <c r="AP153" i="1"/>
  <c r="AP145" i="1"/>
  <c r="AP137" i="1"/>
  <c r="AP128" i="1"/>
  <c r="AP120" i="1"/>
  <c r="AP112" i="1"/>
  <c r="AP104" i="1"/>
  <c r="AP96" i="1"/>
  <c r="AP88" i="1"/>
  <c r="AP80" i="1"/>
  <c r="AP72" i="1"/>
  <c r="AP64" i="1"/>
  <c r="AP56" i="1"/>
  <c r="AP48" i="1"/>
  <c r="AP40" i="1"/>
  <c r="AP32" i="1"/>
  <c r="AP24" i="1"/>
  <c r="AP16" i="1"/>
  <c r="AP8" i="1"/>
  <c r="AY299" i="1"/>
  <c r="BD299" i="1" s="1"/>
  <c r="AY291" i="1"/>
  <c r="AY283" i="1"/>
  <c r="BD283" i="1" s="1"/>
  <c r="AY275" i="1"/>
  <c r="AY267" i="1"/>
  <c r="BD267" i="1" s="1"/>
  <c r="AY258" i="1"/>
  <c r="AY250" i="1"/>
  <c r="AY242" i="1"/>
  <c r="BD242" i="1" s="1"/>
  <c r="AY234" i="1"/>
  <c r="BD234" i="1" s="1"/>
  <c r="AY226" i="1"/>
  <c r="AY218" i="1"/>
  <c r="BD218" i="1" s="1"/>
  <c r="AY210" i="1"/>
  <c r="AY202" i="1"/>
  <c r="AY194" i="1"/>
  <c r="AY186" i="1"/>
  <c r="BD186" i="1" s="1"/>
  <c r="AY178" i="1"/>
  <c r="BD178" i="1" s="1"/>
  <c r="AY170" i="1"/>
  <c r="BD170" i="1" s="1"/>
  <c r="AY162" i="1"/>
  <c r="BD162" i="1" s="1"/>
  <c r="AY154" i="1"/>
  <c r="BD154" i="1" s="1"/>
  <c r="AY146" i="1"/>
  <c r="AY138" i="1"/>
  <c r="BD138" i="1" s="1"/>
  <c r="AY129" i="1"/>
  <c r="AY121" i="1"/>
  <c r="AY112" i="1"/>
  <c r="BD112" i="1" s="1"/>
  <c r="AY103" i="1"/>
  <c r="AY66" i="1"/>
  <c r="BD66" i="1" s="1"/>
  <c r="AY57" i="1"/>
  <c r="BD57" i="1" s="1"/>
  <c r="AY48" i="1"/>
  <c r="BD48" i="1" s="1"/>
  <c r="AY39" i="1"/>
  <c r="BA293" i="1"/>
  <c r="BA284" i="1"/>
  <c r="BA275" i="1"/>
  <c r="BA266" i="1"/>
  <c r="BD266" i="1" s="1"/>
  <c r="BA228" i="1"/>
  <c r="BA219" i="1"/>
  <c r="BD219" i="1" s="1"/>
  <c r="BA210" i="1"/>
  <c r="BA201" i="1"/>
  <c r="BD201" i="1" s="1"/>
  <c r="BA164" i="1"/>
  <c r="BA155" i="1"/>
  <c r="BD155" i="1" s="1"/>
  <c r="BA146" i="1"/>
  <c r="BA137" i="1"/>
  <c r="BD137" i="1" s="1"/>
  <c r="BA117" i="1"/>
  <c r="BD117" i="1" s="1"/>
  <c r="BA99" i="1"/>
  <c r="BA90" i="1"/>
  <c r="BD90" i="1" s="1"/>
  <c r="BA81" i="1"/>
  <c r="BD81" i="1" s="1"/>
  <c r="BA72" i="1"/>
  <c r="BD72" i="1" s="1"/>
  <c r="BA53" i="1"/>
  <c r="BD53" i="1" s="1"/>
  <c r="BA35" i="1"/>
  <c r="BA26" i="1"/>
  <c r="BD26" i="1" s="1"/>
  <c r="BA17" i="1"/>
  <c r="BD17" i="1" s="1"/>
  <c r="BA8" i="1"/>
  <c r="BD8" i="1" s="1"/>
  <c r="BJ90" i="1"/>
  <c r="BN90" i="1" s="1"/>
  <c r="BK114" i="1"/>
  <c r="BA254" i="1"/>
  <c r="BA190" i="1"/>
  <c r="BA125" i="1"/>
  <c r="BA61" i="1"/>
  <c r="BD61" i="1" s="1"/>
  <c r="BU298" i="1"/>
  <c r="BT298" i="1"/>
  <c r="BU290" i="1"/>
  <c r="BT290" i="1"/>
  <c r="BU282" i="1"/>
  <c r="BT282" i="1"/>
  <c r="BU274" i="1"/>
  <c r="BT274" i="1"/>
  <c r="BU266" i="1"/>
  <c r="BT266" i="1"/>
  <c r="BU257" i="1"/>
  <c r="BT257" i="1"/>
  <c r="U231" i="1"/>
  <c r="Y231" i="1" s="1"/>
  <c r="U143" i="1"/>
  <c r="Y143" i="1" s="1"/>
  <c r="U93" i="1"/>
  <c r="Y93" i="1" s="1"/>
  <c r="U52" i="1"/>
  <c r="Y52" i="1" s="1"/>
  <c r="AB52" i="1" s="1"/>
  <c r="AY297" i="1"/>
  <c r="AY289" i="1"/>
  <c r="AY281" i="1"/>
  <c r="AY273" i="1"/>
  <c r="AY265" i="1"/>
  <c r="BD265" i="1" s="1"/>
  <c r="AY256" i="1"/>
  <c r="AY248" i="1"/>
  <c r="AY240" i="1"/>
  <c r="AY232" i="1"/>
  <c r="AY224" i="1"/>
  <c r="AY216" i="1"/>
  <c r="AY208" i="1"/>
  <c r="AY200" i="1"/>
  <c r="BD200" i="1" s="1"/>
  <c r="AY192" i="1"/>
  <c r="AY184" i="1"/>
  <c r="AY176" i="1"/>
  <c r="AY168" i="1"/>
  <c r="AY160" i="1"/>
  <c r="AY152" i="1"/>
  <c r="AY144" i="1"/>
  <c r="AY136" i="1"/>
  <c r="AY127" i="1"/>
  <c r="AY119" i="1"/>
  <c r="AY82" i="1"/>
  <c r="BD82" i="1" s="1"/>
  <c r="AY55" i="1"/>
  <c r="AY18" i="1"/>
  <c r="BD18" i="1" s="1"/>
  <c r="BA300" i="1"/>
  <c r="BA291" i="1"/>
  <c r="BA282" i="1"/>
  <c r="BD282" i="1" s="1"/>
  <c r="BA235" i="1"/>
  <c r="BD235" i="1" s="1"/>
  <c r="BA226" i="1"/>
  <c r="BA217" i="1"/>
  <c r="BD217" i="1" s="1"/>
  <c r="BA171" i="1"/>
  <c r="BD171" i="1" s="1"/>
  <c r="BA153" i="1"/>
  <c r="BD153" i="1" s="1"/>
  <c r="BA106" i="1"/>
  <c r="BA69" i="1"/>
  <c r="BD69" i="1" s="1"/>
  <c r="BA42" i="1"/>
  <c r="BA5" i="1"/>
  <c r="BD5" i="1" s="1"/>
  <c r="BJ89" i="1"/>
  <c r="BJ25" i="1"/>
  <c r="BK260" i="1"/>
  <c r="BN260" i="1" s="1"/>
  <c r="BK242" i="1"/>
  <c r="BK178" i="1"/>
  <c r="BK113" i="1"/>
  <c r="BK49" i="1"/>
  <c r="BJ301" i="1"/>
  <c r="BN301" i="1" s="1"/>
  <c r="BJ293" i="1"/>
  <c r="BN293" i="1" s="1"/>
  <c r="BJ285" i="1"/>
  <c r="BJ277" i="1"/>
  <c r="BN277" i="1" s="1"/>
  <c r="BJ269" i="1"/>
  <c r="BJ252" i="1"/>
  <c r="BN252" i="1" s="1"/>
  <c r="BJ244" i="1"/>
  <c r="BN244" i="1" s="1"/>
  <c r="BJ236" i="1"/>
  <c r="BN236" i="1" s="1"/>
  <c r="BJ228" i="1"/>
  <c r="BN228" i="1" s="1"/>
  <c r="BJ220" i="1"/>
  <c r="BJ212" i="1"/>
  <c r="BN212" i="1" s="1"/>
  <c r="BJ204" i="1"/>
  <c r="BJ188" i="1"/>
  <c r="BN188" i="1" s="1"/>
  <c r="BJ180" i="1"/>
  <c r="BN180" i="1" s="1"/>
  <c r="BJ172" i="1"/>
  <c r="BN172" i="1" s="1"/>
  <c r="BJ164" i="1"/>
  <c r="BN164" i="1" s="1"/>
  <c r="BJ156" i="1"/>
  <c r="BJ148" i="1"/>
  <c r="BN148" i="1" s="1"/>
  <c r="BJ140" i="1"/>
  <c r="BJ123" i="1"/>
  <c r="BN123" i="1" s="1"/>
  <c r="BJ115" i="1"/>
  <c r="BN115" i="1" s="1"/>
  <c r="BJ97" i="1"/>
  <c r="BJ88" i="1"/>
  <c r="BN88" i="1" s="1"/>
  <c r="BJ51" i="1"/>
  <c r="BN51" i="1" s="1"/>
  <c r="BJ33" i="1"/>
  <c r="BJ24" i="1"/>
  <c r="BN24" i="1" s="1"/>
  <c r="BK269" i="1"/>
  <c r="BK250" i="1"/>
  <c r="BK241" i="1"/>
  <c r="BK204" i="1"/>
  <c r="BK186" i="1"/>
  <c r="BK177" i="1"/>
  <c r="BK140" i="1"/>
  <c r="BK121" i="1"/>
  <c r="BK112" i="1"/>
  <c r="BK75" i="1"/>
  <c r="BK57" i="1"/>
  <c r="BK48" i="1"/>
  <c r="BK11" i="1"/>
  <c r="BJ105" i="1"/>
  <c r="BN105" i="1" s="1"/>
  <c r="BJ96" i="1"/>
  <c r="BN96" i="1" s="1"/>
  <c r="BJ87" i="1"/>
  <c r="BN87" i="1" s="1"/>
  <c r="BJ59" i="1"/>
  <c r="BN59" i="1" s="1"/>
  <c r="BJ41" i="1"/>
  <c r="BN41" i="1" s="1"/>
  <c r="BJ32" i="1"/>
  <c r="BN32" i="1" s="1"/>
  <c r="BJ23" i="1"/>
  <c r="BN23" i="1" s="1"/>
  <c r="BK286" i="1"/>
  <c r="BN286" i="1" s="1"/>
  <c r="BK258" i="1"/>
  <c r="BK249" i="1"/>
  <c r="BK240" i="1"/>
  <c r="BK194" i="1"/>
  <c r="BK185" i="1"/>
  <c r="BK176" i="1"/>
  <c r="BK129" i="1"/>
  <c r="BK120" i="1"/>
  <c r="BK111" i="1"/>
  <c r="BK83" i="1"/>
  <c r="BN83" i="1" s="1"/>
  <c r="BK65" i="1"/>
  <c r="BK56" i="1"/>
  <c r="BK47" i="1"/>
  <c r="BK19" i="1"/>
  <c r="BN19" i="1" s="1"/>
  <c r="BK296" i="1"/>
  <c r="BN296" i="1" s="1"/>
  <c r="BK288" i="1"/>
  <c r="BN288" i="1" s="1"/>
  <c r="BK280" i="1"/>
  <c r="BN280" i="1" s="1"/>
  <c r="BK272" i="1"/>
  <c r="BN272" i="1" s="1"/>
  <c r="BK264" i="1"/>
  <c r="BN264" i="1" s="1"/>
  <c r="BK255" i="1"/>
  <c r="BN255" i="1" s="1"/>
  <c r="BK247" i="1"/>
  <c r="BN247" i="1" s="1"/>
  <c r="BK239" i="1"/>
  <c r="BN239" i="1" s="1"/>
  <c r="BK231" i="1"/>
  <c r="BN231" i="1" s="1"/>
  <c r="BK223" i="1"/>
  <c r="BN223" i="1" s="1"/>
  <c r="BK215" i="1"/>
  <c r="BN215" i="1" s="1"/>
  <c r="BK207" i="1"/>
  <c r="BN207" i="1" s="1"/>
  <c r="BK199" i="1"/>
  <c r="BN199" i="1" s="1"/>
  <c r="BK191" i="1"/>
  <c r="BN191" i="1" s="1"/>
  <c r="BK183" i="1"/>
  <c r="BN183" i="1" s="1"/>
  <c r="BK175" i="1"/>
  <c r="BN175" i="1" s="1"/>
  <c r="BK167" i="1"/>
  <c r="BN167" i="1" s="1"/>
  <c r="BK159" i="1"/>
  <c r="BN159" i="1" s="1"/>
  <c r="BK151" i="1"/>
  <c r="BN151" i="1" s="1"/>
  <c r="BK143" i="1"/>
  <c r="BN143" i="1" s="1"/>
  <c r="BK135" i="1"/>
  <c r="BN135" i="1" s="1"/>
  <c r="BK126" i="1"/>
  <c r="BN126" i="1" s="1"/>
  <c r="BK118" i="1"/>
  <c r="BN118" i="1" s="1"/>
  <c r="BK110" i="1"/>
  <c r="BN110" i="1" s="1"/>
  <c r="BK102" i="1"/>
  <c r="BK94" i="1"/>
  <c r="BK86" i="1"/>
  <c r="BK78" i="1"/>
  <c r="BN78" i="1" s="1"/>
  <c r="BK70" i="1"/>
  <c r="BN70" i="1" s="1"/>
  <c r="BK62" i="1"/>
  <c r="BN62" i="1" s="1"/>
  <c r="BK54" i="1"/>
  <c r="BN54" i="1" s="1"/>
  <c r="BK46" i="1"/>
  <c r="BN46" i="1" s="1"/>
  <c r="BK38" i="1"/>
  <c r="BK30" i="1"/>
  <c r="BK22" i="1"/>
  <c r="BK14" i="1"/>
  <c r="BN14" i="1" s="1"/>
  <c r="BK6" i="1"/>
  <c r="BN6" i="1" s="1"/>
  <c r="BJ299" i="1"/>
  <c r="BN299" i="1" s="1"/>
  <c r="BJ291" i="1"/>
  <c r="BJ283" i="1"/>
  <c r="BJ275" i="1"/>
  <c r="BJ267" i="1"/>
  <c r="BJ258" i="1"/>
  <c r="BJ250" i="1"/>
  <c r="BJ242" i="1"/>
  <c r="BJ234" i="1"/>
  <c r="BN234" i="1" s="1"/>
  <c r="BJ226" i="1"/>
  <c r="BJ218" i="1"/>
  <c r="BJ210" i="1"/>
  <c r="BJ202" i="1"/>
  <c r="BJ194" i="1"/>
  <c r="BJ186" i="1"/>
  <c r="BJ178" i="1"/>
  <c r="BJ170" i="1"/>
  <c r="BN170" i="1" s="1"/>
  <c r="BJ162" i="1"/>
  <c r="BJ154" i="1"/>
  <c r="BJ146" i="1"/>
  <c r="BJ138" i="1"/>
  <c r="BJ129" i="1"/>
  <c r="BJ121" i="1"/>
  <c r="BJ113" i="1"/>
  <c r="BJ104" i="1"/>
  <c r="BN104" i="1" s="1"/>
  <c r="BJ95" i="1"/>
  <c r="BN95" i="1" s="1"/>
  <c r="BJ86" i="1"/>
  <c r="BJ49" i="1"/>
  <c r="BJ40" i="1"/>
  <c r="BN40" i="1" s="1"/>
  <c r="BJ31" i="1"/>
  <c r="BN31" i="1" s="1"/>
  <c r="BJ22" i="1"/>
  <c r="BK285" i="1"/>
  <c r="BK267" i="1"/>
  <c r="BK257" i="1"/>
  <c r="BK248" i="1"/>
  <c r="BK220" i="1"/>
  <c r="BK202" i="1"/>
  <c r="BK193" i="1"/>
  <c r="BK184" i="1"/>
  <c r="BK156" i="1"/>
  <c r="BK138" i="1"/>
  <c r="BK128" i="1"/>
  <c r="BK119" i="1"/>
  <c r="BK91" i="1"/>
  <c r="BK73" i="1"/>
  <c r="BK64" i="1"/>
  <c r="BN64" i="1" s="1"/>
  <c r="BK55" i="1"/>
  <c r="BN55" i="1" s="1"/>
  <c r="BK27" i="1"/>
  <c r="BK9" i="1"/>
  <c r="BJ298" i="1"/>
  <c r="BN298" i="1" s="1"/>
  <c r="BJ290" i="1"/>
  <c r="BN290" i="1" s="1"/>
  <c r="BJ282" i="1"/>
  <c r="BN282" i="1" s="1"/>
  <c r="BJ274" i="1"/>
  <c r="BJ266" i="1"/>
  <c r="BJ257" i="1"/>
  <c r="BJ249" i="1"/>
  <c r="BJ241" i="1"/>
  <c r="BJ233" i="1"/>
  <c r="BN233" i="1" s="1"/>
  <c r="BJ225" i="1"/>
  <c r="BN225" i="1" s="1"/>
  <c r="BJ217" i="1"/>
  <c r="BN217" i="1" s="1"/>
  <c r="BJ209" i="1"/>
  <c r="BJ201" i="1"/>
  <c r="BJ193" i="1"/>
  <c r="BJ185" i="1"/>
  <c r="BJ177" i="1"/>
  <c r="BJ169" i="1"/>
  <c r="BJ161" i="1"/>
  <c r="BN161" i="1" s="1"/>
  <c r="BJ153" i="1"/>
  <c r="BN153" i="1" s="1"/>
  <c r="BJ145" i="1"/>
  <c r="BJ137" i="1"/>
  <c r="BJ128" i="1"/>
  <c r="BJ120" i="1"/>
  <c r="BJ112" i="1"/>
  <c r="BN112" i="1" s="1"/>
  <c r="BJ103" i="1"/>
  <c r="BN103" i="1" s="1"/>
  <c r="BJ94" i="1"/>
  <c r="BJ85" i="1"/>
  <c r="BN85" i="1" s="1"/>
  <c r="BJ75" i="1"/>
  <c r="BJ57" i="1"/>
  <c r="BN57" i="1" s="1"/>
  <c r="BJ48" i="1"/>
  <c r="BJ39" i="1"/>
  <c r="BN39" i="1" s="1"/>
  <c r="BJ30" i="1"/>
  <c r="BJ21" i="1"/>
  <c r="BN21" i="1" s="1"/>
  <c r="BJ11" i="1"/>
  <c r="BK275" i="1"/>
  <c r="BK266" i="1"/>
  <c r="BK256" i="1"/>
  <c r="BK246" i="1"/>
  <c r="BN246" i="1" s="1"/>
  <c r="BK210" i="1"/>
  <c r="BK201" i="1"/>
  <c r="BK192" i="1"/>
  <c r="BK182" i="1"/>
  <c r="BN182" i="1" s="1"/>
  <c r="BK146" i="1"/>
  <c r="BK137" i="1"/>
  <c r="BK127" i="1"/>
  <c r="BK117" i="1"/>
  <c r="BN117" i="1" s="1"/>
  <c r="BK81" i="1"/>
  <c r="BN81" i="1" s="1"/>
  <c r="BK72" i="1"/>
  <c r="BN72" i="1" s="1"/>
  <c r="BK63" i="1"/>
  <c r="BN63" i="1" s="1"/>
  <c r="BK53" i="1"/>
  <c r="BN53" i="1" s="1"/>
  <c r="BK17" i="1"/>
  <c r="BN17" i="1" s="1"/>
  <c r="BK8" i="1"/>
  <c r="BN8" i="1" s="1"/>
  <c r="BJ297" i="1"/>
  <c r="BN297" i="1" s="1"/>
  <c r="BJ289" i="1"/>
  <c r="BN289" i="1" s="1"/>
  <c r="BJ281" i="1"/>
  <c r="BN281" i="1" s="1"/>
  <c r="BJ273" i="1"/>
  <c r="BN273" i="1" s="1"/>
  <c r="BJ265" i="1"/>
  <c r="BJ256" i="1"/>
  <c r="BJ248" i="1"/>
  <c r="BJ240" i="1"/>
  <c r="BJ232" i="1"/>
  <c r="BN232" i="1" s="1"/>
  <c r="BJ224" i="1"/>
  <c r="BN224" i="1" s="1"/>
  <c r="BJ216" i="1"/>
  <c r="BN216" i="1" s="1"/>
  <c r="BJ208" i="1"/>
  <c r="BN208" i="1" s="1"/>
  <c r="BJ200" i="1"/>
  <c r="BJ192" i="1"/>
  <c r="BJ184" i="1"/>
  <c r="BJ176" i="1"/>
  <c r="BJ168" i="1"/>
  <c r="BN168" i="1" s="1"/>
  <c r="BJ160" i="1"/>
  <c r="BN160" i="1" s="1"/>
  <c r="BJ152" i="1"/>
  <c r="BN152" i="1" s="1"/>
  <c r="BJ144" i="1"/>
  <c r="BN144" i="1" s="1"/>
  <c r="BJ136" i="1"/>
  <c r="BJ127" i="1"/>
  <c r="BJ119" i="1"/>
  <c r="BJ111" i="1"/>
  <c r="BJ102" i="1"/>
  <c r="BN102" i="1" s="1"/>
  <c r="BJ93" i="1"/>
  <c r="BN93" i="1" s="1"/>
  <c r="BJ65" i="1"/>
  <c r="BN65" i="1" s="1"/>
  <c r="BJ56" i="1"/>
  <c r="BN56" i="1" s="1"/>
  <c r="BJ47" i="1"/>
  <c r="BN47" i="1" s="1"/>
  <c r="BJ38" i="1"/>
  <c r="BJ29" i="1"/>
  <c r="BN29" i="1" s="1"/>
  <c r="BK283" i="1"/>
  <c r="BK274" i="1"/>
  <c r="BK265" i="1"/>
  <c r="BK254" i="1"/>
  <c r="BN254" i="1" s="1"/>
  <c r="BK218" i="1"/>
  <c r="BK209" i="1"/>
  <c r="BK200" i="1"/>
  <c r="BK190" i="1"/>
  <c r="BN190" i="1" s="1"/>
  <c r="BK154" i="1"/>
  <c r="BK145" i="1"/>
  <c r="BK136" i="1"/>
  <c r="BK125" i="1"/>
  <c r="BN125" i="1" s="1"/>
  <c r="BK89" i="1"/>
  <c r="BK80" i="1"/>
  <c r="BN80" i="1" s="1"/>
  <c r="BK71" i="1"/>
  <c r="BN71" i="1" s="1"/>
  <c r="BK61" i="1"/>
  <c r="BN61" i="1" s="1"/>
  <c r="BK52" i="1"/>
  <c r="BN52" i="1" s="1"/>
  <c r="BK25" i="1"/>
  <c r="BK16" i="1"/>
  <c r="BN16" i="1" s="1"/>
  <c r="BK7" i="1"/>
  <c r="BN7" i="1" s="1"/>
  <c r="BJ91" i="1"/>
  <c r="BJ73" i="1"/>
  <c r="BJ27" i="1"/>
  <c r="BJ9" i="1"/>
  <c r="BK291" i="1"/>
  <c r="BK226" i="1"/>
  <c r="BK162" i="1"/>
  <c r="BK97" i="1"/>
  <c r="BK33" i="1"/>
  <c r="BU299" i="1"/>
  <c r="BT299" i="1"/>
  <c r="BU291" i="1"/>
  <c r="BT291" i="1"/>
  <c r="BU283" i="1"/>
  <c r="BT283" i="1"/>
  <c r="BU275" i="1"/>
  <c r="BT275" i="1"/>
  <c r="BU267" i="1"/>
  <c r="BT267" i="1"/>
  <c r="BU258" i="1"/>
  <c r="BT258" i="1"/>
  <c r="BU250" i="1"/>
  <c r="BT250" i="1"/>
  <c r="BU242" i="1"/>
  <c r="BT242" i="1"/>
  <c r="BU234" i="1"/>
  <c r="BT234" i="1"/>
  <c r="BU226" i="1"/>
  <c r="BT226" i="1"/>
  <c r="BU218" i="1"/>
  <c r="BT218" i="1"/>
  <c r="BU210" i="1"/>
  <c r="BT210" i="1"/>
  <c r="BU202" i="1"/>
  <c r="BT202" i="1"/>
  <c r="BU194" i="1"/>
  <c r="BT194" i="1"/>
  <c r="BU186" i="1"/>
  <c r="BT186" i="1"/>
  <c r="BU178" i="1"/>
  <c r="BT178" i="1"/>
  <c r="BU170" i="1"/>
  <c r="BT170" i="1"/>
  <c r="BU162" i="1"/>
  <c r="BT162" i="1"/>
  <c r="BU154" i="1"/>
  <c r="BT154" i="1"/>
  <c r="BU146" i="1"/>
  <c r="BT146" i="1"/>
  <c r="BU138" i="1"/>
  <c r="BT138" i="1"/>
  <c r="BU129" i="1"/>
  <c r="BT129" i="1"/>
  <c r="BU121" i="1"/>
  <c r="BT121" i="1"/>
  <c r="BU113" i="1"/>
  <c r="BT113" i="1"/>
  <c r="BU105" i="1"/>
  <c r="BT105" i="1"/>
  <c r="BU97" i="1"/>
  <c r="BT97" i="1"/>
  <c r="BU89" i="1"/>
  <c r="BT89" i="1"/>
  <c r="BU81" i="1"/>
  <c r="BT81" i="1"/>
  <c r="BU73" i="1"/>
  <c r="BT73" i="1"/>
  <c r="BU65" i="1"/>
  <c r="BT65" i="1"/>
  <c r="BU57" i="1"/>
  <c r="BT57" i="1"/>
  <c r="BU49" i="1"/>
  <c r="BT49" i="1"/>
  <c r="BU41" i="1"/>
  <c r="BT41" i="1"/>
  <c r="BU33" i="1"/>
  <c r="BT33" i="1"/>
  <c r="BU25" i="1"/>
  <c r="BT25" i="1"/>
  <c r="BU17" i="1"/>
  <c r="BT17" i="1"/>
  <c r="BU9" i="1"/>
  <c r="BT9" i="1"/>
  <c r="BU301" i="1"/>
  <c r="BX301" i="1" s="1"/>
  <c r="BU293" i="1"/>
  <c r="BX293" i="1" s="1"/>
  <c r="BU285" i="1"/>
  <c r="BX285" i="1" s="1"/>
  <c r="BU277" i="1"/>
  <c r="BX277" i="1" s="1"/>
  <c r="BU269" i="1"/>
  <c r="BX269" i="1" s="1"/>
  <c r="BU260" i="1"/>
  <c r="BX260" i="1" s="1"/>
  <c r="BU252" i="1"/>
  <c r="BX252" i="1" s="1"/>
  <c r="BU244" i="1"/>
  <c r="BX244" i="1" s="1"/>
  <c r="BU236" i="1"/>
  <c r="BX236" i="1" s="1"/>
  <c r="BU228" i="1"/>
  <c r="BX228" i="1" s="1"/>
  <c r="BU220" i="1"/>
  <c r="BX220" i="1" s="1"/>
  <c r="BU212" i="1"/>
  <c r="BX212" i="1" s="1"/>
  <c r="BU204" i="1"/>
  <c r="BX204" i="1" s="1"/>
  <c r="BU196" i="1"/>
  <c r="BX196" i="1" s="1"/>
  <c r="BU188" i="1"/>
  <c r="BX188" i="1" s="1"/>
  <c r="BU180" i="1"/>
  <c r="BX180" i="1" s="1"/>
  <c r="BU172" i="1"/>
  <c r="BX172" i="1" s="1"/>
  <c r="BU164" i="1"/>
  <c r="BX164" i="1" s="1"/>
  <c r="BU156" i="1"/>
  <c r="BX156" i="1" s="1"/>
  <c r="BU148" i="1"/>
  <c r="BX148" i="1" s="1"/>
  <c r="BU140" i="1"/>
  <c r="BX140" i="1" s="1"/>
  <c r="BU131" i="1"/>
  <c r="BX131" i="1" s="1"/>
  <c r="BU123" i="1"/>
  <c r="BX123" i="1" s="1"/>
  <c r="BU115" i="1"/>
  <c r="BX115" i="1" s="1"/>
  <c r="BU107" i="1"/>
  <c r="BX107" i="1" s="1"/>
  <c r="BU99" i="1"/>
  <c r="BX99" i="1" s="1"/>
  <c r="BU91" i="1"/>
  <c r="BX91" i="1" s="1"/>
  <c r="BU83" i="1"/>
  <c r="BX83" i="1" s="1"/>
  <c r="BU75" i="1"/>
  <c r="BX75" i="1" s="1"/>
  <c r="BU67" i="1"/>
  <c r="BX67" i="1" s="1"/>
  <c r="BU59" i="1"/>
  <c r="BX59" i="1" s="1"/>
  <c r="BU51" i="1"/>
  <c r="BX51" i="1" s="1"/>
  <c r="BU43" i="1"/>
  <c r="BX43" i="1" s="1"/>
  <c r="BU35" i="1"/>
  <c r="BX35" i="1" s="1"/>
  <c r="BU27" i="1"/>
  <c r="BX27" i="1" s="1"/>
  <c r="BU19" i="1"/>
  <c r="BX19" i="1" s="1"/>
  <c r="BU11" i="1"/>
  <c r="BX11" i="1" s="1"/>
  <c r="BU3" i="1"/>
  <c r="BX3" i="1" s="1"/>
  <c r="CE295" i="1"/>
  <c r="CD295" i="1"/>
  <c r="CE287" i="1"/>
  <c r="CD287" i="1"/>
  <c r="CE279" i="1"/>
  <c r="CD279" i="1"/>
  <c r="CH279" i="1" s="1"/>
  <c r="CE271" i="1"/>
  <c r="CD271" i="1"/>
  <c r="CE263" i="1"/>
  <c r="CD263" i="1"/>
  <c r="CE254" i="1"/>
  <c r="CD254" i="1"/>
  <c r="CE246" i="1"/>
  <c r="CD246" i="1"/>
  <c r="CH246" i="1" s="1"/>
  <c r="CE238" i="1"/>
  <c r="CD238" i="1"/>
  <c r="CE230" i="1"/>
  <c r="CD230" i="1"/>
  <c r="CE222" i="1"/>
  <c r="CD222" i="1"/>
  <c r="CE214" i="1"/>
  <c r="CD214" i="1"/>
  <c r="CH214" i="1" s="1"/>
  <c r="CE206" i="1"/>
  <c r="CD206" i="1"/>
  <c r="CE198" i="1"/>
  <c r="CD198" i="1"/>
  <c r="CE190" i="1"/>
  <c r="CD190" i="1"/>
  <c r="CE182" i="1"/>
  <c r="CD182" i="1"/>
  <c r="CH182" i="1" s="1"/>
  <c r="CE174" i="1"/>
  <c r="CD174" i="1"/>
  <c r="CE166" i="1"/>
  <c r="CD166" i="1"/>
  <c r="CE158" i="1"/>
  <c r="CD158" i="1"/>
  <c r="CE150" i="1"/>
  <c r="CD150" i="1"/>
  <c r="CH150" i="1" s="1"/>
  <c r="CE142" i="1"/>
  <c r="CD142" i="1"/>
  <c r="CE134" i="1"/>
  <c r="CD134" i="1"/>
  <c r="CE125" i="1"/>
  <c r="CD125" i="1"/>
  <c r="CE117" i="1"/>
  <c r="CD117" i="1"/>
  <c r="CH117" i="1" s="1"/>
  <c r="CE109" i="1"/>
  <c r="CD109" i="1"/>
  <c r="CE101" i="1"/>
  <c r="CD101" i="1"/>
  <c r="CE93" i="1"/>
  <c r="CD93" i="1"/>
  <c r="CE85" i="1"/>
  <c r="CD85" i="1"/>
  <c r="CH85" i="1" s="1"/>
  <c r="CE77" i="1"/>
  <c r="CD77" i="1"/>
  <c r="CE69" i="1"/>
  <c r="CD69" i="1"/>
  <c r="CE61" i="1"/>
  <c r="CD61" i="1"/>
  <c r="CE53" i="1"/>
  <c r="CD53" i="1"/>
  <c r="CH53" i="1" s="1"/>
  <c r="CE45" i="1"/>
  <c r="CD45" i="1"/>
  <c r="CE37" i="1"/>
  <c r="CD37" i="1"/>
  <c r="CE29" i="1"/>
  <c r="CD29" i="1"/>
  <c r="CE21" i="1"/>
  <c r="CD21" i="1"/>
  <c r="CH21" i="1" s="1"/>
  <c r="CE13" i="1"/>
  <c r="CD13" i="1"/>
  <c r="CE5" i="1"/>
  <c r="CD5" i="1"/>
  <c r="BT249" i="1"/>
  <c r="BT241" i="1"/>
  <c r="BT233" i="1"/>
  <c r="BT225" i="1"/>
  <c r="BT217" i="1"/>
  <c r="BT209" i="1"/>
  <c r="BT201" i="1"/>
  <c r="BT193" i="1"/>
  <c r="BT185" i="1"/>
  <c r="BT177" i="1"/>
  <c r="BT169" i="1"/>
  <c r="BT161" i="1"/>
  <c r="BT153" i="1"/>
  <c r="BT145" i="1"/>
  <c r="BT137" i="1"/>
  <c r="BT128" i="1"/>
  <c r="BT120" i="1"/>
  <c r="BT112" i="1"/>
  <c r="BT104" i="1"/>
  <c r="BT96" i="1"/>
  <c r="BT88" i="1"/>
  <c r="BT80" i="1"/>
  <c r="BT72" i="1"/>
  <c r="BT64" i="1"/>
  <c r="BT56" i="1"/>
  <c r="BT48" i="1"/>
  <c r="BT40" i="1"/>
  <c r="BT32" i="1"/>
  <c r="BT24" i="1"/>
  <c r="BT16" i="1"/>
  <c r="BT8" i="1"/>
  <c r="BU300" i="1"/>
  <c r="BX300" i="1" s="1"/>
  <c r="BU292" i="1"/>
  <c r="BX292" i="1" s="1"/>
  <c r="BU284" i="1"/>
  <c r="BX284" i="1" s="1"/>
  <c r="BU276" i="1"/>
  <c r="BX276" i="1" s="1"/>
  <c r="BU268" i="1"/>
  <c r="BU259" i="1"/>
  <c r="BX259" i="1" s="1"/>
  <c r="BU251" i="1"/>
  <c r="BX251" i="1" s="1"/>
  <c r="BU243" i="1"/>
  <c r="BX243" i="1" s="1"/>
  <c r="BU235" i="1"/>
  <c r="BX235" i="1" s="1"/>
  <c r="BU227" i="1"/>
  <c r="BX227" i="1" s="1"/>
  <c r="BU219" i="1"/>
  <c r="BX219" i="1" s="1"/>
  <c r="BU211" i="1"/>
  <c r="BX211" i="1" s="1"/>
  <c r="BU203" i="1"/>
  <c r="BX203" i="1" s="1"/>
  <c r="BU195" i="1"/>
  <c r="BX195" i="1" s="1"/>
  <c r="BU187" i="1"/>
  <c r="BX187" i="1" s="1"/>
  <c r="BU179" i="1"/>
  <c r="BX179" i="1" s="1"/>
  <c r="BU171" i="1"/>
  <c r="BX171" i="1" s="1"/>
  <c r="BU163" i="1"/>
  <c r="BX163" i="1" s="1"/>
  <c r="BU155" i="1"/>
  <c r="BX155" i="1" s="1"/>
  <c r="BU147" i="1"/>
  <c r="BX147" i="1" s="1"/>
  <c r="BU139" i="1"/>
  <c r="BX139" i="1" s="1"/>
  <c r="BU130" i="1"/>
  <c r="BX130" i="1" s="1"/>
  <c r="BU122" i="1"/>
  <c r="BX122" i="1" s="1"/>
  <c r="BU114" i="1"/>
  <c r="BX114" i="1" s="1"/>
  <c r="BU106" i="1"/>
  <c r="BX106" i="1" s="1"/>
  <c r="BU98" i="1"/>
  <c r="BX98" i="1" s="1"/>
  <c r="BU90" i="1"/>
  <c r="BX90" i="1" s="1"/>
  <c r="BU82" i="1"/>
  <c r="BX82" i="1" s="1"/>
  <c r="BU74" i="1"/>
  <c r="BX74" i="1" s="1"/>
  <c r="BU66" i="1"/>
  <c r="BX66" i="1" s="1"/>
  <c r="BU58" i="1"/>
  <c r="BX58" i="1" s="1"/>
  <c r="BU50" i="1"/>
  <c r="BX50" i="1" s="1"/>
  <c r="BU42" i="1"/>
  <c r="BX42" i="1" s="1"/>
  <c r="BU34" i="1"/>
  <c r="BX34" i="1" s="1"/>
  <c r="BU26" i="1"/>
  <c r="BX26" i="1" s="1"/>
  <c r="BU18" i="1"/>
  <c r="BX18" i="1" s="1"/>
  <c r="BU10" i="1"/>
  <c r="BX10" i="1" s="1"/>
  <c r="BT296" i="1"/>
  <c r="BX296" i="1" s="1"/>
  <c r="BT288" i="1"/>
  <c r="BX288" i="1" s="1"/>
  <c r="BT280" i="1"/>
  <c r="BX280" i="1" s="1"/>
  <c r="BT272" i="1"/>
  <c r="BX272" i="1" s="1"/>
  <c r="BT264" i="1"/>
  <c r="BX264" i="1" s="1"/>
  <c r="BT255" i="1"/>
  <c r="BX255" i="1" s="1"/>
  <c r="BT247" i="1"/>
  <c r="BX247" i="1" s="1"/>
  <c r="BT239" i="1"/>
  <c r="BX239" i="1" s="1"/>
  <c r="BT231" i="1"/>
  <c r="BX231" i="1" s="1"/>
  <c r="BT223" i="1"/>
  <c r="BX223" i="1" s="1"/>
  <c r="BT215" i="1"/>
  <c r="BX215" i="1" s="1"/>
  <c r="BT207" i="1"/>
  <c r="BX207" i="1" s="1"/>
  <c r="BT199" i="1"/>
  <c r="BX199" i="1" s="1"/>
  <c r="BT191" i="1"/>
  <c r="BX191" i="1" s="1"/>
  <c r="BT183" i="1"/>
  <c r="BX183" i="1" s="1"/>
  <c r="BT175" i="1"/>
  <c r="BX175" i="1" s="1"/>
  <c r="BT167" i="1"/>
  <c r="BX167" i="1" s="1"/>
  <c r="BT159" i="1"/>
  <c r="BX159" i="1" s="1"/>
  <c r="BT151" i="1"/>
  <c r="BX151" i="1" s="1"/>
  <c r="BT143" i="1"/>
  <c r="BX143" i="1" s="1"/>
  <c r="BT135" i="1"/>
  <c r="BX135" i="1" s="1"/>
  <c r="BT126" i="1"/>
  <c r="BX126" i="1" s="1"/>
  <c r="BT118" i="1"/>
  <c r="BX118" i="1" s="1"/>
  <c r="BT110" i="1"/>
  <c r="BX110" i="1" s="1"/>
  <c r="BT102" i="1"/>
  <c r="BX102" i="1" s="1"/>
  <c r="BT94" i="1"/>
  <c r="BX94" i="1" s="1"/>
  <c r="BT86" i="1"/>
  <c r="BX86" i="1" s="1"/>
  <c r="BT78" i="1"/>
  <c r="BX78" i="1" s="1"/>
  <c r="BT70" i="1"/>
  <c r="BX70" i="1" s="1"/>
  <c r="BT62" i="1"/>
  <c r="BX62" i="1" s="1"/>
  <c r="BU249" i="1"/>
  <c r="BU241" i="1"/>
  <c r="BU233" i="1"/>
  <c r="BU225" i="1"/>
  <c r="BU217" i="1"/>
  <c r="BU209" i="1"/>
  <c r="BU201" i="1"/>
  <c r="BU193" i="1"/>
  <c r="BU185" i="1"/>
  <c r="BU177" i="1"/>
  <c r="BU169" i="1"/>
  <c r="BU161" i="1"/>
  <c r="BU153" i="1"/>
  <c r="BU145" i="1"/>
  <c r="BU137" i="1"/>
  <c r="BU128" i="1"/>
  <c r="BU120" i="1"/>
  <c r="BU112" i="1"/>
  <c r="BU104" i="1"/>
  <c r="BU96" i="1"/>
  <c r="BU88" i="1"/>
  <c r="BU80" i="1"/>
  <c r="BU72" i="1"/>
  <c r="BU64" i="1"/>
  <c r="BU56" i="1"/>
  <c r="BU48" i="1"/>
  <c r="BU40" i="1"/>
  <c r="BU32" i="1"/>
  <c r="BU24" i="1"/>
  <c r="BU16" i="1"/>
  <c r="BU8" i="1"/>
  <c r="CE299" i="1"/>
  <c r="CE298" i="1"/>
  <c r="CE290" i="1"/>
  <c r="CH290" i="1" s="1"/>
  <c r="CE282" i="1"/>
  <c r="CE274" i="1"/>
  <c r="CH274" i="1" s="1"/>
  <c r="CE266" i="1"/>
  <c r="CH266" i="1" s="1"/>
  <c r="CE257" i="1"/>
  <c r="CE249" i="1"/>
  <c r="CH249" i="1" s="1"/>
  <c r="CE241" i="1"/>
  <c r="CH241" i="1" s="1"/>
  <c r="CE233" i="1"/>
  <c r="CE225" i="1"/>
  <c r="CH225" i="1" s="1"/>
  <c r="CE217" i="1"/>
  <c r="CE209" i="1"/>
  <c r="CH209" i="1" s="1"/>
  <c r="CE201" i="1"/>
  <c r="CH201" i="1" s="1"/>
  <c r="CE193" i="1"/>
  <c r="CE185" i="1"/>
  <c r="CH185" i="1" s="1"/>
  <c r="CE177" i="1"/>
  <c r="CH177" i="1" s="1"/>
  <c r="CE169" i="1"/>
  <c r="CE161" i="1"/>
  <c r="CH161" i="1" s="1"/>
  <c r="CE153" i="1"/>
  <c r="CE145" i="1"/>
  <c r="CH145" i="1" s="1"/>
  <c r="CE137" i="1"/>
  <c r="CH137" i="1" s="1"/>
  <c r="CE128" i="1"/>
  <c r="CE120" i="1"/>
  <c r="CH120" i="1" s="1"/>
  <c r="CE112" i="1"/>
  <c r="CH112" i="1" s="1"/>
  <c r="CE104" i="1"/>
  <c r="CE96" i="1"/>
  <c r="CH96" i="1" s="1"/>
  <c r="CE88" i="1"/>
  <c r="CE80" i="1"/>
  <c r="CH80" i="1" s="1"/>
  <c r="CE72" i="1"/>
  <c r="CH72" i="1" s="1"/>
  <c r="CE64" i="1"/>
  <c r="CE56" i="1"/>
  <c r="CH56" i="1" s="1"/>
  <c r="CD299" i="1"/>
  <c r="CH299" i="1" s="1"/>
  <c r="CD233" i="1"/>
  <c r="CH233" i="1" s="1"/>
  <c r="CD169" i="1"/>
  <c r="CD104" i="1"/>
  <c r="CE297" i="1"/>
  <c r="CD297" i="1"/>
  <c r="CE289" i="1"/>
  <c r="CD289" i="1"/>
  <c r="CE281" i="1"/>
  <c r="CD281" i="1"/>
  <c r="CE273" i="1"/>
  <c r="CD273" i="1"/>
  <c r="CE265" i="1"/>
  <c r="CD265" i="1"/>
  <c r="CE256" i="1"/>
  <c r="CD256" i="1"/>
  <c r="CE248" i="1"/>
  <c r="CD248" i="1"/>
  <c r="CE240" i="1"/>
  <c r="CD240" i="1"/>
  <c r="CE232" i="1"/>
  <c r="CD232" i="1"/>
  <c r="CE224" i="1"/>
  <c r="CD224" i="1"/>
  <c r="CE216" i="1"/>
  <c r="CD216" i="1"/>
  <c r="CE208" i="1"/>
  <c r="CD208" i="1"/>
  <c r="CD298" i="1"/>
  <c r="CH298" i="1" s="1"/>
  <c r="CD257" i="1"/>
  <c r="CD193" i="1"/>
  <c r="CH193" i="1" s="1"/>
  <c r="CD128" i="1"/>
  <c r="CD64" i="1"/>
  <c r="CE296" i="1"/>
  <c r="CD296" i="1"/>
  <c r="CE288" i="1"/>
  <c r="CD288" i="1"/>
  <c r="CE280" i="1"/>
  <c r="CD280" i="1"/>
  <c r="CE272" i="1"/>
  <c r="CD272" i="1"/>
  <c r="CE264" i="1"/>
  <c r="CD264" i="1"/>
  <c r="CE255" i="1"/>
  <c r="CD255" i="1"/>
  <c r="CE247" i="1"/>
  <c r="CD247" i="1"/>
  <c r="CE239" i="1"/>
  <c r="CD239" i="1"/>
  <c r="CE231" i="1"/>
  <c r="CD231" i="1"/>
  <c r="CE223" i="1"/>
  <c r="CD223" i="1"/>
  <c r="CE215" i="1"/>
  <c r="CD215" i="1"/>
  <c r="CE207" i="1"/>
  <c r="CD207" i="1"/>
  <c r="CE199" i="1"/>
  <c r="CD199" i="1"/>
  <c r="CE191" i="1"/>
  <c r="CD191" i="1"/>
  <c r="CE183" i="1"/>
  <c r="CD183" i="1"/>
  <c r="CE175" i="1"/>
  <c r="CD175" i="1"/>
  <c r="CE167" i="1"/>
  <c r="CD167" i="1"/>
  <c r="CE159" i="1"/>
  <c r="CD159" i="1"/>
  <c r="CE151" i="1"/>
  <c r="CD151" i="1"/>
  <c r="CE143" i="1"/>
  <c r="CD143" i="1"/>
  <c r="CE135" i="1"/>
  <c r="CD135" i="1"/>
  <c r="CE126" i="1"/>
  <c r="CD126" i="1"/>
  <c r="CE118" i="1"/>
  <c r="CD118" i="1"/>
  <c r="CE110" i="1"/>
  <c r="CD110" i="1"/>
  <c r="CE102" i="1"/>
  <c r="CD102" i="1"/>
  <c r="CE94" i="1"/>
  <c r="CD94" i="1"/>
  <c r="CE86" i="1"/>
  <c r="CD86" i="1"/>
  <c r="CE78" i="1"/>
  <c r="CD78" i="1"/>
  <c r="CE70" i="1"/>
  <c r="CD70" i="1"/>
  <c r="CE62" i="1"/>
  <c r="CD62" i="1"/>
  <c r="CE54" i="1"/>
  <c r="CD54" i="1"/>
  <c r="CE46" i="1"/>
  <c r="CD46" i="1"/>
  <c r="CE38" i="1"/>
  <c r="CD38" i="1"/>
  <c r="CE30" i="1"/>
  <c r="CD30" i="1"/>
  <c r="CE22" i="1"/>
  <c r="CD22" i="1"/>
  <c r="CE14" i="1"/>
  <c r="CD14" i="1"/>
  <c r="CE6" i="1"/>
  <c r="CD6" i="1"/>
  <c r="CD282" i="1"/>
  <c r="CH282" i="1" s="1"/>
  <c r="CD217" i="1"/>
  <c r="CD153" i="1"/>
  <c r="CD88" i="1"/>
  <c r="CD200" i="1"/>
  <c r="CD192" i="1"/>
  <c r="CD184" i="1"/>
  <c r="CH184" i="1" s="1"/>
  <c r="CD176" i="1"/>
  <c r="CH176" i="1" s="1"/>
  <c r="CD168" i="1"/>
  <c r="CH168" i="1" s="1"/>
  <c r="CD160" i="1"/>
  <c r="CH160" i="1" s="1"/>
  <c r="CD152" i="1"/>
  <c r="CH152" i="1" s="1"/>
  <c r="CD144" i="1"/>
  <c r="CH144" i="1" s="1"/>
  <c r="CD136" i="1"/>
  <c r="CD127" i="1"/>
  <c r="CH127" i="1" s="1"/>
  <c r="CD119" i="1"/>
  <c r="CH119" i="1" s="1"/>
  <c r="CD111" i="1"/>
  <c r="CH111" i="1" s="1"/>
  <c r="CD103" i="1"/>
  <c r="CH103" i="1" s="1"/>
  <c r="CD95" i="1"/>
  <c r="CH95" i="1" s="1"/>
  <c r="CD87" i="1"/>
  <c r="CH87" i="1" s="1"/>
  <c r="CD79" i="1"/>
  <c r="CH79" i="1" s="1"/>
  <c r="CD71" i="1"/>
  <c r="CH71" i="1" s="1"/>
  <c r="CD63" i="1"/>
  <c r="CH63" i="1" s="1"/>
  <c r="CD55" i="1"/>
  <c r="CH55" i="1" s="1"/>
  <c r="CD47" i="1"/>
  <c r="CH47" i="1" s="1"/>
  <c r="CD39" i="1"/>
  <c r="CH39" i="1" s="1"/>
  <c r="CD31" i="1"/>
  <c r="CH31" i="1" s="1"/>
  <c r="CD23" i="1"/>
  <c r="CH23" i="1" s="1"/>
  <c r="CD15" i="1"/>
  <c r="CH15" i="1" s="1"/>
  <c r="CD7" i="1"/>
  <c r="CH7" i="1" s="1"/>
  <c r="CE291" i="1"/>
  <c r="CH291" i="1" s="1"/>
  <c r="CE48" i="1"/>
  <c r="CH48" i="1" s="1"/>
  <c r="CE40" i="1"/>
  <c r="CH40" i="1" s="1"/>
  <c r="CE32" i="1"/>
  <c r="CH32" i="1" s="1"/>
  <c r="CE24" i="1"/>
  <c r="CH24" i="1" s="1"/>
  <c r="CE16" i="1"/>
  <c r="CH16" i="1" s="1"/>
  <c r="CE200" i="1"/>
  <c r="CO302" i="1"/>
  <c r="CN302" i="1"/>
  <c r="CO294" i="1"/>
  <c r="CN294" i="1"/>
  <c r="CO286" i="1"/>
  <c r="CN286" i="1"/>
  <c r="CO278" i="1"/>
  <c r="CN278" i="1"/>
  <c r="CD301" i="1"/>
  <c r="CH301" i="1" s="1"/>
  <c r="CN270" i="1"/>
  <c r="CN262" i="1"/>
  <c r="CN253" i="1"/>
  <c r="CN245" i="1"/>
  <c r="CN237" i="1"/>
  <c r="CN229" i="1"/>
  <c r="CR229" i="1" s="1"/>
  <c r="CN221" i="1"/>
  <c r="CR221" i="1" s="1"/>
  <c r="CN213" i="1"/>
  <c r="CR213" i="1" s="1"/>
  <c r="CN205" i="1"/>
  <c r="CN197" i="1"/>
  <c r="CN189" i="1"/>
  <c r="CN181" i="1"/>
  <c r="CN173" i="1"/>
  <c r="CN165" i="1"/>
  <c r="CR165" i="1" s="1"/>
  <c r="CN157" i="1"/>
  <c r="CR157" i="1" s="1"/>
  <c r="CN149" i="1"/>
  <c r="CR149" i="1" s="1"/>
  <c r="CN141" i="1"/>
  <c r="CN133" i="1"/>
  <c r="CN124" i="1"/>
  <c r="CN116" i="1"/>
  <c r="CR116" i="1" s="1"/>
  <c r="CN108" i="1"/>
  <c r="CR108" i="1" s="1"/>
  <c r="CN100" i="1"/>
  <c r="CN92" i="1"/>
  <c r="CN84" i="1"/>
  <c r="CR84" i="1" s="1"/>
  <c r="CN76" i="1"/>
  <c r="CR76" i="1" s="1"/>
  <c r="CN68" i="1"/>
  <c r="CN60" i="1"/>
  <c r="CN52" i="1"/>
  <c r="CR52" i="1" s="1"/>
  <c r="CN44" i="1"/>
  <c r="CR44" i="1" s="1"/>
  <c r="CN36" i="1"/>
  <c r="CN28" i="1"/>
  <c r="CN20" i="1"/>
  <c r="CR20" i="1" s="1"/>
  <c r="CN12" i="1"/>
  <c r="CR12" i="1" s="1"/>
  <c r="CN4" i="1"/>
  <c r="CN301" i="1"/>
  <c r="CN293" i="1"/>
  <c r="CR293" i="1" s="1"/>
  <c r="CN285" i="1"/>
  <c r="CR285" i="1" s="1"/>
  <c r="CN277" i="1"/>
  <c r="CR277" i="1" s="1"/>
  <c r="CN269" i="1"/>
  <c r="CR269" i="1" s="1"/>
  <c r="CN260" i="1"/>
  <c r="CN252" i="1"/>
  <c r="CN244" i="1"/>
  <c r="CN236" i="1"/>
  <c r="CN228" i="1"/>
  <c r="CR228" i="1" s="1"/>
  <c r="CN220" i="1"/>
  <c r="CR220" i="1" s="1"/>
  <c r="CN212" i="1"/>
  <c r="CR212" i="1" s="1"/>
  <c r="CN204" i="1"/>
  <c r="CR204" i="1" s="1"/>
  <c r="CN196" i="1"/>
  <c r="CN188" i="1"/>
  <c r="CN180" i="1"/>
  <c r="CN172" i="1"/>
  <c r="CN164" i="1"/>
  <c r="CR164" i="1" s="1"/>
  <c r="CN156" i="1"/>
  <c r="CR156" i="1" s="1"/>
  <c r="CN148" i="1"/>
  <c r="CR148" i="1" s="1"/>
  <c r="CN140" i="1"/>
  <c r="CR140" i="1" s="1"/>
  <c r="CN131" i="1"/>
  <c r="CN123" i="1"/>
  <c r="CN115" i="1"/>
  <c r="CR115" i="1" s="1"/>
  <c r="CN107" i="1"/>
  <c r="CR107" i="1" s="1"/>
  <c r="CN99" i="1"/>
  <c r="CN91" i="1"/>
  <c r="CN83" i="1"/>
  <c r="CR83" i="1" s="1"/>
  <c r="CN75" i="1"/>
  <c r="CR75" i="1" s="1"/>
  <c r="CN67" i="1"/>
  <c r="CN59" i="1"/>
  <c r="CN51" i="1"/>
  <c r="CR51" i="1" s="1"/>
  <c r="CN43" i="1"/>
  <c r="CR43" i="1" s="1"/>
  <c r="CN35" i="1"/>
  <c r="CN27" i="1"/>
  <c r="CN19" i="1"/>
  <c r="CR19" i="1" s="1"/>
  <c r="CN11" i="1"/>
  <c r="CR11" i="1" s="1"/>
  <c r="CN3" i="1"/>
  <c r="CO279" i="1"/>
  <c r="CR279" i="1" s="1"/>
  <c r="CO271" i="1"/>
  <c r="CR271" i="1" s="1"/>
  <c r="CO263" i="1"/>
  <c r="CR263" i="1" s="1"/>
  <c r="CO254" i="1"/>
  <c r="CR254" i="1" s="1"/>
  <c r="CO246" i="1"/>
  <c r="CR246" i="1" s="1"/>
  <c r="CN300" i="1"/>
  <c r="CN292" i="1"/>
  <c r="CR292" i="1" s="1"/>
  <c r="CN284" i="1"/>
  <c r="CR284" i="1" s="1"/>
  <c r="CN276" i="1"/>
  <c r="CR276" i="1" s="1"/>
  <c r="CN268" i="1"/>
  <c r="CR268" i="1" s="1"/>
  <c r="CN259" i="1"/>
  <c r="CR259" i="1" s="1"/>
  <c r="CN251" i="1"/>
  <c r="CN243" i="1"/>
  <c r="CN235" i="1"/>
  <c r="CN227" i="1"/>
  <c r="CR227" i="1" s="1"/>
  <c r="CN219" i="1"/>
  <c r="CR219" i="1" s="1"/>
  <c r="CN211" i="1"/>
  <c r="CR211" i="1" s="1"/>
  <c r="CN203" i="1"/>
  <c r="CR203" i="1" s="1"/>
  <c r="CN195" i="1"/>
  <c r="CR195" i="1" s="1"/>
  <c r="CN187" i="1"/>
  <c r="CN179" i="1"/>
  <c r="CN171" i="1"/>
  <c r="CN163" i="1"/>
  <c r="CR163" i="1" s="1"/>
  <c r="CN155" i="1"/>
  <c r="CR155" i="1" s="1"/>
  <c r="CN147" i="1"/>
  <c r="CR147" i="1" s="1"/>
  <c r="CN139" i="1"/>
  <c r="CR139" i="1" s="1"/>
  <c r="CN130" i="1"/>
  <c r="CR130" i="1" s="1"/>
  <c r="CN122" i="1"/>
  <c r="CN114" i="1"/>
  <c r="CR114" i="1" s="1"/>
  <c r="CN106" i="1"/>
  <c r="CR106" i="1" s="1"/>
  <c r="CN98" i="1"/>
  <c r="CR98" i="1" s="1"/>
  <c r="CN90" i="1"/>
  <c r="CN82" i="1"/>
  <c r="CR82" i="1" s="1"/>
  <c r="CN74" i="1"/>
  <c r="CR74" i="1" s="1"/>
  <c r="CN66" i="1"/>
  <c r="CR66" i="1" s="1"/>
  <c r="CN58" i="1"/>
  <c r="CN50" i="1"/>
  <c r="CR50" i="1" s="1"/>
  <c r="CN42" i="1"/>
  <c r="CR42" i="1" s="1"/>
  <c r="CN34" i="1"/>
  <c r="CR34" i="1" s="1"/>
  <c r="CN26" i="1"/>
  <c r="CN18" i="1"/>
  <c r="CR18" i="1" s="1"/>
  <c r="CN10" i="1"/>
  <c r="CR10" i="1" s="1"/>
  <c r="CO270" i="1"/>
  <c r="CO262" i="1"/>
  <c r="CO253" i="1"/>
  <c r="CO245" i="1"/>
  <c r="CO237" i="1"/>
  <c r="CO205" i="1"/>
  <c r="CO197" i="1"/>
  <c r="CO189" i="1"/>
  <c r="CO181" i="1"/>
  <c r="CO173" i="1"/>
  <c r="CO141" i="1"/>
  <c r="CO133" i="1"/>
  <c r="CO124" i="1"/>
  <c r="CO100" i="1"/>
  <c r="CO92" i="1"/>
  <c r="CO68" i="1"/>
  <c r="CO60" i="1"/>
  <c r="CO36" i="1"/>
  <c r="CO28" i="1"/>
  <c r="CO4" i="1"/>
  <c r="CN299" i="1"/>
  <c r="CR299" i="1" s="1"/>
  <c r="CN291" i="1"/>
  <c r="CR291" i="1" s="1"/>
  <c r="CN283" i="1"/>
  <c r="CR283" i="1" s="1"/>
  <c r="CN242" i="1"/>
  <c r="CR242" i="1" s="1"/>
  <c r="CN234" i="1"/>
  <c r="CR234" i="1" s="1"/>
  <c r="CN226" i="1"/>
  <c r="CR226" i="1" s="1"/>
  <c r="CN218" i="1"/>
  <c r="CR218" i="1" s="1"/>
  <c r="CN178" i="1"/>
  <c r="CR178" i="1" s="1"/>
  <c r="CN170" i="1"/>
  <c r="CR170" i="1" s="1"/>
  <c r="CN162" i="1"/>
  <c r="CR162" i="1" s="1"/>
  <c r="CN154" i="1"/>
  <c r="CR154" i="1" s="1"/>
  <c r="CN121" i="1"/>
  <c r="CR121" i="1" s="1"/>
  <c r="CN113" i="1"/>
  <c r="CR113" i="1" s="1"/>
  <c r="CN89" i="1"/>
  <c r="CR89" i="1" s="1"/>
  <c r="CN81" i="1"/>
  <c r="CR81" i="1" s="1"/>
  <c r="CN57" i="1"/>
  <c r="CR57" i="1" s="1"/>
  <c r="CN49" i="1"/>
  <c r="CR49" i="1" s="1"/>
  <c r="CN25" i="1"/>
  <c r="CR25" i="1" s="1"/>
  <c r="CN17" i="1"/>
  <c r="CR17" i="1" s="1"/>
  <c r="CO301" i="1"/>
  <c r="CO260" i="1"/>
  <c r="CO252" i="1"/>
  <c r="CO244" i="1"/>
  <c r="CO236" i="1"/>
  <c r="CO196" i="1"/>
  <c r="CO188" i="1"/>
  <c r="CO180" i="1"/>
  <c r="CO172" i="1"/>
  <c r="CO131" i="1"/>
  <c r="CO123" i="1"/>
  <c r="CO99" i="1"/>
  <c r="CO91" i="1"/>
  <c r="CO67" i="1"/>
  <c r="CO59" i="1"/>
  <c r="CO35" i="1"/>
  <c r="CO27" i="1"/>
  <c r="CO3" i="1"/>
  <c r="CN298" i="1"/>
  <c r="CN290" i="1"/>
  <c r="CR290" i="1" s="1"/>
  <c r="CN282" i="1"/>
  <c r="CR282" i="1" s="1"/>
  <c r="CN274" i="1"/>
  <c r="CR274" i="1" s="1"/>
  <c r="CN266" i="1"/>
  <c r="CR266" i="1" s="1"/>
  <c r="CN257" i="1"/>
  <c r="CR257" i="1" s="1"/>
  <c r="CN249" i="1"/>
  <c r="CR249" i="1" s="1"/>
  <c r="CN241" i="1"/>
  <c r="CR241" i="1" s="1"/>
  <c r="CN233" i="1"/>
  <c r="CN225" i="1"/>
  <c r="CR225" i="1" s="1"/>
  <c r="CN217" i="1"/>
  <c r="CR217" i="1" s="1"/>
  <c r="CN209" i="1"/>
  <c r="CR209" i="1" s="1"/>
  <c r="CN201" i="1"/>
  <c r="CR201" i="1" s="1"/>
  <c r="CN193" i="1"/>
  <c r="CR193" i="1" s="1"/>
  <c r="CN169" i="1"/>
  <c r="CN161" i="1"/>
  <c r="CR161" i="1" s="1"/>
  <c r="CN153" i="1"/>
  <c r="CR153" i="1" s="1"/>
  <c r="CN112" i="1"/>
  <c r="CR112" i="1" s="1"/>
  <c r="CN80" i="1"/>
  <c r="CR80" i="1" s="1"/>
  <c r="CN48" i="1"/>
  <c r="CR48" i="1" s="1"/>
  <c r="CN16" i="1"/>
  <c r="CR16" i="1" s="1"/>
  <c r="CO300" i="1"/>
  <c r="CO251" i="1"/>
  <c r="CO243" i="1"/>
  <c r="CO235" i="1"/>
  <c r="CO187" i="1"/>
  <c r="CO179" i="1"/>
  <c r="CO171" i="1"/>
  <c r="CO122" i="1"/>
  <c r="CO90" i="1"/>
  <c r="CO58" i="1"/>
  <c r="CO26" i="1"/>
  <c r="CN296" i="1"/>
  <c r="CR296" i="1" s="1"/>
  <c r="CN288" i="1"/>
  <c r="CR288" i="1" s="1"/>
  <c r="CN280" i="1"/>
  <c r="CR280" i="1" s="1"/>
  <c r="CN272" i="1"/>
  <c r="CR272" i="1" s="1"/>
  <c r="CN264" i="1"/>
  <c r="CR264" i="1" s="1"/>
  <c r="CN255" i="1"/>
  <c r="CR255" i="1" s="1"/>
  <c r="CN247" i="1"/>
  <c r="CR247" i="1" s="1"/>
  <c r="CN239" i="1"/>
  <c r="CR239" i="1" s="1"/>
  <c r="CN231" i="1"/>
  <c r="CR231" i="1" s="1"/>
  <c r="CN223" i="1"/>
  <c r="CR223" i="1" s="1"/>
  <c r="CN215" i="1"/>
  <c r="CR215" i="1" s="1"/>
  <c r="CN207" i="1"/>
  <c r="CR207" i="1" s="1"/>
  <c r="CN199" i="1"/>
  <c r="CR199" i="1" s="1"/>
  <c r="CN191" i="1"/>
  <c r="CR191" i="1" s="1"/>
  <c r="CN183" i="1"/>
  <c r="CR183" i="1" s="1"/>
  <c r="CN175" i="1"/>
  <c r="CR175" i="1" s="1"/>
  <c r="CN167" i="1"/>
  <c r="CR167" i="1" s="1"/>
  <c r="CN159" i="1"/>
  <c r="CR159" i="1" s="1"/>
  <c r="CN151" i="1"/>
  <c r="CR151" i="1" s="1"/>
  <c r="CN143" i="1"/>
  <c r="CR143" i="1" s="1"/>
  <c r="CO298" i="1"/>
  <c r="CO233" i="1"/>
  <c r="CY249" i="1"/>
  <c r="CY185" i="1"/>
  <c r="DF145" i="1"/>
  <c r="CY120" i="1"/>
  <c r="DB120" i="1" s="1"/>
  <c r="CY56" i="1"/>
  <c r="DB56" i="1" s="1"/>
  <c r="CX301" i="1"/>
  <c r="DB301" i="1" s="1"/>
  <c r="CX291" i="1"/>
  <c r="DB291" i="1" s="1"/>
  <c r="CX282" i="1"/>
  <c r="DB282" i="1" s="1"/>
  <c r="CX254" i="1"/>
  <c r="DB254" i="1" s="1"/>
  <c r="CX245" i="1"/>
  <c r="DB245" i="1" s="1"/>
  <c r="CX236" i="1"/>
  <c r="DB236" i="1" s="1"/>
  <c r="CX217" i="1"/>
  <c r="CX181" i="1"/>
  <c r="DB181" i="1" s="1"/>
  <c r="CX172" i="1"/>
  <c r="DB172" i="1" s="1"/>
  <c r="CX162" i="1"/>
  <c r="DB162" i="1" s="1"/>
  <c r="CX153" i="1"/>
  <c r="DB153" i="1" s="1"/>
  <c r="CX116" i="1"/>
  <c r="DB116" i="1" s="1"/>
  <c r="CX107" i="1"/>
  <c r="DB107" i="1" s="1"/>
  <c r="CX97" i="1"/>
  <c r="DB97" i="1" s="1"/>
  <c r="CX88" i="1"/>
  <c r="CX43" i="1"/>
  <c r="DB43" i="1" s="1"/>
  <c r="CX33" i="1"/>
  <c r="DB33" i="1" s="1"/>
  <c r="CX24" i="1"/>
  <c r="DB24" i="1" s="1"/>
  <c r="CY267" i="1"/>
  <c r="DB267" i="1" s="1"/>
  <c r="CY225" i="1"/>
  <c r="DB225" i="1" s="1"/>
  <c r="CY205" i="1"/>
  <c r="DB205" i="1" s="1"/>
  <c r="CY193" i="1"/>
  <c r="DB193" i="1" s="1"/>
  <c r="CY142" i="1"/>
  <c r="DB142" i="1" s="1"/>
  <c r="CY131" i="1"/>
  <c r="DB131" i="1" s="1"/>
  <c r="CY88" i="1"/>
  <c r="CY68" i="1"/>
  <c r="DB68" i="1" s="1"/>
  <c r="CY57" i="1"/>
  <c r="DB57" i="1" s="1"/>
  <c r="CX299" i="1"/>
  <c r="DB299" i="1" s="1"/>
  <c r="CX290" i="1"/>
  <c r="CX253" i="1"/>
  <c r="DB253" i="1" s="1"/>
  <c r="CX244" i="1"/>
  <c r="DB244" i="1" s="1"/>
  <c r="CX234" i="1"/>
  <c r="DB234" i="1" s="1"/>
  <c r="CX180" i="1"/>
  <c r="DB180" i="1" s="1"/>
  <c r="CX170" i="1"/>
  <c r="DB170" i="1" s="1"/>
  <c r="CX115" i="1"/>
  <c r="DB115" i="1" s="1"/>
  <c r="CX105" i="1"/>
  <c r="DB105" i="1" s="1"/>
  <c r="CX41" i="1"/>
  <c r="DB41" i="1" s="1"/>
  <c r="CY266" i="1"/>
  <c r="CY202" i="1"/>
  <c r="DB202" i="1" s="1"/>
  <c r="CY141" i="1"/>
  <c r="DB141" i="1" s="1"/>
  <c r="CY67" i="1"/>
  <c r="DB67" i="1" s="1"/>
  <c r="CY231" i="1"/>
  <c r="CY167" i="1"/>
  <c r="CY102" i="1"/>
  <c r="DB102" i="1" s="1"/>
  <c r="CY38" i="1"/>
  <c r="DB38" i="1" s="1"/>
  <c r="CX298" i="1"/>
  <c r="CX280" i="1"/>
  <c r="CX252" i="1"/>
  <c r="DB252" i="1" s="1"/>
  <c r="CX242" i="1"/>
  <c r="DB242" i="1" s="1"/>
  <c r="CX233" i="1"/>
  <c r="CX215" i="1"/>
  <c r="DB215" i="1" s="1"/>
  <c r="CX178" i="1"/>
  <c r="DB178" i="1" s="1"/>
  <c r="CX169" i="1"/>
  <c r="CX151" i="1"/>
  <c r="DB151" i="1" s="1"/>
  <c r="CX86" i="1"/>
  <c r="CX49" i="1"/>
  <c r="DB49" i="1" s="1"/>
  <c r="CX22" i="1"/>
  <c r="CY275" i="1"/>
  <c r="DB275" i="1" s="1"/>
  <c r="CY233" i="1"/>
  <c r="CY223" i="1"/>
  <c r="CY201" i="1"/>
  <c r="CY191" i="1"/>
  <c r="DB191" i="1" s="1"/>
  <c r="CY86" i="1"/>
  <c r="CY76" i="1"/>
  <c r="DB76" i="1" s="1"/>
  <c r="CY54" i="1"/>
  <c r="CY3" i="1"/>
  <c r="DB3" i="1" s="1"/>
  <c r="CY222" i="1"/>
  <c r="CY158" i="1"/>
  <c r="DB158" i="1" s="1"/>
  <c r="CY93" i="1"/>
  <c r="DB93" i="1" s="1"/>
  <c r="CY29" i="1"/>
  <c r="DB29" i="1" s="1"/>
  <c r="CX288" i="1"/>
  <c r="DB288" i="1" s="1"/>
  <c r="CX279" i="1"/>
  <c r="DB279" i="1" s="1"/>
  <c r="CX250" i="1"/>
  <c r="DB250" i="1" s="1"/>
  <c r="CX241" i="1"/>
  <c r="CX223" i="1"/>
  <c r="CX214" i="1"/>
  <c r="DB214" i="1" s="1"/>
  <c r="CX186" i="1"/>
  <c r="DB186" i="1" s="1"/>
  <c r="CX177" i="1"/>
  <c r="DB177" i="1" s="1"/>
  <c r="CX159" i="1"/>
  <c r="CX150" i="1"/>
  <c r="DB150" i="1" s="1"/>
  <c r="CX112" i="1"/>
  <c r="CX94" i="1"/>
  <c r="DB94" i="1" s="1"/>
  <c r="CX85" i="1"/>
  <c r="CX48" i="1"/>
  <c r="DB48" i="1" s="1"/>
  <c r="CX30" i="1"/>
  <c r="DB30" i="1" s="1"/>
  <c r="CX21" i="1"/>
  <c r="DB21" i="1" s="1"/>
  <c r="CX12" i="1"/>
  <c r="DB12" i="1" s="1"/>
  <c r="CY274" i="1"/>
  <c r="DB274" i="1" s="1"/>
  <c r="CY264" i="1"/>
  <c r="DB264" i="1" s="1"/>
  <c r="CY210" i="1"/>
  <c r="DB210" i="1" s="1"/>
  <c r="CY190" i="1"/>
  <c r="DB190" i="1" s="1"/>
  <c r="CY169" i="1"/>
  <c r="CY159" i="1"/>
  <c r="CY137" i="1"/>
  <c r="CY126" i="1"/>
  <c r="DB126" i="1" s="1"/>
  <c r="CY85" i="1"/>
  <c r="CY53" i="1"/>
  <c r="DB53" i="1" s="1"/>
  <c r="CY32" i="1"/>
  <c r="DB32" i="1" s="1"/>
  <c r="CY22" i="1"/>
  <c r="CY302" i="1"/>
  <c r="CY294" i="1"/>
  <c r="CY286" i="1"/>
  <c r="CY278" i="1"/>
  <c r="CY213" i="1"/>
  <c r="CY149" i="1"/>
  <c r="CY84" i="1"/>
  <c r="CY20" i="1"/>
  <c r="CX296" i="1"/>
  <c r="DB296" i="1" s="1"/>
  <c r="CX287" i="1"/>
  <c r="DB287" i="1" s="1"/>
  <c r="CX278" i="1"/>
  <c r="CX249" i="1"/>
  <c r="CX231" i="1"/>
  <c r="CX222" i="1"/>
  <c r="DB222" i="1" s="1"/>
  <c r="CX213" i="1"/>
  <c r="CX185" i="1"/>
  <c r="CX167" i="1"/>
  <c r="DB167" i="1" s="1"/>
  <c r="CX149" i="1"/>
  <c r="CX84" i="1"/>
  <c r="CX20" i="1"/>
  <c r="CY263" i="1"/>
  <c r="DB263" i="1" s="1"/>
  <c r="CY241" i="1"/>
  <c r="CY230" i="1"/>
  <c r="DB230" i="1" s="1"/>
  <c r="CY209" i="1"/>
  <c r="DB209" i="1" s="1"/>
  <c r="CY199" i="1"/>
  <c r="DB199" i="1" s="1"/>
  <c r="CY189" i="1"/>
  <c r="DB189" i="1" s="1"/>
  <c r="CY157" i="1"/>
  <c r="DB157" i="1" s="1"/>
  <c r="CY146" i="1"/>
  <c r="DB146" i="1" s="1"/>
  <c r="CY52" i="1"/>
  <c r="DB52" i="1" s="1"/>
  <c r="CY269" i="1"/>
  <c r="DB269" i="1" s="1"/>
  <c r="CY204" i="1"/>
  <c r="DB204" i="1" s="1"/>
  <c r="CY140" i="1"/>
  <c r="DB140" i="1" s="1"/>
  <c r="CY75" i="1"/>
  <c r="DB75" i="1" s="1"/>
  <c r="CY11" i="1"/>
  <c r="DB11" i="1" s="1"/>
  <c r="CX286" i="1"/>
  <c r="DB286" i="1" s="1"/>
  <c r="CX277" i="1"/>
  <c r="DB277" i="1" s="1"/>
  <c r="CX212" i="1"/>
  <c r="DB212" i="1" s="1"/>
  <c r="CX148" i="1"/>
  <c r="DB148" i="1" s="1"/>
  <c r="CX83" i="1"/>
  <c r="DB83" i="1" s="1"/>
  <c r="CX19" i="1"/>
  <c r="CY262" i="1"/>
  <c r="DB262" i="1" s="1"/>
  <c r="CY188" i="1"/>
  <c r="DB188" i="1" s="1"/>
  <c r="CY156" i="1"/>
  <c r="CY51" i="1"/>
  <c r="DB51" i="1" s="1"/>
  <c r="CY19" i="1"/>
  <c r="CX300" i="1"/>
  <c r="DB300" i="1" s="1"/>
  <c r="CX292" i="1"/>
  <c r="DB292" i="1" s="1"/>
  <c r="CX284" i="1"/>
  <c r="DB284" i="1" s="1"/>
  <c r="CY276" i="1"/>
  <c r="CX276" i="1"/>
  <c r="CY268" i="1"/>
  <c r="CX268" i="1"/>
  <c r="CY259" i="1"/>
  <c r="CX259" i="1"/>
  <c r="CY251" i="1"/>
  <c r="CX251" i="1"/>
  <c r="CY243" i="1"/>
  <c r="CX243" i="1"/>
  <c r="CY235" i="1"/>
  <c r="CX235" i="1"/>
  <c r="CY227" i="1"/>
  <c r="CX227" i="1"/>
  <c r="CY219" i="1"/>
  <c r="CX219" i="1"/>
  <c r="CY211" i="1"/>
  <c r="CX211" i="1"/>
  <c r="CY203" i="1"/>
  <c r="CX203" i="1"/>
  <c r="CY195" i="1"/>
  <c r="CX195" i="1"/>
  <c r="CY187" i="1"/>
  <c r="CX187" i="1"/>
  <c r="CY179" i="1"/>
  <c r="CX179" i="1"/>
  <c r="CY171" i="1"/>
  <c r="CX171" i="1"/>
  <c r="CY163" i="1"/>
  <c r="CX163" i="1"/>
  <c r="CY155" i="1"/>
  <c r="CX155" i="1"/>
  <c r="CY147" i="1"/>
  <c r="CX147" i="1"/>
  <c r="CY139" i="1"/>
  <c r="CX139" i="1"/>
  <c r="CY130" i="1"/>
  <c r="CX130" i="1"/>
  <c r="CY122" i="1"/>
  <c r="CX122" i="1"/>
  <c r="CY114" i="1"/>
  <c r="CX114" i="1"/>
  <c r="CY106" i="1"/>
  <c r="CX106" i="1"/>
  <c r="CY98" i="1"/>
  <c r="CX98" i="1"/>
  <c r="CY90" i="1"/>
  <c r="CX90" i="1"/>
  <c r="CY82" i="1"/>
  <c r="CX82" i="1"/>
  <c r="CY74" i="1"/>
  <c r="CX74" i="1"/>
  <c r="CY66" i="1"/>
  <c r="CX66" i="1"/>
  <c r="CY58" i="1"/>
  <c r="CX58" i="1"/>
  <c r="CY50" i="1"/>
  <c r="CX50" i="1"/>
  <c r="CY42" i="1"/>
  <c r="CX42" i="1"/>
  <c r="CY34" i="1"/>
  <c r="CX34" i="1"/>
  <c r="CY26" i="1"/>
  <c r="CX26" i="1"/>
  <c r="CY18" i="1"/>
  <c r="CX18" i="1"/>
  <c r="CY10" i="1"/>
  <c r="CX10" i="1"/>
  <c r="CX294" i="1"/>
  <c r="CX285" i="1"/>
  <c r="DB285" i="1" s="1"/>
  <c r="CX266" i="1"/>
  <c r="CX247" i="1"/>
  <c r="CX238" i="1"/>
  <c r="CX229" i="1"/>
  <c r="DB229" i="1" s="1"/>
  <c r="CX220" i="1"/>
  <c r="DB220" i="1" s="1"/>
  <c r="CX201" i="1"/>
  <c r="CX183" i="1"/>
  <c r="DB183" i="1" s="1"/>
  <c r="CX174" i="1"/>
  <c r="DB174" i="1" s="1"/>
  <c r="CX165" i="1"/>
  <c r="CX156" i="1"/>
  <c r="CX137" i="1"/>
  <c r="CX118" i="1"/>
  <c r="DB118" i="1" s="1"/>
  <c r="CX109" i="1"/>
  <c r="DB109" i="1" s="1"/>
  <c r="CX100" i="1"/>
  <c r="DB100" i="1" s="1"/>
  <c r="CX91" i="1"/>
  <c r="CX72" i="1"/>
  <c r="DB72" i="1" s="1"/>
  <c r="CX54" i="1"/>
  <c r="CX45" i="1"/>
  <c r="DB45" i="1" s="1"/>
  <c r="CX36" i="1"/>
  <c r="DB36" i="1" s="1"/>
  <c r="CX27" i="1"/>
  <c r="CX17" i="1"/>
  <c r="DB17" i="1" s="1"/>
  <c r="CY290" i="1"/>
  <c r="CY271" i="1"/>
  <c r="DB271" i="1" s="1"/>
  <c r="CY260" i="1"/>
  <c r="DB260" i="1" s="1"/>
  <c r="CY238" i="1"/>
  <c r="CY228" i="1"/>
  <c r="CY217" i="1"/>
  <c r="CY207" i="1"/>
  <c r="DB207" i="1" s="1"/>
  <c r="CY197" i="1"/>
  <c r="DB197" i="1" s="1"/>
  <c r="CY175" i="1"/>
  <c r="DB175" i="1" s="1"/>
  <c r="CY165" i="1"/>
  <c r="CY134" i="1"/>
  <c r="DB134" i="1" s="1"/>
  <c r="CY123" i="1"/>
  <c r="DB123" i="1" s="1"/>
  <c r="CY112" i="1"/>
  <c r="CY101" i="1"/>
  <c r="DB101" i="1" s="1"/>
  <c r="CY91" i="1"/>
  <c r="CY80" i="1"/>
  <c r="DB80" i="1" s="1"/>
  <c r="CY70" i="1"/>
  <c r="DB70" i="1" s="1"/>
  <c r="CY60" i="1"/>
  <c r="CY28" i="1"/>
  <c r="DB28" i="1" s="1"/>
  <c r="CY258" i="1"/>
  <c r="DB258" i="1" s="1"/>
  <c r="CY194" i="1"/>
  <c r="DB194" i="1" s="1"/>
  <c r="CY129" i="1"/>
  <c r="DB129" i="1" s="1"/>
  <c r="CY65" i="1"/>
  <c r="DB65" i="1" s="1"/>
  <c r="CX302" i="1"/>
  <c r="CX293" i="1"/>
  <c r="DB293" i="1" s="1"/>
  <c r="CX283" i="1"/>
  <c r="DB283" i="1" s="1"/>
  <c r="CX255" i="1"/>
  <c r="DB255" i="1" s="1"/>
  <c r="CX237" i="1"/>
  <c r="CX228" i="1"/>
  <c r="DB228" i="1" s="1"/>
  <c r="CX218" i="1"/>
  <c r="DB218" i="1" s="1"/>
  <c r="CX173" i="1"/>
  <c r="DB173" i="1" s="1"/>
  <c r="CX164" i="1"/>
  <c r="CX154" i="1"/>
  <c r="DB154" i="1" s="1"/>
  <c r="CX99" i="1"/>
  <c r="DB99" i="1" s="1"/>
  <c r="CX89" i="1"/>
  <c r="CX35" i="1"/>
  <c r="DB35" i="1" s="1"/>
  <c r="CX25" i="1"/>
  <c r="DB25" i="1" s="1"/>
  <c r="CY298" i="1"/>
  <c r="CY280" i="1"/>
  <c r="CY270" i="1"/>
  <c r="DB270" i="1" s="1"/>
  <c r="CY247" i="1"/>
  <c r="CY237" i="1"/>
  <c r="CY226" i="1"/>
  <c r="DB226" i="1" s="1"/>
  <c r="CY196" i="1"/>
  <c r="DB196" i="1" s="1"/>
  <c r="CY164" i="1"/>
  <c r="CY121" i="1"/>
  <c r="DB121" i="1" s="1"/>
  <c r="CY89" i="1"/>
  <c r="CY59" i="1"/>
  <c r="DB59" i="1" s="1"/>
  <c r="CY27" i="1"/>
  <c r="CY240" i="1"/>
  <c r="DB240" i="1" s="1"/>
  <c r="CY176" i="1"/>
  <c r="DB176" i="1" s="1"/>
  <c r="CY111" i="1"/>
  <c r="DB111" i="1" s="1"/>
  <c r="CY47" i="1"/>
  <c r="DB47" i="1" s="1"/>
  <c r="DI297" i="1"/>
  <c r="DI289" i="1"/>
  <c r="DI281" i="1"/>
  <c r="DI273" i="1"/>
  <c r="DI265" i="1"/>
  <c r="DI256" i="1"/>
  <c r="DI296" i="1"/>
  <c r="DI288" i="1"/>
  <c r="DL288" i="1" s="1"/>
  <c r="DI280" i="1"/>
  <c r="DI272" i="1"/>
  <c r="DI264" i="1"/>
  <c r="DI255" i="1"/>
  <c r="DL255" i="1" s="1"/>
  <c r="DI247" i="1"/>
  <c r="DI239" i="1"/>
  <c r="DI231" i="1"/>
  <c r="DL231" i="1" s="1"/>
  <c r="DI223" i="1"/>
  <c r="DI215" i="1"/>
  <c r="DI207" i="1"/>
  <c r="DI199" i="1"/>
  <c r="DI191" i="1"/>
  <c r="DI183" i="1"/>
  <c r="DI175" i="1"/>
  <c r="DI167" i="1"/>
  <c r="DL167" i="1" s="1"/>
  <c r="DI159" i="1"/>
  <c r="DI151" i="1"/>
  <c r="DI143" i="1"/>
  <c r="DI135" i="1"/>
  <c r="DI126" i="1"/>
  <c r="DI118" i="1"/>
  <c r="DI110" i="1"/>
  <c r="DI102" i="1"/>
  <c r="DI94" i="1"/>
  <c r="DH281" i="1"/>
  <c r="DH207" i="1"/>
  <c r="DL207" i="1" s="1"/>
  <c r="DI299" i="1"/>
  <c r="DL299" i="1" s="1"/>
  <c r="DI267" i="1"/>
  <c r="DL267" i="1" s="1"/>
  <c r="DH280" i="1"/>
  <c r="DH247" i="1"/>
  <c r="DL247" i="1" s="1"/>
  <c r="DH183" i="1"/>
  <c r="DI302" i="1"/>
  <c r="DH302" i="1"/>
  <c r="DI294" i="1"/>
  <c r="DH294" i="1"/>
  <c r="DI286" i="1"/>
  <c r="DH286" i="1"/>
  <c r="DI278" i="1"/>
  <c r="DH278" i="1"/>
  <c r="DI270" i="1"/>
  <c r="DH270" i="1"/>
  <c r="DI262" i="1"/>
  <c r="DH262" i="1"/>
  <c r="DI253" i="1"/>
  <c r="DH253" i="1"/>
  <c r="DI245" i="1"/>
  <c r="DH245" i="1"/>
  <c r="DI237" i="1"/>
  <c r="DH237" i="1"/>
  <c r="DI229" i="1"/>
  <c r="DH229" i="1"/>
  <c r="DI221" i="1"/>
  <c r="DH221" i="1"/>
  <c r="DI213" i="1"/>
  <c r="DH213" i="1"/>
  <c r="DI205" i="1"/>
  <c r="DH205" i="1"/>
  <c r="DI197" i="1"/>
  <c r="DH197" i="1"/>
  <c r="DI189" i="1"/>
  <c r="DH189" i="1"/>
  <c r="DI181" i="1"/>
  <c r="DH181" i="1"/>
  <c r="DI173" i="1"/>
  <c r="DH173" i="1"/>
  <c r="DI165" i="1"/>
  <c r="DH165" i="1"/>
  <c r="DI157" i="1"/>
  <c r="DH157" i="1"/>
  <c r="DI149" i="1"/>
  <c r="DH149" i="1"/>
  <c r="DI141" i="1"/>
  <c r="DH141" i="1"/>
  <c r="DI133" i="1"/>
  <c r="DH133" i="1"/>
  <c r="DI124" i="1"/>
  <c r="DH124" i="1"/>
  <c r="DI116" i="1"/>
  <c r="DH116" i="1"/>
  <c r="DI108" i="1"/>
  <c r="DH108" i="1"/>
  <c r="DI100" i="1"/>
  <c r="DH100" i="1"/>
  <c r="DI92" i="1"/>
  <c r="DH92" i="1"/>
  <c r="DI84" i="1"/>
  <c r="DH84" i="1"/>
  <c r="DI76" i="1"/>
  <c r="DH76" i="1"/>
  <c r="DI68" i="1"/>
  <c r="DH68" i="1"/>
  <c r="DI60" i="1"/>
  <c r="DH60" i="1"/>
  <c r="DI52" i="1"/>
  <c r="DH52" i="1"/>
  <c r="DI44" i="1"/>
  <c r="DH44" i="1"/>
  <c r="DI36" i="1"/>
  <c r="DH36" i="1"/>
  <c r="DI28" i="1"/>
  <c r="DH28" i="1"/>
  <c r="DI20" i="1"/>
  <c r="DH20" i="1"/>
  <c r="DI12" i="1"/>
  <c r="DH12" i="1"/>
  <c r="DI4" i="1"/>
  <c r="DH4" i="1"/>
  <c r="DH273" i="1"/>
  <c r="DL273" i="1" s="1"/>
  <c r="DH223" i="1"/>
  <c r="DH159" i="1"/>
  <c r="DH143" i="1"/>
  <c r="DH126" i="1"/>
  <c r="DH110" i="1"/>
  <c r="DH94" i="1"/>
  <c r="DI291" i="1"/>
  <c r="DL291" i="1" s="1"/>
  <c r="DI258" i="1"/>
  <c r="DL258" i="1" s="1"/>
  <c r="DI301" i="1"/>
  <c r="DH301" i="1"/>
  <c r="DI293" i="1"/>
  <c r="DH293" i="1"/>
  <c r="DI285" i="1"/>
  <c r="DH285" i="1"/>
  <c r="DI277" i="1"/>
  <c r="DH277" i="1"/>
  <c r="DI269" i="1"/>
  <c r="DH269" i="1"/>
  <c r="DI260" i="1"/>
  <c r="DH260" i="1"/>
  <c r="DL260" i="1" s="1"/>
  <c r="DI252" i="1"/>
  <c r="DH252" i="1"/>
  <c r="DI244" i="1"/>
  <c r="DH244" i="1"/>
  <c r="DI236" i="1"/>
  <c r="DH236" i="1"/>
  <c r="DI228" i="1"/>
  <c r="DH228" i="1"/>
  <c r="DL228" i="1" s="1"/>
  <c r="DI220" i="1"/>
  <c r="DH220" i="1"/>
  <c r="DI212" i="1"/>
  <c r="DH212" i="1"/>
  <c r="DI204" i="1"/>
  <c r="DH204" i="1"/>
  <c r="DL204" i="1" s="1"/>
  <c r="DI196" i="1"/>
  <c r="DH196" i="1"/>
  <c r="DL196" i="1" s="1"/>
  <c r="DI188" i="1"/>
  <c r="DH188" i="1"/>
  <c r="DI180" i="1"/>
  <c r="DH180" i="1"/>
  <c r="DI172" i="1"/>
  <c r="DH172" i="1"/>
  <c r="DL172" i="1" s="1"/>
  <c r="DI164" i="1"/>
  <c r="DH164" i="1"/>
  <c r="DL164" i="1" s="1"/>
  <c r="DI156" i="1"/>
  <c r="DH156" i="1"/>
  <c r="DI148" i="1"/>
  <c r="DH148" i="1"/>
  <c r="DI140" i="1"/>
  <c r="DH140" i="1"/>
  <c r="DL140" i="1" s="1"/>
  <c r="DI131" i="1"/>
  <c r="DH131" i="1"/>
  <c r="DL131" i="1" s="1"/>
  <c r="DI123" i="1"/>
  <c r="DH123" i="1"/>
  <c r="DI115" i="1"/>
  <c r="DH115" i="1"/>
  <c r="DI107" i="1"/>
  <c r="DH107" i="1"/>
  <c r="DL107" i="1" s="1"/>
  <c r="DI99" i="1"/>
  <c r="DH99" i="1"/>
  <c r="DL99" i="1" s="1"/>
  <c r="DI91" i="1"/>
  <c r="DH91" i="1"/>
  <c r="DI83" i="1"/>
  <c r="DH83" i="1"/>
  <c r="DI75" i="1"/>
  <c r="DH75" i="1"/>
  <c r="DL75" i="1" s="1"/>
  <c r="DI67" i="1"/>
  <c r="DH67" i="1"/>
  <c r="DL67" i="1" s="1"/>
  <c r="DI59" i="1"/>
  <c r="DH59" i="1"/>
  <c r="DI51" i="1"/>
  <c r="DH51" i="1"/>
  <c r="DI43" i="1"/>
  <c r="DH43" i="1"/>
  <c r="DL43" i="1" s="1"/>
  <c r="DI35" i="1"/>
  <c r="DH35" i="1"/>
  <c r="DL35" i="1" s="1"/>
  <c r="DI27" i="1"/>
  <c r="DH27" i="1"/>
  <c r="DI19" i="1"/>
  <c r="DH19" i="1"/>
  <c r="DI11" i="1"/>
  <c r="DH11" i="1"/>
  <c r="DL11" i="1" s="1"/>
  <c r="DI3" i="1"/>
  <c r="DH3" i="1"/>
  <c r="DL3" i="1" s="1"/>
  <c r="DH272" i="1"/>
  <c r="DH199" i="1"/>
  <c r="DI300" i="1"/>
  <c r="DH300" i="1"/>
  <c r="DI292" i="1"/>
  <c r="DH292" i="1"/>
  <c r="DL292" i="1" s="1"/>
  <c r="DI284" i="1"/>
  <c r="DH284" i="1"/>
  <c r="DL284" i="1" s="1"/>
  <c r="DI276" i="1"/>
  <c r="DH276" i="1"/>
  <c r="DI268" i="1"/>
  <c r="DH268" i="1"/>
  <c r="DI259" i="1"/>
  <c r="DH259" i="1"/>
  <c r="DL259" i="1" s="1"/>
  <c r="DI251" i="1"/>
  <c r="DH251" i="1"/>
  <c r="DL251" i="1" s="1"/>
  <c r="DI243" i="1"/>
  <c r="DH243" i="1"/>
  <c r="DI235" i="1"/>
  <c r="DH235" i="1"/>
  <c r="DI227" i="1"/>
  <c r="DH227" i="1"/>
  <c r="DL227" i="1" s="1"/>
  <c r="DI219" i="1"/>
  <c r="DH219" i="1"/>
  <c r="DL219" i="1" s="1"/>
  <c r="DI211" i="1"/>
  <c r="DH211" i="1"/>
  <c r="DI203" i="1"/>
  <c r="DH203" i="1"/>
  <c r="DI195" i="1"/>
  <c r="DH195" i="1"/>
  <c r="DL195" i="1" s="1"/>
  <c r="DI187" i="1"/>
  <c r="DH187" i="1"/>
  <c r="DL187" i="1" s="1"/>
  <c r="DI179" i="1"/>
  <c r="DH179" i="1"/>
  <c r="DI171" i="1"/>
  <c r="DH171" i="1"/>
  <c r="DI163" i="1"/>
  <c r="DH163" i="1"/>
  <c r="DL163" i="1" s="1"/>
  <c r="DI155" i="1"/>
  <c r="DH155" i="1"/>
  <c r="DL155" i="1" s="1"/>
  <c r="DH297" i="1"/>
  <c r="DL297" i="1" s="1"/>
  <c r="DH265" i="1"/>
  <c r="DL265" i="1" s="1"/>
  <c r="DH239" i="1"/>
  <c r="DH175" i="1"/>
  <c r="DI283" i="1"/>
  <c r="DL283" i="1" s="1"/>
  <c r="DI250" i="1"/>
  <c r="DL250" i="1" s="1"/>
  <c r="DI218" i="1"/>
  <c r="DL218" i="1" s="1"/>
  <c r="DH296" i="1"/>
  <c r="DL296" i="1" s="1"/>
  <c r="DH264" i="1"/>
  <c r="DH215" i="1"/>
  <c r="DH298" i="1"/>
  <c r="DL298" i="1" s="1"/>
  <c r="DH290" i="1"/>
  <c r="DL290" i="1" s="1"/>
  <c r="DH282" i="1"/>
  <c r="DL282" i="1" s="1"/>
  <c r="DH274" i="1"/>
  <c r="DL274" i="1" s="1"/>
  <c r="DH266" i="1"/>
  <c r="DL266" i="1" s="1"/>
  <c r="DH257" i="1"/>
  <c r="DL257" i="1" s="1"/>
  <c r="DH249" i="1"/>
  <c r="DL249" i="1" s="1"/>
  <c r="DH241" i="1"/>
  <c r="DL241" i="1" s="1"/>
  <c r="DH233" i="1"/>
  <c r="DL233" i="1" s="1"/>
  <c r="DH289" i="1"/>
  <c r="DL289" i="1" s="1"/>
  <c r="DH256" i="1"/>
  <c r="DH191" i="1"/>
  <c r="DH151" i="1"/>
  <c r="DH135" i="1"/>
  <c r="DH118" i="1"/>
  <c r="DL118" i="1" s="1"/>
  <c r="DH102" i="1"/>
  <c r="DI275" i="1"/>
  <c r="DL275" i="1" s="1"/>
  <c r="DI242" i="1"/>
  <c r="DL242" i="1" s="1"/>
  <c r="DI210" i="1"/>
  <c r="DL210" i="1" s="1"/>
  <c r="DH295" i="1"/>
  <c r="DH287" i="1"/>
  <c r="DH279" i="1"/>
  <c r="DH271" i="1"/>
  <c r="DH263" i="1"/>
  <c r="DH254" i="1"/>
  <c r="DI248" i="1"/>
  <c r="DL248" i="1" s="1"/>
  <c r="DI240" i="1"/>
  <c r="DL240" i="1" s="1"/>
  <c r="DI232" i="1"/>
  <c r="DL232" i="1" s="1"/>
  <c r="DI224" i="1"/>
  <c r="DL224" i="1" s="1"/>
  <c r="DI216" i="1"/>
  <c r="DL216" i="1" s="1"/>
  <c r="DI208" i="1"/>
  <c r="DL208" i="1" s="1"/>
  <c r="DI200" i="1"/>
  <c r="DL200" i="1" s="1"/>
  <c r="DI192" i="1"/>
  <c r="DL192" i="1" s="1"/>
  <c r="DI184" i="1"/>
  <c r="DL184" i="1" s="1"/>
  <c r="DI176" i="1"/>
  <c r="DL176" i="1" s="1"/>
  <c r="DI86" i="1"/>
  <c r="DL86" i="1" s="1"/>
  <c r="DI78" i="1"/>
  <c r="DL78" i="1" s="1"/>
  <c r="DI70" i="1"/>
  <c r="DL70" i="1" s="1"/>
  <c r="DI62" i="1"/>
  <c r="DL62" i="1" s="1"/>
  <c r="DI54" i="1"/>
  <c r="DL54" i="1" s="1"/>
  <c r="DI46" i="1"/>
  <c r="DL46" i="1" s="1"/>
  <c r="DI38" i="1"/>
  <c r="DL38" i="1" s="1"/>
  <c r="DI30" i="1"/>
  <c r="DL30" i="1" s="1"/>
  <c r="DI22" i="1"/>
  <c r="DL22" i="1" s="1"/>
  <c r="DI14" i="1"/>
  <c r="DL14" i="1" s="1"/>
  <c r="DI6" i="1"/>
  <c r="DL6" i="1" s="1"/>
  <c r="DI295" i="1"/>
  <c r="DI287" i="1"/>
  <c r="DI279" i="1"/>
  <c r="DI271" i="1"/>
  <c r="DI263" i="1"/>
  <c r="DI254" i="1"/>
  <c r="DI246" i="1"/>
  <c r="DL246" i="1" s="1"/>
  <c r="DI238" i="1"/>
  <c r="DL238" i="1" s="1"/>
  <c r="DI230" i="1"/>
  <c r="DL230" i="1" s="1"/>
  <c r="DI222" i="1"/>
  <c r="DL222" i="1" s="1"/>
  <c r="DI214" i="1"/>
  <c r="DL214" i="1" s="1"/>
  <c r="DI206" i="1"/>
  <c r="DL206" i="1" s="1"/>
  <c r="DI198" i="1"/>
  <c r="DI190" i="1"/>
  <c r="DL190" i="1" s="1"/>
  <c r="DH147" i="1"/>
  <c r="DH139" i="1"/>
  <c r="DH130" i="1"/>
  <c r="DH122" i="1"/>
  <c r="DH114" i="1"/>
  <c r="DH106" i="1"/>
  <c r="DH98" i="1"/>
  <c r="DH90" i="1"/>
  <c r="DH82" i="1"/>
  <c r="DH74" i="1"/>
  <c r="DH66" i="1"/>
  <c r="DH58" i="1"/>
  <c r="DH50" i="1"/>
  <c r="DH42" i="1"/>
  <c r="DH34" i="1"/>
  <c r="DH26" i="1"/>
  <c r="DH18" i="1"/>
  <c r="DH10" i="1"/>
  <c r="DH225" i="1"/>
  <c r="DL225" i="1" s="1"/>
  <c r="DH217" i="1"/>
  <c r="DL217" i="1" s="1"/>
  <c r="DH209" i="1"/>
  <c r="DL209" i="1" s="1"/>
  <c r="DH201" i="1"/>
  <c r="DL201" i="1" s="1"/>
  <c r="DH193" i="1"/>
  <c r="DL193" i="1" s="1"/>
  <c r="DH185" i="1"/>
  <c r="DL185" i="1" s="1"/>
  <c r="DH177" i="1"/>
  <c r="DL177" i="1" s="1"/>
  <c r="DH169" i="1"/>
  <c r="DH161" i="1"/>
  <c r="DL161" i="1" s="1"/>
  <c r="DH153" i="1"/>
  <c r="DL153" i="1" s="1"/>
  <c r="DH145" i="1"/>
  <c r="DH137" i="1"/>
  <c r="DL137" i="1" s="1"/>
  <c r="DH128" i="1"/>
  <c r="DL128" i="1" s="1"/>
  <c r="DH120" i="1"/>
  <c r="DL120" i="1" s="1"/>
  <c r="DH112" i="1"/>
  <c r="DL112" i="1" s="1"/>
  <c r="DH104" i="1"/>
  <c r="DL104" i="1" s="1"/>
  <c r="DH96" i="1"/>
  <c r="DL96" i="1" s="1"/>
  <c r="DH88" i="1"/>
  <c r="DL88" i="1" s="1"/>
  <c r="DH80" i="1"/>
  <c r="DL80" i="1" s="1"/>
  <c r="DH72" i="1"/>
  <c r="DL72" i="1" s="1"/>
  <c r="DH64" i="1"/>
  <c r="DL64" i="1" s="1"/>
  <c r="DH56" i="1"/>
  <c r="DL56" i="1" s="1"/>
  <c r="DH48" i="1"/>
  <c r="DL48" i="1" s="1"/>
  <c r="DH40" i="1"/>
  <c r="DL40" i="1" s="1"/>
  <c r="DH32" i="1"/>
  <c r="DL32" i="1" s="1"/>
  <c r="DH24" i="1"/>
  <c r="DL24" i="1" s="1"/>
  <c r="DH16" i="1"/>
  <c r="DL16" i="1" s="1"/>
  <c r="DH8" i="1"/>
  <c r="DL8" i="1" s="1"/>
  <c r="DI147" i="1"/>
  <c r="DI139" i="1"/>
  <c r="DI130" i="1"/>
  <c r="DI122" i="1"/>
  <c r="DI114" i="1"/>
  <c r="DI106" i="1"/>
  <c r="DI98" i="1"/>
  <c r="DI90" i="1"/>
  <c r="DI82" i="1"/>
  <c r="DI74" i="1"/>
  <c r="DI66" i="1"/>
  <c r="DI58" i="1"/>
  <c r="DI50" i="1"/>
  <c r="DI42" i="1"/>
  <c r="DI34" i="1"/>
  <c r="DI26" i="1"/>
  <c r="DI18" i="1"/>
  <c r="DI10" i="1"/>
  <c r="DY110" i="1"/>
  <c r="DZ110" i="1" s="1"/>
  <c r="DY78" i="1"/>
  <c r="DY38" i="1"/>
  <c r="DZ38" i="1" s="1"/>
  <c r="DY6" i="1"/>
  <c r="DS295" i="1"/>
  <c r="DR295" i="1"/>
  <c r="DS287" i="1"/>
  <c r="DR287" i="1"/>
  <c r="DR279" i="1"/>
  <c r="DS279" i="1"/>
  <c r="DR271" i="1"/>
  <c r="DV271" i="1" s="1"/>
  <c r="DS263" i="1"/>
  <c r="DR263" i="1"/>
  <c r="DS254" i="1"/>
  <c r="DR254" i="1"/>
  <c r="DS246" i="1"/>
  <c r="DV246" i="1" s="1"/>
  <c r="DS238" i="1"/>
  <c r="DR238" i="1"/>
  <c r="DV238" i="1" s="1"/>
  <c r="DS298" i="1"/>
  <c r="DR298" i="1"/>
  <c r="DS290" i="1"/>
  <c r="DR290" i="1"/>
  <c r="DS282" i="1"/>
  <c r="DR282" i="1"/>
  <c r="DS274" i="1"/>
  <c r="DR274" i="1"/>
  <c r="DV274" i="1" s="1"/>
  <c r="DS266" i="1"/>
  <c r="DR266" i="1"/>
  <c r="DS257" i="1"/>
  <c r="DR257" i="1"/>
  <c r="DS249" i="1"/>
  <c r="DR249" i="1"/>
  <c r="DS241" i="1"/>
  <c r="DR241" i="1"/>
  <c r="DV241" i="1" s="1"/>
  <c r="DS233" i="1"/>
  <c r="DR233" i="1"/>
  <c r="DS225" i="1"/>
  <c r="DR225" i="1"/>
  <c r="DS217" i="1"/>
  <c r="DR217" i="1"/>
  <c r="DS209" i="1"/>
  <c r="DR209" i="1"/>
  <c r="DV209" i="1" s="1"/>
  <c r="DS201" i="1"/>
  <c r="DR201" i="1"/>
  <c r="DS193" i="1"/>
  <c r="DR193" i="1"/>
  <c r="DS185" i="1"/>
  <c r="DR185" i="1"/>
  <c r="DS177" i="1"/>
  <c r="DR177" i="1"/>
  <c r="DV177" i="1" s="1"/>
  <c r="DS169" i="1"/>
  <c r="DR169" i="1"/>
  <c r="DS161" i="1"/>
  <c r="DR161" i="1"/>
  <c r="DS153" i="1"/>
  <c r="DR153" i="1"/>
  <c r="DS145" i="1"/>
  <c r="DR145" i="1"/>
  <c r="DV145" i="1" s="1"/>
  <c r="DS137" i="1"/>
  <c r="DR137" i="1"/>
  <c r="DS128" i="1"/>
  <c r="DR128" i="1"/>
  <c r="DS120" i="1"/>
  <c r="DR120" i="1"/>
  <c r="DS112" i="1"/>
  <c r="DR112" i="1"/>
  <c r="DV112" i="1" s="1"/>
  <c r="DS104" i="1"/>
  <c r="DR104" i="1"/>
  <c r="DS96" i="1"/>
  <c r="DR96" i="1"/>
  <c r="DS88" i="1"/>
  <c r="DR88" i="1"/>
  <c r="DS80" i="1"/>
  <c r="DR80" i="1"/>
  <c r="DV80" i="1" s="1"/>
  <c r="DS72" i="1"/>
  <c r="DR72" i="1"/>
  <c r="DS64" i="1"/>
  <c r="DR64" i="1"/>
  <c r="DS56" i="1"/>
  <c r="DR56" i="1"/>
  <c r="DS48" i="1"/>
  <c r="DR48" i="1"/>
  <c r="DV48" i="1" s="1"/>
  <c r="DS40" i="1"/>
  <c r="DR40" i="1"/>
  <c r="DS32" i="1"/>
  <c r="DR32" i="1"/>
  <c r="DS24" i="1"/>
  <c r="DR24" i="1"/>
  <c r="DS16" i="1"/>
  <c r="DR16" i="1"/>
  <c r="DV16" i="1" s="1"/>
  <c r="DS8" i="1"/>
  <c r="DR8" i="1"/>
  <c r="DS297" i="1"/>
  <c r="DV297" i="1" s="1"/>
  <c r="DS255" i="1"/>
  <c r="DV255" i="1" s="1"/>
  <c r="EB4" i="1"/>
  <c r="DS296" i="1"/>
  <c r="DV296" i="1" s="1"/>
  <c r="DS231" i="1"/>
  <c r="DV231" i="1" s="1"/>
  <c r="DS272" i="1"/>
  <c r="DV272" i="1" s="1"/>
  <c r="DS207" i="1"/>
  <c r="DV207" i="1" s="1"/>
  <c r="EF300" i="1"/>
  <c r="EF292" i="1"/>
  <c r="EF284" i="1"/>
  <c r="EF276" i="1"/>
  <c r="EF268" i="1"/>
  <c r="EF259" i="1"/>
  <c r="EF251" i="1"/>
  <c r="EF243" i="1"/>
  <c r="EF235" i="1"/>
  <c r="EF227" i="1"/>
  <c r="EF219" i="1"/>
  <c r="EF211" i="1"/>
  <c r="EF203" i="1"/>
  <c r="EF195" i="1"/>
  <c r="EF187" i="1"/>
  <c r="EF179" i="1"/>
  <c r="EF171" i="1"/>
  <c r="EF163" i="1"/>
  <c r="EF155" i="1"/>
  <c r="EF147" i="1"/>
  <c r="EF139" i="1"/>
  <c r="EF130" i="1"/>
  <c r="EF122" i="1"/>
  <c r="EF114" i="1"/>
  <c r="EF106" i="1"/>
  <c r="EF98" i="1"/>
  <c r="EF90" i="1"/>
  <c r="EF82" i="1"/>
  <c r="EF74" i="1"/>
  <c r="EF66" i="1"/>
  <c r="EF58" i="1"/>
  <c r="EF50" i="1"/>
  <c r="EF42" i="1"/>
  <c r="EF34" i="1"/>
  <c r="EF26" i="1"/>
  <c r="EF18" i="1"/>
  <c r="EF10" i="1"/>
  <c r="EG295" i="1"/>
  <c r="EG287" i="1"/>
  <c r="EG279" i="1"/>
  <c r="EG271" i="1"/>
  <c r="EG263" i="1"/>
  <c r="EG254" i="1"/>
  <c r="EG246" i="1"/>
  <c r="EG238" i="1"/>
  <c r="EG230" i="1"/>
  <c r="EG222" i="1"/>
  <c r="EG214" i="1"/>
  <c r="EG206" i="1"/>
  <c r="EG198" i="1"/>
  <c r="EG190" i="1"/>
  <c r="EG182" i="1"/>
  <c r="EG174" i="1"/>
  <c r="EG166" i="1"/>
  <c r="EG158" i="1"/>
  <c r="EG150" i="1"/>
  <c r="EG142" i="1"/>
  <c r="EG134" i="1"/>
  <c r="EG125" i="1"/>
  <c r="EG117" i="1"/>
  <c r="EG109" i="1"/>
  <c r="EG101" i="1"/>
  <c r="EG93" i="1"/>
  <c r="EG85" i="1"/>
  <c r="EG77" i="1"/>
  <c r="EG69" i="1"/>
  <c r="EG61" i="1"/>
  <c r="EG53" i="1"/>
  <c r="EG45" i="1"/>
  <c r="EG37" i="1"/>
  <c r="EG29" i="1"/>
  <c r="EG21" i="1"/>
  <c r="EG13" i="1"/>
  <c r="EG5" i="1"/>
  <c r="EF299" i="1"/>
  <c r="EF291" i="1"/>
  <c r="EF283" i="1"/>
  <c r="EF275" i="1"/>
  <c r="EF267" i="1"/>
  <c r="EF258" i="1"/>
  <c r="EF250" i="1"/>
  <c r="EF242" i="1"/>
  <c r="EF234" i="1"/>
  <c r="EF226" i="1"/>
  <c r="EF218" i="1"/>
  <c r="EF210" i="1"/>
  <c r="EF202" i="1"/>
  <c r="EF194" i="1"/>
  <c r="EF186" i="1"/>
  <c r="EF178" i="1"/>
  <c r="EF170" i="1"/>
  <c r="EF162" i="1"/>
  <c r="EF154" i="1"/>
  <c r="EF146" i="1"/>
  <c r="EF138" i="1"/>
  <c r="EF129" i="1"/>
  <c r="EF121" i="1"/>
  <c r="EF113" i="1"/>
  <c r="EF105" i="1"/>
  <c r="EF97" i="1"/>
  <c r="EF89" i="1"/>
  <c r="EF81" i="1"/>
  <c r="EF73" i="1"/>
  <c r="EF65" i="1"/>
  <c r="EF57" i="1"/>
  <c r="EF49" i="1"/>
  <c r="EF41" i="1"/>
  <c r="EF33" i="1"/>
  <c r="EF25" i="1"/>
  <c r="EF17" i="1"/>
  <c r="EF9" i="1"/>
  <c r="EG302" i="1"/>
  <c r="EG294" i="1"/>
  <c r="EG286" i="1"/>
  <c r="EG278" i="1"/>
  <c r="EG270" i="1"/>
  <c r="EG262" i="1"/>
  <c r="EG253" i="1"/>
  <c r="EG245" i="1"/>
  <c r="EG237" i="1"/>
  <c r="EG229" i="1"/>
  <c r="EG221" i="1"/>
  <c r="EG213" i="1"/>
  <c r="EG205" i="1"/>
  <c r="EG197" i="1"/>
  <c r="EG189" i="1"/>
  <c r="EG181" i="1"/>
  <c r="EG173" i="1"/>
  <c r="EG165" i="1"/>
  <c r="EG157" i="1"/>
  <c r="EG149" i="1"/>
  <c r="EG141" i="1"/>
  <c r="EG133" i="1"/>
  <c r="EG124" i="1"/>
  <c r="EG116" i="1"/>
  <c r="EG108" i="1"/>
  <c r="EG100" i="1"/>
  <c r="EG92" i="1"/>
  <c r="EG84" i="1"/>
  <c r="EG76" i="1"/>
  <c r="EG68" i="1"/>
  <c r="EG60" i="1"/>
  <c r="EG52" i="1"/>
  <c r="EG44" i="1"/>
  <c r="EG36" i="1"/>
  <c r="EG28" i="1"/>
  <c r="EG20" i="1"/>
  <c r="EG12" i="1"/>
  <c r="EG4" i="1"/>
  <c r="DS301" i="1"/>
  <c r="DV301" i="1" s="1"/>
  <c r="DS293" i="1"/>
  <c r="DV293" i="1" s="1"/>
  <c r="DS285" i="1"/>
  <c r="DS277" i="1"/>
  <c r="DV277" i="1" s="1"/>
  <c r="DS269" i="1"/>
  <c r="DV269" i="1" s="1"/>
  <c r="DS260" i="1"/>
  <c r="DS252" i="1"/>
  <c r="DV252" i="1" s="1"/>
  <c r="DS264" i="1"/>
  <c r="DV264" i="1" s="1"/>
  <c r="EB192" i="1"/>
  <c r="DS300" i="1"/>
  <c r="DR300" i="1"/>
  <c r="DS292" i="1"/>
  <c r="DR292" i="1"/>
  <c r="DS284" i="1"/>
  <c r="DR284" i="1"/>
  <c r="DS276" i="1"/>
  <c r="DR276" i="1"/>
  <c r="DS268" i="1"/>
  <c r="DR268" i="1"/>
  <c r="DS259" i="1"/>
  <c r="DR259" i="1"/>
  <c r="DS251" i="1"/>
  <c r="DR251" i="1"/>
  <c r="DS243" i="1"/>
  <c r="DR243" i="1"/>
  <c r="DS235" i="1"/>
  <c r="DR235" i="1"/>
  <c r="DS227" i="1"/>
  <c r="DR227" i="1"/>
  <c r="DS219" i="1"/>
  <c r="DR219" i="1"/>
  <c r="DS211" i="1"/>
  <c r="DR211" i="1"/>
  <c r="DS203" i="1"/>
  <c r="DR203" i="1"/>
  <c r="DS195" i="1"/>
  <c r="DR195" i="1"/>
  <c r="DS187" i="1"/>
  <c r="DR187" i="1"/>
  <c r="DS179" i="1"/>
  <c r="DR179" i="1"/>
  <c r="DS171" i="1"/>
  <c r="DR171" i="1"/>
  <c r="DS163" i="1"/>
  <c r="DR163" i="1"/>
  <c r="DS155" i="1"/>
  <c r="DR155" i="1"/>
  <c r="DS147" i="1"/>
  <c r="DR147" i="1"/>
  <c r="DS139" i="1"/>
  <c r="DR139" i="1"/>
  <c r="DS130" i="1"/>
  <c r="DR130" i="1"/>
  <c r="DS122" i="1"/>
  <c r="DR122" i="1"/>
  <c r="DS114" i="1"/>
  <c r="DR114" i="1"/>
  <c r="DS106" i="1"/>
  <c r="DR106" i="1"/>
  <c r="DS98" i="1"/>
  <c r="DR98" i="1"/>
  <c r="DS90" i="1"/>
  <c r="DR90" i="1"/>
  <c r="DS82" i="1"/>
  <c r="DR82" i="1"/>
  <c r="DS74" i="1"/>
  <c r="DR74" i="1"/>
  <c r="DS66" i="1"/>
  <c r="DR66" i="1"/>
  <c r="DS58" i="1"/>
  <c r="DR58" i="1"/>
  <c r="DS50" i="1"/>
  <c r="DR50" i="1"/>
  <c r="DS42" i="1"/>
  <c r="DR42" i="1"/>
  <c r="DS34" i="1"/>
  <c r="DR34" i="1"/>
  <c r="DS26" i="1"/>
  <c r="DR26" i="1"/>
  <c r="DS18" i="1"/>
  <c r="DR18" i="1"/>
  <c r="DS10" i="1"/>
  <c r="DR10" i="1"/>
  <c r="DR285" i="1"/>
  <c r="DS239" i="1"/>
  <c r="DV239" i="1" s="1"/>
  <c r="DS299" i="1"/>
  <c r="DR299" i="1"/>
  <c r="DS291" i="1"/>
  <c r="DR291" i="1"/>
  <c r="DS283" i="1"/>
  <c r="DR283" i="1"/>
  <c r="DS275" i="1"/>
  <c r="DR275" i="1"/>
  <c r="DS267" i="1"/>
  <c r="DR267" i="1"/>
  <c r="DS258" i="1"/>
  <c r="DR258" i="1"/>
  <c r="DS250" i="1"/>
  <c r="DR250" i="1"/>
  <c r="DS242" i="1"/>
  <c r="DR242" i="1"/>
  <c r="DS234" i="1"/>
  <c r="DR234" i="1"/>
  <c r="DS226" i="1"/>
  <c r="DR226" i="1"/>
  <c r="DS218" i="1"/>
  <c r="DR218" i="1"/>
  <c r="DS210" i="1"/>
  <c r="DR210" i="1"/>
  <c r="DS202" i="1"/>
  <c r="DR202" i="1"/>
  <c r="DS194" i="1"/>
  <c r="DR194" i="1"/>
  <c r="DS186" i="1"/>
  <c r="DR186" i="1"/>
  <c r="DS178" i="1"/>
  <c r="DR178" i="1"/>
  <c r="DS170" i="1"/>
  <c r="DR170" i="1"/>
  <c r="DS162" i="1"/>
  <c r="DR162" i="1"/>
  <c r="DS154" i="1"/>
  <c r="DR154" i="1"/>
  <c r="DS146" i="1"/>
  <c r="DR146" i="1"/>
  <c r="DS138" i="1"/>
  <c r="DR138" i="1"/>
  <c r="DS129" i="1"/>
  <c r="DR129" i="1"/>
  <c r="DS121" i="1"/>
  <c r="DR121" i="1"/>
  <c r="DS113" i="1"/>
  <c r="DR113" i="1"/>
  <c r="DS105" i="1"/>
  <c r="DR105" i="1"/>
  <c r="DS97" i="1"/>
  <c r="DR97" i="1"/>
  <c r="DS89" i="1"/>
  <c r="DR89" i="1"/>
  <c r="DS81" i="1"/>
  <c r="DR81" i="1"/>
  <c r="DS73" i="1"/>
  <c r="DR73" i="1"/>
  <c r="DS65" i="1"/>
  <c r="DR65" i="1"/>
  <c r="DS57" i="1"/>
  <c r="DR57" i="1"/>
  <c r="DS49" i="1"/>
  <c r="DR49" i="1"/>
  <c r="DS41" i="1"/>
  <c r="DR41" i="1"/>
  <c r="DS33" i="1"/>
  <c r="DR33" i="1"/>
  <c r="DS25" i="1"/>
  <c r="DR25" i="1"/>
  <c r="DS17" i="1"/>
  <c r="DR17" i="1"/>
  <c r="DS9" i="1"/>
  <c r="DR9" i="1"/>
  <c r="DR260" i="1"/>
  <c r="DS280" i="1"/>
  <c r="DV280" i="1" s="1"/>
  <c r="DS215" i="1"/>
  <c r="DV215" i="1" s="1"/>
  <c r="EF298" i="1"/>
  <c r="EF290" i="1"/>
  <c r="EF282" i="1"/>
  <c r="EF274" i="1"/>
  <c r="EF266" i="1"/>
  <c r="EF257" i="1"/>
  <c r="EF249" i="1"/>
  <c r="EF241" i="1"/>
  <c r="EF233" i="1"/>
  <c r="EF225" i="1"/>
  <c r="EF217" i="1"/>
  <c r="EF209" i="1"/>
  <c r="EF201" i="1"/>
  <c r="EF193" i="1"/>
  <c r="EF185" i="1"/>
  <c r="EF177" i="1"/>
  <c r="EF169" i="1"/>
  <c r="EF161" i="1"/>
  <c r="EF153" i="1"/>
  <c r="EF145" i="1"/>
  <c r="EF137" i="1"/>
  <c r="EF128" i="1"/>
  <c r="EF120" i="1"/>
  <c r="EF112" i="1"/>
  <c r="EF104" i="1"/>
  <c r="EF96" i="1"/>
  <c r="EF88" i="1"/>
  <c r="EF80" i="1"/>
  <c r="EF72" i="1"/>
  <c r="EF64" i="1"/>
  <c r="EF56" i="1"/>
  <c r="EF48" i="1"/>
  <c r="EF40" i="1"/>
  <c r="EF32" i="1"/>
  <c r="EF24" i="1"/>
  <c r="EF16" i="1"/>
  <c r="EF8" i="1"/>
  <c r="EG301" i="1"/>
  <c r="EG293" i="1"/>
  <c r="EG285" i="1"/>
  <c r="EG277" i="1"/>
  <c r="EG269" i="1"/>
  <c r="EG260" i="1"/>
  <c r="EG252" i="1"/>
  <c r="EG244" i="1"/>
  <c r="EG236" i="1"/>
  <c r="EG228" i="1"/>
  <c r="EG220" i="1"/>
  <c r="EG212" i="1"/>
  <c r="EG204" i="1"/>
  <c r="EG196" i="1"/>
  <c r="EG188" i="1"/>
  <c r="EG180" i="1"/>
  <c r="EG172" i="1"/>
  <c r="EG164" i="1"/>
  <c r="EG156" i="1"/>
  <c r="EG148" i="1"/>
  <c r="DS302" i="1"/>
  <c r="DV302" i="1" s="1"/>
  <c r="DS294" i="1"/>
  <c r="DV294" i="1" s="1"/>
  <c r="DS286" i="1"/>
  <c r="DV286" i="1" s="1"/>
  <c r="DS278" i="1"/>
  <c r="DV278" i="1" s="1"/>
  <c r="DS270" i="1"/>
  <c r="DV270" i="1" s="1"/>
  <c r="DS262" i="1"/>
  <c r="DV262" i="1" s="1"/>
  <c r="DS253" i="1"/>
  <c r="DV253" i="1" s="1"/>
  <c r="DS245" i="1"/>
  <c r="DV245" i="1" s="1"/>
  <c r="DS237" i="1"/>
  <c r="DV237" i="1" s="1"/>
  <c r="DS229" i="1"/>
  <c r="DV229" i="1" s="1"/>
  <c r="DS221" i="1"/>
  <c r="DV221" i="1" s="1"/>
  <c r="DS213" i="1"/>
  <c r="DV213" i="1" s="1"/>
  <c r="DS205" i="1"/>
  <c r="DV205" i="1" s="1"/>
  <c r="DS197" i="1"/>
  <c r="DV197" i="1" s="1"/>
  <c r="DS189" i="1"/>
  <c r="DV189" i="1" s="1"/>
  <c r="DS181" i="1"/>
  <c r="DV181" i="1" s="1"/>
  <c r="DS173" i="1"/>
  <c r="DV173" i="1" s="1"/>
  <c r="DS165" i="1"/>
  <c r="DV165" i="1" s="1"/>
  <c r="DS157" i="1"/>
  <c r="DV157" i="1" s="1"/>
  <c r="DS149" i="1"/>
  <c r="DV149" i="1" s="1"/>
  <c r="DS141" i="1"/>
  <c r="DV141" i="1" s="1"/>
  <c r="DS133" i="1"/>
  <c r="DV133" i="1" s="1"/>
  <c r="DS124" i="1"/>
  <c r="DV124" i="1" s="1"/>
  <c r="DS116" i="1"/>
  <c r="DV116" i="1" s="1"/>
  <c r="EF297" i="1"/>
  <c r="EF289" i="1"/>
  <c r="EF281" i="1"/>
  <c r="EF273" i="1"/>
  <c r="EF265" i="1"/>
  <c r="EF256" i="1"/>
  <c r="EF248" i="1"/>
  <c r="EF240" i="1"/>
  <c r="EF232" i="1"/>
  <c r="DS244" i="1"/>
  <c r="DV244" i="1" s="1"/>
  <c r="DS236" i="1"/>
  <c r="DV236" i="1" s="1"/>
  <c r="DS228" i="1"/>
  <c r="DV228" i="1" s="1"/>
  <c r="DS220" i="1"/>
  <c r="DV220" i="1" s="1"/>
  <c r="DS212" i="1"/>
  <c r="DV212" i="1" s="1"/>
  <c r="DS204" i="1"/>
  <c r="DV204" i="1" s="1"/>
  <c r="DS196" i="1"/>
  <c r="DV196" i="1" s="1"/>
  <c r="DS188" i="1"/>
  <c r="DV188" i="1" s="1"/>
  <c r="DS180" i="1"/>
  <c r="DV180" i="1" s="1"/>
  <c r="DS172" i="1"/>
  <c r="DV172" i="1" s="1"/>
  <c r="DS164" i="1"/>
  <c r="DV164" i="1" s="1"/>
  <c r="DS156" i="1"/>
  <c r="DV156" i="1" s="1"/>
  <c r="DS148" i="1"/>
  <c r="DV148" i="1" s="1"/>
  <c r="DS140" i="1"/>
  <c r="DV140" i="1" s="1"/>
  <c r="DS131" i="1"/>
  <c r="DV131" i="1" s="1"/>
  <c r="DS123" i="1"/>
  <c r="DV123" i="1" s="1"/>
  <c r="DS115" i="1"/>
  <c r="DV115" i="1" s="1"/>
  <c r="DS107" i="1"/>
  <c r="DV107" i="1" s="1"/>
  <c r="DS99" i="1"/>
  <c r="DV99" i="1" s="1"/>
  <c r="DS91" i="1"/>
  <c r="DV91" i="1" s="1"/>
  <c r="EF296" i="1"/>
  <c r="EF288" i="1"/>
  <c r="EF280" i="1"/>
  <c r="EF272" i="1"/>
  <c r="EF264" i="1"/>
  <c r="EF255" i="1"/>
  <c r="EF247" i="1"/>
  <c r="EF295" i="1"/>
  <c r="EF287" i="1"/>
  <c r="EF279" i="1"/>
  <c r="EF271" i="1"/>
  <c r="EF263" i="1"/>
  <c r="EF254" i="1"/>
  <c r="EF246" i="1"/>
  <c r="EF238" i="1"/>
  <c r="EF230" i="1"/>
  <c r="EF222" i="1"/>
  <c r="EF214" i="1"/>
  <c r="EF206" i="1"/>
  <c r="EF198" i="1"/>
  <c r="EF190" i="1"/>
  <c r="EF182" i="1"/>
  <c r="EF174" i="1"/>
  <c r="EF166" i="1"/>
  <c r="EF302" i="1"/>
  <c r="EF294" i="1"/>
  <c r="EF286" i="1"/>
  <c r="EF278" i="1"/>
  <c r="EF270" i="1"/>
  <c r="EF262" i="1"/>
  <c r="EF253" i="1"/>
  <c r="EF301" i="1"/>
  <c r="ER301" i="1" s="1"/>
  <c r="ES301" i="1" s="1"/>
  <c r="EF293" i="1"/>
  <c r="EF285" i="1"/>
  <c r="EF277" i="1"/>
  <c r="EF269" i="1"/>
  <c r="EF260" i="1"/>
  <c r="EF252" i="1"/>
  <c r="EF244" i="1"/>
  <c r="ER244" i="1" s="1"/>
  <c r="ES244" i="1" s="1"/>
  <c r="EF172" i="1"/>
  <c r="EB136" i="1"/>
  <c r="EG140" i="1"/>
  <c r="EG131" i="1"/>
  <c r="EG123" i="1"/>
  <c r="EG115" i="1"/>
  <c r="EG107" i="1"/>
  <c r="EG99" i="1"/>
  <c r="EG91" i="1"/>
  <c r="EG83" i="1"/>
  <c r="EG75" i="1"/>
  <c r="EG67" i="1"/>
  <c r="EG59" i="1"/>
  <c r="EG51" i="1"/>
  <c r="EG43" i="1"/>
  <c r="EG35" i="1"/>
  <c r="EG27" i="1"/>
  <c r="EG19" i="1"/>
  <c r="EG11" i="1"/>
  <c r="EG3" i="1"/>
  <c r="EF224" i="1"/>
  <c r="EF216" i="1"/>
  <c r="EF208" i="1"/>
  <c r="EF200" i="1"/>
  <c r="EF192" i="1"/>
  <c r="EF184" i="1"/>
  <c r="EF176" i="1"/>
  <c r="EF168" i="1"/>
  <c r="EF160" i="1"/>
  <c r="EF152" i="1"/>
  <c r="EF144" i="1"/>
  <c r="EF136" i="1"/>
  <c r="EF127" i="1"/>
  <c r="EF119" i="1"/>
  <c r="EF111" i="1"/>
  <c r="EF103" i="1"/>
  <c r="EF95" i="1"/>
  <c r="EF87" i="1"/>
  <c r="EF79" i="1"/>
  <c r="EF71" i="1"/>
  <c r="EF63" i="1"/>
  <c r="EF55" i="1"/>
  <c r="EF47" i="1"/>
  <c r="EF39" i="1"/>
  <c r="EF31" i="1"/>
  <c r="EF23" i="1"/>
  <c r="EF15" i="1"/>
  <c r="EF7" i="1"/>
  <c r="EG300" i="1"/>
  <c r="EG292" i="1"/>
  <c r="EG284" i="1"/>
  <c r="EG276" i="1"/>
  <c r="EG268" i="1"/>
  <c r="EG259" i="1"/>
  <c r="EG251" i="1"/>
  <c r="EG243" i="1"/>
  <c r="EG235" i="1"/>
  <c r="EG227" i="1"/>
  <c r="EG219" i="1"/>
  <c r="EG211" i="1"/>
  <c r="EG203" i="1"/>
  <c r="EG195" i="1"/>
  <c r="EG187" i="1"/>
  <c r="EG179" i="1"/>
  <c r="EG171" i="1"/>
  <c r="EG163" i="1"/>
  <c r="EG155" i="1"/>
  <c r="EG147" i="1"/>
  <c r="EG139" i="1"/>
  <c r="EG130" i="1"/>
  <c r="EG122" i="1"/>
  <c r="EG114" i="1"/>
  <c r="EG106" i="1"/>
  <c r="EG98" i="1"/>
  <c r="EG90" i="1"/>
  <c r="EG82" i="1"/>
  <c r="EG74" i="1"/>
  <c r="EG66" i="1"/>
  <c r="EG58" i="1"/>
  <c r="EG50" i="1"/>
  <c r="EG42" i="1"/>
  <c r="EG34" i="1"/>
  <c r="EG26" i="1"/>
  <c r="EG18" i="1"/>
  <c r="EG10" i="1"/>
  <c r="EB198" i="1"/>
  <c r="EB145" i="1"/>
  <c r="EF239" i="1"/>
  <c r="EF231" i="1"/>
  <c r="EF223" i="1"/>
  <c r="EF215" i="1"/>
  <c r="EF207" i="1"/>
  <c r="EF199" i="1"/>
  <c r="EF191" i="1"/>
  <c r="EF183" i="1"/>
  <c r="EF175" i="1"/>
  <c r="EF167" i="1"/>
  <c r="EF159" i="1"/>
  <c r="EF151" i="1"/>
  <c r="EF143" i="1"/>
  <c r="EF135" i="1"/>
  <c r="EF126" i="1"/>
  <c r="EF118" i="1"/>
  <c r="EF110" i="1"/>
  <c r="EF102" i="1"/>
  <c r="EF94" i="1"/>
  <c r="EF86" i="1"/>
  <c r="EF78" i="1"/>
  <c r="EF70" i="1"/>
  <c r="EF62" i="1"/>
  <c r="EF54" i="1"/>
  <c r="EF46" i="1"/>
  <c r="EF38" i="1"/>
  <c r="EF30" i="1"/>
  <c r="EF22" i="1"/>
  <c r="EF14" i="1"/>
  <c r="EF6" i="1"/>
  <c r="EG299" i="1"/>
  <c r="EG291" i="1"/>
  <c r="EG283" i="1"/>
  <c r="EG275" i="1"/>
  <c r="EG267" i="1"/>
  <c r="EG258" i="1"/>
  <c r="EG250" i="1"/>
  <c r="EG242" i="1"/>
  <c r="EG234" i="1"/>
  <c r="EG226" i="1"/>
  <c r="EG218" i="1"/>
  <c r="EG210" i="1"/>
  <c r="EG202" i="1"/>
  <c r="EG194" i="1"/>
  <c r="EG186" i="1"/>
  <c r="EG178" i="1"/>
  <c r="EG170" i="1"/>
  <c r="EG162" i="1"/>
  <c r="EG154" i="1"/>
  <c r="EG146" i="1"/>
  <c r="EG138" i="1"/>
  <c r="EG129" i="1"/>
  <c r="EG121" i="1"/>
  <c r="EG113" i="1"/>
  <c r="EG105" i="1"/>
  <c r="EG97" i="1"/>
  <c r="EG89" i="1"/>
  <c r="EG81" i="1"/>
  <c r="EG73" i="1"/>
  <c r="EG65" i="1"/>
  <c r="EG57" i="1"/>
  <c r="EG49" i="1"/>
  <c r="EG41" i="1"/>
  <c r="EG33" i="1"/>
  <c r="EG25" i="1"/>
  <c r="EG17" i="1"/>
  <c r="EG9" i="1"/>
  <c r="EF158" i="1"/>
  <c r="EF150" i="1"/>
  <c r="EF142" i="1"/>
  <c r="EF134" i="1"/>
  <c r="EF125" i="1"/>
  <c r="EF117" i="1"/>
  <c r="EF109" i="1"/>
  <c r="EF101" i="1"/>
  <c r="EF93" i="1"/>
  <c r="EF85" i="1"/>
  <c r="EF77" i="1"/>
  <c r="EF69" i="1"/>
  <c r="EF61" i="1"/>
  <c r="EF53" i="1"/>
  <c r="EF45" i="1"/>
  <c r="EF37" i="1"/>
  <c r="EF29" i="1"/>
  <c r="EF21" i="1"/>
  <c r="EF13" i="1"/>
  <c r="EF5" i="1"/>
  <c r="EG298" i="1"/>
  <c r="EG290" i="1"/>
  <c r="EG282" i="1"/>
  <c r="EG274" i="1"/>
  <c r="EG266" i="1"/>
  <c r="EG257" i="1"/>
  <c r="EG249" i="1"/>
  <c r="EG241" i="1"/>
  <c r="EG233" i="1"/>
  <c r="EG225" i="1"/>
  <c r="EG217" i="1"/>
  <c r="EG209" i="1"/>
  <c r="EG201" i="1"/>
  <c r="EG193" i="1"/>
  <c r="EG185" i="1"/>
  <c r="EG177" i="1"/>
  <c r="EG169" i="1"/>
  <c r="EG161" i="1"/>
  <c r="EG153" i="1"/>
  <c r="EG145" i="1"/>
  <c r="EG137" i="1"/>
  <c r="EG128" i="1"/>
  <c r="EG120" i="1"/>
  <c r="EG112" i="1"/>
  <c r="EG104" i="1"/>
  <c r="EG96" i="1"/>
  <c r="EG88" i="1"/>
  <c r="EG80" i="1"/>
  <c r="EG72" i="1"/>
  <c r="EG64" i="1"/>
  <c r="EG56" i="1"/>
  <c r="EG48" i="1"/>
  <c r="EG40" i="1"/>
  <c r="EG32" i="1"/>
  <c r="EG24" i="1"/>
  <c r="EG16" i="1"/>
  <c r="EG8" i="1"/>
  <c r="EF245" i="1"/>
  <c r="EF237" i="1"/>
  <c r="EF229" i="1"/>
  <c r="EF221" i="1"/>
  <c r="EF213" i="1"/>
  <c r="EF205" i="1"/>
  <c r="EF197" i="1"/>
  <c r="EF189" i="1"/>
  <c r="EF181" i="1"/>
  <c r="EF173" i="1"/>
  <c r="EF165" i="1"/>
  <c r="EF157" i="1"/>
  <c r="EF149" i="1"/>
  <c r="EF141" i="1"/>
  <c r="EF133" i="1"/>
  <c r="EF124" i="1"/>
  <c r="EF116" i="1"/>
  <c r="EF108" i="1"/>
  <c r="EF100" i="1"/>
  <c r="EF92" i="1"/>
  <c r="EF84" i="1"/>
  <c r="EF76" i="1"/>
  <c r="EF68" i="1"/>
  <c r="EF60" i="1"/>
  <c r="EF52" i="1"/>
  <c r="EF44" i="1"/>
  <c r="EF36" i="1"/>
  <c r="EF28" i="1"/>
  <c r="EF20" i="1"/>
  <c r="EF12" i="1"/>
  <c r="EF4" i="1"/>
  <c r="EG297" i="1"/>
  <c r="EG289" i="1"/>
  <c r="EG281" i="1"/>
  <c r="EG273" i="1"/>
  <c r="EG265" i="1"/>
  <c r="EG256" i="1"/>
  <c r="EG248" i="1"/>
  <c r="EG240" i="1"/>
  <c r="EG232" i="1"/>
  <c r="EG224" i="1"/>
  <c r="EG216" i="1"/>
  <c r="EG208" i="1"/>
  <c r="EG200" i="1"/>
  <c r="EG192" i="1"/>
  <c r="EG184" i="1"/>
  <c r="EG176" i="1"/>
  <c r="EG168" i="1"/>
  <c r="EG160" i="1"/>
  <c r="EG152" i="1"/>
  <c r="EG144" i="1"/>
  <c r="EG136" i="1"/>
  <c r="EG127" i="1"/>
  <c r="EG119" i="1"/>
  <c r="EG111" i="1"/>
  <c r="EG103" i="1"/>
  <c r="EG95" i="1"/>
  <c r="EG87" i="1"/>
  <c r="EG79" i="1"/>
  <c r="EG71" i="1"/>
  <c r="EG63" i="1"/>
  <c r="EG55" i="1"/>
  <c r="EG47" i="1"/>
  <c r="EG39" i="1"/>
  <c r="EG31" i="1"/>
  <c r="EG23" i="1"/>
  <c r="EG15" i="1"/>
  <c r="EG7" i="1"/>
  <c r="EB268" i="1"/>
  <c r="EF236" i="1"/>
  <c r="ER236" i="1" s="1"/>
  <c r="ES236" i="1" s="1"/>
  <c r="EF228" i="1"/>
  <c r="ER228" i="1" s="1"/>
  <c r="ES228" i="1" s="1"/>
  <c r="EF220" i="1"/>
  <c r="EF212" i="1"/>
  <c r="ER212" i="1" s="1"/>
  <c r="ES212" i="1" s="1"/>
  <c r="EF204" i="1"/>
  <c r="ER204" i="1" s="1"/>
  <c r="ES204" i="1" s="1"/>
  <c r="EF196" i="1"/>
  <c r="ER196" i="1" s="1"/>
  <c r="ES196" i="1" s="1"/>
  <c r="EF188" i="1"/>
  <c r="ER188" i="1" s="1"/>
  <c r="ES188" i="1" s="1"/>
  <c r="EF180" i="1"/>
  <c r="ER180" i="1" s="1"/>
  <c r="ES180" i="1" s="1"/>
  <c r="EF164" i="1"/>
  <c r="EF156" i="1"/>
  <c r="EF148" i="1"/>
  <c r="EF140" i="1"/>
  <c r="EF131" i="1"/>
  <c r="EF123" i="1"/>
  <c r="EF115" i="1"/>
  <c r="EF107" i="1"/>
  <c r="EF99" i="1"/>
  <c r="EF91" i="1"/>
  <c r="EF83" i="1"/>
  <c r="EF75" i="1"/>
  <c r="EF67" i="1"/>
  <c r="EF59" i="1"/>
  <c r="EF51" i="1"/>
  <c r="EF43" i="1"/>
  <c r="EF35" i="1"/>
  <c r="EF27" i="1"/>
  <c r="EF19" i="1"/>
  <c r="EF11" i="1"/>
  <c r="EF3" i="1"/>
  <c r="EG296" i="1"/>
  <c r="EG288" i="1"/>
  <c r="EG280" i="1"/>
  <c r="EG272" i="1"/>
  <c r="EG264" i="1"/>
  <c r="EG255" i="1"/>
  <c r="EG247" i="1"/>
  <c r="EG239" i="1"/>
  <c r="EG231" i="1"/>
  <c r="EG223" i="1"/>
  <c r="EG215" i="1"/>
  <c r="EG207" i="1"/>
  <c r="EG199" i="1"/>
  <c r="EG191" i="1"/>
  <c r="EG183" i="1"/>
  <c r="EG175" i="1"/>
  <c r="EG167" i="1"/>
  <c r="EG159" i="1"/>
  <c r="EG151" i="1"/>
  <c r="EG143" i="1"/>
  <c r="EG135" i="1"/>
  <c r="EG126" i="1"/>
  <c r="EG118" i="1"/>
  <c r="EG110" i="1"/>
  <c r="EG102" i="1"/>
  <c r="EG94" i="1"/>
  <c r="EG86" i="1"/>
  <c r="EG78" i="1"/>
  <c r="EG70" i="1"/>
  <c r="EG62" i="1"/>
  <c r="EG54" i="1"/>
  <c r="EG46" i="1"/>
  <c r="EG38" i="1"/>
  <c r="EG30" i="1"/>
  <c r="EG22" i="1"/>
  <c r="EG14" i="1"/>
  <c r="EG6" i="1"/>
  <c r="EB60" i="1"/>
  <c r="EB202" i="1"/>
  <c r="AE217" i="1"/>
  <c r="AI217" i="1" s="1"/>
  <c r="AE167" i="1"/>
  <c r="AI167" i="1" s="1"/>
  <c r="AF241" i="1"/>
  <c r="AI241" i="1" s="1"/>
  <c r="AF183" i="1"/>
  <c r="AI183" i="1" s="1"/>
  <c r="AF101" i="1"/>
  <c r="AI101" i="1" s="1"/>
  <c r="AF238" i="1"/>
  <c r="AI238" i="1" s="1"/>
  <c r="AF153" i="1"/>
  <c r="AI153" i="1" s="1"/>
  <c r="AF137" i="1"/>
  <c r="AI137" i="1" s="1"/>
  <c r="AF214" i="1"/>
  <c r="AI214" i="1" s="1"/>
  <c r="AE131" i="1"/>
  <c r="AI131" i="1" s="1"/>
  <c r="AF107" i="1"/>
  <c r="AI107" i="1" s="1"/>
  <c r="AE244" i="1"/>
  <c r="AI244" i="1" s="1"/>
  <c r="AF188" i="1"/>
  <c r="AI188" i="1" s="1"/>
  <c r="AF196" i="1"/>
  <c r="AI196" i="1" s="1"/>
  <c r="AE301" i="1"/>
  <c r="AI301" i="1" s="1"/>
  <c r="AF75" i="1"/>
  <c r="AI75" i="1" s="1"/>
  <c r="AE287" i="1"/>
  <c r="AI287" i="1" s="1"/>
  <c r="AF123" i="1"/>
  <c r="AI123" i="1" s="1"/>
  <c r="AF252" i="1"/>
  <c r="AI252" i="1" s="1"/>
  <c r="AE222" i="1"/>
  <c r="AI222" i="1" s="1"/>
  <c r="U287" i="1"/>
  <c r="Y287" i="1" s="1"/>
  <c r="U254" i="1"/>
  <c r="Y254" i="1" s="1"/>
  <c r="U222" i="1"/>
  <c r="Y222" i="1" s="1"/>
  <c r="U190" i="1"/>
  <c r="Y190" i="1" s="1"/>
  <c r="U158" i="1"/>
  <c r="Y158" i="1" s="1"/>
  <c r="U23" i="1"/>
  <c r="Y23" i="1" s="1"/>
  <c r="V290" i="1"/>
  <c r="Y290" i="1" s="1"/>
  <c r="V257" i="1"/>
  <c r="Y257" i="1" s="1"/>
  <c r="V225" i="1"/>
  <c r="Y225" i="1" s="1"/>
  <c r="V193" i="1"/>
  <c r="Y193" i="1" s="1"/>
  <c r="V128" i="1"/>
  <c r="Y128" i="1" s="1"/>
  <c r="U280" i="1"/>
  <c r="Y280" i="1" s="1"/>
  <c r="U247" i="1"/>
  <c r="Y247" i="1" s="1"/>
  <c r="U215" i="1"/>
  <c r="Y215" i="1" s="1"/>
  <c r="U183" i="1"/>
  <c r="Y183" i="1" s="1"/>
  <c r="U151" i="1"/>
  <c r="Y151" i="1" s="1"/>
  <c r="U118" i="1"/>
  <c r="Y118" i="1" s="1"/>
  <c r="U100" i="1"/>
  <c r="U77" i="1"/>
  <c r="Y77" i="1" s="1"/>
  <c r="U54" i="1"/>
  <c r="Y54" i="1" s="1"/>
  <c r="U36" i="1"/>
  <c r="Y36" i="1" s="1"/>
  <c r="U22" i="1"/>
  <c r="Y22" i="1" s="1"/>
  <c r="U8" i="1"/>
  <c r="Y8" i="1" s="1"/>
  <c r="V289" i="1"/>
  <c r="Y289" i="1" s="1"/>
  <c r="V256" i="1"/>
  <c r="V224" i="1"/>
  <c r="Y224" i="1" s="1"/>
  <c r="AB224" i="1" s="1"/>
  <c r="V192" i="1"/>
  <c r="V160" i="1"/>
  <c r="V127" i="1"/>
  <c r="Y127" i="1" s="1"/>
  <c r="V95" i="1"/>
  <c r="Y95" i="1" s="1"/>
  <c r="V39" i="1"/>
  <c r="Y39" i="1" s="1"/>
  <c r="V14" i="1"/>
  <c r="Y14" i="1" s="1"/>
  <c r="V297" i="1"/>
  <c r="Y297" i="1" s="1"/>
  <c r="V265" i="1"/>
  <c r="Y265" i="1" s="1"/>
  <c r="V232" i="1"/>
  <c r="Y232" i="1" s="1"/>
  <c r="V200" i="1"/>
  <c r="Y200" i="1" s="1"/>
  <c r="V168" i="1"/>
  <c r="Y168" i="1" s="1"/>
  <c r="V136" i="1"/>
  <c r="Y136" i="1" s="1"/>
  <c r="V103" i="1"/>
  <c r="Y103" i="1" s="1"/>
  <c r="U279" i="1"/>
  <c r="Y279" i="1" s="1"/>
  <c r="U246" i="1"/>
  <c r="Y246" i="1" s="1"/>
  <c r="U214" i="1"/>
  <c r="Y214" i="1" s="1"/>
  <c r="U182" i="1"/>
  <c r="Y182" i="1" s="1"/>
  <c r="U150" i="1"/>
  <c r="Y150" i="1" s="1"/>
  <c r="U117" i="1"/>
  <c r="Y117" i="1" s="1"/>
  <c r="U94" i="1"/>
  <c r="Y94" i="1" s="1"/>
  <c r="U53" i="1"/>
  <c r="Y53" i="1" s="1"/>
  <c r="U7" i="1"/>
  <c r="Y7" i="1" s="1"/>
  <c r="V282" i="1"/>
  <c r="Y282" i="1" s="1"/>
  <c r="V249" i="1"/>
  <c r="Y249" i="1" s="1"/>
  <c r="V217" i="1"/>
  <c r="Y217" i="1" s="1"/>
  <c r="V185" i="1"/>
  <c r="Y185" i="1" s="1"/>
  <c r="V153" i="1"/>
  <c r="Y153" i="1" s="1"/>
  <c r="V120" i="1"/>
  <c r="Y120" i="1" s="1"/>
  <c r="V87" i="1"/>
  <c r="Y87" i="1" s="1"/>
  <c r="U31" i="1"/>
  <c r="Y31" i="1" s="1"/>
  <c r="V281" i="1"/>
  <c r="Y281" i="1" s="1"/>
  <c r="V248" i="1"/>
  <c r="V216" i="1"/>
  <c r="Y216" i="1" s="1"/>
  <c r="V184" i="1"/>
  <c r="Y184" i="1" s="1"/>
  <c r="V152" i="1"/>
  <c r="Y152" i="1" s="1"/>
  <c r="V119" i="1"/>
  <c r="Y119" i="1" s="1"/>
  <c r="V63" i="1"/>
  <c r="Y63" i="1" s="1"/>
  <c r="U271" i="1"/>
  <c r="Y271" i="1" s="1"/>
  <c r="U238" i="1"/>
  <c r="Y238" i="1" s="1"/>
  <c r="U206" i="1"/>
  <c r="Y206" i="1" s="1"/>
  <c r="U174" i="1"/>
  <c r="Y174" i="1" s="1"/>
  <c r="U142" i="1"/>
  <c r="Y142" i="1" s="1"/>
  <c r="U110" i="1"/>
  <c r="Y110" i="1" s="1"/>
  <c r="U46" i="1"/>
  <c r="Y46" i="1" s="1"/>
  <c r="U30" i="1"/>
  <c r="Y30" i="1" s="1"/>
  <c r="V274" i="1"/>
  <c r="Y274" i="1" s="1"/>
  <c r="V241" i="1"/>
  <c r="Y241" i="1" s="1"/>
  <c r="V209" i="1"/>
  <c r="Y209" i="1" s="1"/>
  <c r="V177" i="1"/>
  <c r="Y177" i="1" s="1"/>
  <c r="V145" i="1"/>
  <c r="V112" i="1"/>
  <c r="Y112" i="1" s="1"/>
  <c r="V85" i="1"/>
  <c r="Y85" i="1" s="1"/>
  <c r="U15" i="1"/>
  <c r="Y15" i="1" s="1"/>
  <c r="V273" i="1"/>
  <c r="Y273" i="1" s="1"/>
  <c r="V240" i="1"/>
  <c r="V208" i="1"/>
  <c r="Y208" i="1" s="1"/>
  <c r="V176" i="1"/>
  <c r="Y176" i="1" s="1"/>
  <c r="V144" i="1"/>
  <c r="V111" i="1"/>
  <c r="Y111" i="1" s="1"/>
  <c r="U295" i="1"/>
  <c r="U263" i="1"/>
  <c r="Y263" i="1" s="1"/>
  <c r="U230" i="1"/>
  <c r="Y230" i="1" s="1"/>
  <c r="U198" i="1"/>
  <c r="U166" i="1"/>
  <c r="Y166" i="1" s="1"/>
  <c r="U134" i="1"/>
  <c r="Y134" i="1" s="1"/>
  <c r="U108" i="1"/>
  <c r="U62" i="1"/>
  <c r="Y62" i="1" s="1"/>
  <c r="V298" i="1"/>
  <c r="Y298" i="1" s="1"/>
  <c r="V266" i="1"/>
  <c r="Y266" i="1" s="1"/>
  <c r="V233" i="1"/>
  <c r="Y233" i="1" s="1"/>
  <c r="V201" i="1"/>
  <c r="Y201" i="1" s="1"/>
  <c r="V169" i="1"/>
  <c r="Y169" i="1" s="1"/>
  <c r="V137" i="1"/>
  <c r="Y137" i="1" s="1"/>
  <c r="V104" i="1"/>
  <c r="Y104" i="1" s="1"/>
  <c r="V65" i="1"/>
  <c r="U302" i="1"/>
  <c r="Y302" i="1" s="1"/>
  <c r="U294" i="1"/>
  <c r="Y294" i="1" s="1"/>
  <c r="AB294" i="1" s="1"/>
  <c r="U286" i="1"/>
  <c r="Y286" i="1" s="1"/>
  <c r="U278" i="1"/>
  <c r="Y278" i="1" s="1"/>
  <c r="U270" i="1"/>
  <c r="U262" i="1"/>
  <c r="U253" i="1"/>
  <c r="Y253" i="1" s="1"/>
  <c r="U245" i="1"/>
  <c r="Y245" i="1" s="1"/>
  <c r="U237" i="1"/>
  <c r="Y237" i="1" s="1"/>
  <c r="U229" i="1"/>
  <c r="Y229" i="1" s="1"/>
  <c r="U221" i="1"/>
  <c r="Y221" i="1" s="1"/>
  <c r="U213" i="1"/>
  <c r="Y213" i="1" s="1"/>
  <c r="U205" i="1"/>
  <c r="U197" i="1"/>
  <c r="Y197" i="1" s="1"/>
  <c r="U189" i="1"/>
  <c r="U181" i="1"/>
  <c r="Y181" i="1" s="1"/>
  <c r="U173" i="1"/>
  <c r="Y173" i="1" s="1"/>
  <c r="U165" i="1"/>
  <c r="Y165" i="1" s="1"/>
  <c r="U157" i="1"/>
  <c r="Y157" i="1" s="1"/>
  <c r="U149" i="1"/>
  <c r="Y149" i="1" s="1"/>
  <c r="U141" i="1"/>
  <c r="U133" i="1"/>
  <c r="Y133" i="1" s="1"/>
  <c r="U124" i="1"/>
  <c r="Y124" i="1" s="1"/>
  <c r="V67" i="1"/>
  <c r="Y67" i="1" s="1"/>
  <c r="V58" i="1"/>
  <c r="Y58" i="1" s="1"/>
  <c r="V3" i="1"/>
  <c r="Y3" i="1" s="1"/>
  <c r="U301" i="1"/>
  <c r="Y301" i="1" s="1"/>
  <c r="U293" i="1"/>
  <c r="Y293" i="1" s="1"/>
  <c r="U285" i="1"/>
  <c r="Y285" i="1" s="1"/>
  <c r="U277" i="1"/>
  <c r="Y277" i="1" s="1"/>
  <c r="U269" i="1"/>
  <c r="Y269" i="1" s="1"/>
  <c r="U260" i="1"/>
  <c r="Y260" i="1" s="1"/>
  <c r="U252" i="1"/>
  <c r="Y252" i="1" s="1"/>
  <c r="U244" i="1"/>
  <c r="Y244" i="1" s="1"/>
  <c r="U236" i="1"/>
  <c r="Y236" i="1" s="1"/>
  <c r="U228" i="1"/>
  <c r="Y228" i="1" s="1"/>
  <c r="U220" i="1"/>
  <c r="Y220" i="1" s="1"/>
  <c r="U212" i="1"/>
  <c r="Y212" i="1" s="1"/>
  <c r="U204" i="1"/>
  <c r="U196" i="1"/>
  <c r="Y196" i="1" s="1"/>
  <c r="U188" i="1"/>
  <c r="Y188" i="1" s="1"/>
  <c r="U180" i="1"/>
  <c r="Y180" i="1" s="1"/>
  <c r="U172" i="1"/>
  <c r="Y172" i="1" s="1"/>
  <c r="U164" i="1"/>
  <c r="Y164" i="1" s="1"/>
  <c r="U156" i="1"/>
  <c r="Y156" i="1" s="1"/>
  <c r="U148" i="1"/>
  <c r="Y148" i="1" s="1"/>
  <c r="U140" i="1"/>
  <c r="Y140" i="1" s="1"/>
  <c r="U131" i="1"/>
  <c r="Y131" i="1" s="1"/>
  <c r="U115" i="1"/>
  <c r="Y115" i="1" s="1"/>
  <c r="U107" i="1"/>
  <c r="Y107" i="1" s="1"/>
  <c r="U99" i="1"/>
  <c r="Y99" i="1" s="1"/>
  <c r="U91" i="1"/>
  <c r="Y91" i="1" s="1"/>
  <c r="U83" i="1"/>
  <c r="Y83" i="1" s="1"/>
  <c r="U75" i="1"/>
  <c r="Y75" i="1" s="1"/>
  <c r="U51" i="1"/>
  <c r="Y51" i="1" s="1"/>
  <c r="U43" i="1"/>
  <c r="Y43" i="1" s="1"/>
  <c r="U35" i="1"/>
  <c r="Y35" i="1" s="1"/>
  <c r="U27" i="1"/>
  <c r="Y27" i="1" s="1"/>
  <c r="U19" i="1"/>
  <c r="Y19" i="1" s="1"/>
  <c r="U11" i="1"/>
  <c r="V66" i="1"/>
  <c r="Y66" i="1" s="1"/>
  <c r="V56" i="1"/>
  <c r="Y56" i="1" s="1"/>
  <c r="V47" i="1"/>
  <c r="Y47" i="1" s="1"/>
  <c r="U300" i="1"/>
  <c r="Y300" i="1" s="1"/>
  <c r="U292" i="1"/>
  <c r="Y292" i="1" s="1"/>
  <c r="U284" i="1"/>
  <c r="Y284" i="1" s="1"/>
  <c r="U276" i="1"/>
  <c r="Y276" i="1" s="1"/>
  <c r="U268" i="1"/>
  <c r="AC268" i="1" s="1"/>
  <c r="U259" i="1"/>
  <c r="Y259" i="1" s="1"/>
  <c r="U251" i="1"/>
  <c r="Y251" i="1" s="1"/>
  <c r="U243" i="1"/>
  <c r="Y243" i="1" s="1"/>
  <c r="U235" i="1"/>
  <c r="Y235" i="1" s="1"/>
  <c r="U227" i="1"/>
  <c r="Y227" i="1" s="1"/>
  <c r="U219" i="1"/>
  <c r="Y219" i="1" s="1"/>
  <c r="U211" i="1"/>
  <c r="Y211" i="1" s="1"/>
  <c r="U203" i="1"/>
  <c r="Y203" i="1" s="1"/>
  <c r="U195" i="1"/>
  <c r="Y195" i="1" s="1"/>
  <c r="U187" i="1"/>
  <c r="Y187" i="1" s="1"/>
  <c r="U179" i="1"/>
  <c r="Y179" i="1" s="1"/>
  <c r="U171" i="1"/>
  <c r="Y171" i="1" s="1"/>
  <c r="U163" i="1"/>
  <c r="Y163" i="1" s="1"/>
  <c r="U155" i="1"/>
  <c r="Y155" i="1" s="1"/>
  <c r="U147" i="1"/>
  <c r="Y147" i="1" s="1"/>
  <c r="U139" i="1"/>
  <c r="Y139" i="1" s="1"/>
  <c r="U130" i="1"/>
  <c r="U122" i="1"/>
  <c r="Y122" i="1" s="1"/>
  <c r="U114" i="1"/>
  <c r="Y114" i="1" s="1"/>
  <c r="U106" i="1"/>
  <c r="Y106" i="1" s="1"/>
  <c r="U90" i="1"/>
  <c r="Y90" i="1" s="1"/>
  <c r="U82" i="1"/>
  <c r="Y82" i="1" s="1"/>
  <c r="U74" i="1"/>
  <c r="Y74" i="1" s="1"/>
  <c r="U50" i="1"/>
  <c r="Y50" i="1" s="1"/>
  <c r="U34" i="1"/>
  <c r="U26" i="1"/>
  <c r="Y26" i="1" s="1"/>
  <c r="U18" i="1"/>
  <c r="Y18" i="1" s="1"/>
  <c r="U10" i="1"/>
  <c r="Y10" i="1" s="1"/>
  <c r="V92" i="1"/>
  <c r="Y92" i="1" s="1"/>
  <c r="V64" i="1"/>
  <c r="Y64" i="1" s="1"/>
  <c r="V55" i="1"/>
  <c r="Y55" i="1" s="1"/>
  <c r="U299" i="1"/>
  <c r="Y299" i="1" s="1"/>
  <c r="U291" i="1"/>
  <c r="Y291" i="1" s="1"/>
  <c r="U283" i="1"/>
  <c r="Y283" i="1" s="1"/>
  <c r="U275" i="1"/>
  <c r="Y275" i="1" s="1"/>
  <c r="U267" i="1"/>
  <c r="Y267" i="1" s="1"/>
  <c r="U258" i="1"/>
  <c r="Y258" i="1" s="1"/>
  <c r="U250" i="1"/>
  <c r="Y250" i="1" s="1"/>
  <c r="U242" i="1"/>
  <c r="Y242" i="1" s="1"/>
  <c r="U234" i="1"/>
  <c r="U226" i="1"/>
  <c r="Y226" i="1" s="1"/>
  <c r="U218" i="1"/>
  <c r="Y218" i="1" s="1"/>
  <c r="U210" i="1"/>
  <c r="U202" i="1"/>
  <c r="U194" i="1"/>
  <c r="U186" i="1"/>
  <c r="U178" i="1"/>
  <c r="Y178" i="1" s="1"/>
  <c r="U170" i="1"/>
  <c r="U162" i="1"/>
  <c r="Y162" i="1" s="1"/>
  <c r="U154" i="1"/>
  <c r="Y154" i="1" s="1"/>
  <c r="U146" i="1"/>
  <c r="Y146" i="1" s="1"/>
  <c r="U138" i="1"/>
  <c r="Y138" i="1" s="1"/>
  <c r="U129" i="1"/>
  <c r="Y129" i="1" s="1"/>
  <c r="U121" i="1"/>
  <c r="Y121" i="1" s="1"/>
  <c r="U113" i="1"/>
  <c r="Y113" i="1" s="1"/>
  <c r="U105" i="1"/>
  <c r="Y105" i="1" s="1"/>
  <c r="U97" i="1"/>
  <c r="Y97" i="1" s="1"/>
  <c r="U89" i="1"/>
  <c r="Y89" i="1" s="1"/>
  <c r="U81" i="1"/>
  <c r="U73" i="1"/>
  <c r="Y73" i="1" s="1"/>
  <c r="U65" i="1"/>
  <c r="U57" i="1"/>
  <c r="Y57" i="1" s="1"/>
  <c r="U49" i="1"/>
  <c r="Y49" i="1" s="1"/>
  <c r="U41" i="1"/>
  <c r="Y41" i="1" s="1"/>
  <c r="U33" i="1"/>
  <c r="Y33" i="1" s="1"/>
  <c r="U25" i="1"/>
  <c r="Y25" i="1" s="1"/>
  <c r="U17" i="1"/>
  <c r="Y17" i="1" s="1"/>
  <c r="U9" i="1"/>
  <c r="Y9" i="1" s="1"/>
  <c r="V204" i="1"/>
  <c r="V123" i="1"/>
  <c r="Y123" i="1" s="1"/>
  <c r="U161" i="1"/>
  <c r="Y161" i="1" s="1"/>
  <c r="U96" i="1"/>
  <c r="Y96" i="1" s="1"/>
  <c r="U88" i="1"/>
  <c r="Y88" i="1" s="1"/>
  <c r="U80" i="1"/>
  <c r="Y80" i="1" s="1"/>
  <c r="V98" i="1"/>
  <c r="Y98" i="1" s="1"/>
  <c r="V71" i="1"/>
  <c r="Y71" i="1" s="1"/>
  <c r="V59" i="1"/>
  <c r="Y59" i="1" s="1"/>
  <c r="U79" i="1"/>
  <c r="Y79" i="1" s="1"/>
  <c r="V210" i="1"/>
  <c r="V194" i="1"/>
  <c r="AF290" i="1"/>
  <c r="AF177" i="1"/>
  <c r="AI177" i="1" s="1"/>
  <c r="AF161" i="1"/>
  <c r="AI161" i="1" s="1"/>
  <c r="AF96" i="1"/>
  <c r="AI96" i="1" s="1"/>
  <c r="AE290" i="1"/>
  <c r="AF120" i="1"/>
  <c r="AF274" i="1"/>
  <c r="AI274" i="1" s="1"/>
  <c r="AF249" i="1"/>
  <c r="AI249" i="1" s="1"/>
  <c r="AE208" i="1"/>
  <c r="AI208" i="1" s="1"/>
  <c r="AF169" i="1"/>
  <c r="AI169" i="1" s="1"/>
  <c r="AE104" i="1"/>
  <c r="AI104" i="1" s="1"/>
  <c r="AF298" i="1"/>
  <c r="AI298" i="1" s="1"/>
  <c r="AF288" i="1"/>
  <c r="AI288" i="1" s="1"/>
  <c r="AF281" i="1"/>
  <c r="AI281" i="1" s="1"/>
  <c r="AF266" i="1"/>
  <c r="AI266" i="1" s="1"/>
  <c r="AF246" i="1"/>
  <c r="AI246" i="1" s="1"/>
  <c r="AF215" i="1"/>
  <c r="AI215" i="1" s="1"/>
  <c r="AE185" i="1"/>
  <c r="AI185" i="1" s="1"/>
  <c r="AE175" i="1"/>
  <c r="AI175" i="1" s="1"/>
  <c r="AE158" i="1"/>
  <c r="AI158" i="1" s="1"/>
  <c r="AF144" i="1"/>
  <c r="AI144" i="1" s="1"/>
  <c r="AF128" i="1"/>
  <c r="AI128" i="1" s="1"/>
  <c r="AF112" i="1"/>
  <c r="AI112" i="1" s="1"/>
  <c r="AE295" i="1"/>
  <c r="AI295" i="1" s="1"/>
  <c r="AF282" i="1"/>
  <c r="AI282" i="1" s="1"/>
  <c r="AF275" i="1"/>
  <c r="AI275" i="1" s="1"/>
  <c r="AF233" i="1"/>
  <c r="AI233" i="1" s="1"/>
  <c r="AF223" i="1"/>
  <c r="AI223" i="1" s="1"/>
  <c r="AF209" i="1"/>
  <c r="AI209" i="1" s="1"/>
  <c r="AE182" i="1"/>
  <c r="AI182" i="1" s="1"/>
  <c r="AF166" i="1"/>
  <c r="AI166" i="1" s="1"/>
  <c r="AF159" i="1"/>
  <c r="AI159" i="1" s="1"/>
  <c r="AF109" i="1"/>
  <c r="AI109" i="1" s="1"/>
  <c r="AE105" i="1"/>
  <c r="AI105" i="1" s="1"/>
  <c r="AF72" i="1"/>
  <c r="AI72" i="1" s="1"/>
  <c r="AE302" i="1"/>
  <c r="AI302" i="1" s="1"/>
  <c r="AF260" i="1"/>
  <c r="AI260" i="1" s="1"/>
  <c r="AF257" i="1"/>
  <c r="AI257" i="1" s="1"/>
  <c r="AF254" i="1"/>
  <c r="AI254" i="1" s="1"/>
  <c r="AF230" i="1"/>
  <c r="AI230" i="1" s="1"/>
  <c r="AF216" i="1"/>
  <c r="AI216" i="1" s="1"/>
  <c r="AE201" i="1"/>
  <c r="AI201" i="1" s="1"/>
  <c r="AF190" i="1"/>
  <c r="AI190" i="1" s="1"/>
  <c r="AE145" i="1"/>
  <c r="AE129" i="1"/>
  <c r="AI129" i="1" s="1"/>
  <c r="AE91" i="1"/>
  <c r="AI91" i="1" s="1"/>
  <c r="AE50" i="1"/>
  <c r="AF50" i="1"/>
  <c r="AE34" i="1"/>
  <c r="AF34" i="1"/>
  <c r="AE49" i="1"/>
  <c r="AF49" i="1"/>
  <c r="AE17" i="1"/>
  <c r="AF17" i="1"/>
  <c r="AE259" i="1"/>
  <c r="AI259" i="1" s="1"/>
  <c r="AE90" i="1"/>
  <c r="AE89" i="1"/>
  <c r="AI89" i="1" s="1"/>
  <c r="AF296" i="1"/>
  <c r="AI296" i="1" s="1"/>
  <c r="AF289" i="1"/>
  <c r="AI289" i="1" s="1"/>
  <c r="AF283" i="1"/>
  <c r="AI283" i="1" s="1"/>
  <c r="AF276" i="1"/>
  <c r="AI276" i="1" s="1"/>
  <c r="AE268" i="1"/>
  <c r="AI268" i="1" s="1"/>
  <c r="AF262" i="1"/>
  <c r="AI262" i="1" s="1"/>
  <c r="AF255" i="1"/>
  <c r="AI255" i="1" s="1"/>
  <c r="AF247" i="1"/>
  <c r="AI247" i="1" s="1"/>
  <c r="AE239" i="1"/>
  <c r="AI239" i="1" s="1"/>
  <c r="AF231" i="1"/>
  <c r="AI231" i="1" s="1"/>
  <c r="AF224" i="1"/>
  <c r="AF218" i="1"/>
  <c r="AI218" i="1" s="1"/>
  <c r="AF202" i="1"/>
  <c r="AF197" i="1"/>
  <c r="AI197" i="1" s="1"/>
  <c r="AF191" i="1"/>
  <c r="AI191" i="1" s="1"/>
  <c r="AF184" i="1"/>
  <c r="AI184" i="1" s="1"/>
  <c r="AF176" i="1"/>
  <c r="AI176" i="1" s="1"/>
  <c r="AF168" i="1"/>
  <c r="AI168" i="1" s="1"/>
  <c r="AF162" i="1"/>
  <c r="AI162" i="1" s="1"/>
  <c r="AE160" i="1"/>
  <c r="AI160" i="1" s="1"/>
  <c r="AE154" i="1"/>
  <c r="AI154" i="1" s="1"/>
  <c r="AE152" i="1"/>
  <c r="AI152" i="1" s="1"/>
  <c r="AE151" i="1"/>
  <c r="AI151" i="1" s="1"/>
  <c r="AF138" i="1"/>
  <c r="AI138" i="1" s="1"/>
  <c r="AF133" i="1"/>
  <c r="AI133" i="1" s="1"/>
  <c r="AF117" i="1"/>
  <c r="AI117" i="1" s="1"/>
  <c r="AF116" i="1"/>
  <c r="AF110" i="1"/>
  <c r="AI110" i="1" s="1"/>
  <c r="AF102" i="1"/>
  <c r="AI102" i="1" s="1"/>
  <c r="AF93" i="1"/>
  <c r="AI93" i="1" s="1"/>
  <c r="AE83" i="1"/>
  <c r="AI83" i="1" s="1"/>
  <c r="AF76" i="1"/>
  <c r="AI76" i="1" s="1"/>
  <c r="AE42" i="1"/>
  <c r="AF42" i="1"/>
  <c r="AE106" i="1"/>
  <c r="AI106" i="1" s="1"/>
  <c r="AF90" i="1"/>
  <c r="AF74" i="1"/>
  <c r="AI74" i="1" s="1"/>
  <c r="AE57" i="1"/>
  <c r="AF57" i="1"/>
  <c r="AE9" i="1"/>
  <c r="AF9" i="1"/>
  <c r="AE195" i="1"/>
  <c r="AI195" i="1" s="1"/>
  <c r="AE63" i="1"/>
  <c r="AF63" i="1"/>
  <c r="AE55" i="1"/>
  <c r="AF55" i="1"/>
  <c r="AE47" i="1"/>
  <c r="AF47" i="1"/>
  <c r="AE39" i="1"/>
  <c r="AF39" i="1"/>
  <c r="AE31" i="1"/>
  <c r="AF31" i="1"/>
  <c r="AE23" i="1"/>
  <c r="AF23" i="1"/>
  <c r="AE15" i="1"/>
  <c r="AF15" i="1"/>
  <c r="AE7" i="1"/>
  <c r="AF7" i="1"/>
  <c r="AF297" i="1"/>
  <c r="AI297" i="1" s="1"/>
  <c r="AF291" i="1"/>
  <c r="AI291" i="1" s="1"/>
  <c r="AF284" i="1"/>
  <c r="AI284" i="1" s="1"/>
  <c r="AF270" i="1"/>
  <c r="AI270" i="1" s="1"/>
  <c r="AF269" i="1"/>
  <c r="AI269" i="1" s="1"/>
  <c r="AF263" i="1"/>
  <c r="AI263" i="1" s="1"/>
  <c r="AF240" i="1"/>
  <c r="AI240" i="1" s="1"/>
  <c r="AF232" i="1"/>
  <c r="AI232" i="1" s="1"/>
  <c r="AF226" i="1"/>
  <c r="AI226" i="1" s="1"/>
  <c r="AE224" i="1"/>
  <c r="AE210" i="1"/>
  <c r="AI210" i="1" s="1"/>
  <c r="AF204" i="1"/>
  <c r="AI204" i="1" s="1"/>
  <c r="AF203" i="1"/>
  <c r="AE202" i="1"/>
  <c r="AF198" i="1"/>
  <c r="AI198" i="1" s="1"/>
  <c r="AF192" i="1"/>
  <c r="AI192" i="1" s="1"/>
  <c r="AF163" i="1"/>
  <c r="AI163" i="1" s="1"/>
  <c r="AF155" i="1"/>
  <c r="AI155" i="1" s="1"/>
  <c r="AF139" i="1"/>
  <c r="AI139" i="1" s="1"/>
  <c r="AF134" i="1"/>
  <c r="AI134" i="1" s="1"/>
  <c r="AF125" i="1"/>
  <c r="AI125" i="1" s="1"/>
  <c r="AE116" i="1"/>
  <c r="AF111" i="1"/>
  <c r="AI111" i="1" s="1"/>
  <c r="AF84" i="1"/>
  <c r="AI84" i="1" s="1"/>
  <c r="AF77" i="1"/>
  <c r="AI77" i="1" s="1"/>
  <c r="AE65" i="1"/>
  <c r="AI65" i="1" s="1"/>
  <c r="AE58" i="1"/>
  <c r="AF58" i="1"/>
  <c r="AE26" i="1"/>
  <c r="AF26" i="1"/>
  <c r="AE114" i="1"/>
  <c r="AI114" i="1" s="1"/>
  <c r="AE25" i="1"/>
  <c r="AF25" i="1"/>
  <c r="AE267" i="1"/>
  <c r="AI267" i="1" s="1"/>
  <c r="AE130" i="1"/>
  <c r="AI130" i="1" s="1"/>
  <c r="AE62" i="1"/>
  <c r="AF62" i="1"/>
  <c r="AE54" i="1"/>
  <c r="AF54" i="1"/>
  <c r="AE46" i="1"/>
  <c r="AF46" i="1"/>
  <c r="AE38" i="1"/>
  <c r="AF38" i="1"/>
  <c r="AE30" i="1"/>
  <c r="AF30" i="1"/>
  <c r="AE22" i="1"/>
  <c r="AF22" i="1"/>
  <c r="AE14" i="1"/>
  <c r="AF14" i="1"/>
  <c r="AE6" i="1"/>
  <c r="AF6" i="1"/>
  <c r="AF292" i="1"/>
  <c r="AI292" i="1" s="1"/>
  <c r="AE277" i="1"/>
  <c r="AI277" i="1" s="1"/>
  <c r="AF271" i="1"/>
  <c r="AI271" i="1" s="1"/>
  <c r="AF264" i="1"/>
  <c r="AI264" i="1" s="1"/>
  <c r="AF256" i="1"/>
  <c r="AI256" i="1" s="1"/>
  <c r="AE248" i="1"/>
  <c r="AI248" i="1" s="1"/>
  <c r="AF227" i="1"/>
  <c r="AI227" i="1" s="1"/>
  <c r="AF219" i="1"/>
  <c r="AI219" i="1" s="1"/>
  <c r="AF211" i="1"/>
  <c r="AI211" i="1" s="1"/>
  <c r="AF205" i="1"/>
  <c r="AI205" i="1" s="1"/>
  <c r="AE203" i="1"/>
  <c r="AF178" i="1"/>
  <c r="AI178" i="1" s="1"/>
  <c r="AF172" i="1"/>
  <c r="AI172" i="1" s="1"/>
  <c r="AF171" i="1"/>
  <c r="AI171" i="1" s="1"/>
  <c r="AF170" i="1"/>
  <c r="AI170" i="1" s="1"/>
  <c r="AF140" i="1"/>
  <c r="AI140" i="1" s="1"/>
  <c r="AF119" i="1"/>
  <c r="AE118" i="1"/>
  <c r="AI118" i="1" s="1"/>
  <c r="AF103" i="1"/>
  <c r="AI103" i="1" s="1"/>
  <c r="AE94" i="1"/>
  <c r="AI94" i="1" s="1"/>
  <c r="AF85" i="1"/>
  <c r="AI85" i="1" s="1"/>
  <c r="AF78" i="1"/>
  <c r="AI78" i="1" s="1"/>
  <c r="AE70" i="1"/>
  <c r="AI70" i="1" s="1"/>
  <c r="AF66" i="1"/>
  <c r="AI66" i="1" s="1"/>
  <c r="AE10" i="1"/>
  <c r="AF10" i="1"/>
  <c r="AE33" i="1"/>
  <c r="AF33" i="1"/>
  <c r="AE69" i="1"/>
  <c r="AF69" i="1"/>
  <c r="AE61" i="1"/>
  <c r="AF61" i="1"/>
  <c r="AE53" i="1"/>
  <c r="AF53" i="1"/>
  <c r="AE45" i="1"/>
  <c r="AF45" i="1"/>
  <c r="AE37" i="1"/>
  <c r="AF37" i="1"/>
  <c r="AE29" i="1"/>
  <c r="AF29" i="1"/>
  <c r="AE21" i="1"/>
  <c r="AF21" i="1"/>
  <c r="AE13" i="1"/>
  <c r="AF13" i="1"/>
  <c r="AE5" i="1"/>
  <c r="AF5" i="1"/>
  <c r="AF299" i="1"/>
  <c r="AI299" i="1" s="1"/>
  <c r="AF293" i="1"/>
  <c r="AI293" i="1" s="1"/>
  <c r="AF285" i="1"/>
  <c r="AI285" i="1" s="1"/>
  <c r="AF278" i="1"/>
  <c r="AI278" i="1" s="1"/>
  <c r="AF272" i="1"/>
  <c r="AI272" i="1" s="1"/>
  <c r="AF265" i="1"/>
  <c r="AI265" i="1" s="1"/>
  <c r="AF250" i="1"/>
  <c r="AI250" i="1" s="1"/>
  <c r="AF242" i="1"/>
  <c r="AI242" i="1" s="1"/>
  <c r="AF236" i="1"/>
  <c r="AI236" i="1" s="1"/>
  <c r="AF235" i="1"/>
  <c r="AI235" i="1" s="1"/>
  <c r="AF234" i="1"/>
  <c r="AI234" i="1" s="1"/>
  <c r="AF212" i="1"/>
  <c r="AI212" i="1" s="1"/>
  <c r="AF206" i="1"/>
  <c r="AI206" i="1" s="1"/>
  <c r="AF199" i="1"/>
  <c r="AI199" i="1" s="1"/>
  <c r="AE186" i="1"/>
  <c r="AI186" i="1" s="1"/>
  <c r="AF179" i="1"/>
  <c r="AI179" i="1" s="1"/>
  <c r="AF173" i="1"/>
  <c r="AI173" i="1" s="1"/>
  <c r="AF164" i="1"/>
  <c r="AI164" i="1" s="1"/>
  <c r="AE156" i="1"/>
  <c r="AI156" i="1" s="1"/>
  <c r="AF146" i="1"/>
  <c r="AI146" i="1" s="1"/>
  <c r="AF141" i="1"/>
  <c r="AI141" i="1" s="1"/>
  <c r="AF135" i="1"/>
  <c r="AI135" i="1" s="1"/>
  <c r="AE126" i="1"/>
  <c r="AI126" i="1" s="1"/>
  <c r="AE119" i="1"/>
  <c r="AF97" i="1"/>
  <c r="AI97" i="1" s="1"/>
  <c r="AF95" i="1"/>
  <c r="AI95" i="1" s="1"/>
  <c r="AF86" i="1"/>
  <c r="AI86" i="1" s="1"/>
  <c r="AF71" i="1"/>
  <c r="AI71" i="1" s="1"/>
  <c r="AF67" i="1"/>
  <c r="AI67" i="1" s="1"/>
  <c r="AE41" i="1"/>
  <c r="AF41" i="1"/>
  <c r="AE60" i="1"/>
  <c r="AF60" i="1"/>
  <c r="AE52" i="1"/>
  <c r="AF52" i="1"/>
  <c r="AE44" i="1"/>
  <c r="AF44" i="1"/>
  <c r="AE36" i="1"/>
  <c r="AF36" i="1"/>
  <c r="AE28" i="1"/>
  <c r="AF28" i="1"/>
  <c r="AE20" i="1"/>
  <c r="AF20" i="1"/>
  <c r="AE12" i="1"/>
  <c r="AF12" i="1"/>
  <c r="AF4" i="1"/>
  <c r="AE4" i="1"/>
  <c r="AF300" i="1"/>
  <c r="AI300" i="1" s="1"/>
  <c r="AF279" i="1"/>
  <c r="AI279" i="1" s="1"/>
  <c r="AF273" i="1"/>
  <c r="AI273" i="1" s="1"/>
  <c r="AF251" i="1"/>
  <c r="AI251" i="1" s="1"/>
  <c r="AF243" i="1"/>
  <c r="AI243" i="1" s="1"/>
  <c r="AF237" i="1"/>
  <c r="AI237" i="1" s="1"/>
  <c r="AF228" i="1"/>
  <c r="AI228" i="1" s="1"/>
  <c r="AE220" i="1"/>
  <c r="AI220" i="1" s="1"/>
  <c r="AF213" i="1"/>
  <c r="AF207" i="1"/>
  <c r="AI207" i="1" s="1"/>
  <c r="AF187" i="1"/>
  <c r="AI187" i="1" s="1"/>
  <c r="AF180" i="1"/>
  <c r="AI180" i="1" s="1"/>
  <c r="AF157" i="1"/>
  <c r="AI157" i="1" s="1"/>
  <c r="AF147" i="1"/>
  <c r="AI147" i="1" s="1"/>
  <c r="AF142" i="1"/>
  <c r="AI142" i="1" s="1"/>
  <c r="AF127" i="1"/>
  <c r="AI127" i="1" s="1"/>
  <c r="AF121" i="1"/>
  <c r="AI121" i="1" s="1"/>
  <c r="AF113" i="1"/>
  <c r="AI113" i="1" s="1"/>
  <c r="AF98" i="1"/>
  <c r="AI98" i="1" s="1"/>
  <c r="AF87" i="1"/>
  <c r="AI87" i="1" s="1"/>
  <c r="AF81" i="1"/>
  <c r="AI81" i="1" s="1"/>
  <c r="AF79" i="1"/>
  <c r="AI79" i="1" s="1"/>
  <c r="AE18" i="1"/>
  <c r="AF18" i="1"/>
  <c r="AE122" i="1"/>
  <c r="AI122" i="1" s="1"/>
  <c r="AF82" i="1"/>
  <c r="AI82" i="1" s="1"/>
  <c r="AF59" i="1"/>
  <c r="AE59" i="1"/>
  <c r="AF51" i="1"/>
  <c r="AE51" i="1"/>
  <c r="AF43" i="1"/>
  <c r="AE43" i="1"/>
  <c r="AF35" i="1"/>
  <c r="AE35" i="1"/>
  <c r="AF27" i="1"/>
  <c r="AE27" i="1"/>
  <c r="AF19" i="1"/>
  <c r="AE19" i="1"/>
  <c r="AF11" i="1"/>
  <c r="AE11" i="1"/>
  <c r="AE3" i="1"/>
  <c r="AF3" i="1"/>
  <c r="AF294" i="1"/>
  <c r="AI294" i="1" s="1"/>
  <c r="AE286" i="1"/>
  <c r="AI286" i="1" s="1"/>
  <c r="AF280" i="1"/>
  <c r="AI280" i="1" s="1"/>
  <c r="AE258" i="1"/>
  <c r="AI258" i="1" s="1"/>
  <c r="AE213" i="1"/>
  <c r="AF200" i="1"/>
  <c r="AI200" i="1" s="1"/>
  <c r="AE194" i="1"/>
  <c r="AI194" i="1" s="1"/>
  <c r="AF174" i="1"/>
  <c r="AI174" i="1" s="1"/>
  <c r="AE165" i="1"/>
  <c r="AI165" i="1" s="1"/>
  <c r="AE136" i="1"/>
  <c r="AI136" i="1" s="1"/>
  <c r="AF73" i="1"/>
  <c r="AI73" i="1" s="1"/>
  <c r="AF68" i="1"/>
  <c r="AI68" i="1" s="1"/>
  <c r="AF56" i="1"/>
  <c r="AI56" i="1" s="1"/>
  <c r="AF48" i="1"/>
  <c r="AI48" i="1" s="1"/>
  <c r="AF40" i="1"/>
  <c r="AI40" i="1" s="1"/>
  <c r="AF32" i="1"/>
  <c r="AI32" i="1" s="1"/>
  <c r="AF24" i="1"/>
  <c r="AI24" i="1" s="1"/>
  <c r="AF16" i="1"/>
  <c r="AI16" i="1" s="1"/>
  <c r="AF8" i="1"/>
  <c r="AI8" i="1" s="1"/>
  <c r="AF64" i="1"/>
  <c r="AI64" i="1" s="1"/>
  <c r="AF2" i="1"/>
  <c r="AI2" i="1" s="1"/>
  <c r="K51" i="1"/>
  <c r="L59" i="1"/>
  <c r="L15" i="1"/>
  <c r="O15" i="1" s="1"/>
  <c r="L6" i="1"/>
  <c r="K115" i="1"/>
  <c r="K74" i="1"/>
  <c r="O74" i="1" s="1"/>
  <c r="K18" i="1"/>
  <c r="L88" i="1"/>
  <c r="K72" i="1"/>
  <c r="K8" i="1"/>
  <c r="L86" i="1"/>
  <c r="O86" i="1" s="1"/>
  <c r="L14" i="1"/>
  <c r="K62" i="1"/>
  <c r="L199" i="1"/>
  <c r="O199" i="1" s="1"/>
  <c r="L70" i="1"/>
  <c r="L13" i="1"/>
  <c r="K54" i="1"/>
  <c r="L161" i="1"/>
  <c r="L143" i="1"/>
  <c r="O143" i="1" s="1"/>
  <c r="L58" i="1"/>
  <c r="K46" i="1"/>
  <c r="L136" i="1"/>
  <c r="L42" i="1"/>
  <c r="O42" i="1" s="1"/>
  <c r="K139" i="1"/>
  <c r="K34" i="1"/>
  <c r="L135" i="1"/>
  <c r="L40" i="1"/>
  <c r="O40" i="1" s="1"/>
  <c r="K29" i="1"/>
  <c r="L98" i="1"/>
  <c r="O98" i="1" s="1"/>
  <c r="L24" i="1"/>
  <c r="R24" i="1" s="1"/>
  <c r="S24" i="1" s="1"/>
  <c r="K300" i="1"/>
  <c r="K277" i="1"/>
  <c r="K253" i="1"/>
  <c r="K235" i="1"/>
  <c r="O235" i="1" s="1"/>
  <c r="K212" i="1"/>
  <c r="O212" i="1" s="1"/>
  <c r="K189" i="1"/>
  <c r="K171" i="1"/>
  <c r="K148" i="1"/>
  <c r="K124" i="1"/>
  <c r="K106" i="1"/>
  <c r="K83" i="1"/>
  <c r="K56" i="1"/>
  <c r="K43" i="1"/>
  <c r="O43" i="1" s="1"/>
  <c r="K26" i="1"/>
  <c r="L302" i="1"/>
  <c r="L255" i="1"/>
  <c r="O255" i="1" s="1"/>
  <c r="L228" i="1"/>
  <c r="L191" i="1"/>
  <c r="O191" i="1" s="1"/>
  <c r="L164" i="1"/>
  <c r="L126" i="1"/>
  <c r="L107" i="1"/>
  <c r="O107" i="1" s="1"/>
  <c r="L84" i="1"/>
  <c r="L68" i="1"/>
  <c r="L50" i="1"/>
  <c r="O50" i="1" s="1"/>
  <c r="L22" i="1"/>
  <c r="K294" i="1"/>
  <c r="K276" i="1"/>
  <c r="K252" i="1"/>
  <c r="K229" i="1"/>
  <c r="O229" i="1" s="1"/>
  <c r="K211" i="1"/>
  <c r="K188" i="1"/>
  <c r="K165" i="1"/>
  <c r="K147" i="1"/>
  <c r="O147" i="1" s="1"/>
  <c r="K123" i="1"/>
  <c r="O123" i="1" s="1"/>
  <c r="K100" i="1"/>
  <c r="K82" i="1"/>
  <c r="K37" i="1"/>
  <c r="K20" i="1"/>
  <c r="L301" i="1"/>
  <c r="L254" i="1"/>
  <c r="O254" i="1" s="1"/>
  <c r="L225" i="1"/>
  <c r="O225" i="1" s="1"/>
  <c r="L190" i="1"/>
  <c r="O190" i="1" s="1"/>
  <c r="L125" i="1"/>
  <c r="L79" i="1"/>
  <c r="L67" i="1"/>
  <c r="O67" i="1" s="1"/>
  <c r="L44" i="1"/>
  <c r="L21" i="1"/>
  <c r="L5" i="1"/>
  <c r="K293" i="1"/>
  <c r="K270" i="1"/>
  <c r="O270" i="1" s="1"/>
  <c r="K251" i="1"/>
  <c r="K205" i="1"/>
  <c r="K187" i="1"/>
  <c r="K141" i="1"/>
  <c r="K122" i="1"/>
  <c r="K99" i="1"/>
  <c r="K75" i="1"/>
  <c r="K53" i="1"/>
  <c r="O53" i="1" s="1"/>
  <c r="K36" i="1"/>
  <c r="K19" i="1"/>
  <c r="L209" i="1"/>
  <c r="L145" i="1"/>
  <c r="L104" i="1"/>
  <c r="L78" i="1"/>
  <c r="L61" i="1"/>
  <c r="O61" i="1" s="1"/>
  <c r="L4" i="1"/>
  <c r="O4" i="1" s="1"/>
  <c r="K292" i="1"/>
  <c r="K269" i="1"/>
  <c r="K245" i="1"/>
  <c r="O245" i="1" s="1"/>
  <c r="K227" i="1"/>
  <c r="K204" i="1"/>
  <c r="K181" i="1"/>
  <c r="O181" i="1" s="1"/>
  <c r="K163" i="1"/>
  <c r="O163" i="1" s="1"/>
  <c r="K140" i="1"/>
  <c r="K116" i="1"/>
  <c r="K52" i="1"/>
  <c r="K35" i="1"/>
  <c r="O35" i="1" s="1"/>
  <c r="L274" i="1"/>
  <c r="L246" i="1"/>
  <c r="L207" i="1"/>
  <c r="O207" i="1" s="1"/>
  <c r="L182" i="1"/>
  <c r="O182" i="1" s="1"/>
  <c r="L77" i="1"/>
  <c r="L60" i="1"/>
  <c r="L3" i="1"/>
  <c r="K286" i="1"/>
  <c r="O286" i="1" s="1"/>
  <c r="K268" i="1"/>
  <c r="S268" i="1" s="1"/>
  <c r="K244" i="1"/>
  <c r="K221" i="1"/>
  <c r="O221" i="1" s="1"/>
  <c r="K203" i="1"/>
  <c r="O203" i="1" s="1"/>
  <c r="K180" i="1"/>
  <c r="O180" i="1" s="1"/>
  <c r="K157" i="1"/>
  <c r="K92" i="1"/>
  <c r="K12" i="1"/>
  <c r="O12" i="1" s="1"/>
  <c r="L272" i="1"/>
  <c r="L200" i="1"/>
  <c r="L76" i="1"/>
  <c r="O76" i="1" s="1"/>
  <c r="K285" i="1"/>
  <c r="O285" i="1" s="1"/>
  <c r="K262" i="1"/>
  <c r="O262" i="1" s="1"/>
  <c r="K243" i="1"/>
  <c r="K220" i="1"/>
  <c r="K197" i="1"/>
  <c r="O197" i="1" s="1"/>
  <c r="K179" i="1"/>
  <c r="K156" i="1"/>
  <c r="K133" i="1"/>
  <c r="O133" i="1" s="1"/>
  <c r="K114" i="1"/>
  <c r="K91" i="1"/>
  <c r="K11" i="1"/>
  <c r="L265" i="1"/>
  <c r="K284" i="1"/>
  <c r="O284" i="1" s="1"/>
  <c r="K260" i="1"/>
  <c r="K237" i="1"/>
  <c r="K219" i="1"/>
  <c r="O219" i="1" s="1"/>
  <c r="K196" i="1"/>
  <c r="K173" i="1"/>
  <c r="K155" i="1"/>
  <c r="K131" i="1"/>
  <c r="K108" i="1"/>
  <c r="O108" i="1" s="1"/>
  <c r="K90" i="1"/>
  <c r="K45" i="1"/>
  <c r="K28" i="1"/>
  <c r="O28" i="1" s="1"/>
  <c r="K10" i="1"/>
  <c r="L264" i="1"/>
  <c r="L198" i="1"/>
  <c r="L134" i="1"/>
  <c r="K278" i="1"/>
  <c r="O278" i="1" s="1"/>
  <c r="K259" i="1"/>
  <c r="K236" i="1"/>
  <c r="O236" i="1" s="1"/>
  <c r="K213" i="1"/>
  <c r="O213" i="1" s="1"/>
  <c r="K195" i="1"/>
  <c r="K172" i="1"/>
  <c r="K149" i="1"/>
  <c r="K130" i="1"/>
  <c r="K27" i="1"/>
  <c r="O27" i="1" s="1"/>
  <c r="L263" i="1"/>
  <c r="L85" i="1"/>
  <c r="L69" i="1"/>
  <c r="O69" i="1" s="1"/>
  <c r="K73" i="1"/>
  <c r="O73" i="1" s="1"/>
  <c r="K64" i="1"/>
  <c r="K9" i="1"/>
  <c r="L291" i="1"/>
  <c r="L282" i="1"/>
  <c r="O282" i="1" s="1"/>
  <c r="L273" i="1"/>
  <c r="L226" i="1"/>
  <c r="L217" i="1"/>
  <c r="L208" i="1"/>
  <c r="L162" i="1"/>
  <c r="L153" i="1"/>
  <c r="L144" i="1"/>
  <c r="L96" i="1"/>
  <c r="O96" i="1" s="1"/>
  <c r="L87" i="1"/>
  <c r="L32" i="1"/>
  <c r="L23" i="1"/>
  <c r="K65" i="1"/>
  <c r="O65" i="1" s="1"/>
  <c r="L283" i="1"/>
  <c r="L218" i="1"/>
  <c r="K17" i="1"/>
  <c r="L299" i="1"/>
  <c r="O299" i="1" s="1"/>
  <c r="L281" i="1"/>
  <c r="L234" i="1"/>
  <c r="L216" i="1"/>
  <c r="L170" i="1"/>
  <c r="K275" i="1"/>
  <c r="K267" i="1"/>
  <c r="K258" i="1"/>
  <c r="K250" i="1"/>
  <c r="O250" i="1" s="1"/>
  <c r="K242" i="1"/>
  <c r="K210" i="1"/>
  <c r="K202" i="1"/>
  <c r="K194" i="1"/>
  <c r="O194" i="1" s="1"/>
  <c r="K186" i="1"/>
  <c r="K178" i="1"/>
  <c r="K154" i="1"/>
  <c r="K146" i="1"/>
  <c r="O146" i="1" s="1"/>
  <c r="K138" i="1"/>
  <c r="K129" i="1"/>
  <c r="K121" i="1"/>
  <c r="K113" i="1"/>
  <c r="K105" i="1"/>
  <c r="O105" i="1" s="1"/>
  <c r="K97" i="1"/>
  <c r="K89" i="1"/>
  <c r="K80" i="1"/>
  <c r="K25" i="1"/>
  <c r="K16" i="1"/>
  <c r="L298" i="1"/>
  <c r="O298" i="1" s="1"/>
  <c r="L289" i="1"/>
  <c r="L280" i="1"/>
  <c r="O280" i="1" s="1"/>
  <c r="L271" i="1"/>
  <c r="L233" i="1"/>
  <c r="L224" i="1"/>
  <c r="L215" i="1"/>
  <c r="L206" i="1"/>
  <c r="L169" i="1"/>
  <c r="O169" i="1" s="1"/>
  <c r="L160" i="1"/>
  <c r="L151" i="1"/>
  <c r="O151" i="1" s="1"/>
  <c r="L142" i="1"/>
  <c r="L112" i="1"/>
  <c r="L103" i="1"/>
  <c r="O103" i="1" s="1"/>
  <c r="L94" i="1"/>
  <c r="L48" i="1"/>
  <c r="L39" i="1"/>
  <c r="O39" i="1" s="1"/>
  <c r="L30" i="1"/>
  <c r="K290" i="1"/>
  <c r="K266" i="1"/>
  <c r="K257" i="1"/>
  <c r="K249" i="1"/>
  <c r="O249" i="1" s="1"/>
  <c r="K241" i="1"/>
  <c r="K201" i="1"/>
  <c r="K193" i="1"/>
  <c r="K185" i="1"/>
  <c r="K177" i="1"/>
  <c r="K137" i="1"/>
  <c r="K128" i="1"/>
  <c r="K120" i="1"/>
  <c r="K33" i="1"/>
  <c r="L297" i="1"/>
  <c r="L288" i="1"/>
  <c r="O288" i="1" s="1"/>
  <c r="L279" i="1"/>
  <c r="L232" i="1"/>
  <c r="L223" i="1"/>
  <c r="L214" i="1"/>
  <c r="L168" i="1"/>
  <c r="O168" i="1" s="1"/>
  <c r="L159" i="1"/>
  <c r="L150" i="1"/>
  <c r="L111" i="1"/>
  <c r="O111" i="1" s="1"/>
  <c r="L102" i="1"/>
  <c r="L93" i="1"/>
  <c r="L66" i="1"/>
  <c r="O66" i="1" s="1"/>
  <c r="L47" i="1"/>
  <c r="L38" i="1"/>
  <c r="K81" i="1"/>
  <c r="K256" i="1"/>
  <c r="K248" i="1"/>
  <c r="O248" i="1" s="1"/>
  <c r="K240" i="1"/>
  <c r="O240" i="1" s="1"/>
  <c r="K192" i="1"/>
  <c r="K184" i="1"/>
  <c r="K176" i="1"/>
  <c r="K152" i="1"/>
  <c r="O152" i="1" s="1"/>
  <c r="K127" i="1"/>
  <c r="K119" i="1"/>
  <c r="K95" i="1"/>
  <c r="K41" i="1"/>
  <c r="O41" i="1" s="1"/>
  <c r="L296" i="1"/>
  <c r="L287" i="1"/>
  <c r="L231" i="1"/>
  <c r="L222" i="1"/>
  <c r="O222" i="1" s="1"/>
  <c r="L167" i="1"/>
  <c r="L158" i="1"/>
  <c r="L110" i="1"/>
  <c r="O110" i="1" s="1"/>
  <c r="L101" i="1"/>
  <c r="L55" i="1"/>
  <c r="L31" i="1"/>
  <c r="K247" i="1"/>
  <c r="O247" i="1" s="1"/>
  <c r="K239" i="1"/>
  <c r="K183" i="1"/>
  <c r="K175" i="1"/>
  <c r="K118" i="1"/>
  <c r="O118" i="1" s="1"/>
  <c r="K49" i="1"/>
  <c r="L295" i="1"/>
  <c r="L230" i="1"/>
  <c r="L166" i="1"/>
  <c r="L109" i="1"/>
  <c r="O109" i="1" s="1"/>
  <c r="L63" i="1"/>
  <c r="K238" i="1"/>
  <c r="K174" i="1"/>
  <c r="O174" i="1" s="1"/>
  <c r="K117" i="1"/>
  <c r="O117" i="1" s="1"/>
  <c r="K57" i="1"/>
  <c r="L71" i="1"/>
  <c r="L7" i="1"/>
  <c r="EG2" i="1"/>
  <c r="EF2" i="1"/>
  <c r="DS2" i="1"/>
  <c r="DV2" i="1" s="1"/>
  <c r="DI2" i="1"/>
  <c r="DL2" i="1" s="1"/>
  <c r="CO2" i="1"/>
  <c r="CR2" i="1" s="1"/>
  <c r="CE2" i="1"/>
  <c r="CH2" i="1" s="1"/>
  <c r="BU2" i="1"/>
  <c r="BX2" i="1" s="1"/>
  <c r="BK2" i="1"/>
  <c r="BN2" i="1" s="1"/>
  <c r="BA2" i="1"/>
  <c r="BD2" i="1" s="1"/>
  <c r="AP2" i="1"/>
  <c r="AS2" i="1" s="1"/>
  <c r="V2" i="1"/>
  <c r="Y2" i="1" s="1"/>
  <c r="L2" i="1"/>
  <c r="O2" i="1" s="1"/>
  <c r="CH232" i="1" l="1"/>
  <c r="CH265" i="1"/>
  <c r="CH297" i="1"/>
  <c r="DL61" i="1"/>
  <c r="Y65" i="1"/>
  <c r="DV17" i="1"/>
  <c r="DV49" i="1"/>
  <c r="DV81" i="1"/>
  <c r="DV113" i="1"/>
  <c r="DV146" i="1"/>
  <c r="DV178" i="1"/>
  <c r="DV210" i="1"/>
  <c r="DV242" i="1"/>
  <c r="DV275" i="1"/>
  <c r="DV34" i="1"/>
  <c r="DV66" i="1"/>
  <c r="DV98" i="1"/>
  <c r="DV130" i="1"/>
  <c r="DV163" i="1"/>
  <c r="DV195" i="1"/>
  <c r="DV227" i="1"/>
  <c r="DV259" i="1"/>
  <c r="DV292" i="1"/>
  <c r="DL4" i="1"/>
  <c r="DL36" i="1"/>
  <c r="CR303" i="1"/>
  <c r="DL272" i="1"/>
  <c r="DL110" i="1"/>
  <c r="BD260" i="1"/>
  <c r="DL126" i="1"/>
  <c r="BN176" i="1"/>
  <c r="BN75" i="1"/>
  <c r="DL143" i="1"/>
  <c r="DL183" i="1"/>
  <c r="DB213" i="1"/>
  <c r="BN119" i="1"/>
  <c r="CH14" i="1"/>
  <c r="CH46" i="1"/>
  <c r="CH78" i="1"/>
  <c r="CH110" i="1"/>
  <c r="CH143" i="1"/>
  <c r="CH175" i="1"/>
  <c r="CH207" i="1"/>
  <c r="CH239" i="1"/>
  <c r="CK239" i="1" s="1"/>
  <c r="CL239" i="1" s="1"/>
  <c r="CH272" i="1"/>
  <c r="CH29" i="1"/>
  <c r="CH61" i="1"/>
  <c r="CH93" i="1"/>
  <c r="CH125" i="1"/>
  <c r="CH158" i="1"/>
  <c r="CH190" i="1"/>
  <c r="CH222" i="1"/>
  <c r="CH254" i="1"/>
  <c r="CH287" i="1"/>
  <c r="CH9" i="1"/>
  <c r="CH105" i="1"/>
  <c r="CH194" i="1"/>
  <c r="CH267" i="1"/>
  <c r="BX45" i="1"/>
  <c r="BX222" i="1"/>
  <c r="CA222" i="1" s="1"/>
  <c r="CB222" i="1" s="1"/>
  <c r="CR294" i="1"/>
  <c r="AI31" i="1"/>
  <c r="AI63" i="1"/>
  <c r="R130" i="1"/>
  <c r="S130" i="1" s="1"/>
  <c r="BD39" i="1"/>
  <c r="BD168" i="1"/>
  <c r="BD232" i="1"/>
  <c r="BD297" i="1"/>
  <c r="BD3" i="1"/>
  <c r="BD103" i="1"/>
  <c r="DL264" i="1"/>
  <c r="BD258" i="1"/>
  <c r="BG258" i="1" s="1"/>
  <c r="BH258" i="1" s="1"/>
  <c r="DL135" i="1"/>
  <c r="BD303" i="1"/>
  <c r="BD31" i="1"/>
  <c r="BD52" i="1"/>
  <c r="DL256" i="1"/>
  <c r="DL175" i="1"/>
  <c r="DO175" i="1" s="1"/>
  <c r="DP175" i="1" s="1"/>
  <c r="DL239" i="1"/>
  <c r="BN38" i="1"/>
  <c r="BN91" i="1"/>
  <c r="BN241" i="1"/>
  <c r="BN66" i="1"/>
  <c r="BN178" i="1"/>
  <c r="BN48" i="1"/>
  <c r="BN139" i="1"/>
  <c r="BN171" i="1"/>
  <c r="BN185" i="1"/>
  <c r="BN250" i="1"/>
  <c r="BN111" i="1"/>
  <c r="BN82" i="1"/>
  <c r="BN49" i="1"/>
  <c r="BN177" i="1"/>
  <c r="BN140" i="1"/>
  <c r="BQ140" i="1" s="1"/>
  <c r="BR140" i="1" s="1"/>
  <c r="BN249" i="1"/>
  <c r="BQ249" i="1" s="1"/>
  <c r="BR249" i="1" s="1"/>
  <c r="BN42" i="1"/>
  <c r="BN155" i="1"/>
  <c r="BQ155" i="1" s="1"/>
  <c r="BR155" i="1" s="1"/>
  <c r="BX61" i="1"/>
  <c r="BX25" i="1"/>
  <c r="CA25" i="1" s="1"/>
  <c r="CB25" i="1" s="1"/>
  <c r="BX57" i="1"/>
  <c r="CA57" i="1" s="1"/>
  <c r="CB57" i="1" s="1"/>
  <c r="BX89" i="1"/>
  <c r="BX121" i="1"/>
  <c r="BX154" i="1"/>
  <c r="BX186" i="1"/>
  <c r="BX218" i="1"/>
  <c r="CA218" i="1" s="1"/>
  <c r="CB218" i="1" s="1"/>
  <c r="BX250" i="1"/>
  <c r="BX283" i="1"/>
  <c r="CA283" i="1" s="1"/>
  <c r="CB283" i="1" s="1"/>
  <c r="BX282" i="1"/>
  <c r="CA282" i="1" s="1"/>
  <c r="CB282" i="1" s="1"/>
  <c r="BX237" i="1"/>
  <c r="BX56" i="1"/>
  <c r="BX120" i="1"/>
  <c r="BX185" i="1"/>
  <c r="BX249" i="1"/>
  <c r="CH22" i="1"/>
  <c r="CH54" i="1"/>
  <c r="CH86" i="1"/>
  <c r="CH118" i="1"/>
  <c r="CH151" i="1"/>
  <c r="CH183" i="1"/>
  <c r="CH215" i="1"/>
  <c r="CH247" i="1"/>
  <c r="CH280" i="1"/>
  <c r="CH5" i="1"/>
  <c r="CK5" i="1" s="1"/>
  <c r="CL5" i="1" s="1"/>
  <c r="CH37" i="1"/>
  <c r="CK37" i="1" s="1"/>
  <c r="CL37" i="1" s="1"/>
  <c r="CH69" i="1"/>
  <c r="CH101" i="1"/>
  <c r="CH134" i="1"/>
  <c r="CH166" i="1"/>
  <c r="CH198" i="1"/>
  <c r="CH230" i="1"/>
  <c r="CH263" i="1"/>
  <c r="CK263" i="1" s="1"/>
  <c r="CL263" i="1" s="1"/>
  <c r="CH295" i="1"/>
  <c r="CK295" i="1" s="1"/>
  <c r="CL295" i="1" s="1"/>
  <c r="BX9" i="1"/>
  <c r="BX41" i="1"/>
  <c r="BX73" i="1"/>
  <c r="BX105" i="1"/>
  <c r="BX138" i="1"/>
  <c r="CA138" i="1" s="1"/>
  <c r="CB138" i="1" s="1"/>
  <c r="BX170" i="1"/>
  <c r="BX202" i="1"/>
  <c r="CB202" i="1" s="1"/>
  <c r="BX234" i="1"/>
  <c r="CA234" i="1" s="1"/>
  <c r="CB234" i="1" s="1"/>
  <c r="BX267" i="1"/>
  <c r="BX299" i="1"/>
  <c r="BX266" i="1"/>
  <c r="BX298" i="1"/>
  <c r="CH208" i="1"/>
  <c r="CH240" i="1"/>
  <c r="CH273" i="1"/>
  <c r="CK273" i="1" s="1"/>
  <c r="CL273" i="1" s="1"/>
  <c r="CH163" i="1"/>
  <c r="CK163" i="1" s="1"/>
  <c r="CL163" i="1" s="1"/>
  <c r="CR286" i="1"/>
  <c r="CR5" i="1"/>
  <c r="CR230" i="1"/>
  <c r="AI21" i="1"/>
  <c r="AI53" i="1"/>
  <c r="AI30" i="1"/>
  <c r="AI57" i="1"/>
  <c r="AI50" i="1"/>
  <c r="AI9" i="1"/>
  <c r="AI13" i="1"/>
  <c r="AI28" i="1"/>
  <c r="AI45" i="1"/>
  <c r="AI3" i="1"/>
  <c r="AI60" i="1"/>
  <c r="AI11" i="1"/>
  <c r="AI43" i="1"/>
  <c r="AI4" i="1"/>
  <c r="AS248" i="1"/>
  <c r="S202" i="1"/>
  <c r="AS263" i="1"/>
  <c r="AV263" i="1" s="1"/>
  <c r="AW263" i="1" s="1"/>
  <c r="AS35" i="1"/>
  <c r="BD160" i="1"/>
  <c r="BD224" i="1"/>
  <c r="BD289" i="1"/>
  <c r="BD206" i="1"/>
  <c r="BD4" i="1"/>
  <c r="DL42" i="1"/>
  <c r="DL106" i="1"/>
  <c r="DL171" i="1"/>
  <c r="DL203" i="1"/>
  <c r="DL235" i="1"/>
  <c r="DL68" i="1"/>
  <c r="DL100" i="1"/>
  <c r="DO100" i="1" s="1"/>
  <c r="DP100" i="1" s="1"/>
  <c r="DL133" i="1"/>
  <c r="DO133" i="1" s="1"/>
  <c r="DP133" i="1" s="1"/>
  <c r="DL165" i="1"/>
  <c r="DL197" i="1"/>
  <c r="DL229" i="1"/>
  <c r="DL262" i="1"/>
  <c r="DL294" i="1"/>
  <c r="BD194" i="1"/>
  <c r="BD73" i="1"/>
  <c r="BG73" i="1" s="1"/>
  <c r="BH73" i="1" s="1"/>
  <c r="DL45" i="1"/>
  <c r="DO45" i="1" s="1"/>
  <c r="DP45" i="1" s="1"/>
  <c r="ER261" i="1"/>
  <c r="ES261" i="1" s="1"/>
  <c r="DL268" i="1"/>
  <c r="DL300" i="1"/>
  <c r="DL19" i="1"/>
  <c r="DL51" i="1"/>
  <c r="DL83" i="1"/>
  <c r="DL115" i="1"/>
  <c r="DO115" i="1" s="1"/>
  <c r="DP115" i="1" s="1"/>
  <c r="DL148" i="1"/>
  <c r="DO148" i="1" s="1"/>
  <c r="DP148" i="1" s="1"/>
  <c r="DL180" i="1"/>
  <c r="DL212" i="1"/>
  <c r="ER303" i="1"/>
  <c r="ES303" i="1" s="1"/>
  <c r="DB54" i="1"/>
  <c r="DV109" i="1"/>
  <c r="DB294" i="1"/>
  <c r="DB278" i="1"/>
  <c r="BN121" i="1"/>
  <c r="BN74" i="1"/>
  <c r="BQ74" i="1" s="1"/>
  <c r="BR74" i="1" s="1"/>
  <c r="BN187" i="1"/>
  <c r="BN240" i="1"/>
  <c r="BQ240" i="1" s="1"/>
  <c r="BR240" i="1" s="1"/>
  <c r="DB266" i="1"/>
  <c r="BN184" i="1"/>
  <c r="BN195" i="1"/>
  <c r="BQ195" i="1" s="1"/>
  <c r="BR195" i="1" s="1"/>
  <c r="BN9" i="1"/>
  <c r="BN248" i="1"/>
  <c r="BQ248" i="1" s="1"/>
  <c r="BR248" i="1" s="1"/>
  <c r="AB303" i="1"/>
  <c r="AC303" i="1" s="1"/>
  <c r="CU303" i="1"/>
  <c r="CV303" i="1" s="1"/>
  <c r="EA303" i="1"/>
  <c r="DY303" i="1"/>
  <c r="BG303" i="1"/>
  <c r="BH303" i="1" s="1"/>
  <c r="CK303" i="1"/>
  <c r="CL303" i="1" s="1"/>
  <c r="CU261" i="1"/>
  <c r="CV261" i="1" s="1"/>
  <c r="BG261" i="1"/>
  <c r="BH261" i="1" s="1"/>
  <c r="CA303" i="1"/>
  <c r="CB303" i="1" s="1"/>
  <c r="R303" i="1"/>
  <c r="S303" i="1" s="1"/>
  <c r="DE303" i="1"/>
  <c r="DF303" i="1" s="1"/>
  <c r="CK261" i="1"/>
  <c r="CL261" i="1" s="1"/>
  <c r="AL303" i="1"/>
  <c r="AM303" i="1" s="1"/>
  <c r="CB261" i="1"/>
  <c r="CA261" i="1"/>
  <c r="DE261" i="1"/>
  <c r="BQ303" i="1"/>
  <c r="BR303" i="1" s="1"/>
  <c r="AL261" i="1"/>
  <c r="AM261" i="1" s="1"/>
  <c r="BQ261" i="1"/>
  <c r="BR261" i="1" s="1"/>
  <c r="AB261" i="1"/>
  <c r="AC261" i="1" s="1"/>
  <c r="R261" i="1"/>
  <c r="S261" i="1" s="1"/>
  <c r="DO303" i="1"/>
  <c r="DP303" i="1" s="1"/>
  <c r="DZ261" i="1"/>
  <c r="AV303" i="1"/>
  <c r="AW303" i="1" s="1"/>
  <c r="EA261" i="1"/>
  <c r="BX217" i="1"/>
  <c r="CA217" i="1" s="1"/>
  <c r="CB217" i="1" s="1"/>
  <c r="BX33" i="1"/>
  <c r="BX65" i="1"/>
  <c r="BX97" i="1"/>
  <c r="BX129" i="1"/>
  <c r="CA129" i="1" s="1"/>
  <c r="CB129" i="1" s="1"/>
  <c r="BX162" i="1"/>
  <c r="BX194" i="1"/>
  <c r="BX226" i="1"/>
  <c r="CA226" i="1" s="1"/>
  <c r="CB226" i="1" s="1"/>
  <c r="BX258" i="1"/>
  <c r="CA258" i="1" s="1"/>
  <c r="CB258" i="1" s="1"/>
  <c r="BX291" i="1"/>
  <c r="BX257" i="1"/>
  <c r="BX290" i="1"/>
  <c r="CA290" i="1" s="1"/>
  <c r="CB290" i="1" s="1"/>
  <c r="BX5" i="1"/>
  <c r="CA5" i="1" s="1"/>
  <c r="CB5" i="1" s="1"/>
  <c r="BX198" i="1"/>
  <c r="BX29" i="1"/>
  <c r="CH88" i="1"/>
  <c r="BX150" i="1"/>
  <c r="CA150" i="1" s="1"/>
  <c r="CB150" i="1" s="1"/>
  <c r="BX54" i="1"/>
  <c r="BX21" i="1"/>
  <c r="CH284" i="1"/>
  <c r="CK284" i="1" s="1"/>
  <c r="CL284" i="1" s="1"/>
  <c r="CH153" i="1"/>
  <c r="CK153" i="1" s="1"/>
  <c r="CL153" i="1" s="1"/>
  <c r="CH292" i="1"/>
  <c r="CH217" i="1"/>
  <c r="CH30" i="1"/>
  <c r="CH62" i="1"/>
  <c r="CH94" i="1"/>
  <c r="CH126" i="1"/>
  <c r="CH159" i="1"/>
  <c r="CK159" i="1" s="1"/>
  <c r="CL159" i="1" s="1"/>
  <c r="CH191" i="1"/>
  <c r="CK191" i="1" s="1"/>
  <c r="CL191" i="1" s="1"/>
  <c r="CH223" i="1"/>
  <c r="BX209" i="1"/>
  <c r="CH13" i="1"/>
  <c r="CH45" i="1"/>
  <c r="CH77" i="1"/>
  <c r="CH109" i="1"/>
  <c r="CH142" i="1"/>
  <c r="CK142" i="1" s="1"/>
  <c r="CL142" i="1" s="1"/>
  <c r="CH174" i="1"/>
  <c r="CK174" i="1" s="1"/>
  <c r="CL174" i="1" s="1"/>
  <c r="CH206" i="1"/>
  <c r="CH238" i="1"/>
  <c r="CH271" i="1"/>
  <c r="BX17" i="1"/>
  <c r="CA17" i="1" s="1"/>
  <c r="CB17" i="1" s="1"/>
  <c r="BX49" i="1"/>
  <c r="BX81" i="1"/>
  <c r="BX113" i="1"/>
  <c r="CA113" i="1" s="1"/>
  <c r="CB113" i="1" s="1"/>
  <c r="BX146" i="1"/>
  <c r="CA146" i="1" s="1"/>
  <c r="CB146" i="1" s="1"/>
  <c r="BX178" i="1"/>
  <c r="BX210" i="1"/>
  <c r="BX242" i="1"/>
  <c r="CA242" i="1" s="1"/>
  <c r="CB242" i="1" s="1"/>
  <c r="BX275" i="1"/>
  <c r="BX274" i="1"/>
  <c r="CH52" i="1"/>
  <c r="CH270" i="1"/>
  <c r="CK270" i="1" s="1"/>
  <c r="CL270" i="1" s="1"/>
  <c r="BX173" i="1"/>
  <c r="CH73" i="1"/>
  <c r="CH129" i="1"/>
  <c r="CH250" i="1"/>
  <c r="BX295" i="1"/>
  <c r="CA295" i="1" s="1"/>
  <c r="CB295" i="1" s="1"/>
  <c r="BX46" i="1"/>
  <c r="BX287" i="1"/>
  <c r="CR174" i="1"/>
  <c r="CU174" i="1" s="1"/>
  <c r="CV174" i="1" s="1"/>
  <c r="CR109" i="1"/>
  <c r="CU109" i="1" s="1"/>
  <c r="CV109" i="1" s="1"/>
  <c r="CR134" i="1"/>
  <c r="CH216" i="1"/>
  <c r="CH248" i="1"/>
  <c r="CH281" i="1"/>
  <c r="CR166" i="1"/>
  <c r="CH8" i="1"/>
  <c r="CK8" i="1" s="1"/>
  <c r="CL8" i="1" s="1"/>
  <c r="CH278" i="1"/>
  <c r="CK278" i="1" s="1"/>
  <c r="CL278" i="1" s="1"/>
  <c r="CR90" i="1"/>
  <c r="CU90" i="1" s="1"/>
  <c r="CV90" i="1" s="1"/>
  <c r="CR67" i="1"/>
  <c r="CR196" i="1"/>
  <c r="CR53" i="1"/>
  <c r="CH286" i="1"/>
  <c r="CR179" i="1"/>
  <c r="CR27" i="1"/>
  <c r="CU27" i="1" s="1"/>
  <c r="CV27" i="1" s="1"/>
  <c r="CR91" i="1"/>
  <c r="CR237" i="1"/>
  <c r="CR233" i="1"/>
  <c r="CR58" i="1"/>
  <c r="CR251" i="1"/>
  <c r="CR35" i="1"/>
  <c r="CU35" i="1" s="1"/>
  <c r="CV35" i="1" s="1"/>
  <c r="CR245" i="1"/>
  <c r="CR206" i="1"/>
  <c r="CU206" i="1" s="1"/>
  <c r="CV206" i="1" s="1"/>
  <c r="AI119" i="1"/>
  <c r="CR172" i="1"/>
  <c r="CU172" i="1" s="1"/>
  <c r="CV172" i="1" s="1"/>
  <c r="CR236" i="1"/>
  <c r="CR301" i="1"/>
  <c r="CR189" i="1"/>
  <c r="CR222" i="1"/>
  <c r="CU222" i="1" s="1"/>
  <c r="CV222" i="1" s="1"/>
  <c r="CR29" i="1"/>
  <c r="CR13" i="1"/>
  <c r="CU13" i="1" s="1"/>
  <c r="CV13" i="1" s="1"/>
  <c r="CR278" i="1"/>
  <c r="AI49" i="1"/>
  <c r="AI36" i="1"/>
  <c r="AI12" i="1"/>
  <c r="AI44" i="1"/>
  <c r="AI26" i="1"/>
  <c r="AI15" i="1"/>
  <c r="ER293" i="1"/>
  <c r="ES293" i="1" s="1"/>
  <c r="AI27" i="1"/>
  <c r="AI59" i="1"/>
  <c r="ER252" i="1"/>
  <c r="ES252" i="1" s="1"/>
  <c r="AI61" i="1"/>
  <c r="AI290" i="1"/>
  <c r="AS160" i="1"/>
  <c r="AS55" i="1"/>
  <c r="BD213" i="1"/>
  <c r="BD55" i="1"/>
  <c r="BD226" i="1"/>
  <c r="BD212" i="1"/>
  <c r="BD38" i="1"/>
  <c r="BD270" i="1"/>
  <c r="BD176" i="1"/>
  <c r="BD240" i="1"/>
  <c r="AS109" i="1"/>
  <c r="AS48" i="1"/>
  <c r="AS112" i="1"/>
  <c r="AS177" i="1"/>
  <c r="AS241" i="1"/>
  <c r="AV241" i="1" s="1"/>
  <c r="AW241" i="1" s="1"/>
  <c r="AS50" i="1"/>
  <c r="AV50" i="1" s="1"/>
  <c r="AW50" i="1" s="1"/>
  <c r="AS114" i="1"/>
  <c r="AS179" i="1"/>
  <c r="AS243" i="1"/>
  <c r="AS67" i="1"/>
  <c r="BD127" i="1"/>
  <c r="BG127" i="1" s="1"/>
  <c r="BH127" i="1" s="1"/>
  <c r="BD192" i="1"/>
  <c r="BH192" i="1" s="1"/>
  <c r="BD256" i="1"/>
  <c r="AS56" i="1"/>
  <c r="AV56" i="1" s="1"/>
  <c r="AW56" i="1" s="1"/>
  <c r="AS120" i="1"/>
  <c r="AS185" i="1"/>
  <c r="AS249" i="1"/>
  <c r="AS142" i="1"/>
  <c r="AS295" i="1"/>
  <c r="AS273" i="1"/>
  <c r="DL12" i="1"/>
  <c r="DL44" i="1"/>
  <c r="DL76" i="1"/>
  <c r="DL108" i="1"/>
  <c r="DL141" i="1"/>
  <c r="DL173" i="1"/>
  <c r="DL205" i="1"/>
  <c r="DO205" i="1" s="1"/>
  <c r="DP205" i="1" s="1"/>
  <c r="DL237" i="1"/>
  <c r="DO237" i="1" s="1"/>
  <c r="DP237" i="1" s="1"/>
  <c r="DL270" i="1"/>
  <c r="DL302" i="1"/>
  <c r="DL281" i="1"/>
  <c r="BD129" i="1"/>
  <c r="BD284" i="1"/>
  <c r="BD150" i="1"/>
  <c r="BD100" i="1"/>
  <c r="BG100" i="1" s="1"/>
  <c r="BH100" i="1" s="1"/>
  <c r="DL10" i="1"/>
  <c r="DO10" i="1" s="1"/>
  <c r="DP10" i="1" s="1"/>
  <c r="DL74" i="1"/>
  <c r="DL139" i="1"/>
  <c r="BD144" i="1"/>
  <c r="BD208" i="1"/>
  <c r="BD273" i="1"/>
  <c r="BD106" i="1"/>
  <c r="BD222" i="1"/>
  <c r="BG222" i="1" s="1"/>
  <c r="BH222" i="1" s="1"/>
  <c r="DL158" i="1"/>
  <c r="DO158" i="1" s="1"/>
  <c r="DP158" i="1" s="1"/>
  <c r="DL20" i="1"/>
  <c r="DL52" i="1"/>
  <c r="DL84" i="1"/>
  <c r="DL116" i="1"/>
  <c r="DL149" i="1"/>
  <c r="DL181" i="1"/>
  <c r="DL213" i="1"/>
  <c r="DO213" i="1" s="1"/>
  <c r="DP213" i="1" s="1"/>
  <c r="DL245" i="1"/>
  <c r="DO245" i="1" s="1"/>
  <c r="DP245" i="1" s="1"/>
  <c r="DL278" i="1"/>
  <c r="DO278" i="1" s="1"/>
  <c r="DP278" i="1" s="1"/>
  <c r="DL13" i="1"/>
  <c r="BD89" i="1"/>
  <c r="BD116" i="1"/>
  <c r="BD86" i="1"/>
  <c r="BD151" i="1"/>
  <c r="BD14" i="1"/>
  <c r="BG14" i="1" s="1"/>
  <c r="BH14" i="1" s="1"/>
  <c r="BD125" i="1"/>
  <c r="BG125" i="1" s="1"/>
  <c r="BH125" i="1" s="1"/>
  <c r="BD95" i="1"/>
  <c r="BD148" i="1"/>
  <c r="DL66" i="1"/>
  <c r="DL130" i="1"/>
  <c r="DV77" i="1"/>
  <c r="DL293" i="1"/>
  <c r="DV174" i="1"/>
  <c r="DY174" i="1" s="1"/>
  <c r="DZ174" i="1" s="1"/>
  <c r="DV9" i="1"/>
  <c r="DV41" i="1"/>
  <c r="DY41" i="1" s="1"/>
  <c r="DZ41" i="1" s="1"/>
  <c r="DV73" i="1"/>
  <c r="DV105" i="1"/>
  <c r="DV138" i="1"/>
  <c r="DV170" i="1"/>
  <c r="DV202" i="1"/>
  <c r="DV234" i="1"/>
  <c r="DY234" i="1" s="1"/>
  <c r="DV267" i="1"/>
  <c r="DV299" i="1"/>
  <c r="EA299" i="1" s="1"/>
  <c r="DV26" i="1"/>
  <c r="DV58" i="1"/>
  <c r="DV90" i="1"/>
  <c r="DV122" i="1"/>
  <c r="DV155" i="1"/>
  <c r="DV187" i="1"/>
  <c r="DY187" i="1" s="1"/>
  <c r="DV219" i="1"/>
  <c r="DV251" i="1"/>
  <c r="DY251" i="1" s="1"/>
  <c r="DZ251" i="1" s="1"/>
  <c r="DV284" i="1"/>
  <c r="DV254" i="1"/>
  <c r="DL117" i="1"/>
  <c r="DV263" i="1"/>
  <c r="DL254" i="1"/>
  <c r="DL102" i="1"/>
  <c r="DO102" i="1" s="1"/>
  <c r="DP102" i="1" s="1"/>
  <c r="DB241" i="1"/>
  <c r="DE241" i="1" s="1"/>
  <c r="DF241" i="1" s="1"/>
  <c r="DB233" i="1"/>
  <c r="DE233" i="1" s="1"/>
  <c r="DF233" i="1" s="1"/>
  <c r="DV19" i="1"/>
  <c r="DV230" i="1"/>
  <c r="DV3" i="1"/>
  <c r="DV32" i="1"/>
  <c r="DV64" i="1"/>
  <c r="DV96" i="1"/>
  <c r="DY96" i="1" s="1"/>
  <c r="DV128" i="1"/>
  <c r="DV161" i="1"/>
  <c r="DY161" i="1" s="1"/>
  <c r="DV193" i="1"/>
  <c r="DV225" i="1"/>
  <c r="DV257" i="1"/>
  <c r="DV290" i="1"/>
  <c r="DV295" i="1"/>
  <c r="DB20" i="1"/>
  <c r="DV51" i="1"/>
  <c r="DB164" i="1"/>
  <c r="DE164" i="1" s="1"/>
  <c r="DF164" i="1" s="1"/>
  <c r="DV285" i="1"/>
  <c r="DV8" i="1"/>
  <c r="DV40" i="1"/>
  <c r="DV72" i="1"/>
  <c r="DV104" i="1"/>
  <c r="DV137" i="1"/>
  <c r="DY137" i="1" s="1"/>
  <c r="DZ137" i="1" s="1"/>
  <c r="DV201" i="1"/>
  <c r="DV233" i="1"/>
  <c r="DY233" i="1" s="1"/>
  <c r="DZ233" i="1" s="1"/>
  <c r="DV266" i="1"/>
  <c r="DV298" i="1"/>
  <c r="DB27" i="1"/>
  <c r="DB149" i="1"/>
  <c r="DB290" i="1"/>
  <c r="DE290" i="1" s="1"/>
  <c r="DF290" i="1" s="1"/>
  <c r="DB223" i="1"/>
  <c r="DB237" i="1"/>
  <c r="DE237" i="1" s="1"/>
  <c r="DF237" i="1" s="1"/>
  <c r="DB165" i="1"/>
  <c r="DE165" i="1" s="1"/>
  <c r="DF165" i="1" s="1"/>
  <c r="DB22" i="1"/>
  <c r="DB91" i="1"/>
  <c r="DB249" i="1"/>
  <c r="DB302" i="1"/>
  <c r="DB298" i="1"/>
  <c r="DE298" i="1" s="1"/>
  <c r="DF298" i="1" s="1"/>
  <c r="DB18" i="1"/>
  <c r="DB50" i="1"/>
  <c r="DE50" i="1" s="1"/>
  <c r="DF50" i="1" s="1"/>
  <c r="DB82" i="1"/>
  <c r="DE82" i="1" s="1"/>
  <c r="DF82" i="1" s="1"/>
  <c r="DB114" i="1"/>
  <c r="DB147" i="1"/>
  <c r="DB179" i="1"/>
  <c r="DB211" i="1"/>
  <c r="DB243" i="1"/>
  <c r="DE243" i="1" s="1"/>
  <c r="DF243" i="1" s="1"/>
  <c r="DB276" i="1"/>
  <c r="BN10" i="1"/>
  <c r="BQ10" i="1" s="1"/>
  <c r="BR10" i="1" s="1"/>
  <c r="BN98" i="1"/>
  <c r="BQ98" i="1" s="1"/>
  <c r="BR98" i="1" s="1"/>
  <c r="BN130" i="1"/>
  <c r="BN203" i="1"/>
  <c r="BQ203" i="1" s="1"/>
  <c r="BR203" i="1" s="1"/>
  <c r="BN235" i="1"/>
  <c r="BQ235" i="1" s="1"/>
  <c r="BR235" i="1" s="1"/>
  <c r="BN127" i="1"/>
  <c r="BN192" i="1"/>
  <c r="BR192" i="1" s="1"/>
  <c r="BN256" i="1"/>
  <c r="BN11" i="1"/>
  <c r="BQ11" i="1" s="1"/>
  <c r="BR11" i="1" s="1"/>
  <c r="BN86" i="1"/>
  <c r="BQ86" i="1" s="1"/>
  <c r="BR86" i="1" s="1"/>
  <c r="BN276" i="1"/>
  <c r="BN30" i="1"/>
  <c r="BQ30" i="1" s="1"/>
  <c r="BR30" i="1" s="1"/>
  <c r="Y194" i="1"/>
  <c r="BN120" i="1"/>
  <c r="BN113" i="1"/>
  <c r="BQ113" i="1" s="1"/>
  <c r="BR113" i="1" s="1"/>
  <c r="BN114" i="1"/>
  <c r="BN219" i="1"/>
  <c r="BN251" i="1"/>
  <c r="BN128" i="1"/>
  <c r="BN193" i="1"/>
  <c r="BN257" i="1"/>
  <c r="BQ257" i="1" s="1"/>
  <c r="BR257" i="1" s="1"/>
  <c r="BN22" i="1"/>
  <c r="BN292" i="1"/>
  <c r="BX40" i="1"/>
  <c r="BX104" i="1"/>
  <c r="BX233" i="1"/>
  <c r="BX152" i="1"/>
  <c r="CA152" i="1" s="1"/>
  <c r="CB152" i="1" s="1"/>
  <c r="BX174" i="1"/>
  <c r="CA174" i="1" s="1"/>
  <c r="CB174" i="1" s="1"/>
  <c r="BX48" i="1"/>
  <c r="BX112" i="1"/>
  <c r="BX177" i="1"/>
  <c r="CA177" i="1" s="1"/>
  <c r="CB177" i="1" s="1"/>
  <c r="BX241" i="1"/>
  <c r="CA241" i="1" s="1"/>
  <c r="CB241" i="1" s="1"/>
  <c r="BX302" i="1"/>
  <c r="BX16" i="1"/>
  <c r="BX80" i="1"/>
  <c r="BX145" i="1"/>
  <c r="CB145" i="1" s="1"/>
  <c r="BX64" i="1"/>
  <c r="BX128" i="1"/>
  <c r="BX193" i="1"/>
  <c r="CA193" i="1" s="1"/>
  <c r="CB193" i="1" s="1"/>
  <c r="BX8" i="1"/>
  <c r="CA8" i="1" s="1"/>
  <c r="CB8" i="1" s="1"/>
  <c r="BX72" i="1"/>
  <c r="BX137" i="1"/>
  <c r="BX201" i="1"/>
  <c r="BX271" i="1"/>
  <c r="CA271" i="1" s="1"/>
  <c r="CB271" i="1" s="1"/>
  <c r="BX85" i="1"/>
  <c r="BX108" i="1"/>
  <c r="BX22" i="1"/>
  <c r="CA22" i="1" s="1"/>
  <c r="CB22" i="1" s="1"/>
  <c r="BX214" i="1"/>
  <c r="CA214" i="1" s="1"/>
  <c r="CB214" i="1" s="1"/>
  <c r="BX263" i="1"/>
  <c r="BX134" i="1"/>
  <c r="BX24" i="1"/>
  <c r="CA24" i="1" s="1"/>
  <c r="CB24" i="1" s="1"/>
  <c r="BX88" i="1"/>
  <c r="CA88" i="1" s="1"/>
  <c r="CB88" i="1" s="1"/>
  <c r="BX153" i="1"/>
  <c r="BX32" i="1"/>
  <c r="BX96" i="1"/>
  <c r="CA96" i="1" s="1"/>
  <c r="CB96" i="1" s="1"/>
  <c r="BX161" i="1"/>
  <c r="CA161" i="1" s="1"/>
  <c r="CB161" i="1" s="1"/>
  <c r="BX225" i="1"/>
  <c r="BX14" i="1"/>
  <c r="CH257" i="1"/>
  <c r="CH188" i="1"/>
  <c r="CH213" i="1"/>
  <c r="CA279" i="1"/>
  <c r="CB279" i="1" s="1"/>
  <c r="CH50" i="1"/>
  <c r="CK50" i="1" s="1"/>
  <c r="CL50" i="1" s="1"/>
  <c r="BX158" i="1"/>
  <c r="CA158" i="1" s="1"/>
  <c r="CB158" i="1" s="1"/>
  <c r="BX289" i="1"/>
  <c r="CA289" i="1" s="1"/>
  <c r="CB289" i="1" s="1"/>
  <c r="CH255" i="1"/>
  <c r="CH288" i="1"/>
  <c r="CA125" i="1"/>
  <c r="CB125" i="1" s="1"/>
  <c r="CA13" i="1"/>
  <c r="CB13" i="1" s="1"/>
  <c r="CH58" i="1"/>
  <c r="CH227" i="1"/>
  <c r="CA119" i="1"/>
  <c r="CB119" i="1" s="1"/>
  <c r="BX232" i="1"/>
  <c r="CA232" i="1" s="1"/>
  <c r="CB232" i="1" s="1"/>
  <c r="ER172" i="1"/>
  <c r="ES172" i="1" s="1"/>
  <c r="CH104" i="1"/>
  <c r="CK104" i="1" s="1"/>
  <c r="CL104" i="1" s="1"/>
  <c r="BX240" i="1"/>
  <c r="CA240" i="1" s="1"/>
  <c r="CB240" i="1" s="1"/>
  <c r="CH6" i="1"/>
  <c r="CH38" i="1"/>
  <c r="CH70" i="1"/>
  <c r="CK70" i="1" s="1"/>
  <c r="CL70" i="1" s="1"/>
  <c r="CH102" i="1"/>
  <c r="CK102" i="1" s="1"/>
  <c r="CL102" i="1" s="1"/>
  <c r="CH135" i="1"/>
  <c r="CH167" i="1"/>
  <c r="CH199" i="1"/>
  <c r="CH231" i="1"/>
  <c r="CK231" i="1" s="1"/>
  <c r="CL231" i="1" s="1"/>
  <c r="CH264" i="1"/>
  <c r="CH296" i="1"/>
  <c r="CH116" i="1"/>
  <c r="CK116" i="1" s="1"/>
  <c r="CL116" i="1" s="1"/>
  <c r="CA127" i="1"/>
  <c r="CB127" i="1" s="1"/>
  <c r="CA29" i="1"/>
  <c r="CB29" i="1" s="1"/>
  <c r="CH98" i="1"/>
  <c r="CH243" i="1"/>
  <c r="CA168" i="1"/>
  <c r="CB168" i="1" s="1"/>
  <c r="BX77" i="1"/>
  <c r="CA77" i="1" s="1"/>
  <c r="CB77" i="1" s="1"/>
  <c r="BX6" i="1"/>
  <c r="CA6" i="1" s="1"/>
  <c r="CB6" i="1" s="1"/>
  <c r="BX190" i="1"/>
  <c r="CA190" i="1" s="1"/>
  <c r="CB190" i="1" s="1"/>
  <c r="BX23" i="1"/>
  <c r="CA23" i="1" s="1"/>
  <c r="CB23" i="1" s="1"/>
  <c r="BX87" i="1"/>
  <c r="CA87" i="1" s="1"/>
  <c r="CB87" i="1" s="1"/>
  <c r="CA53" i="1"/>
  <c r="CB53" i="1" s="1"/>
  <c r="CA55" i="1"/>
  <c r="CB55" i="1" s="1"/>
  <c r="CA144" i="1"/>
  <c r="CB144" i="1" s="1"/>
  <c r="BX93" i="1"/>
  <c r="CA93" i="1" s="1"/>
  <c r="CB93" i="1" s="1"/>
  <c r="BX95" i="1"/>
  <c r="CA95" i="1" s="1"/>
  <c r="CB95" i="1" s="1"/>
  <c r="BX256" i="1"/>
  <c r="CA256" i="1" s="1"/>
  <c r="CB256" i="1" s="1"/>
  <c r="BX246" i="1"/>
  <c r="CA246" i="1" s="1"/>
  <c r="CB246" i="1" s="1"/>
  <c r="CA2" i="1"/>
  <c r="CH64" i="1"/>
  <c r="CH165" i="1"/>
  <c r="CA142" i="1"/>
  <c r="CB142" i="1" s="1"/>
  <c r="CH42" i="1"/>
  <c r="CH114" i="1"/>
  <c r="CK114" i="1" s="1"/>
  <c r="CL114" i="1" s="1"/>
  <c r="CA224" i="1"/>
  <c r="CB224" i="1" s="1"/>
  <c r="BX38" i="1"/>
  <c r="CA38" i="1" s="1"/>
  <c r="CB38" i="1" s="1"/>
  <c r="BX230" i="1"/>
  <c r="CA230" i="1" s="1"/>
  <c r="CB230" i="1" s="1"/>
  <c r="BX39" i="1"/>
  <c r="CA39" i="1" s="1"/>
  <c r="CB39" i="1" s="1"/>
  <c r="CH200" i="1"/>
  <c r="CH128" i="1"/>
  <c r="CH224" i="1"/>
  <c r="CK224" i="1" s="1"/>
  <c r="CL224" i="1" s="1"/>
  <c r="CH256" i="1"/>
  <c r="CH289" i="1"/>
  <c r="CA45" i="1"/>
  <c r="CB45" i="1" s="1"/>
  <c r="CH25" i="1"/>
  <c r="CH113" i="1"/>
  <c r="CH242" i="1"/>
  <c r="CB60" i="1"/>
  <c r="CB4" i="1"/>
  <c r="BX268" i="1"/>
  <c r="CB268" i="1" s="1"/>
  <c r="BX254" i="1"/>
  <c r="CA254" i="1" s="1"/>
  <c r="CB254" i="1" s="1"/>
  <c r="BX47" i="1"/>
  <c r="CA47" i="1" s="1"/>
  <c r="CB47" i="1" s="1"/>
  <c r="BX208" i="1"/>
  <c r="CA208" i="1" s="1"/>
  <c r="CB208" i="1" s="1"/>
  <c r="BX273" i="1"/>
  <c r="CA273" i="1" s="1"/>
  <c r="CB273" i="1" s="1"/>
  <c r="CR243" i="1"/>
  <c r="CR173" i="1"/>
  <c r="CU173" i="1" s="1"/>
  <c r="CV173" i="1" s="1"/>
  <c r="CR238" i="1"/>
  <c r="CR85" i="1"/>
  <c r="CH83" i="1"/>
  <c r="CK83" i="1" s="1"/>
  <c r="CL83" i="1" s="1"/>
  <c r="CR298" i="1"/>
  <c r="CU298" i="1" s="1"/>
  <c r="CV298" i="1" s="1"/>
  <c r="CR122" i="1"/>
  <c r="CR187" i="1"/>
  <c r="CU187" i="1" s="1"/>
  <c r="CV187" i="1" s="1"/>
  <c r="CR99" i="1"/>
  <c r="CR181" i="1"/>
  <c r="EA181" i="1" s="1"/>
  <c r="CR61" i="1"/>
  <c r="CR253" i="1"/>
  <c r="CR198" i="1"/>
  <c r="CV198" i="1" s="1"/>
  <c r="CH35" i="1"/>
  <c r="CK35" i="1" s="1"/>
  <c r="CL35" i="1" s="1"/>
  <c r="CR180" i="1"/>
  <c r="CR244" i="1"/>
  <c r="CU244" i="1" s="1"/>
  <c r="CV244" i="1" s="1"/>
  <c r="CR133" i="1"/>
  <c r="CR197" i="1"/>
  <c r="CR262" i="1"/>
  <c r="CL145" i="1"/>
  <c r="CK244" i="1"/>
  <c r="CL244" i="1" s="1"/>
  <c r="CK228" i="1"/>
  <c r="CL228" i="1" s="1"/>
  <c r="CH252" i="1"/>
  <c r="CK252" i="1" s="1"/>
  <c r="CL252" i="1" s="1"/>
  <c r="CR59" i="1"/>
  <c r="CU59" i="1" s="1"/>
  <c r="CV59" i="1" s="1"/>
  <c r="CR123" i="1"/>
  <c r="CR188" i="1"/>
  <c r="CU188" i="1" s="1"/>
  <c r="CV188" i="1" s="1"/>
  <c r="CR252" i="1"/>
  <c r="CR141" i="1"/>
  <c r="CR205" i="1"/>
  <c r="CU205" i="1" s="1"/>
  <c r="CV205" i="1" s="1"/>
  <c r="CR270" i="1"/>
  <c r="CU270" i="1" s="1"/>
  <c r="CV270" i="1" s="1"/>
  <c r="CR302" i="1"/>
  <c r="CR77" i="1"/>
  <c r="CU77" i="1" s="1"/>
  <c r="CV77" i="1" s="1"/>
  <c r="CR125" i="1"/>
  <c r="CK180" i="1"/>
  <c r="CL180" i="1" s="1"/>
  <c r="CK27" i="1"/>
  <c r="CL27" i="1" s="1"/>
  <c r="CH51" i="1"/>
  <c r="CK51" i="1" s="1"/>
  <c r="CL51" i="1" s="1"/>
  <c r="CH115" i="1"/>
  <c r="CK115" i="1" s="1"/>
  <c r="CL115" i="1" s="1"/>
  <c r="CR26" i="1"/>
  <c r="CU26" i="1" s="1"/>
  <c r="CV26" i="1" s="1"/>
  <c r="CR3" i="1"/>
  <c r="CR131" i="1"/>
  <c r="CR260" i="1"/>
  <c r="CR69" i="1"/>
  <c r="CU69" i="1" s="1"/>
  <c r="CV69" i="1" s="1"/>
  <c r="CR142" i="1"/>
  <c r="CR182" i="1"/>
  <c r="CH59" i="1"/>
  <c r="CK59" i="1" s="1"/>
  <c r="CL59" i="1" s="1"/>
  <c r="CR28" i="1"/>
  <c r="CU28" i="1" s="1"/>
  <c r="CV28" i="1" s="1"/>
  <c r="CR92" i="1"/>
  <c r="CR45" i="1"/>
  <c r="CR93" i="1"/>
  <c r="CU93" i="1" s="1"/>
  <c r="CV93" i="1" s="1"/>
  <c r="CR21" i="1"/>
  <c r="CK204" i="1"/>
  <c r="CL204" i="1" s="1"/>
  <c r="CK91" i="1"/>
  <c r="CL91" i="1" s="1"/>
  <c r="CH192" i="1"/>
  <c r="CL192" i="1" s="1"/>
  <c r="CH202" i="1"/>
  <c r="CL202" i="1" s="1"/>
  <c r="CH140" i="1"/>
  <c r="CK140" i="1" s="1"/>
  <c r="CL140" i="1" s="1"/>
  <c r="CH277" i="1"/>
  <c r="CK277" i="1" s="1"/>
  <c r="CL277" i="1" s="1"/>
  <c r="CR171" i="1"/>
  <c r="CU171" i="1" s="1"/>
  <c r="CV171" i="1" s="1"/>
  <c r="CR235" i="1"/>
  <c r="CR300" i="1"/>
  <c r="CK19" i="1"/>
  <c r="CL19" i="1" s="1"/>
  <c r="CH136" i="1"/>
  <c r="CL136" i="1" s="1"/>
  <c r="CH148" i="1"/>
  <c r="CK148" i="1" s="1"/>
  <c r="CL148" i="1" s="1"/>
  <c r="CH220" i="1"/>
  <c r="CK220" i="1" s="1"/>
  <c r="CL220" i="1" s="1"/>
  <c r="AI69" i="1"/>
  <c r="AI14" i="1"/>
  <c r="AI10" i="1"/>
  <c r="AI62" i="1"/>
  <c r="AI203" i="1"/>
  <c r="AI47" i="1"/>
  <c r="AI90" i="1"/>
  <c r="AI55" i="1"/>
  <c r="CR224" i="1"/>
  <c r="CU224" i="1" s="1"/>
  <c r="CV224" i="1" s="1"/>
  <c r="CR289" i="1"/>
  <c r="CU289" i="1" s="1"/>
  <c r="CV289" i="1" s="1"/>
  <c r="AI20" i="1"/>
  <c r="AI52" i="1"/>
  <c r="AI58" i="1"/>
  <c r="AI23" i="1"/>
  <c r="AI35" i="1"/>
  <c r="AI29" i="1"/>
  <c r="AI6" i="1"/>
  <c r="AI38" i="1"/>
  <c r="AI224" i="1"/>
  <c r="AI17" i="1"/>
  <c r="CR36" i="1"/>
  <c r="CR100" i="1"/>
  <c r="CU216" i="1"/>
  <c r="CV216" i="1" s="1"/>
  <c r="CU144" i="1"/>
  <c r="CV144" i="1" s="1"/>
  <c r="CR176" i="1"/>
  <c r="CU176" i="1" s="1"/>
  <c r="CV176" i="1" s="1"/>
  <c r="CU208" i="1"/>
  <c r="CV208" i="1" s="1"/>
  <c r="CR184" i="1"/>
  <c r="CU184" i="1" s="1"/>
  <c r="CV184" i="1" s="1"/>
  <c r="AI37" i="1"/>
  <c r="AI25" i="1"/>
  <c r="AI213" i="1"/>
  <c r="AI18" i="1"/>
  <c r="AI41" i="1"/>
  <c r="AI7" i="1"/>
  <c r="AI39" i="1"/>
  <c r="AI42" i="1"/>
  <c r="CV268" i="1"/>
  <c r="CR60" i="1"/>
  <c r="CR124" i="1"/>
  <c r="CU124" i="1" s="1"/>
  <c r="CV124" i="1" s="1"/>
  <c r="CU214" i="1"/>
  <c r="CV214" i="1" s="1"/>
  <c r="CU152" i="1"/>
  <c r="CV152" i="1" s="1"/>
  <c r="CR150" i="1"/>
  <c r="CU150" i="1" s="1"/>
  <c r="CV150" i="1" s="1"/>
  <c r="CR256" i="1"/>
  <c r="CU256" i="1" s="1"/>
  <c r="CV256" i="1" s="1"/>
  <c r="AI5" i="1"/>
  <c r="AI46" i="1"/>
  <c r="AI19" i="1"/>
  <c r="AI51" i="1"/>
  <c r="AI33" i="1"/>
  <c r="AL33" i="1" s="1"/>
  <c r="AM33" i="1" s="1"/>
  <c r="AI22" i="1"/>
  <c r="AI54" i="1"/>
  <c r="AI116" i="1"/>
  <c r="AI202" i="1"/>
  <c r="AI34" i="1"/>
  <c r="CR4" i="1"/>
  <c r="CV4" i="1" s="1"/>
  <c r="CR68" i="1"/>
  <c r="CU240" i="1"/>
  <c r="CV240" i="1" s="1"/>
  <c r="CV192" i="1"/>
  <c r="CU37" i="1"/>
  <c r="CV37" i="1" s="1"/>
  <c r="CR117" i="1"/>
  <c r="CU117" i="1" s="1"/>
  <c r="CV117" i="1" s="1"/>
  <c r="CR158" i="1"/>
  <c r="CU158" i="1" s="1"/>
  <c r="CV158" i="1" s="1"/>
  <c r="CR136" i="1"/>
  <c r="CV136" i="1" s="1"/>
  <c r="AL229" i="1"/>
  <c r="AM229" i="1" s="1"/>
  <c r="AI120" i="1"/>
  <c r="AL120" i="1" s="1"/>
  <c r="AM120" i="1" s="1"/>
  <c r="AI145" i="1"/>
  <c r="AM145" i="1" s="1"/>
  <c r="AS58" i="1"/>
  <c r="AS122" i="1"/>
  <c r="AV122" i="1" s="1"/>
  <c r="AW122" i="1" s="1"/>
  <c r="AS187" i="1"/>
  <c r="AV187" i="1" s="1"/>
  <c r="AW187" i="1" s="1"/>
  <c r="AS251" i="1"/>
  <c r="AV251" i="1" s="1"/>
  <c r="AW251" i="1" s="1"/>
  <c r="AS64" i="1"/>
  <c r="AS128" i="1"/>
  <c r="AS193" i="1"/>
  <c r="AS257" i="1"/>
  <c r="AS66" i="1"/>
  <c r="AS130" i="1"/>
  <c r="AV130" i="1" s="1"/>
  <c r="AW130" i="1" s="1"/>
  <c r="AS195" i="1"/>
  <c r="AV195" i="1" s="1"/>
  <c r="AW195" i="1" s="1"/>
  <c r="AS259" i="1"/>
  <c r="AV259" i="1" s="1"/>
  <c r="AW259" i="1" s="1"/>
  <c r="AS99" i="1"/>
  <c r="AV99" i="1" s="1"/>
  <c r="AW99" i="1" s="1"/>
  <c r="AS136" i="1"/>
  <c r="AS8" i="1"/>
  <c r="AS72" i="1"/>
  <c r="AV72" i="1" s="1"/>
  <c r="AW72" i="1" s="1"/>
  <c r="AS137" i="1"/>
  <c r="AS201" i="1"/>
  <c r="AS266" i="1"/>
  <c r="AV266" i="1" s="1"/>
  <c r="AW266" i="1" s="1"/>
  <c r="AS10" i="1"/>
  <c r="AV10" i="1" s="1"/>
  <c r="AW10" i="1" s="1"/>
  <c r="AS74" i="1"/>
  <c r="AV74" i="1" s="1"/>
  <c r="AW74" i="1" s="1"/>
  <c r="AS139" i="1"/>
  <c r="AS203" i="1"/>
  <c r="AS268" i="1"/>
  <c r="AW268" i="1" s="1"/>
  <c r="AS287" i="1"/>
  <c r="AS240" i="1"/>
  <c r="AV240" i="1" s="1"/>
  <c r="AW240" i="1" s="1"/>
  <c r="AS158" i="1"/>
  <c r="AV158" i="1" s="1"/>
  <c r="AW158" i="1" s="1"/>
  <c r="AS166" i="1"/>
  <c r="AV166" i="1" s="1"/>
  <c r="AW166" i="1" s="1"/>
  <c r="AS208" i="1"/>
  <c r="AV208" i="1" s="1"/>
  <c r="AW208" i="1" s="1"/>
  <c r="AS16" i="1"/>
  <c r="AS80" i="1"/>
  <c r="AS145" i="1"/>
  <c r="AW145" i="1" s="1"/>
  <c r="AS209" i="1"/>
  <c r="AS274" i="1"/>
  <c r="AV274" i="1" s="1"/>
  <c r="AW274" i="1" s="1"/>
  <c r="AS18" i="1"/>
  <c r="AV18" i="1" s="1"/>
  <c r="AW18" i="1" s="1"/>
  <c r="AS82" i="1"/>
  <c r="AS147" i="1"/>
  <c r="AS211" i="1"/>
  <c r="AS276" i="1"/>
  <c r="AS13" i="1"/>
  <c r="AV13" i="1" s="1"/>
  <c r="AW13" i="1" s="1"/>
  <c r="AS152" i="1"/>
  <c r="AS24" i="1"/>
  <c r="AV24" i="1" s="1"/>
  <c r="AW24" i="1" s="1"/>
  <c r="AS88" i="1"/>
  <c r="AV88" i="1" s="1"/>
  <c r="AW88" i="1" s="1"/>
  <c r="AS153" i="1"/>
  <c r="AV153" i="1" s="1"/>
  <c r="AW153" i="1" s="1"/>
  <c r="AS217" i="1"/>
  <c r="AS282" i="1"/>
  <c r="AS26" i="1"/>
  <c r="AS90" i="1"/>
  <c r="AV90" i="1" s="1"/>
  <c r="AW90" i="1" s="1"/>
  <c r="AS155" i="1"/>
  <c r="AS219" i="1"/>
  <c r="AV219" i="1" s="1"/>
  <c r="AW219" i="1" s="1"/>
  <c r="AS284" i="1"/>
  <c r="AV284" i="1" s="1"/>
  <c r="AW284" i="1" s="1"/>
  <c r="AS7" i="1"/>
  <c r="AV7" i="1" s="1"/>
  <c r="AW7" i="1" s="1"/>
  <c r="AS29" i="1"/>
  <c r="AS32" i="1"/>
  <c r="AS96" i="1"/>
  <c r="AS161" i="1"/>
  <c r="AV161" i="1" s="1"/>
  <c r="AW161" i="1" s="1"/>
  <c r="AS225" i="1"/>
  <c r="AS290" i="1"/>
  <c r="AV290" i="1" s="1"/>
  <c r="AW290" i="1" s="1"/>
  <c r="AS34" i="1"/>
  <c r="AV34" i="1" s="1"/>
  <c r="AW34" i="1" s="1"/>
  <c r="AS98" i="1"/>
  <c r="AS163" i="1"/>
  <c r="AV163" i="1" s="1"/>
  <c r="AW163" i="1" s="1"/>
  <c r="AS227" i="1"/>
  <c r="AS292" i="1"/>
  <c r="AS71" i="1"/>
  <c r="AV71" i="1" s="1"/>
  <c r="AW71" i="1" s="1"/>
  <c r="AS5" i="1"/>
  <c r="R135" i="1"/>
  <c r="S135" i="1" s="1"/>
  <c r="AS40" i="1"/>
  <c r="AV40" i="1" s="1"/>
  <c r="AW40" i="1" s="1"/>
  <c r="AS104" i="1"/>
  <c r="AS169" i="1"/>
  <c r="AV169" i="1" s="1"/>
  <c r="AW169" i="1" s="1"/>
  <c r="AS233" i="1"/>
  <c r="AS298" i="1"/>
  <c r="AS42" i="1"/>
  <c r="AV42" i="1" s="1"/>
  <c r="AW42" i="1" s="1"/>
  <c r="AS106" i="1"/>
  <c r="AS171" i="1"/>
  <c r="AV171" i="1" s="1"/>
  <c r="AW171" i="1" s="1"/>
  <c r="AS235" i="1"/>
  <c r="AV235" i="1" s="1"/>
  <c r="AW235" i="1" s="1"/>
  <c r="AS300" i="1"/>
  <c r="AV300" i="1" s="1"/>
  <c r="AW300" i="1" s="1"/>
  <c r="AS265" i="1"/>
  <c r="AV265" i="1" s="1"/>
  <c r="AW265" i="1" s="1"/>
  <c r="AS200" i="1"/>
  <c r="AS59" i="1"/>
  <c r="AS222" i="1"/>
  <c r="AV222" i="1" s="1"/>
  <c r="AW222" i="1" s="1"/>
  <c r="AS271" i="1"/>
  <c r="AV271" i="1" s="1"/>
  <c r="AW271" i="1" s="1"/>
  <c r="AS184" i="1"/>
  <c r="AV184" i="1" s="1"/>
  <c r="AW184" i="1" s="1"/>
  <c r="BD152" i="1"/>
  <c r="BG152" i="1" s="1"/>
  <c r="BH152" i="1" s="1"/>
  <c r="BD216" i="1"/>
  <c r="BD281" i="1"/>
  <c r="BD146" i="1"/>
  <c r="BD210" i="1"/>
  <c r="BD275" i="1"/>
  <c r="BG275" i="1" s="1"/>
  <c r="BH275" i="1" s="1"/>
  <c r="BD300" i="1"/>
  <c r="BD278" i="1"/>
  <c r="BD166" i="1"/>
  <c r="BG166" i="1" s="1"/>
  <c r="BH166" i="1" s="1"/>
  <c r="BD230" i="1"/>
  <c r="BD295" i="1"/>
  <c r="BD99" i="1"/>
  <c r="BD22" i="1"/>
  <c r="BD227" i="1"/>
  <c r="BG227" i="1" s="1"/>
  <c r="BH227" i="1" s="1"/>
  <c r="BD12" i="1"/>
  <c r="BG12" i="1" s="1"/>
  <c r="BH12" i="1" s="1"/>
  <c r="AS63" i="1"/>
  <c r="AV63" i="1" s="1"/>
  <c r="AW63" i="1" s="1"/>
  <c r="BD196" i="1"/>
  <c r="BG196" i="1" s="1"/>
  <c r="BH196" i="1" s="1"/>
  <c r="BD293" i="1"/>
  <c r="BD174" i="1"/>
  <c r="BD238" i="1"/>
  <c r="AW4" i="1"/>
  <c r="BD199" i="1"/>
  <c r="BG199" i="1" s="1"/>
  <c r="BH199" i="1" s="1"/>
  <c r="BD46" i="1"/>
  <c r="BG46" i="1" s="1"/>
  <c r="BH46" i="1" s="1"/>
  <c r="BD110" i="1"/>
  <c r="AV22" i="1"/>
  <c r="AW22" i="1" s="1"/>
  <c r="AS232" i="1"/>
  <c r="AV232" i="1" s="1"/>
  <c r="AW232" i="1" s="1"/>
  <c r="AS94" i="1"/>
  <c r="AV94" i="1" s="1"/>
  <c r="AW94" i="1" s="1"/>
  <c r="AS182" i="1"/>
  <c r="AV182" i="1" s="1"/>
  <c r="AW182" i="1" s="1"/>
  <c r="BD291" i="1"/>
  <c r="BD42" i="1"/>
  <c r="BG42" i="1" s="1"/>
  <c r="BH42" i="1" s="1"/>
  <c r="BD149" i="1"/>
  <c r="BG149" i="1" s="1"/>
  <c r="BH149" i="1" s="1"/>
  <c r="AS87" i="1"/>
  <c r="AV87" i="1" s="1"/>
  <c r="AW87" i="1" s="1"/>
  <c r="AS3" i="1"/>
  <c r="AV3" i="1" s="1"/>
  <c r="AW3" i="1" s="1"/>
  <c r="AS38" i="1"/>
  <c r="AV38" i="1" s="1"/>
  <c r="AW38" i="1" s="1"/>
  <c r="AS190" i="1"/>
  <c r="AV190" i="1" s="1"/>
  <c r="AW190" i="1" s="1"/>
  <c r="BD190" i="1"/>
  <c r="BD254" i="1"/>
  <c r="AV151" i="1"/>
  <c r="AW151" i="1" s="1"/>
  <c r="AV30" i="1"/>
  <c r="AW30" i="1" s="1"/>
  <c r="AS110" i="1"/>
  <c r="AV110" i="1" s="1"/>
  <c r="AW110" i="1" s="1"/>
  <c r="BD119" i="1"/>
  <c r="BG119" i="1" s="1"/>
  <c r="BH119" i="1" s="1"/>
  <c r="BD184" i="1"/>
  <c r="BD248" i="1"/>
  <c r="BD131" i="1"/>
  <c r="BD228" i="1"/>
  <c r="BD215" i="1"/>
  <c r="BG215" i="1" s="1"/>
  <c r="BH215" i="1" s="1"/>
  <c r="BD54" i="1"/>
  <c r="BG54" i="1" s="1"/>
  <c r="BH54" i="1" s="1"/>
  <c r="AV77" i="1"/>
  <c r="AW77" i="1" s="1"/>
  <c r="AV45" i="1"/>
  <c r="AW45" i="1" s="1"/>
  <c r="AS103" i="1"/>
  <c r="AV103" i="1" s="1"/>
  <c r="AW103" i="1" s="1"/>
  <c r="AS19" i="1"/>
  <c r="AV19" i="1" s="1"/>
  <c r="AW19" i="1" s="1"/>
  <c r="AS54" i="1"/>
  <c r="AV54" i="1" s="1"/>
  <c r="AW54" i="1" s="1"/>
  <c r="AS118" i="1"/>
  <c r="AV118" i="1" s="1"/>
  <c r="AW118" i="1" s="1"/>
  <c r="BD121" i="1"/>
  <c r="BG121" i="1" s="1"/>
  <c r="BH121" i="1" s="1"/>
  <c r="BD250" i="1"/>
  <c r="BG250" i="1" s="1"/>
  <c r="BH250" i="1" s="1"/>
  <c r="BD142" i="1"/>
  <c r="BD271" i="1"/>
  <c r="BD247" i="1"/>
  <c r="AV46" i="1"/>
  <c r="AW46" i="1" s="1"/>
  <c r="BD179" i="1"/>
  <c r="AW198" i="1"/>
  <c r="AV214" i="1"/>
  <c r="AW214" i="1" s="1"/>
  <c r="AV93" i="1"/>
  <c r="AW93" i="1" s="1"/>
  <c r="AV143" i="1"/>
  <c r="AW143" i="1" s="1"/>
  <c r="AV11" i="1"/>
  <c r="AW11" i="1" s="1"/>
  <c r="AV135" i="1"/>
  <c r="AW135" i="1" s="1"/>
  <c r="AS31" i="1"/>
  <c r="AV31" i="1" s="1"/>
  <c r="AW31" i="1" s="1"/>
  <c r="AS176" i="1"/>
  <c r="AV176" i="1" s="1"/>
  <c r="AW176" i="1" s="1"/>
  <c r="AS202" i="1"/>
  <c r="AW202" i="1" s="1"/>
  <c r="AS62" i="1"/>
  <c r="AV62" i="1" s="1"/>
  <c r="AW62" i="1" s="1"/>
  <c r="AS126" i="1"/>
  <c r="AV126" i="1" s="1"/>
  <c r="AW126" i="1" s="1"/>
  <c r="BD214" i="1"/>
  <c r="BD279" i="1"/>
  <c r="BG279" i="1" s="1"/>
  <c r="BH279" i="1" s="1"/>
  <c r="AV246" i="1"/>
  <c r="AW246" i="1" s="1"/>
  <c r="AV27" i="1"/>
  <c r="AW27" i="1" s="1"/>
  <c r="AS119" i="1"/>
  <c r="AV119" i="1" s="1"/>
  <c r="AW119" i="1" s="1"/>
  <c r="AS192" i="1"/>
  <c r="AW192" i="1" s="1"/>
  <c r="AS43" i="1"/>
  <c r="AV43" i="1" s="1"/>
  <c r="AW43" i="1" s="1"/>
  <c r="AS254" i="1"/>
  <c r="AV254" i="1" s="1"/>
  <c r="AW254" i="1" s="1"/>
  <c r="BD164" i="1"/>
  <c r="BD277" i="1"/>
  <c r="BG277" i="1" s="1"/>
  <c r="BH277" i="1" s="1"/>
  <c r="BD158" i="1"/>
  <c r="BD287" i="1"/>
  <c r="BD35" i="1"/>
  <c r="BD6" i="1"/>
  <c r="AV174" i="1"/>
  <c r="AW174" i="1" s="1"/>
  <c r="AV15" i="1"/>
  <c r="AW15" i="1" s="1"/>
  <c r="AV91" i="1"/>
  <c r="AW91" i="1" s="1"/>
  <c r="AV23" i="1"/>
  <c r="AW23" i="1" s="1"/>
  <c r="AV53" i="1"/>
  <c r="AW53" i="1" s="1"/>
  <c r="AV70" i="1"/>
  <c r="AW70" i="1" s="1"/>
  <c r="AS47" i="1"/>
  <c r="AV47" i="1" s="1"/>
  <c r="AW47" i="1" s="1"/>
  <c r="AS51" i="1"/>
  <c r="AV51" i="1" s="1"/>
  <c r="AW51" i="1" s="1"/>
  <c r="AS60" i="1"/>
  <c r="AW60" i="1" s="1"/>
  <c r="AS37" i="1"/>
  <c r="AV37" i="1" s="1"/>
  <c r="AW37" i="1" s="1"/>
  <c r="AS125" i="1"/>
  <c r="AV125" i="1" s="1"/>
  <c r="AW125" i="1" s="1"/>
  <c r="AS14" i="1"/>
  <c r="AV14" i="1" s="1"/>
  <c r="AW14" i="1" s="1"/>
  <c r="AS78" i="1"/>
  <c r="AV78" i="1" s="1"/>
  <c r="AW78" i="1" s="1"/>
  <c r="AS279" i="1"/>
  <c r="AV279" i="1" s="1"/>
  <c r="AW279" i="1" s="1"/>
  <c r="DL18" i="1"/>
  <c r="DL82" i="1"/>
  <c r="DL147" i="1"/>
  <c r="DO147" i="1" s="1"/>
  <c r="DP147" i="1" s="1"/>
  <c r="DL287" i="1"/>
  <c r="DO287" i="1" s="1"/>
  <c r="DP287" i="1" s="1"/>
  <c r="DL151" i="1"/>
  <c r="DL77" i="1"/>
  <c r="BD94" i="1"/>
  <c r="BG94" i="1" s="1"/>
  <c r="BH94" i="1" s="1"/>
  <c r="DL26" i="1"/>
  <c r="DL90" i="1"/>
  <c r="DL295" i="1"/>
  <c r="DL191" i="1"/>
  <c r="DO191" i="1" s="1"/>
  <c r="DP191" i="1" s="1"/>
  <c r="DL236" i="1"/>
  <c r="DO236" i="1" s="1"/>
  <c r="DP236" i="1" s="1"/>
  <c r="DL269" i="1"/>
  <c r="DL301" i="1"/>
  <c r="DL159" i="1"/>
  <c r="DL93" i="1"/>
  <c r="DL34" i="1"/>
  <c r="DL98" i="1"/>
  <c r="DL223" i="1"/>
  <c r="DO223" i="1" s="1"/>
  <c r="DP223" i="1" s="1"/>
  <c r="DL28" i="1"/>
  <c r="DO28" i="1" s="1"/>
  <c r="DP28" i="1" s="1"/>
  <c r="DL60" i="1"/>
  <c r="DP60" i="1" s="1"/>
  <c r="DL92" i="1"/>
  <c r="DL124" i="1"/>
  <c r="DL157" i="1"/>
  <c r="DL189" i="1"/>
  <c r="DL221" i="1"/>
  <c r="DL253" i="1"/>
  <c r="DO253" i="1" s="1"/>
  <c r="DP253" i="1" s="1"/>
  <c r="DL286" i="1"/>
  <c r="DL280" i="1"/>
  <c r="DL136" i="1"/>
  <c r="DL166" i="1"/>
  <c r="DL244" i="1"/>
  <c r="DL277" i="1"/>
  <c r="DO277" i="1" s="1"/>
  <c r="DP277" i="1" s="1"/>
  <c r="BG76" i="1"/>
  <c r="BH76" i="1" s="1"/>
  <c r="BD223" i="1"/>
  <c r="BG223" i="1" s="1"/>
  <c r="BH223" i="1" s="1"/>
  <c r="BD136" i="1"/>
  <c r="BH136" i="1" s="1"/>
  <c r="DL50" i="1"/>
  <c r="DL114" i="1"/>
  <c r="DL150" i="1"/>
  <c r="BD30" i="1"/>
  <c r="BG30" i="1" s="1"/>
  <c r="BH30" i="1" s="1"/>
  <c r="DL58" i="1"/>
  <c r="DL122" i="1"/>
  <c r="DO122" i="1" s="1"/>
  <c r="DP122" i="1" s="1"/>
  <c r="DL263" i="1"/>
  <c r="DO263" i="1" s="1"/>
  <c r="DP263" i="1" s="1"/>
  <c r="DL215" i="1"/>
  <c r="DL179" i="1"/>
  <c r="DL211" i="1"/>
  <c r="DL243" i="1"/>
  <c r="DL276" i="1"/>
  <c r="DO276" i="1" s="1"/>
  <c r="DP276" i="1" s="1"/>
  <c r="DL199" i="1"/>
  <c r="DL27" i="1"/>
  <c r="DO27" i="1" s="1"/>
  <c r="DP27" i="1" s="1"/>
  <c r="DL59" i="1"/>
  <c r="DO59" i="1" s="1"/>
  <c r="DP59" i="1" s="1"/>
  <c r="DL91" i="1"/>
  <c r="DL123" i="1"/>
  <c r="DL156" i="1"/>
  <c r="DL188" i="1"/>
  <c r="DL220" i="1"/>
  <c r="DO220" i="1" s="1"/>
  <c r="DP220" i="1" s="1"/>
  <c r="DL252" i="1"/>
  <c r="DL285" i="1"/>
  <c r="DO285" i="1" s="1"/>
  <c r="DP285" i="1" s="1"/>
  <c r="DL94" i="1"/>
  <c r="DO94" i="1" s="1"/>
  <c r="DP94" i="1" s="1"/>
  <c r="DL134" i="1"/>
  <c r="DO134" i="1" s="1"/>
  <c r="DP134" i="1" s="1"/>
  <c r="DL29" i="1"/>
  <c r="BG118" i="1"/>
  <c r="BH118" i="1" s="1"/>
  <c r="BD62" i="1"/>
  <c r="BG62" i="1" s="1"/>
  <c r="BH62" i="1" s="1"/>
  <c r="DL271" i="1"/>
  <c r="DL21" i="1"/>
  <c r="BD202" i="1"/>
  <c r="BH202" i="1" s="1"/>
  <c r="BD60" i="1"/>
  <c r="BH60" i="1" s="1"/>
  <c r="BD198" i="1"/>
  <c r="BH198" i="1" s="1"/>
  <c r="DL279" i="1"/>
  <c r="DL85" i="1"/>
  <c r="BG280" i="1"/>
  <c r="BH280" i="1" s="1"/>
  <c r="BG28" i="1"/>
  <c r="BH28" i="1" s="1"/>
  <c r="BH145" i="1"/>
  <c r="BD264" i="1"/>
  <c r="BG264" i="1" s="1"/>
  <c r="BH264" i="1" s="1"/>
  <c r="BD268" i="1"/>
  <c r="BH268" i="1" s="1"/>
  <c r="BD68" i="1"/>
  <c r="BG68" i="1" s="1"/>
  <c r="BH68" i="1" s="1"/>
  <c r="BD78" i="1"/>
  <c r="BG78" i="1" s="1"/>
  <c r="BH78" i="1" s="1"/>
  <c r="DV45" i="1"/>
  <c r="DL198" i="1"/>
  <c r="DP198" i="1" s="1"/>
  <c r="DL7" i="1"/>
  <c r="DO7" i="1" s="1"/>
  <c r="DP7" i="1" s="1"/>
  <c r="DL57" i="1"/>
  <c r="DO57" i="1" s="1"/>
  <c r="DP57" i="1" s="1"/>
  <c r="DV59" i="1"/>
  <c r="DY59" i="1" s="1"/>
  <c r="DZ59" i="1" s="1"/>
  <c r="DL79" i="1"/>
  <c r="DO79" i="1" s="1"/>
  <c r="DP79" i="1" s="1"/>
  <c r="ER260" i="1"/>
  <c r="ES260" i="1" s="1"/>
  <c r="DO170" i="1"/>
  <c r="DP170" i="1" s="1"/>
  <c r="DO121" i="1"/>
  <c r="DP121" i="1" s="1"/>
  <c r="DO125" i="1"/>
  <c r="DP125" i="1" s="1"/>
  <c r="DL9" i="1"/>
  <c r="DO9" i="1" s="1"/>
  <c r="DP9" i="1" s="1"/>
  <c r="DO5" i="1"/>
  <c r="DP5" i="1" s="1"/>
  <c r="DO65" i="1"/>
  <c r="DP65" i="1" s="1"/>
  <c r="DL186" i="1"/>
  <c r="DO186" i="1" s="1"/>
  <c r="DP186" i="1" s="1"/>
  <c r="DL81" i="1"/>
  <c r="DO81" i="1" s="1"/>
  <c r="DP81" i="1" s="1"/>
  <c r="DL145" i="1"/>
  <c r="DP145" i="1" s="1"/>
  <c r="DV25" i="1"/>
  <c r="DV57" i="1"/>
  <c r="DV89" i="1"/>
  <c r="DV121" i="1"/>
  <c r="DV154" i="1"/>
  <c r="DY154" i="1" s="1"/>
  <c r="DV186" i="1"/>
  <c r="DV218" i="1"/>
  <c r="DY218" i="1" s="1"/>
  <c r="DZ218" i="1" s="1"/>
  <c r="DV250" i="1"/>
  <c r="DV283" i="1"/>
  <c r="DV10" i="1"/>
  <c r="DV42" i="1"/>
  <c r="DV74" i="1"/>
  <c r="DV106" i="1"/>
  <c r="DY106" i="1" s="1"/>
  <c r="DV139" i="1"/>
  <c r="DV171" i="1"/>
  <c r="DY171" i="1" s="1"/>
  <c r="DV203" i="1"/>
  <c r="DV235" i="1"/>
  <c r="DV268" i="1"/>
  <c r="DV300" i="1"/>
  <c r="DV100" i="1"/>
  <c r="DV67" i="1"/>
  <c r="DY67" i="1" s="1"/>
  <c r="DZ67" i="1" s="1"/>
  <c r="DO71" i="1"/>
  <c r="DP71" i="1" s="1"/>
  <c r="DO129" i="1"/>
  <c r="DP129" i="1" s="1"/>
  <c r="DL194" i="1"/>
  <c r="DO194" i="1" s="1"/>
  <c r="DP194" i="1" s="1"/>
  <c r="DL89" i="1"/>
  <c r="DO89" i="1" s="1"/>
  <c r="DP89" i="1" s="1"/>
  <c r="DV13" i="1"/>
  <c r="DO37" i="1"/>
  <c r="DP37" i="1" s="1"/>
  <c r="DO144" i="1"/>
  <c r="DP144" i="1" s="1"/>
  <c r="DO25" i="1"/>
  <c r="DP25" i="1" s="1"/>
  <c r="DL138" i="1"/>
  <c r="DO138" i="1" s="1"/>
  <c r="DP138" i="1" s="1"/>
  <c r="DL174" i="1"/>
  <c r="DO174" i="1" s="1"/>
  <c r="DP174" i="1" s="1"/>
  <c r="DL111" i="1"/>
  <c r="DO111" i="1" s="1"/>
  <c r="DP111" i="1" s="1"/>
  <c r="DL33" i="1"/>
  <c r="DO33" i="1" s="1"/>
  <c r="DP33" i="1" s="1"/>
  <c r="DL97" i="1"/>
  <c r="DO97" i="1" s="1"/>
  <c r="DP97" i="1" s="1"/>
  <c r="DV33" i="1"/>
  <c r="DV65" i="1"/>
  <c r="DV97" i="1"/>
  <c r="DY97" i="1" s="1"/>
  <c r="DV129" i="1"/>
  <c r="DV162" i="1"/>
  <c r="DY162" i="1" s="1"/>
  <c r="DZ162" i="1" s="1"/>
  <c r="DV194" i="1"/>
  <c r="DV226" i="1"/>
  <c r="DV258" i="1"/>
  <c r="DV291" i="1"/>
  <c r="DV18" i="1"/>
  <c r="DV50" i="1"/>
  <c r="DV82" i="1"/>
  <c r="DV114" i="1"/>
  <c r="DV147" i="1"/>
  <c r="DV179" i="1"/>
  <c r="DV211" i="1"/>
  <c r="DV243" i="1"/>
  <c r="DV276" i="1"/>
  <c r="DV279" i="1"/>
  <c r="DV27" i="1"/>
  <c r="DO53" i="1"/>
  <c r="DP53" i="1" s="1"/>
  <c r="DO162" i="1"/>
  <c r="DP162" i="1" s="1"/>
  <c r="DL146" i="1"/>
  <c r="DO146" i="1" s="1"/>
  <c r="DP146" i="1" s="1"/>
  <c r="DL101" i="1"/>
  <c r="DO101" i="1" s="1"/>
  <c r="DP101" i="1" s="1"/>
  <c r="DL160" i="1"/>
  <c r="DO160" i="1" s="1"/>
  <c r="DP160" i="1" s="1"/>
  <c r="DL41" i="1"/>
  <c r="DO41" i="1" s="1"/>
  <c r="DP41" i="1" s="1"/>
  <c r="DL105" i="1"/>
  <c r="DO105" i="1" s="1"/>
  <c r="DP105" i="1" s="1"/>
  <c r="DV260" i="1"/>
  <c r="DV24" i="1"/>
  <c r="DY24" i="1" s="1"/>
  <c r="DZ24" i="1" s="1"/>
  <c r="DV56" i="1"/>
  <c r="DV88" i="1"/>
  <c r="DV120" i="1"/>
  <c r="DV153" i="1"/>
  <c r="DV185" i="1"/>
  <c r="DV217" i="1"/>
  <c r="DY217" i="1" s="1"/>
  <c r="DV249" i="1"/>
  <c r="DV282" i="1"/>
  <c r="DY282" i="1" s="1"/>
  <c r="DZ282" i="1" s="1"/>
  <c r="DV287" i="1"/>
  <c r="DO182" i="1"/>
  <c r="DP182" i="1" s="1"/>
  <c r="DO119" i="1"/>
  <c r="DP119" i="1" s="1"/>
  <c r="DP202" i="1"/>
  <c r="DO17" i="1"/>
  <c r="DP17" i="1" s="1"/>
  <c r="DO47" i="1"/>
  <c r="DP47" i="1" s="1"/>
  <c r="DL154" i="1"/>
  <c r="DO154" i="1" s="1"/>
  <c r="DP154" i="1" s="1"/>
  <c r="DL109" i="1"/>
  <c r="DO109" i="1" s="1"/>
  <c r="DP109" i="1" s="1"/>
  <c r="DL63" i="1"/>
  <c r="DO63" i="1" s="1"/>
  <c r="DP63" i="1" s="1"/>
  <c r="DL49" i="1"/>
  <c r="DO49" i="1" s="1"/>
  <c r="DP49" i="1" s="1"/>
  <c r="DL113" i="1"/>
  <c r="DO113" i="1" s="1"/>
  <c r="DP113" i="1" s="1"/>
  <c r="DB231" i="1"/>
  <c r="DV86" i="1"/>
  <c r="DY86" i="1" s="1"/>
  <c r="DZ86" i="1" s="1"/>
  <c r="DV125" i="1"/>
  <c r="DB201" i="1"/>
  <c r="DB10" i="1"/>
  <c r="DE10" i="1" s="1"/>
  <c r="DF10" i="1" s="1"/>
  <c r="DB42" i="1"/>
  <c r="DB74" i="1"/>
  <c r="DB106" i="1"/>
  <c r="DB139" i="1"/>
  <c r="DB171" i="1"/>
  <c r="DE171" i="1" s="1"/>
  <c r="DF171" i="1" s="1"/>
  <c r="DB203" i="1"/>
  <c r="DB235" i="1"/>
  <c r="DE235" i="1" s="1"/>
  <c r="DF235" i="1" s="1"/>
  <c r="DB268" i="1"/>
  <c r="DF268" i="1" s="1"/>
  <c r="DB159" i="1"/>
  <c r="DB86" i="1"/>
  <c r="DB280" i="1"/>
  <c r="DB217" i="1"/>
  <c r="DY95" i="1"/>
  <c r="DZ95" i="1" s="1"/>
  <c r="DB84" i="1"/>
  <c r="DY31" i="1"/>
  <c r="DZ31" i="1" s="1"/>
  <c r="DY43" i="1"/>
  <c r="DZ43" i="1" s="1"/>
  <c r="DY214" i="1"/>
  <c r="DZ214" i="1" s="1"/>
  <c r="DV265" i="1"/>
  <c r="DY265" i="1" s="1"/>
  <c r="DZ265" i="1" s="1"/>
  <c r="DV4" i="1"/>
  <c r="DZ4" i="1" s="1"/>
  <c r="DV62" i="1"/>
  <c r="DY62" i="1" s="1"/>
  <c r="DZ62" i="1" s="1"/>
  <c r="DV119" i="1"/>
  <c r="DY119" i="1" s="1"/>
  <c r="DZ119" i="1" s="1"/>
  <c r="DV144" i="1"/>
  <c r="DY144" i="1" s="1"/>
  <c r="DZ144" i="1" s="1"/>
  <c r="DV69" i="1"/>
  <c r="DY69" i="1" s="1"/>
  <c r="DZ69" i="1" s="1"/>
  <c r="DB137" i="1"/>
  <c r="DE137" i="1" s="1"/>
  <c r="DF137" i="1" s="1"/>
  <c r="DB238" i="1"/>
  <c r="DZ192" i="1"/>
  <c r="DV54" i="1"/>
  <c r="DY54" i="1" s="1"/>
  <c r="DZ54" i="1" s="1"/>
  <c r="DV152" i="1"/>
  <c r="DY152" i="1" s="1"/>
  <c r="DZ152" i="1" s="1"/>
  <c r="DV84" i="1"/>
  <c r="DY84" i="1" s="1"/>
  <c r="DZ84" i="1" s="1"/>
  <c r="DB156" i="1"/>
  <c r="DB247" i="1"/>
  <c r="DB26" i="1"/>
  <c r="DE26" i="1" s="1"/>
  <c r="DF26" i="1" s="1"/>
  <c r="DB58" i="1"/>
  <c r="DB90" i="1"/>
  <c r="DB122" i="1"/>
  <c r="DB155" i="1"/>
  <c r="DE155" i="1" s="1"/>
  <c r="DF155" i="1" s="1"/>
  <c r="DB187" i="1"/>
  <c r="DB219" i="1"/>
  <c r="DE219" i="1" s="1"/>
  <c r="DF219" i="1" s="1"/>
  <c r="DB251" i="1"/>
  <c r="DE251" i="1" s="1"/>
  <c r="DF251" i="1" s="1"/>
  <c r="DB19" i="1"/>
  <c r="DE19" i="1" s="1"/>
  <c r="DF19" i="1" s="1"/>
  <c r="DB185" i="1"/>
  <c r="DB85" i="1"/>
  <c r="DY52" i="1"/>
  <c r="DV14" i="1"/>
  <c r="DY14" i="1" s="1"/>
  <c r="DZ14" i="1" s="1"/>
  <c r="DV118" i="1"/>
  <c r="DY118" i="1" s="1"/>
  <c r="DZ118" i="1" s="1"/>
  <c r="DY37" i="1"/>
  <c r="DY167" i="1"/>
  <c r="DV135" i="1"/>
  <c r="DY135" i="1" s="1"/>
  <c r="DZ135" i="1" s="1"/>
  <c r="DV28" i="1"/>
  <c r="DY28" i="1" s="1"/>
  <c r="DZ28" i="1" s="1"/>
  <c r="DV93" i="1"/>
  <c r="DY93" i="1" s="1"/>
  <c r="DZ93" i="1" s="1"/>
  <c r="DV126" i="1"/>
  <c r="DY126" i="1" s="1"/>
  <c r="DZ126" i="1" s="1"/>
  <c r="DY184" i="1"/>
  <c r="DY39" i="1"/>
  <c r="DZ39" i="1" s="1"/>
  <c r="DY127" i="1"/>
  <c r="DY222" i="1"/>
  <c r="DZ222" i="1" s="1"/>
  <c r="DY55" i="1"/>
  <c r="DZ55" i="1" s="1"/>
  <c r="DY273" i="1"/>
  <c r="DV94" i="1"/>
  <c r="DY94" i="1" s="1"/>
  <c r="DZ94" i="1" s="1"/>
  <c r="DY111" i="1"/>
  <c r="DZ111" i="1" s="1"/>
  <c r="DV30" i="1"/>
  <c r="DY30" i="1" s="1"/>
  <c r="DZ30" i="1" s="1"/>
  <c r="DY61" i="1"/>
  <c r="DZ61" i="1" s="1"/>
  <c r="DV15" i="1"/>
  <c r="DY15" i="1" s="1"/>
  <c r="DZ15" i="1" s="1"/>
  <c r="DV79" i="1"/>
  <c r="DY79" i="1" s="1"/>
  <c r="DZ79" i="1" s="1"/>
  <c r="DV143" i="1"/>
  <c r="DY143" i="1" s="1"/>
  <c r="DZ143" i="1" s="1"/>
  <c r="DV168" i="1"/>
  <c r="DY168" i="1" s="1"/>
  <c r="DZ168" i="1" s="1"/>
  <c r="DV108" i="1"/>
  <c r="DY108" i="1" s="1"/>
  <c r="DZ108" i="1" s="1"/>
  <c r="DV198" i="1"/>
  <c r="DZ198" i="1" s="1"/>
  <c r="DB89" i="1"/>
  <c r="DE89" i="1" s="1"/>
  <c r="DF89" i="1" s="1"/>
  <c r="DB34" i="1"/>
  <c r="DB66" i="1"/>
  <c r="DB98" i="1"/>
  <c r="DE98" i="1" s="1"/>
  <c r="DF98" i="1" s="1"/>
  <c r="DB130" i="1"/>
  <c r="DE130" i="1" s="1"/>
  <c r="DF130" i="1" s="1"/>
  <c r="DB163" i="1"/>
  <c r="DB195" i="1"/>
  <c r="DB227" i="1"/>
  <c r="DB259" i="1"/>
  <c r="DE259" i="1" s="1"/>
  <c r="DF259" i="1" s="1"/>
  <c r="DZ136" i="1"/>
  <c r="DY248" i="1"/>
  <c r="DY68" i="1"/>
  <c r="DZ60" i="1"/>
  <c r="DY83" i="1"/>
  <c r="DZ83" i="1" s="1"/>
  <c r="DV102" i="1"/>
  <c r="DY102" i="1" s="1"/>
  <c r="DZ102" i="1" s="1"/>
  <c r="DY247" i="1"/>
  <c r="DZ247" i="1" s="1"/>
  <c r="DV23" i="1"/>
  <c r="DY23" i="1" s="1"/>
  <c r="DV151" i="1"/>
  <c r="DY151" i="1" s="1"/>
  <c r="DZ151" i="1" s="1"/>
  <c r="DV176" i="1"/>
  <c r="DY176" i="1" s="1"/>
  <c r="DZ176" i="1" s="1"/>
  <c r="DV240" i="1"/>
  <c r="DY240" i="1" s="1"/>
  <c r="DZ240" i="1" s="1"/>
  <c r="DV29" i="1"/>
  <c r="DY29" i="1" s="1"/>
  <c r="DZ29" i="1" s="1"/>
  <c r="BN97" i="1"/>
  <c r="DB198" i="1"/>
  <c r="DF198" i="1" s="1"/>
  <c r="BN137" i="1"/>
  <c r="BN201" i="1"/>
  <c r="BQ201" i="1" s="1"/>
  <c r="BR201" i="1" s="1"/>
  <c r="BN266" i="1"/>
  <c r="BN186" i="1"/>
  <c r="BN269" i="1"/>
  <c r="BN122" i="1"/>
  <c r="BN227" i="1"/>
  <c r="BN259" i="1"/>
  <c r="BQ259" i="1" s="1"/>
  <c r="BR259" i="1" s="1"/>
  <c r="DB112" i="1"/>
  <c r="DE112" i="1" s="1"/>
  <c r="DF112" i="1" s="1"/>
  <c r="BN145" i="1"/>
  <c r="BR145" i="1" s="1"/>
  <c r="BN209" i="1"/>
  <c r="BN274" i="1"/>
  <c r="BN129" i="1"/>
  <c r="BQ129" i="1" s="1"/>
  <c r="BR129" i="1" s="1"/>
  <c r="BN204" i="1"/>
  <c r="BQ204" i="1" s="1"/>
  <c r="BR204" i="1" s="1"/>
  <c r="BN50" i="1"/>
  <c r="BN163" i="1"/>
  <c r="BQ163" i="1" s="1"/>
  <c r="BR163" i="1" s="1"/>
  <c r="BN268" i="1"/>
  <c r="BN300" i="1"/>
  <c r="BQ300" i="1" s="1"/>
  <c r="BR300" i="1" s="1"/>
  <c r="BN285" i="1"/>
  <c r="BN25" i="1"/>
  <c r="DB60" i="1"/>
  <c r="DF60" i="1" s="1"/>
  <c r="DF202" i="1"/>
  <c r="DB88" i="1"/>
  <c r="BN27" i="1"/>
  <c r="BQ27" i="1" s="1"/>
  <c r="BR27" i="1" s="1"/>
  <c r="BN94" i="1"/>
  <c r="BN146" i="1"/>
  <c r="BQ146" i="1" s="1"/>
  <c r="BR146" i="1" s="1"/>
  <c r="BN210" i="1"/>
  <c r="BN275" i="1"/>
  <c r="BN220" i="1"/>
  <c r="BN89" i="1"/>
  <c r="BQ89" i="1" s="1"/>
  <c r="BR89" i="1" s="1"/>
  <c r="BN58" i="1"/>
  <c r="BN73" i="1"/>
  <c r="BQ73" i="1" s="1"/>
  <c r="BR73" i="1" s="1"/>
  <c r="BN136" i="1"/>
  <c r="BN200" i="1"/>
  <c r="BQ200" i="1" s="1"/>
  <c r="BR200" i="1" s="1"/>
  <c r="BN265" i="1"/>
  <c r="BN33" i="1"/>
  <c r="BN156" i="1"/>
  <c r="BQ156" i="1" s="1"/>
  <c r="BR156" i="1" s="1"/>
  <c r="BN18" i="1"/>
  <c r="BN106" i="1"/>
  <c r="BN211" i="1"/>
  <c r="BQ211" i="1" s="1"/>
  <c r="BR211" i="1" s="1"/>
  <c r="BN243" i="1"/>
  <c r="BN242" i="1"/>
  <c r="BN194" i="1"/>
  <c r="BN258" i="1"/>
  <c r="Y210" i="1"/>
  <c r="Y204" i="1"/>
  <c r="BN138" i="1"/>
  <c r="BN202" i="1"/>
  <c r="BR202" i="1" s="1"/>
  <c r="BN267" i="1"/>
  <c r="BQ3" i="1"/>
  <c r="BR3" i="1" s="1"/>
  <c r="BQ221" i="1"/>
  <c r="BR221" i="1" s="1"/>
  <c r="BN44" i="1"/>
  <c r="BQ44" i="1" s="1"/>
  <c r="BR44" i="1" s="1"/>
  <c r="BN108" i="1"/>
  <c r="BQ108" i="1" s="1"/>
  <c r="BR108" i="1" s="1"/>
  <c r="BN173" i="1"/>
  <c r="BQ173" i="1" s="1"/>
  <c r="BR173" i="1" s="1"/>
  <c r="BN237" i="1"/>
  <c r="BQ237" i="1" s="1"/>
  <c r="BR237" i="1" s="1"/>
  <c r="BN154" i="1"/>
  <c r="BQ154" i="1" s="1"/>
  <c r="BR154" i="1" s="1"/>
  <c r="BN218" i="1"/>
  <c r="BN283" i="1"/>
  <c r="BQ283" i="1" s="1"/>
  <c r="BR283" i="1" s="1"/>
  <c r="BQ302" i="1"/>
  <c r="BR302" i="1" s="1"/>
  <c r="BQ270" i="1"/>
  <c r="BR270" i="1" s="1"/>
  <c r="BN162" i="1"/>
  <c r="BN226" i="1"/>
  <c r="BQ226" i="1" s="1"/>
  <c r="BR226" i="1" s="1"/>
  <c r="BN291" i="1"/>
  <c r="BQ196" i="1"/>
  <c r="BR196" i="1" s="1"/>
  <c r="BN60" i="1"/>
  <c r="BR60" i="1" s="1"/>
  <c r="BN124" i="1"/>
  <c r="BQ124" i="1" s="1"/>
  <c r="BR124" i="1" s="1"/>
  <c r="BN189" i="1"/>
  <c r="BQ189" i="1" s="1"/>
  <c r="BR189" i="1" s="1"/>
  <c r="BN253" i="1"/>
  <c r="BQ253" i="1" s="1"/>
  <c r="BR253" i="1" s="1"/>
  <c r="BQ12" i="1"/>
  <c r="BR12" i="1" s="1"/>
  <c r="BN67" i="1"/>
  <c r="BQ67" i="1" s="1"/>
  <c r="BR67" i="1" s="1"/>
  <c r="BN4" i="1"/>
  <c r="BR4" i="1" s="1"/>
  <c r="BN68" i="1"/>
  <c r="BQ68" i="1" s="1"/>
  <c r="BR68" i="1" s="1"/>
  <c r="AB41" i="1"/>
  <c r="AC41" i="1" s="1"/>
  <c r="AB213" i="1"/>
  <c r="AB281" i="1"/>
  <c r="AC281" i="1" s="1"/>
  <c r="ER132" i="1"/>
  <c r="ES132" i="1" s="1"/>
  <c r="Y76" i="1"/>
  <c r="AB76" i="1" s="1"/>
  <c r="AC76" i="1" s="1"/>
  <c r="Y160" i="1"/>
  <c r="AB160" i="1" s="1"/>
  <c r="AC160" i="1" s="1"/>
  <c r="Y234" i="1"/>
  <c r="AB234" i="1" s="1"/>
  <c r="AC234" i="1" s="1"/>
  <c r="AB68" i="1"/>
  <c r="AC68" i="1" s="1"/>
  <c r="Y11" i="1"/>
  <c r="AB11" i="1" s="1"/>
  <c r="AC11" i="1" s="1"/>
  <c r="Y34" i="1"/>
  <c r="AB34" i="1" s="1"/>
  <c r="AC34" i="1" s="1"/>
  <c r="AB273" i="1"/>
  <c r="AC273" i="1" s="1"/>
  <c r="AB121" i="1"/>
  <c r="Y189" i="1"/>
  <c r="AB189" i="1" s="1"/>
  <c r="AC189" i="1" s="1"/>
  <c r="Y198" i="1"/>
  <c r="AC198" i="1" s="1"/>
  <c r="Y240" i="1"/>
  <c r="AB240" i="1" s="1"/>
  <c r="AC240" i="1" s="1"/>
  <c r="Y81" i="1"/>
  <c r="AB81" i="1" s="1"/>
  <c r="AC81" i="1" s="1"/>
  <c r="Y145" i="1"/>
  <c r="AC145" i="1" s="1"/>
  <c r="Y170" i="1"/>
  <c r="AB170" i="1" s="1"/>
  <c r="AB275" i="1"/>
  <c r="AC275" i="1" s="1"/>
  <c r="AB216" i="1"/>
  <c r="AC216" i="1" s="1"/>
  <c r="AB208" i="1"/>
  <c r="AC208" i="1" s="1"/>
  <c r="AB113" i="1"/>
  <c r="AB286" i="1"/>
  <c r="AC286" i="1" s="1"/>
  <c r="AB129" i="1"/>
  <c r="AC129" i="1" s="1"/>
  <c r="AB173" i="1"/>
  <c r="AC173" i="1" s="1"/>
  <c r="AC136" i="1"/>
  <c r="Y100" i="1"/>
  <c r="AB100" i="1" s="1"/>
  <c r="AC100" i="1" s="1"/>
  <c r="Y262" i="1"/>
  <c r="AB262" i="1" s="1"/>
  <c r="AC262" i="1" s="1"/>
  <c r="Y248" i="1"/>
  <c r="AB248" i="1" s="1"/>
  <c r="AC248" i="1" s="1"/>
  <c r="AB253" i="1"/>
  <c r="AB232" i="1"/>
  <c r="Y144" i="1"/>
  <c r="AB49" i="1"/>
  <c r="AB221" i="1"/>
  <c r="AC221" i="1" s="1"/>
  <c r="AB73" i="1"/>
  <c r="AC202" i="1"/>
  <c r="AB131" i="1"/>
  <c r="AB181" i="1"/>
  <c r="AB245" i="1"/>
  <c r="AC245" i="1" s="1"/>
  <c r="AB36" i="1"/>
  <c r="AC36" i="1" s="1"/>
  <c r="AB12" i="1"/>
  <c r="AB21" i="1"/>
  <c r="AC21" i="1" s="1"/>
  <c r="AB20" i="1"/>
  <c r="AC20" i="1" s="1"/>
  <c r="AB84" i="1"/>
  <c r="AC84" i="1" s="1"/>
  <c r="Y44" i="1"/>
  <c r="AB44" i="1" s="1"/>
  <c r="AC44" i="1" s="1"/>
  <c r="Y108" i="1"/>
  <c r="AB108" i="1" s="1"/>
  <c r="AC108" i="1" s="1"/>
  <c r="Y13" i="1"/>
  <c r="AB13" i="1" s="1"/>
  <c r="AC13" i="1" s="1"/>
  <c r="Y141" i="1"/>
  <c r="Y205" i="1"/>
  <c r="AB205" i="1" s="1"/>
  <c r="AC205" i="1" s="1"/>
  <c r="Y270" i="1"/>
  <c r="Y192" i="1"/>
  <c r="AC192" i="1" s="1"/>
  <c r="Y256" i="1"/>
  <c r="AB256" i="1" s="1"/>
  <c r="AC256" i="1" s="1"/>
  <c r="Y186" i="1"/>
  <c r="AB186" i="1" s="1"/>
  <c r="AC186" i="1" s="1"/>
  <c r="O31" i="1"/>
  <c r="R31" i="1" s="1"/>
  <c r="S31" i="1" s="1"/>
  <c r="O137" i="1"/>
  <c r="R137" i="1" s="1"/>
  <c r="S137" i="1" s="1"/>
  <c r="O142" i="1"/>
  <c r="R142" i="1" s="1"/>
  <c r="S142" i="1" s="1"/>
  <c r="O97" i="1"/>
  <c r="R97" i="1" s="1"/>
  <c r="S97" i="1" s="1"/>
  <c r="O267" i="1"/>
  <c r="R267" i="1" s="1"/>
  <c r="S267" i="1" s="1"/>
  <c r="O153" i="1"/>
  <c r="R153" i="1" s="1"/>
  <c r="S153" i="1" s="1"/>
  <c r="O149" i="1"/>
  <c r="R149" i="1" s="1"/>
  <c r="S149" i="1" s="1"/>
  <c r="O155" i="1"/>
  <c r="R155" i="1" s="1"/>
  <c r="S155" i="1" s="1"/>
  <c r="O243" i="1"/>
  <c r="R243" i="1" s="1"/>
  <c r="S243" i="1" s="1"/>
  <c r="O60" i="1"/>
  <c r="S60" i="1" s="1"/>
  <c r="O292" i="1"/>
  <c r="R292" i="1" s="1"/>
  <c r="S292" i="1" s="1"/>
  <c r="O251" i="1"/>
  <c r="R251" i="1" s="1"/>
  <c r="S251" i="1" s="1"/>
  <c r="O100" i="1"/>
  <c r="R100" i="1" s="1"/>
  <c r="S100" i="1" s="1"/>
  <c r="O164" i="1"/>
  <c r="R164" i="1" s="1"/>
  <c r="S164" i="1" s="1"/>
  <c r="O253" i="1"/>
  <c r="R253" i="1" s="1"/>
  <c r="S253" i="1" s="1"/>
  <c r="O54" i="1"/>
  <c r="R54" i="1" s="1"/>
  <c r="S54" i="1" s="1"/>
  <c r="O175" i="1"/>
  <c r="R175" i="1" s="1"/>
  <c r="S175" i="1" s="1"/>
  <c r="O119" i="1"/>
  <c r="R119" i="1" s="1"/>
  <c r="S119" i="1" s="1"/>
  <c r="O150" i="1"/>
  <c r="R150" i="1" s="1"/>
  <c r="S150" i="1" s="1"/>
  <c r="O201" i="1"/>
  <c r="R201" i="1" s="1"/>
  <c r="S201" i="1" s="1"/>
  <c r="O206" i="1"/>
  <c r="R206" i="1" s="1"/>
  <c r="S206" i="1" s="1"/>
  <c r="O129" i="1"/>
  <c r="R129" i="1" s="1"/>
  <c r="S129" i="1" s="1"/>
  <c r="O210" i="1"/>
  <c r="R210" i="1" s="1"/>
  <c r="S210" i="1" s="1"/>
  <c r="O32" i="1"/>
  <c r="R32" i="1" s="1"/>
  <c r="S32" i="1" s="1"/>
  <c r="O226" i="1"/>
  <c r="R226" i="1" s="1"/>
  <c r="S226" i="1" s="1"/>
  <c r="O85" i="1"/>
  <c r="R85" i="1" s="1"/>
  <c r="S85" i="1" s="1"/>
  <c r="O45" i="1"/>
  <c r="R45" i="1" s="1"/>
  <c r="S45" i="1" s="1"/>
  <c r="O156" i="1"/>
  <c r="R156" i="1" s="1"/>
  <c r="S156" i="1" s="1"/>
  <c r="O244" i="1"/>
  <c r="R244" i="1" s="1"/>
  <c r="S244" i="1" s="1"/>
  <c r="O204" i="1"/>
  <c r="R204" i="1" s="1"/>
  <c r="S204" i="1" s="1"/>
  <c r="O122" i="1"/>
  <c r="R122" i="1" s="1"/>
  <c r="S122" i="1" s="1"/>
  <c r="O301" i="1"/>
  <c r="R301" i="1" s="1"/>
  <c r="S301" i="1" s="1"/>
  <c r="O68" i="1"/>
  <c r="R68" i="1" s="1"/>
  <c r="S68" i="1" s="1"/>
  <c r="O171" i="1"/>
  <c r="R171" i="1" s="1"/>
  <c r="S171" i="1" s="1"/>
  <c r="O46" i="1"/>
  <c r="R46" i="1" s="1"/>
  <c r="S46" i="1" s="1"/>
  <c r="O63" i="1"/>
  <c r="O167" i="1"/>
  <c r="R167" i="1" s="1"/>
  <c r="S167" i="1" s="1"/>
  <c r="O81" i="1"/>
  <c r="R81" i="1" s="1"/>
  <c r="S81" i="1" s="1"/>
  <c r="O241" i="1"/>
  <c r="R241" i="1" s="1"/>
  <c r="S241" i="1" s="1"/>
  <c r="O215" i="1"/>
  <c r="R215" i="1" s="1"/>
  <c r="S215" i="1" s="1"/>
  <c r="O138" i="1"/>
  <c r="R138" i="1" s="1"/>
  <c r="S138" i="1" s="1"/>
  <c r="O281" i="1"/>
  <c r="R281" i="1" s="1"/>
  <c r="S281" i="1" s="1"/>
  <c r="O273" i="1"/>
  <c r="R273" i="1" s="1"/>
  <c r="S273" i="1" s="1"/>
  <c r="O90" i="1"/>
  <c r="R90" i="1" s="1"/>
  <c r="S90" i="1" s="1"/>
  <c r="O179" i="1"/>
  <c r="R179" i="1" s="1"/>
  <c r="S179" i="1" s="1"/>
  <c r="O274" i="1"/>
  <c r="R274" i="1" s="1"/>
  <c r="S274" i="1" s="1"/>
  <c r="O227" i="1"/>
  <c r="R227" i="1" s="1"/>
  <c r="S227" i="1" s="1"/>
  <c r="O145" i="1"/>
  <c r="S145" i="1" s="1"/>
  <c r="O44" i="1"/>
  <c r="R44" i="1" s="1"/>
  <c r="S44" i="1" s="1"/>
  <c r="O20" i="1"/>
  <c r="R20" i="1" s="1"/>
  <c r="S20" i="1" s="1"/>
  <c r="O211" i="1"/>
  <c r="R211" i="1" s="1"/>
  <c r="S211" i="1" s="1"/>
  <c r="O84" i="1"/>
  <c r="R84" i="1" s="1"/>
  <c r="S84" i="1" s="1"/>
  <c r="O26" i="1"/>
  <c r="R26" i="1" s="1"/>
  <c r="S26" i="1" s="1"/>
  <c r="O189" i="1"/>
  <c r="R189" i="1" s="1"/>
  <c r="S189" i="1" s="1"/>
  <c r="O29" i="1"/>
  <c r="R29" i="1" s="1"/>
  <c r="S29" i="1" s="1"/>
  <c r="O58" i="1"/>
  <c r="R58" i="1" s="1"/>
  <c r="S58" i="1" s="1"/>
  <c r="O14" i="1"/>
  <c r="R14" i="1" s="1"/>
  <c r="S14" i="1" s="1"/>
  <c r="O6" i="1"/>
  <c r="R6" i="1" s="1"/>
  <c r="S6" i="1" s="1"/>
  <c r="O238" i="1"/>
  <c r="R238" i="1" s="1"/>
  <c r="S238" i="1" s="1"/>
  <c r="O158" i="1"/>
  <c r="R158" i="1" s="1"/>
  <c r="S158" i="1" s="1"/>
  <c r="O256" i="1"/>
  <c r="R256" i="1" s="1"/>
  <c r="S256" i="1" s="1"/>
  <c r="O297" i="1"/>
  <c r="R297" i="1" s="1"/>
  <c r="S297" i="1" s="1"/>
  <c r="O48" i="1"/>
  <c r="R48" i="1" s="1"/>
  <c r="S48" i="1" s="1"/>
  <c r="O16" i="1"/>
  <c r="R16" i="1" s="1"/>
  <c r="S16" i="1" s="1"/>
  <c r="O234" i="1"/>
  <c r="R234" i="1" s="1"/>
  <c r="S234" i="1" s="1"/>
  <c r="O237" i="1"/>
  <c r="R237" i="1" s="1"/>
  <c r="S237" i="1" s="1"/>
  <c r="O200" i="1"/>
  <c r="R200" i="1" s="1"/>
  <c r="S200" i="1" s="1"/>
  <c r="O246" i="1"/>
  <c r="R246" i="1" s="1"/>
  <c r="S246" i="1" s="1"/>
  <c r="O104" i="1"/>
  <c r="R104" i="1" s="1"/>
  <c r="S104" i="1" s="1"/>
  <c r="O21" i="1"/>
  <c r="R21" i="1" s="1"/>
  <c r="S21" i="1" s="1"/>
  <c r="O188" i="1"/>
  <c r="R188" i="1" s="1"/>
  <c r="S188" i="1" s="1"/>
  <c r="O302" i="1"/>
  <c r="R302" i="1" s="1"/>
  <c r="S302" i="1" s="1"/>
  <c r="O62" i="1"/>
  <c r="R62" i="1" s="1"/>
  <c r="S62" i="1" s="1"/>
  <c r="O115" i="1"/>
  <c r="R115" i="1" s="1"/>
  <c r="S115" i="1" s="1"/>
  <c r="O183" i="1"/>
  <c r="R183" i="1" s="1"/>
  <c r="S183" i="1" s="1"/>
  <c r="O127" i="1"/>
  <c r="R127" i="1" s="1"/>
  <c r="S127" i="1" s="1"/>
  <c r="O159" i="1"/>
  <c r="R159" i="1" s="1"/>
  <c r="S159" i="1" s="1"/>
  <c r="O33" i="1"/>
  <c r="R33" i="1" s="1"/>
  <c r="S33" i="1" s="1"/>
  <c r="O94" i="1"/>
  <c r="R94" i="1" s="1"/>
  <c r="S94" i="1" s="1"/>
  <c r="O25" i="1"/>
  <c r="R25" i="1" s="1"/>
  <c r="S25" i="1" s="1"/>
  <c r="O242" i="1"/>
  <c r="R242" i="1" s="1"/>
  <c r="S242" i="1" s="1"/>
  <c r="O87" i="1"/>
  <c r="R87" i="1" s="1"/>
  <c r="S87" i="1" s="1"/>
  <c r="O263" i="1"/>
  <c r="R263" i="1" s="1"/>
  <c r="S263" i="1" s="1"/>
  <c r="O259" i="1"/>
  <c r="R259" i="1" s="1"/>
  <c r="S259" i="1" s="1"/>
  <c r="O260" i="1"/>
  <c r="R260" i="1" s="1"/>
  <c r="S260" i="1" s="1"/>
  <c r="O272" i="1"/>
  <c r="R272" i="1" s="1"/>
  <c r="S272" i="1" s="1"/>
  <c r="O141" i="1"/>
  <c r="R141" i="1" s="1"/>
  <c r="S141" i="1" s="1"/>
  <c r="AB132" i="1"/>
  <c r="AC132" i="1" s="1"/>
  <c r="O71" i="1"/>
  <c r="R71" i="1" s="1"/>
  <c r="S71" i="1" s="1"/>
  <c r="O230" i="1"/>
  <c r="R230" i="1" s="1"/>
  <c r="S230" i="1" s="1"/>
  <c r="O287" i="1"/>
  <c r="R287" i="1" s="1"/>
  <c r="S287" i="1" s="1"/>
  <c r="O184" i="1"/>
  <c r="R184" i="1" s="1"/>
  <c r="S184" i="1" s="1"/>
  <c r="O223" i="1"/>
  <c r="R223" i="1" s="1"/>
  <c r="S223" i="1" s="1"/>
  <c r="O266" i="1"/>
  <c r="R266" i="1" s="1"/>
  <c r="S266" i="1" s="1"/>
  <c r="O271" i="1"/>
  <c r="R271" i="1" s="1"/>
  <c r="S271" i="1" s="1"/>
  <c r="O178" i="1"/>
  <c r="R178" i="1" s="1"/>
  <c r="S178" i="1" s="1"/>
  <c r="O218" i="1"/>
  <c r="R218" i="1" s="1"/>
  <c r="S218" i="1" s="1"/>
  <c r="O9" i="1"/>
  <c r="R9" i="1" s="1"/>
  <c r="S9" i="1" s="1"/>
  <c r="O198" i="1"/>
  <c r="S198" i="1" s="1"/>
  <c r="O11" i="1"/>
  <c r="R11" i="1" s="1"/>
  <c r="S11" i="1" s="1"/>
  <c r="O157" i="1"/>
  <c r="R157" i="1" s="1"/>
  <c r="S157" i="1" s="1"/>
  <c r="O116" i="1"/>
  <c r="R116" i="1" s="1"/>
  <c r="S116" i="1" s="1"/>
  <c r="O36" i="1"/>
  <c r="R36" i="1" s="1"/>
  <c r="S36" i="1" s="1"/>
  <c r="O125" i="1"/>
  <c r="R125" i="1" s="1"/>
  <c r="S125" i="1" s="1"/>
  <c r="O276" i="1"/>
  <c r="R276" i="1" s="1"/>
  <c r="S276" i="1" s="1"/>
  <c r="O83" i="1"/>
  <c r="O34" i="1"/>
  <c r="R34" i="1" s="1"/>
  <c r="S34" i="1" s="1"/>
  <c r="O72" i="1"/>
  <c r="R72" i="1" s="1"/>
  <c r="S72" i="1" s="1"/>
  <c r="O51" i="1"/>
  <c r="R51" i="1" s="1"/>
  <c r="S51" i="1" s="1"/>
  <c r="O57" i="1"/>
  <c r="R57" i="1" s="1"/>
  <c r="S57" i="1" s="1"/>
  <c r="O55" i="1"/>
  <c r="R55" i="1" s="1"/>
  <c r="S55" i="1" s="1"/>
  <c r="O296" i="1"/>
  <c r="R296" i="1" s="1"/>
  <c r="S296" i="1" s="1"/>
  <c r="O192" i="1"/>
  <c r="S192" i="1" s="1"/>
  <c r="O93" i="1"/>
  <c r="R93" i="1" s="1"/>
  <c r="S93" i="1" s="1"/>
  <c r="O232" i="1"/>
  <c r="R232" i="1" s="1"/>
  <c r="S232" i="1" s="1"/>
  <c r="O177" i="1"/>
  <c r="R177" i="1" s="1"/>
  <c r="S177" i="1" s="1"/>
  <c r="O290" i="1"/>
  <c r="R290" i="1" s="1"/>
  <c r="S290" i="1" s="1"/>
  <c r="O186" i="1"/>
  <c r="R186" i="1" s="1"/>
  <c r="S186" i="1" s="1"/>
  <c r="O275" i="1"/>
  <c r="R275" i="1" s="1"/>
  <c r="S275" i="1" s="1"/>
  <c r="O283" i="1"/>
  <c r="R283" i="1" s="1"/>
  <c r="S283" i="1" s="1"/>
  <c r="O162" i="1"/>
  <c r="R162" i="1" s="1"/>
  <c r="S162" i="1" s="1"/>
  <c r="O64" i="1"/>
  <c r="R64" i="1" s="1"/>
  <c r="S64" i="1" s="1"/>
  <c r="O172" i="1"/>
  <c r="R172" i="1" s="1"/>
  <c r="S172" i="1" s="1"/>
  <c r="O264" i="1"/>
  <c r="R264" i="1" s="1"/>
  <c r="S264" i="1" s="1"/>
  <c r="O205" i="1"/>
  <c r="R205" i="1" s="1"/>
  <c r="S205" i="1" s="1"/>
  <c r="O47" i="1"/>
  <c r="R47" i="1" s="1"/>
  <c r="S47" i="1" s="1"/>
  <c r="O176" i="1"/>
  <c r="R176" i="1" s="1"/>
  <c r="S176" i="1" s="1"/>
  <c r="O8" i="1"/>
  <c r="R8" i="1" s="1"/>
  <c r="S8" i="1" s="1"/>
  <c r="O112" i="1"/>
  <c r="R112" i="1" s="1"/>
  <c r="S112" i="1" s="1"/>
  <c r="O233" i="1"/>
  <c r="R233" i="1" s="1"/>
  <c r="S233" i="1" s="1"/>
  <c r="R262" i="1"/>
  <c r="S262" i="1" s="1"/>
  <c r="S4" i="1"/>
  <c r="R190" i="1"/>
  <c r="S190" i="1" s="1"/>
  <c r="O77" i="1"/>
  <c r="R77" i="1" s="1"/>
  <c r="S77" i="1" s="1"/>
  <c r="O214" i="1"/>
  <c r="R214" i="1" s="1"/>
  <c r="S214" i="1" s="1"/>
  <c r="O126" i="1"/>
  <c r="R126" i="1" s="1"/>
  <c r="S126" i="1" s="1"/>
  <c r="O128" i="1"/>
  <c r="R128" i="1" s="1"/>
  <c r="S128" i="1" s="1"/>
  <c r="O17" i="1"/>
  <c r="R17" i="1" s="1"/>
  <c r="S17" i="1" s="1"/>
  <c r="O82" i="1"/>
  <c r="R82" i="1" s="1"/>
  <c r="S82" i="1" s="1"/>
  <c r="O59" i="1"/>
  <c r="R59" i="1" s="1"/>
  <c r="S59" i="1" s="1"/>
  <c r="O252" i="1"/>
  <c r="R252" i="1" s="1"/>
  <c r="S252" i="1" s="1"/>
  <c r="R180" i="1"/>
  <c r="S180" i="1" s="1"/>
  <c r="R53" i="1"/>
  <c r="S53" i="1" s="1"/>
  <c r="R270" i="1"/>
  <c r="S270" i="1" s="1"/>
  <c r="R123" i="1"/>
  <c r="S123" i="1" s="1"/>
  <c r="R191" i="1"/>
  <c r="S191" i="1" s="1"/>
  <c r="R240" i="1"/>
  <c r="S240" i="1" s="1"/>
  <c r="R194" i="1"/>
  <c r="S194" i="1" s="1"/>
  <c r="R65" i="1"/>
  <c r="S65" i="1" s="1"/>
  <c r="R73" i="1"/>
  <c r="S73" i="1" s="1"/>
  <c r="R285" i="1"/>
  <c r="S285" i="1" s="1"/>
  <c r="R203" i="1"/>
  <c r="S203" i="1" s="1"/>
  <c r="R163" i="1"/>
  <c r="S163" i="1" s="1"/>
  <c r="R61" i="1"/>
  <c r="S61" i="1" s="1"/>
  <c r="R225" i="1"/>
  <c r="S225" i="1" s="1"/>
  <c r="R147" i="1"/>
  <c r="S147" i="1" s="1"/>
  <c r="AV61" i="1"/>
  <c r="AW61" i="1" s="1"/>
  <c r="O92" i="1"/>
  <c r="R92" i="1" s="1"/>
  <c r="S92" i="1" s="1"/>
  <c r="O101" i="1"/>
  <c r="R101" i="1" s="1"/>
  <c r="S101" i="1" s="1"/>
  <c r="O70" i="1"/>
  <c r="R70" i="1" s="1"/>
  <c r="S70" i="1" s="1"/>
  <c r="O56" i="1"/>
  <c r="R56" i="1" s="1"/>
  <c r="S56" i="1" s="1"/>
  <c r="O185" i="1"/>
  <c r="R185" i="1" s="1"/>
  <c r="S185" i="1" s="1"/>
  <c r="O257" i="1"/>
  <c r="R257" i="1" s="1"/>
  <c r="S257" i="1" s="1"/>
  <c r="O89" i="1"/>
  <c r="R89" i="1" s="1"/>
  <c r="S89" i="1" s="1"/>
  <c r="O154" i="1"/>
  <c r="R154" i="1" s="1"/>
  <c r="S154" i="1" s="1"/>
  <c r="O291" i="1"/>
  <c r="R291" i="1" s="1"/>
  <c r="S291" i="1" s="1"/>
  <c r="O195" i="1"/>
  <c r="R195" i="1" s="1"/>
  <c r="S195" i="1" s="1"/>
  <c r="O3" i="1"/>
  <c r="R3" i="1" s="1"/>
  <c r="S3" i="1" s="1"/>
  <c r="O131" i="1"/>
  <c r="R131" i="1" s="1"/>
  <c r="S131" i="1" s="1"/>
  <c r="O196" i="1"/>
  <c r="R196" i="1" s="1"/>
  <c r="S196" i="1" s="1"/>
  <c r="R174" i="1"/>
  <c r="S174" i="1" s="1"/>
  <c r="R248" i="1"/>
  <c r="S248" i="1" s="1"/>
  <c r="R111" i="1"/>
  <c r="S111" i="1" s="1"/>
  <c r="R288" i="1"/>
  <c r="S288" i="1" s="1"/>
  <c r="R39" i="1"/>
  <c r="S39" i="1" s="1"/>
  <c r="R169" i="1"/>
  <c r="S169" i="1" s="1"/>
  <c r="R298" i="1"/>
  <c r="S298" i="1" s="1"/>
  <c r="R69" i="1"/>
  <c r="S69" i="1" s="1"/>
  <c r="R28" i="1"/>
  <c r="S28" i="1" s="1"/>
  <c r="R219" i="1"/>
  <c r="S219" i="1" s="1"/>
  <c r="R133" i="1"/>
  <c r="S133" i="1" s="1"/>
  <c r="R76" i="1"/>
  <c r="S76" i="1" s="1"/>
  <c r="R221" i="1"/>
  <c r="S221" i="1" s="1"/>
  <c r="R255" i="1"/>
  <c r="S255" i="1" s="1"/>
  <c r="R199" i="1"/>
  <c r="S199" i="1" s="1"/>
  <c r="O165" i="1"/>
  <c r="R165" i="1" s="1"/>
  <c r="S165" i="1" s="1"/>
  <c r="O294" i="1"/>
  <c r="R294" i="1" s="1"/>
  <c r="S294" i="1" s="1"/>
  <c r="O78" i="1"/>
  <c r="R78" i="1" s="1"/>
  <c r="S78" i="1" s="1"/>
  <c r="O7" i="1"/>
  <c r="R7" i="1" s="1"/>
  <c r="S7" i="1" s="1"/>
  <c r="O136" i="1"/>
  <c r="S136" i="1" s="1"/>
  <c r="O265" i="1"/>
  <c r="R265" i="1" s="1"/>
  <c r="S265" i="1" s="1"/>
  <c r="O161" i="1"/>
  <c r="R161" i="1" s="1"/>
  <c r="S161" i="1" s="1"/>
  <c r="O114" i="1"/>
  <c r="R114" i="1" s="1"/>
  <c r="S114" i="1" s="1"/>
  <c r="O75" i="1"/>
  <c r="R75" i="1" s="1"/>
  <c r="S75" i="1" s="1"/>
  <c r="O140" i="1"/>
  <c r="R140" i="1" s="1"/>
  <c r="S140" i="1" s="1"/>
  <c r="O269" i="1"/>
  <c r="R269" i="1" s="1"/>
  <c r="S269" i="1" s="1"/>
  <c r="O173" i="1"/>
  <c r="R173" i="1" s="1"/>
  <c r="S173" i="1" s="1"/>
  <c r="O5" i="1"/>
  <c r="R5" i="1" s="1"/>
  <c r="S5" i="1" s="1"/>
  <c r="O134" i="1"/>
  <c r="R134" i="1" s="1"/>
  <c r="S134" i="1" s="1"/>
  <c r="O22" i="1"/>
  <c r="R22" i="1" s="1"/>
  <c r="S22" i="1" s="1"/>
  <c r="O79" i="1"/>
  <c r="R79" i="1" s="1"/>
  <c r="S79" i="1" s="1"/>
  <c r="O144" i="1"/>
  <c r="R144" i="1" s="1"/>
  <c r="S144" i="1" s="1"/>
  <c r="O208" i="1"/>
  <c r="R208" i="1" s="1"/>
  <c r="S208" i="1" s="1"/>
  <c r="O88" i="1"/>
  <c r="R88" i="1" s="1"/>
  <c r="S88" i="1" s="1"/>
  <c r="O217" i="1"/>
  <c r="R217" i="1" s="1"/>
  <c r="S217" i="1" s="1"/>
  <c r="O170" i="1"/>
  <c r="R170" i="1" s="1"/>
  <c r="S170" i="1" s="1"/>
  <c r="O10" i="1"/>
  <c r="R10" i="1" s="1"/>
  <c r="S10" i="1" s="1"/>
  <c r="O300" i="1"/>
  <c r="R300" i="1" s="1"/>
  <c r="S300" i="1" s="1"/>
  <c r="O106" i="1"/>
  <c r="R106" i="1" s="1"/>
  <c r="S106" i="1" s="1"/>
  <c r="O19" i="1"/>
  <c r="R19" i="1" s="1"/>
  <c r="S19" i="1" s="1"/>
  <c r="O148" i="1"/>
  <c r="R148" i="1" s="1"/>
  <c r="S148" i="1" s="1"/>
  <c r="O277" i="1"/>
  <c r="R277" i="1" s="1"/>
  <c r="S277" i="1" s="1"/>
  <c r="O52" i="1"/>
  <c r="R52" i="1" s="1"/>
  <c r="S52" i="1" s="1"/>
  <c r="O13" i="1"/>
  <c r="R13" i="1" s="1"/>
  <c r="S13" i="1" s="1"/>
  <c r="O30" i="1"/>
  <c r="R30" i="1" s="1"/>
  <c r="S30" i="1" s="1"/>
  <c r="O231" i="1"/>
  <c r="R231" i="1" s="1"/>
  <c r="S231" i="1" s="1"/>
  <c r="O23" i="1"/>
  <c r="R23" i="1" s="1"/>
  <c r="S23" i="1" s="1"/>
  <c r="O216" i="1"/>
  <c r="R216" i="1" s="1"/>
  <c r="S216" i="1" s="1"/>
  <c r="O193" i="1"/>
  <c r="R193" i="1" s="1"/>
  <c r="S193" i="1" s="1"/>
  <c r="O49" i="1"/>
  <c r="R49" i="1" s="1"/>
  <c r="S49" i="1" s="1"/>
  <c r="O113" i="1"/>
  <c r="R113" i="1" s="1"/>
  <c r="S113" i="1" s="1"/>
  <c r="O18" i="1"/>
  <c r="R18" i="1" s="1"/>
  <c r="S18" i="1" s="1"/>
  <c r="O293" i="1"/>
  <c r="R293" i="1" s="1"/>
  <c r="S293" i="1" s="1"/>
  <c r="O91" i="1"/>
  <c r="R91" i="1" s="1"/>
  <c r="S91" i="1" s="1"/>
  <c r="O220" i="1"/>
  <c r="R220" i="1" s="1"/>
  <c r="S220" i="1" s="1"/>
  <c r="R109" i="1"/>
  <c r="S109" i="1" s="1"/>
  <c r="R222" i="1"/>
  <c r="S222" i="1" s="1"/>
  <c r="R152" i="1"/>
  <c r="S152" i="1" s="1"/>
  <c r="R168" i="1"/>
  <c r="S168" i="1" s="1"/>
  <c r="R249" i="1"/>
  <c r="S249" i="1" s="1"/>
  <c r="R103" i="1"/>
  <c r="S103" i="1" s="1"/>
  <c r="R146" i="1"/>
  <c r="S146" i="1" s="1"/>
  <c r="R250" i="1"/>
  <c r="S250" i="1" s="1"/>
  <c r="R96" i="1"/>
  <c r="S96" i="1" s="1"/>
  <c r="R282" i="1"/>
  <c r="S282" i="1" s="1"/>
  <c r="R27" i="1"/>
  <c r="S27" i="1" s="1"/>
  <c r="R278" i="1"/>
  <c r="S278" i="1" s="1"/>
  <c r="R108" i="1"/>
  <c r="S108" i="1" s="1"/>
  <c r="R284" i="1"/>
  <c r="S284" i="1" s="1"/>
  <c r="R197" i="1"/>
  <c r="S197" i="1" s="1"/>
  <c r="R12" i="1"/>
  <c r="S12" i="1" s="1"/>
  <c r="R286" i="1"/>
  <c r="S286" i="1" s="1"/>
  <c r="R245" i="1"/>
  <c r="S245" i="1" s="1"/>
  <c r="R67" i="1"/>
  <c r="S67" i="1" s="1"/>
  <c r="R229" i="1"/>
  <c r="S229" i="1" s="1"/>
  <c r="R107" i="1"/>
  <c r="S107" i="1" s="1"/>
  <c r="R43" i="1"/>
  <c r="S43" i="1" s="1"/>
  <c r="R212" i="1"/>
  <c r="S212" i="1" s="1"/>
  <c r="R40" i="1"/>
  <c r="S40" i="1" s="1"/>
  <c r="R143" i="1"/>
  <c r="S143" i="1" s="1"/>
  <c r="R86" i="1"/>
  <c r="S86" i="1" s="1"/>
  <c r="R15" i="1"/>
  <c r="S15" i="1" s="1"/>
  <c r="O124" i="1"/>
  <c r="R124" i="1" s="1"/>
  <c r="S124" i="1" s="1"/>
  <c r="O279" i="1"/>
  <c r="R279" i="1" s="1"/>
  <c r="S279" i="1" s="1"/>
  <c r="O37" i="1"/>
  <c r="R37" i="1" s="1"/>
  <c r="S37" i="1" s="1"/>
  <c r="O166" i="1"/>
  <c r="R166" i="1" s="1"/>
  <c r="S166" i="1" s="1"/>
  <c r="O38" i="1"/>
  <c r="R38" i="1" s="1"/>
  <c r="S38" i="1" s="1"/>
  <c r="O102" i="1"/>
  <c r="R102" i="1" s="1"/>
  <c r="S102" i="1" s="1"/>
  <c r="O239" i="1"/>
  <c r="R239" i="1" s="1"/>
  <c r="S239" i="1" s="1"/>
  <c r="O95" i="1"/>
  <c r="R95" i="1" s="1"/>
  <c r="S95" i="1" s="1"/>
  <c r="O160" i="1"/>
  <c r="R160" i="1" s="1"/>
  <c r="S160" i="1" s="1"/>
  <c r="O224" i="1"/>
  <c r="R224" i="1" s="1"/>
  <c r="S224" i="1" s="1"/>
  <c r="O289" i="1"/>
  <c r="R289" i="1" s="1"/>
  <c r="S289" i="1" s="1"/>
  <c r="O120" i="1"/>
  <c r="R120" i="1" s="1"/>
  <c r="S120" i="1" s="1"/>
  <c r="O80" i="1"/>
  <c r="R80" i="1" s="1"/>
  <c r="S80" i="1" s="1"/>
  <c r="O209" i="1"/>
  <c r="R209" i="1" s="1"/>
  <c r="S209" i="1" s="1"/>
  <c r="O121" i="1"/>
  <c r="R121" i="1" s="1"/>
  <c r="S121" i="1" s="1"/>
  <c r="O258" i="1"/>
  <c r="R258" i="1" s="1"/>
  <c r="S258" i="1" s="1"/>
  <c r="O187" i="1"/>
  <c r="R187" i="1" s="1"/>
  <c r="S187" i="1" s="1"/>
  <c r="O139" i="1"/>
  <c r="R139" i="1" s="1"/>
  <c r="S139" i="1" s="1"/>
  <c r="O99" i="1"/>
  <c r="R99" i="1" s="1"/>
  <c r="S99" i="1" s="1"/>
  <c r="O228" i="1"/>
  <c r="R228" i="1" s="1"/>
  <c r="S228" i="1" s="1"/>
  <c r="BG132" i="1"/>
  <c r="BH132" i="1" s="1"/>
  <c r="AL132" i="1"/>
  <c r="AM132" i="1" s="1"/>
  <c r="CU132" i="1"/>
  <c r="CV132" i="1" s="1"/>
  <c r="CA132" i="1"/>
  <c r="CB132" i="1" s="1"/>
  <c r="BQ132" i="1"/>
  <c r="BR132" i="1" s="1"/>
  <c r="DO132" i="1"/>
  <c r="DP132" i="1" s="1"/>
  <c r="DE132" i="1"/>
  <c r="DF132" i="1" s="1"/>
  <c r="R132" i="1"/>
  <c r="S132" i="1" s="1"/>
  <c r="CK132" i="1"/>
  <c r="CL132" i="1" s="1"/>
  <c r="EA132" i="1"/>
  <c r="DY132" i="1"/>
  <c r="CU53" i="1"/>
  <c r="CV53" i="1" s="1"/>
  <c r="CU21" i="1"/>
  <c r="CV21" i="1" s="1"/>
  <c r="BH4" i="1"/>
  <c r="BG116" i="1"/>
  <c r="BH116" i="1" s="1"/>
  <c r="ER285" i="1"/>
  <c r="ES285" i="1" s="1"/>
  <c r="AV295" i="1"/>
  <c r="AW295" i="1" s="1"/>
  <c r="DO77" i="1"/>
  <c r="DP77" i="1" s="1"/>
  <c r="BG52" i="1"/>
  <c r="BH52" i="1" s="1"/>
  <c r="DY51" i="1"/>
  <c r="DZ51" i="1" s="1"/>
  <c r="CA109" i="1"/>
  <c r="CB109" i="1" s="1"/>
  <c r="CK69" i="1"/>
  <c r="CL69" i="1" s="1"/>
  <c r="CK166" i="1"/>
  <c r="CL166" i="1" s="1"/>
  <c r="CK77" i="1"/>
  <c r="CL77" i="1" s="1"/>
  <c r="CK238" i="1"/>
  <c r="CL238" i="1" s="1"/>
  <c r="CU29" i="1"/>
  <c r="CV29" i="1" s="1"/>
  <c r="CU230" i="1"/>
  <c r="CV230" i="1" s="1"/>
  <c r="AV273" i="1"/>
  <c r="AW273" i="1" s="1"/>
  <c r="AV230" i="1"/>
  <c r="AW230" i="1" s="1"/>
  <c r="DO262" i="1"/>
  <c r="DP262" i="1" s="1"/>
  <c r="DY90" i="1"/>
  <c r="DZ90" i="1" s="1"/>
  <c r="DY219" i="1"/>
  <c r="DZ219" i="1" s="1"/>
  <c r="DO251" i="1"/>
  <c r="DP251" i="1" s="1"/>
  <c r="DO35" i="1"/>
  <c r="DP35" i="1" s="1"/>
  <c r="DO67" i="1"/>
  <c r="DP67" i="1" s="1"/>
  <c r="DO196" i="1"/>
  <c r="DP196" i="1" s="1"/>
  <c r="DO260" i="1"/>
  <c r="DP260" i="1" s="1"/>
  <c r="DO293" i="1"/>
  <c r="DP293" i="1" s="1"/>
  <c r="BQ34" i="1"/>
  <c r="BR34" i="1" s="1"/>
  <c r="CB198" i="1"/>
  <c r="CA250" i="1"/>
  <c r="CB250" i="1" s="1"/>
  <c r="CK129" i="1"/>
  <c r="CL129" i="1" s="1"/>
  <c r="CK188" i="1"/>
  <c r="CL188" i="1" s="1"/>
  <c r="CK126" i="1"/>
  <c r="CL126" i="1" s="1"/>
  <c r="CK117" i="1"/>
  <c r="CL117" i="1" s="1"/>
  <c r="CU5" i="1"/>
  <c r="CV5" i="1" s="1"/>
  <c r="AV67" i="1"/>
  <c r="AW67" i="1" s="1"/>
  <c r="AV35" i="1"/>
  <c r="AW35" i="1" s="1"/>
  <c r="AV160" i="1"/>
  <c r="AW160" i="1" s="1"/>
  <c r="BG248" i="1"/>
  <c r="BH248" i="1" s="1"/>
  <c r="BG278" i="1"/>
  <c r="BH278" i="1" s="1"/>
  <c r="DP136" i="1"/>
  <c r="DY19" i="1"/>
  <c r="DZ19" i="1" s="1"/>
  <c r="DY169" i="1"/>
  <c r="DZ169" i="1" s="1"/>
  <c r="DO301" i="1"/>
  <c r="DP301" i="1" s="1"/>
  <c r="DY10" i="1"/>
  <c r="DZ10" i="1" s="1"/>
  <c r="DY235" i="1"/>
  <c r="DZ235" i="1" s="1"/>
  <c r="DZ268" i="1"/>
  <c r="DE90" i="1"/>
  <c r="DF90" i="1" s="1"/>
  <c r="DE122" i="1"/>
  <c r="DF122" i="1" s="1"/>
  <c r="BQ178" i="1"/>
  <c r="BR178" i="1" s="1"/>
  <c r="BQ57" i="1"/>
  <c r="BR57" i="1" s="1"/>
  <c r="DE185" i="1"/>
  <c r="DF185" i="1" s="1"/>
  <c r="BQ111" i="1"/>
  <c r="BR111" i="1" s="1"/>
  <c r="BQ119" i="1"/>
  <c r="BR119" i="1" s="1"/>
  <c r="CA257" i="1"/>
  <c r="CB257" i="1" s="1"/>
  <c r="CK167" i="1"/>
  <c r="CL167" i="1" s="1"/>
  <c r="CA33" i="1"/>
  <c r="CB33" i="1" s="1"/>
  <c r="CA54" i="1"/>
  <c r="CB54" i="1" s="1"/>
  <c r="CK216" i="1"/>
  <c r="CL216" i="1" s="1"/>
  <c r="CK125" i="1"/>
  <c r="CL125" i="1" s="1"/>
  <c r="CK190" i="1"/>
  <c r="CL190" i="1" s="1"/>
  <c r="CU235" i="1"/>
  <c r="CV235" i="1" s="1"/>
  <c r="EA182" i="1"/>
  <c r="CK282" i="1"/>
  <c r="CL282" i="1" s="1"/>
  <c r="EA288" i="1"/>
  <c r="CU278" i="1"/>
  <c r="CV278" i="1" s="1"/>
  <c r="ER277" i="1"/>
  <c r="ES277" i="1" s="1"/>
  <c r="CU134" i="1"/>
  <c r="CV134" i="1" s="1"/>
  <c r="AL119" i="1"/>
  <c r="AM119" i="1" s="1"/>
  <c r="AV69" i="1"/>
  <c r="AW69" i="1" s="1"/>
  <c r="AV281" i="1"/>
  <c r="AW281" i="1" s="1"/>
  <c r="AV59" i="1"/>
  <c r="AW59" i="1" s="1"/>
  <c r="AW95" i="1"/>
  <c r="AV144" i="1"/>
  <c r="AW144" i="1" s="1"/>
  <c r="AV248" i="1"/>
  <c r="AW248" i="1" s="1"/>
  <c r="DO211" i="1"/>
  <c r="DP211" i="1" s="1"/>
  <c r="DO13" i="1"/>
  <c r="DP13" i="1" s="1"/>
  <c r="AV200" i="1"/>
  <c r="AW200" i="1" s="1"/>
  <c r="DO155" i="1"/>
  <c r="DP155" i="1" s="1"/>
  <c r="DO123" i="1"/>
  <c r="DP123" i="1" s="1"/>
  <c r="DO188" i="1"/>
  <c r="DP188" i="1" s="1"/>
  <c r="DO252" i="1"/>
  <c r="DP252" i="1" s="1"/>
  <c r="DO265" i="1"/>
  <c r="DP265" i="1" s="1"/>
  <c r="BG86" i="1"/>
  <c r="BH86" i="1" s="1"/>
  <c r="DO227" i="1"/>
  <c r="DP227" i="1" s="1"/>
  <c r="DO84" i="1"/>
  <c r="DP84" i="1" s="1"/>
  <c r="BG256" i="1"/>
  <c r="BH256" i="1" s="1"/>
  <c r="BG66" i="1"/>
  <c r="BH66" i="1" s="1"/>
  <c r="DO61" i="1"/>
  <c r="DP61" i="1" s="1"/>
  <c r="DO19" i="1"/>
  <c r="DP19" i="1" s="1"/>
  <c r="DO244" i="1"/>
  <c r="DP244" i="1" s="1"/>
  <c r="DO273" i="1"/>
  <c r="DP273" i="1" s="1"/>
  <c r="DO247" i="1"/>
  <c r="DP247" i="1" s="1"/>
  <c r="BG216" i="1"/>
  <c r="BH216" i="1" s="1"/>
  <c r="DO42" i="1"/>
  <c r="DP42" i="1" s="1"/>
  <c r="BG103" i="1"/>
  <c r="BH103" i="1" s="1"/>
  <c r="DY109" i="1"/>
  <c r="BG151" i="1"/>
  <c r="BH151" i="1" s="1"/>
  <c r="BG22" i="1"/>
  <c r="BH22" i="1" s="1"/>
  <c r="DY66" i="1"/>
  <c r="DZ66" i="1" s="1"/>
  <c r="DY130" i="1"/>
  <c r="DZ130" i="1" s="1"/>
  <c r="BG135" i="1"/>
  <c r="BH135" i="1" s="1"/>
  <c r="DY48" i="1"/>
  <c r="DY80" i="1"/>
  <c r="DY274" i="1"/>
  <c r="DZ274" i="1" s="1"/>
  <c r="DZ273" i="1"/>
  <c r="DY285" i="1"/>
  <c r="DZ285" i="1" s="1"/>
  <c r="DY45" i="1"/>
  <c r="DY250" i="1"/>
  <c r="DZ250" i="1" s="1"/>
  <c r="DE195" i="1"/>
  <c r="DF195" i="1" s="1"/>
  <c r="DE54" i="1"/>
  <c r="DF54" i="1" s="1"/>
  <c r="BQ112" i="1"/>
  <c r="BR112" i="1" s="1"/>
  <c r="DE106" i="1"/>
  <c r="DF106" i="1" s="1"/>
  <c r="DE139" i="1"/>
  <c r="DF139" i="1" s="1"/>
  <c r="DE22" i="1"/>
  <c r="DF22" i="1" s="1"/>
  <c r="BQ38" i="1"/>
  <c r="BR38" i="1" s="1"/>
  <c r="BQ194" i="1"/>
  <c r="BR194" i="1" s="1"/>
  <c r="BR268" i="1"/>
  <c r="BQ18" i="1"/>
  <c r="BR18" i="1" s="1"/>
  <c r="AB265" i="1"/>
  <c r="AC265" i="1" s="1"/>
  <c r="AC52" i="1"/>
  <c r="CA117" i="1"/>
  <c r="CB117" i="1" s="1"/>
  <c r="CA206" i="1"/>
  <c r="CB206" i="1" s="1"/>
  <c r="CA248" i="1"/>
  <c r="CB248" i="1" s="1"/>
  <c r="CA14" i="1"/>
  <c r="CA108" i="1"/>
  <c r="CB108" i="1" s="1"/>
  <c r="CA85" i="1"/>
  <c r="CB85" i="1" s="1"/>
  <c r="CA61" i="1"/>
  <c r="CB61" i="1" s="1"/>
  <c r="CA46" i="1"/>
  <c r="CA263" i="1"/>
  <c r="CB263" i="1" s="1"/>
  <c r="CA287" i="1"/>
  <c r="CB287" i="1" s="1"/>
  <c r="CA216" i="1"/>
  <c r="CB216" i="1" s="1"/>
  <c r="CA21" i="1"/>
  <c r="CB21" i="1" s="1"/>
  <c r="CA30" i="1"/>
  <c r="CB30" i="1" s="1"/>
  <c r="CA69" i="1"/>
  <c r="CB69" i="1" s="1"/>
  <c r="CA31" i="1"/>
  <c r="CB31" i="1" s="1"/>
  <c r="CA238" i="1"/>
  <c r="CB238" i="1" s="1"/>
  <c r="CA134" i="1"/>
  <c r="CB134" i="1" s="1"/>
  <c r="CA182" i="1"/>
  <c r="CB182" i="1" s="1"/>
  <c r="CA101" i="1"/>
  <c r="CB101" i="1" s="1"/>
  <c r="CA176" i="1"/>
  <c r="CB176" i="1" s="1"/>
  <c r="CK30" i="1"/>
  <c r="CL30" i="1" s="1"/>
  <c r="CK94" i="1"/>
  <c r="CL94" i="1" s="1"/>
  <c r="CK61" i="1"/>
  <c r="CL61" i="1" s="1"/>
  <c r="CA178" i="1"/>
  <c r="CB178" i="1" s="1"/>
  <c r="CK212" i="1"/>
  <c r="CL212" i="1" s="1"/>
  <c r="CA111" i="1"/>
  <c r="CB111" i="1" s="1"/>
  <c r="CK38" i="1"/>
  <c r="CL38" i="1" s="1"/>
  <c r="CK135" i="1"/>
  <c r="CL135" i="1" s="1"/>
  <c r="EA255" i="1"/>
  <c r="CA274" i="1"/>
  <c r="CB274" i="1" s="1"/>
  <c r="CK264" i="1"/>
  <c r="CL264" i="1" s="1"/>
  <c r="CK296" i="1"/>
  <c r="CL296" i="1" s="1"/>
  <c r="CA137" i="1"/>
  <c r="CB137" i="1" s="1"/>
  <c r="CA201" i="1"/>
  <c r="CB201" i="1" s="1"/>
  <c r="CA275" i="1"/>
  <c r="CB275" i="1" s="1"/>
  <c r="CA15" i="1"/>
  <c r="CB15" i="1" s="1"/>
  <c r="ER190" i="1"/>
  <c r="ES190" i="1" s="1"/>
  <c r="ER254" i="1"/>
  <c r="ES254" i="1" s="1"/>
  <c r="CK248" i="1"/>
  <c r="CL248" i="1" s="1"/>
  <c r="CA153" i="1"/>
  <c r="CB153" i="1" s="1"/>
  <c r="ER44" i="1"/>
  <c r="ES44" i="1" s="1"/>
  <c r="ER108" i="1"/>
  <c r="ES108" i="1" s="1"/>
  <c r="ER173" i="1"/>
  <c r="ES173" i="1" s="1"/>
  <c r="ER237" i="1"/>
  <c r="ES237" i="1" s="1"/>
  <c r="CK54" i="1"/>
  <c r="CK289" i="1"/>
  <c r="CL289" i="1" s="1"/>
  <c r="CK53" i="1"/>
  <c r="CL53" i="1" s="1"/>
  <c r="CU273" i="1"/>
  <c r="CV273" i="1" s="1"/>
  <c r="CK269" i="1"/>
  <c r="CL269" i="1" s="1"/>
  <c r="CK156" i="1"/>
  <c r="CL156" i="1" s="1"/>
  <c r="CK123" i="1"/>
  <c r="CL123" i="1" s="1"/>
  <c r="EA123" i="1"/>
  <c r="CK200" i="1"/>
  <c r="CL200" i="1" s="1"/>
  <c r="CU45" i="1"/>
  <c r="CV45" i="1" s="1"/>
  <c r="CU286" i="1"/>
  <c r="CV286" i="1" s="1"/>
  <c r="CK151" i="1"/>
  <c r="CL151" i="1" s="1"/>
  <c r="EA207" i="1"/>
  <c r="CK232" i="1"/>
  <c r="CL232" i="1" s="1"/>
  <c r="CK93" i="1"/>
  <c r="CL93" i="1" s="1"/>
  <c r="CU85" i="1"/>
  <c r="CV85" i="1" s="1"/>
  <c r="CU251" i="1"/>
  <c r="CV251" i="1" s="1"/>
  <c r="CU142" i="1"/>
  <c r="CV142" i="1" s="1"/>
  <c r="CU61" i="1"/>
  <c r="CV61" i="1" s="1"/>
  <c r="CK215" i="1"/>
  <c r="CL215" i="1" s="1"/>
  <c r="CK272" i="1"/>
  <c r="CL272" i="1" s="1"/>
  <c r="CK265" i="1"/>
  <c r="CL265" i="1" s="1"/>
  <c r="CK214" i="1"/>
  <c r="CL214" i="1" s="1"/>
  <c r="CU238" i="1"/>
  <c r="CV238" i="1" s="1"/>
  <c r="CU166" i="1"/>
  <c r="CV166" i="1" s="1"/>
  <c r="CK134" i="1"/>
  <c r="CL134" i="1" s="1"/>
  <c r="CU125" i="1"/>
  <c r="CV125" i="1" s="1"/>
  <c r="CK22" i="1"/>
  <c r="CK78" i="1"/>
  <c r="CK254" i="1"/>
  <c r="CL254" i="1" s="1"/>
  <c r="CU190" i="1"/>
  <c r="CV190" i="1" s="1"/>
  <c r="CU182" i="1"/>
  <c r="CV182" i="1" s="1"/>
  <c r="CU101" i="1"/>
  <c r="CV101" i="1" s="1"/>
  <c r="CU160" i="1"/>
  <c r="CV160" i="1" s="1"/>
  <c r="CU67" i="1"/>
  <c r="CV67" i="1" s="1"/>
  <c r="CV60" i="1"/>
  <c r="CU233" i="1"/>
  <c r="CV233" i="1" s="1"/>
  <c r="CU265" i="1"/>
  <c r="CV265" i="1" s="1"/>
  <c r="ER11" i="1"/>
  <c r="ES11" i="1" s="1"/>
  <c r="ER75" i="1"/>
  <c r="ES75" i="1" s="1"/>
  <c r="ER140" i="1"/>
  <c r="ES140" i="1" s="1"/>
  <c r="ER52" i="1"/>
  <c r="ES52" i="1" s="1"/>
  <c r="ER116" i="1"/>
  <c r="ES116" i="1" s="1"/>
  <c r="ER181" i="1"/>
  <c r="ES181" i="1" s="1"/>
  <c r="ER245" i="1"/>
  <c r="ES245" i="1" s="1"/>
  <c r="CU243" i="1"/>
  <c r="CV243" i="1" s="1"/>
  <c r="CU122" i="1"/>
  <c r="CV122" i="1" s="1"/>
  <c r="CU301" i="1"/>
  <c r="CV301" i="1" s="1"/>
  <c r="CU200" i="1"/>
  <c r="CV200" i="1" s="1"/>
  <c r="AL13" i="1"/>
  <c r="AM13" i="1" s="1"/>
  <c r="AL45" i="1"/>
  <c r="AM45" i="1" s="1"/>
  <c r="ER270" i="1"/>
  <c r="ES270" i="1" s="1"/>
  <c r="ER253" i="1"/>
  <c r="ES253" i="1" s="1"/>
  <c r="ER13" i="1"/>
  <c r="ES13" i="1" s="1"/>
  <c r="ER77" i="1"/>
  <c r="ES77" i="1" s="1"/>
  <c r="ER142" i="1"/>
  <c r="ES142" i="1" s="1"/>
  <c r="ER21" i="1"/>
  <c r="ES21" i="1" s="1"/>
  <c r="ER85" i="1"/>
  <c r="ES85" i="1" s="1"/>
  <c r="ER150" i="1"/>
  <c r="ES150" i="1" s="1"/>
  <c r="ER206" i="1"/>
  <c r="ES206" i="1" s="1"/>
  <c r="ER271" i="1"/>
  <c r="ES271" i="1" s="1"/>
  <c r="ER164" i="1"/>
  <c r="ES164" i="1" s="1"/>
  <c r="ER19" i="1"/>
  <c r="ES19" i="1" s="1"/>
  <c r="ER83" i="1"/>
  <c r="ES83" i="1" s="1"/>
  <c r="ER60" i="1"/>
  <c r="ES60" i="1" s="1"/>
  <c r="ER124" i="1"/>
  <c r="ES124" i="1" s="1"/>
  <c r="ER189" i="1"/>
  <c r="ES189" i="1" s="1"/>
  <c r="AV109" i="1"/>
  <c r="AW109" i="1" s="1"/>
  <c r="AV206" i="1"/>
  <c r="AW206" i="1" s="1"/>
  <c r="AV29" i="1"/>
  <c r="AW29" i="1" s="1"/>
  <c r="ER220" i="1"/>
  <c r="ES220" i="1" s="1"/>
  <c r="ER156" i="1"/>
  <c r="ES156" i="1" s="1"/>
  <c r="ER302" i="1"/>
  <c r="ES302" i="1" s="1"/>
  <c r="AV75" i="1"/>
  <c r="AW75" i="1" s="1"/>
  <c r="AV150" i="1"/>
  <c r="AW150" i="1" s="1"/>
  <c r="AV55" i="1"/>
  <c r="AW55" i="1" s="1"/>
  <c r="AV287" i="1"/>
  <c r="AW287" i="1" s="1"/>
  <c r="ER12" i="1"/>
  <c r="ES12" i="1" s="1"/>
  <c r="ER76" i="1"/>
  <c r="ES76" i="1" s="1"/>
  <c r="ER141" i="1"/>
  <c r="ES141" i="1" s="1"/>
  <c r="ER205" i="1"/>
  <c r="ES205" i="1" s="1"/>
  <c r="AV5" i="1"/>
  <c r="AW5" i="1" s="1"/>
  <c r="ER53" i="1"/>
  <c r="ES53" i="1" s="1"/>
  <c r="ER117" i="1"/>
  <c r="ES117" i="1" s="1"/>
  <c r="EA168" i="1"/>
  <c r="AW136" i="1"/>
  <c r="ER51" i="1"/>
  <c r="ES51" i="1" s="1"/>
  <c r="ER115" i="1"/>
  <c r="ES115" i="1" s="1"/>
  <c r="ER28" i="1"/>
  <c r="ES28" i="1" s="1"/>
  <c r="ER92" i="1"/>
  <c r="ES92" i="1" s="1"/>
  <c r="ER157" i="1"/>
  <c r="ES157" i="1" s="1"/>
  <c r="ER221" i="1"/>
  <c r="ES221" i="1" s="1"/>
  <c r="ER61" i="1"/>
  <c r="ES61" i="1" s="1"/>
  <c r="ER125" i="1"/>
  <c r="ES125" i="1" s="1"/>
  <c r="AV142" i="1"/>
  <c r="AW142" i="1" s="1"/>
  <c r="AV127" i="1"/>
  <c r="AW127" i="1" s="1"/>
  <c r="AV85" i="1"/>
  <c r="AW85" i="1" s="1"/>
  <c r="AV101" i="1"/>
  <c r="AW101" i="1" s="1"/>
  <c r="AV224" i="1"/>
  <c r="AW224" i="1" s="1"/>
  <c r="AV21" i="1"/>
  <c r="AW21" i="1" s="1"/>
  <c r="AV256" i="1"/>
  <c r="AW256" i="1" s="1"/>
  <c r="AV79" i="1"/>
  <c r="AW79" i="1" s="1"/>
  <c r="AV289" i="1"/>
  <c r="AW289" i="1" s="1"/>
  <c r="AV134" i="1"/>
  <c r="AW134" i="1" s="1"/>
  <c r="AV238" i="1"/>
  <c r="AW238" i="1" s="1"/>
  <c r="AV111" i="1"/>
  <c r="AW111" i="1" s="1"/>
  <c r="AV64" i="1"/>
  <c r="AW64" i="1" s="1"/>
  <c r="AV128" i="1"/>
  <c r="AW128" i="1" s="1"/>
  <c r="AV193" i="1"/>
  <c r="AW193" i="1" s="1"/>
  <c r="BG39" i="1"/>
  <c r="BH39" i="1" s="1"/>
  <c r="BG284" i="1"/>
  <c r="BH284" i="1" s="1"/>
  <c r="AV137" i="1"/>
  <c r="AW137" i="1" s="1"/>
  <c r="AV201" i="1"/>
  <c r="AV203" i="1"/>
  <c r="AW203" i="1" s="1"/>
  <c r="AV80" i="1"/>
  <c r="AW80" i="1" s="1"/>
  <c r="AV209" i="1"/>
  <c r="AW209" i="1" s="1"/>
  <c r="AV82" i="1"/>
  <c r="AW82" i="1" s="1"/>
  <c r="AV211" i="1"/>
  <c r="AW211" i="1" s="1"/>
  <c r="AV276" i="1"/>
  <c r="AW276" i="1" s="1"/>
  <c r="BG110" i="1"/>
  <c r="BH110" i="1" s="1"/>
  <c r="AV155" i="1"/>
  <c r="AW155" i="1" s="1"/>
  <c r="BG208" i="1"/>
  <c r="BH208" i="1" s="1"/>
  <c r="AV32" i="1"/>
  <c r="AW32" i="1" s="1"/>
  <c r="AV96" i="1"/>
  <c r="AW96" i="1" s="1"/>
  <c r="AV227" i="1"/>
  <c r="AW227" i="1" s="1"/>
  <c r="AV292" i="1"/>
  <c r="AW292" i="1" s="1"/>
  <c r="BG38" i="1"/>
  <c r="BH38" i="1" s="1"/>
  <c r="AV233" i="1"/>
  <c r="AW233" i="1" s="1"/>
  <c r="AV298" i="1"/>
  <c r="AW298" i="1" s="1"/>
  <c r="BG240" i="1"/>
  <c r="BH240" i="1" s="1"/>
  <c r="AV48" i="1"/>
  <c r="AV177" i="1"/>
  <c r="AV179" i="1"/>
  <c r="AW179" i="1" s="1"/>
  <c r="AV243" i="1"/>
  <c r="AW243" i="1" s="1"/>
  <c r="BG247" i="1"/>
  <c r="BH247" i="1" s="1"/>
  <c r="AV120" i="1"/>
  <c r="AW120" i="1" s="1"/>
  <c r="BG133" i="1"/>
  <c r="BH133" i="1" s="1"/>
  <c r="BG288" i="1"/>
  <c r="BH288" i="1" s="1"/>
  <c r="BG183" i="1"/>
  <c r="BH183" i="1" s="1"/>
  <c r="BG36" i="1"/>
  <c r="BH36" i="1" s="1"/>
  <c r="DO127" i="1"/>
  <c r="DP127" i="1" s="1"/>
  <c r="DO95" i="1"/>
  <c r="DP95" i="1" s="1"/>
  <c r="BG159" i="1"/>
  <c r="BH159" i="1" s="1"/>
  <c r="BG143" i="1"/>
  <c r="BH143" i="1" s="1"/>
  <c r="BG6" i="1"/>
  <c r="BH6" i="1" s="1"/>
  <c r="DO203" i="1"/>
  <c r="DP203" i="1" s="1"/>
  <c r="DO235" i="1"/>
  <c r="DP235" i="1" s="1"/>
  <c r="DO75" i="1"/>
  <c r="DP75" i="1" s="1"/>
  <c r="DO143" i="1"/>
  <c r="DP143" i="1" s="1"/>
  <c r="DO20" i="1"/>
  <c r="DO166" i="1"/>
  <c r="DP166" i="1" s="1"/>
  <c r="DO85" i="1"/>
  <c r="DP85" i="1" s="1"/>
  <c r="DO18" i="1"/>
  <c r="DP18" i="1" s="1"/>
  <c r="BG210" i="1"/>
  <c r="BH210" i="1" s="1"/>
  <c r="BG273" i="1"/>
  <c r="BH273" i="1" s="1"/>
  <c r="BG158" i="1"/>
  <c r="BH158" i="1" s="1"/>
  <c r="BG287" i="1"/>
  <c r="BH287" i="1" s="1"/>
  <c r="BG35" i="1"/>
  <c r="BH35" i="1" s="1"/>
  <c r="DO93" i="1"/>
  <c r="DO187" i="1"/>
  <c r="DP187" i="1" s="1"/>
  <c r="DO36" i="1"/>
  <c r="DP36" i="1" s="1"/>
  <c r="DO68" i="1"/>
  <c r="DP68" i="1" s="1"/>
  <c r="EA221" i="1"/>
  <c r="BG260" i="1"/>
  <c r="BH260" i="1" s="1"/>
  <c r="BG230" i="1"/>
  <c r="BH230" i="1" s="1"/>
  <c r="BG99" i="1"/>
  <c r="BH99" i="1" s="1"/>
  <c r="DO117" i="1"/>
  <c r="DP117" i="1" s="1"/>
  <c r="BG238" i="1"/>
  <c r="BH238" i="1" s="1"/>
  <c r="DO150" i="1"/>
  <c r="DP150" i="1" s="1"/>
  <c r="DO295" i="1"/>
  <c r="DP295" i="1" s="1"/>
  <c r="DO99" i="1"/>
  <c r="DP99" i="1" s="1"/>
  <c r="DO12" i="1"/>
  <c r="DP12" i="1" s="1"/>
  <c r="BG186" i="1"/>
  <c r="BH186" i="1" s="1"/>
  <c r="BG293" i="1"/>
  <c r="BH293" i="1" s="1"/>
  <c r="BG213" i="1"/>
  <c r="BH213" i="1" s="1"/>
  <c r="BG254" i="1"/>
  <c r="BH254" i="1" s="1"/>
  <c r="DO21" i="1"/>
  <c r="DP21" i="1" s="1"/>
  <c r="DO23" i="1"/>
  <c r="DP23" i="1" s="1"/>
  <c r="DO152" i="1"/>
  <c r="DP152" i="1" s="1"/>
  <c r="DO142" i="1"/>
  <c r="DP142" i="1" s="1"/>
  <c r="DO39" i="1"/>
  <c r="DP39" i="1" s="1"/>
  <c r="DO168" i="1"/>
  <c r="DP168" i="1" s="1"/>
  <c r="DO55" i="1"/>
  <c r="DP55" i="1" s="1"/>
  <c r="DO87" i="1"/>
  <c r="DP87" i="1" s="1"/>
  <c r="DO103" i="1"/>
  <c r="DP103" i="1" s="1"/>
  <c r="DO29" i="1"/>
  <c r="DP29" i="1" s="1"/>
  <c r="DO69" i="1"/>
  <c r="DP69" i="1" s="1"/>
  <c r="ER27" i="1"/>
  <c r="ES27" i="1" s="1"/>
  <c r="ER91" i="1"/>
  <c r="ES91" i="1" s="1"/>
  <c r="DY89" i="1"/>
  <c r="DZ89" i="1" s="1"/>
  <c r="DY121" i="1"/>
  <c r="DZ121" i="1" s="1"/>
  <c r="DO279" i="1"/>
  <c r="DP279" i="1" s="1"/>
  <c r="DO195" i="1"/>
  <c r="DP195" i="1" s="1"/>
  <c r="DO140" i="1"/>
  <c r="DP140" i="1" s="1"/>
  <c r="DO229" i="1"/>
  <c r="DP229" i="1" s="1"/>
  <c r="DO286" i="1"/>
  <c r="DP286" i="1" s="1"/>
  <c r="DO118" i="1"/>
  <c r="DP118" i="1" s="1"/>
  <c r="DY230" i="1"/>
  <c r="DZ230" i="1" s="1"/>
  <c r="DO58" i="1"/>
  <c r="DP58" i="1" s="1"/>
  <c r="DO135" i="1"/>
  <c r="DP135" i="1" s="1"/>
  <c r="ER182" i="1"/>
  <c r="ES182" i="1" s="1"/>
  <c r="ER246" i="1"/>
  <c r="ES246" i="1" s="1"/>
  <c r="DO66" i="1"/>
  <c r="DP66" i="1" s="1"/>
  <c r="DO264" i="1"/>
  <c r="DP264" i="1" s="1"/>
  <c r="DO91" i="1"/>
  <c r="DP91" i="1" s="1"/>
  <c r="DO180" i="1"/>
  <c r="DP180" i="1" s="1"/>
  <c r="ER59" i="1"/>
  <c r="ES59" i="1" s="1"/>
  <c r="ER123" i="1"/>
  <c r="ES123" i="1" s="1"/>
  <c r="DY18" i="1"/>
  <c r="DZ18" i="1" s="1"/>
  <c r="DY120" i="1"/>
  <c r="DZ120" i="1" s="1"/>
  <c r="DO74" i="1"/>
  <c r="DP74" i="1" s="1"/>
  <c r="DO139" i="1"/>
  <c r="DP139" i="1" s="1"/>
  <c r="DO179" i="1"/>
  <c r="DP179" i="1" s="1"/>
  <c r="DP268" i="1"/>
  <c r="DO212" i="1"/>
  <c r="DP212" i="1" s="1"/>
  <c r="DO126" i="1"/>
  <c r="DP126" i="1" s="1"/>
  <c r="DO157" i="1"/>
  <c r="DP157" i="1" s="1"/>
  <c r="DO281" i="1"/>
  <c r="DP281" i="1" s="1"/>
  <c r="DO189" i="1"/>
  <c r="DP189" i="1" s="1"/>
  <c r="DO90" i="1"/>
  <c r="DP90" i="1" s="1"/>
  <c r="ER148" i="1"/>
  <c r="ES148" i="1" s="1"/>
  <c r="ER214" i="1"/>
  <c r="ES214" i="1" s="1"/>
  <c r="ER279" i="1"/>
  <c r="ES279" i="1" s="1"/>
  <c r="DY210" i="1"/>
  <c r="DZ210" i="1" s="1"/>
  <c r="DO34" i="1"/>
  <c r="DP34" i="1" s="1"/>
  <c r="DO271" i="1"/>
  <c r="DP271" i="1" s="1"/>
  <c r="DO107" i="1"/>
  <c r="DP107" i="1" s="1"/>
  <c r="DY208" i="1"/>
  <c r="DZ208" i="1" s="1"/>
  <c r="DY22" i="1"/>
  <c r="DZ22" i="1" s="1"/>
  <c r="DY40" i="1"/>
  <c r="DZ40" i="1" s="1"/>
  <c r="DY104" i="1"/>
  <c r="DY290" i="1"/>
  <c r="DY9" i="1"/>
  <c r="DY258" i="1"/>
  <c r="DZ258" i="1" s="1"/>
  <c r="DY291" i="1"/>
  <c r="DZ291" i="1" s="1"/>
  <c r="DY195" i="1"/>
  <c r="DZ195" i="1" s="1"/>
  <c r="DY227" i="1"/>
  <c r="DZ227" i="1" s="1"/>
  <c r="DY259" i="1"/>
  <c r="DY77" i="1"/>
  <c r="DY17" i="1"/>
  <c r="DZ17" i="1" s="1"/>
  <c r="DY147" i="1"/>
  <c r="DZ147" i="1" s="1"/>
  <c r="DZ145" i="1"/>
  <c r="DY177" i="1"/>
  <c r="DZ177" i="1" s="1"/>
  <c r="DY3" i="1"/>
  <c r="DZ3" i="1" s="1"/>
  <c r="DY27" i="1"/>
  <c r="DY275" i="1"/>
  <c r="DZ275" i="1" s="1"/>
  <c r="BQ205" i="1"/>
  <c r="BR205" i="1" s="1"/>
  <c r="DE27" i="1"/>
  <c r="DF27" i="1" s="1"/>
  <c r="BQ209" i="1"/>
  <c r="BR209" i="1" s="1"/>
  <c r="BQ269" i="1"/>
  <c r="BR269" i="1" s="1"/>
  <c r="BQ66" i="1"/>
  <c r="BR66" i="1" s="1"/>
  <c r="DE159" i="1"/>
  <c r="DF159" i="1" s="1"/>
  <c r="BQ210" i="1"/>
  <c r="BR210" i="1" s="1"/>
  <c r="BQ42" i="1"/>
  <c r="BR42" i="1" s="1"/>
  <c r="BQ219" i="1"/>
  <c r="BR219" i="1" s="1"/>
  <c r="DE280" i="1"/>
  <c r="DF280" i="1" s="1"/>
  <c r="DE217" i="1"/>
  <c r="DF217" i="1" s="1"/>
  <c r="DE211" i="1"/>
  <c r="DF211" i="1" s="1"/>
  <c r="DE20" i="1"/>
  <c r="DF20" i="1" s="1"/>
  <c r="DE85" i="1"/>
  <c r="DF85" i="1" s="1"/>
  <c r="DE169" i="1"/>
  <c r="DF169" i="1" s="1"/>
  <c r="BQ131" i="1"/>
  <c r="BR131" i="1" s="1"/>
  <c r="BQ141" i="1"/>
  <c r="BR141" i="1" s="1"/>
  <c r="BQ137" i="1"/>
  <c r="BR137" i="1" s="1"/>
  <c r="BQ266" i="1"/>
  <c r="BR266" i="1" s="1"/>
  <c r="BQ48" i="1"/>
  <c r="BR48" i="1" s="1"/>
  <c r="BQ276" i="1"/>
  <c r="BR276" i="1" s="1"/>
  <c r="BQ274" i="1"/>
  <c r="BR274" i="1" s="1"/>
  <c r="BQ91" i="1"/>
  <c r="BR91" i="1" s="1"/>
  <c r="BQ56" i="1"/>
  <c r="BR56" i="1" s="1"/>
  <c r="BQ267" i="1"/>
  <c r="BR267" i="1" s="1"/>
  <c r="BQ25" i="1"/>
  <c r="BR25" i="1" s="1"/>
  <c r="BQ50" i="1"/>
  <c r="BR50" i="1" s="1"/>
  <c r="BQ275" i="1"/>
  <c r="BR275" i="1" s="1"/>
  <c r="BQ82" i="1"/>
  <c r="BR82" i="1" s="1"/>
  <c r="BQ162" i="1"/>
  <c r="BR162" i="1" s="1"/>
  <c r="AB124" i="1"/>
  <c r="AC124" i="1" s="1"/>
  <c r="AB116" i="1"/>
  <c r="AC116" i="1" s="1"/>
  <c r="ER66" i="1"/>
  <c r="ES66" i="1" s="1"/>
  <c r="ER195" i="1"/>
  <c r="ES195" i="1" s="1"/>
  <c r="ER269" i="1"/>
  <c r="ES269" i="1" s="1"/>
  <c r="ER14" i="1"/>
  <c r="ES14" i="1" s="1"/>
  <c r="ER78" i="1"/>
  <c r="ES78" i="1" s="1"/>
  <c r="ER143" i="1"/>
  <c r="ES143" i="1" s="1"/>
  <c r="ER207" i="1"/>
  <c r="ES207" i="1" s="1"/>
  <c r="ER39" i="1"/>
  <c r="ES39" i="1" s="1"/>
  <c r="ER103" i="1"/>
  <c r="ES103" i="1" s="1"/>
  <c r="ER168" i="1"/>
  <c r="ES168" i="1" s="1"/>
  <c r="ER286" i="1"/>
  <c r="ES286" i="1" s="1"/>
  <c r="ER240" i="1"/>
  <c r="ES240" i="1" s="1"/>
  <c r="ER40" i="1"/>
  <c r="ES40" i="1" s="1"/>
  <c r="ER104" i="1"/>
  <c r="ES104" i="1" s="1"/>
  <c r="ER169" i="1"/>
  <c r="ES169" i="1" s="1"/>
  <c r="ER233" i="1"/>
  <c r="ES233" i="1" s="1"/>
  <c r="ER298" i="1"/>
  <c r="ES298" i="1" s="1"/>
  <c r="ER29" i="1"/>
  <c r="ES29" i="1" s="1"/>
  <c r="ER93" i="1"/>
  <c r="ES93" i="1" s="1"/>
  <c r="ER158" i="1"/>
  <c r="ES158" i="1" s="1"/>
  <c r="ER130" i="1"/>
  <c r="ES130" i="1" s="1"/>
  <c r="ER222" i="1"/>
  <c r="ES222" i="1" s="1"/>
  <c r="ER287" i="1"/>
  <c r="ES287" i="1" s="1"/>
  <c r="ER34" i="1"/>
  <c r="ES34" i="1" s="1"/>
  <c r="ER98" i="1"/>
  <c r="ES98" i="1" s="1"/>
  <c r="ER163" i="1"/>
  <c r="ES163" i="1" s="1"/>
  <c r="ER227" i="1"/>
  <c r="ES227" i="1" s="1"/>
  <c r="ER292" i="1"/>
  <c r="ES292" i="1" s="1"/>
  <c r="ER259" i="1"/>
  <c r="ES259" i="1" s="1"/>
  <c r="ER278" i="1"/>
  <c r="ES278" i="1" s="1"/>
  <c r="ER45" i="1"/>
  <c r="ES45" i="1" s="1"/>
  <c r="ER109" i="1"/>
  <c r="ES109" i="1" s="1"/>
  <c r="ER43" i="1"/>
  <c r="ES43" i="1" s="1"/>
  <c r="ER107" i="1"/>
  <c r="ES107" i="1" s="1"/>
  <c r="ER20" i="1"/>
  <c r="ES20" i="1" s="1"/>
  <c r="ER84" i="1"/>
  <c r="ES84" i="1" s="1"/>
  <c r="ER149" i="1"/>
  <c r="ES149" i="1" s="1"/>
  <c r="ER213" i="1"/>
  <c r="ES213" i="1" s="1"/>
  <c r="ER46" i="1"/>
  <c r="ES46" i="1" s="1"/>
  <c r="ER110" i="1"/>
  <c r="ES110" i="1" s="1"/>
  <c r="ER175" i="1"/>
  <c r="ES175" i="1" s="1"/>
  <c r="ER239" i="1"/>
  <c r="ES239" i="1" s="1"/>
  <c r="ER7" i="1"/>
  <c r="ES7" i="1" s="1"/>
  <c r="ER71" i="1"/>
  <c r="ES71" i="1" s="1"/>
  <c r="ER136" i="1"/>
  <c r="ES136" i="1" s="1"/>
  <c r="ER200" i="1"/>
  <c r="ES200" i="1" s="1"/>
  <c r="ER174" i="1"/>
  <c r="ES174" i="1" s="1"/>
  <c r="ER238" i="1"/>
  <c r="ES238" i="1" s="1"/>
  <c r="ER273" i="1"/>
  <c r="ES273" i="1" s="1"/>
  <c r="ER8" i="1"/>
  <c r="ES8" i="1" s="1"/>
  <c r="ER72" i="1"/>
  <c r="ES72" i="1" s="1"/>
  <c r="ER137" i="1"/>
  <c r="ES137" i="1" s="1"/>
  <c r="ER201" i="1"/>
  <c r="ES201" i="1" s="1"/>
  <c r="ER266" i="1"/>
  <c r="ES266" i="1" s="1"/>
  <c r="ER247" i="1"/>
  <c r="ES247" i="1" s="1"/>
  <c r="ER280" i="1"/>
  <c r="ES280" i="1" s="1"/>
  <c r="DY5" i="1"/>
  <c r="DZ5" i="1" s="1"/>
  <c r="DY153" i="1"/>
  <c r="DZ153" i="1" s="1"/>
  <c r="ER25" i="1"/>
  <c r="ES25" i="1" s="1"/>
  <c r="ER57" i="1"/>
  <c r="ES57" i="1" s="1"/>
  <c r="ER89" i="1"/>
  <c r="ES89" i="1" s="1"/>
  <c r="ER121" i="1"/>
  <c r="ES121" i="1" s="1"/>
  <c r="ER154" i="1"/>
  <c r="ES154" i="1" s="1"/>
  <c r="ER186" i="1"/>
  <c r="ES186" i="1" s="1"/>
  <c r="ER218" i="1"/>
  <c r="ES218" i="1" s="1"/>
  <c r="ER250" i="1"/>
  <c r="ES250" i="1" s="1"/>
  <c r="ER283" i="1"/>
  <c r="ES283" i="1" s="1"/>
  <c r="ER22" i="1"/>
  <c r="ES22" i="1" s="1"/>
  <c r="ER54" i="1"/>
  <c r="ES54" i="1" s="1"/>
  <c r="ER86" i="1"/>
  <c r="ES86" i="1" s="1"/>
  <c r="ER118" i="1"/>
  <c r="ES118" i="1" s="1"/>
  <c r="ER151" i="1"/>
  <c r="ES151" i="1" s="1"/>
  <c r="ER183" i="1"/>
  <c r="ES183" i="1" s="1"/>
  <c r="ER215" i="1"/>
  <c r="ES215" i="1" s="1"/>
  <c r="ER15" i="1"/>
  <c r="ES15" i="1" s="1"/>
  <c r="ER47" i="1"/>
  <c r="ES47" i="1" s="1"/>
  <c r="ER79" i="1"/>
  <c r="ES79" i="1" s="1"/>
  <c r="ER111" i="1"/>
  <c r="ES111" i="1" s="1"/>
  <c r="ER144" i="1"/>
  <c r="ES144" i="1" s="1"/>
  <c r="ER176" i="1"/>
  <c r="ES176" i="1" s="1"/>
  <c r="ER208" i="1"/>
  <c r="ES208" i="1" s="1"/>
  <c r="ER262" i="1"/>
  <c r="ES262" i="1" s="1"/>
  <c r="ER294" i="1"/>
  <c r="ES294" i="1" s="1"/>
  <c r="ER255" i="1"/>
  <c r="ES255" i="1" s="1"/>
  <c r="ER288" i="1"/>
  <c r="ES288" i="1" s="1"/>
  <c r="ER248" i="1"/>
  <c r="ES248" i="1" s="1"/>
  <c r="ER281" i="1"/>
  <c r="ES281" i="1" s="1"/>
  <c r="ER16" i="1"/>
  <c r="ES16" i="1" s="1"/>
  <c r="ER48" i="1"/>
  <c r="ES48" i="1" s="1"/>
  <c r="ER80" i="1"/>
  <c r="ES80" i="1" s="1"/>
  <c r="ER112" i="1"/>
  <c r="ES112" i="1" s="1"/>
  <c r="ER145" i="1"/>
  <c r="ES145" i="1" s="1"/>
  <c r="ER177" i="1"/>
  <c r="ES177" i="1" s="1"/>
  <c r="ER209" i="1"/>
  <c r="ES209" i="1" s="1"/>
  <c r="ER241" i="1"/>
  <c r="ES241" i="1" s="1"/>
  <c r="ER274" i="1"/>
  <c r="ES274" i="1" s="1"/>
  <c r="DY129" i="1"/>
  <c r="DY242" i="1"/>
  <c r="DY34" i="1"/>
  <c r="DZ34" i="1" s="1"/>
  <c r="DY163" i="1"/>
  <c r="DZ163" i="1" s="1"/>
  <c r="DY179" i="1"/>
  <c r="DY292" i="1"/>
  <c r="DZ292" i="1" s="1"/>
  <c r="ER33" i="1"/>
  <c r="ES33" i="1" s="1"/>
  <c r="ER65" i="1"/>
  <c r="ES65" i="1" s="1"/>
  <c r="ER97" i="1"/>
  <c r="ES97" i="1" s="1"/>
  <c r="ER129" i="1"/>
  <c r="ES129" i="1" s="1"/>
  <c r="ER162" i="1"/>
  <c r="ES162" i="1" s="1"/>
  <c r="ER194" i="1"/>
  <c r="ES194" i="1" s="1"/>
  <c r="ER226" i="1"/>
  <c r="ES226" i="1" s="1"/>
  <c r="ER258" i="1"/>
  <c r="ES258" i="1" s="1"/>
  <c r="ER291" i="1"/>
  <c r="ES291" i="1" s="1"/>
  <c r="ER10" i="1"/>
  <c r="ES10" i="1" s="1"/>
  <c r="ER42" i="1"/>
  <c r="ES42" i="1" s="1"/>
  <c r="ER74" i="1"/>
  <c r="ES74" i="1" s="1"/>
  <c r="ER106" i="1"/>
  <c r="ES106" i="1" s="1"/>
  <c r="ER139" i="1"/>
  <c r="ES139" i="1" s="1"/>
  <c r="ER171" i="1"/>
  <c r="ES171" i="1" s="1"/>
  <c r="ER203" i="1"/>
  <c r="ES203" i="1" s="1"/>
  <c r="ER235" i="1"/>
  <c r="ES235" i="1" s="1"/>
  <c r="ER268" i="1"/>
  <c r="ES268" i="1" s="1"/>
  <c r="ER300" i="1"/>
  <c r="ES300" i="1" s="1"/>
  <c r="DY295" i="1"/>
  <c r="ER4" i="1"/>
  <c r="ES4" i="1" s="1"/>
  <c r="ER36" i="1"/>
  <c r="ES36" i="1" s="1"/>
  <c r="ER68" i="1"/>
  <c r="ES68" i="1" s="1"/>
  <c r="ER100" i="1"/>
  <c r="ES100" i="1" s="1"/>
  <c r="ER133" i="1"/>
  <c r="ES133" i="1" s="1"/>
  <c r="ER165" i="1"/>
  <c r="ES165" i="1" s="1"/>
  <c r="ER197" i="1"/>
  <c r="ES197" i="1" s="1"/>
  <c r="ER229" i="1"/>
  <c r="ES229" i="1" s="1"/>
  <c r="ER5" i="1"/>
  <c r="ES5" i="1" s="1"/>
  <c r="ER37" i="1"/>
  <c r="ES37" i="1" s="1"/>
  <c r="ER69" i="1"/>
  <c r="ES69" i="1" s="1"/>
  <c r="ER101" i="1"/>
  <c r="ES101" i="1" s="1"/>
  <c r="ER134" i="1"/>
  <c r="ES134" i="1" s="1"/>
  <c r="ER30" i="1"/>
  <c r="ES30" i="1" s="1"/>
  <c r="ER62" i="1"/>
  <c r="ES62" i="1" s="1"/>
  <c r="ER94" i="1"/>
  <c r="ES94" i="1" s="1"/>
  <c r="ER126" i="1"/>
  <c r="ES126" i="1" s="1"/>
  <c r="ER159" i="1"/>
  <c r="ES159" i="1" s="1"/>
  <c r="ER191" i="1"/>
  <c r="ES191" i="1" s="1"/>
  <c r="ER223" i="1"/>
  <c r="ES223" i="1" s="1"/>
  <c r="ER23" i="1"/>
  <c r="ES23" i="1" s="1"/>
  <c r="ER55" i="1"/>
  <c r="ES55" i="1" s="1"/>
  <c r="ER87" i="1"/>
  <c r="ES87" i="1" s="1"/>
  <c r="ER119" i="1"/>
  <c r="ES119" i="1" s="1"/>
  <c r="ER152" i="1"/>
  <c r="ES152" i="1" s="1"/>
  <c r="ER184" i="1"/>
  <c r="ES184" i="1" s="1"/>
  <c r="ER216" i="1"/>
  <c r="ES216" i="1" s="1"/>
  <c r="ER264" i="1"/>
  <c r="ES264" i="1" s="1"/>
  <c r="ER296" i="1"/>
  <c r="ES296" i="1" s="1"/>
  <c r="ER256" i="1"/>
  <c r="ES256" i="1" s="1"/>
  <c r="ER289" i="1"/>
  <c r="ES289" i="1" s="1"/>
  <c r="ER24" i="1"/>
  <c r="ES24" i="1" s="1"/>
  <c r="ER56" i="1"/>
  <c r="ES56" i="1" s="1"/>
  <c r="ER88" i="1"/>
  <c r="ES88" i="1" s="1"/>
  <c r="ER120" i="1"/>
  <c r="ES120" i="1" s="1"/>
  <c r="ER153" i="1"/>
  <c r="ES153" i="1" s="1"/>
  <c r="ER185" i="1"/>
  <c r="ES185" i="1" s="1"/>
  <c r="ER217" i="1"/>
  <c r="ES217" i="1" s="1"/>
  <c r="ER249" i="1"/>
  <c r="ES249" i="1" s="1"/>
  <c r="ER282" i="1"/>
  <c r="ES282" i="1" s="1"/>
  <c r="DY82" i="1"/>
  <c r="DZ82" i="1" s="1"/>
  <c r="ER9" i="1"/>
  <c r="ES9" i="1" s="1"/>
  <c r="ER41" i="1"/>
  <c r="ES41" i="1" s="1"/>
  <c r="ER73" i="1"/>
  <c r="ES73" i="1" s="1"/>
  <c r="ER105" i="1"/>
  <c r="ES105" i="1" s="1"/>
  <c r="ER138" i="1"/>
  <c r="ES138" i="1" s="1"/>
  <c r="ER170" i="1"/>
  <c r="ES170" i="1" s="1"/>
  <c r="ER202" i="1"/>
  <c r="ES202" i="1" s="1"/>
  <c r="ER234" i="1"/>
  <c r="ES234" i="1" s="1"/>
  <c r="ER267" i="1"/>
  <c r="ES267" i="1" s="1"/>
  <c r="ER299" i="1"/>
  <c r="ES299" i="1" s="1"/>
  <c r="ER18" i="1"/>
  <c r="ES18" i="1" s="1"/>
  <c r="ER50" i="1"/>
  <c r="ES50" i="1" s="1"/>
  <c r="ER82" i="1"/>
  <c r="ES82" i="1" s="1"/>
  <c r="ER114" i="1"/>
  <c r="ES114" i="1" s="1"/>
  <c r="ER147" i="1"/>
  <c r="ES147" i="1" s="1"/>
  <c r="ER179" i="1"/>
  <c r="ES179" i="1" s="1"/>
  <c r="ER211" i="1"/>
  <c r="ES211" i="1" s="1"/>
  <c r="ER243" i="1"/>
  <c r="ES243" i="1" s="1"/>
  <c r="ER276" i="1"/>
  <c r="ES276" i="1" s="1"/>
  <c r="ER3" i="1"/>
  <c r="ES3" i="1" s="1"/>
  <c r="ER35" i="1"/>
  <c r="ES35" i="1" s="1"/>
  <c r="ER67" i="1"/>
  <c r="ES67" i="1" s="1"/>
  <c r="ER99" i="1"/>
  <c r="ES99" i="1" s="1"/>
  <c r="ER131" i="1"/>
  <c r="ES131" i="1" s="1"/>
  <c r="ER6" i="1"/>
  <c r="ES6" i="1" s="1"/>
  <c r="ER38" i="1"/>
  <c r="ES38" i="1" s="1"/>
  <c r="ER70" i="1"/>
  <c r="ES70" i="1" s="1"/>
  <c r="ER102" i="1"/>
  <c r="ES102" i="1" s="1"/>
  <c r="ER135" i="1"/>
  <c r="ES135" i="1" s="1"/>
  <c r="ER167" i="1"/>
  <c r="ES167" i="1" s="1"/>
  <c r="ER199" i="1"/>
  <c r="ES199" i="1" s="1"/>
  <c r="ER231" i="1"/>
  <c r="ES231" i="1" s="1"/>
  <c r="ER31" i="1"/>
  <c r="ES31" i="1" s="1"/>
  <c r="ER63" i="1"/>
  <c r="ES63" i="1" s="1"/>
  <c r="ER95" i="1"/>
  <c r="ES95" i="1" s="1"/>
  <c r="ER127" i="1"/>
  <c r="ES127" i="1" s="1"/>
  <c r="ER160" i="1"/>
  <c r="ES160" i="1" s="1"/>
  <c r="ER192" i="1"/>
  <c r="ES192" i="1" s="1"/>
  <c r="ER224" i="1"/>
  <c r="ES224" i="1" s="1"/>
  <c r="ER166" i="1"/>
  <c r="ES166" i="1" s="1"/>
  <c r="ER198" i="1"/>
  <c r="ES198" i="1" s="1"/>
  <c r="ER230" i="1"/>
  <c r="ES230" i="1" s="1"/>
  <c r="ER263" i="1"/>
  <c r="ES263" i="1" s="1"/>
  <c r="ER295" i="1"/>
  <c r="ES295" i="1" s="1"/>
  <c r="ER272" i="1"/>
  <c r="ES272" i="1" s="1"/>
  <c r="ER232" i="1"/>
  <c r="ES232" i="1" s="1"/>
  <c r="ER265" i="1"/>
  <c r="ES265" i="1" s="1"/>
  <c r="ER297" i="1"/>
  <c r="ES297" i="1" s="1"/>
  <c r="ER32" i="1"/>
  <c r="ES32" i="1" s="1"/>
  <c r="ER64" i="1"/>
  <c r="ES64" i="1" s="1"/>
  <c r="ER96" i="1"/>
  <c r="ES96" i="1" s="1"/>
  <c r="ER128" i="1"/>
  <c r="ES128" i="1" s="1"/>
  <c r="ER161" i="1"/>
  <c r="ES161" i="1" s="1"/>
  <c r="ER193" i="1"/>
  <c r="ES193" i="1" s="1"/>
  <c r="ER225" i="1"/>
  <c r="ES225" i="1" s="1"/>
  <c r="ER257" i="1"/>
  <c r="ES257" i="1" s="1"/>
  <c r="ER290" i="1"/>
  <c r="ES290" i="1" s="1"/>
  <c r="DY65" i="1"/>
  <c r="DZ65" i="1" s="1"/>
  <c r="DY178" i="1"/>
  <c r="DZ178" i="1" s="1"/>
  <c r="DY194" i="1"/>
  <c r="DZ194" i="1" s="1"/>
  <c r="DY267" i="1"/>
  <c r="DY58" i="1"/>
  <c r="DZ58" i="1" s="1"/>
  <c r="DY243" i="1"/>
  <c r="DZ243" i="1" s="1"/>
  <c r="ER17" i="1"/>
  <c r="ES17" i="1" s="1"/>
  <c r="ER49" i="1"/>
  <c r="ES49" i="1" s="1"/>
  <c r="ER81" i="1"/>
  <c r="ES81" i="1" s="1"/>
  <c r="ER113" i="1"/>
  <c r="ES113" i="1" s="1"/>
  <c r="ER146" i="1"/>
  <c r="ES146" i="1" s="1"/>
  <c r="ER178" i="1"/>
  <c r="ES178" i="1" s="1"/>
  <c r="ER210" i="1"/>
  <c r="ES210" i="1" s="1"/>
  <c r="ER242" i="1"/>
  <c r="ES242" i="1" s="1"/>
  <c r="ER275" i="1"/>
  <c r="ES275" i="1" s="1"/>
  <c r="ER26" i="1"/>
  <c r="ES26" i="1" s="1"/>
  <c r="ER58" i="1"/>
  <c r="ES58" i="1" s="1"/>
  <c r="ER90" i="1"/>
  <c r="ES90" i="1" s="1"/>
  <c r="ER122" i="1"/>
  <c r="ES122" i="1" s="1"/>
  <c r="ER155" i="1"/>
  <c r="ES155" i="1" s="1"/>
  <c r="ER187" i="1"/>
  <c r="ES187" i="1" s="1"/>
  <c r="ER219" i="1"/>
  <c r="ES219" i="1" s="1"/>
  <c r="ER251" i="1"/>
  <c r="ES251" i="1" s="1"/>
  <c r="ER284" i="1"/>
  <c r="ES284" i="1" s="1"/>
  <c r="DY64" i="1"/>
  <c r="DZ64" i="1" s="1"/>
  <c r="DY266" i="1"/>
  <c r="DY140" i="1"/>
  <c r="DY124" i="1"/>
  <c r="DY253" i="1"/>
  <c r="DZ253" i="1" s="1"/>
  <c r="DY50" i="1"/>
  <c r="DZ50" i="1" s="1"/>
  <c r="DY257" i="1"/>
  <c r="DO88" i="1"/>
  <c r="DP88" i="1" s="1"/>
  <c r="DO217" i="1"/>
  <c r="DP217" i="1" s="1"/>
  <c r="DO98" i="1"/>
  <c r="DP98" i="1" s="1"/>
  <c r="DO6" i="1"/>
  <c r="DP6" i="1" s="1"/>
  <c r="DP192" i="1"/>
  <c r="DO210" i="1"/>
  <c r="DP210" i="1" s="1"/>
  <c r="DO290" i="1"/>
  <c r="DP290" i="1" s="1"/>
  <c r="DO300" i="1"/>
  <c r="DP300" i="1" s="1"/>
  <c r="DO156" i="1"/>
  <c r="DP156" i="1" s="1"/>
  <c r="DO44" i="1"/>
  <c r="DP44" i="1" s="1"/>
  <c r="DO302" i="1"/>
  <c r="DP302" i="1" s="1"/>
  <c r="DY133" i="1"/>
  <c r="DZ133" i="1" s="1"/>
  <c r="DY197" i="1"/>
  <c r="DZ197" i="1" s="1"/>
  <c r="DY26" i="1"/>
  <c r="DY284" i="1"/>
  <c r="DZ284" i="1" s="1"/>
  <c r="DY252" i="1"/>
  <c r="DY287" i="1"/>
  <c r="DZ287" i="1" s="1"/>
  <c r="DO32" i="1"/>
  <c r="DP32" i="1" s="1"/>
  <c r="DO161" i="1"/>
  <c r="DP161" i="1" s="1"/>
  <c r="DO14" i="1"/>
  <c r="DP14" i="1" s="1"/>
  <c r="DO200" i="1"/>
  <c r="DP200" i="1" s="1"/>
  <c r="DO289" i="1"/>
  <c r="DP289" i="1" s="1"/>
  <c r="DO298" i="1"/>
  <c r="DP298" i="1" s="1"/>
  <c r="DO159" i="1"/>
  <c r="DP159" i="1" s="1"/>
  <c r="DO231" i="1"/>
  <c r="DP231" i="1" s="1"/>
  <c r="DE25" i="1"/>
  <c r="DF25" i="1" s="1"/>
  <c r="DY99" i="1"/>
  <c r="DZ99" i="1" s="1"/>
  <c r="DY164" i="1"/>
  <c r="DY228" i="1"/>
  <c r="DY149" i="1"/>
  <c r="DY213" i="1"/>
  <c r="DY278" i="1"/>
  <c r="DY81" i="1"/>
  <c r="DZ81" i="1" s="1"/>
  <c r="DY170" i="1"/>
  <c r="DY226" i="1"/>
  <c r="DZ226" i="1" s="1"/>
  <c r="DY264" i="1"/>
  <c r="DZ264" i="1" s="1"/>
  <c r="DY298" i="1"/>
  <c r="DO48" i="1"/>
  <c r="DP48" i="1" s="1"/>
  <c r="DO112" i="1"/>
  <c r="DP112" i="1" s="1"/>
  <c r="DO177" i="1"/>
  <c r="DP177" i="1" s="1"/>
  <c r="DO206" i="1"/>
  <c r="DP206" i="1" s="1"/>
  <c r="DO30" i="1"/>
  <c r="DP30" i="1" s="1"/>
  <c r="DO216" i="1"/>
  <c r="DP216" i="1" s="1"/>
  <c r="DO249" i="1"/>
  <c r="DP249" i="1" s="1"/>
  <c r="DO258" i="1"/>
  <c r="DP258" i="1" s="1"/>
  <c r="DO141" i="1"/>
  <c r="DP141" i="1" s="1"/>
  <c r="DO267" i="1"/>
  <c r="DP267" i="1" s="1"/>
  <c r="DO183" i="1"/>
  <c r="DP183" i="1" s="1"/>
  <c r="EA183" i="1"/>
  <c r="DE80" i="1"/>
  <c r="DF80" i="1" s="1"/>
  <c r="DE109" i="1"/>
  <c r="DF109" i="1" s="1"/>
  <c r="DE66" i="1"/>
  <c r="DF66" i="1" s="1"/>
  <c r="DE204" i="1"/>
  <c r="DF204" i="1" s="1"/>
  <c r="DE146" i="1"/>
  <c r="DF146" i="1" s="1"/>
  <c r="DE190" i="1"/>
  <c r="DF190" i="1" s="1"/>
  <c r="CU199" i="1"/>
  <c r="CV199" i="1" s="1"/>
  <c r="CU264" i="1"/>
  <c r="CV264" i="1" s="1"/>
  <c r="CU169" i="1"/>
  <c r="CV169" i="1" s="1"/>
  <c r="CU249" i="1"/>
  <c r="CV249" i="1" s="1"/>
  <c r="CU81" i="1"/>
  <c r="CV81" i="1" s="1"/>
  <c r="CU218" i="1"/>
  <c r="CV218" i="1" s="1"/>
  <c r="CU42" i="1"/>
  <c r="CV42" i="1" s="1"/>
  <c r="CU300" i="1"/>
  <c r="CV300" i="1" s="1"/>
  <c r="CU246" i="1"/>
  <c r="CV246" i="1" s="1"/>
  <c r="CU91" i="1"/>
  <c r="CU156" i="1"/>
  <c r="CV156" i="1" s="1"/>
  <c r="CU220" i="1"/>
  <c r="CV220" i="1" s="1"/>
  <c r="CU12" i="1"/>
  <c r="CV12" i="1" s="1"/>
  <c r="CU294" i="1"/>
  <c r="CV294" i="1" s="1"/>
  <c r="CK24" i="1"/>
  <c r="CL24" i="1" s="1"/>
  <c r="CK23" i="1"/>
  <c r="CL23" i="1" s="1"/>
  <c r="CK87" i="1"/>
  <c r="CL87" i="1" s="1"/>
  <c r="CK152" i="1"/>
  <c r="CL152" i="1" s="1"/>
  <c r="CK118" i="1"/>
  <c r="CL118" i="1" s="1"/>
  <c r="CK207" i="1"/>
  <c r="CL207" i="1" s="1"/>
  <c r="CK298" i="1"/>
  <c r="CL298" i="1" s="1"/>
  <c r="CK96" i="1"/>
  <c r="CL96" i="1" s="1"/>
  <c r="CA62" i="1"/>
  <c r="CB62" i="1" s="1"/>
  <c r="CA126" i="1"/>
  <c r="CB126" i="1" s="1"/>
  <c r="CA191" i="1"/>
  <c r="CB191" i="1" s="1"/>
  <c r="CA255" i="1"/>
  <c r="CB255" i="1" s="1"/>
  <c r="CA16" i="1"/>
  <c r="CB16" i="1" s="1"/>
  <c r="CA209" i="1"/>
  <c r="CB209" i="1" s="1"/>
  <c r="CK150" i="1"/>
  <c r="CL150" i="1" s="1"/>
  <c r="CA186" i="1"/>
  <c r="CB186" i="1" s="1"/>
  <c r="BQ9" i="1"/>
  <c r="BR9" i="1" s="1"/>
  <c r="BQ7" i="1"/>
  <c r="BR7" i="1" s="1"/>
  <c r="BQ125" i="1"/>
  <c r="BR125" i="1" s="1"/>
  <c r="BQ254" i="1"/>
  <c r="BR254" i="1" s="1"/>
  <c r="BQ65" i="1"/>
  <c r="BR65" i="1" s="1"/>
  <c r="BQ152" i="1"/>
  <c r="BR152" i="1" s="1"/>
  <c r="BQ216" i="1"/>
  <c r="BR216" i="1" s="1"/>
  <c r="BQ281" i="1"/>
  <c r="BR281" i="1" s="1"/>
  <c r="BQ104" i="1"/>
  <c r="BR104" i="1" s="1"/>
  <c r="BQ170" i="1"/>
  <c r="BR170" i="1" s="1"/>
  <c r="BQ234" i="1"/>
  <c r="BR234" i="1" s="1"/>
  <c r="BQ299" i="1"/>
  <c r="BR299" i="1" s="1"/>
  <c r="BQ135" i="1"/>
  <c r="BR135" i="1" s="1"/>
  <c r="BQ264" i="1"/>
  <c r="BR264" i="1" s="1"/>
  <c r="BQ23" i="1"/>
  <c r="BR23" i="1" s="1"/>
  <c r="BQ97" i="1"/>
  <c r="BR97" i="1" s="1"/>
  <c r="BQ180" i="1"/>
  <c r="BR180" i="1" s="1"/>
  <c r="BQ252" i="1"/>
  <c r="BR252" i="1" s="1"/>
  <c r="BG282" i="1"/>
  <c r="BH282" i="1" s="1"/>
  <c r="BG200" i="1"/>
  <c r="BH200" i="1" s="1"/>
  <c r="BG265" i="1"/>
  <c r="BH265" i="1" s="1"/>
  <c r="BG17" i="1"/>
  <c r="BH17" i="1" s="1"/>
  <c r="BG117" i="1"/>
  <c r="BH117" i="1" s="1"/>
  <c r="BG162" i="1"/>
  <c r="BH162" i="1" s="1"/>
  <c r="BG291" i="1"/>
  <c r="BH291" i="1" s="1"/>
  <c r="AV231" i="1"/>
  <c r="AW231" i="1" s="1"/>
  <c r="AV296" i="1"/>
  <c r="AW296" i="1" s="1"/>
  <c r="BG47" i="1"/>
  <c r="BH47" i="1" s="1"/>
  <c r="BG120" i="1"/>
  <c r="BH120" i="1" s="1"/>
  <c r="BG50" i="1"/>
  <c r="BH50" i="1" s="1"/>
  <c r="BG29" i="1"/>
  <c r="BH29" i="1" s="1"/>
  <c r="BG130" i="1"/>
  <c r="BH130" i="1" s="1"/>
  <c r="BG296" i="1"/>
  <c r="BH296" i="1" s="1"/>
  <c r="BG197" i="1"/>
  <c r="BH197" i="1" s="1"/>
  <c r="AV164" i="1"/>
  <c r="AW164" i="1" s="1"/>
  <c r="AV228" i="1"/>
  <c r="AW228" i="1" s="1"/>
  <c r="AV293" i="1"/>
  <c r="AW293" i="1" s="1"/>
  <c r="AV57" i="1"/>
  <c r="AW57" i="1" s="1"/>
  <c r="AV121" i="1"/>
  <c r="AW121" i="1" s="1"/>
  <c r="AV186" i="1"/>
  <c r="AW186" i="1" s="1"/>
  <c r="AV250" i="1"/>
  <c r="AW250" i="1" s="1"/>
  <c r="BG98" i="1"/>
  <c r="BH98" i="1" s="1"/>
  <c r="AV139" i="1"/>
  <c r="AW139" i="1" s="1"/>
  <c r="DY172" i="1"/>
  <c r="DO291" i="1"/>
  <c r="DP291" i="1" s="1"/>
  <c r="DE99" i="1"/>
  <c r="DF99" i="1" s="1"/>
  <c r="DE283" i="1"/>
  <c r="DF283" i="1" s="1"/>
  <c r="DE207" i="1"/>
  <c r="DF207" i="1" s="1"/>
  <c r="DE118" i="1"/>
  <c r="DF118" i="1" s="1"/>
  <c r="DE229" i="1"/>
  <c r="DF229" i="1" s="1"/>
  <c r="DE187" i="1"/>
  <c r="DF187" i="1" s="1"/>
  <c r="DE286" i="1"/>
  <c r="DF286" i="1" s="1"/>
  <c r="DE157" i="1"/>
  <c r="DF157" i="1" s="1"/>
  <c r="DE278" i="1"/>
  <c r="DF278" i="1" s="1"/>
  <c r="DE32" i="1"/>
  <c r="DF32" i="1" s="1"/>
  <c r="DE210" i="1"/>
  <c r="DF210" i="1" s="1"/>
  <c r="DE94" i="1"/>
  <c r="DF94" i="1" s="1"/>
  <c r="DE158" i="1"/>
  <c r="DF158" i="1" s="1"/>
  <c r="DE299" i="1"/>
  <c r="DF299" i="1" s="1"/>
  <c r="DE225" i="1"/>
  <c r="DF225" i="1" s="1"/>
  <c r="DE254" i="1"/>
  <c r="DF254" i="1" s="1"/>
  <c r="DE56" i="1"/>
  <c r="DF56" i="1" s="1"/>
  <c r="CU143" i="1"/>
  <c r="CV143" i="1" s="1"/>
  <c r="CU207" i="1"/>
  <c r="CV207" i="1" s="1"/>
  <c r="CU272" i="1"/>
  <c r="CV272" i="1" s="1"/>
  <c r="CU193" i="1"/>
  <c r="CV193" i="1" s="1"/>
  <c r="CU257" i="1"/>
  <c r="CV257" i="1" s="1"/>
  <c r="CU89" i="1"/>
  <c r="CV89" i="1" s="1"/>
  <c r="CU226" i="1"/>
  <c r="CV226" i="1" s="1"/>
  <c r="CU50" i="1"/>
  <c r="CV50" i="1" s="1"/>
  <c r="CU114" i="1"/>
  <c r="CV114" i="1" s="1"/>
  <c r="CU254" i="1"/>
  <c r="CV254" i="1" s="1"/>
  <c r="CU99" i="1"/>
  <c r="CK6" i="1"/>
  <c r="CL6" i="1" s="1"/>
  <c r="CK183" i="1"/>
  <c r="CL183" i="1" s="1"/>
  <c r="CK201" i="1"/>
  <c r="CL201" i="1" s="1"/>
  <c r="CK266" i="1"/>
  <c r="CL266" i="1" s="1"/>
  <c r="CA70" i="1"/>
  <c r="CB70" i="1" s="1"/>
  <c r="CA135" i="1"/>
  <c r="CB135" i="1" s="1"/>
  <c r="CA199" i="1"/>
  <c r="CB199" i="1" s="1"/>
  <c r="CA264" i="1"/>
  <c r="CB264" i="1" s="1"/>
  <c r="CK182" i="1"/>
  <c r="CL182" i="1" s="1"/>
  <c r="CA51" i="1"/>
  <c r="CB51" i="1" s="1"/>
  <c r="CA115" i="1"/>
  <c r="CB115" i="1" s="1"/>
  <c r="CA180" i="1"/>
  <c r="CB180" i="1" s="1"/>
  <c r="CA244" i="1"/>
  <c r="CB244" i="1" s="1"/>
  <c r="CA49" i="1"/>
  <c r="CB49" i="1" s="1"/>
  <c r="BQ16" i="1"/>
  <c r="BR16" i="1" s="1"/>
  <c r="BR136" i="1"/>
  <c r="BQ265" i="1"/>
  <c r="BR265" i="1" s="1"/>
  <c r="BQ93" i="1"/>
  <c r="BR93" i="1" s="1"/>
  <c r="BQ160" i="1"/>
  <c r="BR160" i="1" s="1"/>
  <c r="BQ224" i="1"/>
  <c r="BR224" i="1" s="1"/>
  <c r="BQ289" i="1"/>
  <c r="BR289" i="1" s="1"/>
  <c r="BQ8" i="1"/>
  <c r="BR8" i="1" s="1"/>
  <c r="BQ75" i="1"/>
  <c r="BR75" i="1" s="1"/>
  <c r="BQ6" i="1"/>
  <c r="BR6" i="1" s="1"/>
  <c r="BQ54" i="1"/>
  <c r="BR54" i="1" s="1"/>
  <c r="BQ183" i="1"/>
  <c r="BR183" i="1" s="1"/>
  <c r="BQ19" i="1"/>
  <c r="BR19" i="1" s="1"/>
  <c r="BQ32" i="1"/>
  <c r="BR32" i="1" s="1"/>
  <c r="BQ188" i="1"/>
  <c r="BR188" i="1" s="1"/>
  <c r="BG26" i="1"/>
  <c r="BH26" i="1" s="1"/>
  <c r="BG137" i="1"/>
  <c r="BH137" i="1" s="1"/>
  <c r="BG266" i="1"/>
  <c r="BH266" i="1" s="1"/>
  <c r="BG170" i="1"/>
  <c r="BH170" i="1" s="1"/>
  <c r="BG234" i="1"/>
  <c r="BH234" i="1" s="1"/>
  <c r="BG299" i="1"/>
  <c r="BH299" i="1" s="1"/>
  <c r="AV239" i="1"/>
  <c r="AW239" i="1" s="1"/>
  <c r="BG3" i="1"/>
  <c r="BH3" i="1" s="1"/>
  <c r="BG10" i="1"/>
  <c r="BH10" i="1" s="1"/>
  <c r="BG96" i="1"/>
  <c r="BH96" i="1" s="1"/>
  <c r="AV225" i="1"/>
  <c r="AW225" i="1" s="1"/>
  <c r="AV107" i="1"/>
  <c r="AW107" i="1" s="1"/>
  <c r="AV172" i="1"/>
  <c r="AW172" i="1" s="1"/>
  <c r="AV236" i="1"/>
  <c r="AW236" i="1" s="1"/>
  <c r="AV301" i="1"/>
  <c r="AW301" i="1" s="1"/>
  <c r="AV65" i="1"/>
  <c r="AW65" i="1" s="1"/>
  <c r="AV129" i="1"/>
  <c r="AW129" i="1" s="1"/>
  <c r="AV194" i="1"/>
  <c r="AW194" i="1" s="1"/>
  <c r="AV258" i="1"/>
  <c r="AW258" i="1" s="1"/>
  <c r="BQ106" i="1"/>
  <c r="BR106" i="1" s="1"/>
  <c r="BG107" i="1"/>
  <c r="BH107" i="1" s="1"/>
  <c r="CU43" i="1"/>
  <c r="CV43" i="1" s="1"/>
  <c r="CK56" i="1"/>
  <c r="CL56" i="1" s="1"/>
  <c r="CK209" i="1"/>
  <c r="CL209" i="1" s="1"/>
  <c r="CK274" i="1"/>
  <c r="CL274" i="1" s="1"/>
  <c r="CA78" i="1"/>
  <c r="CB78" i="1" s="1"/>
  <c r="CA143" i="1"/>
  <c r="CB143" i="1" s="1"/>
  <c r="CA207" i="1"/>
  <c r="CB207" i="1" s="1"/>
  <c r="CA272" i="1"/>
  <c r="CB272" i="1" s="1"/>
  <c r="CA32" i="1"/>
  <c r="CB32" i="1" s="1"/>
  <c r="CA225" i="1"/>
  <c r="CB225" i="1" s="1"/>
  <c r="CK158" i="1"/>
  <c r="CL158" i="1" s="1"/>
  <c r="CA59" i="1"/>
  <c r="CB59" i="1" s="1"/>
  <c r="CA123" i="1"/>
  <c r="CB123" i="1" s="1"/>
  <c r="CA188" i="1"/>
  <c r="CB188" i="1" s="1"/>
  <c r="CA252" i="1"/>
  <c r="CB252" i="1" s="1"/>
  <c r="CA81" i="1"/>
  <c r="CB81" i="1" s="1"/>
  <c r="CA162" i="1"/>
  <c r="CB162" i="1" s="1"/>
  <c r="BQ102" i="1"/>
  <c r="BR102" i="1" s="1"/>
  <c r="BQ85" i="1"/>
  <c r="BR85" i="1" s="1"/>
  <c r="BQ55" i="1"/>
  <c r="BR55" i="1" s="1"/>
  <c r="BQ22" i="1"/>
  <c r="BR22" i="1" s="1"/>
  <c r="BQ121" i="1"/>
  <c r="BR121" i="1" s="1"/>
  <c r="BQ186" i="1"/>
  <c r="BR186" i="1" s="1"/>
  <c r="BQ250" i="1"/>
  <c r="BR250" i="1" s="1"/>
  <c r="BQ231" i="1"/>
  <c r="BR231" i="1" s="1"/>
  <c r="BQ123" i="1"/>
  <c r="BR123" i="1" s="1"/>
  <c r="BG281" i="1"/>
  <c r="BH281" i="1" s="1"/>
  <c r="BG112" i="1"/>
  <c r="BH112" i="1" s="1"/>
  <c r="BG178" i="1"/>
  <c r="BH178" i="1" s="1"/>
  <c r="BG242" i="1"/>
  <c r="BH242" i="1" s="1"/>
  <c r="AV247" i="1"/>
  <c r="AW247" i="1" s="1"/>
  <c r="BG31" i="1"/>
  <c r="BH31" i="1" s="1"/>
  <c r="BG19" i="1"/>
  <c r="BH19" i="1" s="1"/>
  <c r="BG139" i="1"/>
  <c r="BH139" i="1" s="1"/>
  <c r="BG231" i="1"/>
  <c r="BH231" i="1" s="1"/>
  <c r="BG221" i="1"/>
  <c r="BH221" i="1" s="1"/>
  <c r="BG294" i="1"/>
  <c r="BH294" i="1" s="1"/>
  <c r="AV115" i="1"/>
  <c r="AW115" i="1" s="1"/>
  <c r="AV180" i="1"/>
  <c r="AW180" i="1" s="1"/>
  <c r="AV244" i="1"/>
  <c r="AW244" i="1" s="1"/>
  <c r="AV9" i="1"/>
  <c r="AW9" i="1" s="1"/>
  <c r="AV73" i="1"/>
  <c r="AW73" i="1" s="1"/>
  <c r="AV138" i="1"/>
  <c r="AW138" i="1" s="1"/>
  <c r="AV267" i="1"/>
  <c r="AW267" i="1" s="1"/>
  <c r="BQ139" i="1"/>
  <c r="BR139" i="1" s="1"/>
  <c r="BQ171" i="1"/>
  <c r="BR171" i="1" s="1"/>
  <c r="BQ227" i="1"/>
  <c r="BR227" i="1" s="1"/>
  <c r="BG58" i="1"/>
  <c r="BH58" i="1" s="1"/>
  <c r="BG190" i="1"/>
  <c r="BH190" i="1" s="1"/>
  <c r="AV68" i="1"/>
  <c r="AW68" i="1" s="1"/>
  <c r="AV133" i="1"/>
  <c r="AW133" i="1" s="1"/>
  <c r="AV197" i="1"/>
  <c r="AW197" i="1" s="1"/>
  <c r="AV262" i="1"/>
  <c r="AW262" i="1" s="1"/>
  <c r="AV26" i="1"/>
  <c r="AW26" i="1" s="1"/>
  <c r="AB229" i="1"/>
  <c r="AC229" i="1" s="1"/>
  <c r="DY236" i="1"/>
  <c r="DZ236" i="1" s="1"/>
  <c r="DY221" i="1"/>
  <c r="DZ221" i="1" s="1"/>
  <c r="DZ202" i="1"/>
  <c r="DY122" i="1"/>
  <c r="DZ122" i="1" s="1"/>
  <c r="EA269" i="1"/>
  <c r="DY269" i="1"/>
  <c r="DO56" i="1"/>
  <c r="DP56" i="1" s="1"/>
  <c r="DO185" i="1"/>
  <c r="DP185" i="1" s="1"/>
  <c r="DO130" i="1"/>
  <c r="DP130" i="1" s="1"/>
  <c r="DO224" i="1"/>
  <c r="DP224" i="1" s="1"/>
  <c r="DO257" i="1"/>
  <c r="DP257" i="1" s="1"/>
  <c r="DO299" i="1"/>
  <c r="DP299" i="1" s="1"/>
  <c r="DY165" i="1"/>
  <c r="DZ165" i="1" s="1"/>
  <c r="DY229" i="1"/>
  <c r="EA229" i="1"/>
  <c r="DY146" i="1"/>
  <c r="DZ146" i="1" s="1"/>
  <c r="DO128" i="1"/>
  <c r="DP128" i="1" s="1"/>
  <c r="DO266" i="1"/>
  <c r="DP266" i="1" s="1"/>
  <c r="DO239" i="1"/>
  <c r="DP239" i="1" s="1"/>
  <c r="DO280" i="1"/>
  <c r="DP280" i="1" s="1"/>
  <c r="DE154" i="1"/>
  <c r="DF154" i="1" s="1"/>
  <c r="DE293" i="1"/>
  <c r="DF293" i="1" s="1"/>
  <c r="DE65" i="1"/>
  <c r="DF65" i="1" s="1"/>
  <c r="DE258" i="1"/>
  <c r="DF258" i="1" s="1"/>
  <c r="DE101" i="1"/>
  <c r="DF101" i="1" s="1"/>
  <c r="DE36" i="1"/>
  <c r="DF36" i="1" s="1"/>
  <c r="DE238" i="1"/>
  <c r="DF238" i="1" s="1"/>
  <c r="DE18" i="1"/>
  <c r="DF18" i="1" s="1"/>
  <c r="DE276" i="1"/>
  <c r="DF276" i="1" s="1"/>
  <c r="DE188" i="1"/>
  <c r="DF188" i="1" s="1"/>
  <c r="DE189" i="1"/>
  <c r="DF189" i="1" s="1"/>
  <c r="DE287" i="1"/>
  <c r="DF287" i="1" s="1"/>
  <c r="DE84" i="1"/>
  <c r="DF84" i="1" s="1"/>
  <c r="DE53" i="1"/>
  <c r="DF53" i="1" s="1"/>
  <c r="DE264" i="1"/>
  <c r="DF264" i="1" s="1"/>
  <c r="DE215" i="1"/>
  <c r="DF215" i="1" s="1"/>
  <c r="DE267" i="1"/>
  <c r="DF267" i="1" s="1"/>
  <c r="DE153" i="1"/>
  <c r="DF153" i="1" s="1"/>
  <c r="DE282" i="1"/>
  <c r="DF282" i="1" s="1"/>
  <c r="CU151" i="1"/>
  <c r="CV151" i="1" s="1"/>
  <c r="CU215" i="1"/>
  <c r="CV215" i="1" s="1"/>
  <c r="CU280" i="1"/>
  <c r="CV280" i="1" s="1"/>
  <c r="CU201" i="1"/>
  <c r="CV201" i="1" s="1"/>
  <c r="CU266" i="1"/>
  <c r="CV266" i="1" s="1"/>
  <c r="CU3" i="1"/>
  <c r="CV3" i="1" s="1"/>
  <c r="CU113" i="1"/>
  <c r="CV113" i="1" s="1"/>
  <c r="CU234" i="1"/>
  <c r="CV234" i="1" s="1"/>
  <c r="CU58" i="1"/>
  <c r="CV58" i="1" s="1"/>
  <c r="CU107" i="1"/>
  <c r="CV107" i="1" s="1"/>
  <c r="CU236" i="1"/>
  <c r="CV236" i="1" s="1"/>
  <c r="CU92" i="1"/>
  <c r="CV92" i="1" s="1"/>
  <c r="CU157" i="1"/>
  <c r="CV157" i="1" s="1"/>
  <c r="CU221" i="1"/>
  <c r="CV221" i="1" s="1"/>
  <c r="CK40" i="1"/>
  <c r="CL40" i="1" s="1"/>
  <c r="AB138" i="1"/>
  <c r="AC138" i="1" s="1"/>
  <c r="AB267" i="1"/>
  <c r="AC267" i="1" s="1"/>
  <c r="AL217" i="1"/>
  <c r="AM217" i="1" s="1"/>
  <c r="DY123" i="1"/>
  <c r="DY188" i="1"/>
  <c r="DZ188" i="1" s="1"/>
  <c r="DY173" i="1"/>
  <c r="DZ173" i="1" s="1"/>
  <c r="DY237" i="1"/>
  <c r="DY302" i="1"/>
  <c r="DZ302" i="1" s="1"/>
  <c r="DY98" i="1"/>
  <c r="DZ98" i="1" s="1"/>
  <c r="DO54" i="1"/>
  <c r="DP54" i="1" s="1"/>
  <c r="DO176" i="1"/>
  <c r="DP176" i="1" s="1"/>
  <c r="DO240" i="1"/>
  <c r="DP240" i="1" s="1"/>
  <c r="DO151" i="1"/>
  <c r="DP151" i="1" s="1"/>
  <c r="DO274" i="1"/>
  <c r="DP274" i="1" s="1"/>
  <c r="DO292" i="1"/>
  <c r="DP292" i="1" s="1"/>
  <c r="DO110" i="1"/>
  <c r="DP110" i="1" s="1"/>
  <c r="DO124" i="1"/>
  <c r="DP124" i="1" s="1"/>
  <c r="DE47" i="1"/>
  <c r="DF47" i="1" s="1"/>
  <c r="DE270" i="1"/>
  <c r="DF270" i="1" s="1"/>
  <c r="DE45" i="1"/>
  <c r="DF45" i="1" s="1"/>
  <c r="DE163" i="1"/>
  <c r="DF163" i="1" s="1"/>
  <c r="DE11" i="1"/>
  <c r="DF11" i="1" s="1"/>
  <c r="DE199" i="1"/>
  <c r="DF199" i="1" s="1"/>
  <c r="DE167" i="1"/>
  <c r="DF167" i="1" s="1"/>
  <c r="DE296" i="1"/>
  <c r="DF296" i="1" s="1"/>
  <c r="DE279" i="1"/>
  <c r="DF279" i="1" s="1"/>
  <c r="DE38" i="1"/>
  <c r="DF38" i="1" s="1"/>
  <c r="DE24" i="1"/>
  <c r="DF24" i="1" s="1"/>
  <c r="CU159" i="1"/>
  <c r="CV159" i="1" s="1"/>
  <c r="CU223" i="1"/>
  <c r="CV223" i="1" s="1"/>
  <c r="CU288" i="1"/>
  <c r="CV288" i="1" s="1"/>
  <c r="CU48" i="1"/>
  <c r="CV48" i="1" s="1"/>
  <c r="CU274" i="1"/>
  <c r="CV274" i="1" s="1"/>
  <c r="CU130" i="1"/>
  <c r="CV130" i="1" s="1"/>
  <c r="CU195" i="1"/>
  <c r="CV195" i="1" s="1"/>
  <c r="CU271" i="1"/>
  <c r="CV271" i="1" s="1"/>
  <c r="CU51" i="1"/>
  <c r="CV51" i="1" s="1"/>
  <c r="CU115" i="1"/>
  <c r="CV115" i="1" s="1"/>
  <c r="CU36" i="1"/>
  <c r="CV36" i="1" s="1"/>
  <c r="CU100" i="1"/>
  <c r="CV100" i="1" s="1"/>
  <c r="CU165" i="1"/>
  <c r="CV165" i="1" s="1"/>
  <c r="CU302" i="1"/>
  <c r="CV302" i="1" s="1"/>
  <c r="CK48" i="1"/>
  <c r="CL48" i="1" s="1"/>
  <c r="CK47" i="1"/>
  <c r="CL47" i="1" s="1"/>
  <c r="CK111" i="1"/>
  <c r="CL111" i="1" s="1"/>
  <c r="CK176" i="1"/>
  <c r="CL176" i="1" s="1"/>
  <c r="CK14" i="1"/>
  <c r="CL14" i="1" s="1"/>
  <c r="CK247" i="1"/>
  <c r="CL247" i="1" s="1"/>
  <c r="CK297" i="1"/>
  <c r="CL297" i="1" s="1"/>
  <c r="CK161" i="1"/>
  <c r="CL161" i="1" s="1"/>
  <c r="CA86" i="1"/>
  <c r="CB86" i="1" s="1"/>
  <c r="CA151" i="1"/>
  <c r="CB151" i="1" s="1"/>
  <c r="CA215" i="1"/>
  <c r="CB215" i="1" s="1"/>
  <c r="CA280" i="1"/>
  <c r="CB280" i="1" s="1"/>
  <c r="CA18" i="1"/>
  <c r="CB18" i="1" s="1"/>
  <c r="CA82" i="1"/>
  <c r="CB82" i="1" s="1"/>
  <c r="CA147" i="1"/>
  <c r="CB147" i="1" s="1"/>
  <c r="CA211" i="1"/>
  <c r="CB211" i="1" s="1"/>
  <c r="CA276" i="1"/>
  <c r="CB276" i="1" s="1"/>
  <c r="CA104" i="1"/>
  <c r="CB104" i="1" s="1"/>
  <c r="CA169" i="1"/>
  <c r="CB169" i="1" s="1"/>
  <c r="CA233" i="1"/>
  <c r="CB233" i="1" s="1"/>
  <c r="CK21" i="1"/>
  <c r="CL21" i="1" s="1"/>
  <c r="CK101" i="1"/>
  <c r="CL101" i="1" s="1"/>
  <c r="CK246" i="1"/>
  <c r="CL246" i="1" s="1"/>
  <c r="CA3" i="1"/>
  <c r="CB3" i="1" s="1"/>
  <c r="CA67" i="1"/>
  <c r="CB67" i="1" s="1"/>
  <c r="CA131" i="1"/>
  <c r="CB131" i="1" s="1"/>
  <c r="CA196" i="1"/>
  <c r="CB196" i="1" s="1"/>
  <c r="CA260" i="1"/>
  <c r="CB260" i="1" s="1"/>
  <c r="CA194" i="1"/>
  <c r="CB194" i="1" s="1"/>
  <c r="BQ53" i="1"/>
  <c r="BR53" i="1" s="1"/>
  <c r="BQ182" i="1"/>
  <c r="BR182" i="1" s="1"/>
  <c r="BQ161" i="1"/>
  <c r="BR161" i="1" s="1"/>
  <c r="BQ225" i="1"/>
  <c r="BR225" i="1" s="1"/>
  <c r="BQ290" i="1"/>
  <c r="BR290" i="1" s="1"/>
  <c r="BQ64" i="1"/>
  <c r="BR64" i="1" s="1"/>
  <c r="BQ31" i="1"/>
  <c r="BR31" i="1" s="1"/>
  <c r="BQ151" i="1"/>
  <c r="BR151" i="1" s="1"/>
  <c r="BQ280" i="1"/>
  <c r="BR280" i="1" s="1"/>
  <c r="BQ59" i="1"/>
  <c r="BR59" i="1" s="1"/>
  <c r="BQ212" i="1"/>
  <c r="BR212" i="1" s="1"/>
  <c r="BQ260" i="1"/>
  <c r="BR260" i="1" s="1"/>
  <c r="BG153" i="1"/>
  <c r="BH153" i="1" s="1"/>
  <c r="BG18" i="1"/>
  <c r="BH18" i="1" s="1"/>
  <c r="BG224" i="1"/>
  <c r="BH224" i="1" s="1"/>
  <c r="BG289" i="1"/>
  <c r="BH289" i="1" s="1"/>
  <c r="CA266" i="1"/>
  <c r="CB266" i="1" s="1"/>
  <c r="BG53" i="1"/>
  <c r="BH53" i="1" s="1"/>
  <c r="BG155" i="1"/>
  <c r="BH155" i="1" s="1"/>
  <c r="AV255" i="1"/>
  <c r="AW255" i="1" s="1"/>
  <c r="BG27" i="1"/>
  <c r="BH27" i="1" s="1"/>
  <c r="BG67" i="1"/>
  <c r="BH67" i="1" s="1"/>
  <c r="BG37" i="1"/>
  <c r="BH37" i="1" s="1"/>
  <c r="BG131" i="1"/>
  <c r="BH131" i="1" s="1"/>
  <c r="BG228" i="1"/>
  <c r="BH228" i="1" s="1"/>
  <c r="BG75" i="1"/>
  <c r="BH75" i="1" s="1"/>
  <c r="BG51" i="1"/>
  <c r="BH51" i="1" s="1"/>
  <c r="BG157" i="1"/>
  <c r="BH157" i="1" s="1"/>
  <c r="BG229" i="1"/>
  <c r="BH229" i="1" s="1"/>
  <c r="BG302" i="1"/>
  <c r="BH302" i="1" s="1"/>
  <c r="AV123" i="1"/>
  <c r="AW123" i="1" s="1"/>
  <c r="AV188" i="1"/>
  <c r="AW188" i="1" s="1"/>
  <c r="AV252" i="1"/>
  <c r="AW252" i="1" s="1"/>
  <c r="AV17" i="1"/>
  <c r="AW17" i="1" s="1"/>
  <c r="AV81" i="1"/>
  <c r="AW81" i="1" s="1"/>
  <c r="AV146" i="1"/>
  <c r="AW146" i="1" s="1"/>
  <c r="AV210" i="1"/>
  <c r="AW210" i="1" s="1"/>
  <c r="AV275" i="1"/>
  <c r="AW275" i="1" s="1"/>
  <c r="BQ114" i="1"/>
  <c r="BR114" i="1" s="1"/>
  <c r="AV12" i="1"/>
  <c r="AW12" i="1" s="1"/>
  <c r="AV76" i="1"/>
  <c r="AW76" i="1" s="1"/>
  <c r="AV141" i="1"/>
  <c r="AW141" i="1" s="1"/>
  <c r="AV205" i="1"/>
  <c r="AW205" i="1" s="1"/>
  <c r="AV270" i="1"/>
  <c r="AW270" i="1" s="1"/>
  <c r="AB165" i="1"/>
  <c r="AC165" i="1" s="1"/>
  <c r="EA107" i="1"/>
  <c r="DY107" i="1"/>
  <c r="DY157" i="1"/>
  <c r="DY286" i="1"/>
  <c r="DY113" i="1"/>
  <c r="DZ113" i="1" s="1"/>
  <c r="DO120" i="1"/>
  <c r="DP120" i="1" s="1"/>
  <c r="DO214" i="1"/>
  <c r="DP214" i="1" s="1"/>
  <c r="DO38" i="1"/>
  <c r="DP38" i="1" s="1"/>
  <c r="DO171" i="1"/>
  <c r="DP171" i="1" s="1"/>
  <c r="DO172" i="1"/>
  <c r="DP172" i="1" s="1"/>
  <c r="DP4" i="1"/>
  <c r="DO173" i="1"/>
  <c r="DP173" i="1" s="1"/>
  <c r="DO255" i="1"/>
  <c r="DP255" i="1" s="1"/>
  <c r="DY294" i="1"/>
  <c r="DY33" i="1"/>
  <c r="DZ33" i="1" s="1"/>
  <c r="DY211" i="1"/>
  <c r="DZ211" i="1" s="1"/>
  <c r="DY16" i="1"/>
  <c r="DY238" i="1"/>
  <c r="DO64" i="1"/>
  <c r="DP64" i="1" s="1"/>
  <c r="DO193" i="1"/>
  <c r="DP193" i="1" s="1"/>
  <c r="DO232" i="1"/>
  <c r="DP232" i="1" s="1"/>
  <c r="EA232" i="1"/>
  <c r="DO259" i="1"/>
  <c r="DP259" i="1" s="1"/>
  <c r="DO204" i="1"/>
  <c r="DP204" i="1" s="1"/>
  <c r="DO92" i="1"/>
  <c r="DP92" i="1" s="1"/>
  <c r="EA92" i="1"/>
  <c r="DO294" i="1"/>
  <c r="DP294" i="1" s="1"/>
  <c r="DO207" i="1"/>
  <c r="DP207" i="1" s="1"/>
  <c r="DY131" i="1"/>
  <c r="DY196" i="1"/>
  <c r="DZ196" i="1" s="1"/>
  <c r="DY116" i="1"/>
  <c r="DZ116" i="1" s="1"/>
  <c r="DY181" i="1"/>
  <c r="DY245" i="1"/>
  <c r="DY276" i="1"/>
  <c r="EA225" i="1"/>
  <c r="DY225" i="1"/>
  <c r="DZ225" i="1" s="1"/>
  <c r="DO16" i="1"/>
  <c r="DP16" i="1" s="1"/>
  <c r="DO80" i="1"/>
  <c r="DP80" i="1" s="1"/>
  <c r="DO209" i="1"/>
  <c r="DP209" i="1" s="1"/>
  <c r="DO26" i="1"/>
  <c r="DP26" i="1" s="1"/>
  <c r="DO238" i="1"/>
  <c r="DP238" i="1" s="1"/>
  <c r="DO62" i="1"/>
  <c r="DP62" i="1" s="1"/>
  <c r="DO184" i="1"/>
  <c r="DP184" i="1" s="1"/>
  <c r="DO248" i="1"/>
  <c r="DP248" i="1" s="1"/>
  <c r="DO282" i="1"/>
  <c r="DP282" i="1" s="1"/>
  <c r="DO11" i="1"/>
  <c r="DP11" i="1" s="1"/>
  <c r="DO269" i="1"/>
  <c r="DP269" i="1" s="1"/>
  <c r="DO270" i="1"/>
  <c r="DP270" i="1" s="1"/>
  <c r="DE111" i="1"/>
  <c r="DF111" i="1" s="1"/>
  <c r="EA111" i="1"/>
  <c r="DE123" i="1"/>
  <c r="DF123" i="1" s="1"/>
  <c r="DE284" i="1"/>
  <c r="DF284" i="1" s="1"/>
  <c r="DE140" i="1"/>
  <c r="DF140" i="1" s="1"/>
  <c r="DE269" i="1"/>
  <c r="DF269" i="1" s="1"/>
  <c r="DE209" i="1"/>
  <c r="DF209" i="1" s="1"/>
  <c r="DE126" i="1"/>
  <c r="DF126" i="1" s="1"/>
  <c r="CU167" i="1"/>
  <c r="CV167" i="1" s="1"/>
  <c r="CU231" i="1"/>
  <c r="CV231" i="1" s="1"/>
  <c r="CU296" i="1"/>
  <c r="CV296" i="1" s="1"/>
  <c r="CU80" i="1"/>
  <c r="CV80" i="1" s="1"/>
  <c r="CU282" i="1"/>
  <c r="CV282" i="1" s="1"/>
  <c r="CU17" i="1"/>
  <c r="CV17" i="1" s="1"/>
  <c r="CU154" i="1"/>
  <c r="CV154" i="1" s="1"/>
  <c r="CU283" i="1"/>
  <c r="CV283" i="1" s="1"/>
  <c r="CU74" i="1"/>
  <c r="CV74" i="1" s="1"/>
  <c r="CU279" i="1"/>
  <c r="CV279" i="1" s="1"/>
  <c r="CU252" i="1"/>
  <c r="CV252" i="1" s="1"/>
  <c r="CU44" i="1"/>
  <c r="CV44" i="1" s="1"/>
  <c r="CK55" i="1"/>
  <c r="CL55" i="1" s="1"/>
  <c r="CK119" i="1"/>
  <c r="CL119" i="1" s="1"/>
  <c r="CK184" i="1"/>
  <c r="CL184" i="1" s="1"/>
  <c r="CK46" i="1"/>
  <c r="CL46" i="1" s="1"/>
  <c r="CK223" i="1"/>
  <c r="CL223" i="1" s="1"/>
  <c r="CK280" i="1"/>
  <c r="CL280" i="1" s="1"/>
  <c r="CK72" i="1"/>
  <c r="CL72" i="1" s="1"/>
  <c r="CK225" i="1"/>
  <c r="CL225" i="1" s="1"/>
  <c r="CA94" i="1"/>
  <c r="CB94" i="1" s="1"/>
  <c r="CA159" i="1"/>
  <c r="CB159" i="1" s="1"/>
  <c r="CA223" i="1"/>
  <c r="CB223" i="1" s="1"/>
  <c r="CA288" i="1"/>
  <c r="CB288" i="1" s="1"/>
  <c r="CA48" i="1"/>
  <c r="CB48" i="1" s="1"/>
  <c r="CA112" i="1"/>
  <c r="CB112" i="1" s="1"/>
  <c r="CK222" i="1"/>
  <c r="CL222" i="1" s="1"/>
  <c r="CA89" i="1"/>
  <c r="CB89" i="1" s="1"/>
  <c r="BQ61" i="1"/>
  <c r="BR61" i="1" s="1"/>
  <c r="BQ190" i="1"/>
  <c r="BR190" i="1" s="1"/>
  <c r="BQ29" i="1"/>
  <c r="BR29" i="1" s="1"/>
  <c r="BQ184" i="1"/>
  <c r="BR184" i="1" s="1"/>
  <c r="BQ63" i="1"/>
  <c r="BR63" i="1" s="1"/>
  <c r="BQ21" i="1"/>
  <c r="BR21" i="1" s="1"/>
  <c r="BQ103" i="1"/>
  <c r="BR103" i="1" s="1"/>
  <c r="BQ169" i="1"/>
  <c r="BR169" i="1" s="1"/>
  <c r="BQ233" i="1"/>
  <c r="BR233" i="1" s="1"/>
  <c r="BQ298" i="1"/>
  <c r="BR298" i="1" s="1"/>
  <c r="BQ40" i="1"/>
  <c r="BR40" i="1" s="1"/>
  <c r="BQ70" i="1"/>
  <c r="BR70" i="1" s="1"/>
  <c r="BQ199" i="1"/>
  <c r="BR199" i="1" s="1"/>
  <c r="BQ87" i="1"/>
  <c r="BR87" i="1" s="1"/>
  <c r="BQ24" i="1"/>
  <c r="BR24" i="1" s="1"/>
  <c r="BQ220" i="1"/>
  <c r="BR220" i="1" s="1"/>
  <c r="BQ293" i="1"/>
  <c r="BR293" i="1" s="1"/>
  <c r="BG171" i="1"/>
  <c r="BH171" i="1" s="1"/>
  <c r="BG55" i="1"/>
  <c r="BH55" i="1" s="1"/>
  <c r="BG168" i="1"/>
  <c r="BH168" i="1" s="1"/>
  <c r="BG232" i="1"/>
  <c r="BH232" i="1" s="1"/>
  <c r="BG297" i="1"/>
  <c r="BH297" i="1" s="1"/>
  <c r="CA298" i="1"/>
  <c r="CB298" i="1" s="1"/>
  <c r="BG72" i="1"/>
  <c r="BH72" i="1" s="1"/>
  <c r="BG129" i="1"/>
  <c r="BH129" i="1" s="1"/>
  <c r="BG194" i="1"/>
  <c r="BH194" i="1" s="1"/>
  <c r="AV264" i="1"/>
  <c r="AW264" i="1" s="1"/>
  <c r="BG56" i="1"/>
  <c r="BH56" i="1" s="1"/>
  <c r="BG148" i="1"/>
  <c r="BH148" i="1" s="1"/>
  <c r="BG244" i="1"/>
  <c r="BH244" i="1" s="1"/>
  <c r="AV249" i="1"/>
  <c r="AW249" i="1" s="1"/>
  <c r="BG84" i="1"/>
  <c r="BH84" i="1" s="1"/>
  <c r="BG167" i="1"/>
  <c r="BH167" i="1" s="1"/>
  <c r="BG259" i="1"/>
  <c r="BH259" i="1" s="1"/>
  <c r="BG165" i="1"/>
  <c r="BH165" i="1" s="1"/>
  <c r="BG237" i="1"/>
  <c r="BH237" i="1" s="1"/>
  <c r="AV131" i="1"/>
  <c r="AW131" i="1" s="1"/>
  <c r="AV196" i="1"/>
  <c r="AW196" i="1" s="1"/>
  <c r="AV260" i="1"/>
  <c r="AW260" i="1" s="1"/>
  <c r="AV25" i="1"/>
  <c r="AW25" i="1" s="1"/>
  <c r="AV89" i="1"/>
  <c r="AW89" i="1" s="1"/>
  <c r="AV154" i="1"/>
  <c r="AW154" i="1" s="1"/>
  <c r="AV218" i="1"/>
  <c r="AW218" i="1" s="1"/>
  <c r="AV283" i="1"/>
  <c r="AW283" i="1" s="1"/>
  <c r="BG142" i="1"/>
  <c r="BH142" i="1" s="1"/>
  <c r="BG206" i="1"/>
  <c r="BH206" i="1" s="1"/>
  <c r="BG188" i="1"/>
  <c r="BH188" i="1" s="1"/>
  <c r="DE121" i="1"/>
  <c r="DF121" i="1" s="1"/>
  <c r="DE218" i="1"/>
  <c r="DF218" i="1" s="1"/>
  <c r="DE28" i="1"/>
  <c r="DF28" i="1" s="1"/>
  <c r="DE134" i="1"/>
  <c r="DF134" i="1" s="1"/>
  <c r="DE260" i="1"/>
  <c r="DF260" i="1" s="1"/>
  <c r="DE72" i="1"/>
  <c r="DF72" i="1" s="1"/>
  <c r="DE174" i="1"/>
  <c r="DF174" i="1" s="1"/>
  <c r="DE285" i="1"/>
  <c r="DF285" i="1" s="1"/>
  <c r="DE58" i="1"/>
  <c r="DF58" i="1" s="1"/>
  <c r="DE114" i="1"/>
  <c r="DF114" i="1" s="1"/>
  <c r="DE227" i="1"/>
  <c r="DF227" i="1" s="1"/>
  <c r="DE292" i="1"/>
  <c r="DF292" i="1" s="1"/>
  <c r="DE83" i="1"/>
  <c r="DF83" i="1" s="1"/>
  <c r="DE213" i="1"/>
  <c r="DF213" i="1" s="1"/>
  <c r="DE21" i="1"/>
  <c r="DF21" i="1" s="1"/>
  <c r="DE177" i="1"/>
  <c r="DF177" i="1" s="1"/>
  <c r="DE93" i="1"/>
  <c r="DF93" i="1" s="1"/>
  <c r="DE234" i="1"/>
  <c r="DF234" i="1" s="1"/>
  <c r="DE131" i="1"/>
  <c r="DF131" i="1" s="1"/>
  <c r="DE43" i="1"/>
  <c r="DF43" i="1" s="1"/>
  <c r="DE181" i="1"/>
  <c r="DF181" i="1" s="1"/>
  <c r="CU175" i="1"/>
  <c r="CV175" i="1" s="1"/>
  <c r="CU239" i="1"/>
  <c r="CV239" i="1" s="1"/>
  <c r="CU112" i="1"/>
  <c r="CV112" i="1" s="1"/>
  <c r="CU225" i="1"/>
  <c r="CV225" i="1" s="1"/>
  <c r="CU25" i="1"/>
  <c r="CV25" i="1" s="1"/>
  <c r="CU162" i="1"/>
  <c r="CV162" i="1" s="1"/>
  <c r="CU291" i="1"/>
  <c r="CV291" i="1" s="1"/>
  <c r="CU147" i="1"/>
  <c r="CV147" i="1" s="1"/>
  <c r="CU211" i="1"/>
  <c r="CV211" i="1" s="1"/>
  <c r="CU276" i="1"/>
  <c r="CV276" i="1" s="1"/>
  <c r="CK301" i="1"/>
  <c r="CL301" i="1" s="1"/>
  <c r="CK291" i="1"/>
  <c r="CL291" i="1" s="1"/>
  <c r="CK128" i="1"/>
  <c r="CL128" i="1" s="1"/>
  <c r="CK80" i="1"/>
  <c r="CL80" i="1" s="1"/>
  <c r="CK120" i="1"/>
  <c r="CL120" i="1" s="1"/>
  <c r="CK177" i="1"/>
  <c r="CL177" i="1" s="1"/>
  <c r="CA102" i="1"/>
  <c r="CB102" i="1" s="1"/>
  <c r="CA167" i="1"/>
  <c r="CB167" i="1" s="1"/>
  <c r="CA231" i="1"/>
  <c r="CB231" i="1" s="1"/>
  <c r="CA296" i="1"/>
  <c r="CB296" i="1" s="1"/>
  <c r="CA56" i="1"/>
  <c r="CB56" i="1" s="1"/>
  <c r="CA120" i="1"/>
  <c r="CB120" i="1" s="1"/>
  <c r="CA185" i="1"/>
  <c r="CB185" i="1" s="1"/>
  <c r="CK29" i="1"/>
  <c r="CL29" i="1" s="1"/>
  <c r="CA19" i="1"/>
  <c r="CB19" i="1" s="1"/>
  <c r="CA83" i="1"/>
  <c r="CB83" i="1" s="1"/>
  <c r="CA148" i="1"/>
  <c r="CB148" i="1" s="1"/>
  <c r="CA212" i="1"/>
  <c r="CB212" i="1" s="1"/>
  <c r="CA277" i="1"/>
  <c r="CB277" i="1" s="1"/>
  <c r="BQ71" i="1"/>
  <c r="BR71" i="1" s="1"/>
  <c r="BQ127" i="1"/>
  <c r="BR127" i="1" s="1"/>
  <c r="BQ256" i="1"/>
  <c r="BR256" i="1" s="1"/>
  <c r="BQ72" i="1"/>
  <c r="BR72" i="1" s="1"/>
  <c r="BQ177" i="1"/>
  <c r="BR177" i="1" s="1"/>
  <c r="BQ241" i="1"/>
  <c r="BR241" i="1" s="1"/>
  <c r="BQ49" i="1"/>
  <c r="BR49" i="1" s="1"/>
  <c r="BQ118" i="1"/>
  <c r="BR118" i="1" s="1"/>
  <c r="BQ247" i="1"/>
  <c r="BR247" i="1" s="1"/>
  <c r="BQ96" i="1"/>
  <c r="BR96" i="1" s="1"/>
  <c r="BQ33" i="1"/>
  <c r="BR33" i="1" s="1"/>
  <c r="BG217" i="1"/>
  <c r="BH217" i="1" s="1"/>
  <c r="BG82" i="1"/>
  <c r="BH82" i="1" s="1"/>
  <c r="BG81" i="1"/>
  <c r="BH81" i="1" s="1"/>
  <c r="BG201" i="1"/>
  <c r="BH201" i="1" s="1"/>
  <c r="BG138" i="1"/>
  <c r="BH138" i="1" s="1"/>
  <c r="BG267" i="1"/>
  <c r="BH267" i="1" s="1"/>
  <c r="AV272" i="1"/>
  <c r="AW272" i="1" s="1"/>
  <c r="BG91" i="1"/>
  <c r="BH91" i="1" s="1"/>
  <c r="BG74" i="1"/>
  <c r="BH74" i="1" s="1"/>
  <c r="BG185" i="1"/>
  <c r="BH185" i="1" s="1"/>
  <c r="BG156" i="1"/>
  <c r="BH156" i="1" s="1"/>
  <c r="AV106" i="1"/>
  <c r="AW106" i="1" s="1"/>
  <c r="BG70" i="1"/>
  <c r="BH70" i="1" s="1"/>
  <c r="BG173" i="1"/>
  <c r="BH173" i="1" s="1"/>
  <c r="BG245" i="1"/>
  <c r="BH245" i="1" s="1"/>
  <c r="AV140" i="1"/>
  <c r="AW140" i="1" s="1"/>
  <c r="AV204" i="1"/>
  <c r="AW204" i="1" s="1"/>
  <c r="AV269" i="1"/>
  <c r="AW269" i="1" s="1"/>
  <c r="AV33" i="1"/>
  <c r="AW33" i="1" s="1"/>
  <c r="AV97" i="1"/>
  <c r="AW97" i="1" s="1"/>
  <c r="AV162" i="1"/>
  <c r="AW162" i="1" s="1"/>
  <c r="AV226" i="1"/>
  <c r="AW226" i="1" s="1"/>
  <c r="AV291" i="1"/>
  <c r="AW291" i="1" s="1"/>
  <c r="BQ147" i="1"/>
  <c r="BR147" i="1" s="1"/>
  <c r="BG122" i="1"/>
  <c r="BH122" i="1" s="1"/>
  <c r="BG150" i="1"/>
  <c r="BH150" i="1" s="1"/>
  <c r="AV114" i="1"/>
  <c r="AW114" i="1" s="1"/>
  <c r="DE86" i="1"/>
  <c r="DF86" i="1" s="1"/>
  <c r="CK143" i="1"/>
  <c r="CL143" i="1" s="1"/>
  <c r="CK199" i="1"/>
  <c r="CL199" i="1" s="1"/>
  <c r="CK255" i="1"/>
  <c r="CL255" i="1" s="1"/>
  <c r="CK193" i="1"/>
  <c r="CL193" i="1" s="1"/>
  <c r="CK169" i="1"/>
  <c r="CL169" i="1" s="1"/>
  <c r="CK241" i="1"/>
  <c r="CL241" i="1" s="1"/>
  <c r="CA110" i="1"/>
  <c r="CB110" i="1" s="1"/>
  <c r="CA175" i="1"/>
  <c r="CB175" i="1" s="1"/>
  <c r="CA239" i="1"/>
  <c r="CB239" i="1" s="1"/>
  <c r="CA64" i="1"/>
  <c r="CB64" i="1" s="1"/>
  <c r="CA128" i="1"/>
  <c r="CB128" i="1" s="1"/>
  <c r="CK85" i="1"/>
  <c r="CL85" i="1" s="1"/>
  <c r="CL198" i="1"/>
  <c r="CA27" i="1"/>
  <c r="CB27" i="1" s="1"/>
  <c r="CA91" i="1"/>
  <c r="CB91" i="1" s="1"/>
  <c r="CA156" i="1"/>
  <c r="CB156" i="1" s="1"/>
  <c r="CA220" i="1"/>
  <c r="CB220" i="1" s="1"/>
  <c r="CA285" i="1"/>
  <c r="CB285" i="1" s="1"/>
  <c r="CA65" i="1"/>
  <c r="CB65" i="1" s="1"/>
  <c r="CA121" i="1"/>
  <c r="CB121" i="1" s="1"/>
  <c r="BQ218" i="1"/>
  <c r="BR218" i="1" s="1"/>
  <c r="BQ167" i="1"/>
  <c r="BR167" i="1" s="1"/>
  <c r="BQ296" i="1"/>
  <c r="BR296" i="1" s="1"/>
  <c r="BQ236" i="1"/>
  <c r="BR236" i="1" s="1"/>
  <c r="BG90" i="1"/>
  <c r="BH90" i="1" s="1"/>
  <c r="BG48" i="1"/>
  <c r="BH48" i="1" s="1"/>
  <c r="BG146" i="1"/>
  <c r="BH146" i="1" s="1"/>
  <c r="AV280" i="1"/>
  <c r="AW280" i="1" s="1"/>
  <c r="BG109" i="1"/>
  <c r="BH109" i="1" s="1"/>
  <c r="BG292" i="1"/>
  <c r="BH292" i="1" s="1"/>
  <c r="BG83" i="1"/>
  <c r="BH83" i="1" s="1"/>
  <c r="BG164" i="1"/>
  <c r="BH164" i="1" s="1"/>
  <c r="AV8" i="1"/>
  <c r="AW8" i="1" s="1"/>
  <c r="BG11" i="1"/>
  <c r="BH11" i="1" s="1"/>
  <c r="BG102" i="1"/>
  <c r="BH102" i="1" s="1"/>
  <c r="BG195" i="1"/>
  <c r="BH195" i="1" s="1"/>
  <c r="BG181" i="1"/>
  <c r="BH181" i="1" s="1"/>
  <c r="BG253" i="1"/>
  <c r="BH253" i="1" s="1"/>
  <c r="AV148" i="1"/>
  <c r="AW148" i="1" s="1"/>
  <c r="AV212" i="1"/>
  <c r="AW212" i="1" s="1"/>
  <c r="AV277" i="1"/>
  <c r="AW277" i="1" s="1"/>
  <c r="AV41" i="1"/>
  <c r="AW41" i="1" s="1"/>
  <c r="AV105" i="1"/>
  <c r="AW105" i="1" s="1"/>
  <c r="AV170" i="1"/>
  <c r="AW170" i="1" s="1"/>
  <c r="AV234" i="1"/>
  <c r="AW234" i="1" s="1"/>
  <c r="AV299" i="1"/>
  <c r="AW299" i="1" s="1"/>
  <c r="BQ243" i="1"/>
  <c r="BR243" i="1" s="1"/>
  <c r="BG34" i="1"/>
  <c r="BH34" i="1" s="1"/>
  <c r="AV36" i="1"/>
  <c r="AW36" i="1" s="1"/>
  <c r="AV100" i="1"/>
  <c r="AW100" i="1" s="1"/>
  <c r="AV165" i="1"/>
  <c r="AW165" i="1" s="1"/>
  <c r="AV229" i="1"/>
  <c r="AW229" i="1" s="1"/>
  <c r="AV294" i="1"/>
  <c r="AW294" i="1" s="1"/>
  <c r="AV58" i="1"/>
  <c r="AW58" i="1" s="1"/>
  <c r="AB197" i="1"/>
  <c r="AC197" i="1" s="1"/>
  <c r="DY204" i="1"/>
  <c r="DZ204" i="1" s="1"/>
  <c r="DY189" i="1"/>
  <c r="DY73" i="1"/>
  <c r="DZ73" i="1" s="1"/>
  <c r="DY112" i="1"/>
  <c r="DZ112" i="1" s="1"/>
  <c r="DY201" i="1"/>
  <c r="DO24" i="1"/>
  <c r="DP24" i="1" s="1"/>
  <c r="DO153" i="1"/>
  <c r="DP153" i="1" s="1"/>
  <c r="DO246" i="1"/>
  <c r="DP246" i="1" s="1"/>
  <c r="DO70" i="1"/>
  <c r="DP70" i="1" s="1"/>
  <c r="DO256" i="1"/>
  <c r="DP256" i="1" s="1"/>
  <c r="DO43" i="1"/>
  <c r="DP43" i="1" s="1"/>
  <c r="DO288" i="1"/>
  <c r="DP288" i="1" s="1"/>
  <c r="DY262" i="1"/>
  <c r="DY105" i="1"/>
  <c r="DZ105" i="1" s="1"/>
  <c r="DY32" i="1"/>
  <c r="DZ32" i="1" s="1"/>
  <c r="DO96" i="1"/>
  <c r="DP96" i="1" s="1"/>
  <c r="DO225" i="1"/>
  <c r="DP225" i="1" s="1"/>
  <c r="DO78" i="1"/>
  <c r="DP78" i="1" s="1"/>
  <c r="DO242" i="1"/>
  <c r="DP242" i="1" s="1"/>
  <c r="DO233" i="1"/>
  <c r="DP233" i="1" s="1"/>
  <c r="DO243" i="1"/>
  <c r="DP243" i="1" s="1"/>
  <c r="DO76" i="1"/>
  <c r="DP76" i="1" s="1"/>
  <c r="DO165" i="1"/>
  <c r="DP165" i="1" s="1"/>
  <c r="DO167" i="1"/>
  <c r="DP167" i="1" s="1"/>
  <c r="DO296" i="1"/>
  <c r="DP296" i="1" s="1"/>
  <c r="DE194" i="1"/>
  <c r="DF194" i="1" s="1"/>
  <c r="DE271" i="1"/>
  <c r="DF271" i="1" s="1"/>
  <c r="DE91" i="1"/>
  <c r="DF91" i="1" s="1"/>
  <c r="DE183" i="1"/>
  <c r="DF183" i="1" s="1"/>
  <c r="DE147" i="1"/>
  <c r="DF147" i="1" s="1"/>
  <c r="DE300" i="1"/>
  <c r="DF300" i="1" s="1"/>
  <c r="DE148" i="1"/>
  <c r="DF148" i="1" s="1"/>
  <c r="DE222" i="1"/>
  <c r="DF222" i="1" s="1"/>
  <c r="DE30" i="1"/>
  <c r="DF30" i="1" s="1"/>
  <c r="DE186" i="1"/>
  <c r="DF186" i="1" s="1"/>
  <c r="DE244" i="1"/>
  <c r="DF244" i="1" s="1"/>
  <c r="DE142" i="1"/>
  <c r="DF142" i="1" s="1"/>
  <c r="CU183" i="1"/>
  <c r="CV183" i="1" s="1"/>
  <c r="CU247" i="1"/>
  <c r="CV247" i="1" s="1"/>
  <c r="CU49" i="1"/>
  <c r="CV49" i="1" s="1"/>
  <c r="CU170" i="1"/>
  <c r="CV170" i="1" s="1"/>
  <c r="CU299" i="1"/>
  <c r="CV299" i="1" s="1"/>
  <c r="CU140" i="1"/>
  <c r="CV140" i="1" s="1"/>
  <c r="CU189" i="1"/>
  <c r="CV189" i="1" s="1"/>
  <c r="CU253" i="1"/>
  <c r="CV253" i="1" s="1"/>
  <c r="AB301" i="1"/>
  <c r="AC301" i="1" s="1"/>
  <c r="DY91" i="1"/>
  <c r="DY156" i="1"/>
  <c r="DY220" i="1"/>
  <c r="DZ220" i="1" s="1"/>
  <c r="DY141" i="1"/>
  <c r="DZ141" i="1" s="1"/>
  <c r="DY205" i="1"/>
  <c r="DY270" i="1"/>
  <c r="DY49" i="1"/>
  <c r="DZ49" i="1" s="1"/>
  <c r="DY138" i="1"/>
  <c r="DZ138" i="1" s="1"/>
  <c r="DY239" i="1"/>
  <c r="DY301" i="1"/>
  <c r="DY8" i="1"/>
  <c r="DZ8" i="1" s="1"/>
  <c r="DO22" i="1"/>
  <c r="DP22" i="1" s="1"/>
  <c r="DO86" i="1"/>
  <c r="DP86" i="1" s="1"/>
  <c r="DO275" i="1"/>
  <c r="DP275" i="1" s="1"/>
  <c r="DO241" i="1"/>
  <c r="DP241" i="1" s="1"/>
  <c r="DO250" i="1"/>
  <c r="DP250" i="1" s="1"/>
  <c r="DO163" i="1"/>
  <c r="DP163" i="1" s="1"/>
  <c r="DO51" i="1"/>
  <c r="DP51" i="1" s="1"/>
  <c r="DO108" i="1"/>
  <c r="DP108" i="1" s="1"/>
  <c r="DO197" i="1"/>
  <c r="DP197" i="1" s="1"/>
  <c r="DE35" i="1"/>
  <c r="DF35" i="1" s="1"/>
  <c r="DE70" i="1"/>
  <c r="DF70" i="1" s="1"/>
  <c r="DE175" i="1"/>
  <c r="DF175" i="1" s="1"/>
  <c r="DE100" i="1"/>
  <c r="DF100" i="1" s="1"/>
  <c r="DE201" i="1"/>
  <c r="DF201" i="1" s="1"/>
  <c r="DE34" i="1"/>
  <c r="DF34" i="1" s="1"/>
  <c r="DE179" i="1"/>
  <c r="DF179" i="1" s="1"/>
  <c r="DE212" i="1"/>
  <c r="DF212" i="1" s="1"/>
  <c r="DE52" i="1"/>
  <c r="DF52" i="1" s="1"/>
  <c r="DE263" i="1"/>
  <c r="DF263" i="1" s="1"/>
  <c r="DE191" i="1"/>
  <c r="DF191" i="1" s="1"/>
  <c r="DE151" i="1"/>
  <c r="DF151" i="1" s="1"/>
  <c r="DE193" i="1"/>
  <c r="DF193" i="1" s="1"/>
  <c r="CU191" i="1"/>
  <c r="CV191" i="1" s="1"/>
  <c r="CU255" i="1"/>
  <c r="CV255" i="1" s="1"/>
  <c r="CU161" i="1"/>
  <c r="CV161" i="1" s="1"/>
  <c r="CU241" i="1"/>
  <c r="CV241" i="1" s="1"/>
  <c r="CU98" i="1"/>
  <c r="CV98" i="1" s="1"/>
  <c r="CU148" i="1"/>
  <c r="CV148" i="1" s="1"/>
  <c r="CU212" i="1"/>
  <c r="CV212" i="1" s="1"/>
  <c r="CU277" i="1"/>
  <c r="CV277" i="1" s="1"/>
  <c r="CK16" i="1"/>
  <c r="CL16" i="1" s="1"/>
  <c r="CK15" i="1"/>
  <c r="CL15" i="1" s="1"/>
  <c r="CK79" i="1"/>
  <c r="CL79" i="1" s="1"/>
  <c r="CK144" i="1"/>
  <c r="CL144" i="1" s="1"/>
  <c r="CK217" i="1"/>
  <c r="CL217" i="1" s="1"/>
  <c r="CK257" i="1"/>
  <c r="CL257" i="1" s="1"/>
  <c r="CK233" i="1"/>
  <c r="CL233" i="1" s="1"/>
  <c r="CK137" i="1"/>
  <c r="CL137" i="1" s="1"/>
  <c r="CK249" i="1"/>
  <c r="CL249" i="1" s="1"/>
  <c r="CA118" i="1"/>
  <c r="CB118" i="1" s="1"/>
  <c r="CA183" i="1"/>
  <c r="CB183" i="1" s="1"/>
  <c r="CA247" i="1"/>
  <c r="CA50" i="1"/>
  <c r="CB50" i="1" s="1"/>
  <c r="CA114" i="1"/>
  <c r="CB114" i="1" s="1"/>
  <c r="CA179" i="1"/>
  <c r="CB179" i="1" s="1"/>
  <c r="CA243" i="1"/>
  <c r="CB243" i="1" s="1"/>
  <c r="CA72" i="1"/>
  <c r="CB72" i="1" s="1"/>
  <c r="CK230" i="1"/>
  <c r="CL230" i="1" s="1"/>
  <c r="CK287" i="1"/>
  <c r="CL287" i="1" s="1"/>
  <c r="CA35" i="1"/>
  <c r="CB35" i="1" s="1"/>
  <c r="CA99" i="1"/>
  <c r="CB99" i="1" s="1"/>
  <c r="CA164" i="1"/>
  <c r="CB164" i="1" s="1"/>
  <c r="CA228" i="1"/>
  <c r="CB228" i="1" s="1"/>
  <c r="CA293" i="1"/>
  <c r="CB293" i="1" s="1"/>
  <c r="CA154" i="1"/>
  <c r="CB154" i="1" s="1"/>
  <c r="CA210" i="1"/>
  <c r="CB210" i="1" s="1"/>
  <c r="BQ117" i="1"/>
  <c r="BR117" i="1" s="1"/>
  <c r="BQ246" i="1"/>
  <c r="BR246" i="1" s="1"/>
  <c r="BQ128" i="1"/>
  <c r="BR128" i="1" s="1"/>
  <c r="BQ193" i="1"/>
  <c r="BR193" i="1" s="1"/>
  <c r="BQ95" i="1"/>
  <c r="BR95" i="1" s="1"/>
  <c r="EA95" i="1"/>
  <c r="BQ215" i="1"/>
  <c r="BR215" i="1" s="1"/>
  <c r="BQ120" i="1"/>
  <c r="BR120" i="1" s="1"/>
  <c r="BQ286" i="1"/>
  <c r="BR286" i="1" s="1"/>
  <c r="BQ88" i="1"/>
  <c r="BR88" i="1" s="1"/>
  <c r="BQ172" i="1"/>
  <c r="BR172" i="1" s="1"/>
  <c r="BQ244" i="1"/>
  <c r="BR244" i="1" s="1"/>
  <c r="BG5" i="1"/>
  <c r="BH5" i="1" s="1"/>
  <c r="BG235" i="1"/>
  <c r="BH235" i="1" s="1"/>
  <c r="BG219" i="1"/>
  <c r="BH219" i="1" s="1"/>
  <c r="BG57" i="1"/>
  <c r="BH57" i="1" s="1"/>
  <c r="BG154" i="1"/>
  <c r="BH154" i="1" s="1"/>
  <c r="BG218" i="1"/>
  <c r="BH218" i="1" s="1"/>
  <c r="BG283" i="1"/>
  <c r="BH283" i="1" s="1"/>
  <c r="AV288" i="1"/>
  <c r="AW288" i="1" s="1"/>
  <c r="BG101" i="1"/>
  <c r="BH101" i="1" s="1"/>
  <c r="BG203" i="1"/>
  <c r="BH203" i="1" s="1"/>
  <c r="BG285" i="1"/>
  <c r="BH285" i="1" s="1"/>
  <c r="BG20" i="1"/>
  <c r="BH20" i="1" s="1"/>
  <c r="BG204" i="1"/>
  <c r="BH204" i="1" s="1"/>
  <c r="BG106" i="1"/>
  <c r="BH106" i="1" s="1"/>
  <c r="BG189" i="1"/>
  <c r="BH189" i="1" s="1"/>
  <c r="BG262" i="1"/>
  <c r="BH262" i="1" s="1"/>
  <c r="AV156" i="1"/>
  <c r="AW156" i="1" s="1"/>
  <c r="AV220" i="1"/>
  <c r="AW220" i="1" s="1"/>
  <c r="AV285" i="1"/>
  <c r="AW285" i="1" s="1"/>
  <c r="AV49" i="1"/>
  <c r="AW49" i="1" s="1"/>
  <c r="AV113" i="1"/>
  <c r="AW113" i="1" s="1"/>
  <c r="AV178" i="1"/>
  <c r="AW178" i="1" s="1"/>
  <c r="AV242" i="1"/>
  <c r="AW242" i="1" s="1"/>
  <c r="AL88" i="1"/>
  <c r="AM88" i="1" s="1"/>
  <c r="BQ187" i="1"/>
  <c r="BR187" i="1" s="1"/>
  <c r="BG43" i="1"/>
  <c r="BH43" i="1" s="1"/>
  <c r="BG295" i="1"/>
  <c r="BH295" i="1" s="1"/>
  <c r="AV44" i="1"/>
  <c r="AW44" i="1" s="1"/>
  <c r="AV108" i="1"/>
  <c r="AW108" i="1" s="1"/>
  <c r="AV173" i="1"/>
  <c r="AW173" i="1" s="1"/>
  <c r="AV237" i="1"/>
  <c r="AW237" i="1" s="1"/>
  <c r="AV302" i="1"/>
  <c r="AW302" i="1" s="1"/>
  <c r="AV66" i="1"/>
  <c r="AW66" i="1" s="1"/>
  <c r="DY12" i="1"/>
  <c r="DY7" i="1"/>
  <c r="DZ7" i="1" s="1"/>
  <c r="DY71" i="1"/>
  <c r="DZ71" i="1" s="1"/>
  <c r="DO234" i="1"/>
  <c r="DP234" i="1" s="1"/>
  <c r="DE63" i="1"/>
  <c r="DF63" i="1" s="1"/>
  <c r="DE127" i="1"/>
  <c r="DF127" i="1" s="1"/>
  <c r="DE256" i="1"/>
  <c r="DF256" i="1" s="1"/>
  <c r="DE9" i="1"/>
  <c r="DF9" i="1" s="1"/>
  <c r="DE242" i="1"/>
  <c r="DF242" i="1" s="1"/>
  <c r="DE44" i="1"/>
  <c r="DE272" i="1"/>
  <c r="DF272" i="1" s="1"/>
  <c r="DE257" i="1"/>
  <c r="DF257" i="1" s="1"/>
  <c r="CU8" i="1"/>
  <c r="CV8" i="1" s="1"/>
  <c r="CU46" i="1"/>
  <c r="CV46" i="1" s="1"/>
  <c r="CU110" i="1"/>
  <c r="CV110" i="1" s="1"/>
  <c r="CU9" i="1"/>
  <c r="CV9" i="1" s="1"/>
  <c r="CU137" i="1"/>
  <c r="CV137" i="1" s="1"/>
  <c r="CU31" i="1"/>
  <c r="CV31" i="1" s="1"/>
  <c r="CU95" i="1"/>
  <c r="CV95" i="1" s="1"/>
  <c r="CU128" i="1"/>
  <c r="CV128" i="1" s="1"/>
  <c r="CU129" i="1"/>
  <c r="CV129" i="1" s="1"/>
  <c r="CK9" i="1"/>
  <c r="CL9" i="1" s="1"/>
  <c r="CK73" i="1"/>
  <c r="CL73" i="1" s="1"/>
  <c r="CK138" i="1"/>
  <c r="CL138" i="1" s="1"/>
  <c r="CK267" i="1"/>
  <c r="CL267" i="1" s="1"/>
  <c r="CK42" i="1"/>
  <c r="CL42" i="1" s="1"/>
  <c r="CK106" i="1"/>
  <c r="CL106" i="1" s="1"/>
  <c r="CK171" i="1"/>
  <c r="CL171" i="1" s="1"/>
  <c r="CK235" i="1"/>
  <c r="CL235" i="1" s="1"/>
  <c r="CK300" i="1"/>
  <c r="CL300" i="1" s="1"/>
  <c r="CK293" i="1"/>
  <c r="CL293" i="1" s="1"/>
  <c r="CK124" i="1"/>
  <c r="CL124" i="1" s="1"/>
  <c r="CK189" i="1"/>
  <c r="CL189" i="1" s="1"/>
  <c r="CK253" i="1"/>
  <c r="CL253" i="1" s="1"/>
  <c r="CK290" i="1"/>
  <c r="CL290" i="1" s="1"/>
  <c r="CK172" i="1"/>
  <c r="CL172" i="1" s="1"/>
  <c r="BQ51" i="1"/>
  <c r="BR51" i="1" s="1"/>
  <c r="BQ181" i="1"/>
  <c r="BR181" i="1" s="1"/>
  <c r="BQ150" i="1"/>
  <c r="BR150" i="1" s="1"/>
  <c r="BQ214" i="1"/>
  <c r="BR214" i="1" s="1"/>
  <c r="BQ279" i="1"/>
  <c r="BR279" i="1" s="1"/>
  <c r="CA28" i="1"/>
  <c r="CB28" i="1" s="1"/>
  <c r="CA92" i="1"/>
  <c r="CB92" i="1" s="1"/>
  <c r="CA157" i="1"/>
  <c r="CB157" i="1" s="1"/>
  <c r="CA221" i="1"/>
  <c r="CB221" i="1" s="1"/>
  <c r="CA286" i="1"/>
  <c r="CB286" i="1" s="1"/>
  <c r="BQ165" i="1"/>
  <c r="BR165" i="1" s="1"/>
  <c r="BQ277" i="1"/>
  <c r="BR277" i="1" s="1"/>
  <c r="AV191" i="1"/>
  <c r="AW191" i="1" s="1"/>
  <c r="BG7" i="1"/>
  <c r="BH7" i="1" s="1"/>
  <c r="BG71" i="1"/>
  <c r="BH71" i="1" s="1"/>
  <c r="BG24" i="1"/>
  <c r="BH24" i="1" s="1"/>
  <c r="BG88" i="1"/>
  <c r="BH88" i="1" s="1"/>
  <c r="BG25" i="1"/>
  <c r="BH25" i="1" s="1"/>
  <c r="BG89" i="1"/>
  <c r="BH89" i="1" s="1"/>
  <c r="BG239" i="1"/>
  <c r="BH239" i="1" s="1"/>
  <c r="DY296" i="1"/>
  <c r="DY57" i="1"/>
  <c r="DY186" i="1"/>
  <c r="DZ186" i="1" s="1"/>
  <c r="DY74" i="1"/>
  <c r="DY139" i="1"/>
  <c r="DZ139" i="1" s="1"/>
  <c r="DY203" i="1"/>
  <c r="DZ203" i="1" s="1"/>
  <c r="DY272" i="1"/>
  <c r="DZ272" i="1" s="1"/>
  <c r="DY115" i="1"/>
  <c r="DY180" i="1"/>
  <c r="DY244" i="1"/>
  <c r="DZ244" i="1" s="1"/>
  <c r="DY277" i="1"/>
  <c r="DY56" i="1"/>
  <c r="DZ56" i="1" s="1"/>
  <c r="DY185" i="1"/>
  <c r="DY249" i="1"/>
  <c r="DZ249" i="1" s="1"/>
  <c r="DY21" i="1"/>
  <c r="DY101" i="1"/>
  <c r="DZ101" i="1" s="1"/>
  <c r="DY182" i="1"/>
  <c r="DO8" i="1"/>
  <c r="DP8" i="1" s="1"/>
  <c r="DO72" i="1"/>
  <c r="DP72" i="1" s="1"/>
  <c r="DO137" i="1"/>
  <c r="DP137" i="1" s="1"/>
  <c r="DO201" i="1"/>
  <c r="DP201" i="1" s="1"/>
  <c r="DO3" i="1"/>
  <c r="DP3" i="1" s="1"/>
  <c r="DO131" i="1"/>
  <c r="DP131" i="1" s="1"/>
  <c r="DO52" i="1"/>
  <c r="DP52" i="1" s="1"/>
  <c r="DO116" i="1"/>
  <c r="DP116" i="1" s="1"/>
  <c r="DO181" i="1"/>
  <c r="DP181" i="1" s="1"/>
  <c r="DO222" i="1"/>
  <c r="DP222" i="1" s="1"/>
  <c r="DE7" i="1"/>
  <c r="DF7" i="1" s="1"/>
  <c r="DE71" i="1"/>
  <c r="DF71" i="1" s="1"/>
  <c r="DE200" i="1"/>
  <c r="DE265" i="1"/>
  <c r="DE17" i="1"/>
  <c r="DF17" i="1" s="1"/>
  <c r="DE73" i="1"/>
  <c r="DF73" i="1" s="1"/>
  <c r="DE129" i="1"/>
  <c r="DF129" i="1" s="1"/>
  <c r="DE250" i="1"/>
  <c r="DF250" i="1" s="1"/>
  <c r="DE42" i="1"/>
  <c r="DF42" i="1" s="1"/>
  <c r="DE51" i="1"/>
  <c r="DE107" i="1"/>
  <c r="DF107" i="1" s="1"/>
  <c r="DE220" i="1"/>
  <c r="DF220" i="1" s="1"/>
  <c r="DE277" i="1"/>
  <c r="DF277" i="1" s="1"/>
  <c r="DE108" i="1"/>
  <c r="DF108" i="1" s="1"/>
  <c r="DE221" i="1"/>
  <c r="DF221" i="1" s="1"/>
  <c r="DE29" i="1"/>
  <c r="DF29" i="1" s="1"/>
  <c r="DE150" i="1"/>
  <c r="DF150" i="1" s="1"/>
  <c r="DE206" i="1"/>
  <c r="DF206" i="1" s="1"/>
  <c r="DE46" i="1"/>
  <c r="DF46" i="1" s="1"/>
  <c r="DE102" i="1"/>
  <c r="DF102" i="1" s="1"/>
  <c r="DE223" i="1"/>
  <c r="DF223" i="1" s="1"/>
  <c r="DE40" i="1"/>
  <c r="DF40" i="1" s="1"/>
  <c r="DE96" i="1"/>
  <c r="DF96" i="1" s="1"/>
  <c r="DE266" i="1"/>
  <c r="DF266" i="1" s="1"/>
  <c r="CU18" i="1"/>
  <c r="CV18" i="1" s="1"/>
  <c r="CU163" i="1"/>
  <c r="CV163" i="1" s="1"/>
  <c r="CU54" i="1"/>
  <c r="CV54" i="1" s="1"/>
  <c r="CU118" i="1"/>
  <c r="CV118" i="1" s="1"/>
  <c r="CU19" i="1"/>
  <c r="CV19" i="1" s="1"/>
  <c r="CU146" i="1"/>
  <c r="CV146" i="1" s="1"/>
  <c r="CU275" i="1"/>
  <c r="CV275" i="1" s="1"/>
  <c r="CU39" i="1"/>
  <c r="CV39" i="1" s="1"/>
  <c r="CU103" i="1"/>
  <c r="CV103" i="1" s="1"/>
  <c r="CU52" i="1"/>
  <c r="CV52" i="1" s="1"/>
  <c r="CU138" i="1"/>
  <c r="CV138" i="1" s="1"/>
  <c r="CU229" i="1"/>
  <c r="CV229" i="1" s="1"/>
  <c r="CU11" i="1"/>
  <c r="CV11" i="1" s="1"/>
  <c r="CU139" i="1"/>
  <c r="CV139" i="1" s="1"/>
  <c r="CU24" i="1"/>
  <c r="CV24" i="1" s="1"/>
  <c r="CU108" i="1"/>
  <c r="CV108" i="1" s="1"/>
  <c r="CU204" i="1"/>
  <c r="CV204" i="1" s="1"/>
  <c r="CK63" i="1"/>
  <c r="CL63" i="1" s="1"/>
  <c r="CK127" i="1"/>
  <c r="CL127" i="1" s="1"/>
  <c r="CK17" i="1"/>
  <c r="CL17" i="1" s="1"/>
  <c r="CK81" i="1"/>
  <c r="CL81" i="1" s="1"/>
  <c r="CK146" i="1"/>
  <c r="CL146" i="1" s="1"/>
  <c r="CK210" i="1"/>
  <c r="CL210" i="1" s="1"/>
  <c r="CK275" i="1"/>
  <c r="CL275" i="1" s="1"/>
  <c r="CK179" i="1"/>
  <c r="CL179" i="1" s="1"/>
  <c r="CK243" i="1"/>
  <c r="CL243" i="1" s="1"/>
  <c r="CK68" i="1"/>
  <c r="CL68" i="1" s="1"/>
  <c r="CK133" i="1"/>
  <c r="CL133" i="1" s="1"/>
  <c r="CK197" i="1"/>
  <c r="CL197" i="1" s="1"/>
  <c r="CK262" i="1"/>
  <c r="CL262" i="1" s="1"/>
  <c r="CK67" i="1"/>
  <c r="CL67" i="1" s="1"/>
  <c r="CA58" i="1"/>
  <c r="CB58" i="1" s="1"/>
  <c r="CA122" i="1"/>
  <c r="CB122" i="1" s="1"/>
  <c r="CA187" i="1"/>
  <c r="CB187" i="1" s="1"/>
  <c r="CA251" i="1"/>
  <c r="CB251" i="1" s="1"/>
  <c r="CK13" i="1"/>
  <c r="CL13" i="1" s="1"/>
  <c r="CK206" i="1"/>
  <c r="CL206" i="1" s="1"/>
  <c r="CK271" i="1"/>
  <c r="CL271" i="1" s="1"/>
  <c r="CA9" i="1"/>
  <c r="CB9" i="1" s="1"/>
  <c r="CA73" i="1"/>
  <c r="CB73" i="1" s="1"/>
  <c r="CA267" i="1"/>
  <c r="CB267" i="1" s="1"/>
  <c r="BQ92" i="1"/>
  <c r="BR92" i="1" s="1"/>
  <c r="CA11" i="1"/>
  <c r="CB11" i="1" s="1"/>
  <c r="CA75" i="1"/>
  <c r="CB75" i="1" s="1"/>
  <c r="CA140" i="1"/>
  <c r="CB140" i="1" s="1"/>
  <c r="CA204" i="1"/>
  <c r="CB204" i="1" s="1"/>
  <c r="CA269" i="1"/>
  <c r="CB269" i="1" s="1"/>
  <c r="BQ245" i="1"/>
  <c r="BR245" i="1" s="1"/>
  <c r="BQ158" i="1"/>
  <c r="BR158" i="1" s="1"/>
  <c r="BQ222" i="1"/>
  <c r="BR222" i="1" s="1"/>
  <c r="BQ287" i="1"/>
  <c r="BR287" i="1" s="1"/>
  <c r="CA36" i="1"/>
  <c r="CB36" i="1" s="1"/>
  <c r="CA100" i="1"/>
  <c r="CB100" i="1" s="1"/>
  <c r="CA165" i="1"/>
  <c r="CB165" i="1" s="1"/>
  <c r="CA229" i="1"/>
  <c r="CB229" i="1" s="1"/>
  <c r="CA294" i="1"/>
  <c r="CB294" i="1" s="1"/>
  <c r="BQ62" i="1"/>
  <c r="BR62" i="1" s="1"/>
  <c r="BQ94" i="1"/>
  <c r="BR94" i="1" s="1"/>
  <c r="BQ126" i="1"/>
  <c r="BR126" i="1" s="1"/>
  <c r="BQ159" i="1"/>
  <c r="BQ191" i="1"/>
  <c r="BR191" i="1" s="1"/>
  <c r="BQ223" i="1"/>
  <c r="BR223" i="1" s="1"/>
  <c r="BQ255" i="1"/>
  <c r="BR255" i="1" s="1"/>
  <c r="BQ288" i="1"/>
  <c r="BR288" i="1" s="1"/>
  <c r="BQ229" i="1"/>
  <c r="BR229" i="1" s="1"/>
  <c r="BQ80" i="1"/>
  <c r="BR80" i="1" s="1"/>
  <c r="BQ301" i="1"/>
  <c r="BR301" i="1" s="1"/>
  <c r="BG115" i="1"/>
  <c r="BH115" i="1" s="1"/>
  <c r="AV199" i="1"/>
  <c r="BG134" i="1"/>
  <c r="BH134" i="1" s="1"/>
  <c r="BG32" i="1"/>
  <c r="BH32" i="1" s="1"/>
  <c r="BG161" i="1"/>
  <c r="BH161" i="1" s="1"/>
  <c r="BG225" i="1"/>
  <c r="BH225" i="1" s="1"/>
  <c r="BG290" i="1"/>
  <c r="BH290" i="1" s="1"/>
  <c r="BG33" i="1"/>
  <c r="BH33" i="1" s="1"/>
  <c r="BG97" i="1"/>
  <c r="BH97" i="1" s="1"/>
  <c r="AV52" i="1"/>
  <c r="AW52" i="1" s="1"/>
  <c r="AV116" i="1"/>
  <c r="AW116" i="1" s="1"/>
  <c r="AV181" i="1"/>
  <c r="AW181" i="1" s="1"/>
  <c r="AV245" i="1"/>
  <c r="AW245" i="1" s="1"/>
  <c r="BQ122" i="1"/>
  <c r="BR122" i="1" s="1"/>
  <c r="BG59" i="1"/>
  <c r="BH59" i="1" s="1"/>
  <c r="BG147" i="1"/>
  <c r="BH147" i="1" s="1"/>
  <c r="BG211" i="1"/>
  <c r="BH211" i="1" s="1"/>
  <c r="BG276" i="1"/>
  <c r="BH276" i="1" s="1"/>
  <c r="BG205" i="1"/>
  <c r="BH205" i="1" s="1"/>
  <c r="DY215" i="1"/>
  <c r="DZ215" i="1" s="1"/>
  <c r="DY75" i="1"/>
  <c r="DZ92" i="1"/>
  <c r="DY289" i="1"/>
  <c r="DZ289" i="1" s="1"/>
  <c r="DZ45" i="1"/>
  <c r="DZ167" i="1"/>
  <c r="DZ87" i="1"/>
  <c r="DZ184" i="1"/>
  <c r="DZ159" i="1"/>
  <c r="DO82" i="1"/>
  <c r="DP82" i="1" s="1"/>
  <c r="DO230" i="1"/>
  <c r="DP230" i="1" s="1"/>
  <c r="DE15" i="1"/>
  <c r="DF15" i="1" s="1"/>
  <c r="DE79" i="1"/>
  <c r="DE144" i="1"/>
  <c r="DF144" i="1" s="1"/>
  <c r="DE208" i="1"/>
  <c r="DF208" i="1" s="1"/>
  <c r="DE273" i="1"/>
  <c r="DF273" i="1" s="1"/>
  <c r="DE81" i="1"/>
  <c r="DF81" i="1" s="1"/>
  <c r="DE138" i="1"/>
  <c r="DF138" i="1" s="1"/>
  <c r="DE3" i="1"/>
  <c r="DF3" i="1" s="1"/>
  <c r="DE59" i="1"/>
  <c r="DF59" i="1" s="1"/>
  <c r="DE115" i="1"/>
  <c r="DF115" i="1" s="1"/>
  <c r="DE172" i="1"/>
  <c r="DF172" i="1" s="1"/>
  <c r="DE116" i="1"/>
  <c r="DF116" i="1" s="1"/>
  <c r="DE173" i="1"/>
  <c r="DF173" i="1" s="1"/>
  <c r="DE37" i="1"/>
  <c r="DE214" i="1"/>
  <c r="DF214" i="1" s="1"/>
  <c r="DE110" i="1"/>
  <c r="DE288" i="1"/>
  <c r="DF288" i="1" s="1"/>
  <c r="DE48" i="1"/>
  <c r="DF48" i="1" s="1"/>
  <c r="DE104" i="1"/>
  <c r="DF104" i="1" s="1"/>
  <c r="DE161" i="1"/>
  <c r="DF161" i="1" s="1"/>
  <c r="DE274" i="1"/>
  <c r="DF274" i="1" s="1"/>
  <c r="CU40" i="1"/>
  <c r="CV40" i="1" s="1"/>
  <c r="CU209" i="1"/>
  <c r="CV209" i="1" s="1"/>
  <c r="CU62" i="1"/>
  <c r="CV62" i="1" s="1"/>
  <c r="CU126" i="1"/>
  <c r="CV126" i="1" s="1"/>
  <c r="CU41" i="1"/>
  <c r="CV41" i="1" s="1"/>
  <c r="CU155" i="1"/>
  <c r="CV155" i="1" s="1"/>
  <c r="CU284" i="1"/>
  <c r="CV284" i="1" s="1"/>
  <c r="CU47" i="1"/>
  <c r="CV47" i="1" s="1"/>
  <c r="CU111" i="1"/>
  <c r="CV111" i="1" s="1"/>
  <c r="CU64" i="1"/>
  <c r="CV64" i="1" s="1"/>
  <c r="CU33" i="1"/>
  <c r="CV33" i="1" s="1"/>
  <c r="CU258" i="1"/>
  <c r="CV258" i="1" s="1"/>
  <c r="CU34" i="1"/>
  <c r="CV34" i="1" s="1"/>
  <c r="CU120" i="1"/>
  <c r="CV120" i="1" s="1"/>
  <c r="CU213" i="1"/>
  <c r="CV213" i="1" s="1"/>
  <c r="CU153" i="1"/>
  <c r="CV153" i="1" s="1"/>
  <c r="CU57" i="1"/>
  <c r="CV57" i="1" s="1"/>
  <c r="CU178" i="1"/>
  <c r="CV178" i="1" s="1"/>
  <c r="CK7" i="1"/>
  <c r="CL7" i="1" s="1"/>
  <c r="CK71" i="1"/>
  <c r="CL71" i="1" s="1"/>
  <c r="CK25" i="1"/>
  <c r="CL25" i="1" s="1"/>
  <c r="CK89" i="1"/>
  <c r="CL89" i="1" s="1"/>
  <c r="CK154" i="1"/>
  <c r="CL154" i="1" s="1"/>
  <c r="CK218" i="1"/>
  <c r="CL218" i="1" s="1"/>
  <c r="CK283" i="1"/>
  <c r="CL283" i="1" s="1"/>
  <c r="CK58" i="1"/>
  <c r="CL58" i="1" s="1"/>
  <c r="CK122" i="1"/>
  <c r="CL122" i="1" s="1"/>
  <c r="CK187" i="1"/>
  <c r="CL187" i="1" s="1"/>
  <c r="CK251" i="1"/>
  <c r="CL251" i="1" s="1"/>
  <c r="CK12" i="1"/>
  <c r="CL12" i="1" s="1"/>
  <c r="CK76" i="1"/>
  <c r="CL76" i="1" s="1"/>
  <c r="CK141" i="1"/>
  <c r="CL141" i="1" s="1"/>
  <c r="CK205" i="1"/>
  <c r="CL205" i="1" s="1"/>
  <c r="CK62" i="1"/>
  <c r="CL62" i="1" s="1"/>
  <c r="CK32" i="1"/>
  <c r="CL32" i="1" s="1"/>
  <c r="CK107" i="1"/>
  <c r="CL107" i="1" s="1"/>
  <c r="CA66" i="1"/>
  <c r="CB66" i="1" s="1"/>
  <c r="CA130" i="1"/>
  <c r="CB130" i="1" s="1"/>
  <c r="CA195" i="1"/>
  <c r="CB195" i="1" s="1"/>
  <c r="CA259" i="1"/>
  <c r="CB259" i="1" s="1"/>
  <c r="CK279" i="1"/>
  <c r="CL279" i="1" s="1"/>
  <c r="CA97" i="1"/>
  <c r="CB97" i="1" s="1"/>
  <c r="CA291" i="1"/>
  <c r="CB291" i="1" s="1"/>
  <c r="BQ115" i="1"/>
  <c r="BR115" i="1" s="1"/>
  <c r="BQ37" i="1"/>
  <c r="BR37" i="1" s="1"/>
  <c r="BQ101" i="1"/>
  <c r="BR101" i="1" s="1"/>
  <c r="BQ166" i="1"/>
  <c r="BR166" i="1" s="1"/>
  <c r="BQ230" i="1"/>
  <c r="BR230" i="1" s="1"/>
  <c r="BQ295" i="1"/>
  <c r="BR295" i="1" s="1"/>
  <c r="CA44" i="1"/>
  <c r="CB44" i="1" s="1"/>
  <c r="CA173" i="1"/>
  <c r="CB173" i="1" s="1"/>
  <c r="CA237" i="1"/>
  <c r="CB237" i="1" s="1"/>
  <c r="CA302" i="1"/>
  <c r="CB302" i="1" s="1"/>
  <c r="BQ294" i="1"/>
  <c r="BR294" i="1" s="1"/>
  <c r="BQ15" i="1"/>
  <c r="BR15" i="1" s="1"/>
  <c r="BQ79" i="1"/>
  <c r="BR79" i="1" s="1"/>
  <c r="BQ144" i="1"/>
  <c r="BR144" i="1" s="1"/>
  <c r="BQ208" i="1"/>
  <c r="BR208" i="1" s="1"/>
  <c r="BQ273" i="1"/>
  <c r="BR273" i="1" s="1"/>
  <c r="BQ153" i="1"/>
  <c r="BR153" i="1" s="1"/>
  <c r="BQ217" i="1"/>
  <c r="BR217" i="1" s="1"/>
  <c r="BQ282" i="1"/>
  <c r="BR282" i="1" s="1"/>
  <c r="BQ17" i="1"/>
  <c r="BR17" i="1" s="1"/>
  <c r="BQ81" i="1"/>
  <c r="BR81" i="1" s="1"/>
  <c r="BG13" i="1"/>
  <c r="BH13" i="1" s="1"/>
  <c r="BG180" i="1"/>
  <c r="BH180" i="1" s="1"/>
  <c r="AV207" i="1"/>
  <c r="AW207" i="1" s="1"/>
  <c r="BG15" i="1"/>
  <c r="BH15" i="1" s="1"/>
  <c r="BG79" i="1"/>
  <c r="BH79" i="1" s="1"/>
  <c r="BG111" i="1"/>
  <c r="BH111" i="1" s="1"/>
  <c r="BG144" i="1"/>
  <c r="BH144" i="1" s="1"/>
  <c r="BG176" i="1"/>
  <c r="BH176" i="1" s="1"/>
  <c r="BG21" i="1"/>
  <c r="BH21" i="1" s="1"/>
  <c r="BG182" i="1"/>
  <c r="BH182" i="1" s="1"/>
  <c r="BG40" i="1"/>
  <c r="BH40" i="1" s="1"/>
  <c r="BG104" i="1"/>
  <c r="BH104" i="1" s="1"/>
  <c r="BG169" i="1"/>
  <c r="BH169" i="1" s="1"/>
  <c r="BG233" i="1"/>
  <c r="BH233" i="1" s="1"/>
  <c r="BG298" i="1"/>
  <c r="BH298" i="1" s="1"/>
  <c r="BG41" i="1"/>
  <c r="BH41" i="1" s="1"/>
  <c r="BG105" i="1"/>
  <c r="BH105" i="1" s="1"/>
  <c r="AV124" i="1"/>
  <c r="AW124" i="1" s="1"/>
  <c r="AV189" i="1"/>
  <c r="AW189" i="1" s="1"/>
  <c r="AV253" i="1"/>
  <c r="AW253" i="1" s="1"/>
  <c r="BQ130" i="1"/>
  <c r="BR130" i="1" s="1"/>
  <c r="BG220" i="1"/>
  <c r="BH220" i="1" s="1"/>
  <c r="DY280" i="1"/>
  <c r="DZ280" i="1" s="1"/>
  <c r="DZ44" i="1"/>
  <c r="DZ68" i="1"/>
  <c r="DY53" i="1"/>
  <c r="DZ53" i="1" s="1"/>
  <c r="DZ134" i="1"/>
  <c r="DZ190" i="1"/>
  <c r="DZ191" i="1"/>
  <c r="DZ78" i="1"/>
  <c r="DZ248" i="1"/>
  <c r="DZ183" i="1"/>
  <c r="DO226" i="1"/>
  <c r="DP226" i="1" s="1"/>
  <c r="DE23" i="1"/>
  <c r="DE87" i="1"/>
  <c r="DF87" i="1" s="1"/>
  <c r="DE152" i="1"/>
  <c r="DF152" i="1" s="1"/>
  <c r="DE216" i="1"/>
  <c r="DE281" i="1"/>
  <c r="DE33" i="1"/>
  <c r="DF33" i="1" s="1"/>
  <c r="DE67" i="1"/>
  <c r="DF67" i="1" s="1"/>
  <c r="DE180" i="1"/>
  <c r="DF180" i="1" s="1"/>
  <c r="DE236" i="1"/>
  <c r="DF236" i="1" s="1"/>
  <c r="DE12" i="1"/>
  <c r="DF12" i="1" s="1"/>
  <c r="DE68" i="1"/>
  <c r="DF68" i="1" s="1"/>
  <c r="DE124" i="1"/>
  <c r="DF124" i="1" s="1"/>
  <c r="DE6" i="1"/>
  <c r="DF6" i="1" s="1"/>
  <c r="DE62" i="1"/>
  <c r="DF62" i="1" s="1"/>
  <c r="CU227" i="1"/>
  <c r="CV227" i="1" s="1"/>
  <c r="CU6" i="1"/>
  <c r="CV6" i="1" s="1"/>
  <c r="CU70" i="1"/>
  <c r="CV70" i="1" s="1"/>
  <c r="CU135" i="1"/>
  <c r="CV135" i="1" s="1"/>
  <c r="CU164" i="1"/>
  <c r="CV164" i="1" s="1"/>
  <c r="CU293" i="1"/>
  <c r="CV293" i="1" s="1"/>
  <c r="CU55" i="1"/>
  <c r="CV55" i="1" s="1"/>
  <c r="CU119" i="1"/>
  <c r="CV119" i="1" s="1"/>
  <c r="CU267" i="1"/>
  <c r="CV267" i="1" s="1"/>
  <c r="CK33" i="1"/>
  <c r="CL33" i="1" s="1"/>
  <c r="CK97" i="1"/>
  <c r="CL97" i="1" s="1"/>
  <c r="CK162" i="1"/>
  <c r="CL162" i="1" s="1"/>
  <c r="CK226" i="1"/>
  <c r="CL226" i="1" s="1"/>
  <c r="CK66" i="1"/>
  <c r="CL66" i="1" s="1"/>
  <c r="CK130" i="1"/>
  <c r="CL130" i="1" s="1"/>
  <c r="CK195" i="1"/>
  <c r="CL195" i="1" s="1"/>
  <c r="CK259" i="1"/>
  <c r="CL259" i="1" s="1"/>
  <c r="CK20" i="1"/>
  <c r="CL20" i="1" s="1"/>
  <c r="CK84" i="1"/>
  <c r="CL84" i="1" s="1"/>
  <c r="CK149" i="1"/>
  <c r="CL149" i="1" s="1"/>
  <c r="CK213" i="1"/>
  <c r="CL213" i="1" s="1"/>
  <c r="CK3" i="1"/>
  <c r="CL3" i="1" s="1"/>
  <c r="CK260" i="1"/>
  <c r="CL260" i="1" s="1"/>
  <c r="CA10" i="1"/>
  <c r="CB10" i="1" s="1"/>
  <c r="CA74" i="1"/>
  <c r="CB74" i="1" s="1"/>
  <c r="CA139" i="1"/>
  <c r="CB139" i="1" s="1"/>
  <c r="CA203" i="1"/>
  <c r="CB203" i="1" s="1"/>
  <c r="BQ45" i="1"/>
  <c r="BR45" i="1" s="1"/>
  <c r="BQ109" i="1"/>
  <c r="BR109" i="1" s="1"/>
  <c r="BQ174" i="1"/>
  <c r="BR174" i="1" s="1"/>
  <c r="BQ238" i="1"/>
  <c r="BR238" i="1" s="1"/>
  <c r="CA52" i="1"/>
  <c r="CB52" i="1" s="1"/>
  <c r="CA116" i="1"/>
  <c r="CB116" i="1" s="1"/>
  <c r="CA181" i="1"/>
  <c r="CB181" i="1" s="1"/>
  <c r="CA245" i="1"/>
  <c r="CB245" i="1" s="1"/>
  <c r="BQ35" i="1"/>
  <c r="BR35" i="1" s="1"/>
  <c r="AV215" i="1"/>
  <c r="AW215" i="1" s="1"/>
  <c r="BG177" i="1"/>
  <c r="BH177" i="1" s="1"/>
  <c r="BG241" i="1"/>
  <c r="BH241" i="1" s="1"/>
  <c r="BG124" i="1"/>
  <c r="BH124" i="1" s="1"/>
  <c r="BG49" i="1"/>
  <c r="BH49" i="1" s="1"/>
  <c r="BG113" i="1"/>
  <c r="BH113" i="1" s="1"/>
  <c r="BG236" i="1"/>
  <c r="BH236" i="1" s="1"/>
  <c r="BG163" i="1"/>
  <c r="BH163" i="1" s="1"/>
  <c r="BG108" i="1"/>
  <c r="BH108" i="1" s="1"/>
  <c r="AC232" i="1"/>
  <c r="DY297" i="1"/>
  <c r="DY223" i="1"/>
  <c r="DZ109" i="1"/>
  <c r="DY142" i="1"/>
  <c r="DE31" i="1"/>
  <c r="DF31" i="1" s="1"/>
  <c r="DE95" i="1"/>
  <c r="DF95" i="1" s="1"/>
  <c r="DE160" i="1"/>
  <c r="DF160" i="1" s="1"/>
  <c r="DE224" i="1"/>
  <c r="DE289" i="1"/>
  <c r="DF289" i="1" s="1"/>
  <c r="DE41" i="1"/>
  <c r="DF41" i="1" s="1"/>
  <c r="DE97" i="1"/>
  <c r="DF97" i="1" s="1"/>
  <c r="DE301" i="1"/>
  <c r="DF301" i="1" s="1"/>
  <c r="DE76" i="1"/>
  <c r="DF76" i="1" s="1"/>
  <c r="DE133" i="1"/>
  <c r="DF133" i="1" s="1"/>
  <c r="DE245" i="1"/>
  <c r="DF245" i="1" s="1"/>
  <c r="DE166" i="1"/>
  <c r="DF166" i="1" s="1"/>
  <c r="DE14" i="1"/>
  <c r="DE239" i="1"/>
  <c r="DF239" i="1" s="1"/>
  <c r="CU72" i="1"/>
  <c r="CV72" i="1" s="1"/>
  <c r="CU14" i="1"/>
  <c r="CV14" i="1" s="1"/>
  <c r="CU78" i="1"/>
  <c r="CV78" i="1" s="1"/>
  <c r="CU73" i="1"/>
  <c r="CV73" i="1" s="1"/>
  <c r="CU63" i="1"/>
  <c r="CU127" i="1"/>
  <c r="CV127" i="1" s="1"/>
  <c r="CU84" i="1"/>
  <c r="CV84" i="1" s="1"/>
  <c r="CU65" i="1"/>
  <c r="CV65" i="1" s="1"/>
  <c r="CU185" i="1"/>
  <c r="CV185" i="1" s="1"/>
  <c r="CU56" i="1"/>
  <c r="CV56" i="1" s="1"/>
  <c r="CU250" i="1"/>
  <c r="CV250" i="1" s="1"/>
  <c r="CK41" i="1"/>
  <c r="CL41" i="1" s="1"/>
  <c r="CK105" i="1"/>
  <c r="CL105" i="1" s="1"/>
  <c r="CK170" i="1"/>
  <c r="CL170" i="1" s="1"/>
  <c r="CK234" i="1"/>
  <c r="CL234" i="1" s="1"/>
  <c r="CK10" i="1"/>
  <c r="CL10" i="1" s="1"/>
  <c r="CK74" i="1"/>
  <c r="CL74" i="1" s="1"/>
  <c r="CK139" i="1"/>
  <c r="CL139" i="1" s="1"/>
  <c r="CK203" i="1"/>
  <c r="CL203" i="1" s="1"/>
  <c r="CK28" i="1"/>
  <c r="CL28" i="1" s="1"/>
  <c r="CK92" i="1"/>
  <c r="CL92" i="1" s="1"/>
  <c r="CK157" i="1"/>
  <c r="CL157" i="1" s="1"/>
  <c r="CK221" i="1"/>
  <c r="CL221" i="1" s="1"/>
  <c r="CK112" i="1"/>
  <c r="CL112" i="1" s="1"/>
  <c r="CK43" i="1"/>
  <c r="CL43" i="1" s="1"/>
  <c r="CA124" i="1"/>
  <c r="CB124" i="1" s="1"/>
  <c r="CA189" i="1"/>
  <c r="CB189" i="1" s="1"/>
  <c r="CA253" i="1"/>
  <c r="CB253" i="1" s="1"/>
  <c r="BQ76" i="1"/>
  <c r="BR76" i="1" s="1"/>
  <c r="BG45" i="1"/>
  <c r="BH45" i="1" s="1"/>
  <c r="AV159" i="1"/>
  <c r="AW159" i="1" s="1"/>
  <c r="AV223" i="1"/>
  <c r="AW223" i="1" s="1"/>
  <c r="BG23" i="1"/>
  <c r="BH23" i="1" s="1"/>
  <c r="BG87" i="1"/>
  <c r="BH87" i="1" s="1"/>
  <c r="BG246" i="1"/>
  <c r="BH246" i="1" s="1"/>
  <c r="BG249" i="1"/>
  <c r="BH249" i="1" s="1"/>
  <c r="BQ179" i="1"/>
  <c r="BR179" i="1" s="1"/>
  <c r="BG123" i="1"/>
  <c r="BH123" i="1" s="1"/>
  <c r="BG252" i="1"/>
  <c r="BH252" i="1" s="1"/>
  <c r="BG207" i="1"/>
  <c r="BH207" i="1" s="1"/>
  <c r="BG126" i="1"/>
  <c r="BH126" i="1" s="1"/>
  <c r="DY25" i="1"/>
  <c r="DZ25" i="1" s="1"/>
  <c r="DY42" i="1"/>
  <c r="DZ42" i="1" s="1"/>
  <c r="DY300" i="1"/>
  <c r="DZ300" i="1" s="1"/>
  <c r="DY35" i="1"/>
  <c r="DZ35" i="1" s="1"/>
  <c r="DY148" i="1"/>
  <c r="DZ148" i="1" s="1"/>
  <c r="DY212" i="1"/>
  <c r="DY260" i="1"/>
  <c r="DZ260" i="1" s="1"/>
  <c r="DY293" i="1"/>
  <c r="DZ293" i="1" s="1"/>
  <c r="DY76" i="1"/>
  <c r="DZ76" i="1" s="1"/>
  <c r="DY255" i="1"/>
  <c r="DY88" i="1"/>
  <c r="DZ88" i="1" s="1"/>
  <c r="DY85" i="1"/>
  <c r="DZ85" i="1" s="1"/>
  <c r="DY117" i="1"/>
  <c r="DY246" i="1"/>
  <c r="DZ246" i="1" s="1"/>
  <c r="DY271" i="1"/>
  <c r="DZ271" i="1" s="1"/>
  <c r="DY160" i="1"/>
  <c r="DZ160" i="1" s="1"/>
  <c r="DO218" i="1"/>
  <c r="DP218" i="1" s="1"/>
  <c r="DO40" i="1"/>
  <c r="DP40" i="1" s="1"/>
  <c r="DO104" i="1"/>
  <c r="DP104" i="1" s="1"/>
  <c r="DO169" i="1"/>
  <c r="DP169" i="1" s="1"/>
  <c r="DO219" i="1"/>
  <c r="DP219" i="1" s="1"/>
  <c r="DO164" i="1"/>
  <c r="DP164" i="1" s="1"/>
  <c r="DO228" i="1"/>
  <c r="DP228" i="1" s="1"/>
  <c r="DO149" i="1"/>
  <c r="DP149" i="1" s="1"/>
  <c r="DO190" i="1"/>
  <c r="DO254" i="1"/>
  <c r="DP254" i="1" s="1"/>
  <c r="DO46" i="1"/>
  <c r="DP46" i="1" s="1"/>
  <c r="DO208" i="1"/>
  <c r="DE39" i="1"/>
  <c r="DF39" i="1" s="1"/>
  <c r="DE103" i="1"/>
  <c r="DF103" i="1" s="1"/>
  <c r="DE168" i="1"/>
  <c r="DF168" i="1" s="1"/>
  <c r="DE232" i="1"/>
  <c r="DE297" i="1"/>
  <c r="DF297" i="1" s="1"/>
  <c r="DE49" i="1"/>
  <c r="DF49" i="1" s="1"/>
  <c r="DE105" i="1"/>
  <c r="DF105" i="1" s="1"/>
  <c r="DE162" i="1"/>
  <c r="DF162" i="1" s="1"/>
  <c r="DE275" i="1"/>
  <c r="DF275" i="1" s="1"/>
  <c r="DE203" i="1"/>
  <c r="DF203" i="1" s="1"/>
  <c r="DE75" i="1"/>
  <c r="DF75" i="1" s="1"/>
  <c r="DE196" i="1"/>
  <c r="DF196" i="1" s="1"/>
  <c r="DE252" i="1"/>
  <c r="DF252" i="1" s="1"/>
  <c r="DE141" i="1"/>
  <c r="DF141" i="1" s="1"/>
  <c r="DE197" i="1"/>
  <c r="DF197" i="1" s="1"/>
  <c r="DE253" i="1"/>
  <c r="DF253" i="1" s="1"/>
  <c r="DE5" i="1"/>
  <c r="DE61" i="1"/>
  <c r="DF61" i="1" s="1"/>
  <c r="DE117" i="1"/>
  <c r="DF117" i="1" s="1"/>
  <c r="DE230" i="1"/>
  <c r="DF230" i="1" s="1"/>
  <c r="DE295" i="1"/>
  <c r="DF295" i="1" s="1"/>
  <c r="DE78" i="1"/>
  <c r="DE135" i="1"/>
  <c r="DF135" i="1" s="1"/>
  <c r="DE8" i="1"/>
  <c r="DF8" i="1" s="1"/>
  <c r="DE64" i="1"/>
  <c r="DF64" i="1" s="1"/>
  <c r="DE120" i="1"/>
  <c r="DF120" i="1" s="1"/>
  <c r="CU290" i="1"/>
  <c r="CV290" i="1" s="1"/>
  <c r="CU82" i="1"/>
  <c r="CV82" i="1" s="1"/>
  <c r="CU292" i="1"/>
  <c r="CV292" i="1" s="1"/>
  <c r="CU22" i="1"/>
  <c r="CV22" i="1" s="1"/>
  <c r="CU86" i="1"/>
  <c r="CV86" i="1" s="1"/>
  <c r="CU83" i="1"/>
  <c r="CV83" i="1" s="1"/>
  <c r="CU210" i="1"/>
  <c r="CV210" i="1" s="1"/>
  <c r="CU7" i="1"/>
  <c r="CV7" i="1" s="1"/>
  <c r="CU71" i="1"/>
  <c r="CV71" i="1" s="1"/>
  <c r="CU10" i="1"/>
  <c r="CV10" i="1" s="1"/>
  <c r="CU96" i="1"/>
  <c r="CV96" i="1" s="1"/>
  <c r="CU285" i="1"/>
  <c r="CV285" i="1" s="1"/>
  <c r="CU75" i="1"/>
  <c r="CV75" i="1" s="1"/>
  <c r="CU194" i="1"/>
  <c r="CV194" i="1" s="1"/>
  <c r="CU295" i="1"/>
  <c r="CV295" i="1" s="1"/>
  <c r="CU66" i="1"/>
  <c r="CV66" i="1" s="1"/>
  <c r="CU149" i="1"/>
  <c r="CV149" i="1" s="1"/>
  <c r="CU259" i="1"/>
  <c r="CV259" i="1" s="1"/>
  <c r="CK31" i="1"/>
  <c r="CL31" i="1" s="1"/>
  <c r="CK95" i="1"/>
  <c r="CL95" i="1" s="1"/>
  <c r="CK160" i="1"/>
  <c r="CL160" i="1" s="1"/>
  <c r="CK49" i="1"/>
  <c r="CL49" i="1" s="1"/>
  <c r="CK113" i="1"/>
  <c r="CL113" i="1" s="1"/>
  <c r="CK178" i="1"/>
  <c r="CL178" i="1" s="1"/>
  <c r="CK242" i="1"/>
  <c r="CL242" i="1" s="1"/>
  <c r="CK18" i="1"/>
  <c r="CL18" i="1" s="1"/>
  <c r="CK82" i="1"/>
  <c r="CL82" i="1" s="1"/>
  <c r="CK147" i="1"/>
  <c r="CL147" i="1" s="1"/>
  <c r="CK211" i="1"/>
  <c r="CL211" i="1" s="1"/>
  <c r="CK276" i="1"/>
  <c r="CL276" i="1" s="1"/>
  <c r="CU263" i="1"/>
  <c r="CV263" i="1" s="1"/>
  <c r="CK36" i="1"/>
  <c r="CL36" i="1" s="1"/>
  <c r="CK100" i="1"/>
  <c r="CL100" i="1" s="1"/>
  <c r="CK165" i="1"/>
  <c r="CL165" i="1" s="1"/>
  <c r="CK229" i="1"/>
  <c r="CL229" i="1" s="1"/>
  <c r="CK294" i="1"/>
  <c r="CL294" i="1" s="1"/>
  <c r="CK281" i="1"/>
  <c r="CL281" i="1" s="1"/>
  <c r="CK299" i="1"/>
  <c r="CL299" i="1" s="1"/>
  <c r="CK196" i="1"/>
  <c r="CL196" i="1" s="1"/>
  <c r="CA26" i="1"/>
  <c r="CB26" i="1" s="1"/>
  <c r="CA90" i="1"/>
  <c r="CB90" i="1" s="1"/>
  <c r="CA155" i="1"/>
  <c r="CB155" i="1" s="1"/>
  <c r="CA219" i="1"/>
  <c r="CB219" i="1" s="1"/>
  <c r="CA284" i="1"/>
  <c r="CB284" i="1" s="1"/>
  <c r="CK45" i="1"/>
  <c r="CL45" i="1" s="1"/>
  <c r="CK109" i="1"/>
  <c r="CL109" i="1" s="1"/>
  <c r="CA41" i="1"/>
  <c r="CB41" i="1" s="1"/>
  <c r="CA105" i="1"/>
  <c r="CB105" i="1" s="1"/>
  <c r="CA170" i="1"/>
  <c r="CB170" i="1" s="1"/>
  <c r="CA299" i="1"/>
  <c r="CB299" i="1" s="1"/>
  <c r="CA43" i="1"/>
  <c r="CB43" i="1" s="1"/>
  <c r="CA107" i="1"/>
  <c r="CB107" i="1" s="1"/>
  <c r="CA172" i="1"/>
  <c r="CB172" i="1" s="1"/>
  <c r="CA236" i="1"/>
  <c r="CB236" i="1" s="1"/>
  <c r="CA301" i="1"/>
  <c r="CB301" i="1" s="1"/>
  <c r="CA68" i="1"/>
  <c r="CB68" i="1" s="1"/>
  <c r="CA133" i="1"/>
  <c r="CB133" i="1" s="1"/>
  <c r="CA197" i="1"/>
  <c r="CB197" i="1" s="1"/>
  <c r="CA262" i="1"/>
  <c r="CB262" i="1" s="1"/>
  <c r="BQ99" i="1"/>
  <c r="BR99" i="1" s="1"/>
  <c r="BQ14" i="1"/>
  <c r="BR14" i="1" s="1"/>
  <c r="BQ46" i="1"/>
  <c r="BR46" i="1" s="1"/>
  <c r="BQ78" i="1"/>
  <c r="BR78" i="1" s="1"/>
  <c r="BQ110" i="1"/>
  <c r="BR110" i="1" s="1"/>
  <c r="BQ143" i="1"/>
  <c r="BR143" i="1" s="1"/>
  <c r="BQ175" i="1"/>
  <c r="BR175" i="1" s="1"/>
  <c r="BQ207" i="1"/>
  <c r="BR207" i="1" s="1"/>
  <c r="BQ239" i="1"/>
  <c r="BR239" i="1" s="1"/>
  <c r="BQ272" i="1"/>
  <c r="BR272" i="1" s="1"/>
  <c r="BQ39" i="1"/>
  <c r="BR39" i="1" s="1"/>
  <c r="BQ168" i="1"/>
  <c r="BR168" i="1" s="1"/>
  <c r="BQ232" i="1"/>
  <c r="BR232" i="1" s="1"/>
  <c r="BQ297" i="1"/>
  <c r="BR297" i="1" s="1"/>
  <c r="BQ83" i="1"/>
  <c r="BR83" i="1" s="1"/>
  <c r="BQ43" i="1"/>
  <c r="BR43" i="1" s="1"/>
  <c r="BQ41" i="1"/>
  <c r="BR41" i="1" s="1"/>
  <c r="BQ105" i="1"/>
  <c r="BR105" i="1" s="1"/>
  <c r="BG61" i="1"/>
  <c r="BH61" i="1" s="1"/>
  <c r="BQ26" i="1"/>
  <c r="BR26" i="1" s="1"/>
  <c r="AV167" i="1"/>
  <c r="AW167" i="1" s="1"/>
  <c r="BG69" i="1"/>
  <c r="BH69" i="1" s="1"/>
  <c r="BG263" i="1"/>
  <c r="BH263" i="1" s="1"/>
  <c r="BG64" i="1"/>
  <c r="BH64" i="1" s="1"/>
  <c r="BG128" i="1"/>
  <c r="BH128" i="1" s="1"/>
  <c r="BG193" i="1"/>
  <c r="BH193" i="1" s="1"/>
  <c r="BG257" i="1"/>
  <c r="BH257" i="1" s="1"/>
  <c r="BG65" i="1"/>
  <c r="BH65" i="1" s="1"/>
  <c r="AV20" i="1"/>
  <c r="AW20" i="1" s="1"/>
  <c r="AV84" i="1"/>
  <c r="AW84" i="1" s="1"/>
  <c r="AV149" i="1"/>
  <c r="AW149" i="1" s="1"/>
  <c r="AV213" i="1"/>
  <c r="AW213" i="1" s="1"/>
  <c r="AV278" i="1"/>
  <c r="AW278" i="1" s="1"/>
  <c r="BQ58" i="1"/>
  <c r="BR58" i="1" s="1"/>
  <c r="BQ251" i="1"/>
  <c r="BR251" i="1" s="1"/>
  <c r="BG140" i="1"/>
  <c r="BH140" i="1" s="1"/>
  <c r="BG269" i="1"/>
  <c r="BH269" i="1" s="1"/>
  <c r="BG114" i="1"/>
  <c r="BH114" i="1" s="1"/>
  <c r="BG179" i="1"/>
  <c r="BH179" i="1" s="1"/>
  <c r="BG243" i="1"/>
  <c r="BH243" i="1" s="1"/>
  <c r="BG141" i="1"/>
  <c r="BH141" i="1" s="1"/>
  <c r="BG270" i="1"/>
  <c r="BH270" i="1" s="1"/>
  <c r="BG272" i="1"/>
  <c r="BH272" i="1" s="1"/>
  <c r="BG191" i="1"/>
  <c r="BH191" i="1" s="1"/>
  <c r="DY11" i="1"/>
  <c r="DZ52" i="1"/>
  <c r="DY288" i="1"/>
  <c r="DZ6" i="1"/>
  <c r="DY46" i="1"/>
  <c r="DZ46" i="1" s="1"/>
  <c r="DZ63" i="1"/>
  <c r="DZ127" i="1"/>
  <c r="DZ256" i="1"/>
  <c r="DO283" i="1"/>
  <c r="DP283" i="1" s="1"/>
  <c r="DO50" i="1"/>
  <c r="DP50" i="1" s="1"/>
  <c r="DO114" i="1"/>
  <c r="DP114" i="1" s="1"/>
  <c r="DE176" i="1"/>
  <c r="DE240" i="1"/>
  <c r="DF240" i="1" s="1"/>
  <c r="DE57" i="1"/>
  <c r="DF57" i="1" s="1"/>
  <c r="DE113" i="1"/>
  <c r="DF113" i="1" s="1"/>
  <c r="DE170" i="1"/>
  <c r="DF170" i="1" s="1"/>
  <c r="DE226" i="1"/>
  <c r="DF226" i="1" s="1"/>
  <c r="DE149" i="1"/>
  <c r="DF149" i="1" s="1"/>
  <c r="DE205" i="1"/>
  <c r="DF205" i="1" s="1"/>
  <c r="DE262" i="1"/>
  <c r="DF262" i="1" s="1"/>
  <c r="DE302" i="1"/>
  <c r="DF302" i="1" s="1"/>
  <c r="DE13" i="1"/>
  <c r="DF13" i="1" s="1"/>
  <c r="DE69" i="1"/>
  <c r="DE125" i="1"/>
  <c r="DF125" i="1" s="1"/>
  <c r="DE182" i="1"/>
  <c r="DF182" i="1" s="1"/>
  <c r="DE143" i="1"/>
  <c r="DE255" i="1"/>
  <c r="DF255" i="1" s="1"/>
  <c r="DE16" i="1"/>
  <c r="DF16" i="1" s="1"/>
  <c r="DE128" i="1"/>
  <c r="DF128" i="1" s="1"/>
  <c r="CU217" i="1"/>
  <c r="CV217" i="1" s="1"/>
  <c r="CU104" i="1"/>
  <c r="CV104" i="1" s="1"/>
  <c r="CU30" i="1"/>
  <c r="CU94" i="1"/>
  <c r="CU105" i="1"/>
  <c r="CV105" i="1" s="1"/>
  <c r="CU219" i="1"/>
  <c r="CV219" i="1" s="1"/>
  <c r="CU15" i="1"/>
  <c r="CU79" i="1"/>
  <c r="CV79" i="1" s="1"/>
  <c r="CU20" i="1"/>
  <c r="CV20" i="1" s="1"/>
  <c r="CU106" i="1"/>
  <c r="CV106" i="1" s="1"/>
  <c r="CU97" i="1"/>
  <c r="CV97" i="1" s="1"/>
  <c r="CU203" i="1"/>
  <c r="CV203" i="1" s="1"/>
  <c r="CU76" i="1"/>
  <c r="CV76" i="1" s="1"/>
  <c r="CU177" i="1"/>
  <c r="CV177" i="1" s="1"/>
  <c r="CU269" i="1"/>
  <c r="CV269" i="1" s="1"/>
  <c r="CU16" i="1"/>
  <c r="CV16" i="1" s="1"/>
  <c r="CU121" i="1"/>
  <c r="CV121" i="1" s="1"/>
  <c r="CU242" i="1"/>
  <c r="CV242" i="1" s="1"/>
  <c r="CK39" i="1"/>
  <c r="CL39" i="1" s="1"/>
  <c r="CK103" i="1"/>
  <c r="CL103" i="1" s="1"/>
  <c r="CK168" i="1"/>
  <c r="CL168" i="1" s="1"/>
  <c r="CK57" i="1"/>
  <c r="CL57" i="1" s="1"/>
  <c r="CK121" i="1"/>
  <c r="CL121" i="1" s="1"/>
  <c r="CK186" i="1"/>
  <c r="CL186" i="1" s="1"/>
  <c r="CK250" i="1"/>
  <c r="CL250" i="1" s="1"/>
  <c r="CK26" i="1"/>
  <c r="CL26" i="1" s="1"/>
  <c r="CK90" i="1"/>
  <c r="CL90" i="1" s="1"/>
  <c r="CK155" i="1"/>
  <c r="CL155" i="1" s="1"/>
  <c r="CK219" i="1"/>
  <c r="CL219" i="1" s="1"/>
  <c r="CK44" i="1"/>
  <c r="CL44" i="1" s="1"/>
  <c r="CK108" i="1"/>
  <c r="CL108" i="1" s="1"/>
  <c r="CK173" i="1"/>
  <c r="CL173" i="1" s="1"/>
  <c r="CK237" i="1"/>
  <c r="CL237" i="1" s="1"/>
  <c r="CK302" i="1"/>
  <c r="CL302" i="1" s="1"/>
  <c r="CK240" i="1"/>
  <c r="CK88" i="1"/>
  <c r="CL88" i="1" s="1"/>
  <c r="CK185" i="1"/>
  <c r="CL185" i="1" s="1"/>
  <c r="CK236" i="1"/>
  <c r="CL236" i="1" s="1"/>
  <c r="CA34" i="1"/>
  <c r="CB34" i="1" s="1"/>
  <c r="CA98" i="1"/>
  <c r="CB98" i="1" s="1"/>
  <c r="CA163" i="1"/>
  <c r="CB163" i="1" s="1"/>
  <c r="CA227" i="1"/>
  <c r="CB227" i="1" s="1"/>
  <c r="CA292" i="1"/>
  <c r="CB292" i="1" s="1"/>
  <c r="BQ52" i="1"/>
  <c r="BQ5" i="1"/>
  <c r="BR5" i="1" s="1"/>
  <c r="BQ69" i="1"/>
  <c r="BR69" i="1" s="1"/>
  <c r="BQ134" i="1"/>
  <c r="BR134" i="1" s="1"/>
  <c r="BQ263" i="1"/>
  <c r="BR263" i="1" s="1"/>
  <c r="CA12" i="1"/>
  <c r="CB12" i="1" s="1"/>
  <c r="CA76" i="1"/>
  <c r="CB76" i="1" s="1"/>
  <c r="CA141" i="1"/>
  <c r="CB141" i="1" s="1"/>
  <c r="CA205" i="1"/>
  <c r="CB205" i="1" s="1"/>
  <c r="CA270" i="1"/>
  <c r="CB270" i="1" s="1"/>
  <c r="BQ164" i="1"/>
  <c r="BR164" i="1" s="1"/>
  <c r="BQ47" i="1"/>
  <c r="BR47" i="1" s="1"/>
  <c r="BQ176" i="1"/>
  <c r="BR176" i="1" s="1"/>
  <c r="BQ148" i="1"/>
  <c r="BR148" i="1" s="1"/>
  <c r="BQ185" i="1"/>
  <c r="BR185" i="1" s="1"/>
  <c r="BQ107" i="1"/>
  <c r="BR107" i="1" s="1"/>
  <c r="BG77" i="1"/>
  <c r="BH77" i="1" s="1"/>
  <c r="AV175" i="1"/>
  <c r="AW175" i="1" s="1"/>
  <c r="BG63" i="1"/>
  <c r="BH63" i="1" s="1"/>
  <c r="BG95" i="1"/>
  <c r="BH95" i="1" s="1"/>
  <c r="BG85" i="1"/>
  <c r="BH85" i="1" s="1"/>
  <c r="BG8" i="1"/>
  <c r="BH8" i="1" s="1"/>
  <c r="BQ90" i="1"/>
  <c r="BR90" i="1" s="1"/>
  <c r="BG9" i="1"/>
  <c r="BH9" i="1" s="1"/>
  <c r="AV28" i="1"/>
  <c r="AW28" i="1" s="1"/>
  <c r="AV92" i="1"/>
  <c r="AW92" i="1" s="1"/>
  <c r="AV157" i="1"/>
  <c r="AW157" i="1" s="1"/>
  <c r="AV221" i="1"/>
  <c r="AW221" i="1" s="1"/>
  <c r="AV286" i="1"/>
  <c r="AW286" i="1" s="1"/>
  <c r="BQ284" i="1"/>
  <c r="BR284" i="1" s="1"/>
  <c r="BG187" i="1"/>
  <c r="BH187" i="1" s="1"/>
  <c r="BG251" i="1"/>
  <c r="BH251" i="1" s="1"/>
  <c r="BG286" i="1"/>
  <c r="BH286" i="1" s="1"/>
  <c r="BG255" i="1"/>
  <c r="BH255" i="1" s="1"/>
  <c r="DY231" i="1"/>
  <c r="DZ231" i="1" s="1"/>
  <c r="DY207" i="1"/>
  <c r="DZ207" i="1" s="1"/>
  <c r="DZ37" i="1"/>
  <c r="DZ150" i="1"/>
  <c r="DY206" i="1"/>
  <c r="DZ200" i="1"/>
  <c r="DZ232" i="1"/>
  <c r="DE55" i="1"/>
  <c r="DE119" i="1"/>
  <c r="DF119" i="1" s="1"/>
  <c r="DE184" i="1"/>
  <c r="DE248" i="1"/>
  <c r="DE178" i="1"/>
  <c r="DF178" i="1" s="1"/>
  <c r="DE291" i="1"/>
  <c r="DF291" i="1" s="1"/>
  <c r="DE92" i="1"/>
  <c r="DF92" i="1" s="1"/>
  <c r="DE77" i="1"/>
  <c r="DE246" i="1"/>
  <c r="DF246" i="1" s="1"/>
  <c r="CU38" i="1"/>
  <c r="CV38" i="1" s="1"/>
  <c r="CU102" i="1"/>
  <c r="CV102" i="1" s="1"/>
  <c r="CU228" i="1"/>
  <c r="CV228" i="1" s="1"/>
  <c r="CU23" i="1"/>
  <c r="CV23" i="1" s="1"/>
  <c r="CU87" i="1"/>
  <c r="CV87" i="1" s="1"/>
  <c r="CU32" i="1"/>
  <c r="CV32" i="1" s="1"/>
  <c r="CU116" i="1"/>
  <c r="CV116" i="1" s="1"/>
  <c r="CU88" i="1"/>
  <c r="CV88" i="1" s="1"/>
  <c r="CU186" i="1"/>
  <c r="CV186" i="1" s="1"/>
  <c r="CU287" i="1"/>
  <c r="CV287" i="1" s="1"/>
  <c r="CK65" i="1"/>
  <c r="CL65" i="1" s="1"/>
  <c r="CK194" i="1"/>
  <c r="CL194" i="1" s="1"/>
  <c r="CK258" i="1"/>
  <c r="CL258" i="1" s="1"/>
  <c r="CK34" i="1"/>
  <c r="CL34" i="1" s="1"/>
  <c r="CK98" i="1"/>
  <c r="CL98" i="1" s="1"/>
  <c r="CK227" i="1"/>
  <c r="CL227" i="1" s="1"/>
  <c r="CK292" i="1"/>
  <c r="CL292" i="1" s="1"/>
  <c r="CK52" i="1"/>
  <c r="CL52" i="1" s="1"/>
  <c r="CK181" i="1"/>
  <c r="CL181" i="1" s="1"/>
  <c r="CK245" i="1"/>
  <c r="CL245" i="1" s="1"/>
  <c r="CK131" i="1"/>
  <c r="CL131" i="1" s="1"/>
  <c r="CA42" i="1"/>
  <c r="CB42" i="1" s="1"/>
  <c r="CA106" i="1"/>
  <c r="CB106" i="1" s="1"/>
  <c r="CA171" i="1"/>
  <c r="CB171" i="1" s="1"/>
  <c r="CA235" i="1"/>
  <c r="CB235" i="1" s="1"/>
  <c r="CA300" i="1"/>
  <c r="CB300" i="1" s="1"/>
  <c r="BQ28" i="1"/>
  <c r="BR28" i="1" s="1"/>
  <c r="BQ116" i="1"/>
  <c r="BR116" i="1" s="1"/>
  <c r="BQ13" i="1"/>
  <c r="BR13" i="1" s="1"/>
  <c r="BQ77" i="1"/>
  <c r="BR77" i="1" s="1"/>
  <c r="BQ142" i="1"/>
  <c r="BR142" i="1" s="1"/>
  <c r="BQ206" i="1"/>
  <c r="BR206" i="1" s="1"/>
  <c r="BQ271" i="1"/>
  <c r="BR271" i="1" s="1"/>
  <c r="CA20" i="1"/>
  <c r="CB20" i="1" s="1"/>
  <c r="CA84" i="1"/>
  <c r="CB84" i="1" s="1"/>
  <c r="CA149" i="1"/>
  <c r="CB149" i="1" s="1"/>
  <c r="CA213" i="1"/>
  <c r="CB213" i="1" s="1"/>
  <c r="CA278" i="1"/>
  <c r="CB278" i="1" s="1"/>
  <c r="BQ228" i="1"/>
  <c r="BR228" i="1" s="1"/>
  <c r="BQ100" i="1"/>
  <c r="BR100" i="1" s="1"/>
  <c r="BG93" i="1"/>
  <c r="BH93" i="1" s="1"/>
  <c r="AV183" i="1"/>
  <c r="AW183" i="1" s="1"/>
  <c r="BG16" i="1"/>
  <c r="BH16" i="1" s="1"/>
  <c r="BG80" i="1"/>
  <c r="BH80" i="1" s="1"/>
  <c r="BG209" i="1"/>
  <c r="BH209" i="1" s="1"/>
  <c r="BG274" i="1"/>
  <c r="BH274" i="1" s="1"/>
  <c r="BG172" i="1"/>
  <c r="BH172" i="1" s="1"/>
  <c r="BG301" i="1"/>
  <c r="BH301" i="1" s="1"/>
  <c r="BG175" i="1"/>
  <c r="BH175" i="1" s="1"/>
  <c r="BG92" i="1"/>
  <c r="BH92" i="1" s="1"/>
  <c r="AL105" i="1"/>
  <c r="AM105" i="1" s="1"/>
  <c r="AL230" i="1"/>
  <c r="AM230" i="1" s="1"/>
  <c r="AL144" i="1"/>
  <c r="AM144" i="1" s="1"/>
  <c r="AL257" i="1"/>
  <c r="AM257" i="1" s="1"/>
  <c r="AL75" i="1"/>
  <c r="AM75" i="1" s="1"/>
  <c r="AL275" i="1"/>
  <c r="AM275" i="1" s="1"/>
  <c r="AL109" i="1"/>
  <c r="AM109" i="1" s="1"/>
  <c r="AL196" i="1"/>
  <c r="AM196" i="1" s="1"/>
  <c r="AL282" i="1"/>
  <c r="AM282" i="1" s="1"/>
  <c r="AL96" i="1"/>
  <c r="AM96" i="1" s="1"/>
  <c r="AL70" i="1"/>
  <c r="AM70" i="1" s="1"/>
  <c r="AL219" i="1"/>
  <c r="AM219" i="1" s="1"/>
  <c r="AL128" i="1"/>
  <c r="AM128" i="1" s="1"/>
  <c r="AL108" i="1"/>
  <c r="AM108" i="1" s="1"/>
  <c r="AL79" i="1"/>
  <c r="AM79" i="1" s="1"/>
  <c r="AL95" i="1"/>
  <c r="AM95" i="1" s="1"/>
  <c r="AL301" i="1"/>
  <c r="AM301" i="1" s="1"/>
  <c r="AL65" i="1"/>
  <c r="AM65" i="1" s="1"/>
  <c r="AL168" i="1"/>
  <c r="AM168" i="1" s="1"/>
  <c r="AL216" i="1"/>
  <c r="AM216" i="1" s="1"/>
  <c r="AL253" i="1"/>
  <c r="AM253" i="1" s="1"/>
  <c r="AL80" i="1"/>
  <c r="AM80" i="1" s="1"/>
  <c r="AL24" i="1"/>
  <c r="AM24" i="1" s="1"/>
  <c r="AL279" i="1"/>
  <c r="AM279" i="1" s="1"/>
  <c r="AL234" i="1"/>
  <c r="AM234" i="1" s="1"/>
  <c r="AL170" i="1"/>
  <c r="AM170" i="1" s="1"/>
  <c r="AL114" i="1"/>
  <c r="AM114" i="1" s="1"/>
  <c r="AL204" i="1"/>
  <c r="AM204" i="1" s="1"/>
  <c r="AL283" i="1"/>
  <c r="AM283" i="1" s="1"/>
  <c r="AL32" i="1"/>
  <c r="AM32" i="1" s="1"/>
  <c r="AL142" i="1"/>
  <c r="AM142" i="1" s="1"/>
  <c r="AL97" i="1"/>
  <c r="AM97" i="1" s="1"/>
  <c r="AL293" i="1"/>
  <c r="AM293" i="1" s="1"/>
  <c r="AL94" i="1"/>
  <c r="AM94" i="1" s="1"/>
  <c r="AL155" i="1"/>
  <c r="AM155" i="1" s="1"/>
  <c r="AL266" i="1"/>
  <c r="AM266" i="1" s="1"/>
  <c r="AL271" i="1"/>
  <c r="AM271" i="1" s="1"/>
  <c r="AL147" i="1"/>
  <c r="AM147" i="1" s="1"/>
  <c r="AL173" i="1"/>
  <c r="AM173" i="1" s="1"/>
  <c r="AL103" i="1"/>
  <c r="AM103" i="1" s="1"/>
  <c r="AL2" i="1"/>
  <c r="AM2" i="1" s="1"/>
  <c r="AL165" i="1"/>
  <c r="AM165" i="1" s="1"/>
  <c r="AL157" i="1"/>
  <c r="AM157" i="1" s="1"/>
  <c r="AL242" i="1"/>
  <c r="AM242" i="1" s="1"/>
  <c r="AL256" i="1"/>
  <c r="AM256" i="1" s="1"/>
  <c r="AL111" i="1"/>
  <c r="AM111" i="1" s="1"/>
  <c r="AL226" i="1"/>
  <c r="AM226" i="1" s="1"/>
  <c r="AL151" i="1"/>
  <c r="AM151" i="1" s="1"/>
  <c r="AL274" i="1"/>
  <c r="AM274" i="1" s="1"/>
  <c r="AL150" i="1"/>
  <c r="AM150" i="1" s="1"/>
  <c r="AL238" i="1"/>
  <c r="AM238" i="1" s="1"/>
  <c r="AL56" i="1"/>
  <c r="AM56" i="1" s="1"/>
  <c r="AL174" i="1"/>
  <c r="AM174" i="1" s="1"/>
  <c r="AL280" i="1"/>
  <c r="AM280" i="1" s="1"/>
  <c r="AL208" i="1"/>
  <c r="AM208" i="1" s="1"/>
  <c r="AL98" i="1"/>
  <c r="AM98" i="1" s="1"/>
  <c r="AL180" i="1"/>
  <c r="AM180" i="1" s="1"/>
  <c r="AL243" i="1"/>
  <c r="AM243" i="1" s="1"/>
  <c r="AL126" i="1"/>
  <c r="AM126" i="1" s="1"/>
  <c r="AL186" i="1"/>
  <c r="AM186" i="1" s="1"/>
  <c r="AL250" i="1"/>
  <c r="AM250" i="1" s="1"/>
  <c r="AL118" i="1"/>
  <c r="AM118" i="1" s="1"/>
  <c r="AL181" i="1"/>
  <c r="AM181" i="1" s="1"/>
  <c r="AL264" i="1"/>
  <c r="AM264" i="1" s="1"/>
  <c r="AL193" i="1"/>
  <c r="AM193" i="1" s="1"/>
  <c r="AL232" i="1"/>
  <c r="AM232" i="1" s="1"/>
  <c r="AL297" i="1"/>
  <c r="AM297" i="1" s="1"/>
  <c r="AL152" i="1"/>
  <c r="AM152" i="1" s="1"/>
  <c r="AL197" i="1"/>
  <c r="AM197" i="1" s="1"/>
  <c r="AL262" i="1"/>
  <c r="AM262" i="1" s="1"/>
  <c r="AL89" i="1"/>
  <c r="AM89" i="1" s="1"/>
  <c r="AL129" i="1"/>
  <c r="AM129" i="1" s="1"/>
  <c r="AL260" i="1"/>
  <c r="AM260" i="1" s="1"/>
  <c r="AL149" i="1"/>
  <c r="AM149" i="1" s="1"/>
  <c r="AL185" i="1"/>
  <c r="AM185" i="1" s="1"/>
  <c r="AL298" i="1"/>
  <c r="AM298" i="1" s="1"/>
  <c r="AL143" i="1"/>
  <c r="AM143" i="1" s="1"/>
  <c r="AL77" i="1"/>
  <c r="AM77" i="1" s="1"/>
  <c r="AL215" i="1"/>
  <c r="AM215" i="1" s="1"/>
  <c r="AL277" i="1"/>
  <c r="AM277" i="1" s="1"/>
  <c r="AL285" i="1"/>
  <c r="AM285" i="1" s="1"/>
  <c r="AL133" i="1"/>
  <c r="AM133" i="1" s="1"/>
  <c r="AL222" i="1"/>
  <c r="AM222" i="1" s="1"/>
  <c r="AL153" i="1"/>
  <c r="AM153" i="1" s="1"/>
  <c r="AL93" i="1"/>
  <c r="AM93" i="1" s="1"/>
  <c r="AL130" i="1"/>
  <c r="AM130" i="1" s="1"/>
  <c r="AL138" i="1"/>
  <c r="AM138" i="1" s="1"/>
  <c r="AL300" i="1"/>
  <c r="AM300" i="1" s="1"/>
  <c r="AL164" i="1"/>
  <c r="AM164" i="1" s="1"/>
  <c r="AL148" i="1"/>
  <c r="AM148" i="1" s="1"/>
  <c r="AL227" i="1"/>
  <c r="AM227" i="1" s="1"/>
  <c r="AL175" i="1"/>
  <c r="AM175" i="1" s="1"/>
  <c r="AL270" i="1"/>
  <c r="AM270" i="1" s="1"/>
  <c r="AL137" i="1"/>
  <c r="AM137" i="1" s="1"/>
  <c r="AL239" i="1"/>
  <c r="AM239" i="1" s="1"/>
  <c r="AL259" i="1"/>
  <c r="AM259" i="1" s="1"/>
  <c r="AL167" i="1"/>
  <c r="AM167" i="1" s="1"/>
  <c r="AL102" i="1"/>
  <c r="AM102" i="1" s="1"/>
  <c r="AL82" i="1"/>
  <c r="AM82" i="1" s="1"/>
  <c r="AL228" i="1"/>
  <c r="AM228" i="1" s="1"/>
  <c r="AL107" i="1"/>
  <c r="AM107" i="1" s="1"/>
  <c r="AL299" i="1"/>
  <c r="AM299" i="1" s="1"/>
  <c r="AL172" i="1"/>
  <c r="AM172" i="1" s="1"/>
  <c r="AL100" i="1"/>
  <c r="AM100" i="1" s="1"/>
  <c r="AL84" i="1"/>
  <c r="AM84" i="1" s="1"/>
  <c r="AL284" i="1"/>
  <c r="AM284" i="1" s="1"/>
  <c r="AL83" i="1"/>
  <c r="AM83" i="1" s="1"/>
  <c r="AL296" i="1"/>
  <c r="AM296" i="1" s="1"/>
  <c r="AL159" i="1"/>
  <c r="AM159" i="1" s="1"/>
  <c r="AL158" i="1"/>
  <c r="AL249" i="1"/>
  <c r="AM249" i="1" s="1"/>
  <c r="AL287" i="1"/>
  <c r="AM287" i="1" s="1"/>
  <c r="AL48" i="1"/>
  <c r="AM48" i="1" s="1"/>
  <c r="AL122" i="1"/>
  <c r="AM122" i="1" s="1"/>
  <c r="AL92" i="1"/>
  <c r="AM92" i="1" s="1"/>
  <c r="AL237" i="1"/>
  <c r="AM237" i="1" s="1"/>
  <c r="AL179" i="1"/>
  <c r="AM179" i="1" s="1"/>
  <c r="AL302" i="1"/>
  <c r="AM302" i="1" s="1"/>
  <c r="AL178" i="1"/>
  <c r="AM178" i="1" s="1"/>
  <c r="AL123" i="1"/>
  <c r="AM123" i="1" s="1"/>
  <c r="AL252" i="1"/>
  <c r="AM252" i="1" s="1"/>
  <c r="AL291" i="1"/>
  <c r="AM291" i="1" s="1"/>
  <c r="AL191" i="1"/>
  <c r="AM191" i="1" s="1"/>
  <c r="AL255" i="1"/>
  <c r="AM255" i="1" s="1"/>
  <c r="AL91" i="1"/>
  <c r="AM91" i="1" s="1"/>
  <c r="AL166" i="1"/>
  <c r="AM166" i="1" s="1"/>
  <c r="AL124" i="1"/>
  <c r="AM124" i="1" s="1"/>
  <c r="AL288" i="1"/>
  <c r="AM288" i="1" s="1"/>
  <c r="AL177" i="1"/>
  <c r="AM177" i="1" s="1"/>
  <c r="AL182" i="1"/>
  <c r="AM182" i="1" s="1"/>
  <c r="AL64" i="1"/>
  <c r="AM64" i="1" s="1"/>
  <c r="AL68" i="1"/>
  <c r="AL194" i="1"/>
  <c r="AM194" i="1" s="1"/>
  <c r="AL286" i="1"/>
  <c r="AM286" i="1" s="1"/>
  <c r="AL104" i="1"/>
  <c r="AM104" i="1" s="1"/>
  <c r="AL183" i="1"/>
  <c r="AM183" i="1" s="1"/>
  <c r="AL251" i="1"/>
  <c r="AM251" i="1" s="1"/>
  <c r="AL67" i="1"/>
  <c r="AM67" i="1" s="1"/>
  <c r="AL135" i="1"/>
  <c r="AM135" i="1" s="1"/>
  <c r="AL199" i="1"/>
  <c r="AM199" i="1" s="1"/>
  <c r="AL265" i="1"/>
  <c r="AM265" i="1" s="1"/>
  <c r="AL66" i="1"/>
  <c r="AM66" i="1" s="1"/>
  <c r="AL240" i="1"/>
  <c r="AM240" i="1" s="1"/>
  <c r="AL110" i="1"/>
  <c r="AM110" i="1" s="1"/>
  <c r="AL154" i="1"/>
  <c r="AM154" i="1" s="1"/>
  <c r="AL209" i="1"/>
  <c r="AM209" i="1" s="1"/>
  <c r="AL221" i="1"/>
  <c r="AM221" i="1" s="1"/>
  <c r="AL225" i="1"/>
  <c r="AM225" i="1" s="1"/>
  <c r="AL69" i="1"/>
  <c r="AM69" i="1" s="1"/>
  <c r="AL214" i="1"/>
  <c r="AM214" i="1" s="1"/>
  <c r="AL8" i="1"/>
  <c r="AM8" i="1" s="1"/>
  <c r="AL72" i="1"/>
  <c r="AM72" i="1" s="1"/>
  <c r="AL200" i="1"/>
  <c r="AM200" i="1" s="1"/>
  <c r="AL294" i="1"/>
  <c r="AM294" i="1" s="1"/>
  <c r="AL113" i="1"/>
  <c r="AM113" i="1" s="1"/>
  <c r="AL187" i="1"/>
  <c r="AM187" i="1" s="1"/>
  <c r="AL267" i="1"/>
  <c r="AM267" i="1" s="1"/>
  <c r="AL71" i="1"/>
  <c r="AM71" i="1" s="1"/>
  <c r="AL141" i="1"/>
  <c r="AM141" i="1" s="1"/>
  <c r="AL206" i="1"/>
  <c r="AM206" i="1" s="1"/>
  <c r="AL272" i="1"/>
  <c r="AM272" i="1" s="1"/>
  <c r="AL125" i="1"/>
  <c r="AM125" i="1" s="1"/>
  <c r="AL205" i="1"/>
  <c r="AM205" i="1" s="1"/>
  <c r="AL134" i="1"/>
  <c r="AL131" i="1"/>
  <c r="AM131" i="1" s="1"/>
  <c r="AL106" i="1"/>
  <c r="AM106" i="1" s="1"/>
  <c r="AL160" i="1"/>
  <c r="AM160" i="1" s="1"/>
  <c r="AL218" i="1"/>
  <c r="AM218" i="1" s="1"/>
  <c r="AL276" i="1"/>
  <c r="AM276" i="1" s="1"/>
  <c r="AL189" i="1"/>
  <c r="AM189" i="1" s="1"/>
  <c r="AL99" i="1"/>
  <c r="AM99" i="1" s="1"/>
  <c r="AL190" i="1"/>
  <c r="AM190" i="1" s="1"/>
  <c r="AL115" i="1"/>
  <c r="AM115" i="1" s="1"/>
  <c r="AL223" i="1"/>
  <c r="AM223" i="1" s="1"/>
  <c r="AL245" i="1"/>
  <c r="AM245" i="1" s="1"/>
  <c r="AL169" i="1"/>
  <c r="AM169" i="1" s="1"/>
  <c r="AL241" i="1"/>
  <c r="AM241" i="1" s="1"/>
  <c r="AL86" i="1"/>
  <c r="AM86" i="1" s="1"/>
  <c r="AL127" i="1"/>
  <c r="AM127" i="1" s="1"/>
  <c r="AL156" i="1"/>
  <c r="AM156" i="1" s="1"/>
  <c r="AL85" i="1"/>
  <c r="AM85" i="1" s="1"/>
  <c r="AL269" i="1"/>
  <c r="AM269" i="1" s="1"/>
  <c r="AL231" i="1"/>
  <c r="AM231" i="1" s="1"/>
  <c r="AL101" i="1"/>
  <c r="AM101" i="1" s="1"/>
  <c r="AL258" i="1"/>
  <c r="AM258" i="1" s="1"/>
  <c r="AL81" i="1"/>
  <c r="AM81" i="1" s="1"/>
  <c r="AL220" i="1"/>
  <c r="AM220" i="1" s="1"/>
  <c r="AL235" i="1"/>
  <c r="AM235" i="1" s="1"/>
  <c r="AL171" i="1"/>
  <c r="AM171" i="1" s="1"/>
  <c r="AL184" i="1"/>
  <c r="AM184" i="1" s="1"/>
  <c r="AL210" i="1"/>
  <c r="AM210" i="1" s="1"/>
  <c r="AL76" i="1"/>
  <c r="AM76" i="1" s="1"/>
  <c r="AL176" i="1"/>
  <c r="AM176" i="1" s="1"/>
  <c r="AL289" i="1"/>
  <c r="AM289" i="1" s="1"/>
  <c r="AL40" i="1"/>
  <c r="AM40" i="1" s="1"/>
  <c r="AL87" i="1"/>
  <c r="AM87" i="1" s="1"/>
  <c r="AL236" i="1"/>
  <c r="AM236" i="1" s="1"/>
  <c r="AL188" i="1"/>
  <c r="AM188" i="1" s="1"/>
  <c r="AL248" i="1"/>
  <c r="AM248" i="1" s="1"/>
  <c r="AL244" i="1"/>
  <c r="AM244" i="1" s="1"/>
  <c r="AL163" i="1"/>
  <c r="AM163" i="1" s="1"/>
  <c r="AL247" i="1"/>
  <c r="AM247" i="1" s="1"/>
  <c r="AL254" i="1"/>
  <c r="AM254" i="1" s="1"/>
  <c r="AL295" i="1"/>
  <c r="AM295" i="1" s="1"/>
  <c r="AL281" i="1"/>
  <c r="AM281" i="1" s="1"/>
  <c r="AL161" i="1"/>
  <c r="AM161" i="1" s="1"/>
  <c r="AL246" i="1"/>
  <c r="AM246" i="1" s="1"/>
  <c r="AL16" i="1"/>
  <c r="AM16" i="1" s="1"/>
  <c r="AL73" i="1"/>
  <c r="AM73" i="1" s="1"/>
  <c r="AL74" i="1"/>
  <c r="AM74" i="1" s="1"/>
  <c r="AL121" i="1"/>
  <c r="AM121" i="1" s="1"/>
  <c r="AL207" i="1"/>
  <c r="AM207" i="1" s="1"/>
  <c r="AL273" i="1"/>
  <c r="AM273" i="1" s="1"/>
  <c r="AL146" i="1"/>
  <c r="AM146" i="1" s="1"/>
  <c r="AL212" i="1"/>
  <c r="AM212" i="1" s="1"/>
  <c r="AL278" i="1"/>
  <c r="AM278" i="1" s="1"/>
  <c r="AL78" i="1"/>
  <c r="AM78" i="1" s="1"/>
  <c r="AL140" i="1"/>
  <c r="AM140" i="1" s="1"/>
  <c r="AL211" i="1"/>
  <c r="AM211" i="1" s="1"/>
  <c r="AL292" i="1"/>
  <c r="AM292" i="1" s="1"/>
  <c r="AL139" i="1"/>
  <c r="AM139" i="1" s="1"/>
  <c r="AL263" i="1"/>
  <c r="AM263" i="1" s="1"/>
  <c r="AL195" i="1"/>
  <c r="AM195" i="1" s="1"/>
  <c r="AL117" i="1"/>
  <c r="AM117" i="1" s="1"/>
  <c r="AL162" i="1"/>
  <c r="AM162" i="1" s="1"/>
  <c r="AL201" i="1"/>
  <c r="AM201" i="1" s="1"/>
  <c r="AL233" i="1"/>
  <c r="AM233" i="1" s="1"/>
  <c r="AL112" i="1"/>
  <c r="AM112" i="1" s="1"/>
  <c r="AB63" i="1"/>
  <c r="AC63" i="1" s="1"/>
  <c r="AB237" i="1"/>
  <c r="AC237" i="1" s="1"/>
  <c r="AB302" i="1"/>
  <c r="AC302" i="1" s="1"/>
  <c r="AB258" i="1"/>
  <c r="AC258" i="1" s="1"/>
  <c r="AB67" i="1"/>
  <c r="AC67" i="1" s="1"/>
  <c r="AB299" i="1"/>
  <c r="AC299" i="1" s="1"/>
  <c r="AB242" i="1"/>
  <c r="AC242" i="1" s="1"/>
  <c r="AB146" i="1"/>
  <c r="AC146" i="1" s="1"/>
  <c r="AB27" i="1"/>
  <c r="AC27" i="1" s="1"/>
  <c r="AB105" i="1"/>
  <c r="AC105" i="1" s="1"/>
  <c r="AB35" i="1"/>
  <c r="AC35" i="1" s="1"/>
  <c r="AC12" i="1"/>
  <c r="AC73" i="1"/>
  <c r="AC131" i="1"/>
  <c r="AB92" i="1"/>
  <c r="AC92" i="1" s="1"/>
  <c r="AB90" i="1"/>
  <c r="AC90" i="1" s="1"/>
  <c r="AB163" i="1"/>
  <c r="AC163" i="1" s="1"/>
  <c r="AB227" i="1"/>
  <c r="AC227" i="1" s="1"/>
  <c r="AB292" i="1"/>
  <c r="AC292" i="1" s="1"/>
  <c r="AB75" i="1"/>
  <c r="AC75" i="1" s="1"/>
  <c r="AB212" i="1"/>
  <c r="AC212" i="1" s="1"/>
  <c r="AB79" i="1"/>
  <c r="AC79" i="1" s="1"/>
  <c r="AB66" i="1"/>
  <c r="AC66" i="1" s="1"/>
  <c r="AB83" i="1"/>
  <c r="AC83" i="1" s="1"/>
  <c r="AB220" i="1"/>
  <c r="AC220" i="1" s="1"/>
  <c r="AB149" i="1"/>
  <c r="AC149" i="1" s="1"/>
  <c r="AB278" i="1"/>
  <c r="AC278" i="1" s="1"/>
  <c r="AB98" i="1"/>
  <c r="AC98" i="1" s="1"/>
  <c r="AB25" i="1"/>
  <c r="AC25" i="1" s="1"/>
  <c r="AB89" i="1"/>
  <c r="AC89" i="1" s="1"/>
  <c r="AB154" i="1"/>
  <c r="AC154" i="1" s="1"/>
  <c r="AB218" i="1"/>
  <c r="AC218" i="1" s="1"/>
  <c r="AB283" i="1"/>
  <c r="AC283" i="1" s="1"/>
  <c r="AB18" i="1"/>
  <c r="AC18" i="1" s="1"/>
  <c r="AB114" i="1"/>
  <c r="AC114" i="1" s="1"/>
  <c r="AB179" i="1"/>
  <c r="AC179" i="1" s="1"/>
  <c r="AB243" i="1"/>
  <c r="AC243" i="1" s="1"/>
  <c r="AB91" i="1"/>
  <c r="AC91" i="1" s="1"/>
  <c r="AB164" i="1"/>
  <c r="AC164" i="1" s="1"/>
  <c r="AB228" i="1"/>
  <c r="AC228" i="1" s="1"/>
  <c r="AB157" i="1"/>
  <c r="AC157" i="1" s="1"/>
  <c r="AB33" i="1"/>
  <c r="AC33" i="1" s="1"/>
  <c r="AB97" i="1"/>
  <c r="AC97" i="1" s="1"/>
  <c r="AB162" i="1"/>
  <c r="AC162" i="1" s="1"/>
  <c r="AB226" i="1"/>
  <c r="AC226" i="1" s="1"/>
  <c r="AB291" i="1"/>
  <c r="AC291" i="1" s="1"/>
  <c r="AB26" i="1"/>
  <c r="AC26" i="1" s="1"/>
  <c r="AB187" i="1"/>
  <c r="AC187" i="1" s="1"/>
  <c r="AB251" i="1"/>
  <c r="AC251" i="1" s="1"/>
  <c r="AB172" i="1"/>
  <c r="AC172" i="1" s="1"/>
  <c r="AB59" i="1"/>
  <c r="AC59" i="1" s="1"/>
  <c r="AB88" i="1"/>
  <c r="AC88" i="1" s="1"/>
  <c r="AB96" i="1"/>
  <c r="AC96" i="1" s="1"/>
  <c r="AB178" i="1"/>
  <c r="AC178" i="1" s="1"/>
  <c r="AB115" i="1"/>
  <c r="AC115" i="1" s="1"/>
  <c r="AB123" i="1"/>
  <c r="AC123" i="1" s="1"/>
  <c r="AB57" i="1"/>
  <c r="AC57" i="1" s="1"/>
  <c r="AB250" i="1"/>
  <c r="AC250" i="1" s="1"/>
  <c r="AB43" i="1"/>
  <c r="AC43" i="1" s="1"/>
  <c r="AB196" i="1"/>
  <c r="AC196" i="1" s="1"/>
  <c r="AB260" i="1"/>
  <c r="AC260" i="1" s="1"/>
  <c r="AB82" i="1"/>
  <c r="AC82" i="1" s="1"/>
  <c r="AB155" i="1"/>
  <c r="AC155" i="1" s="1"/>
  <c r="AB219" i="1"/>
  <c r="AC219" i="1" s="1"/>
  <c r="AB284" i="1"/>
  <c r="AC284" i="1" s="1"/>
  <c r="AB47" i="1"/>
  <c r="AC47" i="1" s="1"/>
  <c r="AB51" i="1"/>
  <c r="AC51" i="1" s="1"/>
  <c r="AB140" i="1"/>
  <c r="AC140" i="1" s="1"/>
  <c r="AB117" i="1"/>
  <c r="AC117" i="1" s="1"/>
  <c r="AB118" i="1"/>
  <c r="AC118" i="1" s="1"/>
  <c r="AB137" i="1"/>
  <c r="AC137" i="1" s="1"/>
  <c r="AB134" i="1"/>
  <c r="AC134" i="1" s="1"/>
  <c r="AB126" i="1"/>
  <c r="AC126" i="1" s="1"/>
  <c r="AB272" i="1"/>
  <c r="AC272" i="1" s="1"/>
  <c r="AB103" i="1"/>
  <c r="AC103" i="1" s="1"/>
  <c r="AB217" i="1"/>
  <c r="AC217" i="1" s="1"/>
  <c r="AB282" i="1"/>
  <c r="AC282" i="1" s="1"/>
  <c r="AB58" i="1"/>
  <c r="AC58" i="1" s="1"/>
  <c r="AB130" i="1"/>
  <c r="AC130" i="1" s="1"/>
  <c r="AB203" i="1"/>
  <c r="AC203" i="1" s="1"/>
  <c r="AB148" i="1"/>
  <c r="AC148" i="1" s="1"/>
  <c r="AB3" i="1"/>
  <c r="AC3" i="1" s="1"/>
  <c r="AC294" i="1"/>
  <c r="AB69" i="1"/>
  <c r="AC69" i="1" s="1"/>
  <c r="AB142" i="1"/>
  <c r="AC142" i="1" s="1"/>
  <c r="AB222" i="1"/>
  <c r="AC222" i="1" s="1"/>
  <c r="AB287" i="1"/>
  <c r="AC287" i="1" s="1"/>
  <c r="AB62" i="1"/>
  <c r="AC62" i="1" s="1"/>
  <c r="AB135" i="1"/>
  <c r="AC135" i="1" s="1"/>
  <c r="AB207" i="1"/>
  <c r="AC207" i="1" s="1"/>
  <c r="AB280" i="1"/>
  <c r="AC280" i="1" s="1"/>
  <c r="AB111" i="1"/>
  <c r="AC111" i="1" s="1"/>
  <c r="AB176" i="1"/>
  <c r="AC176" i="1" s="1"/>
  <c r="AB8" i="1"/>
  <c r="AC8" i="1" s="1"/>
  <c r="AB80" i="1"/>
  <c r="AC80" i="1" s="1"/>
  <c r="AB153" i="1"/>
  <c r="AC153" i="1" s="1"/>
  <c r="AB225" i="1"/>
  <c r="AC225" i="1" s="1"/>
  <c r="AB290" i="1"/>
  <c r="AC290" i="1" s="1"/>
  <c r="AB139" i="1"/>
  <c r="AC139" i="1" s="1"/>
  <c r="AB211" i="1"/>
  <c r="AC211" i="1" s="1"/>
  <c r="AB276" i="1"/>
  <c r="AC276" i="1" s="1"/>
  <c r="AB188" i="1"/>
  <c r="AC188" i="1" s="1"/>
  <c r="AB19" i="1"/>
  <c r="AC19" i="1" s="1"/>
  <c r="AB269" i="1"/>
  <c r="AC269" i="1" s="1"/>
  <c r="AB72" i="1"/>
  <c r="AC72" i="1" s="1"/>
  <c r="AB5" i="1"/>
  <c r="AC5" i="1" s="1"/>
  <c r="AB77" i="1"/>
  <c r="AC77" i="1" s="1"/>
  <c r="AB150" i="1"/>
  <c r="AC150" i="1" s="1"/>
  <c r="AB230" i="1"/>
  <c r="AC230" i="1" s="1"/>
  <c r="AB295" i="1"/>
  <c r="AC295" i="1" s="1"/>
  <c r="AB70" i="1"/>
  <c r="AC70" i="1" s="1"/>
  <c r="AB143" i="1"/>
  <c r="AC143" i="1" s="1"/>
  <c r="AB215" i="1"/>
  <c r="AC215" i="1" s="1"/>
  <c r="AB288" i="1"/>
  <c r="AC288" i="1" s="1"/>
  <c r="AB55" i="1"/>
  <c r="AC55" i="1" s="1"/>
  <c r="AB119" i="1"/>
  <c r="AC119" i="1" s="1"/>
  <c r="AB184" i="1"/>
  <c r="AC184" i="1" s="1"/>
  <c r="AB16" i="1"/>
  <c r="AC16" i="1" s="1"/>
  <c r="AB169" i="1"/>
  <c r="AC169" i="1" s="1"/>
  <c r="AB233" i="1"/>
  <c r="AC233" i="1" s="1"/>
  <c r="AB298" i="1"/>
  <c r="AC298" i="1" s="1"/>
  <c r="AB74" i="1"/>
  <c r="AC74" i="1" s="1"/>
  <c r="AB147" i="1"/>
  <c r="AC147" i="1" s="1"/>
  <c r="AB277" i="1"/>
  <c r="AC277" i="1" s="1"/>
  <c r="AB125" i="1"/>
  <c r="AC125" i="1" s="1"/>
  <c r="AB30" i="1"/>
  <c r="AC30" i="1" s="1"/>
  <c r="AB244" i="1"/>
  <c r="AC244" i="1" s="1"/>
  <c r="AB107" i="1"/>
  <c r="AC107" i="1" s="1"/>
  <c r="AB161" i="1"/>
  <c r="AC161" i="1" s="1"/>
  <c r="AB297" i="1"/>
  <c r="AC297" i="1" s="1"/>
  <c r="AB158" i="1"/>
  <c r="AC158" i="1" s="1"/>
  <c r="AB238" i="1"/>
  <c r="AC238" i="1" s="1"/>
  <c r="AB6" i="1"/>
  <c r="AC6" i="1" s="1"/>
  <c r="AB78" i="1"/>
  <c r="AC78" i="1" s="1"/>
  <c r="AB223" i="1"/>
  <c r="AC223" i="1" s="1"/>
  <c r="AB127" i="1"/>
  <c r="AC127" i="1" s="1"/>
  <c r="AB24" i="1"/>
  <c r="AC24" i="1" s="1"/>
  <c r="AB104" i="1"/>
  <c r="AC104" i="1" s="1"/>
  <c r="AB177" i="1"/>
  <c r="AC177" i="1" s="1"/>
  <c r="AB241" i="1"/>
  <c r="AC241" i="1" s="1"/>
  <c r="AB9" i="1"/>
  <c r="AC9" i="1" s="1"/>
  <c r="AB10" i="1"/>
  <c r="AC10" i="1" s="1"/>
  <c r="AB61" i="1"/>
  <c r="AC61" i="1" s="1"/>
  <c r="AB190" i="1"/>
  <c r="AC190" i="1" s="1"/>
  <c r="AB94" i="1"/>
  <c r="AC94" i="1" s="1"/>
  <c r="AB293" i="1"/>
  <c r="AC293" i="1" s="1"/>
  <c r="AB156" i="1"/>
  <c r="AC156" i="1" s="1"/>
  <c r="AB45" i="1"/>
  <c r="AC45" i="1" s="1"/>
  <c r="AB46" i="1"/>
  <c r="AC46" i="1" s="1"/>
  <c r="AB31" i="1"/>
  <c r="AC31" i="1" s="1"/>
  <c r="AB289" i="1"/>
  <c r="AC289" i="1" s="1"/>
  <c r="AB50" i="1"/>
  <c r="AC50" i="1" s="1"/>
  <c r="AB259" i="1"/>
  <c r="AC259" i="1" s="1"/>
  <c r="AB279" i="1"/>
  <c r="AC279" i="1" s="1"/>
  <c r="AB285" i="1"/>
  <c r="AC285" i="1" s="1"/>
  <c r="AB85" i="1"/>
  <c r="AC85" i="1" s="1"/>
  <c r="AC253" i="1"/>
  <c r="AC181" i="1"/>
  <c r="AC224" i="1"/>
  <c r="AC49" i="1"/>
  <c r="AB93" i="1"/>
  <c r="AC93" i="1" s="1"/>
  <c r="AB166" i="1"/>
  <c r="AC166" i="1" s="1"/>
  <c r="AB246" i="1"/>
  <c r="AC246" i="1" s="1"/>
  <c r="AB14" i="1"/>
  <c r="AC14" i="1" s="1"/>
  <c r="AB86" i="1"/>
  <c r="AB167" i="1"/>
  <c r="AC167" i="1" s="1"/>
  <c r="AB231" i="1"/>
  <c r="AC231" i="1" s="1"/>
  <c r="AB7" i="1"/>
  <c r="AC7" i="1" s="1"/>
  <c r="AB71" i="1"/>
  <c r="AC71" i="1" s="1"/>
  <c r="AB200" i="1"/>
  <c r="AC200" i="1" s="1"/>
  <c r="AB40" i="1"/>
  <c r="AC40" i="1" s="1"/>
  <c r="AB112" i="1"/>
  <c r="AC112" i="1" s="1"/>
  <c r="AB185" i="1"/>
  <c r="AC185" i="1" s="1"/>
  <c r="AB249" i="1"/>
  <c r="AC249" i="1" s="1"/>
  <c r="AB17" i="1"/>
  <c r="AC17" i="1" s="1"/>
  <c r="AB171" i="1"/>
  <c r="AC171" i="1" s="1"/>
  <c r="AB235" i="1"/>
  <c r="AC235" i="1" s="1"/>
  <c r="AB300" i="1"/>
  <c r="AC300" i="1" s="1"/>
  <c r="AB206" i="1"/>
  <c r="AC206" i="1" s="1"/>
  <c r="AB159" i="1"/>
  <c r="AC159" i="1" s="1"/>
  <c r="AB252" i="1"/>
  <c r="AC252" i="1" s="1"/>
  <c r="AB191" i="1"/>
  <c r="AB209" i="1"/>
  <c r="AC209" i="1" s="1"/>
  <c r="AB122" i="1"/>
  <c r="AC122" i="1" s="1"/>
  <c r="AB99" i="1"/>
  <c r="AC99" i="1" s="1"/>
  <c r="AB53" i="1"/>
  <c r="AC53" i="1" s="1"/>
  <c r="AB214" i="1"/>
  <c r="AC214" i="1" s="1"/>
  <c r="AB199" i="1"/>
  <c r="AC199" i="1" s="1"/>
  <c r="AB39" i="1"/>
  <c r="AC39" i="1" s="1"/>
  <c r="AB168" i="1"/>
  <c r="AC168" i="1" s="1"/>
  <c r="AB180" i="1"/>
  <c r="AC180" i="1" s="1"/>
  <c r="AB151" i="1"/>
  <c r="AC151" i="1" s="1"/>
  <c r="AB29" i="1"/>
  <c r="AC29" i="1" s="1"/>
  <c r="AB101" i="1"/>
  <c r="AC101" i="1" s="1"/>
  <c r="AB174" i="1"/>
  <c r="AC174" i="1" s="1"/>
  <c r="AB254" i="1"/>
  <c r="AC254" i="1" s="1"/>
  <c r="AB22" i="1"/>
  <c r="AC22" i="1" s="1"/>
  <c r="AB102" i="1"/>
  <c r="AC102" i="1" s="1"/>
  <c r="AB175" i="1"/>
  <c r="AC175" i="1" s="1"/>
  <c r="AB247" i="1"/>
  <c r="AC247" i="1" s="1"/>
  <c r="AB15" i="1"/>
  <c r="AC15" i="1" s="1"/>
  <c r="AB48" i="1"/>
  <c r="AC48" i="1" s="1"/>
  <c r="AB120" i="1"/>
  <c r="AC120" i="1" s="1"/>
  <c r="AB193" i="1"/>
  <c r="AC193" i="1" s="1"/>
  <c r="AB257" i="1"/>
  <c r="AC257" i="1" s="1"/>
  <c r="AB106" i="1"/>
  <c r="AC106" i="1" s="1"/>
  <c r="AB239" i="1"/>
  <c r="AC239" i="1" s="1"/>
  <c r="AB32" i="1"/>
  <c r="AC32" i="1" s="1"/>
  <c r="AB271" i="1"/>
  <c r="AC271" i="1" s="1"/>
  <c r="AB264" i="1"/>
  <c r="AC264" i="1" s="1"/>
  <c r="AB95" i="1"/>
  <c r="AC95" i="1" s="1"/>
  <c r="AB64" i="1"/>
  <c r="AC64" i="1" s="1"/>
  <c r="AB274" i="1"/>
  <c r="AC274" i="1" s="1"/>
  <c r="AB195" i="1"/>
  <c r="AC195" i="1" s="1"/>
  <c r="AB236" i="1"/>
  <c r="AC236" i="1" s="1"/>
  <c r="AB54" i="1"/>
  <c r="AC54" i="1" s="1"/>
  <c r="AC28" i="1"/>
  <c r="AC121" i="1"/>
  <c r="AB296" i="1"/>
  <c r="AC296" i="1" s="1"/>
  <c r="AC213" i="1"/>
  <c r="AC113" i="1"/>
  <c r="AB133" i="1"/>
  <c r="AC133" i="1" s="1"/>
  <c r="AB37" i="1"/>
  <c r="AC37" i="1" s="1"/>
  <c r="AB109" i="1"/>
  <c r="AC109" i="1" s="1"/>
  <c r="AB182" i="1"/>
  <c r="AC182" i="1" s="1"/>
  <c r="AB263" i="1"/>
  <c r="AC263" i="1" s="1"/>
  <c r="AB38" i="1"/>
  <c r="AC38" i="1" s="1"/>
  <c r="AB110" i="1"/>
  <c r="AC110" i="1" s="1"/>
  <c r="AB183" i="1"/>
  <c r="AC183" i="1" s="1"/>
  <c r="AB255" i="1"/>
  <c r="AC255" i="1" s="1"/>
  <c r="AB23" i="1"/>
  <c r="AC23" i="1" s="1"/>
  <c r="AB87" i="1"/>
  <c r="AC87" i="1" s="1"/>
  <c r="AB152" i="1"/>
  <c r="AC152" i="1" s="1"/>
  <c r="AB56" i="1"/>
  <c r="AC56" i="1" s="1"/>
  <c r="AB128" i="1"/>
  <c r="AC128" i="1" s="1"/>
  <c r="AB201" i="1"/>
  <c r="AC201" i="1" s="1"/>
  <c r="AB266" i="1"/>
  <c r="AC266" i="1" s="1"/>
  <c r="AB42" i="1"/>
  <c r="AC42" i="1" s="1"/>
  <c r="AM136" i="1"/>
  <c r="EA52" i="1"/>
  <c r="AM192" i="1"/>
  <c r="AM268" i="1"/>
  <c r="EA15" i="1"/>
  <c r="AM198" i="1"/>
  <c r="R74" i="1"/>
  <c r="S74" i="1" s="1"/>
  <c r="R299" i="1"/>
  <c r="S299" i="1" s="1"/>
  <c r="R42" i="1"/>
  <c r="S42" i="1" s="1"/>
  <c r="R41" i="1"/>
  <c r="S41" i="1" s="1"/>
  <c r="R98" i="1"/>
  <c r="S98" i="1" s="1"/>
  <c r="R295" i="1"/>
  <c r="S295" i="1" s="1"/>
  <c r="R151" i="1"/>
  <c r="S151" i="1" s="1"/>
  <c r="R105" i="1"/>
  <c r="S105" i="1" s="1"/>
  <c r="R254" i="1"/>
  <c r="S254" i="1" s="1"/>
  <c r="R280" i="1"/>
  <c r="S280" i="1" s="1"/>
  <c r="R213" i="1"/>
  <c r="S213" i="1" s="1"/>
  <c r="R50" i="1"/>
  <c r="S50" i="1" s="1"/>
  <c r="R110" i="1"/>
  <c r="S110" i="1" s="1"/>
  <c r="R181" i="1"/>
  <c r="S181" i="1" s="1"/>
  <c r="R247" i="1"/>
  <c r="S247" i="1" s="1"/>
  <c r="R35" i="1"/>
  <c r="S35" i="1" s="1"/>
  <c r="R66" i="1"/>
  <c r="S66" i="1" s="1"/>
  <c r="R118" i="1"/>
  <c r="S118" i="1" s="1"/>
  <c r="R207" i="1"/>
  <c r="S207" i="1" s="1"/>
  <c r="R117" i="1"/>
  <c r="S117" i="1" s="1"/>
  <c r="R235" i="1"/>
  <c r="S235" i="1" s="1"/>
  <c r="R236" i="1"/>
  <c r="S236" i="1" s="1"/>
  <c r="R182" i="1"/>
  <c r="S182" i="1" s="1"/>
  <c r="ER2" i="1"/>
  <c r="ES2" i="1" s="1"/>
  <c r="AB2" i="1"/>
  <c r="BG2" i="1"/>
  <c r="DY2" i="1"/>
  <c r="CB2" i="1"/>
  <c r="R2" i="1"/>
  <c r="EA212" i="1" l="1"/>
  <c r="EA83" i="1"/>
  <c r="EA176" i="1"/>
  <c r="EA101" i="1"/>
  <c r="EA302" i="1"/>
  <c r="EA87" i="1"/>
  <c r="EA6" i="1"/>
  <c r="EA47" i="1"/>
  <c r="EC47" i="1" s="1"/>
  <c r="EA43" i="1"/>
  <c r="FL43" i="1" s="1"/>
  <c r="FM43" i="1" s="1"/>
  <c r="FN43" i="1" s="1"/>
  <c r="EA3" i="1"/>
  <c r="FL3" i="1" s="1"/>
  <c r="FM3" i="1" s="1"/>
  <c r="FN3" i="1" s="1"/>
  <c r="BG212" i="1"/>
  <c r="BH212" i="1" s="1"/>
  <c r="EA249" i="1"/>
  <c r="CA249" i="1"/>
  <c r="CB249" i="1" s="1"/>
  <c r="EA270" i="1"/>
  <c r="EA49" i="1"/>
  <c r="FO49" i="1" s="1"/>
  <c r="EA297" i="1"/>
  <c r="FL297" i="1" s="1"/>
  <c r="FM297" i="1" s="1"/>
  <c r="FN297" i="1" s="1"/>
  <c r="EA277" i="1"/>
  <c r="FO277" i="1" s="1"/>
  <c r="EA191" i="1"/>
  <c r="FO191" i="1" s="1"/>
  <c r="EA154" i="1"/>
  <c r="FL154" i="1" s="1"/>
  <c r="FM154" i="1" s="1"/>
  <c r="FN154" i="1" s="1"/>
  <c r="EA115" i="1"/>
  <c r="FO115" i="1" s="1"/>
  <c r="EA14" i="1"/>
  <c r="EC14" i="1" s="1"/>
  <c r="EB261" i="1"/>
  <c r="AB270" i="1"/>
  <c r="AC270" i="1" s="1"/>
  <c r="EB303" i="1"/>
  <c r="FO261" i="1"/>
  <c r="FL261" i="1"/>
  <c r="FM261" i="1" s="1"/>
  <c r="FN261" i="1" s="1"/>
  <c r="EC261" i="1"/>
  <c r="DZ303" i="1"/>
  <c r="DF261" i="1"/>
  <c r="FO303" i="1"/>
  <c r="FL303" i="1"/>
  <c r="FM303" i="1" s="1"/>
  <c r="FN303" i="1" s="1"/>
  <c r="EC303" i="1"/>
  <c r="EE303" i="1" s="1"/>
  <c r="ET303" i="1" s="1"/>
  <c r="FC303" i="1" s="1"/>
  <c r="EA8" i="1"/>
  <c r="FL8" i="1" s="1"/>
  <c r="FM8" i="1" s="1"/>
  <c r="FN8" i="1" s="1"/>
  <c r="CU181" i="1"/>
  <c r="CV181" i="1" s="1"/>
  <c r="EA164" i="1"/>
  <c r="FL164" i="1" s="1"/>
  <c r="FM164" i="1" s="1"/>
  <c r="FN164" i="1" s="1"/>
  <c r="EA244" i="1"/>
  <c r="FL244" i="1" s="1"/>
  <c r="FM244" i="1" s="1"/>
  <c r="FN244" i="1" s="1"/>
  <c r="EA81" i="1"/>
  <c r="FO81" i="1" s="1"/>
  <c r="EA246" i="1"/>
  <c r="FO246" i="1" s="1"/>
  <c r="EA127" i="1"/>
  <c r="FL127" i="1" s="1"/>
  <c r="FM127" i="1" s="1"/>
  <c r="FN127" i="1" s="1"/>
  <c r="EA167" i="1"/>
  <c r="FL167" i="1" s="1"/>
  <c r="FM167" i="1" s="1"/>
  <c r="FN167" i="1" s="1"/>
  <c r="EA23" i="1"/>
  <c r="FO23" i="1" s="1"/>
  <c r="EA116" i="1"/>
  <c r="EC116" i="1" s="1"/>
  <c r="EA223" i="1"/>
  <c r="FL223" i="1" s="1"/>
  <c r="FM223" i="1" s="1"/>
  <c r="FN223" i="1" s="1"/>
  <c r="EA79" i="1"/>
  <c r="EC79" i="1" s="1"/>
  <c r="EA173" i="1"/>
  <c r="EC173" i="1" s="1"/>
  <c r="EA63" i="1"/>
  <c r="FO63" i="1" s="1"/>
  <c r="EA214" i="1"/>
  <c r="FL214" i="1" s="1"/>
  <c r="FM214" i="1" s="1"/>
  <c r="FN214" i="1" s="1"/>
  <c r="EA37" i="1"/>
  <c r="FL37" i="1" s="1"/>
  <c r="FM37" i="1" s="1"/>
  <c r="FN37" i="1" s="1"/>
  <c r="EA224" i="1"/>
  <c r="FL224" i="1" s="1"/>
  <c r="FM224" i="1" s="1"/>
  <c r="FN224" i="1" s="1"/>
  <c r="EA76" i="1"/>
  <c r="FO76" i="1" s="1"/>
  <c r="EA189" i="1"/>
  <c r="FO189" i="1" s="1"/>
  <c r="EA70" i="1"/>
  <c r="FO70" i="1" s="1"/>
  <c r="EA220" i="1"/>
  <c r="FL220" i="1" s="1"/>
  <c r="FM220" i="1" s="1"/>
  <c r="FN220" i="1" s="1"/>
  <c r="EA257" i="1"/>
  <c r="EC257" i="1" s="1"/>
  <c r="EA31" i="1"/>
  <c r="FL31" i="1" s="1"/>
  <c r="FM31" i="1" s="1"/>
  <c r="FN31" i="1" s="1"/>
  <c r="EA62" i="1"/>
  <c r="FL62" i="1" s="1"/>
  <c r="FM62" i="1" s="1"/>
  <c r="FN62" i="1" s="1"/>
  <c r="EA241" i="1"/>
  <c r="FL241" i="1" s="1"/>
  <c r="FM241" i="1" s="1"/>
  <c r="FN241" i="1" s="1"/>
  <c r="R83" i="1"/>
  <c r="S83" i="1" s="1"/>
  <c r="R63" i="1"/>
  <c r="S63" i="1" s="1"/>
  <c r="AV257" i="1"/>
  <c r="AW257" i="1" s="1"/>
  <c r="EA175" i="1"/>
  <c r="FO175" i="1" s="1"/>
  <c r="EA160" i="1"/>
  <c r="EC160" i="1" s="1"/>
  <c r="EA252" i="1"/>
  <c r="FL252" i="1" s="1"/>
  <c r="FM252" i="1" s="1"/>
  <c r="FN252" i="1" s="1"/>
  <c r="EA157" i="1"/>
  <c r="FO157" i="1" s="1"/>
  <c r="DZ23" i="1"/>
  <c r="DY125" i="1"/>
  <c r="DZ125" i="1" s="1"/>
  <c r="AB141" i="1"/>
  <c r="AC141" i="1" s="1"/>
  <c r="EA170" i="1"/>
  <c r="FL170" i="1" s="1"/>
  <c r="FM170" i="1" s="1"/>
  <c r="FN170" i="1" s="1"/>
  <c r="EA144" i="1"/>
  <c r="FO144" i="1" s="1"/>
  <c r="AC170" i="1"/>
  <c r="EA141" i="1"/>
  <c r="EC141" i="1" s="1"/>
  <c r="AB144" i="1"/>
  <c r="AC144" i="1" s="1"/>
  <c r="DO83" i="1"/>
  <c r="DP83" i="1" s="1"/>
  <c r="DO221" i="1"/>
  <c r="DP221" i="1" s="1"/>
  <c r="EB132" i="1"/>
  <c r="DZ132" i="1"/>
  <c r="EC132" i="1"/>
  <c r="FL132" i="1"/>
  <c r="FM132" i="1" s="1"/>
  <c r="FN132" i="1" s="1"/>
  <c r="FO132" i="1"/>
  <c r="EA105" i="1"/>
  <c r="EC105" i="1" s="1"/>
  <c r="EA143" i="1"/>
  <c r="FO143" i="1" s="1"/>
  <c r="EA97" i="1"/>
  <c r="FO97" i="1" s="1"/>
  <c r="EA118" i="1"/>
  <c r="EC118" i="1" s="1"/>
  <c r="EA102" i="1"/>
  <c r="FO102" i="1" s="1"/>
  <c r="EA16" i="1"/>
  <c r="FO16" i="1" s="1"/>
  <c r="EA198" i="1"/>
  <c r="FL198" i="1" s="1"/>
  <c r="FM198" i="1" s="1"/>
  <c r="FN198" i="1" s="1"/>
  <c r="CK175" i="1"/>
  <c r="CL175" i="1" s="1"/>
  <c r="EA113" i="1"/>
  <c r="FO113" i="1" s="1"/>
  <c r="EA239" i="1"/>
  <c r="FO239" i="1" s="1"/>
  <c r="EA69" i="1"/>
  <c r="FL69" i="1" s="1"/>
  <c r="FM69" i="1" s="1"/>
  <c r="FN69" i="1" s="1"/>
  <c r="BG214" i="1"/>
  <c r="BH214" i="1" s="1"/>
  <c r="EA199" i="1"/>
  <c r="FL199" i="1" s="1"/>
  <c r="FM199" i="1" s="1"/>
  <c r="FN199" i="1" s="1"/>
  <c r="EA46" i="1"/>
  <c r="FO46" i="1" s="1"/>
  <c r="DO297" i="1"/>
  <c r="DP297" i="1" s="1"/>
  <c r="BG160" i="1"/>
  <c r="BH160" i="1" s="1"/>
  <c r="EA262" i="1"/>
  <c r="EC262" i="1" s="1"/>
  <c r="EA196" i="1"/>
  <c r="FL196" i="1" s="1"/>
  <c r="FM196" i="1" s="1"/>
  <c r="FN196" i="1" s="1"/>
  <c r="EA110" i="1"/>
  <c r="FL110" i="1" s="1"/>
  <c r="FM110" i="1" s="1"/>
  <c r="FN110" i="1" s="1"/>
  <c r="EA281" i="1"/>
  <c r="FL281" i="1" s="1"/>
  <c r="FM281" i="1" s="1"/>
  <c r="FN281" i="1" s="1"/>
  <c r="EA151" i="1"/>
  <c r="FO151" i="1" s="1"/>
  <c r="EA245" i="1"/>
  <c r="FO245" i="1" s="1"/>
  <c r="EA197" i="1"/>
  <c r="EC197" i="1" s="1"/>
  <c r="EA286" i="1"/>
  <c r="FO286" i="1" s="1"/>
  <c r="EA236" i="1"/>
  <c r="EC236" i="1" s="1"/>
  <c r="EA150" i="1"/>
  <c r="FL150" i="1" s="1"/>
  <c r="FM150" i="1" s="1"/>
  <c r="FN150" i="1" s="1"/>
  <c r="EA9" i="1"/>
  <c r="FL9" i="1" s="1"/>
  <c r="FM9" i="1" s="1"/>
  <c r="FN9" i="1" s="1"/>
  <c r="EA280" i="1"/>
  <c r="FL280" i="1" s="1"/>
  <c r="FM280" i="1" s="1"/>
  <c r="FN280" i="1" s="1"/>
  <c r="EA186" i="1"/>
  <c r="FL186" i="1" s="1"/>
  <c r="FM186" i="1" s="1"/>
  <c r="FN186" i="1" s="1"/>
  <c r="EA185" i="1"/>
  <c r="FO185" i="1" s="1"/>
  <c r="EA226" i="1"/>
  <c r="FL226" i="1" s="1"/>
  <c r="FM226" i="1" s="1"/>
  <c r="FN226" i="1" s="1"/>
  <c r="EA28" i="1"/>
  <c r="FL28" i="1" s="1"/>
  <c r="FM28" i="1" s="1"/>
  <c r="FN28" i="1" s="1"/>
  <c r="EA117" i="1"/>
  <c r="FL117" i="1" s="1"/>
  <c r="FM117" i="1" s="1"/>
  <c r="FN117" i="1" s="1"/>
  <c r="CK110" i="1"/>
  <c r="CL110" i="1" s="1"/>
  <c r="EA61" i="1"/>
  <c r="FO61" i="1" s="1"/>
  <c r="CK288" i="1"/>
  <c r="CL288" i="1" s="1"/>
  <c r="CK286" i="1"/>
  <c r="CL286" i="1" s="1"/>
  <c r="CU197" i="1"/>
  <c r="CV197" i="1" s="1"/>
  <c r="CU245" i="1"/>
  <c r="CV245" i="1" s="1"/>
  <c r="EA165" i="1"/>
  <c r="FO165" i="1" s="1"/>
  <c r="EA94" i="1"/>
  <c r="EC94" i="1" s="1"/>
  <c r="EA36" i="1"/>
  <c r="EC36" i="1" s="1"/>
  <c r="EA289" i="1"/>
  <c r="FO289" i="1" s="1"/>
  <c r="EA125" i="1"/>
  <c r="EC125" i="1" s="1"/>
  <c r="EA272" i="1"/>
  <c r="FO272" i="1" s="1"/>
  <c r="CU123" i="1"/>
  <c r="CV123" i="1" s="1"/>
  <c r="EA172" i="1"/>
  <c r="FO172" i="1" s="1"/>
  <c r="EA301" i="1"/>
  <c r="FO301" i="1" s="1"/>
  <c r="CU196" i="1"/>
  <c r="CV196" i="1" s="1"/>
  <c r="EA124" i="1"/>
  <c r="EC124" i="1" s="1"/>
  <c r="EA174" i="1"/>
  <c r="FL174" i="1" s="1"/>
  <c r="FM174" i="1" s="1"/>
  <c r="FN174" i="1" s="1"/>
  <c r="CU262" i="1"/>
  <c r="CV262" i="1" s="1"/>
  <c r="EA294" i="1"/>
  <c r="FL294" i="1" s="1"/>
  <c r="FM294" i="1" s="1"/>
  <c r="FN294" i="1" s="1"/>
  <c r="AV185" i="1"/>
  <c r="AW185" i="1" s="1"/>
  <c r="EA96" i="1"/>
  <c r="FO96" i="1" s="1"/>
  <c r="EA7" i="1"/>
  <c r="EC7" i="1" s="1"/>
  <c r="EA248" i="1"/>
  <c r="FO248" i="1" s="1"/>
  <c r="EA222" i="1"/>
  <c r="FL222" i="1" s="1"/>
  <c r="FM222" i="1" s="1"/>
  <c r="FN222" i="1" s="1"/>
  <c r="BG226" i="1"/>
  <c r="BH226" i="1" s="1"/>
  <c r="EA161" i="1"/>
  <c r="FL161" i="1" s="1"/>
  <c r="FM161" i="1" s="1"/>
  <c r="FN161" i="1" s="1"/>
  <c r="EA216" i="1"/>
  <c r="FO216" i="1" s="1"/>
  <c r="EA300" i="1"/>
  <c r="FO300" i="1" s="1"/>
  <c r="EA35" i="1"/>
  <c r="FL35" i="1" s="1"/>
  <c r="FM35" i="1" s="1"/>
  <c r="FN35" i="1" s="1"/>
  <c r="EA29" i="1"/>
  <c r="FL29" i="1" s="1"/>
  <c r="FM29" i="1" s="1"/>
  <c r="FN29" i="1" s="1"/>
  <c r="EA103" i="1"/>
  <c r="FL103" i="1" s="1"/>
  <c r="FM103" i="1" s="1"/>
  <c r="FN103" i="1" s="1"/>
  <c r="EA136" i="1"/>
  <c r="FL136" i="1" s="1"/>
  <c r="FM136" i="1" s="1"/>
  <c r="FN136" i="1" s="1"/>
  <c r="EA284" i="1"/>
  <c r="FO284" i="1" s="1"/>
  <c r="EA149" i="1"/>
  <c r="FO149" i="1" s="1"/>
  <c r="EA193" i="1"/>
  <c r="FO193" i="1" s="1"/>
  <c r="EA12" i="1"/>
  <c r="FO12" i="1" s="1"/>
  <c r="DO284" i="1"/>
  <c r="DP284" i="1" s="1"/>
  <c r="EA293" i="1"/>
  <c r="FL293" i="1" s="1"/>
  <c r="FM293" i="1" s="1"/>
  <c r="FN293" i="1" s="1"/>
  <c r="EA75" i="1"/>
  <c r="FL75" i="1" s="1"/>
  <c r="FM75" i="1" s="1"/>
  <c r="FN75" i="1" s="1"/>
  <c r="EA158" i="1"/>
  <c r="FL158" i="1" s="1"/>
  <c r="FM158" i="1" s="1"/>
  <c r="FN158" i="1" s="1"/>
  <c r="BG174" i="1"/>
  <c r="BH174" i="1" s="1"/>
  <c r="EA253" i="1"/>
  <c r="FO253" i="1" s="1"/>
  <c r="EA106" i="1"/>
  <c r="EC106" i="1" s="1"/>
  <c r="EA215" i="1"/>
  <c r="FL215" i="1" s="1"/>
  <c r="FM215" i="1" s="1"/>
  <c r="FN215" i="1" s="1"/>
  <c r="BG300" i="1"/>
  <c r="BH300" i="1" s="1"/>
  <c r="EA126" i="1"/>
  <c r="FO126" i="1" s="1"/>
  <c r="EA254" i="1"/>
  <c r="FO254" i="1" s="1"/>
  <c r="EA152" i="1"/>
  <c r="FO152" i="1" s="1"/>
  <c r="EA131" i="1"/>
  <c r="FO131" i="1" s="1"/>
  <c r="EA273" i="1"/>
  <c r="EC273" i="1" s="1"/>
  <c r="EA155" i="1"/>
  <c r="FL155" i="1" s="1"/>
  <c r="FM155" i="1" s="1"/>
  <c r="FN155" i="1" s="1"/>
  <c r="EA39" i="1"/>
  <c r="FO39" i="1" s="1"/>
  <c r="EA20" i="1"/>
  <c r="FO20" i="1" s="1"/>
  <c r="EA133" i="1"/>
  <c r="FL133" i="1" s="1"/>
  <c r="FM133" i="1" s="1"/>
  <c r="FN133" i="1" s="1"/>
  <c r="DY241" i="1"/>
  <c r="DZ241" i="1" s="1"/>
  <c r="EA84" i="1"/>
  <c r="FO84" i="1" s="1"/>
  <c r="EA41" i="1"/>
  <c r="FL41" i="1" s="1"/>
  <c r="FM41" i="1" s="1"/>
  <c r="FN41" i="1" s="1"/>
  <c r="EA210" i="1"/>
  <c r="FO210" i="1" s="1"/>
  <c r="EA24" i="1"/>
  <c r="EC24" i="1" s="1"/>
  <c r="EA148" i="1"/>
  <c r="FL148" i="1" s="1"/>
  <c r="FM148" i="1" s="1"/>
  <c r="FN148" i="1" s="1"/>
  <c r="DO199" i="1"/>
  <c r="DP199" i="1" s="1"/>
  <c r="DY155" i="1"/>
  <c r="DZ155" i="1" s="1"/>
  <c r="EA140" i="1"/>
  <c r="FO140" i="1" s="1"/>
  <c r="DO215" i="1"/>
  <c r="DP215" i="1" s="1"/>
  <c r="EA279" i="1"/>
  <c r="FO279" i="1" s="1"/>
  <c r="EA51" i="1"/>
  <c r="EC51" i="1" s="1"/>
  <c r="EA11" i="1"/>
  <c r="FO11" i="1" s="1"/>
  <c r="DO106" i="1"/>
  <c r="DP106" i="1" s="1"/>
  <c r="DZ77" i="1"/>
  <c r="EA67" i="1"/>
  <c r="FO67" i="1" s="1"/>
  <c r="EA93" i="1"/>
  <c r="EC93" i="1" s="1"/>
  <c r="EA291" i="1"/>
  <c r="FO291" i="1" s="1"/>
  <c r="EA271" i="1"/>
  <c r="FL271" i="1" s="1"/>
  <c r="FM271" i="1" s="1"/>
  <c r="FN271" i="1" s="1"/>
  <c r="EA292" i="1"/>
  <c r="FL292" i="1" s="1"/>
  <c r="FM292" i="1" s="1"/>
  <c r="FN292" i="1" s="1"/>
  <c r="EA218" i="1"/>
  <c r="EC218" i="1" s="1"/>
  <c r="BQ292" i="1"/>
  <c r="BR292" i="1" s="1"/>
  <c r="EA146" i="1"/>
  <c r="FO146" i="1" s="1"/>
  <c r="DE249" i="1"/>
  <c r="DF249" i="1" s="1"/>
  <c r="BQ291" i="1"/>
  <c r="BR291" i="1" s="1"/>
  <c r="DE294" i="1"/>
  <c r="DF294" i="1" s="1"/>
  <c r="EA283" i="1"/>
  <c r="FL283" i="1" s="1"/>
  <c r="FM283" i="1" s="1"/>
  <c r="FN283" i="1" s="1"/>
  <c r="EA10" i="1"/>
  <c r="EC10" i="1" s="1"/>
  <c r="EA114" i="1"/>
  <c r="FO114" i="1" s="1"/>
  <c r="EA50" i="1"/>
  <c r="FL50" i="1" s="1"/>
  <c r="FM50" i="1" s="1"/>
  <c r="FN50" i="1" s="1"/>
  <c r="EA57" i="1"/>
  <c r="FO57" i="1" s="1"/>
  <c r="EA276" i="1"/>
  <c r="FL276" i="1" s="1"/>
  <c r="FM276" i="1" s="1"/>
  <c r="FN276" i="1" s="1"/>
  <c r="EA192" i="1"/>
  <c r="FO192" i="1" s="1"/>
  <c r="EA209" i="1"/>
  <c r="FL209" i="1" s="1"/>
  <c r="FM209" i="1" s="1"/>
  <c r="FN209" i="1" s="1"/>
  <c r="EA184" i="1"/>
  <c r="FL184" i="1" s="1"/>
  <c r="FM184" i="1" s="1"/>
  <c r="FN184" i="1" s="1"/>
  <c r="AL12" i="1"/>
  <c r="AM12" i="1" s="1"/>
  <c r="EA206" i="1"/>
  <c r="FL206" i="1" s="1"/>
  <c r="FM206" i="1" s="1"/>
  <c r="FN206" i="1" s="1"/>
  <c r="EA55" i="1"/>
  <c r="FL55" i="1" s="1"/>
  <c r="FM55" i="1" s="1"/>
  <c r="FN55" i="1" s="1"/>
  <c r="EA88" i="1"/>
  <c r="FL88" i="1" s="1"/>
  <c r="FM88" i="1" s="1"/>
  <c r="FN88" i="1" s="1"/>
  <c r="EA72" i="1"/>
  <c r="FL72" i="1" s="1"/>
  <c r="FM72" i="1" s="1"/>
  <c r="FN72" i="1" s="1"/>
  <c r="EA166" i="1"/>
  <c r="EC166" i="1" s="1"/>
  <c r="EA135" i="1"/>
  <c r="EC135" i="1" s="1"/>
  <c r="EA287" i="1"/>
  <c r="EC287" i="1" s="1"/>
  <c r="EA213" i="1"/>
  <c r="FO213" i="1" s="1"/>
  <c r="BG271" i="1"/>
  <c r="BH271" i="1" s="1"/>
  <c r="EA238" i="1"/>
  <c r="FO238" i="1" s="1"/>
  <c r="EA59" i="1"/>
  <c r="FO59" i="1" s="1"/>
  <c r="BG184" i="1"/>
  <c r="BH184" i="1" s="1"/>
  <c r="AV152" i="1"/>
  <c r="AW152" i="1" s="1"/>
  <c r="EA247" i="1"/>
  <c r="EC247" i="1" s="1"/>
  <c r="DO272" i="1"/>
  <c r="DP272" i="1" s="1"/>
  <c r="EA66" i="1"/>
  <c r="FO66" i="1" s="1"/>
  <c r="EA188" i="1"/>
  <c r="FL188" i="1" s="1"/>
  <c r="FM188" i="1" s="1"/>
  <c r="FN188" i="1" s="1"/>
  <c r="EA100" i="1"/>
  <c r="FO100" i="1" s="1"/>
  <c r="DY279" i="1"/>
  <c r="EA40" i="1"/>
  <c r="EC40" i="1" s="1"/>
  <c r="EA228" i="1"/>
  <c r="FO228" i="1" s="1"/>
  <c r="EA74" i="1"/>
  <c r="EC74" i="1" s="1"/>
  <c r="EA263" i="1"/>
  <c r="FO263" i="1" s="1"/>
  <c r="EA129" i="1"/>
  <c r="EC129" i="1" s="1"/>
  <c r="EA285" i="1"/>
  <c r="FL285" i="1" s="1"/>
  <c r="FM285" i="1" s="1"/>
  <c r="FN285" i="1" s="1"/>
  <c r="EA99" i="1"/>
  <c r="EC99" i="1" s="1"/>
  <c r="EA290" i="1"/>
  <c r="FL290" i="1" s="1"/>
  <c r="FM290" i="1" s="1"/>
  <c r="FN290" i="1" s="1"/>
  <c r="EA203" i="1"/>
  <c r="FO203" i="1" s="1"/>
  <c r="EA89" i="1"/>
  <c r="FL89" i="1" s="1"/>
  <c r="FM89" i="1" s="1"/>
  <c r="FN89" i="1" s="1"/>
  <c r="EA278" i="1"/>
  <c r="FO278" i="1" s="1"/>
  <c r="DZ267" i="1"/>
  <c r="DY263" i="1"/>
  <c r="DZ263" i="1" s="1"/>
  <c r="DY114" i="1"/>
  <c r="DE74" i="1"/>
  <c r="DF74" i="1" s="1"/>
  <c r="EA250" i="1"/>
  <c r="FO250" i="1" s="1"/>
  <c r="EA77" i="1"/>
  <c r="FO77" i="1" s="1"/>
  <c r="DZ27" i="1"/>
  <c r="EA26" i="1"/>
  <c r="FL26" i="1" s="1"/>
  <c r="FM26" i="1" s="1"/>
  <c r="FN26" i="1" s="1"/>
  <c r="DE247" i="1"/>
  <c r="DF247" i="1" s="1"/>
  <c r="DY72" i="1"/>
  <c r="EB72" i="1" s="1"/>
  <c r="EA17" i="1"/>
  <c r="EC17" i="1" s="1"/>
  <c r="DY283" i="1"/>
  <c r="DE228" i="1"/>
  <c r="DF228" i="1" s="1"/>
  <c r="DY254" i="1"/>
  <c r="DZ254" i="1" s="1"/>
  <c r="DY193" i="1"/>
  <c r="DZ193" i="1" s="1"/>
  <c r="EA258" i="1"/>
  <c r="FL258" i="1" s="1"/>
  <c r="FM258" i="1" s="1"/>
  <c r="FN258" i="1" s="1"/>
  <c r="EA73" i="1"/>
  <c r="FL73" i="1" s="1"/>
  <c r="FM73" i="1" s="1"/>
  <c r="FN73" i="1" s="1"/>
  <c r="BQ258" i="1"/>
  <c r="BR258" i="1" s="1"/>
  <c r="EA298" i="1"/>
  <c r="FO298" i="1" s="1"/>
  <c r="EA19" i="1"/>
  <c r="FL19" i="1" s="1"/>
  <c r="FM19" i="1" s="1"/>
  <c r="FN19" i="1" s="1"/>
  <c r="EA139" i="1"/>
  <c r="EC139" i="1" s="1"/>
  <c r="EA38" i="1"/>
  <c r="FL38" i="1" s="1"/>
  <c r="FM38" i="1" s="1"/>
  <c r="FN38" i="1" s="1"/>
  <c r="EA237" i="1"/>
  <c r="FO237" i="1" s="1"/>
  <c r="EA219" i="1"/>
  <c r="FL219" i="1" s="1"/>
  <c r="FM219" i="1" s="1"/>
  <c r="FN219" i="1" s="1"/>
  <c r="EA267" i="1"/>
  <c r="EC267" i="1" s="1"/>
  <c r="EA162" i="1"/>
  <c r="FL162" i="1" s="1"/>
  <c r="FM162" i="1" s="1"/>
  <c r="FN162" i="1" s="1"/>
  <c r="EA18" i="1"/>
  <c r="FL18" i="1" s="1"/>
  <c r="FM18" i="1" s="1"/>
  <c r="FN18" i="1" s="1"/>
  <c r="EA112" i="1"/>
  <c r="FL112" i="1" s="1"/>
  <c r="FM112" i="1" s="1"/>
  <c r="FN112" i="1" s="1"/>
  <c r="CA40" i="1"/>
  <c r="CB40" i="1" s="1"/>
  <c r="EA108" i="1"/>
  <c r="FL108" i="1" s="1"/>
  <c r="FM108" i="1" s="1"/>
  <c r="FN108" i="1" s="1"/>
  <c r="EA33" i="1"/>
  <c r="FO33" i="1" s="1"/>
  <c r="CB14" i="1"/>
  <c r="CB46" i="1"/>
  <c r="EA27" i="1"/>
  <c r="FO27" i="1" s="1"/>
  <c r="EA171" i="1"/>
  <c r="FO171" i="1" s="1"/>
  <c r="EA231" i="1"/>
  <c r="EC231" i="1" s="1"/>
  <c r="CU237" i="1"/>
  <c r="CV237" i="1" s="1"/>
  <c r="EA205" i="1"/>
  <c r="FO205" i="1" s="1"/>
  <c r="EA190" i="1"/>
  <c r="FO190" i="1" s="1"/>
  <c r="EA282" i="1"/>
  <c r="EC282" i="1" s="1"/>
  <c r="CU131" i="1"/>
  <c r="CV131" i="1" s="1"/>
  <c r="EA134" i="1"/>
  <c r="EC134" i="1" s="1"/>
  <c r="CV99" i="1"/>
  <c r="EA119" i="1"/>
  <c r="FO119" i="1" s="1"/>
  <c r="EA45" i="1"/>
  <c r="FL45" i="1" s="1"/>
  <c r="FM45" i="1" s="1"/>
  <c r="FN45" i="1" s="1"/>
  <c r="AL3" i="1"/>
  <c r="AM3" i="1" s="1"/>
  <c r="EA266" i="1"/>
  <c r="EC266" i="1" s="1"/>
  <c r="EA227" i="1"/>
  <c r="FO227" i="1" s="1"/>
  <c r="EA32" i="1"/>
  <c r="FL32" i="1" s="1"/>
  <c r="FM32" i="1" s="1"/>
  <c r="FN32" i="1" s="1"/>
  <c r="EA120" i="1"/>
  <c r="EC120" i="1" s="1"/>
  <c r="AW177" i="1"/>
  <c r="EA177" i="1"/>
  <c r="FL177" i="1" s="1"/>
  <c r="FM177" i="1" s="1"/>
  <c r="FN177" i="1" s="1"/>
  <c r="EA56" i="1"/>
  <c r="FL56" i="1" s="1"/>
  <c r="FM56" i="1" s="1"/>
  <c r="FN56" i="1" s="1"/>
  <c r="AV112" i="1"/>
  <c r="AW112" i="1" s="1"/>
  <c r="EA90" i="1"/>
  <c r="EC90" i="1" s="1"/>
  <c r="EA142" i="1"/>
  <c r="EC142" i="1" s="1"/>
  <c r="EA109" i="1"/>
  <c r="EC109" i="1" s="1"/>
  <c r="AW48" i="1"/>
  <c r="EA130" i="1"/>
  <c r="FO130" i="1" s="1"/>
  <c r="EA80" i="1"/>
  <c r="EC80" i="1" s="1"/>
  <c r="DP93" i="1"/>
  <c r="EA128" i="1"/>
  <c r="FL128" i="1" s="1"/>
  <c r="FM128" i="1" s="1"/>
  <c r="FN128" i="1" s="1"/>
  <c r="EA5" i="1"/>
  <c r="FL5" i="1" s="1"/>
  <c r="FM5" i="1" s="1"/>
  <c r="FN5" i="1" s="1"/>
  <c r="EA180" i="1"/>
  <c r="EC180" i="1" s="1"/>
  <c r="EA68" i="1"/>
  <c r="EC68" i="1" s="1"/>
  <c r="DZ242" i="1"/>
  <c r="EA260" i="1"/>
  <c r="FL260" i="1" s="1"/>
  <c r="FM260" i="1" s="1"/>
  <c r="FN260" i="1" s="1"/>
  <c r="EA230" i="1"/>
  <c r="FO230" i="1" s="1"/>
  <c r="EA208" i="1"/>
  <c r="FO208" i="1" s="1"/>
  <c r="DE88" i="1"/>
  <c r="DF88" i="1" s="1"/>
  <c r="DY128" i="1"/>
  <c r="DZ128" i="1" s="1"/>
  <c r="DY209" i="1"/>
  <c r="DZ209" i="1" s="1"/>
  <c r="EA259" i="1"/>
  <c r="FL259" i="1" s="1"/>
  <c r="FM259" i="1" s="1"/>
  <c r="FN259" i="1" s="1"/>
  <c r="EA234" i="1"/>
  <c r="FL234" i="1" s="1"/>
  <c r="FM234" i="1" s="1"/>
  <c r="FN234" i="1" s="1"/>
  <c r="EA163" i="1"/>
  <c r="FO163" i="1" s="1"/>
  <c r="DE231" i="1"/>
  <c r="DF231" i="1" s="1"/>
  <c r="DY299" i="1"/>
  <c r="DZ299" i="1" s="1"/>
  <c r="EA178" i="1"/>
  <c r="EC178" i="1" s="1"/>
  <c r="EA138" i="1"/>
  <c r="FL138" i="1" s="1"/>
  <c r="FM138" i="1" s="1"/>
  <c r="FN138" i="1" s="1"/>
  <c r="EA235" i="1"/>
  <c r="FL235" i="1" s="1"/>
  <c r="FM235" i="1" s="1"/>
  <c r="FN235" i="1" s="1"/>
  <c r="EA147" i="1"/>
  <c r="FL147" i="1" s="1"/>
  <c r="FM147" i="1" s="1"/>
  <c r="FN147" i="1" s="1"/>
  <c r="EA137" i="1"/>
  <c r="FL137" i="1" s="1"/>
  <c r="FM137" i="1" s="1"/>
  <c r="FN137" i="1" s="1"/>
  <c r="EA64" i="1"/>
  <c r="EC64" i="1" s="1"/>
  <c r="EA121" i="1"/>
  <c r="FO121" i="1" s="1"/>
  <c r="EA242" i="1"/>
  <c r="EC242" i="1" s="1"/>
  <c r="EA58" i="1"/>
  <c r="FL58" i="1" s="1"/>
  <c r="FM58" i="1" s="1"/>
  <c r="FN58" i="1" s="1"/>
  <c r="EA275" i="1"/>
  <c r="FL275" i="1" s="1"/>
  <c r="FM275" i="1" s="1"/>
  <c r="FN275" i="1" s="1"/>
  <c r="BQ138" i="1"/>
  <c r="BR138" i="1" s="1"/>
  <c r="EA159" i="1"/>
  <c r="EC159" i="1" s="1"/>
  <c r="EA156" i="1"/>
  <c r="FO156" i="1" s="1"/>
  <c r="EA85" i="1"/>
  <c r="FL85" i="1" s="1"/>
  <c r="FM85" i="1" s="1"/>
  <c r="FN85" i="1" s="1"/>
  <c r="EA274" i="1"/>
  <c r="FO274" i="1" s="1"/>
  <c r="EA179" i="1"/>
  <c r="EC179" i="1" s="1"/>
  <c r="BQ242" i="1"/>
  <c r="BR242" i="1" s="1"/>
  <c r="EA42" i="1"/>
  <c r="FO42" i="1" s="1"/>
  <c r="DE156" i="1"/>
  <c r="DF156" i="1" s="1"/>
  <c r="EA82" i="1"/>
  <c r="FL82" i="1" s="1"/>
  <c r="FM82" i="1" s="1"/>
  <c r="FN82" i="1" s="1"/>
  <c r="EA91" i="1"/>
  <c r="FO91" i="1" s="1"/>
  <c r="EA200" i="1"/>
  <c r="FL200" i="1" s="1"/>
  <c r="FM200" i="1" s="1"/>
  <c r="FN200" i="1" s="1"/>
  <c r="BQ285" i="1"/>
  <c r="BR285" i="1" s="1"/>
  <c r="EA98" i="1"/>
  <c r="FO98" i="1" s="1"/>
  <c r="EA195" i="1"/>
  <c r="FO195" i="1" s="1"/>
  <c r="EA86" i="1"/>
  <c r="FL86" i="1" s="1"/>
  <c r="FM86" i="1" s="1"/>
  <c r="FN86" i="1" s="1"/>
  <c r="EA240" i="1"/>
  <c r="FL240" i="1" s="1"/>
  <c r="FM240" i="1" s="1"/>
  <c r="FN240" i="1" s="1"/>
  <c r="EA296" i="1"/>
  <c r="FL296" i="1" s="1"/>
  <c r="FM296" i="1" s="1"/>
  <c r="FN296" i="1" s="1"/>
  <c r="EA78" i="1"/>
  <c r="FL78" i="1" s="1"/>
  <c r="FM78" i="1" s="1"/>
  <c r="FN78" i="1" s="1"/>
  <c r="CL78" i="1"/>
  <c r="CK64" i="1"/>
  <c r="CL64" i="1" s="1"/>
  <c r="CK208" i="1"/>
  <c r="CL208" i="1" s="1"/>
  <c r="EA104" i="1"/>
  <c r="EC104" i="1" s="1"/>
  <c r="EA256" i="1"/>
  <c r="EC256" i="1" s="1"/>
  <c r="CA80" i="1"/>
  <c r="CB80" i="1" s="1"/>
  <c r="EA264" i="1"/>
  <c r="FL264" i="1" s="1"/>
  <c r="FM264" i="1" s="1"/>
  <c r="FN264" i="1" s="1"/>
  <c r="CL54" i="1"/>
  <c r="EA21" i="1"/>
  <c r="FL21" i="1" s="1"/>
  <c r="FM21" i="1" s="1"/>
  <c r="FN21" i="1" s="1"/>
  <c r="EA153" i="1"/>
  <c r="FO153" i="1" s="1"/>
  <c r="CK86" i="1"/>
  <c r="CL86" i="1" s="1"/>
  <c r="CL22" i="1"/>
  <c r="EA295" i="1"/>
  <c r="EC295" i="1" s="1"/>
  <c r="EA25" i="1"/>
  <c r="FL25" i="1" s="1"/>
  <c r="FM25" i="1" s="1"/>
  <c r="FN25" i="1" s="1"/>
  <c r="EA265" i="1"/>
  <c r="EC265" i="1" s="1"/>
  <c r="EA217" i="1"/>
  <c r="FO217" i="1" s="1"/>
  <c r="EA53" i="1"/>
  <c r="FL53" i="1" s="1"/>
  <c r="FM53" i="1" s="1"/>
  <c r="FN53" i="1" s="1"/>
  <c r="EA30" i="1"/>
  <c r="FO30" i="1" s="1"/>
  <c r="CK256" i="1"/>
  <c r="CL256" i="1" s="1"/>
  <c r="EA54" i="1"/>
  <c r="EC54" i="1" s="1"/>
  <c r="EA145" i="1"/>
  <c r="FL145" i="1" s="1"/>
  <c r="FM145" i="1" s="1"/>
  <c r="FN145" i="1" s="1"/>
  <c r="EA22" i="1"/>
  <c r="FO22" i="1" s="1"/>
  <c r="CU180" i="1"/>
  <c r="CV180" i="1" s="1"/>
  <c r="CU260" i="1"/>
  <c r="CV260" i="1" s="1"/>
  <c r="CV91" i="1"/>
  <c r="CU179" i="1"/>
  <c r="CV179" i="1" s="1"/>
  <c r="CU141" i="1"/>
  <c r="CV141" i="1" s="1"/>
  <c r="CU133" i="1"/>
  <c r="CV133" i="1" s="1"/>
  <c r="CU68" i="1"/>
  <c r="CV68" i="1" s="1"/>
  <c r="EA122" i="1"/>
  <c r="FL122" i="1" s="1"/>
  <c r="FM122" i="1" s="1"/>
  <c r="FN122" i="1" s="1"/>
  <c r="AL5" i="1"/>
  <c r="AM5" i="1" s="1"/>
  <c r="EB248" i="1"/>
  <c r="EB265" i="1"/>
  <c r="FL168" i="1"/>
  <c r="FM168" i="1" s="1"/>
  <c r="FN168" i="1" s="1"/>
  <c r="EC168" i="1"/>
  <c r="EA251" i="1"/>
  <c r="FL251" i="1" s="1"/>
  <c r="FM251" i="1" s="1"/>
  <c r="FN251" i="1" s="1"/>
  <c r="EA243" i="1"/>
  <c r="FL243" i="1" s="1"/>
  <c r="FM243" i="1" s="1"/>
  <c r="FN243" i="1" s="1"/>
  <c r="AV147" i="1"/>
  <c r="AW147" i="1" s="1"/>
  <c r="AV16" i="1"/>
  <c r="AW16" i="1" s="1"/>
  <c r="EA233" i="1"/>
  <c r="FO233" i="1" s="1"/>
  <c r="AV98" i="1"/>
  <c r="AW98" i="1" s="1"/>
  <c r="AV282" i="1"/>
  <c r="AW282" i="1" s="1"/>
  <c r="AV168" i="1"/>
  <c r="AW168" i="1" s="1"/>
  <c r="EA71" i="1"/>
  <c r="FO71" i="1" s="1"/>
  <c r="EA169" i="1"/>
  <c r="FL169" i="1" s="1"/>
  <c r="FM169" i="1" s="1"/>
  <c r="FN169" i="1" s="1"/>
  <c r="EA211" i="1"/>
  <c r="FL211" i="1" s="1"/>
  <c r="FM211" i="1" s="1"/>
  <c r="FN211" i="1" s="1"/>
  <c r="EA187" i="1"/>
  <c r="EC187" i="1" s="1"/>
  <c r="EA34" i="1"/>
  <c r="FO34" i="1" s="1"/>
  <c r="EA268" i="1"/>
  <c r="FO268" i="1" s="1"/>
  <c r="AV104" i="1"/>
  <c r="AW104" i="1" s="1"/>
  <c r="AV217" i="1"/>
  <c r="AW217" i="1" s="1"/>
  <c r="EA201" i="1"/>
  <c r="FL201" i="1" s="1"/>
  <c r="FM201" i="1" s="1"/>
  <c r="FN201" i="1" s="1"/>
  <c r="AW201" i="1"/>
  <c r="EA48" i="1"/>
  <c r="EC48" i="1" s="1"/>
  <c r="DP208" i="1"/>
  <c r="DY13" i="1"/>
  <c r="DZ13" i="1" s="1"/>
  <c r="EA13" i="1"/>
  <c r="DF248" i="1"/>
  <c r="EB283" i="1"/>
  <c r="EB70" i="1"/>
  <c r="FO168" i="1"/>
  <c r="EB127" i="1"/>
  <c r="AB210" i="1"/>
  <c r="AC210" i="1" s="1"/>
  <c r="FO212" i="1"/>
  <c r="FL212" i="1"/>
  <c r="FM212" i="1" s="1"/>
  <c r="FN212" i="1" s="1"/>
  <c r="FL141" i="1"/>
  <c r="FM141" i="1" s="1"/>
  <c r="FN141" i="1" s="1"/>
  <c r="FO111" i="1"/>
  <c r="FL111" i="1"/>
  <c r="FM111" i="1" s="1"/>
  <c r="FN111" i="1" s="1"/>
  <c r="FL107" i="1"/>
  <c r="FM107" i="1" s="1"/>
  <c r="FN107" i="1" s="1"/>
  <c r="FO107" i="1"/>
  <c r="FO302" i="1"/>
  <c r="FL302" i="1"/>
  <c r="FM302" i="1" s="1"/>
  <c r="FN302" i="1" s="1"/>
  <c r="FO123" i="1"/>
  <c r="FL123" i="1"/>
  <c r="FM123" i="1" s="1"/>
  <c r="FN123" i="1" s="1"/>
  <c r="FL229" i="1"/>
  <c r="FM229" i="1" s="1"/>
  <c r="FN229" i="1" s="1"/>
  <c r="FO229" i="1"/>
  <c r="FO15" i="1"/>
  <c r="FL15" i="1"/>
  <c r="FM15" i="1" s="1"/>
  <c r="FN15" i="1" s="1"/>
  <c r="FL6" i="1"/>
  <c r="FM6" i="1" s="1"/>
  <c r="FN6" i="1" s="1"/>
  <c r="FO6" i="1"/>
  <c r="FL52" i="1"/>
  <c r="FM52" i="1" s="1"/>
  <c r="FN52" i="1" s="1"/>
  <c r="FO52" i="1"/>
  <c r="FL255" i="1"/>
  <c r="FM255" i="1" s="1"/>
  <c r="FN255" i="1" s="1"/>
  <c r="FO255" i="1"/>
  <c r="FO101" i="1"/>
  <c r="FL101" i="1"/>
  <c r="FM101" i="1" s="1"/>
  <c r="FN101" i="1" s="1"/>
  <c r="FO225" i="1"/>
  <c r="FL225" i="1"/>
  <c r="FM225" i="1" s="1"/>
  <c r="FN225" i="1" s="1"/>
  <c r="FL87" i="1"/>
  <c r="FM87" i="1" s="1"/>
  <c r="FN87" i="1" s="1"/>
  <c r="FO87" i="1"/>
  <c r="FO252" i="1"/>
  <c r="DY100" i="1"/>
  <c r="DZ100" i="1" s="1"/>
  <c r="DZ283" i="1"/>
  <c r="FL249" i="1"/>
  <c r="FM249" i="1" s="1"/>
  <c r="FN249" i="1" s="1"/>
  <c r="FO249" i="1"/>
  <c r="FL299" i="1"/>
  <c r="FM299" i="1" s="1"/>
  <c r="FN299" i="1" s="1"/>
  <c r="FO299" i="1"/>
  <c r="FO181" i="1"/>
  <c r="FL181" i="1"/>
  <c r="FM181" i="1" s="1"/>
  <c r="FN181" i="1" s="1"/>
  <c r="FL92" i="1"/>
  <c r="FM92" i="1" s="1"/>
  <c r="FN92" i="1" s="1"/>
  <c r="FO92" i="1"/>
  <c r="FL221" i="1"/>
  <c r="FM221" i="1" s="1"/>
  <c r="FN221" i="1" s="1"/>
  <c r="FO221" i="1"/>
  <c r="FL207" i="1"/>
  <c r="FM207" i="1" s="1"/>
  <c r="FN207" i="1" s="1"/>
  <c r="FO207" i="1"/>
  <c r="FO288" i="1"/>
  <c r="FL288" i="1"/>
  <c r="FM288" i="1" s="1"/>
  <c r="FN288" i="1" s="1"/>
  <c r="FL182" i="1"/>
  <c r="FM182" i="1" s="1"/>
  <c r="FN182" i="1" s="1"/>
  <c r="FO182" i="1"/>
  <c r="FL95" i="1"/>
  <c r="FM95" i="1" s="1"/>
  <c r="FN95" i="1" s="1"/>
  <c r="FO95" i="1"/>
  <c r="FO270" i="1"/>
  <c r="FL270" i="1"/>
  <c r="FM270" i="1" s="1"/>
  <c r="FN270" i="1" s="1"/>
  <c r="FL232" i="1"/>
  <c r="FM232" i="1" s="1"/>
  <c r="FN232" i="1" s="1"/>
  <c r="FO232" i="1"/>
  <c r="FL176" i="1"/>
  <c r="FM176" i="1" s="1"/>
  <c r="FN176" i="1" s="1"/>
  <c r="FO176" i="1"/>
  <c r="FL269" i="1"/>
  <c r="FM269" i="1" s="1"/>
  <c r="FN269" i="1" s="1"/>
  <c r="FO269" i="1"/>
  <c r="FO183" i="1"/>
  <c r="FL183" i="1"/>
  <c r="FM183" i="1" s="1"/>
  <c r="FN183" i="1" s="1"/>
  <c r="FL83" i="1"/>
  <c r="FM83" i="1" s="1"/>
  <c r="FN83" i="1" s="1"/>
  <c r="FO83" i="1"/>
  <c r="BQ2" i="1"/>
  <c r="BR2" i="1" s="1"/>
  <c r="EC6" i="1"/>
  <c r="AM68" i="1"/>
  <c r="AC86" i="1"/>
  <c r="AM134" i="1"/>
  <c r="EB134" i="1"/>
  <c r="EB206" i="1"/>
  <c r="DZ206" i="1"/>
  <c r="EB108" i="1"/>
  <c r="CV15" i="1"/>
  <c r="EB45" i="1"/>
  <c r="DF5" i="1"/>
  <c r="EB190" i="1"/>
  <c r="DP190" i="1"/>
  <c r="DP20" i="1"/>
  <c r="EB148" i="1"/>
  <c r="EB154" i="1"/>
  <c r="DZ154" i="1"/>
  <c r="CV63" i="1"/>
  <c r="EB222" i="1"/>
  <c r="EB199" i="1"/>
  <c r="EB200" i="1"/>
  <c r="EB255" i="1"/>
  <c r="DF14" i="1"/>
  <c r="DF281" i="1"/>
  <c r="EB281" i="1"/>
  <c r="EB246" i="1"/>
  <c r="EB153" i="1"/>
  <c r="DZ255" i="1"/>
  <c r="EB142" i="1"/>
  <c r="DZ142" i="1"/>
  <c r="EB111" i="1"/>
  <c r="EB216" i="1"/>
  <c r="EB119" i="1"/>
  <c r="DE2" i="1"/>
  <c r="DF2" i="1" s="1"/>
  <c r="EC15" i="1"/>
  <c r="AB204" i="1"/>
  <c r="AC204" i="1" s="1"/>
  <c r="EA204" i="1"/>
  <c r="AB194" i="1"/>
  <c r="AC194" i="1" s="1"/>
  <c r="EA194" i="1"/>
  <c r="AM202" i="1"/>
  <c r="EA202" i="1"/>
  <c r="EB77" i="1"/>
  <c r="EB84" i="1"/>
  <c r="AV2" i="1"/>
  <c r="AW2" i="1" s="1"/>
  <c r="AM60" i="1"/>
  <c r="EA60" i="1"/>
  <c r="AB65" i="1"/>
  <c r="AC65" i="1" s="1"/>
  <c r="EA65" i="1"/>
  <c r="AL44" i="1"/>
  <c r="AM44" i="1" s="1"/>
  <c r="EA44" i="1"/>
  <c r="DF77" i="1"/>
  <c r="EB103" i="1"/>
  <c r="BR52" i="1"/>
  <c r="CL240" i="1"/>
  <c r="EB240" i="1"/>
  <c r="DF69" i="1"/>
  <c r="EB69" i="1"/>
  <c r="EB230" i="1"/>
  <c r="DF232" i="1"/>
  <c r="EB232" i="1"/>
  <c r="EC255" i="1"/>
  <c r="EB89" i="1"/>
  <c r="DF216" i="1"/>
  <c r="EB151" i="1"/>
  <c r="EB183" i="1"/>
  <c r="CK2" i="1"/>
  <c r="CL2" i="1" s="1"/>
  <c r="AM158" i="1"/>
  <c r="EB158" i="1"/>
  <c r="EB92" i="1"/>
  <c r="CV94" i="1"/>
  <c r="EB94" i="1"/>
  <c r="EB176" i="1"/>
  <c r="DF176" i="1"/>
  <c r="EB102" i="1"/>
  <c r="EB150" i="1"/>
  <c r="EB171" i="1"/>
  <c r="DZ171" i="1"/>
  <c r="EB166" i="1"/>
  <c r="EB273" i="1"/>
  <c r="CV30" i="1"/>
  <c r="EB117" i="1"/>
  <c r="DZ117" i="1"/>
  <c r="EB297" i="1"/>
  <c r="DZ297" i="1"/>
  <c r="EB87" i="1"/>
  <c r="EB159" i="1"/>
  <c r="EB67" i="1"/>
  <c r="DF55" i="1"/>
  <c r="EB143" i="1"/>
  <c r="EB288" i="1"/>
  <c r="DZ11" i="1"/>
  <c r="DZ217" i="1"/>
  <c r="EB212" i="1"/>
  <c r="DZ212" i="1"/>
  <c r="EB106" i="1"/>
  <c r="DZ106" i="1"/>
  <c r="EB218" i="1"/>
  <c r="EB95" i="1"/>
  <c r="EB223" i="1"/>
  <c r="EB110" i="1"/>
  <c r="DF110" i="1"/>
  <c r="EB79" i="1"/>
  <c r="EB109" i="1"/>
  <c r="AM4" i="1"/>
  <c r="EA4" i="1"/>
  <c r="EC52" i="1"/>
  <c r="AC191" i="1"/>
  <c r="EB191" i="1"/>
  <c r="DO2" i="1"/>
  <c r="DP2" i="1" s="1"/>
  <c r="CU2" i="1"/>
  <c r="CV2" i="1" s="1"/>
  <c r="EB93" i="1"/>
  <c r="EB118" i="1"/>
  <c r="EB126" i="1"/>
  <c r="EC207" i="1"/>
  <c r="DF143" i="1"/>
  <c r="DZ288" i="1"/>
  <c r="DF78" i="1"/>
  <c r="EB78" i="1"/>
  <c r="EB256" i="1"/>
  <c r="EC212" i="1"/>
  <c r="DF224" i="1"/>
  <c r="DZ223" i="1"/>
  <c r="DF23" i="1"/>
  <c r="EB135" i="1"/>
  <c r="EB277" i="1"/>
  <c r="EB115" i="1"/>
  <c r="EB114" i="1"/>
  <c r="EB91" i="1"/>
  <c r="EB129" i="1"/>
  <c r="EC181" i="1"/>
  <c r="EC92" i="1"/>
  <c r="EB238" i="1"/>
  <c r="EB179" i="1"/>
  <c r="EB161" i="1"/>
  <c r="EB269" i="1"/>
  <c r="EB172" i="1"/>
  <c r="EB298" i="1"/>
  <c r="EB170" i="1"/>
  <c r="EB164" i="1"/>
  <c r="EB167" i="1"/>
  <c r="DZ185" i="1"/>
  <c r="DZ277" i="1"/>
  <c r="EB296" i="1"/>
  <c r="DF44" i="1"/>
  <c r="EB71" i="1"/>
  <c r="EB214" i="1"/>
  <c r="EC95" i="1"/>
  <c r="EB177" i="1"/>
  <c r="DZ91" i="1"/>
  <c r="EB251" i="1"/>
  <c r="EB279" i="1"/>
  <c r="EB97" i="1"/>
  <c r="DZ238" i="1"/>
  <c r="EB234" i="1"/>
  <c r="DZ286" i="1"/>
  <c r="EB48" i="1"/>
  <c r="EB187" i="1"/>
  <c r="EC229" i="1"/>
  <c r="EC269" i="1"/>
  <c r="DZ172" i="1"/>
  <c r="DZ298" i="1"/>
  <c r="EB259" i="1"/>
  <c r="DZ213" i="1"/>
  <c r="DZ164" i="1"/>
  <c r="DZ290" i="1"/>
  <c r="AW199" i="1"/>
  <c r="DF51" i="1"/>
  <c r="EB182" i="1"/>
  <c r="DZ115" i="1"/>
  <c r="EB186" i="1"/>
  <c r="DZ296" i="1"/>
  <c r="CB247" i="1"/>
  <c r="EB301" i="1"/>
  <c r="EC270" i="1"/>
  <c r="EB32" i="1"/>
  <c r="EB201" i="1"/>
  <c r="DZ279" i="1"/>
  <c r="EB80" i="1"/>
  <c r="EB219" i="1"/>
  <c r="DZ181" i="1"/>
  <c r="EB157" i="1"/>
  <c r="DZ48" i="1"/>
  <c r="EB178" i="1"/>
  <c r="EB123" i="1"/>
  <c r="EB66" i="1"/>
  <c r="EB229" i="1"/>
  <c r="DZ269" i="1"/>
  <c r="EC183" i="1"/>
  <c r="EB81" i="1"/>
  <c r="EB149" i="1"/>
  <c r="EB284" i="1"/>
  <c r="EB124" i="1"/>
  <c r="DF184" i="1"/>
  <c r="EB271" i="1"/>
  <c r="EB76" i="1"/>
  <c r="EB260" i="1"/>
  <c r="EB235" i="1"/>
  <c r="EB280" i="1"/>
  <c r="DF265" i="1"/>
  <c r="DZ182" i="1"/>
  <c r="EB120" i="1"/>
  <c r="EB244" i="1"/>
  <c r="DZ301" i="1"/>
  <c r="DZ270" i="1"/>
  <c r="EB220" i="1"/>
  <c r="DZ201" i="1"/>
  <c r="EB73" i="1"/>
  <c r="EC111" i="1"/>
  <c r="EC299" i="1"/>
  <c r="DZ131" i="1"/>
  <c r="EB211" i="1"/>
  <c r="DZ157" i="1"/>
  <c r="DZ237" i="1"/>
  <c r="DZ123" i="1"/>
  <c r="DZ104" i="1"/>
  <c r="DZ229" i="1"/>
  <c r="EC221" i="1"/>
  <c r="DZ149" i="1"/>
  <c r="EB162" i="1"/>
  <c r="DZ124" i="1"/>
  <c r="EB207" i="1"/>
  <c r="EB85" i="1"/>
  <c r="EC297" i="1"/>
  <c r="EB289" i="1"/>
  <c r="EC182" i="1"/>
  <c r="DZ21" i="1"/>
  <c r="EB105" i="1"/>
  <c r="EB225" i="1"/>
  <c r="DZ80" i="1"/>
  <c r="EB274" i="1"/>
  <c r="EB33" i="1"/>
  <c r="EB193" i="1"/>
  <c r="EB173" i="1"/>
  <c r="EC123" i="1"/>
  <c r="EB146" i="1"/>
  <c r="EB165" i="1"/>
  <c r="EB264" i="1"/>
  <c r="EB99" i="1"/>
  <c r="DF37" i="1"/>
  <c r="EB75" i="1"/>
  <c r="BR159" i="1"/>
  <c r="DF200" i="1"/>
  <c r="EB249" i="1"/>
  <c r="EB121" i="1"/>
  <c r="EB266" i="1"/>
  <c r="EB239" i="1"/>
  <c r="EB205" i="1"/>
  <c r="EB82" i="1"/>
  <c r="EB163" i="1"/>
  <c r="EB189" i="1"/>
  <c r="EB130" i="1"/>
  <c r="EB294" i="1"/>
  <c r="EB295" i="1"/>
  <c r="EB113" i="1"/>
  <c r="EB107" i="1"/>
  <c r="EC176" i="1"/>
  <c r="EB122" i="1"/>
  <c r="EC87" i="1"/>
  <c r="EC83" i="1"/>
  <c r="EB278" i="1"/>
  <c r="EB252" i="1"/>
  <c r="EB195" i="1"/>
  <c r="EB197" i="1"/>
  <c r="EB140" i="1"/>
  <c r="DF79" i="1"/>
  <c r="EB101" i="1"/>
  <c r="EB56" i="1"/>
  <c r="EB139" i="1"/>
  <c r="DZ12" i="1"/>
  <c r="DZ266" i="1"/>
  <c r="EB227" i="1"/>
  <c r="DZ239" i="1"/>
  <c r="DZ205" i="1"/>
  <c r="DZ129" i="1"/>
  <c r="DZ189" i="1"/>
  <c r="EC198" i="1"/>
  <c r="EE198" i="1" s="1"/>
  <c r="ET198" i="1" s="1"/>
  <c r="FC198" i="1" s="1"/>
  <c r="EC225" i="1"/>
  <c r="EB276" i="1"/>
  <c r="EC214" i="1"/>
  <c r="DZ295" i="1"/>
  <c r="EC107" i="1"/>
  <c r="EB243" i="1"/>
  <c r="EB267" i="1"/>
  <c r="EC302" i="1"/>
  <c r="DZ9" i="1"/>
  <c r="EB236" i="1"/>
  <c r="EB96" i="1"/>
  <c r="DZ170" i="1"/>
  <c r="DZ278" i="1"/>
  <c r="EB228" i="1"/>
  <c r="EB287" i="1"/>
  <c r="DZ26" i="1"/>
  <c r="EB257" i="1"/>
  <c r="EC288" i="1"/>
  <c r="EB24" i="1"/>
  <c r="EB293" i="1"/>
  <c r="EB300" i="1"/>
  <c r="EB175" i="1"/>
  <c r="DZ75" i="1"/>
  <c r="EC101" i="1"/>
  <c r="EC249" i="1"/>
  <c r="DZ180" i="1"/>
  <c r="DZ74" i="1"/>
  <c r="EB250" i="1"/>
  <c r="DZ57" i="1"/>
  <c r="EB8" i="1"/>
  <c r="DZ114" i="1"/>
  <c r="DZ156" i="1"/>
  <c r="EB233" i="1"/>
  <c r="EB275" i="1"/>
  <c r="DZ262" i="1"/>
  <c r="EB169" i="1"/>
  <c r="DZ276" i="1"/>
  <c r="DZ97" i="1"/>
  <c r="DZ245" i="1"/>
  <c r="EC232" i="1"/>
  <c r="DZ16" i="1"/>
  <c r="DZ234" i="1"/>
  <c r="DZ294" i="1"/>
  <c r="DZ179" i="1"/>
  <c r="DZ107" i="1"/>
  <c r="EB137" i="1"/>
  <c r="DZ187" i="1"/>
  <c r="EB302" i="1"/>
  <c r="EB188" i="1"/>
  <c r="DZ161" i="1"/>
  <c r="DZ96" i="1"/>
  <c r="DZ259" i="1"/>
  <c r="DZ228" i="1"/>
  <c r="DZ252" i="1"/>
  <c r="DZ257" i="1"/>
  <c r="EB253" i="1"/>
  <c r="DZ140" i="1"/>
  <c r="AL90" i="1"/>
  <c r="AM90" i="1" s="1"/>
  <c r="AL11" i="1"/>
  <c r="AM11" i="1" s="1"/>
  <c r="AL63" i="1"/>
  <c r="AM63" i="1" s="1"/>
  <c r="AL15" i="1"/>
  <c r="AM15" i="1" s="1"/>
  <c r="AL61" i="1"/>
  <c r="AM61" i="1" s="1"/>
  <c r="AL50" i="1"/>
  <c r="AM50" i="1" s="1"/>
  <c r="AL42" i="1"/>
  <c r="AM42" i="1" s="1"/>
  <c r="AL57" i="1"/>
  <c r="AM57" i="1" s="1"/>
  <c r="AL35" i="1"/>
  <c r="AM35" i="1" s="1"/>
  <c r="AL30" i="1"/>
  <c r="EB30" i="1" s="1"/>
  <c r="AL29" i="1"/>
  <c r="AM29" i="1" s="1"/>
  <c r="AL41" i="1"/>
  <c r="AM41" i="1" s="1"/>
  <c r="AL47" i="1"/>
  <c r="AM47" i="1" s="1"/>
  <c r="AL51" i="1"/>
  <c r="EB51" i="1" s="1"/>
  <c r="AL23" i="1"/>
  <c r="AM23" i="1" s="1"/>
  <c r="AL19" i="1"/>
  <c r="AM19" i="1" s="1"/>
  <c r="AL9" i="1"/>
  <c r="AM9" i="1" s="1"/>
  <c r="AL31" i="1"/>
  <c r="AM31" i="1" s="1"/>
  <c r="AL54" i="1"/>
  <c r="AL26" i="1"/>
  <c r="AM26" i="1" s="1"/>
  <c r="AL7" i="1"/>
  <c r="AM7" i="1" s="1"/>
  <c r="AL116" i="1"/>
  <c r="AM116" i="1" s="1"/>
  <c r="AL38" i="1"/>
  <c r="AL43" i="1"/>
  <c r="AL55" i="1"/>
  <c r="AM55" i="1" s="1"/>
  <c r="AL21" i="1"/>
  <c r="EB21" i="1" s="1"/>
  <c r="AL34" i="1"/>
  <c r="AM34" i="1" s="1"/>
  <c r="AL22" i="1"/>
  <c r="AM22" i="1" s="1"/>
  <c r="AL290" i="1"/>
  <c r="AM290" i="1" s="1"/>
  <c r="AL17" i="1"/>
  <c r="AM17" i="1" s="1"/>
  <c r="AL10" i="1"/>
  <c r="AM10" i="1" s="1"/>
  <c r="AL49" i="1"/>
  <c r="AM49" i="1" s="1"/>
  <c r="AL6" i="1"/>
  <c r="AL52" i="1"/>
  <c r="AM52" i="1" s="1"/>
  <c r="AL203" i="1"/>
  <c r="AM203" i="1" s="1"/>
  <c r="AL224" i="1"/>
  <c r="AM224" i="1" s="1"/>
  <c r="AL27" i="1"/>
  <c r="AL14" i="1"/>
  <c r="AM14" i="1" s="1"/>
  <c r="AL53" i="1"/>
  <c r="AM53" i="1" s="1"/>
  <c r="AL62" i="1"/>
  <c r="AL213" i="1"/>
  <c r="AM213" i="1" s="1"/>
  <c r="AL58" i="1"/>
  <c r="AM58" i="1" s="1"/>
  <c r="AL46" i="1"/>
  <c r="AM46" i="1" s="1"/>
  <c r="AL28" i="1"/>
  <c r="AL39" i="1"/>
  <c r="AL18" i="1"/>
  <c r="AM18" i="1" s="1"/>
  <c r="AL37" i="1"/>
  <c r="AM37" i="1" s="1"/>
  <c r="AL36" i="1"/>
  <c r="AL20" i="1"/>
  <c r="AM20" i="1" s="1"/>
  <c r="AL25" i="1"/>
  <c r="AM25" i="1" s="1"/>
  <c r="AL59" i="1"/>
  <c r="BH2" i="1"/>
  <c r="EA2" i="1"/>
  <c r="AC2" i="1"/>
  <c r="DZ2" i="1"/>
  <c r="S2" i="1"/>
  <c r="FL47" i="1" l="1"/>
  <c r="FM47" i="1" s="1"/>
  <c r="FN47" i="1" s="1"/>
  <c r="FL277" i="1"/>
  <c r="FM277" i="1" s="1"/>
  <c r="FN277" i="1" s="1"/>
  <c r="FO47" i="1"/>
  <c r="FO297" i="1"/>
  <c r="FO43" i="1"/>
  <c r="EC43" i="1"/>
  <c r="EB181" i="1"/>
  <c r="EC3" i="1"/>
  <c r="FO3" i="1"/>
  <c r="FL191" i="1"/>
  <c r="FM191" i="1" s="1"/>
  <c r="FN191" i="1" s="1"/>
  <c r="EC277" i="1"/>
  <c r="EB185" i="1"/>
  <c r="FO31" i="1"/>
  <c r="EC31" i="1"/>
  <c r="EC49" i="1"/>
  <c r="FO214" i="1"/>
  <c r="FP214" i="1" s="1"/>
  <c r="FY214" i="1" s="1"/>
  <c r="FZ214" i="1" s="1"/>
  <c r="FL49" i="1"/>
  <c r="FM49" i="1" s="1"/>
  <c r="FN49" i="1" s="1"/>
  <c r="EB160" i="1"/>
  <c r="EE160" i="1" s="1"/>
  <c r="ET160" i="1" s="1"/>
  <c r="FC160" i="1" s="1"/>
  <c r="FD160" i="1" s="1"/>
  <c r="FO127" i="1"/>
  <c r="FP127" i="1" s="1"/>
  <c r="EC127" i="1"/>
  <c r="EE127" i="1" s="1"/>
  <c r="ET127" i="1" s="1"/>
  <c r="FC127" i="1" s="1"/>
  <c r="FD127" i="1" s="1"/>
  <c r="FO141" i="1"/>
  <c r="EC191" i="1"/>
  <c r="EB174" i="1"/>
  <c r="EB13" i="1"/>
  <c r="EC189" i="1"/>
  <c r="FO164" i="1"/>
  <c r="FP164" i="1" s="1"/>
  <c r="FO154" i="1"/>
  <c r="EC164" i="1"/>
  <c r="EE164" i="1" s="1"/>
  <c r="ET164" i="1" s="1"/>
  <c r="FC164" i="1" s="1"/>
  <c r="FD164" i="1" s="1"/>
  <c r="FL253" i="1"/>
  <c r="FM253" i="1" s="1"/>
  <c r="FN253" i="1" s="1"/>
  <c r="FP253" i="1" s="1"/>
  <c r="GE253" i="1" s="1"/>
  <c r="FL189" i="1"/>
  <c r="FM189" i="1" s="1"/>
  <c r="FN189" i="1" s="1"/>
  <c r="FP189" i="1" s="1"/>
  <c r="FL70" i="1"/>
  <c r="FM70" i="1" s="1"/>
  <c r="FN70" i="1" s="1"/>
  <c r="FP70" i="1" s="1"/>
  <c r="FY70" i="1" s="1"/>
  <c r="FZ70" i="1" s="1"/>
  <c r="EB258" i="1"/>
  <c r="FL115" i="1"/>
  <c r="FM115" i="1" s="1"/>
  <c r="FN115" i="1" s="1"/>
  <c r="FP115" i="1" s="1"/>
  <c r="FO170" i="1"/>
  <c r="FP170" i="1" s="1"/>
  <c r="FO223" i="1"/>
  <c r="FP223" i="1" s="1"/>
  <c r="EC244" i="1"/>
  <c r="EE244" i="1" s="1"/>
  <c r="ET244" i="1" s="1"/>
  <c r="FC244" i="1" s="1"/>
  <c r="FE244" i="1" s="1"/>
  <c r="EC70" i="1"/>
  <c r="EE70" i="1" s="1"/>
  <c r="ET70" i="1" s="1"/>
  <c r="FC70" i="1" s="1"/>
  <c r="FO244" i="1"/>
  <c r="FO199" i="1"/>
  <c r="FP199" i="1" s="1"/>
  <c r="EC170" i="1"/>
  <c r="EE170" i="1" s="1"/>
  <c r="ET170" i="1" s="1"/>
  <c r="FC170" i="1" s="1"/>
  <c r="FE170" i="1" s="1"/>
  <c r="EC252" i="1"/>
  <c r="EC154" i="1"/>
  <c r="EE154" i="1" s="1"/>
  <c r="ET154" i="1" s="1"/>
  <c r="FC154" i="1" s="1"/>
  <c r="FE154" i="1" s="1"/>
  <c r="EC115" i="1"/>
  <c r="EE115" i="1" s="1"/>
  <c r="ET115" i="1" s="1"/>
  <c r="FC115" i="1" s="1"/>
  <c r="FE115" i="1" s="1"/>
  <c r="FO79" i="1"/>
  <c r="EB270" i="1"/>
  <c r="EE270" i="1" s="1"/>
  <c r="ET270" i="1" s="1"/>
  <c r="FC270" i="1" s="1"/>
  <c r="FL79" i="1"/>
  <c r="FM79" i="1" s="1"/>
  <c r="FN79" i="1" s="1"/>
  <c r="EC223" i="1"/>
  <c r="EE223" i="1" s="1"/>
  <c r="ET223" i="1" s="1"/>
  <c r="FC223" i="1" s="1"/>
  <c r="FD223" i="1" s="1"/>
  <c r="FL14" i="1"/>
  <c r="FM14" i="1" s="1"/>
  <c r="FN14" i="1" s="1"/>
  <c r="FL63" i="1"/>
  <c r="FM63" i="1" s="1"/>
  <c r="FN63" i="1" s="1"/>
  <c r="FP63" i="1" s="1"/>
  <c r="GE63" i="1" s="1"/>
  <c r="FO14" i="1"/>
  <c r="FL160" i="1"/>
  <c r="FM160" i="1" s="1"/>
  <c r="FN160" i="1" s="1"/>
  <c r="EC8" i="1"/>
  <c r="EE8" i="1" s="1"/>
  <c r="ET8" i="1" s="1"/>
  <c r="FC8" i="1" s="1"/>
  <c r="FD8" i="1" s="1"/>
  <c r="FO8" i="1"/>
  <c r="FP8" i="1" s="1"/>
  <c r="FY8" i="1" s="1"/>
  <c r="FZ8" i="1" s="1"/>
  <c r="EB215" i="1"/>
  <c r="FP261" i="1"/>
  <c r="FS261" i="1" s="1"/>
  <c r="FT261" i="1" s="1"/>
  <c r="EB272" i="1"/>
  <c r="EB221" i="1"/>
  <c r="EE221" i="1" s="1"/>
  <c r="ET221" i="1" s="1"/>
  <c r="FC221" i="1" s="1"/>
  <c r="FE221" i="1" s="1"/>
  <c r="EB125" i="1"/>
  <c r="EE125" i="1" s="1"/>
  <c r="ET125" i="1" s="1"/>
  <c r="FC125" i="1" s="1"/>
  <c r="FE125" i="1" s="1"/>
  <c r="EE261" i="1"/>
  <c r="ET261" i="1" s="1"/>
  <c r="FC261" i="1" s="1"/>
  <c r="FE261" i="1" s="1"/>
  <c r="EB74" i="1"/>
  <c r="EE74" i="1" s="1"/>
  <c r="ET74" i="1" s="1"/>
  <c r="FC74" i="1" s="1"/>
  <c r="FD74" i="1" s="1"/>
  <c r="FL16" i="1"/>
  <c r="FM16" i="1" s="1"/>
  <c r="FN16" i="1" s="1"/>
  <c r="FP16" i="1" s="1"/>
  <c r="EB231" i="1"/>
  <c r="EE231" i="1" s="1"/>
  <c r="ET231" i="1" s="1"/>
  <c r="FC231" i="1" s="1"/>
  <c r="FD231" i="1" s="1"/>
  <c r="FL81" i="1"/>
  <c r="FM81" i="1" s="1"/>
  <c r="FN81" i="1" s="1"/>
  <c r="FP81" i="1" s="1"/>
  <c r="GD81" i="1" s="1"/>
  <c r="FL144" i="1"/>
  <c r="FM144" i="1" s="1"/>
  <c r="FN144" i="1" s="1"/>
  <c r="FP144" i="1" s="1"/>
  <c r="FY144" i="1" s="1"/>
  <c r="FZ144" i="1" s="1"/>
  <c r="FO220" i="1"/>
  <c r="EB292" i="1"/>
  <c r="EC220" i="1"/>
  <c r="EE220" i="1" s="1"/>
  <c r="ET220" i="1" s="1"/>
  <c r="FC220" i="1" s="1"/>
  <c r="FE220" i="1" s="1"/>
  <c r="EB285" i="1"/>
  <c r="EC81" i="1"/>
  <c r="EE81" i="1" s="1"/>
  <c r="ET81" i="1" s="1"/>
  <c r="FC81" i="1" s="1"/>
  <c r="FO160" i="1"/>
  <c r="EC246" i="1"/>
  <c r="EE246" i="1" s="1"/>
  <c r="ET246" i="1" s="1"/>
  <c r="FC246" i="1" s="1"/>
  <c r="FE246" i="1" s="1"/>
  <c r="FO257" i="1"/>
  <c r="EC63" i="1"/>
  <c r="FL57" i="1"/>
  <c r="FM57" i="1" s="1"/>
  <c r="FN57" i="1" s="1"/>
  <c r="FP57" i="1" s="1"/>
  <c r="GG57" i="1" s="1"/>
  <c r="GH57" i="1" s="1"/>
  <c r="GI57" i="1" s="1"/>
  <c r="FL173" i="1"/>
  <c r="FM173" i="1" s="1"/>
  <c r="FN173" i="1" s="1"/>
  <c r="FL257" i="1"/>
  <c r="FM257" i="1" s="1"/>
  <c r="FN257" i="1" s="1"/>
  <c r="EC175" i="1"/>
  <c r="EE175" i="1" s="1"/>
  <c r="ET175" i="1" s="1"/>
  <c r="FC175" i="1" s="1"/>
  <c r="FD175" i="1" s="1"/>
  <c r="FO173" i="1"/>
  <c r="FL246" i="1"/>
  <c r="FM246" i="1" s="1"/>
  <c r="FN246" i="1" s="1"/>
  <c r="FP246" i="1" s="1"/>
  <c r="EC226" i="1"/>
  <c r="FP303" i="1"/>
  <c r="FS303" i="1" s="1"/>
  <c r="FT303" i="1" s="1"/>
  <c r="FE303" i="1"/>
  <c r="FD303" i="1"/>
  <c r="EC37" i="1"/>
  <c r="FO167" i="1"/>
  <c r="FP167" i="1" s="1"/>
  <c r="EC167" i="1"/>
  <c r="EE167" i="1" s="1"/>
  <c r="ET167" i="1" s="1"/>
  <c r="FC167" i="1" s="1"/>
  <c r="FD167" i="1" s="1"/>
  <c r="FO62" i="1"/>
  <c r="FP62" i="1" s="1"/>
  <c r="GE62" i="1" s="1"/>
  <c r="EC62" i="1"/>
  <c r="FL116" i="1"/>
  <c r="FM116" i="1" s="1"/>
  <c r="FN116" i="1" s="1"/>
  <c r="EC76" i="1"/>
  <c r="EE76" i="1" s="1"/>
  <c r="ET76" i="1" s="1"/>
  <c r="FC76" i="1" s="1"/>
  <c r="FD76" i="1" s="1"/>
  <c r="FL97" i="1"/>
  <c r="FM97" i="1" s="1"/>
  <c r="FN97" i="1" s="1"/>
  <c r="FP97" i="1" s="1"/>
  <c r="GD97" i="1" s="1"/>
  <c r="FL76" i="1"/>
  <c r="FM76" i="1" s="1"/>
  <c r="FN76" i="1" s="1"/>
  <c r="FP76" i="1" s="1"/>
  <c r="EC23" i="1"/>
  <c r="FO116" i="1"/>
  <c r="EC224" i="1"/>
  <c r="FO9" i="1"/>
  <c r="FP9" i="1" s="1"/>
  <c r="FU9" i="1" s="1"/>
  <c r="FV9" i="1" s="1"/>
  <c r="EC110" i="1"/>
  <c r="EE110" i="1" s="1"/>
  <c r="ET110" i="1" s="1"/>
  <c r="FC110" i="1" s="1"/>
  <c r="FE110" i="1" s="1"/>
  <c r="EC97" i="1"/>
  <c r="EE97" i="1" s="1"/>
  <c r="ET97" i="1" s="1"/>
  <c r="FC97" i="1" s="1"/>
  <c r="FD97" i="1" s="1"/>
  <c r="EB83" i="1"/>
  <c r="EE83" i="1" s="1"/>
  <c r="ET83" i="1" s="1"/>
  <c r="FC83" i="1" s="1"/>
  <c r="FD83" i="1" s="1"/>
  <c r="FO241" i="1"/>
  <c r="FP241" i="1" s="1"/>
  <c r="FO224" i="1"/>
  <c r="FP224" i="1" s="1"/>
  <c r="FL23" i="1"/>
  <c r="FM23" i="1" s="1"/>
  <c r="FN23" i="1" s="1"/>
  <c r="FP23" i="1" s="1"/>
  <c r="FO69" i="1"/>
  <c r="FP69" i="1" s="1"/>
  <c r="GG69" i="1" s="1"/>
  <c r="GH69" i="1" s="1"/>
  <c r="GI69" i="1" s="1"/>
  <c r="EC69" i="1"/>
  <c r="EE69" i="1" s="1"/>
  <c r="ET69" i="1" s="1"/>
  <c r="FC69" i="1" s="1"/>
  <c r="FD69" i="1" s="1"/>
  <c r="EC157" i="1"/>
  <c r="EE157" i="1" s="1"/>
  <c r="ET157" i="1" s="1"/>
  <c r="FC157" i="1" s="1"/>
  <c r="FE157" i="1" s="1"/>
  <c r="FO37" i="1"/>
  <c r="FP37" i="1" s="1"/>
  <c r="FL157" i="1"/>
  <c r="FM157" i="1" s="1"/>
  <c r="FN157" i="1" s="1"/>
  <c r="FP157" i="1" s="1"/>
  <c r="EC241" i="1"/>
  <c r="FO125" i="1"/>
  <c r="FL118" i="1"/>
  <c r="FM118" i="1" s="1"/>
  <c r="FN118" i="1" s="1"/>
  <c r="FO118" i="1"/>
  <c r="EC281" i="1"/>
  <c r="EE281" i="1" s="1"/>
  <c r="ET281" i="1" s="1"/>
  <c r="FC281" i="1" s="1"/>
  <c r="FE281" i="1" s="1"/>
  <c r="FO281" i="1"/>
  <c r="FP281" i="1" s="1"/>
  <c r="FL273" i="1"/>
  <c r="FM273" i="1" s="1"/>
  <c r="FN273" i="1" s="1"/>
  <c r="FO280" i="1"/>
  <c r="FP280" i="1" s="1"/>
  <c r="EC144" i="1"/>
  <c r="EC16" i="1"/>
  <c r="FL175" i="1"/>
  <c r="FM175" i="1" s="1"/>
  <c r="FN175" i="1" s="1"/>
  <c r="FP175" i="1" s="1"/>
  <c r="FQ175" i="1" s="1"/>
  <c r="FR175" i="1" s="1"/>
  <c r="FL245" i="1"/>
  <c r="FM245" i="1" s="1"/>
  <c r="FN245" i="1" s="1"/>
  <c r="FP245" i="1" s="1"/>
  <c r="FQ245" i="1" s="1"/>
  <c r="FR245" i="1" s="1"/>
  <c r="EC46" i="1"/>
  <c r="EB144" i="1"/>
  <c r="FO197" i="1"/>
  <c r="FL197" i="1"/>
  <c r="FM197" i="1" s="1"/>
  <c r="FN197" i="1" s="1"/>
  <c r="FO198" i="1"/>
  <c r="FP198" i="1" s="1"/>
  <c r="FW198" i="1" s="1"/>
  <c r="FX198" i="1" s="1"/>
  <c r="EB40" i="1"/>
  <c r="EE40" i="1" s="1"/>
  <c r="ET40" i="1" s="1"/>
  <c r="FC40" i="1" s="1"/>
  <c r="FD40" i="1" s="1"/>
  <c r="FO226" i="1"/>
  <c r="FP226" i="1" s="1"/>
  <c r="FW226" i="1" s="1"/>
  <c r="FX226" i="1" s="1"/>
  <c r="EB88" i="1"/>
  <c r="FL165" i="1"/>
  <c r="FM165" i="1" s="1"/>
  <c r="FN165" i="1" s="1"/>
  <c r="FP165" i="1" s="1"/>
  <c r="FL99" i="1"/>
  <c r="FM99" i="1" s="1"/>
  <c r="FN99" i="1" s="1"/>
  <c r="EB241" i="1"/>
  <c r="EB128" i="1"/>
  <c r="EB291" i="1"/>
  <c r="EC165" i="1"/>
  <c r="EC151" i="1"/>
  <c r="EE151" i="1" s="1"/>
  <c r="ET151" i="1" s="1"/>
  <c r="FC151" i="1" s="1"/>
  <c r="FE151" i="1" s="1"/>
  <c r="FO186" i="1"/>
  <c r="FP186" i="1" s="1"/>
  <c r="FL102" i="1"/>
  <c r="FM102" i="1" s="1"/>
  <c r="FN102" i="1" s="1"/>
  <c r="FP102" i="1" s="1"/>
  <c r="FW102" i="1" s="1"/>
  <c r="FX102" i="1" s="1"/>
  <c r="EC102" i="1"/>
  <c r="EE102" i="1" s="1"/>
  <c r="ET102" i="1" s="1"/>
  <c r="FC102" i="1" s="1"/>
  <c r="FE102" i="1" s="1"/>
  <c r="EC272" i="1"/>
  <c r="FL151" i="1"/>
  <c r="FM151" i="1" s="1"/>
  <c r="FN151" i="1" s="1"/>
  <c r="FP151" i="1" s="1"/>
  <c r="GE151" i="1" s="1"/>
  <c r="FL272" i="1"/>
  <c r="FM272" i="1" s="1"/>
  <c r="FN272" i="1" s="1"/>
  <c r="FP272" i="1" s="1"/>
  <c r="EC186" i="1"/>
  <c r="EE186" i="1" s="1"/>
  <c r="ET186" i="1" s="1"/>
  <c r="FC186" i="1" s="1"/>
  <c r="FE186" i="1" s="1"/>
  <c r="EC199" i="1"/>
  <c r="EE199" i="1" s="1"/>
  <c r="ET199" i="1" s="1"/>
  <c r="FC199" i="1" s="1"/>
  <c r="EB204" i="1"/>
  <c r="EC113" i="1"/>
  <c r="EE113" i="1" s="1"/>
  <c r="ET113" i="1" s="1"/>
  <c r="FC113" i="1" s="1"/>
  <c r="FE113" i="1" s="1"/>
  <c r="EE132" i="1"/>
  <c r="ET132" i="1" s="1"/>
  <c r="FC132" i="1" s="1"/>
  <c r="FE132" i="1" s="1"/>
  <c r="FL113" i="1"/>
  <c r="FM113" i="1" s="1"/>
  <c r="FN113" i="1" s="1"/>
  <c r="FP113" i="1" s="1"/>
  <c r="GE113" i="1" s="1"/>
  <c r="EC143" i="1"/>
  <c r="EE143" i="1" s="1"/>
  <c r="ET143" i="1" s="1"/>
  <c r="FC143" i="1" s="1"/>
  <c r="FE143" i="1" s="1"/>
  <c r="EC239" i="1"/>
  <c r="EE239" i="1" s="1"/>
  <c r="ET239" i="1" s="1"/>
  <c r="FC239" i="1" s="1"/>
  <c r="FE239" i="1" s="1"/>
  <c r="FO105" i="1"/>
  <c r="FL239" i="1"/>
  <c r="FM239" i="1" s="1"/>
  <c r="FN239" i="1" s="1"/>
  <c r="FP239" i="1" s="1"/>
  <c r="GE239" i="1" s="1"/>
  <c r="FL105" i="1"/>
  <c r="FM105" i="1" s="1"/>
  <c r="FN105" i="1" s="1"/>
  <c r="FL143" i="1"/>
  <c r="FM143" i="1" s="1"/>
  <c r="FN143" i="1" s="1"/>
  <c r="FP143" i="1" s="1"/>
  <c r="FW143" i="1" s="1"/>
  <c r="FX143" i="1" s="1"/>
  <c r="EC126" i="1"/>
  <c r="EE126" i="1" s="1"/>
  <c r="ET126" i="1" s="1"/>
  <c r="FC126" i="1" s="1"/>
  <c r="FL301" i="1"/>
  <c r="FM301" i="1" s="1"/>
  <c r="FN301" i="1" s="1"/>
  <c r="FP301" i="1" s="1"/>
  <c r="FQ301" i="1" s="1"/>
  <c r="FR301" i="1" s="1"/>
  <c r="FP132" i="1"/>
  <c r="EC294" i="1"/>
  <c r="EE294" i="1" s="1"/>
  <c r="ET294" i="1" s="1"/>
  <c r="FC294" i="1" s="1"/>
  <c r="FL46" i="1"/>
  <c r="FM46" i="1" s="1"/>
  <c r="FN46" i="1" s="1"/>
  <c r="FP46" i="1" s="1"/>
  <c r="FL39" i="1"/>
  <c r="FM39" i="1" s="1"/>
  <c r="FN39" i="1" s="1"/>
  <c r="FP39" i="1" s="1"/>
  <c r="GD39" i="1" s="1"/>
  <c r="EC245" i="1"/>
  <c r="EB64" i="1"/>
  <c r="EE64" i="1" s="1"/>
  <c r="ET64" i="1" s="1"/>
  <c r="FC64" i="1" s="1"/>
  <c r="EC185" i="1"/>
  <c r="EE185" i="1" s="1"/>
  <c r="ET185" i="1" s="1"/>
  <c r="FC185" i="1" s="1"/>
  <c r="FD185" i="1" s="1"/>
  <c r="EB286" i="1"/>
  <c r="FL185" i="1"/>
  <c r="FM185" i="1" s="1"/>
  <c r="FN185" i="1" s="1"/>
  <c r="FP185" i="1" s="1"/>
  <c r="FW185" i="1" s="1"/>
  <c r="FX185" i="1" s="1"/>
  <c r="EC28" i="1"/>
  <c r="FL236" i="1"/>
  <c r="FM236" i="1" s="1"/>
  <c r="FN236" i="1" s="1"/>
  <c r="FO222" i="1"/>
  <c r="FP222" i="1" s="1"/>
  <c r="FO28" i="1"/>
  <c r="FP28" i="1" s="1"/>
  <c r="GG28" i="1" s="1"/>
  <c r="GH28" i="1" s="1"/>
  <c r="GI28" i="1" s="1"/>
  <c r="FO276" i="1"/>
  <c r="FP276" i="1" s="1"/>
  <c r="FO293" i="1"/>
  <c r="FP293" i="1" s="1"/>
  <c r="FL152" i="1"/>
  <c r="FM152" i="1" s="1"/>
  <c r="FN152" i="1" s="1"/>
  <c r="FP152" i="1" s="1"/>
  <c r="FL126" i="1"/>
  <c r="FM126" i="1" s="1"/>
  <c r="FN126" i="1" s="1"/>
  <c r="FP126" i="1" s="1"/>
  <c r="GG126" i="1" s="1"/>
  <c r="GH126" i="1" s="1"/>
  <c r="GI126" i="1" s="1"/>
  <c r="FL7" i="1"/>
  <c r="FM7" i="1" s="1"/>
  <c r="FN7" i="1" s="1"/>
  <c r="FL36" i="1"/>
  <c r="FM36" i="1" s="1"/>
  <c r="FN36" i="1" s="1"/>
  <c r="FL262" i="1"/>
  <c r="FM262" i="1" s="1"/>
  <c r="FN262" i="1" s="1"/>
  <c r="EC286" i="1"/>
  <c r="EC301" i="1"/>
  <c r="EE301" i="1" s="1"/>
  <c r="ET301" i="1" s="1"/>
  <c r="FC301" i="1" s="1"/>
  <c r="FE301" i="1" s="1"/>
  <c r="FL286" i="1"/>
  <c r="FM286" i="1" s="1"/>
  <c r="FN286" i="1" s="1"/>
  <c r="FP286" i="1" s="1"/>
  <c r="GG286" i="1" s="1"/>
  <c r="GH286" i="1" s="1"/>
  <c r="GI286" i="1" s="1"/>
  <c r="FO7" i="1"/>
  <c r="FO133" i="1"/>
  <c r="FP133" i="1" s="1"/>
  <c r="FO262" i="1"/>
  <c r="EC158" i="1"/>
  <c r="EE158" i="1" s="1"/>
  <c r="ET158" i="1" s="1"/>
  <c r="FC158" i="1" s="1"/>
  <c r="FD158" i="1" s="1"/>
  <c r="FO124" i="1"/>
  <c r="FO236" i="1"/>
  <c r="EC117" i="1"/>
  <c r="EE117" i="1" s="1"/>
  <c r="ET117" i="1" s="1"/>
  <c r="FC117" i="1" s="1"/>
  <c r="EB282" i="1"/>
  <c r="EE282" i="1" s="1"/>
  <c r="ET282" i="1" s="1"/>
  <c r="FC282" i="1" s="1"/>
  <c r="FD282" i="1" s="1"/>
  <c r="FL124" i="1"/>
  <c r="FM124" i="1" s="1"/>
  <c r="FN124" i="1" s="1"/>
  <c r="FO94" i="1"/>
  <c r="FL94" i="1"/>
  <c r="FM94" i="1" s="1"/>
  <c r="FN94" i="1" s="1"/>
  <c r="EB147" i="1"/>
  <c r="FO196" i="1"/>
  <c r="FP196" i="1" s="1"/>
  <c r="GG196" i="1" s="1"/>
  <c r="GH196" i="1" s="1"/>
  <c r="GI196" i="1" s="1"/>
  <c r="EC291" i="1"/>
  <c r="FO36" i="1"/>
  <c r="EC196" i="1"/>
  <c r="EB152" i="1"/>
  <c r="EC150" i="1"/>
  <c r="EE150" i="1" s="1"/>
  <c r="ET150" i="1" s="1"/>
  <c r="FC150" i="1" s="1"/>
  <c r="FE150" i="1" s="1"/>
  <c r="FO150" i="1"/>
  <c r="FP150" i="1" s="1"/>
  <c r="FU150" i="1" s="1"/>
  <c r="FV150" i="1" s="1"/>
  <c r="FO117" i="1"/>
  <c r="FP117" i="1" s="1"/>
  <c r="FO158" i="1"/>
  <c r="FP158" i="1" s="1"/>
  <c r="EC222" i="1"/>
  <c r="EE222" i="1" s="1"/>
  <c r="ET222" i="1" s="1"/>
  <c r="FC222" i="1" s="1"/>
  <c r="FD222" i="1" s="1"/>
  <c r="EC61" i="1"/>
  <c r="FL284" i="1"/>
  <c r="FM284" i="1" s="1"/>
  <c r="FN284" i="1" s="1"/>
  <c r="FP284" i="1" s="1"/>
  <c r="FO110" i="1"/>
  <c r="FP110" i="1" s="1"/>
  <c r="FS110" i="1" s="1"/>
  <c r="FT110" i="1" s="1"/>
  <c r="FL131" i="1"/>
  <c r="FM131" i="1" s="1"/>
  <c r="FN131" i="1" s="1"/>
  <c r="FP131" i="1" s="1"/>
  <c r="FO271" i="1"/>
  <c r="FP271" i="1" s="1"/>
  <c r="EC9" i="1"/>
  <c r="EC284" i="1"/>
  <c r="EE284" i="1" s="1"/>
  <c r="ET284" i="1" s="1"/>
  <c r="FC284" i="1" s="1"/>
  <c r="EB226" i="1"/>
  <c r="EC41" i="1"/>
  <c r="EC279" i="1"/>
  <c r="EE279" i="1" s="1"/>
  <c r="ET279" i="1" s="1"/>
  <c r="FC279" i="1" s="1"/>
  <c r="FE279" i="1" s="1"/>
  <c r="FL125" i="1"/>
  <c r="FM125" i="1" s="1"/>
  <c r="FN125" i="1" s="1"/>
  <c r="EC280" i="1"/>
  <c r="EE280" i="1" s="1"/>
  <c r="ET280" i="1" s="1"/>
  <c r="FC280" i="1" s="1"/>
  <c r="FE280" i="1" s="1"/>
  <c r="EC253" i="1"/>
  <c r="EE253" i="1" s="1"/>
  <c r="ET253" i="1" s="1"/>
  <c r="FC253" i="1" s="1"/>
  <c r="FD253" i="1" s="1"/>
  <c r="FL149" i="1"/>
  <c r="FM149" i="1" s="1"/>
  <c r="FN149" i="1" s="1"/>
  <c r="FP149" i="1" s="1"/>
  <c r="EC149" i="1"/>
  <c r="EE149" i="1" s="1"/>
  <c r="ET149" i="1" s="1"/>
  <c r="FC149" i="1" s="1"/>
  <c r="FE149" i="1" s="1"/>
  <c r="FL279" i="1"/>
  <c r="FM279" i="1" s="1"/>
  <c r="FN279" i="1" s="1"/>
  <c r="FP279" i="1" s="1"/>
  <c r="FO273" i="1"/>
  <c r="EB100" i="1"/>
  <c r="EC12" i="1"/>
  <c r="FL300" i="1"/>
  <c r="FM300" i="1" s="1"/>
  <c r="FN300" i="1" s="1"/>
  <c r="FP300" i="1" s="1"/>
  <c r="FL20" i="1"/>
  <c r="FM20" i="1" s="1"/>
  <c r="FN20" i="1" s="1"/>
  <c r="FP20" i="1" s="1"/>
  <c r="EC39" i="1"/>
  <c r="FL96" i="1"/>
  <c r="FM96" i="1" s="1"/>
  <c r="FN96" i="1" s="1"/>
  <c r="FP96" i="1" s="1"/>
  <c r="FW96" i="1" s="1"/>
  <c r="FX96" i="1" s="1"/>
  <c r="EC100" i="1"/>
  <c r="FO50" i="1"/>
  <c r="FP50" i="1" s="1"/>
  <c r="FO45" i="1"/>
  <c r="FP45" i="1" s="1"/>
  <c r="FL12" i="1"/>
  <c r="FM12" i="1" s="1"/>
  <c r="FN12" i="1" s="1"/>
  <c r="FP12" i="1" s="1"/>
  <c r="EC271" i="1"/>
  <c r="EE271" i="1" s="1"/>
  <c r="ET271" i="1" s="1"/>
  <c r="FC271" i="1" s="1"/>
  <c r="FD271" i="1" s="1"/>
  <c r="EC96" i="1"/>
  <c r="EE96" i="1" s="1"/>
  <c r="ET96" i="1" s="1"/>
  <c r="FC96" i="1" s="1"/>
  <c r="FE96" i="1" s="1"/>
  <c r="EC35" i="1"/>
  <c r="FO139" i="1"/>
  <c r="FO184" i="1"/>
  <c r="FP184" i="1" s="1"/>
  <c r="FO174" i="1"/>
  <c r="FP174" i="1" s="1"/>
  <c r="GG174" i="1" s="1"/>
  <c r="GH174" i="1" s="1"/>
  <c r="GI174" i="1" s="1"/>
  <c r="FL250" i="1"/>
  <c r="FM250" i="1" s="1"/>
  <c r="FN250" i="1" s="1"/>
  <c r="FP250" i="1" s="1"/>
  <c r="FL61" i="1"/>
  <c r="FM61" i="1" s="1"/>
  <c r="FN61" i="1" s="1"/>
  <c r="FP61" i="1" s="1"/>
  <c r="FO35" i="1"/>
  <c r="FP35" i="1" s="1"/>
  <c r="GG35" i="1" s="1"/>
  <c r="GH35" i="1" s="1"/>
  <c r="GI35" i="1" s="1"/>
  <c r="FL289" i="1"/>
  <c r="FM289" i="1" s="1"/>
  <c r="FN289" i="1" s="1"/>
  <c r="FP289" i="1" s="1"/>
  <c r="FO283" i="1"/>
  <c r="FP283" i="1" s="1"/>
  <c r="FU283" i="1" s="1"/>
  <c r="FV283" i="1" s="1"/>
  <c r="EB245" i="1"/>
  <c r="EC172" i="1"/>
  <c r="EE172" i="1" s="1"/>
  <c r="ET172" i="1" s="1"/>
  <c r="FC172" i="1" s="1"/>
  <c r="FE172" i="1" s="1"/>
  <c r="EC184" i="1"/>
  <c r="EC283" i="1"/>
  <c r="EE283" i="1" s="1"/>
  <c r="ET283" i="1" s="1"/>
  <c r="FC283" i="1" s="1"/>
  <c r="FE283" i="1" s="1"/>
  <c r="EC289" i="1"/>
  <c r="EE289" i="1" s="1"/>
  <c r="ET289" i="1" s="1"/>
  <c r="FC289" i="1" s="1"/>
  <c r="FD289" i="1" s="1"/>
  <c r="EC146" i="1"/>
  <c r="EE146" i="1" s="1"/>
  <c r="ET146" i="1" s="1"/>
  <c r="FC146" i="1" s="1"/>
  <c r="FE146" i="1" s="1"/>
  <c r="EC174" i="1"/>
  <c r="EC131" i="1"/>
  <c r="EC20" i="1"/>
  <c r="EC57" i="1"/>
  <c r="FL172" i="1"/>
  <c r="FM172" i="1" s="1"/>
  <c r="FN172" i="1" s="1"/>
  <c r="FP172" i="1" s="1"/>
  <c r="GD172" i="1" s="1"/>
  <c r="FO41" i="1"/>
  <c r="FP41" i="1" s="1"/>
  <c r="FL146" i="1"/>
  <c r="FM146" i="1" s="1"/>
  <c r="FN146" i="1" s="1"/>
  <c r="FP146" i="1" s="1"/>
  <c r="GE146" i="1" s="1"/>
  <c r="EB180" i="1"/>
  <c r="EE180" i="1" s="1"/>
  <c r="ET180" i="1" s="1"/>
  <c r="FC180" i="1" s="1"/>
  <c r="EB237" i="1"/>
  <c r="EB86" i="1"/>
  <c r="FO294" i="1"/>
  <c r="FP294" i="1" s="1"/>
  <c r="EB196" i="1"/>
  <c r="EB141" i="1"/>
  <c r="EE141" i="1" s="1"/>
  <c r="ET141" i="1" s="1"/>
  <c r="FC141" i="1" s="1"/>
  <c r="FE141" i="1" s="1"/>
  <c r="EB262" i="1"/>
  <c r="EE262" i="1" s="1"/>
  <c r="ET262" i="1" s="1"/>
  <c r="FC262" i="1" s="1"/>
  <c r="FE262" i="1" s="1"/>
  <c r="EB12" i="1"/>
  <c r="EC133" i="1"/>
  <c r="EC161" i="1"/>
  <c r="EE161" i="1" s="1"/>
  <c r="ET161" i="1" s="1"/>
  <c r="FC161" i="1" s="1"/>
  <c r="FD161" i="1" s="1"/>
  <c r="EB3" i="1"/>
  <c r="FO29" i="1"/>
  <c r="FP29" i="1" s="1"/>
  <c r="FL10" i="1"/>
  <c r="FM10" i="1" s="1"/>
  <c r="FN10" i="1" s="1"/>
  <c r="FO161" i="1"/>
  <c r="FP161" i="1" s="1"/>
  <c r="FQ161" i="1" s="1"/>
  <c r="FR161" i="1" s="1"/>
  <c r="EC298" i="1"/>
  <c r="EE298" i="1" s="1"/>
  <c r="ET298" i="1" s="1"/>
  <c r="FC298" i="1" s="1"/>
  <c r="FE298" i="1" s="1"/>
  <c r="EC29" i="1"/>
  <c r="EC293" i="1"/>
  <c r="EE293" i="1" s="1"/>
  <c r="ET293" i="1" s="1"/>
  <c r="FC293" i="1" s="1"/>
  <c r="FE293" i="1" s="1"/>
  <c r="FL67" i="1"/>
  <c r="FM67" i="1" s="1"/>
  <c r="FN67" i="1" s="1"/>
  <c r="FP67" i="1" s="1"/>
  <c r="FW67" i="1" s="1"/>
  <c r="FX67" i="1" s="1"/>
  <c r="FL210" i="1"/>
  <c r="FM210" i="1" s="1"/>
  <c r="FN210" i="1" s="1"/>
  <c r="FP210" i="1" s="1"/>
  <c r="GG210" i="1" s="1"/>
  <c r="GH210" i="1" s="1"/>
  <c r="GI210" i="1" s="1"/>
  <c r="EC77" i="1"/>
  <c r="EE77" i="1" s="1"/>
  <c r="ET77" i="1" s="1"/>
  <c r="FC77" i="1" s="1"/>
  <c r="FE77" i="1" s="1"/>
  <c r="EC248" i="1"/>
  <c r="EE248" i="1" s="1"/>
  <c r="ET248" i="1" s="1"/>
  <c r="FC248" i="1" s="1"/>
  <c r="EC192" i="1"/>
  <c r="EE192" i="1" s="1"/>
  <c r="ET192" i="1" s="1"/>
  <c r="FC192" i="1" s="1"/>
  <c r="FD192" i="1" s="1"/>
  <c r="FO103" i="1"/>
  <c r="FP103" i="1" s="1"/>
  <c r="FW103" i="1" s="1"/>
  <c r="FX103" i="1" s="1"/>
  <c r="FL106" i="1"/>
  <c r="FM106" i="1" s="1"/>
  <c r="FN106" i="1" s="1"/>
  <c r="FL24" i="1"/>
  <c r="FM24" i="1" s="1"/>
  <c r="FN24" i="1" s="1"/>
  <c r="FL193" i="1"/>
  <c r="FM193" i="1" s="1"/>
  <c r="FN193" i="1" s="1"/>
  <c r="FP193" i="1" s="1"/>
  <c r="GE193" i="1" s="1"/>
  <c r="EC206" i="1"/>
  <c r="EE206" i="1" s="1"/>
  <c r="ET206" i="1" s="1"/>
  <c r="FC206" i="1" s="1"/>
  <c r="FD206" i="1" s="1"/>
  <c r="FL216" i="1"/>
  <c r="FM216" i="1" s="1"/>
  <c r="FN216" i="1" s="1"/>
  <c r="FP216" i="1" s="1"/>
  <c r="FL298" i="1"/>
  <c r="FM298" i="1" s="1"/>
  <c r="FN298" i="1" s="1"/>
  <c r="FP298" i="1" s="1"/>
  <c r="EC216" i="1"/>
  <c r="EE216" i="1" s="1"/>
  <c r="ET216" i="1" s="1"/>
  <c r="FC216" i="1" s="1"/>
  <c r="FD216" i="1" s="1"/>
  <c r="FO93" i="1"/>
  <c r="FL248" i="1"/>
  <c r="FM248" i="1" s="1"/>
  <c r="FN248" i="1" s="1"/>
  <c r="FP248" i="1" s="1"/>
  <c r="FL114" i="1"/>
  <c r="FM114" i="1" s="1"/>
  <c r="FN114" i="1" s="1"/>
  <c r="FP114" i="1" s="1"/>
  <c r="GD114" i="1" s="1"/>
  <c r="EC103" i="1"/>
  <c r="EE103" i="1" s="1"/>
  <c r="ET103" i="1" s="1"/>
  <c r="FC103" i="1" s="1"/>
  <c r="FE103" i="1" s="1"/>
  <c r="EC237" i="1"/>
  <c r="EC114" i="1"/>
  <c r="EE114" i="1" s="1"/>
  <c r="ET114" i="1" s="1"/>
  <c r="FC114" i="1" s="1"/>
  <c r="FL192" i="1"/>
  <c r="FM192" i="1" s="1"/>
  <c r="FN192" i="1" s="1"/>
  <c r="FP192" i="1" s="1"/>
  <c r="GG192" i="1" s="1"/>
  <c r="GH192" i="1" s="1"/>
  <c r="GI192" i="1" s="1"/>
  <c r="FO188" i="1"/>
  <c r="FP188" i="1" s="1"/>
  <c r="FO218" i="1"/>
  <c r="EC89" i="1"/>
  <c r="EE89" i="1" s="1"/>
  <c r="ET89" i="1" s="1"/>
  <c r="FC89" i="1" s="1"/>
  <c r="FE89" i="1" s="1"/>
  <c r="EC140" i="1"/>
  <c r="EE140" i="1" s="1"/>
  <c r="ET140" i="1" s="1"/>
  <c r="FC140" i="1" s="1"/>
  <c r="FD140" i="1" s="1"/>
  <c r="EC193" i="1"/>
  <c r="EE193" i="1" s="1"/>
  <c r="ET193" i="1" s="1"/>
  <c r="FC193" i="1" s="1"/>
  <c r="FE193" i="1" s="1"/>
  <c r="EB16" i="1"/>
  <c r="EE16" i="1" s="1"/>
  <c r="ET16" i="1" s="1"/>
  <c r="FC16" i="1" s="1"/>
  <c r="FD16" i="1" s="1"/>
  <c r="EC215" i="1"/>
  <c r="EC300" i="1"/>
  <c r="EE300" i="1" s="1"/>
  <c r="ET300" i="1" s="1"/>
  <c r="FC300" i="1" s="1"/>
  <c r="FE300" i="1" s="1"/>
  <c r="EB168" i="1"/>
  <c r="EE168" i="1" s="1"/>
  <c r="ET168" i="1" s="1"/>
  <c r="FC168" i="1" s="1"/>
  <c r="FD168" i="1" s="1"/>
  <c r="EC136" i="1"/>
  <c r="EE136" i="1" s="1"/>
  <c r="ET136" i="1" s="1"/>
  <c r="FC136" i="1" s="1"/>
  <c r="FD136" i="1" s="1"/>
  <c r="EC152" i="1"/>
  <c r="EC50" i="1"/>
  <c r="EC148" i="1"/>
  <c r="EE148" i="1" s="1"/>
  <c r="ET148" i="1" s="1"/>
  <c r="FC148" i="1" s="1"/>
  <c r="FE148" i="1" s="1"/>
  <c r="FO148" i="1"/>
  <c r="FP148" i="1" s="1"/>
  <c r="FO215" i="1"/>
  <c r="FP215" i="1" s="1"/>
  <c r="FO136" i="1"/>
  <c r="FP136" i="1" s="1"/>
  <c r="FQ136" i="1" s="1"/>
  <c r="FL291" i="1"/>
  <c r="FM291" i="1" s="1"/>
  <c r="FN291" i="1" s="1"/>
  <c r="FP291" i="1" s="1"/>
  <c r="EC84" i="1"/>
  <c r="EE84" i="1" s="1"/>
  <c r="ET84" i="1" s="1"/>
  <c r="FC84" i="1" s="1"/>
  <c r="FE84" i="1" s="1"/>
  <c r="FL84" i="1"/>
  <c r="FM84" i="1" s="1"/>
  <c r="FN84" i="1" s="1"/>
  <c r="FP84" i="1" s="1"/>
  <c r="GG84" i="1" s="1"/>
  <c r="GH84" i="1" s="1"/>
  <c r="GI84" i="1" s="1"/>
  <c r="EC228" i="1"/>
  <c r="EE228" i="1" s="1"/>
  <c r="ET228" i="1" s="1"/>
  <c r="FC228" i="1" s="1"/>
  <c r="FE228" i="1" s="1"/>
  <c r="EC190" i="1"/>
  <c r="EE190" i="1" s="1"/>
  <c r="ET190" i="1" s="1"/>
  <c r="FC190" i="1" s="1"/>
  <c r="FE190" i="1" s="1"/>
  <c r="EC188" i="1"/>
  <c r="EE188" i="1" s="1"/>
  <c r="ET188" i="1" s="1"/>
  <c r="FC188" i="1" s="1"/>
  <c r="FE188" i="1" s="1"/>
  <c r="FL163" i="1"/>
  <c r="FM163" i="1" s="1"/>
  <c r="FN163" i="1" s="1"/>
  <c r="FP163" i="1" s="1"/>
  <c r="FY163" i="1" s="1"/>
  <c r="FZ163" i="1" s="1"/>
  <c r="FL64" i="1"/>
  <c r="FM64" i="1" s="1"/>
  <c r="FN64" i="1" s="1"/>
  <c r="FO90" i="1"/>
  <c r="FO166" i="1"/>
  <c r="FO106" i="1"/>
  <c r="FO24" i="1"/>
  <c r="FL93" i="1"/>
  <c r="FM93" i="1" s="1"/>
  <c r="FN93" i="1" s="1"/>
  <c r="FL218" i="1"/>
  <c r="FM218" i="1" s="1"/>
  <c r="FN218" i="1" s="1"/>
  <c r="FL17" i="1"/>
  <c r="FM17" i="1" s="1"/>
  <c r="FN17" i="1" s="1"/>
  <c r="FL140" i="1"/>
  <c r="FM140" i="1" s="1"/>
  <c r="FN140" i="1" s="1"/>
  <c r="FP140" i="1" s="1"/>
  <c r="EC75" i="1"/>
  <c r="EE75" i="1" s="1"/>
  <c r="ET75" i="1" s="1"/>
  <c r="FC75" i="1" s="1"/>
  <c r="FD75" i="1" s="1"/>
  <c r="EC285" i="1"/>
  <c r="FL91" i="1"/>
  <c r="FM91" i="1" s="1"/>
  <c r="FN91" i="1" s="1"/>
  <c r="FP91" i="1" s="1"/>
  <c r="FW91" i="1" s="1"/>
  <c r="FX91" i="1" s="1"/>
  <c r="FO285" i="1"/>
  <c r="FP285" i="1" s="1"/>
  <c r="GG285" i="1" s="1"/>
  <c r="GH285" i="1" s="1"/>
  <c r="GI285" i="1" s="1"/>
  <c r="FL166" i="1"/>
  <c r="FM166" i="1" s="1"/>
  <c r="FN166" i="1" s="1"/>
  <c r="FO155" i="1"/>
  <c r="FP155" i="1" s="1"/>
  <c r="FL254" i="1"/>
  <c r="FM254" i="1" s="1"/>
  <c r="FN254" i="1" s="1"/>
  <c r="FP254" i="1" s="1"/>
  <c r="FW254" i="1" s="1"/>
  <c r="FX254" i="1" s="1"/>
  <c r="FO75" i="1"/>
  <c r="FP75" i="1" s="1"/>
  <c r="GG75" i="1" s="1"/>
  <c r="GH75" i="1" s="1"/>
  <c r="GI75" i="1" s="1"/>
  <c r="FO17" i="1"/>
  <c r="FL237" i="1"/>
  <c r="FM237" i="1" s="1"/>
  <c r="FN237" i="1" s="1"/>
  <c r="FP237" i="1" s="1"/>
  <c r="GD237" i="1" s="1"/>
  <c r="FO206" i="1"/>
  <c r="FP206" i="1" s="1"/>
  <c r="FW206" i="1" s="1"/>
  <c r="FX206" i="1" s="1"/>
  <c r="FL11" i="1"/>
  <c r="FM11" i="1" s="1"/>
  <c r="FN11" i="1" s="1"/>
  <c r="FP11" i="1" s="1"/>
  <c r="FS11" i="1" s="1"/>
  <c r="FT11" i="1" s="1"/>
  <c r="FO18" i="1"/>
  <c r="FP18" i="1" s="1"/>
  <c r="GG18" i="1" s="1"/>
  <c r="GH18" i="1" s="1"/>
  <c r="GI18" i="1" s="1"/>
  <c r="EC155" i="1"/>
  <c r="EC254" i="1"/>
  <c r="EC138" i="1"/>
  <c r="EC18" i="1"/>
  <c r="EC11" i="1"/>
  <c r="FL171" i="1"/>
  <c r="FM171" i="1" s="1"/>
  <c r="FN171" i="1" s="1"/>
  <c r="FP171" i="1" s="1"/>
  <c r="EC292" i="1"/>
  <c r="EC67" i="1"/>
  <c r="EE67" i="1" s="1"/>
  <c r="ET67" i="1" s="1"/>
  <c r="FC67" i="1" s="1"/>
  <c r="FD67" i="1" s="1"/>
  <c r="FO10" i="1"/>
  <c r="FL51" i="1"/>
  <c r="FM51" i="1" s="1"/>
  <c r="FN51" i="1" s="1"/>
  <c r="EC72" i="1"/>
  <c r="EE72" i="1" s="1"/>
  <c r="ET72" i="1" s="1"/>
  <c r="FC72" i="1" s="1"/>
  <c r="EB155" i="1"/>
  <c r="EB263" i="1"/>
  <c r="EC213" i="1"/>
  <c r="EC203" i="1"/>
  <c r="FO72" i="1"/>
  <c r="FP72" i="1" s="1"/>
  <c r="FW72" i="1" s="1"/>
  <c r="FX72" i="1" s="1"/>
  <c r="FO292" i="1"/>
  <c r="FP292" i="1" s="1"/>
  <c r="FS292" i="1" s="1"/>
  <c r="FT292" i="1" s="1"/>
  <c r="FO51" i="1"/>
  <c r="DZ72" i="1"/>
  <c r="EC276" i="1"/>
  <c r="EE276" i="1" s="1"/>
  <c r="ET276" i="1" s="1"/>
  <c r="FC276" i="1" s="1"/>
  <c r="FE276" i="1" s="1"/>
  <c r="EB254" i="1"/>
  <c r="EC210" i="1"/>
  <c r="FO209" i="1"/>
  <c r="FP209" i="1" s="1"/>
  <c r="FO99" i="1"/>
  <c r="FL100" i="1"/>
  <c r="FM100" i="1" s="1"/>
  <c r="FN100" i="1" s="1"/>
  <c r="FP100" i="1" s="1"/>
  <c r="GE100" i="1" s="1"/>
  <c r="EC209" i="1"/>
  <c r="EC238" i="1"/>
  <c r="EE238" i="1" s="1"/>
  <c r="ET238" i="1" s="1"/>
  <c r="FC238" i="1" s="1"/>
  <c r="FE238" i="1" s="1"/>
  <c r="EC55" i="1"/>
  <c r="EC19" i="1"/>
  <c r="FL238" i="1"/>
  <c r="FM238" i="1" s="1"/>
  <c r="FN238" i="1" s="1"/>
  <c r="FP238" i="1" s="1"/>
  <c r="FO55" i="1"/>
  <c r="FP55" i="1" s="1"/>
  <c r="FO112" i="1"/>
  <c r="FP112" i="1" s="1"/>
  <c r="GD112" i="1" s="1"/>
  <c r="FO19" i="1"/>
  <c r="FP19" i="1" s="1"/>
  <c r="EC112" i="1"/>
  <c r="FL135" i="1"/>
  <c r="FM135" i="1" s="1"/>
  <c r="FN135" i="1" s="1"/>
  <c r="EC290" i="1"/>
  <c r="FL139" i="1"/>
  <c r="FM139" i="1" s="1"/>
  <c r="FN139" i="1" s="1"/>
  <c r="FL59" i="1"/>
  <c r="FM59" i="1" s="1"/>
  <c r="FN59" i="1" s="1"/>
  <c r="FP59" i="1" s="1"/>
  <c r="EC45" i="1"/>
  <c r="EE45" i="1" s="1"/>
  <c r="ET45" i="1" s="1"/>
  <c r="FC45" i="1" s="1"/>
  <c r="FE45" i="1" s="1"/>
  <c r="EC88" i="1"/>
  <c r="EC59" i="1"/>
  <c r="FO88" i="1"/>
  <c r="FP88" i="1" s="1"/>
  <c r="FS88" i="1" s="1"/>
  <c r="FT88" i="1" s="1"/>
  <c r="FO290" i="1"/>
  <c r="FP290" i="1" s="1"/>
  <c r="FS290" i="1" s="1"/>
  <c r="FT290" i="1" s="1"/>
  <c r="EC56" i="1"/>
  <c r="EE56" i="1" s="1"/>
  <c r="ET56" i="1" s="1"/>
  <c r="FC56" i="1" s="1"/>
  <c r="EC250" i="1"/>
  <c r="EE250" i="1" s="1"/>
  <c r="ET250" i="1" s="1"/>
  <c r="FC250" i="1" s="1"/>
  <c r="EB208" i="1"/>
  <c r="FO267" i="1"/>
  <c r="FO135" i="1"/>
  <c r="FO287" i="1"/>
  <c r="FL287" i="1"/>
  <c r="FM287" i="1" s="1"/>
  <c r="FN287" i="1" s="1"/>
  <c r="EC66" i="1"/>
  <c r="EE66" i="1" s="1"/>
  <c r="ET66" i="1" s="1"/>
  <c r="FC66" i="1" s="1"/>
  <c r="FO247" i="1"/>
  <c r="FL247" i="1"/>
  <c r="FM247" i="1" s="1"/>
  <c r="FN247" i="1" s="1"/>
  <c r="FO89" i="1"/>
  <c r="FP89" i="1" s="1"/>
  <c r="FL129" i="1"/>
  <c r="FM129" i="1" s="1"/>
  <c r="FN129" i="1" s="1"/>
  <c r="FL228" i="1"/>
  <c r="FM228" i="1" s="1"/>
  <c r="FN228" i="1" s="1"/>
  <c r="FP228" i="1" s="1"/>
  <c r="EC263" i="1"/>
  <c r="FL66" i="1"/>
  <c r="FM66" i="1" s="1"/>
  <c r="FN66" i="1" s="1"/>
  <c r="FP66" i="1" s="1"/>
  <c r="FL263" i="1"/>
  <c r="FM263" i="1" s="1"/>
  <c r="FN263" i="1" s="1"/>
  <c r="FP263" i="1" s="1"/>
  <c r="FW263" i="1" s="1"/>
  <c r="FX263" i="1" s="1"/>
  <c r="FL190" i="1"/>
  <c r="FM190" i="1" s="1"/>
  <c r="FN190" i="1" s="1"/>
  <c r="FP190" i="1" s="1"/>
  <c r="FO129" i="1"/>
  <c r="FL27" i="1"/>
  <c r="FM27" i="1" s="1"/>
  <c r="FN27" i="1" s="1"/>
  <c r="FP27" i="1" s="1"/>
  <c r="FW27" i="1" s="1"/>
  <c r="FX27" i="1" s="1"/>
  <c r="EC162" i="1"/>
  <c r="EE162" i="1" s="1"/>
  <c r="ET162" i="1" s="1"/>
  <c r="FC162" i="1" s="1"/>
  <c r="FD162" i="1" s="1"/>
  <c r="EB104" i="1"/>
  <c r="EE104" i="1" s="1"/>
  <c r="ET104" i="1" s="1"/>
  <c r="FC104" i="1" s="1"/>
  <c r="FL195" i="1"/>
  <c r="FM195" i="1" s="1"/>
  <c r="FN195" i="1" s="1"/>
  <c r="FP195" i="1" s="1"/>
  <c r="FL213" i="1"/>
  <c r="FM213" i="1" s="1"/>
  <c r="FN213" i="1" s="1"/>
  <c r="FP213" i="1" s="1"/>
  <c r="FO162" i="1"/>
  <c r="FP162" i="1" s="1"/>
  <c r="FU162" i="1" s="1"/>
  <c r="FV162" i="1" s="1"/>
  <c r="FO258" i="1"/>
  <c r="FP258" i="1" s="1"/>
  <c r="EB217" i="1"/>
  <c r="EC201" i="1"/>
  <c r="EE201" i="1" s="1"/>
  <c r="ET201" i="1" s="1"/>
  <c r="FC201" i="1" s="1"/>
  <c r="FD201" i="1" s="1"/>
  <c r="FO266" i="1"/>
  <c r="FO40" i="1"/>
  <c r="FL40" i="1"/>
  <c r="FM40" i="1" s="1"/>
  <c r="FN40" i="1" s="1"/>
  <c r="EB112" i="1"/>
  <c r="EB184" i="1"/>
  <c r="FL203" i="1"/>
  <c r="FM203" i="1" s="1"/>
  <c r="FN203" i="1" s="1"/>
  <c r="FP203" i="1" s="1"/>
  <c r="FS203" i="1" s="1"/>
  <c r="FT203" i="1" s="1"/>
  <c r="FO38" i="1"/>
  <c r="FP38" i="1" s="1"/>
  <c r="EC38" i="1"/>
  <c r="FL77" i="1"/>
  <c r="FM77" i="1" s="1"/>
  <c r="FN77" i="1" s="1"/>
  <c r="FP77" i="1" s="1"/>
  <c r="FW77" i="1" s="1"/>
  <c r="FX77" i="1" s="1"/>
  <c r="EC26" i="1"/>
  <c r="FL278" i="1"/>
  <c r="FM278" i="1" s="1"/>
  <c r="FN278" i="1" s="1"/>
  <c r="FP278" i="1" s="1"/>
  <c r="FO26" i="1"/>
  <c r="FP26" i="1" s="1"/>
  <c r="FO74" i="1"/>
  <c r="EC278" i="1"/>
  <c r="EE278" i="1" s="1"/>
  <c r="ET278" i="1" s="1"/>
  <c r="FC278" i="1" s="1"/>
  <c r="FL74" i="1"/>
  <c r="FM74" i="1" s="1"/>
  <c r="FN74" i="1" s="1"/>
  <c r="EC258" i="1"/>
  <c r="FL227" i="1"/>
  <c r="FM227" i="1" s="1"/>
  <c r="FN227" i="1" s="1"/>
  <c r="FP227" i="1" s="1"/>
  <c r="EC227" i="1"/>
  <c r="EE227" i="1" s="1"/>
  <c r="ET227" i="1" s="1"/>
  <c r="FC227" i="1" s="1"/>
  <c r="FD227" i="1" s="1"/>
  <c r="EB209" i="1"/>
  <c r="FO259" i="1"/>
  <c r="FP259" i="1" s="1"/>
  <c r="FL267" i="1"/>
  <c r="FM267" i="1" s="1"/>
  <c r="FN267" i="1" s="1"/>
  <c r="EB156" i="1"/>
  <c r="FL109" i="1"/>
  <c r="FM109" i="1" s="1"/>
  <c r="FN109" i="1" s="1"/>
  <c r="EC73" i="1"/>
  <c r="EE73" i="1" s="1"/>
  <c r="ET73" i="1" s="1"/>
  <c r="FC73" i="1" s="1"/>
  <c r="FD73" i="1" s="1"/>
  <c r="EB247" i="1"/>
  <c r="EE247" i="1" s="1"/>
  <c r="ET247" i="1" s="1"/>
  <c r="FC247" i="1" s="1"/>
  <c r="FE247" i="1" s="1"/>
  <c r="FO73" i="1"/>
  <c r="FP73" i="1" s="1"/>
  <c r="FO86" i="1"/>
  <c r="FP86" i="1" s="1"/>
  <c r="FL142" i="1"/>
  <c r="FM142" i="1" s="1"/>
  <c r="FN142" i="1" s="1"/>
  <c r="EC86" i="1"/>
  <c r="FO142" i="1"/>
  <c r="FL282" i="1"/>
  <c r="FM282" i="1" s="1"/>
  <c r="FN282" i="1" s="1"/>
  <c r="FL180" i="1"/>
  <c r="FM180" i="1" s="1"/>
  <c r="FN180" i="1" s="1"/>
  <c r="FO282" i="1"/>
  <c r="EC219" i="1"/>
  <c r="EE219" i="1" s="1"/>
  <c r="ET219" i="1" s="1"/>
  <c r="FC219" i="1" s="1"/>
  <c r="EC42" i="1"/>
  <c r="FO219" i="1"/>
  <c r="FP219" i="1" s="1"/>
  <c r="FO180" i="1"/>
  <c r="EC235" i="1"/>
  <c r="EE235" i="1" s="1"/>
  <c r="ET235" i="1" s="1"/>
  <c r="FC235" i="1" s="1"/>
  <c r="FE235" i="1" s="1"/>
  <c r="FL42" i="1"/>
  <c r="FM42" i="1" s="1"/>
  <c r="FN42" i="1" s="1"/>
  <c r="FP42" i="1" s="1"/>
  <c r="FQ42" i="1" s="1"/>
  <c r="FR42" i="1" s="1"/>
  <c r="FO235" i="1"/>
  <c r="FP235" i="1" s="1"/>
  <c r="EB138" i="1"/>
  <c r="FL266" i="1"/>
  <c r="FM266" i="1" s="1"/>
  <c r="FN266" i="1" s="1"/>
  <c r="FO275" i="1"/>
  <c r="FP275" i="1" s="1"/>
  <c r="FY275" i="1" s="1"/>
  <c r="FZ275" i="1" s="1"/>
  <c r="FO108" i="1"/>
  <c r="FP108" i="1" s="1"/>
  <c r="FY108" i="1" s="1"/>
  <c r="FZ108" i="1" s="1"/>
  <c r="EB242" i="1"/>
  <c r="EE242" i="1" s="1"/>
  <c r="ET242" i="1" s="1"/>
  <c r="FC242" i="1" s="1"/>
  <c r="EC195" i="1"/>
  <c r="EE195" i="1" s="1"/>
  <c r="ET195" i="1" s="1"/>
  <c r="FC195" i="1" s="1"/>
  <c r="EC108" i="1"/>
  <c r="EE108" i="1" s="1"/>
  <c r="ET108" i="1" s="1"/>
  <c r="FC108" i="1" s="1"/>
  <c r="FD108" i="1" s="1"/>
  <c r="EC275" i="1"/>
  <c r="EE275" i="1" s="1"/>
  <c r="ET275" i="1" s="1"/>
  <c r="FC275" i="1" s="1"/>
  <c r="FE275" i="1" s="1"/>
  <c r="EC128" i="1"/>
  <c r="EE128" i="1" s="1"/>
  <c r="ET128" i="1" s="1"/>
  <c r="FC128" i="1" s="1"/>
  <c r="FO138" i="1"/>
  <c r="FP138" i="1" s="1"/>
  <c r="EE265" i="1"/>
  <c r="ET265" i="1" s="1"/>
  <c r="FC265" i="1" s="1"/>
  <c r="FE265" i="1" s="1"/>
  <c r="EC5" i="1"/>
  <c r="EC33" i="1"/>
  <c r="EE33" i="1" s="1"/>
  <c r="ET33" i="1" s="1"/>
  <c r="FC33" i="1" s="1"/>
  <c r="FD33" i="1" s="1"/>
  <c r="FL205" i="1"/>
  <c r="FM205" i="1" s="1"/>
  <c r="FN205" i="1" s="1"/>
  <c r="FP205" i="1" s="1"/>
  <c r="FO5" i="1"/>
  <c r="FP5" i="1" s="1"/>
  <c r="GD5" i="1" s="1"/>
  <c r="FL33" i="1"/>
  <c r="FM33" i="1" s="1"/>
  <c r="FN33" i="1" s="1"/>
  <c r="FP33" i="1" s="1"/>
  <c r="FL90" i="1"/>
  <c r="FM90" i="1" s="1"/>
  <c r="FN90" i="1" s="1"/>
  <c r="EC205" i="1"/>
  <c r="EE205" i="1" s="1"/>
  <c r="ET205" i="1" s="1"/>
  <c r="FC205" i="1" s="1"/>
  <c r="FD205" i="1" s="1"/>
  <c r="FL98" i="1"/>
  <c r="FM98" i="1" s="1"/>
  <c r="FN98" i="1" s="1"/>
  <c r="FP98" i="1" s="1"/>
  <c r="FO128" i="1"/>
  <c r="FP128" i="1" s="1"/>
  <c r="EC91" i="1"/>
  <c r="EE91" i="1" s="1"/>
  <c r="ET91" i="1" s="1"/>
  <c r="FC91" i="1" s="1"/>
  <c r="FE91" i="1" s="1"/>
  <c r="FO134" i="1"/>
  <c r="FO64" i="1"/>
  <c r="EC122" i="1"/>
  <c r="EE122" i="1" s="1"/>
  <c r="ET122" i="1" s="1"/>
  <c r="FC122" i="1" s="1"/>
  <c r="FD122" i="1" s="1"/>
  <c r="EC163" i="1"/>
  <c r="EE163" i="1" s="1"/>
  <c r="ET163" i="1" s="1"/>
  <c r="FC163" i="1" s="1"/>
  <c r="FD163" i="1" s="1"/>
  <c r="EC296" i="1"/>
  <c r="EE296" i="1" s="1"/>
  <c r="ET296" i="1" s="1"/>
  <c r="FC296" i="1" s="1"/>
  <c r="FE296" i="1" s="1"/>
  <c r="EC27" i="1"/>
  <c r="EC85" i="1"/>
  <c r="EE85" i="1" s="1"/>
  <c r="ET85" i="1" s="1"/>
  <c r="FC85" i="1" s="1"/>
  <c r="FE85" i="1" s="1"/>
  <c r="FL265" i="1"/>
  <c r="FM265" i="1" s="1"/>
  <c r="FN265" i="1" s="1"/>
  <c r="FL134" i="1"/>
  <c r="FM134" i="1" s="1"/>
  <c r="FN134" i="1" s="1"/>
  <c r="FP134" i="1" s="1"/>
  <c r="FL130" i="1"/>
  <c r="FM130" i="1" s="1"/>
  <c r="FN130" i="1" s="1"/>
  <c r="FP130" i="1" s="1"/>
  <c r="EC156" i="1"/>
  <c r="EC264" i="1"/>
  <c r="EE264" i="1" s="1"/>
  <c r="ET264" i="1" s="1"/>
  <c r="FC264" i="1" s="1"/>
  <c r="FE264" i="1" s="1"/>
  <c r="EC171" i="1"/>
  <c r="EE171" i="1" s="1"/>
  <c r="ET171" i="1" s="1"/>
  <c r="FC171" i="1" s="1"/>
  <c r="FO296" i="1"/>
  <c r="FP296" i="1" s="1"/>
  <c r="FO265" i="1"/>
  <c r="FL156" i="1"/>
  <c r="FM156" i="1" s="1"/>
  <c r="FN156" i="1" s="1"/>
  <c r="FP156" i="1" s="1"/>
  <c r="EC177" i="1"/>
  <c r="EE177" i="1" s="1"/>
  <c r="ET177" i="1" s="1"/>
  <c r="FC177" i="1" s="1"/>
  <c r="EC260" i="1"/>
  <c r="EE260" i="1" s="1"/>
  <c r="ET260" i="1" s="1"/>
  <c r="FC260" i="1" s="1"/>
  <c r="FD260" i="1" s="1"/>
  <c r="EC130" i="1"/>
  <c r="EE130" i="1" s="1"/>
  <c r="ET130" i="1" s="1"/>
  <c r="FC130" i="1" s="1"/>
  <c r="FE130" i="1" s="1"/>
  <c r="EC211" i="1"/>
  <c r="EE211" i="1" s="1"/>
  <c r="ET211" i="1" s="1"/>
  <c r="FC211" i="1" s="1"/>
  <c r="FE211" i="1" s="1"/>
  <c r="EC119" i="1"/>
  <c r="EE119" i="1" s="1"/>
  <c r="ET119" i="1" s="1"/>
  <c r="FC119" i="1" s="1"/>
  <c r="FL231" i="1"/>
  <c r="FM231" i="1" s="1"/>
  <c r="FN231" i="1" s="1"/>
  <c r="EC217" i="1"/>
  <c r="FO231" i="1"/>
  <c r="FO80" i="1"/>
  <c r="FL119" i="1"/>
  <c r="FM119" i="1" s="1"/>
  <c r="FN119" i="1" s="1"/>
  <c r="FP119" i="1" s="1"/>
  <c r="FO260" i="1"/>
  <c r="FP260" i="1" s="1"/>
  <c r="FL80" i="1"/>
  <c r="FM80" i="1" s="1"/>
  <c r="FN80" i="1" s="1"/>
  <c r="FL217" i="1"/>
  <c r="FM217" i="1" s="1"/>
  <c r="FN217" i="1" s="1"/>
  <c r="FP217" i="1" s="1"/>
  <c r="FO177" i="1"/>
  <c r="FP177" i="1" s="1"/>
  <c r="FY177" i="1" s="1"/>
  <c r="FZ177" i="1" s="1"/>
  <c r="EC78" i="1"/>
  <c r="EE78" i="1" s="1"/>
  <c r="ET78" i="1" s="1"/>
  <c r="FC78" i="1" s="1"/>
  <c r="FE78" i="1" s="1"/>
  <c r="EB131" i="1"/>
  <c r="FO109" i="1"/>
  <c r="EC71" i="1"/>
  <c r="EE71" i="1" s="1"/>
  <c r="ET71" i="1" s="1"/>
  <c r="FC71" i="1" s="1"/>
  <c r="FE71" i="1" s="1"/>
  <c r="EC259" i="1"/>
  <c r="EE259" i="1" s="1"/>
  <c r="ET259" i="1" s="1"/>
  <c r="FC259" i="1" s="1"/>
  <c r="FL159" i="1"/>
  <c r="FM159" i="1" s="1"/>
  <c r="FN159" i="1" s="1"/>
  <c r="FO159" i="1"/>
  <c r="FL68" i="1"/>
  <c r="FM68" i="1" s="1"/>
  <c r="FN68" i="1" s="1"/>
  <c r="FO32" i="1"/>
  <c r="FP32" i="1" s="1"/>
  <c r="FU32" i="1" s="1"/>
  <c r="FV32" i="1" s="1"/>
  <c r="EC32" i="1"/>
  <c r="EE32" i="1" s="1"/>
  <c r="ET32" i="1" s="1"/>
  <c r="FC32" i="1" s="1"/>
  <c r="FD32" i="1" s="1"/>
  <c r="EC147" i="1"/>
  <c r="FO147" i="1"/>
  <c r="FP147" i="1" s="1"/>
  <c r="FO68" i="1"/>
  <c r="EC251" i="1"/>
  <c r="EE251" i="1" s="1"/>
  <c r="ET251" i="1" s="1"/>
  <c r="FC251" i="1" s="1"/>
  <c r="FD251" i="1" s="1"/>
  <c r="EE118" i="1"/>
  <c r="ET118" i="1" s="1"/>
  <c r="FC118" i="1" s="1"/>
  <c r="FE118" i="1" s="1"/>
  <c r="FO137" i="1"/>
  <c r="FP137" i="1" s="1"/>
  <c r="FO243" i="1"/>
  <c r="FP243" i="1" s="1"/>
  <c r="EC243" i="1"/>
  <c r="EE243" i="1" s="1"/>
  <c r="ET243" i="1" s="1"/>
  <c r="FC243" i="1" s="1"/>
  <c r="FD243" i="1" s="1"/>
  <c r="EC234" i="1"/>
  <c r="EE234" i="1" s="1"/>
  <c r="ET234" i="1" s="1"/>
  <c r="FC234" i="1" s="1"/>
  <c r="FE234" i="1" s="1"/>
  <c r="FO120" i="1"/>
  <c r="FL120" i="1"/>
  <c r="FM120" i="1" s="1"/>
  <c r="FN120" i="1" s="1"/>
  <c r="FO82" i="1"/>
  <c r="FP82" i="1" s="1"/>
  <c r="EC82" i="1"/>
  <c r="EE82" i="1" s="1"/>
  <c r="ET82" i="1" s="1"/>
  <c r="FC82" i="1" s="1"/>
  <c r="EC137" i="1"/>
  <c r="EE137" i="1" s="1"/>
  <c r="ET137" i="1" s="1"/>
  <c r="FC137" i="1" s="1"/>
  <c r="EC22" i="1"/>
  <c r="FO234" i="1"/>
  <c r="FP234" i="1" s="1"/>
  <c r="FU234" i="1" s="1"/>
  <c r="FV234" i="1" s="1"/>
  <c r="EB68" i="1"/>
  <c r="EE68" i="1" s="1"/>
  <c r="ET68" i="1" s="1"/>
  <c r="FC68" i="1" s="1"/>
  <c r="FE68" i="1" s="1"/>
  <c r="EC121" i="1"/>
  <c r="EE121" i="1" s="1"/>
  <c r="ET121" i="1" s="1"/>
  <c r="FC121" i="1" s="1"/>
  <c r="FD121" i="1" s="1"/>
  <c r="FO200" i="1"/>
  <c r="FP200" i="1" s="1"/>
  <c r="GE200" i="1" s="1"/>
  <c r="EB5" i="1"/>
  <c r="EC200" i="1"/>
  <c r="EE200" i="1" s="1"/>
  <c r="ET200" i="1" s="1"/>
  <c r="FC200" i="1" s="1"/>
  <c r="FD200" i="1" s="1"/>
  <c r="FL121" i="1"/>
  <c r="FM121" i="1" s="1"/>
  <c r="FN121" i="1" s="1"/>
  <c r="FP121" i="1" s="1"/>
  <c r="FO264" i="1"/>
  <c r="FP264" i="1" s="1"/>
  <c r="FO169" i="1"/>
  <c r="FP169" i="1" s="1"/>
  <c r="GA169" i="1" s="1"/>
  <c r="GB169" i="1" s="1"/>
  <c r="EC169" i="1"/>
  <c r="EE169" i="1" s="1"/>
  <c r="ET169" i="1" s="1"/>
  <c r="FC169" i="1" s="1"/>
  <c r="FE169" i="1" s="1"/>
  <c r="FO56" i="1"/>
  <c r="FP56" i="1" s="1"/>
  <c r="FS56" i="1" s="1"/>
  <c r="FT56" i="1" s="1"/>
  <c r="FO85" i="1"/>
  <c r="FP85" i="1" s="1"/>
  <c r="GE85" i="1" s="1"/>
  <c r="FO122" i="1"/>
  <c r="FP122" i="1" s="1"/>
  <c r="FO201" i="1"/>
  <c r="FP201" i="1" s="1"/>
  <c r="FO78" i="1"/>
  <c r="FP78" i="1" s="1"/>
  <c r="GE78" i="1" s="1"/>
  <c r="EC58" i="1"/>
  <c r="EC208" i="1"/>
  <c r="FO178" i="1"/>
  <c r="FL178" i="1"/>
  <c r="FM178" i="1" s="1"/>
  <c r="FN178" i="1" s="1"/>
  <c r="FO58" i="1"/>
  <c r="FP58" i="1" s="1"/>
  <c r="EC153" i="1"/>
  <c r="EE153" i="1" s="1"/>
  <c r="ET153" i="1" s="1"/>
  <c r="FC153" i="1" s="1"/>
  <c r="FE153" i="1" s="1"/>
  <c r="EC30" i="1"/>
  <c r="EE30" i="1" s="1"/>
  <c r="ET30" i="1" s="1"/>
  <c r="FC30" i="1" s="1"/>
  <c r="FD30" i="1" s="1"/>
  <c r="FL153" i="1"/>
  <c r="FM153" i="1" s="1"/>
  <c r="FN153" i="1" s="1"/>
  <c r="FP153" i="1" s="1"/>
  <c r="GE153" i="1" s="1"/>
  <c r="FO48" i="1"/>
  <c r="FL48" i="1"/>
  <c r="FM48" i="1" s="1"/>
  <c r="FN48" i="1" s="1"/>
  <c r="FL208" i="1"/>
  <c r="FM208" i="1" s="1"/>
  <c r="FN208" i="1" s="1"/>
  <c r="FP208" i="1" s="1"/>
  <c r="FL30" i="1"/>
  <c r="FM30" i="1" s="1"/>
  <c r="FN30" i="1" s="1"/>
  <c r="FP30" i="1" s="1"/>
  <c r="FY30" i="1" s="1"/>
  <c r="FZ30" i="1" s="1"/>
  <c r="EC98" i="1"/>
  <c r="FO179" i="1"/>
  <c r="FL179" i="1"/>
  <c r="FM179" i="1" s="1"/>
  <c r="FN179" i="1" s="1"/>
  <c r="EE165" i="1"/>
  <c r="ET165" i="1" s="1"/>
  <c r="FC165" i="1" s="1"/>
  <c r="FE165" i="1" s="1"/>
  <c r="EC230" i="1"/>
  <c r="EE230" i="1" s="1"/>
  <c r="ET230" i="1" s="1"/>
  <c r="FC230" i="1" s="1"/>
  <c r="FL230" i="1"/>
  <c r="FM230" i="1" s="1"/>
  <c r="FN230" i="1" s="1"/>
  <c r="FP230" i="1" s="1"/>
  <c r="FU230" i="1" s="1"/>
  <c r="FV230" i="1" s="1"/>
  <c r="EE109" i="1"/>
  <c r="ET109" i="1" s="1"/>
  <c r="FC109" i="1" s="1"/>
  <c r="FE109" i="1" s="1"/>
  <c r="EE297" i="1"/>
  <c r="ET297" i="1" s="1"/>
  <c r="FC297" i="1" s="1"/>
  <c r="FE297" i="1" s="1"/>
  <c r="EC53" i="1"/>
  <c r="EC21" i="1"/>
  <c r="EE21" i="1" s="1"/>
  <c r="ET21" i="1" s="1"/>
  <c r="FC21" i="1" s="1"/>
  <c r="FE21" i="1" s="1"/>
  <c r="FO242" i="1"/>
  <c r="FL242" i="1"/>
  <c r="FM242" i="1" s="1"/>
  <c r="FN242" i="1" s="1"/>
  <c r="FL274" i="1"/>
  <c r="FM274" i="1" s="1"/>
  <c r="FN274" i="1" s="1"/>
  <c r="FP274" i="1" s="1"/>
  <c r="FY274" i="1" s="1"/>
  <c r="FZ274" i="1" s="1"/>
  <c r="FO21" i="1"/>
  <c r="FP21" i="1" s="1"/>
  <c r="EC274" i="1"/>
  <c r="EE274" i="1" s="1"/>
  <c r="ET274" i="1" s="1"/>
  <c r="FC274" i="1" s="1"/>
  <c r="FE274" i="1" s="1"/>
  <c r="FO53" i="1"/>
  <c r="FP53" i="1" s="1"/>
  <c r="FU53" i="1" s="1"/>
  <c r="FV53" i="1" s="1"/>
  <c r="EB299" i="1"/>
  <c r="EE299" i="1" s="1"/>
  <c r="ET299" i="1" s="1"/>
  <c r="FC299" i="1" s="1"/>
  <c r="FD299" i="1" s="1"/>
  <c r="EB65" i="1"/>
  <c r="EC240" i="1"/>
  <c r="EE240" i="1" s="1"/>
  <c r="ET240" i="1" s="1"/>
  <c r="FC240" i="1" s="1"/>
  <c r="FE240" i="1" s="1"/>
  <c r="FO240" i="1"/>
  <c r="FP240" i="1" s="1"/>
  <c r="FL71" i="1"/>
  <c r="FM71" i="1" s="1"/>
  <c r="FN71" i="1" s="1"/>
  <c r="FP71" i="1" s="1"/>
  <c r="EC25" i="1"/>
  <c r="FO251" i="1"/>
  <c r="FP251" i="1" s="1"/>
  <c r="FO25" i="1"/>
  <c r="FP25" i="1" s="1"/>
  <c r="FW25" i="1" s="1"/>
  <c r="FX25" i="1" s="1"/>
  <c r="FL22" i="1"/>
  <c r="FM22" i="1" s="1"/>
  <c r="FN22" i="1" s="1"/>
  <c r="FP22" i="1" s="1"/>
  <c r="FS22" i="1" s="1"/>
  <c r="FT22" i="1" s="1"/>
  <c r="FP141" i="1"/>
  <c r="FW141" i="1" s="1"/>
  <c r="FX141" i="1" s="1"/>
  <c r="EC145" i="1"/>
  <c r="EE145" i="1" s="1"/>
  <c r="ET145" i="1" s="1"/>
  <c r="FC145" i="1" s="1"/>
  <c r="FD145" i="1" s="1"/>
  <c r="EE79" i="1"/>
  <c r="ET79" i="1" s="1"/>
  <c r="FC79" i="1" s="1"/>
  <c r="FE79" i="1" s="1"/>
  <c r="FL295" i="1"/>
  <c r="FM295" i="1" s="1"/>
  <c r="FN295" i="1" s="1"/>
  <c r="FO145" i="1"/>
  <c r="FP145" i="1" s="1"/>
  <c r="FL104" i="1"/>
  <c r="FM104" i="1" s="1"/>
  <c r="FN104" i="1" s="1"/>
  <c r="FO104" i="1"/>
  <c r="EE288" i="1"/>
  <c r="ET288" i="1" s="1"/>
  <c r="FC288" i="1" s="1"/>
  <c r="FE288" i="1" s="1"/>
  <c r="FO295" i="1"/>
  <c r="EB194" i="1"/>
  <c r="EE256" i="1"/>
  <c r="ET256" i="1" s="1"/>
  <c r="FC256" i="1" s="1"/>
  <c r="FE256" i="1" s="1"/>
  <c r="EC34" i="1"/>
  <c r="FO256" i="1"/>
  <c r="FL54" i="1"/>
  <c r="FM54" i="1" s="1"/>
  <c r="FN54" i="1" s="1"/>
  <c r="FL34" i="1"/>
  <c r="FM34" i="1" s="1"/>
  <c r="FN34" i="1" s="1"/>
  <c r="FP34" i="1" s="1"/>
  <c r="FU34" i="1" s="1"/>
  <c r="FV34" i="1" s="1"/>
  <c r="FL256" i="1"/>
  <c r="FM256" i="1" s="1"/>
  <c r="FN256" i="1" s="1"/>
  <c r="FO54" i="1"/>
  <c r="FP168" i="1"/>
  <c r="GE168" i="1" s="1"/>
  <c r="EB133" i="1"/>
  <c r="EC268" i="1"/>
  <c r="EE268" i="1" s="1"/>
  <c r="ET268" i="1" s="1"/>
  <c r="FC268" i="1" s="1"/>
  <c r="FE268" i="1" s="1"/>
  <c r="FL268" i="1"/>
  <c r="FM268" i="1" s="1"/>
  <c r="FN268" i="1" s="1"/>
  <c r="FP268" i="1" s="1"/>
  <c r="EE80" i="1"/>
  <c r="ET80" i="1" s="1"/>
  <c r="FC80" i="1" s="1"/>
  <c r="FD80" i="1" s="1"/>
  <c r="EE179" i="1"/>
  <c r="ET179" i="1" s="1"/>
  <c r="FC179" i="1" s="1"/>
  <c r="FE179" i="1" s="1"/>
  <c r="AM21" i="1"/>
  <c r="FL187" i="1"/>
  <c r="FM187" i="1" s="1"/>
  <c r="FN187" i="1" s="1"/>
  <c r="EB41" i="1"/>
  <c r="FO187" i="1"/>
  <c r="EE191" i="1"/>
  <c r="ET191" i="1" s="1"/>
  <c r="FC191" i="1" s="1"/>
  <c r="FE191" i="1" s="1"/>
  <c r="FO211" i="1"/>
  <c r="FP211" i="1" s="1"/>
  <c r="EB90" i="1"/>
  <c r="EE90" i="1" s="1"/>
  <c r="ET90" i="1" s="1"/>
  <c r="FC90" i="1" s="1"/>
  <c r="FD90" i="1" s="1"/>
  <c r="EB44" i="1"/>
  <c r="EE142" i="1"/>
  <c r="ET142" i="1" s="1"/>
  <c r="FC142" i="1" s="1"/>
  <c r="FE142" i="1" s="1"/>
  <c r="FP183" i="1"/>
  <c r="FS183" i="1" s="1"/>
  <c r="FT183" i="1" s="1"/>
  <c r="EC233" i="1"/>
  <c r="EE233" i="1" s="1"/>
  <c r="ET233" i="1" s="1"/>
  <c r="FC233" i="1" s="1"/>
  <c r="EE182" i="1"/>
  <c r="ET182" i="1" s="1"/>
  <c r="FC182" i="1" s="1"/>
  <c r="FE182" i="1" s="1"/>
  <c r="FL233" i="1"/>
  <c r="FM233" i="1" s="1"/>
  <c r="FN233" i="1" s="1"/>
  <c r="FP233" i="1" s="1"/>
  <c r="EB98" i="1"/>
  <c r="EE229" i="1"/>
  <c r="ET229" i="1" s="1"/>
  <c r="FC229" i="1" s="1"/>
  <c r="FE229" i="1" s="1"/>
  <c r="EE267" i="1"/>
  <c r="ET267" i="1" s="1"/>
  <c r="FC267" i="1" s="1"/>
  <c r="FD267" i="1" s="1"/>
  <c r="EE266" i="1"/>
  <c r="ET266" i="1" s="1"/>
  <c r="FC266" i="1" s="1"/>
  <c r="FE266" i="1" s="1"/>
  <c r="EE173" i="1"/>
  <c r="ET173" i="1" s="1"/>
  <c r="FC173" i="1" s="1"/>
  <c r="FE173" i="1" s="1"/>
  <c r="EE214" i="1"/>
  <c r="ET214" i="1" s="1"/>
  <c r="FC214" i="1" s="1"/>
  <c r="FD214" i="1" s="1"/>
  <c r="EE105" i="1"/>
  <c r="ET105" i="1" s="1"/>
  <c r="FC105" i="1" s="1"/>
  <c r="FE105" i="1" s="1"/>
  <c r="FO13" i="1"/>
  <c r="FL13" i="1"/>
  <c r="FM13" i="1" s="1"/>
  <c r="FN13" i="1" s="1"/>
  <c r="EC13" i="1"/>
  <c r="EE13" i="1" s="1"/>
  <c r="ET13" i="1" s="1"/>
  <c r="FC13" i="1" s="1"/>
  <c r="EE159" i="1"/>
  <c r="ET159" i="1" s="1"/>
  <c r="FC159" i="1" s="1"/>
  <c r="FE159" i="1" s="1"/>
  <c r="EE257" i="1"/>
  <c r="ET257" i="1" s="1"/>
  <c r="FC257" i="1" s="1"/>
  <c r="FE257" i="1" s="1"/>
  <c r="EE124" i="1"/>
  <c r="ET124" i="1" s="1"/>
  <c r="FC124" i="1" s="1"/>
  <c r="FE124" i="1" s="1"/>
  <c r="FP181" i="1"/>
  <c r="FQ181" i="1" s="1"/>
  <c r="FR181" i="1" s="1"/>
  <c r="EE48" i="1"/>
  <c r="ET48" i="1" s="1"/>
  <c r="FC48" i="1" s="1"/>
  <c r="FD48" i="1" s="1"/>
  <c r="EE295" i="1"/>
  <c r="ET295" i="1" s="1"/>
  <c r="FC295" i="1" s="1"/>
  <c r="FD295" i="1" s="1"/>
  <c r="FP83" i="1"/>
  <c r="GD83" i="1" s="1"/>
  <c r="FP277" i="1"/>
  <c r="FS277" i="1" s="1"/>
  <c r="FT277" i="1" s="1"/>
  <c r="EE189" i="1"/>
  <c r="ET189" i="1" s="1"/>
  <c r="FC189" i="1" s="1"/>
  <c r="FE189" i="1" s="1"/>
  <c r="EE302" i="1"/>
  <c r="ET302" i="1" s="1"/>
  <c r="FC302" i="1" s="1"/>
  <c r="FE302" i="1" s="1"/>
  <c r="EE273" i="1"/>
  <c r="ET273" i="1" s="1"/>
  <c r="FC273" i="1" s="1"/>
  <c r="FE273" i="1" s="1"/>
  <c r="FP87" i="1"/>
  <c r="FP191" i="1"/>
  <c r="FU191" i="1" s="1"/>
  <c r="FV191" i="1" s="1"/>
  <c r="FP244" i="1"/>
  <c r="GE244" i="1" s="1"/>
  <c r="FP255" i="1"/>
  <c r="EE129" i="1"/>
  <c r="ET129" i="1" s="1"/>
  <c r="FC129" i="1" s="1"/>
  <c r="FE129" i="1" s="1"/>
  <c r="EE135" i="1"/>
  <c r="ET135" i="1" s="1"/>
  <c r="FC135" i="1" s="1"/>
  <c r="EE277" i="1"/>
  <c r="ET277" i="1" s="1"/>
  <c r="FC277" i="1" s="1"/>
  <c r="FE277" i="1" s="1"/>
  <c r="EB210" i="1"/>
  <c r="EE92" i="1"/>
  <c r="ET92" i="1" s="1"/>
  <c r="FC92" i="1" s="1"/>
  <c r="FE92" i="1" s="1"/>
  <c r="EE178" i="1"/>
  <c r="ET178" i="1" s="1"/>
  <c r="FC178" i="1" s="1"/>
  <c r="FE178" i="1" s="1"/>
  <c r="EE249" i="1"/>
  <c r="ET249" i="1" s="1"/>
  <c r="FC249" i="1" s="1"/>
  <c r="FE249" i="1" s="1"/>
  <c r="EE107" i="1"/>
  <c r="ET107" i="1" s="1"/>
  <c r="FC107" i="1" s="1"/>
  <c r="FD107" i="1" s="1"/>
  <c r="EE207" i="1"/>
  <c r="ET207" i="1" s="1"/>
  <c r="FC207" i="1" s="1"/>
  <c r="FE207" i="1" s="1"/>
  <c r="EE183" i="1"/>
  <c r="ET183" i="1" s="1"/>
  <c r="FC183" i="1" s="1"/>
  <c r="FD183" i="1" s="1"/>
  <c r="EE232" i="1"/>
  <c r="ET232" i="1" s="1"/>
  <c r="FC232" i="1" s="1"/>
  <c r="FE232" i="1" s="1"/>
  <c r="EE24" i="1"/>
  <c r="ET24" i="1" s="1"/>
  <c r="FC24" i="1" s="1"/>
  <c r="FE24" i="1" s="1"/>
  <c r="EE94" i="1"/>
  <c r="ET94" i="1" s="1"/>
  <c r="FC94" i="1" s="1"/>
  <c r="FE94" i="1" s="1"/>
  <c r="EE166" i="1"/>
  <c r="ET166" i="1" s="1"/>
  <c r="FC166" i="1" s="1"/>
  <c r="FD166" i="1" s="1"/>
  <c r="FP229" i="1"/>
  <c r="FP107" i="1"/>
  <c r="GG107" i="1" s="1"/>
  <c r="GH107" i="1" s="1"/>
  <c r="GI107" i="1" s="1"/>
  <c r="EE197" i="1"/>
  <c r="ET197" i="1" s="1"/>
  <c r="FC197" i="1" s="1"/>
  <c r="FE197" i="1" s="1"/>
  <c r="EE111" i="1"/>
  <c r="ET111" i="1" s="1"/>
  <c r="FC111" i="1" s="1"/>
  <c r="FD111" i="1" s="1"/>
  <c r="EE51" i="1"/>
  <c r="ET51" i="1" s="1"/>
  <c r="FC51" i="1" s="1"/>
  <c r="FE51" i="1" s="1"/>
  <c r="EE176" i="1"/>
  <c r="ET176" i="1" s="1"/>
  <c r="FC176" i="1" s="1"/>
  <c r="EE87" i="1"/>
  <c r="ET87" i="1" s="1"/>
  <c r="FC87" i="1" s="1"/>
  <c r="FE87" i="1" s="1"/>
  <c r="EE106" i="1"/>
  <c r="ET106" i="1" s="1"/>
  <c r="FC106" i="1" s="1"/>
  <c r="FE106" i="1" s="1"/>
  <c r="FP221" i="1"/>
  <c r="FY221" i="1" s="1"/>
  <c r="FZ221" i="1" s="1"/>
  <c r="FP92" i="1"/>
  <c r="GG92" i="1" s="1"/>
  <c r="GH92" i="1" s="1"/>
  <c r="GI92" i="1" s="1"/>
  <c r="FP299" i="1"/>
  <c r="GE299" i="1" s="1"/>
  <c r="FP249" i="1"/>
  <c r="FY249" i="1" s="1"/>
  <c r="FZ249" i="1" s="1"/>
  <c r="EE120" i="1"/>
  <c r="ET120" i="1" s="1"/>
  <c r="FC120" i="1" s="1"/>
  <c r="FD120" i="1" s="1"/>
  <c r="EE187" i="1"/>
  <c r="ET187" i="1" s="1"/>
  <c r="FC187" i="1" s="1"/>
  <c r="FE187" i="1" s="1"/>
  <c r="FP225" i="1"/>
  <c r="FW225" i="1" s="1"/>
  <c r="FX225" i="1" s="1"/>
  <c r="EE95" i="1"/>
  <c r="ET95" i="1" s="1"/>
  <c r="FC95" i="1" s="1"/>
  <c r="FD95" i="1" s="1"/>
  <c r="EE93" i="1"/>
  <c r="ET93" i="1" s="1"/>
  <c r="FC93" i="1" s="1"/>
  <c r="FE93" i="1" s="1"/>
  <c r="EE123" i="1"/>
  <c r="ET123" i="1" s="1"/>
  <c r="FC123" i="1" s="1"/>
  <c r="FD123" i="1" s="1"/>
  <c r="EE134" i="1"/>
  <c r="ET134" i="1" s="1"/>
  <c r="FC134" i="1" s="1"/>
  <c r="FD134" i="1" s="1"/>
  <c r="FP95" i="1"/>
  <c r="GA95" i="1" s="1"/>
  <c r="GB95" i="1" s="1"/>
  <c r="FP3" i="1"/>
  <c r="FQ3" i="1" s="1"/>
  <c r="FR3" i="1" s="1"/>
  <c r="FP297" i="1"/>
  <c r="GE297" i="1" s="1"/>
  <c r="FE198" i="1"/>
  <c r="FD198" i="1"/>
  <c r="EE101" i="1"/>
  <c r="ET101" i="1" s="1"/>
  <c r="FC101" i="1" s="1"/>
  <c r="FL4" i="1"/>
  <c r="FM4" i="1" s="1"/>
  <c r="FN4" i="1" s="1"/>
  <c r="FO4" i="1"/>
  <c r="FL202" i="1"/>
  <c r="FM202" i="1" s="1"/>
  <c r="FN202" i="1" s="1"/>
  <c r="FO202" i="1"/>
  <c r="FL204" i="1"/>
  <c r="FM204" i="1" s="1"/>
  <c r="FN204" i="1" s="1"/>
  <c r="FO204" i="1"/>
  <c r="FP123" i="1"/>
  <c r="FP302" i="1"/>
  <c r="FP212" i="1"/>
  <c r="EE225" i="1"/>
  <c r="ET225" i="1" s="1"/>
  <c r="FC225" i="1" s="1"/>
  <c r="FL44" i="1"/>
  <c r="FM44" i="1" s="1"/>
  <c r="FN44" i="1" s="1"/>
  <c r="FO44" i="1"/>
  <c r="EE252" i="1"/>
  <c r="ET252" i="1" s="1"/>
  <c r="FC252" i="1" s="1"/>
  <c r="EE99" i="1"/>
  <c r="ET99" i="1" s="1"/>
  <c r="FC99" i="1" s="1"/>
  <c r="EE269" i="1"/>
  <c r="ET269" i="1" s="1"/>
  <c r="FC269" i="1" s="1"/>
  <c r="EE181" i="1"/>
  <c r="ET181" i="1" s="1"/>
  <c r="FC181" i="1" s="1"/>
  <c r="EE218" i="1"/>
  <c r="ET218" i="1" s="1"/>
  <c r="FC218" i="1" s="1"/>
  <c r="EE212" i="1"/>
  <c r="ET212" i="1" s="1"/>
  <c r="FC212" i="1" s="1"/>
  <c r="FL60" i="1"/>
  <c r="FM60" i="1" s="1"/>
  <c r="FN60" i="1" s="1"/>
  <c r="FO60" i="1"/>
  <c r="FP269" i="1"/>
  <c r="FP176" i="1"/>
  <c r="FP232" i="1"/>
  <c r="FP182" i="1"/>
  <c r="FP154" i="1"/>
  <c r="FP207" i="1"/>
  <c r="FP43" i="1"/>
  <c r="FP252" i="1"/>
  <c r="FP52" i="1"/>
  <c r="FP6" i="1"/>
  <c r="FP49" i="1"/>
  <c r="FP111" i="1"/>
  <c r="EE287" i="1"/>
  <c r="ET287" i="1" s="1"/>
  <c r="FC287" i="1" s="1"/>
  <c r="EE236" i="1"/>
  <c r="ET236" i="1" s="1"/>
  <c r="FC236" i="1" s="1"/>
  <c r="EE139" i="1"/>
  <c r="ET139" i="1" s="1"/>
  <c r="FC139" i="1" s="1"/>
  <c r="FL65" i="1"/>
  <c r="FM65" i="1" s="1"/>
  <c r="FN65" i="1" s="1"/>
  <c r="FO65" i="1"/>
  <c r="FL194" i="1"/>
  <c r="FM194" i="1" s="1"/>
  <c r="FN194" i="1" s="1"/>
  <c r="FO194" i="1"/>
  <c r="EE255" i="1"/>
  <c r="ET255" i="1" s="1"/>
  <c r="FC255" i="1" s="1"/>
  <c r="FP270" i="1"/>
  <c r="FP288" i="1"/>
  <c r="FP47" i="1"/>
  <c r="FP31" i="1"/>
  <c r="FP220" i="1"/>
  <c r="FP101" i="1"/>
  <c r="FP15" i="1"/>
  <c r="EB116" i="1"/>
  <c r="EE116" i="1" s="1"/>
  <c r="ET116" i="1" s="1"/>
  <c r="FC116" i="1" s="1"/>
  <c r="EB25" i="1"/>
  <c r="EB57" i="1"/>
  <c r="EB37" i="1"/>
  <c r="EC44" i="1"/>
  <c r="AM59" i="1"/>
  <c r="EB59" i="1"/>
  <c r="EB53" i="1"/>
  <c r="EB42" i="1"/>
  <c r="EB203" i="1"/>
  <c r="EB23" i="1"/>
  <c r="EB58" i="1"/>
  <c r="EB17" i="1"/>
  <c r="EE17" i="1" s="1"/>
  <c r="ET17" i="1" s="1"/>
  <c r="FC17" i="1" s="1"/>
  <c r="EB26" i="1"/>
  <c r="EC4" i="1"/>
  <c r="EE4" i="1" s="1"/>
  <c r="ET4" i="1" s="1"/>
  <c r="FC4" i="1" s="1"/>
  <c r="EC65" i="1"/>
  <c r="EC194" i="1"/>
  <c r="EC204" i="1"/>
  <c r="EB14" i="1"/>
  <c r="EE14" i="1" s="1"/>
  <c r="ET14" i="1" s="1"/>
  <c r="FC14" i="1" s="1"/>
  <c r="AM28" i="1"/>
  <c r="EB28" i="1"/>
  <c r="AM54" i="1"/>
  <c r="EB54" i="1"/>
  <c r="EE54" i="1" s="1"/>
  <c r="ET54" i="1" s="1"/>
  <c r="FC54" i="1" s="1"/>
  <c r="EB18" i="1"/>
  <c r="EB34" i="1"/>
  <c r="EB290" i="1"/>
  <c r="EB55" i="1"/>
  <c r="EB61" i="1"/>
  <c r="AM51" i="1"/>
  <c r="AM36" i="1"/>
  <c r="EB36" i="1"/>
  <c r="EE36" i="1" s="1"/>
  <c r="ET36" i="1" s="1"/>
  <c r="FC36" i="1" s="1"/>
  <c r="AM6" i="1"/>
  <c r="EB6" i="1"/>
  <c r="EE6" i="1" s="1"/>
  <c r="ET6" i="1" s="1"/>
  <c r="FC6" i="1" s="1"/>
  <c r="EB22" i="1"/>
  <c r="EB35" i="1"/>
  <c r="EB11" i="1"/>
  <c r="EB63" i="1"/>
  <c r="EE63" i="1" s="1"/>
  <c r="ET63" i="1" s="1"/>
  <c r="FC63" i="1" s="1"/>
  <c r="EB46" i="1"/>
  <c r="EB31" i="1"/>
  <c r="EB7" i="1"/>
  <c r="EE7" i="1" s="1"/>
  <c r="ET7" i="1" s="1"/>
  <c r="FC7" i="1" s="1"/>
  <c r="EB224" i="1"/>
  <c r="EB52" i="1"/>
  <c r="EE52" i="1" s="1"/>
  <c r="ET52" i="1" s="1"/>
  <c r="FC52" i="1" s="1"/>
  <c r="AM62" i="1"/>
  <c r="EB62" i="1"/>
  <c r="AM30" i="1"/>
  <c r="EB10" i="1"/>
  <c r="EE10" i="1" s="1"/>
  <c r="ET10" i="1" s="1"/>
  <c r="FC10" i="1" s="1"/>
  <c r="EB29" i="1"/>
  <c r="EB9" i="1"/>
  <c r="EC60" i="1"/>
  <c r="EE60" i="1" s="1"/>
  <c r="ET60" i="1" s="1"/>
  <c r="FC60" i="1" s="1"/>
  <c r="EC202" i="1"/>
  <c r="EE202" i="1" s="1"/>
  <c r="ET202" i="1" s="1"/>
  <c r="FC202" i="1" s="1"/>
  <c r="EB20" i="1"/>
  <c r="EB15" i="1"/>
  <c r="EE15" i="1" s="1"/>
  <c r="ET15" i="1" s="1"/>
  <c r="FC15" i="1" s="1"/>
  <c r="AM27" i="1"/>
  <c r="EB27" i="1"/>
  <c r="AM43" i="1"/>
  <c r="EB43" i="1"/>
  <c r="EE43" i="1" s="1"/>
  <c r="ET43" i="1" s="1"/>
  <c r="FC43" i="1" s="1"/>
  <c r="AM39" i="1"/>
  <c r="EB39" i="1"/>
  <c r="AM38" i="1"/>
  <c r="EB38" i="1"/>
  <c r="EB49" i="1"/>
  <c r="EB50" i="1"/>
  <c r="EB213" i="1"/>
  <c r="EB47" i="1"/>
  <c r="EE47" i="1" s="1"/>
  <c r="ET47" i="1" s="1"/>
  <c r="FC47" i="1" s="1"/>
  <c r="EB19" i="1"/>
  <c r="FL2" i="1"/>
  <c r="FM2" i="1" s="1"/>
  <c r="FN2" i="1" s="1"/>
  <c r="FO2" i="1"/>
  <c r="EC2" i="1"/>
  <c r="EB2" i="1"/>
  <c r="EE226" i="1" l="1"/>
  <c r="ET226" i="1" s="1"/>
  <c r="FC226" i="1" s="1"/>
  <c r="FD226" i="1" s="1"/>
  <c r="EE3" i="1"/>
  <c r="ET3" i="1" s="1"/>
  <c r="FC3" i="1" s="1"/>
  <c r="EE62" i="1"/>
  <c r="ET62" i="1" s="1"/>
  <c r="FC62" i="1" s="1"/>
  <c r="EE61" i="1"/>
  <c r="ET61" i="1" s="1"/>
  <c r="FC61" i="1" s="1"/>
  <c r="EE31" i="1"/>
  <c r="ET31" i="1" s="1"/>
  <c r="FC31" i="1" s="1"/>
  <c r="EE49" i="1"/>
  <c r="ET49" i="1" s="1"/>
  <c r="FC49" i="1" s="1"/>
  <c r="EE174" i="1"/>
  <c r="ET174" i="1" s="1"/>
  <c r="FC174" i="1" s="1"/>
  <c r="FE174" i="1" s="1"/>
  <c r="FW303" i="1"/>
  <c r="FX303" i="1" s="1"/>
  <c r="EE112" i="1"/>
  <c r="ET112" i="1" s="1"/>
  <c r="FC112" i="1" s="1"/>
  <c r="FP14" i="1"/>
  <c r="GG14" i="1" s="1"/>
  <c r="GH14" i="1" s="1"/>
  <c r="GI14" i="1" s="1"/>
  <c r="EE292" i="1"/>
  <c r="ET292" i="1" s="1"/>
  <c r="FC292" i="1" s="1"/>
  <c r="FP79" i="1"/>
  <c r="FU79" i="1" s="1"/>
  <c r="FV79" i="1" s="1"/>
  <c r="EE41" i="1"/>
  <c r="ET41" i="1" s="1"/>
  <c r="FC41" i="1" s="1"/>
  <c r="FE41" i="1" s="1"/>
  <c r="EE258" i="1"/>
  <c r="ET258" i="1" s="1"/>
  <c r="FC258" i="1" s="1"/>
  <c r="FD258" i="1" s="1"/>
  <c r="EE272" i="1"/>
  <c r="ET272" i="1" s="1"/>
  <c r="FC272" i="1" s="1"/>
  <c r="FE272" i="1" s="1"/>
  <c r="EE285" i="1"/>
  <c r="ET285" i="1" s="1"/>
  <c r="FC285" i="1" s="1"/>
  <c r="FD285" i="1" s="1"/>
  <c r="GE303" i="1"/>
  <c r="FP160" i="1"/>
  <c r="FS160" i="1" s="1"/>
  <c r="FT160" i="1" s="1"/>
  <c r="FF303" i="1"/>
  <c r="FG303" i="1" s="1"/>
  <c r="FH303" i="1" s="1"/>
  <c r="FI303" i="1" s="1"/>
  <c r="FK303" i="1" s="1"/>
  <c r="EE144" i="1"/>
  <c r="ET144" i="1" s="1"/>
  <c r="FC144" i="1" s="1"/>
  <c r="FE144" i="1" s="1"/>
  <c r="FU261" i="1"/>
  <c r="FV261" i="1" s="1"/>
  <c r="EE37" i="1"/>
  <c r="ET37" i="1" s="1"/>
  <c r="FC37" i="1" s="1"/>
  <c r="FE37" i="1" s="1"/>
  <c r="EE23" i="1"/>
  <c r="ET23" i="1" s="1"/>
  <c r="FC23" i="1" s="1"/>
  <c r="FE23" i="1" s="1"/>
  <c r="FW261" i="1"/>
  <c r="FX261" i="1" s="1"/>
  <c r="GD261" i="1"/>
  <c r="FP125" i="1"/>
  <c r="FQ125" i="1" s="1"/>
  <c r="FR125" i="1" s="1"/>
  <c r="GE261" i="1"/>
  <c r="FQ261" i="1"/>
  <c r="FR261" i="1" s="1"/>
  <c r="FY261" i="1"/>
  <c r="FZ261" i="1" s="1"/>
  <c r="EE291" i="1"/>
  <c r="ET291" i="1" s="1"/>
  <c r="FC291" i="1" s="1"/>
  <c r="FE291" i="1" s="1"/>
  <c r="GG261" i="1"/>
  <c r="GH261" i="1" s="1"/>
  <c r="GI261" i="1" s="1"/>
  <c r="EE215" i="1"/>
  <c r="ET215" i="1" s="1"/>
  <c r="FC215" i="1" s="1"/>
  <c r="FE215" i="1" s="1"/>
  <c r="FP118" i="1"/>
  <c r="FQ118" i="1" s="1"/>
  <c r="EE224" i="1"/>
  <c r="ET224" i="1" s="1"/>
  <c r="FC224" i="1" s="1"/>
  <c r="FE224" i="1" s="1"/>
  <c r="FD261" i="1"/>
  <c r="FF261" i="1" s="1"/>
  <c r="FG261" i="1" s="1"/>
  <c r="FH261" i="1" s="1"/>
  <c r="FI261" i="1" s="1"/>
  <c r="FK261" i="1" s="1"/>
  <c r="FU303" i="1"/>
  <c r="FV303" i="1" s="1"/>
  <c r="FQ303" i="1"/>
  <c r="FR303" i="1" s="1"/>
  <c r="GG303" i="1"/>
  <c r="GH303" i="1" s="1"/>
  <c r="GI303" i="1" s="1"/>
  <c r="FP173" i="1"/>
  <c r="GG173" i="1" s="1"/>
  <c r="GH173" i="1" s="1"/>
  <c r="GI173" i="1" s="1"/>
  <c r="GD303" i="1"/>
  <c r="FP257" i="1"/>
  <c r="FW257" i="1" s="1"/>
  <c r="FX257" i="1" s="1"/>
  <c r="FP116" i="1"/>
  <c r="FQ116" i="1" s="1"/>
  <c r="FR116" i="1" s="1"/>
  <c r="FY303" i="1"/>
  <c r="FZ303" i="1" s="1"/>
  <c r="GA303" i="1"/>
  <c r="GB303" i="1" s="1"/>
  <c r="EE241" i="1"/>
  <c r="ET241" i="1" s="1"/>
  <c r="FC241" i="1" s="1"/>
  <c r="FD241" i="1" s="1"/>
  <c r="FY69" i="1"/>
  <c r="FZ69" i="1" s="1"/>
  <c r="EE46" i="1"/>
  <c r="ET46" i="1" s="1"/>
  <c r="FC46" i="1" s="1"/>
  <c r="FE46" i="1" s="1"/>
  <c r="FP273" i="1"/>
  <c r="FS273" i="1" s="1"/>
  <c r="FT273" i="1" s="1"/>
  <c r="FP197" i="1"/>
  <c r="FS197" i="1" s="1"/>
  <c r="FT197" i="1" s="1"/>
  <c r="FS69" i="1"/>
  <c r="FT69" i="1" s="1"/>
  <c r="FW69" i="1"/>
  <c r="FX69" i="1" s="1"/>
  <c r="FQ69" i="1"/>
  <c r="FR69" i="1" s="1"/>
  <c r="GD69" i="1"/>
  <c r="GE69" i="1"/>
  <c r="FU69" i="1"/>
  <c r="FV69" i="1" s="1"/>
  <c r="FD79" i="1"/>
  <c r="FF79" i="1" s="1"/>
  <c r="FG79" i="1" s="1"/>
  <c r="FH79" i="1" s="1"/>
  <c r="FI79" i="1" s="1"/>
  <c r="FK79" i="1" s="1"/>
  <c r="EE88" i="1"/>
  <c r="ET88" i="1" s="1"/>
  <c r="FC88" i="1" s="1"/>
  <c r="FD88" i="1" s="1"/>
  <c r="FP99" i="1"/>
  <c r="FU99" i="1" s="1"/>
  <c r="FV99" i="1" s="1"/>
  <c r="EE35" i="1"/>
  <c r="ET35" i="1" s="1"/>
  <c r="FC35" i="1" s="1"/>
  <c r="FD35" i="1" s="1"/>
  <c r="EE147" i="1"/>
  <c r="ET147" i="1" s="1"/>
  <c r="FC147" i="1" s="1"/>
  <c r="FE147" i="1" s="1"/>
  <c r="EE39" i="1"/>
  <c r="ET39" i="1" s="1"/>
  <c r="FC39" i="1" s="1"/>
  <c r="FE39" i="1" s="1"/>
  <c r="EE9" i="1"/>
  <c r="ET9" i="1" s="1"/>
  <c r="FC9" i="1" s="1"/>
  <c r="FE9" i="1" s="1"/>
  <c r="EE86" i="1"/>
  <c r="ET86" i="1" s="1"/>
  <c r="FC86" i="1" s="1"/>
  <c r="FE86" i="1" s="1"/>
  <c r="EE204" i="1"/>
  <c r="ET204" i="1" s="1"/>
  <c r="FC204" i="1" s="1"/>
  <c r="FD204" i="1" s="1"/>
  <c r="EE131" i="1"/>
  <c r="ET131" i="1" s="1"/>
  <c r="FC131" i="1" s="1"/>
  <c r="FD131" i="1" s="1"/>
  <c r="FD132" i="1"/>
  <c r="FF132" i="1" s="1"/>
  <c r="FG132" i="1" s="1"/>
  <c r="FH132" i="1" s="1"/>
  <c r="FI132" i="1" s="1"/>
  <c r="FK132" i="1" s="1"/>
  <c r="FP105" i="1"/>
  <c r="FU105" i="1" s="1"/>
  <c r="FV105" i="1" s="1"/>
  <c r="EE28" i="1"/>
  <c r="ET28" i="1" s="1"/>
  <c r="FC28" i="1" s="1"/>
  <c r="FE28" i="1" s="1"/>
  <c r="FP262" i="1"/>
  <c r="GD262" i="1" s="1"/>
  <c r="FP36" i="1"/>
  <c r="GD36" i="1" s="1"/>
  <c r="FP236" i="1"/>
  <c r="GG236" i="1" s="1"/>
  <c r="GH236" i="1" s="1"/>
  <c r="GI236" i="1" s="1"/>
  <c r="FP124" i="1"/>
  <c r="FS124" i="1" s="1"/>
  <c r="FT124" i="1" s="1"/>
  <c r="EE57" i="1"/>
  <c r="ET57" i="1" s="1"/>
  <c r="FC57" i="1" s="1"/>
  <c r="FE57" i="1" s="1"/>
  <c r="EE184" i="1"/>
  <c r="ET184" i="1" s="1"/>
  <c r="FC184" i="1" s="1"/>
  <c r="FE184" i="1" s="1"/>
  <c r="EE245" i="1"/>
  <c r="ET245" i="1" s="1"/>
  <c r="FC245" i="1" s="1"/>
  <c r="FE245" i="1" s="1"/>
  <c r="FP94" i="1"/>
  <c r="FQ94" i="1" s="1"/>
  <c r="FR94" i="1" s="1"/>
  <c r="EE286" i="1"/>
  <c r="ET286" i="1" s="1"/>
  <c r="FC286" i="1" s="1"/>
  <c r="FD286" i="1" s="1"/>
  <c r="FP7" i="1"/>
  <c r="FS7" i="1" s="1"/>
  <c r="FT7" i="1" s="1"/>
  <c r="FS132" i="1"/>
  <c r="FT132" i="1" s="1"/>
  <c r="GA132" i="1"/>
  <c r="GB132" i="1" s="1"/>
  <c r="FQ132" i="1"/>
  <c r="FR132" i="1" s="1"/>
  <c r="GG132" i="1"/>
  <c r="GH132" i="1" s="1"/>
  <c r="GI132" i="1" s="1"/>
  <c r="FU132" i="1"/>
  <c r="FV132" i="1" s="1"/>
  <c r="GD132" i="1"/>
  <c r="FW132" i="1"/>
  <c r="FX132" i="1" s="1"/>
  <c r="GE132" i="1"/>
  <c r="FY132" i="1"/>
  <c r="FZ132" i="1" s="1"/>
  <c r="FP24" i="1"/>
  <c r="FQ24" i="1" s="1"/>
  <c r="FR24" i="1" s="1"/>
  <c r="EE12" i="1"/>
  <c r="ET12" i="1" s="1"/>
  <c r="FC12" i="1" s="1"/>
  <c r="FE12" i="1" s="1"/>
  <c r="EE152" i="1"/>
  <c r="ET152" i="1" s="1"/>
  <c r="FC152" i="1" s="1"/>
  <c r="FE152" i="1" s="1"/>
  <c r="EE196" i="1"/>
  <c r="ET196" i="1" s="1"/>
  <c r="FC196" i="1" s="1"/>
  <c r="FE196" i="1" s="1"/>
  <c r="EE133" i="1"/>
  <c r="ET133" i="1" s="1"/>
  <c r="FC133" i="1" s="1"/>
  <c r="FD133" i="1" s="1"/>
  <c r="FP267" i="1"/>
  <c r="FW267" i="1" s="1"/>
  <c r="FX267" i="1" s="1"/>
  <c r="EE100" i="1"/>
  <c r="ET100" i="1" s="1"/>
  <c r="FC100" i="1" s="1"/>
  <c r="FE100" i="1" s="1"/>
  <c r="EE25" i="1"/>
  <c r="ET25" i="1" s="1"/>
  <c r="FC25" i="1" s="1"/>
  <c r="FE25" i="1" s="1"/>
  <c r="EE263" i="1"/>
  <c r="ET263" i="1" s="1"/>
  <c r="FC263" i="1" s="1"/>
  <c r="FD263" i="1" s="1"/>
  <c r="FP166" i="1"/>
  <c r="GG166" i="1" s="1"/>
  <c r="GH166" i="1" s="1"/>
  <c r="GI166" i="1" s="1"/>
  <c r="EE138" i="1"/>
  <c r="ET138" i="1" s="1"/>
  <c r="FC138" i="1" s="1"/>
  <c r="FE138" i="1" s="1"/>
  <c r="FD248" i="1"/>
  <c r="FE248" i="1"/>
  <c r="FP10" i="1"/>
  <c r="FY10" i="1" s="1"/>
  <c r="FZ10" i="1" s="1"/>
  <c r="FP218" i="1"/>
  <c r="GD218" i="1" s="1"/>
  <c r="FP90" i="1"/>
  <c r="FW90" i="1" s="1"/>
  <c r="FX90" i="1" s="1"/>
  <c r="FE192" i="1"/>
  <c r="FF192" i="1" s="1"/>
  <c r="FG192" i="1" s="1"/>
  <c r="FH192" i="1" s="1"/>
  <c r="FI192" i="1" s="1"/>
  <c r="FK192" i="1" s="1"/>
  <c r="EE237" i="1"/>
  <c r="ET237" i="1" s="1"/>
  <c r="FC237" i="1" s="1"/>
  <c r="FD237" i="1" s="1"/>
  <c r="FQ84" i="1"/>
  <c r="FR84" i="1" s="1"/>
  <c r="FW84" i="1"/>
  <c r="FX84" i="1" s="1"/>
  <c r="FP139" i="1"/>
  <c r="FY139" i="1" s="1"/>
  <c r="FZ139" i="1" s="1"/>
  <c r="EE38" i="1"/>
  <c r="ET38" i="1" s="1"/>
  <c r="FC38" i="1" s="1"/>
  <c r="FD38" i="1" s="1"/>
  <c r="EE29" i="1"/>
  <c r="ET29" i="1" s="1"/>
  <c r="FC29" i="1" s="1"/>
  <c r="FD29" i="1" s="1"/>
  <c r="EE20" i="1"/>
  <c r="ET20" i="1" s="1"/>
  <c r="FC20" i="1" s="1"/>
  <c r="FD20" i="1" s="1"/>
  <c r="EE155" i="1"/>
  <c r="ET155" i="1" s="1"/>
  <c r="FC155" i="1" s="1"/>
  <c r="FD155" i="1" s="1"/>
  <c r="EE11" i="1"/>
  <c r="ET11" i="1" s="1"/>
  <c r="FC11" i="1" s="1"/>
  <c r="FD11" i="1" s="1"/>
  <c r="FE136" i="1"/>
  <c r="FF136" i="1" s="1"/>
  <c r="FG136" i="1" s="1"/>
  <c r="FH136" i="1" s="1"/>
  <c r="FI136" i="1" s="1"/>
  <c r="FK136" i="1" s="1"/>
  <c r="EE19" i="1"/>
  <c r="ET19" i="1" s="1"/>
  <c r="FC19" i="1" s="1"/>
  <c r="FE19" i="1" s="1"/>
  <c r="FD297" i="1"/>
  <c r="FF297" i="1" s="1"/>
  <c r="FG297" i="1" s="1"/>
  <c r="FH297" i="1" s="1"/>
  <c r="FI297" i="1" s="1"/>
  <c r="FK297" i="1" s="1"/>
  <c r="FP93" i="1"/>
  <c r="FU93" i="1" s="1"/>
  <c r="FV93" i="1" s="1"/>
  <c r="EE59" i="1"/>
  <c r="ET59" i="1" s="1"/>
  <c r="FC59" i="1" s="1"/>
  <c r="FE59" i="1" s="1"/>
  <c r="EE254" i="1"/>
  <c r="ET254" i="1" s="1"/>
  <c r="FC254" i="1" s="1"/>
  <c r="FD254" i="1" s="1"/>
  <c r="GD171" i="1"/>
  <c r="FU171" i="1"/>
  <c r="FV171" i="1" s="1"/>
  <c r="FP106" i="1"/>
  <c r="GG106" i="1" s="1"/>
  <c r="GH106" i="1" s="1"/>
  <c r="GI106" i="1" s="1"/>
  <c r="GE84" i="1"/>
  <c r="FU84" i="1"/>
  <c r="FV84" i="1" s="1"/>
  <c r="FW83" i="1"/>
  <c r="FX83" i="1" s="1"/>
  <c r="GD84" i="1"/>
  <c r="FY84" i="1"/>
  <c r="FZ84" i="1" s="1"/>
  <c r="FS84" i="1"/>
  <c r="FT84" i="1" s="1"/>
  <c r="FP64" i="1"/>
  <c r="FY64" i="1" s="1"/>
  <c r="FZ64" i="1" s="1"/>
  <c r="EE50" i="1"/>
  <c r="ET50" i="1" s="1"/>
  <c r="FC50" i="1" s="1"/>
  <c r="FD50" i="1" s="1"/>
  <c r="EE203" i="1"/>
  <c r="ET203" i="1" s="1"/>
  <c r="FC203" i="1" s="1"/>
  <c r="FD203" i="1" s="1"/>
  <c r="FP266" i="1"/>
  <c r="GE266" i="1" s="1"/>
  <c r="EE18" i="1"/>
  <c r="ET18" i="1" s="1"/>
  <c r="FC18" i="1" s="1"/>
  <c r="FD18" i="1" s="1"/>
  <c r="FD188" i="1"/>
  <c r="FF188" i="1" s="1"/>
  <c r="FG188" i="1" s="1"/>
  <c r="FH188" i="1" s="1"/>
  <c r="FI188" i="1" s="1"/>
  <c r="FK188" i="1" s="1"/>
  <c r="FE69" i="1"/>
  <c r="FF69" i="1" s="1"/>
  <c r="FG69" i="1" s="1"/>
  <c r="FH69" i="1" s="1"/>
  <c r="FI69" i="1" s="1"/>
  <c r="FK69" i="1" s="1"/>
  <c r="EE55" i="1"/>
  <c r="ET55" i="1" s="1"/>
  <c r="FC55" i="1" s="1"/>
  <c r="FE55" i="1" s="1"/>
  <c r="FP51" i="1"/>
  <c r="GD51" i="1" s="1"/>
  <c r="FP17" i="1"/>
  <c r="FQ17" i="1" s="1"/>
  <c r="FR17" i="1" s="1"/>
  <c r="EE22" i="1"/>
  <c r="ET22" i="1" s="1"/>
  <c r="FC22" i="1" s="1"/>
  <c r="FE22" i="1" s="1"/>
  <c r="EE290" i="1"/>
  <c r="ET290" i="1" s="1"/>
  <c r="FC290" i="1" s="1"/>
  <c r="FE290" i="1" s="1"/>
  <c r="EE213" i="1"/>
  <c r="ET213" i="1" s="1"/>
  <c r="FC213" i="1" s="1"/>
  <c r="FE213" i="1" s="1"/>
  <c r="EE210" i="1"/>
  <c r="ET210" i="1" s="1"/>
  <c r="FC210" i="1" s="1"/>
  <c r="FE210" i="1" s="1"/>
  <c r="EE208" i="1"/>
  <c r="ET208" i="1" s="1"/>
  <c r="FC208" i="1" s="1"/>
  <c r="FE208" i="1" s="1"/>
  <c r="EE209" i="1"/>
  <c r="ET209" i="1" s="1"/>
  <c r="FC209" i="1" s="1"/>
  <c r="FE209" i="1" s="1"/>
  <c r="FP247" i="1"/>
  <c r="FS247" i="1" s="1"/>
  <c r="FT247" i="1" s="1"/>
  <c r="FP74" i="1"/>
  <c r="GD74" i="1" s="1"/>
  <c r="FP40" i="1"/>
  <c r="FQ40" i="1" s="1"/>
  <c r="FR40" i="1" s="1"/>
  <c r="FP287" i="1"/>
  <c r="GG287" i="1" s="1"/>
  <c r="GH287" i="1" s="1"/>
  <c r="GI287" i="1" s="1"/>
  <c r="FP135" i="1"/>
  <c r="FQ135" i="1" s="1"/>
  <c r="FR135" i="1" s="1"/>
  <c r="FD103" i="1"/>
  <c r="FF103" i="1" s="1"/>
  <c r="FG103" i="1" s="1"/>
  <c r="FH103" i="1" s="1"/>
  <c r="FI103" i="1" s="1"/>
  <c r="FK103" i="1" s="1"/>
  <c r="EE156" i="1"/>
  <c r="ET156" i="1" s="1"/>
  <c r="FC156" i="1" s="1"/>
  <c r="FD156" i="1" s="1"/>
  <c r="FE289" i="1"/>
  <c r="FF289" i="1" s="1"/>
  <c r="FG289" i="1" s="1"/>
  <c r="FH289" i="1" s="1"/>
  <c r="FI289" i="1" s="1"/>
  <c r="FK289" i="1" s="1"/>
  <c r="EE58" i="1"/>
  <c r="ET58" i="1" s="1"/>
  <c r="FC58" i="1" s="1"/>
  <c r="FE58" i="1" s="1"/>
  <c r="FQ171" i="1"/>
  <c r="FR171" i="1" s="1"/>
  <c r="GD77" i="1"/>
  <c r="FP54" i="1"/>
  <c r="FS54" i="1" s="1"/>
  <c r="FT54" i="1" s="1"/>
  <c r="FP180" i="1"/>
  <c r="GD180" i="1" s="1"/>
  <c r="FU278" i="1"/>
  <c r="FV278" i="1" s="1"/>
  <c r="GE278" i="1"/>
  <c r="FP129" i="1"/>
  <c r="FS129" i="1" s="1"/>
  <c r="FT129" i="1" s="1"/>
  <c r="FP142" i="1"/>
  <c r="FQ142" i="1" s="1"/>
  <c r="FR142" i="1" s="1"/>
  <c r="FP109" i="1"/>
  <c r="FW109" i="1" s="1"/>
  <c r="FX109" i="1" s="1"/>
  <c r="EE217" i="1"/>
  <c r="ET217" i="1" s="1"/>
  <c r="FC217" i="1" s="1"/>
  <c r="FD217" i="1" s="1"/>
  <c r="FE127" i="1"/>
  <c r="FF127" i="1" s="1"/>
  <c r="FG127" i="1" s="1"/>
  <c r="FH127" i="1" s="1"/>
  <c r="FI127" i="1" s="1"/>
  <c r="FK127" i="1" s="1"/>
  <c r="FD84" i="1"/>
  <c r="FF84" i="1" s="1"/>
  <c r="FG84" i="1" s="1"/>
  <c r="FH84" i="1" s="1"/>
  <c r="FI84" i="1" s="1"/>
  <c r="FK84" i="1" s="1"/>
  <c r="FD165" i="1"/>
  <c r="FF165" i="1" s="1"/>
  <c r="FG165" i="1" s="1"/>
  <c r="FH165" i="1" s="1"/>
  <c r="FI165" i="1" s="1"/>
  <c r="FK165" i="1" s="1"/>
  <c r="FP282" i="1"/>
  <c r="GE282" i="1" s="1"/>
  <c r="FS278" i="1"/>
  <c r="FT278" i="1" s="1"/>
  <c r="GG83" i="1"/>
  <c r="GH83" i="1" s="1"/>
  <c r="GI83" i="1" s="1"/>
  <c r="FP68" i="1"/>
  <c r="GE68" i="1" s="1"/>
  <c r="EE5" i="1"/>
  <c r="ET5" i="1" s="1"/>
  <c r="FC5" i="1" s="1"/>
  <c r="FD5" i="1" s="1"/>
  <c r="FS103" i="1"/>
  <c r="FT103" i="1" s="1"/>
  <c r="GE103" i="1"/>
  <c r="EE26" i="1"/>
  <c r="ET26" i="1" s="1"/>
  <c r="FC26" i="1" s="1"/>
  <c r="FD26" i="1" s="1"/>
  <c r="FE267" i="1"/>
  <c r="FF267" i="1" s="1"/>
  <c r="FG267" i="1" s="1"/>
  <c r="FH267" i="1" s="1"/>
  <c r="FI267" i="1" s="1"/>
  <c r="FK267" i="1" s="1"/>
  <c r="GE230" i="1"/>
  <c r="FS77" i="1"/>
  <c r="FT77" i="1" s="1"/>
  <c r="FY77" i="1"/>
  <c r="FZ77" i="1" s="1"/>
  <c r="GG77" i="1"/>
  <c r="GH77" i="1" s="1"/>
  <c r="GI77" i="1" s="1"/>
  <c r="FU77" i="1"/>
  <c r="FV77" i="1" s="1"/>
  <c r="GE77" i="1"/>
  <c r="FQ77" i="1"/>
  <c r="FR77" i="1" s="1"/>
  <c r="FY91" i="1"/>
  <c r="FZ91" i="1" s="1"/>
  <c r="EE65" i="1"/>
  <c r="ET65" i="1" s="1"/>
  <c r="FC65" i="1" s="1"/>
  <c r="FD65" i="1" s="1"/>
  <c r="FE119" i="1"/>
  <c r="FD119" i="1"/>
  <c r="FP159" i="1"/>
  <c r="FU159" i="1" s="1"/>
  <c r="FV159" i="1" s="1"/>
  <c r="EE42" i="1"/>
  <c r="ET42" i="1" s="1"/>
  <c r="FC42" i="1" s="1"/>
  <c r="FE42" i="1" s="1"/>
  <c r="FD118" i="1"/>
  <c r="FF118" i="1" s="1"/>
  <c r="FG118" i="1" s="1"/>
  <c r="FH118" i="1" s="1"/>
  <c r="FI118" i="1" s="1"/>
  <c r="FK118" i="1" s="1"/>
  <c r="FW144" i="1"/>
  <c r="FX144" i="1" s="1"/>
  <c r="GD285" i="1"/>
  <c r="FY285" i="1"/>
  <c r="FZ285" i="1" s="1"/>
  <c r="FD265" i="1"/>
  <c r="FF265" i="1" s="1"/>
  <c r="FG265" i="1" s="1"/>
  <c r="FH265" i="1" s="1"/>
  <c r="FI265" i="1" s="1"/>
  <c r="FK265" i="1" s="1"/>
  <c r="GD230" i="1"/>
  <c r="FY141" i="1"/>
  <c r="FZ141" i="1" s="1"/>
  <c r="FY126" i="1"/>
  <c r="FZ126" i="1" s="1"/>
  <c r="FP265" i="1"/>
  <c r="GG265" i="1" s="1"/>
  <c r="GH265" i="1" s="1"/>
  <c r="GI265" i="1" s="1"/>
  <c r="FW285" i="1"/>
  <c r="FX285" i="1" s="1"/>
  <c r="FE227" i="1"/>
  <c r="FF227" i="1" s="1"/>
  <c r="FG227" i="1" s="1"/>
  <c r="FH227" i="1" s="1"/>
  <c r="FI227" i="1" s="1"/>
  <c r="FK227" i="1" s="1"/>
  <c r="GD107" i="1"/>
  <c r="FD244" i="1"/>
  <c r="FF244" i="1" s="1"/>
  <c r="FG244" i="1" s="1"/>
  <c r="FH244" i="1" s="1"/>
  <c r="FI244" i="1" s="1"/>
  <c r="FK244" i="1" s="1"/>
  <c r="FD105" i="1"/>
  <c r="FF105" i="1" s="1"/>
  <c r="FG105" i="1" s="1"/>
  <c r="FH105" i="1" s="1"/>
  <c r="FI105" i="1" s="1"/>
  <c r="FK105" i="1" s="1"/>
  <c r="FP231" i="1"/>
  <c r="FY231" i="1" s="1"/>
  <c r="FZ231" i="1" s="1"/>
  <c r="FP120" i="1"/>
  <c r="GG120" i="1" s="1"/>
  <c r="GH120" i="1" s="1"/>
  <c r="GI120" i="1" s="1"/>
  <c r="FP80" i="1"/>
  <c r="FS80" i="1" s="1"/>
  <c r="FT80" i="1" s="1"/>
  <c r="FE200" i="1"/>
  <c r="FF200" i="1" s="1"/>
  <c r="FG200" i="1" s="1"/>
  <c r="FH200" i="1" s="1"/>
  <c r="FI200" i="1" s="1"/>
  <c r="FK200" i="1" s="1"/>
  <c r="FY263" i="1"/>
  <c r="FZ263" i="1" s="1"/>
  <c r="EE27" i="1"/>
  <c r="ET27" i="1" s="1"/>
  <c r="FC27" i="1" s="1"/>
  <c r="FE27" i="1" s="1"/>
  <c r="FU81" i="1"/>
  <c r="FV81" i="1" s="1"/>
  <c r="GG144" i="1"/>
  <c r="GH144" i="1" s="1"/>
  <c r="GI144" i="1" s="1"/>
  <c r="FY63" i="1"/>
  <c r="FZ63" i="1" s="1"/>
  <c r="FU96" i="1"/>
  <c r="FV96" i="1" s="1"/>
  <c r="GE214" i="1"/>
  <c r="FW63" i="1"/>
  <c r="FX63" i="1" s="1"/>
  <c r="FY96" i="1"/>
  <c r="FZ96" i="1" s="1"/>
  <c r="FU63" i="1"/>
  <c r="FV63" i="1" s="1"/>
  <c r="FU72" i="1"/>
  <c r="FV72" i="1" s="1"/>
  <c r="FQ63" i="1"/>
  <c r="FR63" i="1" s="1"/>
  <c r="GG237" i="1"/>
  <c r="GH237" i="1" s="1"/>
  <c r="GI237" i="1" s="1"/>
  <c r="GD72" i="1"/>
  <c r="FW237" i="1"/>
  <c r="FX237" i="1" s="1"/>
  <c r="FS237" i="1"/>
  <c r="FT237" i="1" s="1"/>
  <c r="FQ162" i="1"/>
  <c r="FR162" i="1" s="1"/>
  <c r="FY237" i="1"/>
  <c r="FZ237" i="1" s="1"/>
  <c r="FQ107" i="1"/>
  <c r="FR107" i="1" s="1"/>
  <c r="GE192" i="1"/>
  <c r="GG72" i="1"/>
  <c r="GH72" i="1" s="1"/>
  <c r="GI72" i="1" s="1"/>
  <c r="FS285" i="1"/>
  <c r="FT285" i="1" s="1"/>
  <c r="GA107" i="1"/>
  <c r="GB107" i="1" s="1"/>
  <c r="GG292" i="1"/>
  <c r="GH292" i="1" s="1"/>
  <c r="GI292" i="1" s="1"/>
  <c r="FY292" i="1"/>
  <c r="FZ292" i="1" s="1"/>
  <c r="FS107" i="1"/>
  <c r="FT107" i="1" s="1"/>
  <c r="FE168" i="1"/>
  <c r="FF168" i="1" s="1"/>
  <c r="FG168" i="1" s="1"/>
  <c r="FH168" i="1" s="1"/>
  <c r="FI168" i="1" s="1"/>
  <c r="FK168" i="1" s="1"/>
  <c r="FD235" i="1"/>
  <c r="FF235" i="1" s="1"/>
  <c r="FG235" i="1" s="1"/>
  <c r="FH235" i="1" s="1"/>
  <c r="FI235" i="1" s="1"/>
  <c r="FK235" i="1" s="1"/>
  <c r="FW107" i="1"/>
  <c r="FX107" i="1" s="1"/>
  <c r="GE107" i="1"/>
  <c r="FY107" i="1"/>
  <c r="FZ107" i="1" s="1"/>
  <c r="FP242" i="1"/>
  <c r="FS242" i="1" s="1"/>
  <c r="FT242" i="1" s="1"/>
  <c r="GE285" i="1"/>
  <c r="FE222" i="1"/>
  <c r="FF222" i="1" s="1"/>
  <c r="FG222" i="1" s="1"/>
  <c r="FH222" i="1" s="1"/>
  <c r="FI222" i="1" s="1"/>
  <c r="FK222" i="1" s="1"/>
  <c r="FE137" i="1"/>
  <c r="FD137" i="1"/>
  <c r="FW214" i="1"/>
  <c r="FX214" i="1" s="1"/>
  <c r="FU91" i="1"/>
  <c r="FV91" i="1" s="1"/>
  <c r="GG214" i="1"/>
  <c r="GH214" i="1" s="1"/>
  <c r="GI214" i="1" s="1"/>
  <c r="FQ91" i="1"/>
  <c r="FR91" i="1" s="1"/>
  <c r="FU214" i="1"/>
  <c r="FV214" i="1" s="1"/>
  <c r="FS91" i="1"/>
  <c r="FT91" i="1" s="1"/>
  <c r="FW112" i="1"/>
  <c r="FX112" i="1" s="1"/>
  <c r="FQ214" i="1"/>
  <c r="FR214" i="1" s="1"/>
  <c r="GD91" i="1"/>
  <c r="GE91" i="1"/>
  <c r="GG91" i="1"/>
  <c r="GH91" i="1" s="1"/>
  <c r="GI91" i="1" s="1"/>
  <c r="FS214" i="1"/>
  <c r="FT214" i="1" s="1"/>
  <c r="FS72" i="1"/>
  <c r="FT72" i="1" s="1"/>
  <c r="FS82" i="1"/>
  <c r="FT82" i="1" s="1"/>
  <c r="FY82" i="1"/>
  <c r="FZ82" i="1" s="1"/>
  <c r="FU141" i="1"/>
  <c r="FV141" i="1" s="1"/>
  <c r="FQ141" i="1"/>
  <c r="FR141" i="1" s="1"/>
  <c r="FS141" i="1"/>
  <c r="FT141" i="1" s="1"/>
  <c r="FD77" i="1"/>
  <c r="FF77" i="1" s="1"/>
  <c r="FG77" i="1" s="1"/>
  <c r="FH77" i="1" s="1"/>
  <c r="FI77" i="1" s="1"/>
  <c r="FK77" i="1" s="1"/>
  <c r="FP48" i="1"/>
  <c r="FW48" i="1" s="1"/>
  <c r="FX48" i="1" s="1"/>
  <c r="FP178" i="1"/>
  <c r="FU178" i="1" s="1"/>
  <c r="FV178" i="1" s="1"/>
  <c r="EE98" i="1"/>
  <c r="ET98" i="1" s="1"/>
  <c r="FC98" i="1" s="1"/>
  <c r="FD98" i="1" s="1"/>
  <c r="GE141" i="1"/>
  <c r="GG141" i="1"/>
  <c r="GH141" i="1" s="1"/>
  <c r="GI141" i="1" s="1"/>
  <c r="GD141" i="1"/>
  <c r="FE295" i="1"/>
  <c r="FF295" i="1" s="1"/>
  <c r="FG295" i="1" s="1"/>
  <c r="FH295" i="1" s="1"/>
  <c r="FI295" i="1" s="1"/>
  <c r="FK295" i="1" s="1"/>
  <c r="FD151" i="1"/>
  <c r="FF151" i="1" s="1"/>
  <c r="FG151" i="1" s="1"/>
  <c r="FH151" i="1" s="1"/>
  <c r="FI151" i="1" s="1"/>
  <c r="FK151" i="1" s="1"/>
  <c r="FD113" i="1"/>
  <c r="FF113" i="1" s="1"/>
  <c r="FG113" i="1" s="1"/>
  <c r="FH113" i="1" s="1"/>
  <c r="FI113" i="1" s="1"/>
  <c r="FK113" i="1" s="1"/>
  <c r="EE53" i="1"/>
  <c r="ET53" i="1" s="1"/>
  <c r="FC53" i="1" s="1"/>
  <c r="FE53" i="1" s="1"/>
  <c r="GE171" i="1"/>
  <c r="FD110" i="1"/>
  <c r="FF110" i="1" s="1"/>
  <c r="FG110" i="1" s="1"/>
  <c r="FH110" i="1" s="1"/>
  <c r="FI110" i="1" s="1"/>
  <c r="FK110" i="1" s="1"/>
  <c r="GG78" i="1"/>
  <c r="GH78" i="1" s="1"/>
  <c r="GI78" i="1" s="1"/>
  <c r="FD179" i="1"/>
  <c r="FF179" i="1" s="1"/>
  <c r="FG179" i="1" s="1"/>
  <c r="FH179" i="1" s="1"/>
  <c r="FI179" i="1" s="1"/>
  <c r="FK179" i="1" s="1"/>
  <c r="FD87" i="1"/>
  <c r="FF87" i="1" s="1"/>
  <c r="FG87" i="1" s="1"/>
  <c r="FH87" i="1" s="1"/>
  <c r="FI87" i="1" s="1"/>
  <c r="FK87" i="1" s="1"/>
  <c r="FD268" i="1"/>
  <c r="FF268" i="1" s="1"/>
  <c r="FG268" i="1" s="1"/>
  <c r="FH268" i="1" s="1"/>
  <c r="FI268" i="1" s="1"/>
  <c r="FK268" i="1" s="1"/>
  <c r="FP179" i="1"/>
  <c r="FY179" i="1" s="1"/>
  <c r="FZ179" i="1" s="1"/>
  <c r="GD82" i="1"/>
  <c r="FS171" i="1"/>
  <c r="FT171" i="1" s="1"/>
  <c r="FU78" i="1"/>
  <c r="FV78" i="1" s="1"/>
  <c r="GG171" i="1"/>
  <c r="GH171" i="1" s="1"/>
  <c r="GI171" i="1" s="1"/>
  <c r="FD102" i="1"/>
  <c r="FF102" i="1" s="1"/>
  <c r="FG102" i="1" s="1"/>
  <c r="FH102" i="1" s="1"/>
  <c r="FI102" i="1" s="1"/>
  <c r="FK102" i="1" s="1"/>
  <c r="GA78" i="1"/>
  <c r="GB78" i="1" s="1"/>
  <c r="FD91" i="1"/>
  <c r="FF91" i="1" s="1"/>
  <c r="FG91" i="1" s="1"/>
  <c r="FH91" i="1" s="1"/>
  <c r="FI91" i="1" s="1"/>
  <c r="FK91" i="1" s="1"/>
  <c r="FW39" i="1"/>
  <c r="FX39" i="1" s="1"/>
  <c r="FQ82" i="1"/>
  <c r="FR82" i="1" s="1"/>
  <c r="FD280" i="1"/>
  <c r="FF280" i="1" s="1"/>
  <c r="FG280" i="1" s="1"/>
  <c r="FH280" i="1" s="1"/>
  <c r="FI280" i="1" s="1"/>
  <c r="FK280" i="1" s="1"/>
  <c r="FW171" i="1"/>
  <c r="FX171" i="1" s="1"/>
  <c r="FW290" i="1"/>
  <c r="FX290" i="1" s="1"/>
  <c r="GD214" i="1"/>
  <c r="FU107" i="1"/>
  <c r="FV107" i="1" s="1"/>
  <c r="GD192" i="1"/>
  <c r="FW78" i="1"/>
  <c r="FX78" i="1" s="1"/>
  <c r="FE32" i="1"/>
  <c r="FF32" i="1" s="1"/>
  <c r="FG32" i="1" s="1"/>
  <c r="FH32" i="1" s="1"/>
  <c r="FI32" i="1" s="1"/>
  <c r="FK32" i="1" s="1"/>
  <c r="FD275" i="1"/>
  <c r="FF275" i="1" s="1"/>
  <c r="FG275" i="1" s="1"/>
  <c r="FH275" i="1" s="1"/>
  <c r="FI275" i="1" s="1"/>
  <c r="FK275" i="1" s="1"/>
  <c r="FD191" i="1"/>
  <c r="FF191" i="1" s="1"/>
  <c r="FG191" i="1" s="1"/>
  <c r="FH191" i="1" s="1"/>
  <c r="FI191" i="1" s="1"/>
  <c r="FK191" i="1" s="1"/>
  <c r="FY171" i="1"/>
  <c r="FZ171" i="1" s="1"/>
  <c r="FD246" i="1"/>
  <c r="FF246" i="1" s="1"/>
  <c r="FG246" i="1" s="1"/>
  <c r="FH246" i="1" s="1"/>
  <c r="FI246" i="1" s="1"/>
  <c r="FK246" i="1" s="1"/>
  <c r="FQ290" i="1"/>
  <c r="FR290" i="1" s="1"/>
  <c r="GD206" i="1"/>
  <c r="FE76" i="1"/>
  <c r="FF76" i="1" s="1"/>
  <c r="FG76" i="1" s="1"/>
  <c r="FH76" i="1" s="1"/>
  <c r="FI76" i="1" s="1"/>
  <c r="FK76" i="1" s="1"/>
  <c r="GG290" i="1"/>
  <c r="GH290" i="1" s="1"/>
  <c r="GI290" i="1" s="1"/>
  <c r="FW82" i="1"/>
  <c r="FX82" i="1" s="1"/>
  <c r="FQ71" i="1"/>
  <c r="FR71" i="1" s="1"/>
  <c r="FY71" i="1"/>
  <c r="FZ71" i="1" s="1"/>
  <c r="FQ144" i="1"/>
  <c r="FR144" i="1" s="1"/>
  <c r="FQ96" i="1"/>
  <c r="FR96" i="1" s="1"/>
  <c r="FD109" i="1"/>
  <c r="FF109" i="1" s="1"/>
  <c r="FG109" i="1" s="1"/>
  <c r="FH109" i="1" s="1"/>
  <c r="FI109" i="1" s="1"/>
  <c r="FK109" i="1" s="1"/>
  <c r="FE175" i="1"/>
  <c r="FF175" i="1" s="1"/>
  <c r="FG175" i="1" s="1"/>
  <c r="FH175" i="1" s="1"/>
  <c r="FI175" i="1" s="1"/>
  <c r="FK175" i="1" s="1"/>
  <c r="FW56" i="1"/>
  <c r="FX56" i="1" s="1"/>
  <c r="FW192" i="1"/>
  <c r="FX192" i="1" s="1"/>
  <c r="GG181" i="1"/>
  <c r="GH181" i="1" s="1"/>
  <c r="GI181" i="1" s="1"/>
  <c r="FS126" i="1"/>
  <c r="FT126" i="1" s="1"/>
  <c r="FS230" i="1"/>
  <c r="FT230" i="1" s="1"/>
  <c r="GE181" i="1"/>
  <c r="FU144" i="1"/>
  <c r="FV144" i="1" s="1"/>
  <c r="FS96" i="1"/>
  <c r="FT96" i="1" s="1"/>
  <c r="FD45" i="1"/>
  <c r="FF45" i="1" s="1"/>
  <c r="FG45" i="1" s="1"/>
  <c r="FH45" i="1" s="1"/>
  <c r="FI45" i="1" s="1"/>
  <c r="FK45" i="1" s="1"/>
  <c r="FQ56" i="1"/>
  <c r="FR56" i="1" s="1"/>
  <c r="FS192" i="1"/>
  <c r="FT192" i="1" s="1"/>
  <c r="FW181" i="1"/>
  <c r="FX181" i="1" s="1"/>
  <c r="FW126" i="1"/>
  <c r="FX126" i="1" s="1"/>
  <c r="FW75" i="1"/>
  <c r="FX75" i="1" s="1"/>
  <c r="FY230" i="1"/>
  <c r="FZ230" i="1" s="1"/>
  <c r="FQ126" i="1"/>
  <c r="FR126" i="1" s="1"/>
  <c r="GE144" i="1"/>
  <c r="FQ192" i="1"/>
  <c r="FR192" i="1" s="1"/>
  <c r="GE126" i="1"/>
  <c r="FW200" i="1"/>
  <c r="FX200" i="1" s="1"/>
  <c r="GG230" i="1"/>
  <c r="GH230" i="1" s="1"/>
  <c r="GI230" i="1" s="1"/>
  <c r="FD296" i="1"/>
  <c r="FF296" i="1" s="1"/>
  <c r="FG296" i="1" s="1"/>
  <c r="FH296" i="1" s="1"/>
  <c r="FI296" i="1" s="1"/>
  <c r="FK296" i="1" s="1"/>
  <c r="GD96" i="1"/>
  <c r="FD190" i="1"/>
  <c r="FF190" i="1" s="1"/>
  <c r="FG190" i="1" s="1"/>
  <c r="FH190" i="1" s="1"/>
  <c r="FI190" i="1" s="1"/>
  <c r="FK190" i="1" s="1"/>
  <c r="FU56" i="1"/>
  <c r="FV56" i="1" s="1"/>
  <c r="FS144" i="1"/>
  <c r="FT144" i="1" s="1"/>
  <c r="FU161" i="1"/>
  <c r="FV161" i="1" s="1"/>
  <c r="GE96" i="1"/>
  <c r="FE271" i="1"/>
  <c r="FF271" i="1" s="1"/>
  <c r="FG271" i="1" s="1"/>
  <c r="FH271" i="1" s="1"/>
  <c r="FI271" i="1" s="1"/>
  <c r="FK271" i="1" s="1"/>
  <c r="GD126" i="1"/>
  <c r="FW174" i="1"/>
  <c r="FX174" i="1" s="1"/>
  <c r="FW230" i="1"/>
  <c r="FX230" i="1" s="1"/>
  <c r="FE185" i="1"/>
  <c r="FF185" i="1" s="1"/>
  <c r="FG185" i="1" s="1"/>
  <c r="FH185" i="1" s="1"/>
  <c r="FI185" i="1" s="1"/>
  <c r="FK185" i="1" s="1"/>
  <c r="FU126" i="1"/>
  <c r="FV126" i="1" s="1"/>
  <c r="FE67" i="1"/>
  <c r="FF67" i="1" s="1"/>
  <c r="FG67" i="1" s="1"/>
  <c r="FH67" i="1" s="1"/>
  <c r="FI67" i="1" s="1"/>
  <c r="FK67" i="1" s="1"/>
  <c r="GD144" i="1"/>
  <c r="GD161" i="1"/>
  <c r="GG96" i="1"/>
  <c r="GH96" i="1" s="1"/>
  <c r="GI96" i="1" s="1"/>
  <c r="GD263" i="1"/>
  <c r="FQ230" i="1"/>
  <c r="FR230" i="1" s="1"/>
  <c r="FU210" i="1"/>
  <c r="FV210" i="1" s="1"/>
  <c r="FU192" i="1"/>
  <c r="FV192" i="1" s="1"/>
  <c r="FS263" i="1"/>
  <c r="FT263" i="1" s="1"/>
  <c r="FD262" i="1"/>
  <c r="FF262" i="1" s="1"/>
  <c r="FG262" i="1" s="1"/>
  <c r="FH262" i="1" s="1"/>
  <c r="FI262" i="1" s="1"/>
  <c r="FK262" i="1" s="1"/>
  <c r="FP256" i="1"/>
  <c r="FY256" i="1" s="1"/>
  <c r="FZ256" i="1" s="1"/>
  <c r="FE230" i="1"/>
  <c r="FD230" i="1"/>
  <c r="FD89" i="1"/>
  <c r="FF89" i="1" s="1"/>
  <c r="FG89" i="1" s="1"/>
  <c r="FH89" i="1" s="1"/>
  <c r="FI89" i="1" s="1"/>
  <c r="FK89" i="1" s="1"/>
  <c r="FE121" i="1"/>
  <c r="FF121" i="1" s="1"/>
  <c r="FG121" i="1" s="1"/>
  <c r="FH121" i="1" s="1"/>
  <c r="FI121" i="1" s="1"/>
  <c r="FK121" i="1" s="1"/>
  <c r="FQ286" i="1"/>
  <c r="FR286" i="1" s="1"/>
  <c r="GD301" i="1"/>
  <c r="FU286" i="1"/>
  <c r="FV286" i="1" s="1"/>
  <c r="FE201" i="1"/>
  <c r="FF201" i="1" s="1"/>
  <c r="FG201" i="1" s="1"/>
  <c r="FH201" i="1" s="1"/>
  <c r="FI201" i="1" s="1"/>
  <c r="FK201" i="1" s="1"/>
  <c r="GD150" i="1"/>
  <c r="GE21" i="1"/>
  <c r="FY21" i="1"/>
  <c r="FZ21" i="1" s="1"/>
  <c r="FW21" i="1"/>
  <c r="FX21" i="1" s="1"/>
  <c r="GG21" i="1"/>
  <c r="GH21" i="1" s="1"/>
  <c r="GI21" i="1" s="1"/>
  <c r="FS21" i="1"/>
  <c r="FT21" i="1" s="1"/>
  <c r="GD21" i="1"/>
  <c r="FU21" i="1"/>
  <c r="FV21" i="1" s="1"/>
  <c r="FS162" i="1"/>
  <c r="FT162" i="1" s="1"/>
  <c r="FY210" i="1"/>
  <c r="FZ210" i="1" s="1"/>
  <c r="FE164" i="1"/>
  <c r="FF164" i="1" s="1"/>
  <c r="FG164" i="1" s="1"/>
  <c r="FH164" i="1" s="1"/>
  <c r="FI164" i="1" s="1"/>
  <c r="FK164" i="1" s="1"/>
  <c r="FD288" i="1"/>
  <c r="FF288" i="1" s="1"/>
  <c r="FG288" i="1" s="1"/>
  <c r="FH288" i="1" s="1"/>
  <c r="FI288" i="1" s="1"/>
  <c r="FK288" i="1" s="1"/>
  <c r="FE145" i="1"/>
  <c r="FF145" i="1" s="1"/>
  <c r="FG145" i="1" s="1"/>
  <c r="FH145" i="1" s="1"/>
  <c r="FI145" i="1" s="1"/>
  <c r="FK145" i="1" s="1"/>
  <c r="FD146" i="1"/>
  <c r="FF146" i="1" s="1"/>
  <c r="FG146" i="1" s="1"/>
  <c r="FH146" i="1" s="1"/>
  <c r="FI146" i="1" s="1"/>
  <c r="FK146" i="1" s="1"/>
  <c r="GE162" i="1"/>
  <c r="FY162" i="1"/>
  <c r="FZ162" i="1" s="1"/>
  <c r="FE231" i="1"/>
  <c r="FF231" i="1" s="1"/>
  <c r="FG231" i="1" s="1"/>
  <c r="FH231" i="1" s="1"/>
  <c r="FI231" i="1" s="1"/>
  <c r="FK231" i="1" s="1"/>
  <c r="FD21" i="1"/>
  <c r="FF21" i="1" s="1"/>
  <c r="FG21" i="1" s="1"/>
  <c r="FH21" i="1" s="1"/>
  <c r="FI21" i="1" s="1"/>
  <c r="FK21" i="1" s="1"/>
  <c r="FD124" i="1"/>
  <c r="FF124" i="1" s="1"/>
  <c r="FG124" i="1" s="1"/>
  <c r="FH124" i="1" s="1"/>
  <c r="FI124" i="1" s="1"/>
  <c r="FK124" i="1" s="1"/>
  <c r="FU8" i="1"/>
  <c r="FV8" i="1" s="1"/>
  <c r="GD162" i="1"/>
  <c r="GE210" i="1"/>
  <c r="GE71" i="1"/>
  <c r="FW81" i="1"/>
  <c r="FX81" i="1" s="1"/>
  <c r="GG244" i="1"/>
  <c r="GH244" i="1" s="1"/>
  <c r="GI244" i="1" s="1"/>
  <c r="FQ8" i="1"/>
  <c r="FR8" i="1" s="1"/>
  <c r="FY253" i="1"/>
  <c r="FZ253" i="1" s="1"/>
  <c r="FW162" i="1"/>
  <c r="FX162" i="1" s="1"/>
  <c r="GG71" i="1"/>
  <c r="GH71" i="1" s="1"/>
  <c r="GI71" i="1" s="1"/>
  <c r="FS81" i="1"/>
  <c r="FT81" i="1" s="1"/>
  <c r="FW244" i="1"/>
  <c r="FX244" i="1" s="1"/>
  <c r="GD253" i="1"/>
  <c r="EE34" i="1"/>
  <c r="ET34" i="1" s="1"/>
  <c r="FC34" i="1" s="1"/>
  <c r="FE34" i="1" s="1"/>
  <c r="GG162" i="1"/>
  <c r="GH162" i="1" s="1"/>
  <c r="GI162" i="1" s="1"/>
  <c r="FW210" i="1"/>
  <c r="FX210" i="1" s="1"/>
  <c r="GD210" i="1"/>
  <c r="FW71" i="1"/>
  <c r="FX71" i="1" s="1"/>
  <c r="GE81" i="1"/>
  <c r="FQ244" i="1"/>
  <c r="FR244" i="1" s="1"/>
  <c r="FS301" i="1"/>
  <c r="FT301" i="1" s="1"/>
  <c r="FU206" i="1"/>
  <c r="FV206" i="1" s="1"/>
  <c r="FQ150" i="1"/>
  <c r="FR150" i="1" s="1"/>
  <c r="FE16" i="1"/>
  <c r="FF16" i="1" s="1"/>
  <c r="FG16" i="1" s="1"/>
  <c r="FH16" i="1" s="1"/>
  <c r="FI16" i="1" s="1"/>
  <c r="FK16" i="1" s="1"/>
  <c r="FD247" i="1"/>
  <c r="FF247" i="1" s="1"/>
  <c r="FG247" i="1" s="1"/>
  <c r="FH247" i="1" s="1"/>
  <c r="FI247" i="1" s="1"/>
  <c r="FK247" i="1" s="1"/>
  <c r="FQ206" i="1"/>
  <c r="FR206" i="1" s="1"/>
  <c r="FY206" i="1"/>
  <c r="FZ206" i="1" s="1"/>
  <c r="FS169" i="1"/>
  <c r="FT169" i="1" s="1"/>
  <c r="FE223" i="1"/>
  <c r="FF223" i="1" s="1"/>
  <c r="FG223" i="1" s="1"/>
  <c r="FH223" i="1" s="1"/>
  <c r="FI223" i="1" s="1"/>
  <c r="FK223" i="1" s="1"/>
  <c r="FS206" i="1"/>
  <c r="FT206" i="1" s="1"/>
  <c r="FE282" i="1"/>
  <c r="FF282" i="1" s="1"/>
  <c r="FG282" i="1" s="1"/>
  <c r="FH282" i="1" s="1"/>
  <c r="FI282" i="1" s="1"/>
  <c r="FK282" i="1" s="1"/>
  <c r="GG206" i="1"/>
  <c r="GH206" i="1" s="1"/>
  <c r="GI206" i="1" s="1"/>
  <c r="FD221" i="1"/>
  <c r="FF221" i="1" s="1"/>
  <c r="FG221" i="1" s="1"/>
  <c r="FH221" i="1" s="1"/>
  <c r="FI221" i="1" s="1"/>
  <c r="FK221" i="1" s="1"/>
  <c r="GE203" i="1"/>
  <c r="FD189" i="1"/>
  <c r="FF189" i="1" s="1"/>
  <c r="FG189" i="1" s="1"/>
  <c r="FH189" i="1" s="1"/>
  <c r="FI189" i="1" s="1"/>
  <c r="FK189" i="1" s="1"/>
  <c r="FP187" i="1"/>
  <c r="GD187" i="1" s="1"/>
  <c r="FP104" i="1"/>
  <c r="GG104" i="1" s="1"/>
  <c r="GH104" i="1" s="1"/>
  <c r="GI104" i="1" s="1"/>
  <c r="FP295" i="1"/>
  <c r="FQ295" i="1" s="1"/>
  <c r="FR295" i="1" s="1"/>
  <c r="GE206" i="1"/>
  <c r="FD193" i="1"/>
  <c r="FF193" i="1" s="1"/>
  <c r="FG193" i="1" s="1"/>
  <c r="FH193" i="1" s="1"/>
  <c r="FI193" i="1" s="1"/>
  <c r="FK193" i="1" s="1"/>
  <c r="FD150" i="1"/>
  <c r="FF150" i="1" s="1"/>
  <c r="FG150" i="1" s="1"/>
  <c r="FH150" i="1" s="1"/>
  <c r="FI150" i="1" s="1"/>
  <c r="FK150" i="1" s="1"/>
  <c r="FD276" i="1"/>
  <c r="FF276" i="1" s="1"/>
  <c r="FG276" i="1" s="1"/>
  <c r="FH276" i="1" s="1"/>
  <c r="FI276" i="1" s="1"/>
  <c r="FK276" i="1" s="1"/>
  <c r="EE194" i="1"/>
  <c r="ET194" i="1" s="1"/>
  <c r="FC194" i="1" s="1"/>
  <c r="FE194" i="1" s="1"/>
  <c r="GG63" i="1"/>
  <c r="GH63" i="1" s="1"/>
  <c r="GI63" i="1" s="1"/>
  <c r="FQ292" i="1"/>
  <c r="FR292" i="1" s="1"/>
  <c r="FQ237" i="1"/>
  <c r="FR237" i="1" s="1"/>
  <c r="FD157" i="1"/>
  <c r="FF157" i="1" s="1"/>
  <c r="FG157" i="1" s="1"/>
  <c r="FH157" i="1" s="1"/>
  <c r="FI157" i="1" s="1"/>
  <c r="FK157" i="1" s="1"/>
  <c r="GD14" i="1"/>
  <c r="GA234" i="1"/>
  <c r="GB234" i="1" s="1"/>
  <c r="GG301" i="1"/>
  <c r="GH301" i="1" s="1"/>
  <c r="GI301" i="1" s="1"/>
  <c r="FE166" i="1"/>
  <c r="FF166" i="1" s="1"/>
  <c r="FG166" i="1" s="1"/>
  <c r="FH166" i="1" s="1"/>
  <c r="FI166" i="1" s="1"/>
  <c r="FK166" i="1" s="1"/>
  <c r="FD186" i="1"/>
  <c r="FF186" i="1" s="1"/>
  <c r="FG186" i="1" s="1"/>
  <c r="FH186" i="1" s="1"/>
  <c r="FI186" i="1" s="1"/>
  <c r="FK186" i="1" s="1"/>
  <c r="FD257" i="1"/>
  <c r="FF257" i="1" s="1"/>
  <c r="FG257" i="1" s="1"/>
  <c r="FH257" i="1" s="1"/>
  <c r="FI257" i="1" s="1"/>
  <c r="FK257" i="1" s="1"/>
  <c r="FU11" i="1"/>
  <c r="FV11" i="1" s="1"/>
  <c r="FE80" i="1"/>
  <c r="FF80" i="1" s="1"/>
  <c r="FG80" i="1" s="1"/>
  <c r="FH80" i="1" s="1"/>
  <c r="FI80" i="1" s="1"/>
  <c r="FK80" i="1" s="1"/>
  <c r="GA14" i="1"/>
  <c r="GB14" i="1" s="1"/>
  <c r="FE108" i="1"/>
  <c r="FF108" i="1" s="1"/>
  <c r="FG108" i="1" s="1"/>
  <c r="FH108" i="1" s="1"/>
  <c r="FI108" i="1" s="1"/>
  <c r="FK108" i="1" s="1"/>
  <c r="FD211" i="1"/>
  <c r="FF211" i="1" s="1"/>
  <c r="FG211" i="1" s="1"/>
  <c r="FH211" i="1" s="1"/>
  <c r="FI211" i="1" s="1"/>
  <c r="FK211" i="1" s="1"/>
  <c r="FW292" i="1"/>
  <c r="FX292" i="1" s="1"/>
  <c r="GD30" i="1"/>
  <c r="FS63" i="1"/>
  <c r="FT63" i="1" s="1"/>
  <c r="GD292" i="1"/>
  <c r="FU237" i="1"/>
  <c r="FV237" i="1" s="1"/>
  <c r="FE122" i="1"/>
  <c r="FF122" i="1" s="1"/>
  <c r="FG122" i="1" s="1"/>
  <c r="FH122" i="1" s="1"/>
  <c r="FI122" i="1" s="1"/>
  <c r="FK122" i="1" s="1"/>
  <c r="GD63" i="1"/>
  <c r="FU292" i="1"/>
  <c r="FV292" i="1" s="1"/>
  <c r="GE237" i="1"/>
  <c r="FE253" i="1"/>
  <c r="FF253" i="1" s="1"/>
  <c r="FG253" i="1" s="1"/>
  <c r="FH253" i="1" s="1"/>
  <c r="FI253" i="1" s="1"/>
  <c r="FK253" i="1" s="1"/>
  <c r="FU14" i="1"/>
  <c r="FV14" i="1" s="1"/>
  <c r="FY174" i="1"/>
  <c r="FZ174" i="1" s="1"/>
  <c r="FE161" i="1"/>
  <c r="FF161" i="1" s="1"/>
  <c r="FG161" i="1" s="1"/>
  <c r="FH161" i="1" s="1"/>
  <c r="FI161" i="1" s="1"/>
  <c r="FK161" i="1" s="1"/>
  <c r="FD256" i="1"/>
  <c r="FF256" i="1" s="1"/>
  <c r="FG256" i="1" s="1"/>
  <c r="FH256" i="1" s="1"/>
  <c r="FI256" i="1" s="1"/>
  <c r="FK256" i="1" s="1"/>
  <c r="FY14" i="1"/>
  <c r="FZ14" i="1" s="1"/>
  <c r="GD234" i="1"/>
  <c r="GE292" i="1"/>
  <c r="FE260" i="1"/>
  <c r="FF260" i="1" s="1"/>
  <c r="FG260" i="1" s="1"/>
  <c r="FH260" i="1" s="1"/>
  <c r="FI260" i="1" s="1"/>
  <c r="FK260" i="1" s="1"/>
  <c r="EE44" i="1"/>
  <c r="ET44" i="1" s="1"/>
  <c r="FC44" i="1" s="1"/>
  <c r="FE44" i="1" s="1"/>
  <c r="GD108" i="1"/>
  <c r="FW286" i="1"/>
  <c r="FX286" i="1" s="1"/>
  <c r="GE150" i="1"/>
  <c r="FU169" i="1"/>
  <c r="FV169" i="1" s="1"/>
  <c r="FW35" i="1"/>
  <c r="FX35" i="1" s="1"/>
  <c r="GD102" i="1"/>
  <c r="FS30" i="1"/>
  <c r="FT30" i="1" s="1"/>
  <c r="GE97" i="1"/>
  <c r="FQ21" i="1"/>
  <c r="FR21" i="1" s="1"/>
  <c r="FQ62" i="1"/>
  <c r="FR62" i="1" s="1"/>
  <c r="FY72" i="1"/>
  <c r="FZ72" i="1" s="1"/>
  <c r="FQ112" i="1"/>
  <c r="FR112" i="1" s="1"/>
  <c r="FU285" i="1"/>
  <c r="FV285" i="1" s="1"/>
  <c r="FS168" i="1"/>
  <c r="FT168" i="1" s="1"/>
  <c r="GG97" i="1"/>
  <c r="GH97" i="1" s="1"/>
  <c r="GI97" i="1" s="1"/>
  <c r="FW62" i="1"/>
  <c r="FX62" i="1" s="1"/>
  <c r="GE112" i="1"/>
  <c r="GD168" i="1"/>
  <c r="FQ30" i="1"/>
  <c r="FR30" i="1" s="1"/>
  <c r="FW97" i="1"/>
  <c r="FX97" i="1" s="1"/>
  <c r="FQ72" i="1"/>
  <c r="FR72" i="1" s="1"/>
  <c r="FS112" i="1"/>
  <c r="FT112" i="1" s="1"/>
  <c r="FY112" i="1"/>
  <c r="FZ112" i="1" s="1"/>
  <c r="GG112" i="1"/>
  <c r="GH112" i="1" s="1"/>
  <c r="GI112" i="1" s="1"/>
  <c r="GG169" i="1"/>
  <c r="GH169" i="1" s="1"/>
  <c r="GI169" i="1" s="1"/>
  <c r="GD297" i="1"/>
  <c r="FU28" i="1"/>
  <c r="FV28" i="1" s="1"/>
  <c r="FU168" i="1"/>
  <c r="FV168" i="1" s="1"/>
  <c r="FS18" i="1"/>
  <c r="FT18" i="1" s="1"/>
  <c r="GE30" i="1"/>
  <c r="FW275" i="1"/>
  <c r="FX275" i="1" s="1"/>
  <c r="GG100" i="1"/>
  <c r="GH100" i="1" s="1"/>
  <c r="GI100" i="1" s="1"/>
  <c r="GD169" i="1"/>
  <c r="FY97" i="1"/>
  <c r="FZ97" i="1" s="1"/>
  <c r="GD286" i="1"/>
  <c r="FQ14" i="1"/>
  <c r="FR14" i="1" s="1"/>
  <c r="FY62" i="1"/>
  <c r="FZ62" i="1" s="1"/>
  <c r="GD110" i="1"/>
  <c r="FU301" i="1"/>
  <c r="FV301" i="1" s="1"/>
  <c r="GG168" i="1"/>
  <c r="GH168" i="1" s="1"/>
  <c r="GI168" i="1" s="1"/>
  <c r="GG30" i="1"/>
  <c r="GH30" i="1" s="1"/>
  <c r="GI30" i="1" s="1"/>
  <c r="FQ169" i="1"/>
  <c r="FR169" i="1" s="1"/>
  <c r="GE169" i="1"/>
  <c r="GE286" i="1"/>
  <c r="FW14" i="1"/>
  <c r="FX14" i="1" s="1"/>
  <c r="FU62" i="1"/>
  <c r="FV62" i="1" s="1"/>
  <c r="FW193" i="1"/>
  <c r="FX193" i="1" s="1"/>
  <c r="GE67" i="1"/>
  <c r="FW301" i="1"/>
  <c r="FX301" i="1" s="1"/>
  <c r="FQ168" i="1"/>
  <c r="FR168" i="1" s="1"/>
  <c r="FU100" i="1"/>
  <c r="FV100" i="1" s="1"/>
  <c r="FQ34" i="1"/>
  <c r="FR34" i="1" s="1"/>
  <c r="FU97" i="1"/>
  <c r="FV97" i="1" s="1"/>
  <c r="FW30" i="1"/>
  <c r="FX30" i="1" s="1"/>
  <c r="FS34" i="1"/>
  <c r="FT34" i="1" s="1"/>
  <c r="FW169" i="1"/>
  <c r="FX169" i="1" s="1"/>
  <c r="FS97" i="1"/>
  <c r="FT97" i="1" s="1"/>
  <c r="FS286" i="1"/>
  <c r="FT286" i="1" s="1"/>
  <c r="FS14" i="1"/>
  <c r="FT14" i="1" s="1"/>
  <c r="FS193" i="1"/>
  <c r="FT193" i="1" s="1"/>
  <c r="GD200" i="1"/>
  <c r="FS67" i="1"/>
  <c r="FT67" i="1" s="1"/>
  <c r="GE88" i="1"/>
  <c r="FY301" i="1"/>
  <c r="FZ301" i="1" s="1"/>
  <c r="FY150" i="1"/>
  <c r="FZ150" i="1" s="1"/>
  <c r="FW168" i="1"/>
  <c r="FX168" i="1" s="1"/>
  <c r="FS283" i="1"/>
  <c r="FT283" i="1" s="1"/>
  <c r="FY169" i="1"/>
  <c r="FZ169" i="1" s="1"/>
  <c r="FQ97" i="1"/>
  <c r="FR97" i="1" s="1"/>
  <c r="FS239" i="1"/>
  <c r="FT239" i="1" s="1"/>
  <c r="FY286" i="1"/>
  <c r="FZ286" i="1" s="1"/>
  <c r="GE14" i="1"/>
  <c r="GA35" i="1"/>
  <c r="GB35" i="1" s="1"/>
  <c r="FQ221" i="1"/>
  <c r="FR221" i="1" s="1"/>
  <c r="GD277" i="1"/>
  <c r="GE301" i="1"/>
  <c r="FY168" i="1"/>
  <c r="FZ168" i="1" s="1"/>
  <c r="FS114" i="1"/>
  <c r="FT114" i="1" s="1"/>
  <c r="FY110" i="1"/>
  <c r="FZ110" i="1" s="1"/>
  <c r="FU30" i="1"/>
  <c r="FV30" i="1" s="1"/>
  <c r="GE22" i="1"/>
  <c r="GG22" i="1"/>
  <c r="GH22" i="1" s="1"/>
  <c r="GI22" i="1" s="1"/>
  <c r="GG283" i="1"/>
  <c r="GH283" i="1" s="1"/>
  <c r="GI283" i="1" s="1"/>
  <c r="GD239" i="1"/>
  <c r="FY35" i="1"/>
  <c r="FZ35" i="1" s="1"/>
  <c r="FY245" i="1"/>
  <c r="FZ245" i="1" s="1"/>
  <c r="FQ102" i="1"/>
  <c r="FR102" i="1" s="1"/>
  <c r="GE277" i="1"/>
  <c r="FW150" i="1"/>
  <c r="FX150" i="1" s="1"/>
  <c r="FU85" i="1"/>
  <c r="FV85" i="1" s="1"/>
  <c r="FQ185" i="1"/>
  <c r="FR185" i="1" s="1"/>
  <c r="FS254" i="1"/>
  <c r="FT254" i="1" s="1"/>
  <c r="FS198" i="1"/>
  <c r="FT198" i="1" s="1"/>
  <c r="FY27" i="1"/>
  <c r="FZ27" i="1" s="1"/>
  <c r="GA150" i="1"/>
  <c r="GB150" i="1" s="1"/>
  <c r="FE167" i="1"/>
  <c r="FF167" i="1" s="1"/>
  <c r="FG167" i="1" s="1"/>
  <c r="FH167" i="1" s="1"/>
  <c r="FI167" i="1" s="1"/>
  <c r="FK167" i="1" s="1"/>
  <c r="FW5" i="1"/>
  <c r="FX5" i="1" s="1"/>
  <c r="GD42" i="1"/>
  <c r="FY11" i="1"/>
  <c r="FZ11" i="1" s="1"/>
  <c r="FQ28" i="1"/>
  <c r="FR28" i="1" s="1"/>
  <c r="FW249" i="1"/>
  <c r="FX249" i="1" s="1"/>
  <c r="FE123" i="1"/>
  <c r="FF123" i="1" s="1"/>
  <c r="FG123" i="1" s="1"/>
  <c r="FH123" i="1" s="1"/>
  <c r="FI123" i="1" s="1"/>
  <c r="FK123" i="1" s="1"/>
  <c r="GD28" i="1"/>
  <c r="FQ114" i="1"/>
  <c r="FR114" i="1" s="1"/>
  <c r="FU114" i="1"/>
  <c r="FV114" i="1" s="1"/>
  <c r="FE73" i="1"/>
  <c r="FF73" i="1" s="1"/>
  <c r="FG73" i="1" s="1"/>
  <c r="FH73" i="1" s="1"/>
  <c r="FI73" i="1" s="1"/>
  <c r="FK73" i="1" s="1"/>
  <c r="FU146" i="1"/>
  <c r="FV146" i="1" s="1"/>
  <c r="GD249" i="1"/>
  <c r="FE226" i="1"/>
  <c r="FF226" i="1" s="1"/>
  <c r="FG226" i="1" s="1"/>
  <c r="FH226" i="1" s="1"/>
  <c r="FI226" i="1" s="1"/>
  <c r="FK226" i="1" s="1"/>
  <c r="FW114" i="1"/>
  <c r="FX114" i="1" s="1"/>
  <c r="GE114" i="1"/>
  <c r="FS175" i="1"/>
  <c r="FT175" i="1" s="1"/>
  <c r="GD146" i="1"/>
  <c r="GG249" i="1"/>
  <c r="GH249" i="1" s="1"/>
  <c r="GI249" i="1" s="1"/>
  <c r="FE251" i="1"/>
  <c r="FF251" i="1" s="1"/>
  <c r="FG251" i="1" s="1"/>
  <c r="FH251" i="1" s="1"/>
  <c r="FI251" i="1" s="1"/>
  <c r="FK251" i="1" s="1"/>
  <c r="GE175" i="1"/>
  <c r="FS146" i="1"/>
  <c r="FT146" i="1" s="1"/>
  <c r="GE11" i="1"/>
  <c r="FE183" i="1"/>
  <c r="FF183" i="1" s="1"/>
  <c r="FG183" i="1" s="1"/>
  <c r="FH183" i="1" s="1"/>
  <c r="FI183" i="1" s="1"/>
  <c r="FK183" i="1" s="1"/>
  <c r="FE160" i="1"/>
  <c r="FF160" i="1" s="1"/>
  <c r="FG160" i="1" s="1"/>
  <c r="FH160" i="1" s="1"/>
  <c r="FI160" i="1" s="1"/>
  <c r="FK160" i="1" s="1"/>
  <c r="FD266" i="1"/>
  <c r="FF266" i="1" s="1"/>
  <c r="FG266" i="1" s="1"/>
  <c r="FH266" i="1" s="1"/>
  <c r="FI266" i="1" s="1"/>
  <c r="FK266" i="1" s="1"/>
  <c r="GG175" i="1"/>
  <c r="GH175" i="1" s="1"/>
  <c r="GI175" i="1" s="1"/>
  <c r="GG146" i="1"/>
  <c r="GH146" i="1" s="1"/>
  <c r="GI146" i="1" s="1"/>
  <c r="GA11" i="1"/>
  <c r="GB11" i="1" s="1"/>
  <c r="FS191" i="1"/>
  <c r="FT191" i="1" s="1"/>
  <c r="FE40" i="1"/>
  <c r="FF40" i="1" s="1"/>
  <c r="FG40" i="1" s="1"/>
  <c r="FH40" i="1" s="1"/>
  <c r="FI40" i="1" s="1"/>
  <c r="FK40" i="1" s="1"/>
  <c r="FW28" i="1"/>
  <c r="FX28" i="1" s="1"/>
  <c r="FW175" i="1"/>
  <c r="FX175" i="1" s="1"/>
  <c r="GG11" i="1"/>
  <c r="GH11" i="1" s="1"/>
  <c r="GI11" i="1" s="1"/>
  <c r="GD196" i="1"/>
  <c r="FY297" i="1"/>
  <c r="FZ297" i="1" s="1"/>
  <c r="FQ85" i="1"/>
  <c r="FR85" i="1" s="1"/>
  <c r="GE254" i="1"/>
  <c r="GG183" i="1"/>
  <c r="GH183" i="1" s="1"/>
  <c r="GI183" i="1" s="1"/>
  <c r="GD185" i="1"/>
  <c r="GG198" i="1"/>
  <c r="GH198" i="1" s="1"/>
  <c r="GI198" i="1" s="1"/>
  <c r="FU39" i="1"/>
  <c r="FV39" i="1" s="1"/>
  <c r="GD27" i="1"/>
  <c r="FD24" i="1"/>
  <c r="FF24" i="1" s="1"/>
  <c r="FG24" i="1" s="1"/>
  <c r="FH24" i="1" s="1"/>
  <c r="FI24" i="1" s="1"/>
  <c r="FK24" i="1" s="1"/>
  <c r="FW85" i="1"/>
  <c r="FX85" i="1" s="1"/>
  <c r="FQ254" i="1"/>
  <c r="FR254" i="1" s="1"/>
  <c r="FW183" i="1"/>
  <c r="FX183" i="1" s="1"/>
  <c r="FD240" i="1"/>
  <c r="FF240" i="1" s="1"/>
  <c r="FG240" i="1" s="1"/>
  <c r="FH240" i="1" s="1"/>
  <c r="FI240" i="1" s="1"/>
  <c r="FK240" i="1" s="1"/>
  <c r="FY185" i="1"/>
  <c r="FZ185" i="1" s="1"/>
  <c r="GE198" i="1"/>
  <c r="GG39" i="1"/>
  <c r="GH39" i="1" s="1"/>
  <c r="GI39" i="1" s="1"/>
  <c r="FU27" i="1"/>
  <c r="FV27" i="1" s="1"/>
  <c r="FD154" i="1"/>
  <c r="FF154" i="1" s="1"/>
  <c r="FG154" i="1" s="1"/>
  <c r="FH154" i="1" s="1"/>
  <c r="FI154" i="1" s="1"/>
  <c r="FK154" i="1" s="1"/>
  <c r="FD293" i="1"/>
  <c r="FF293" i="1" s="1"/>
  <c r="FG293" i="1" s="1"/>
  <c r="FH293" i="1" s="1"/>
  <c r="FI293" i="1" s="1"/>
  <c r="FK293" i="1" s="1"/>
  <c r="GD254" i="1"/>
  <c r="FY183" i="1"/>
  <c r="FZ183" i="1" s="1"/>
  <c r="FS185" i="1"/>
  <c r="FT185" i="1" s="1"/>
  <c r="FQ198" i="1"/>
  <c r="FR198" i="1" s="1"/>
  <c r="FS39" i="1"/>
  <c r="FT39" i="1" s="1"/>
  <c r="FQ27" i="1"/>
  <c r="FR27" i="1" s="1"/>
  <c r="FE206" i="1"/>
  <c r="FF206" i="1" s="1"/>
  <c r="FG206" i="1" s="1"/>
  <c r="FH206" i="1" s="1"/>
  <c r="FI206" i="1" s="1"/>
  <c r="FK206" i="1" s="1"/>
  <c r="FY254" i="1"/>
  <c r="FZ254" i="1" s="1"/>
  <c r="GD183" i="1"/>
  <c r="GE185" i="1"/>
  <c r="FU198" i="1"/>
  <c r="FV198" i="1" s="1"/>
  <c r="FQ39" i="1"/>
  <c r="FR39" i="1" s="1"/>
  <c r="FS27" i="1"/>
  <c r="FT27" i="1" s="1"/>
  <c r="FE158" i="1"/>
  <c r="FF158" i="1" s="1"/>
  <c r="FG158" i="1" s="1"/>
  <c r="FH158" i="1" s="1"/>
  <c r="FI158" i="1" s="1"/>
  <c r="FK158" i="1" s="1"/>
  <c r="GG254" i="1"/>
  <c r="GH254" i="1" s="1"/>
  <c r="GI254" i="1" s="1"/>
  <c r="FQ183" i="1"/>
  <c r="FR183" i="1" s="1"/>
  <c r="FU185" i="1"/>
  <c r="FV185" i="1" s="1"/>
  <c r="FY198" i="1"/>
  <c r="FZ198" i="1" s="1"/>
  <c r="GE27" i="1"/>
  <c r="FD273" i="1"/>
  <c r="FF273" i="1" s="1"/>
  <c r="FG273" i="1" s="1"/>
  <c r="FH273" i="1" s="1"/>
  <c r="FI273" i="1" s="1"/>
  <c r="FK273" i="1" s="1"/>
  <c r="FU254" i="1"/>
  <c r="FV254" i="1" s="1"/>
  <c r="FU183" i="1"/>
  <c r="FV183" i="1" s="1"/>
  <c r="FD78" i="1"/>
  <c r="FF78" i="1" s="1"/>
  <c r="FG78" i="1" s="1"/>
  <c r="FH78" i="1" s="1"/>
  <c r="FI78" i="1" s="1"/>
  <c r="FK78" i="1" s="1"/>
  <c r="GG185" i="1"/>
  <c r="GH185" i="1" s="1"/>
  <c r="GI185" i="1" s="1"/>
  <c r="GD198" i="1"/>
  <c r="GE39" i="1"/>
  <c r="GG27" i="1"/>
  <c r="GH27" i="1" s="1"/>
  <c r="GI27" i="1" s="1"/>
  <c r="FD96" i="1"/>
  <c r="FF96" i="1" s="1"/>
  <c r="FG96" i="1" s="1"/>
  <c r="FH96" i="1" s="1"/>
  <c r="FI96" i="1" s="1"/>
  <c r="FK96" i="1" s="1"/>
  <c r="FD173" i="1"/>
  <c r="FF173" i="1" s="1"/>
  <c r="FG173" i="1" s="1"/>
  <c r="FH173" i="1" s="1"/>
  <c r="FI173" i="1" s="1"/>
  <c r="FK173" i="1" s="1"/>
  <c r="GE183" i="1"/>
  <c r="FW297" i="1"/>
  <c r="FX297" i="1" s="1"/>
  <c r="FY85" i="1"/>
  <c r="FZ85" i="1" s="1"/>
  <c r="FY211" i="1"/>
  <c r="FZ211" i="1" s="1"/>
  <c r="FQ211" i="1"/>
  <c r="FR211" i="1" s="1"/>
  <c r="GG211" i="1"/>
  <c r="GH211" i="1" s="1"/>
  <c r="GI211" i="1" s="1"/>
  <c r="FW211" i="1"/>
  <c r="FX211" i="1" s="1"/>
  <c r="GE211" i="1"/>
  <c r="GD211" i="1"/>
  <c r="FU211" i="1"/>
  <c r="FV211" i="1" s="1"/>
  <c r="FS211" i="1"/>
  <c r="FT211" i="1" s="1"/>
  <c r="FW42" i="1"/>
  <c r="FX42" i="1" s="1"/>
  <c r="GG191" i="1"/>
  <c r="GH191" i="1" s="1"/>
  <c r="GI191" i="1" s="1"/>
  <c r="GE245" i="1"/>
  <c r="FW196" i="1"/>
  <c r="FX196" i="1" s="1"/>
  <c r="FU221" i="1"/>
  <c r="FV221" i="1" s="1"/>
  <c r="FD279" i="1"/>
  <c r="FF279" i="1" s="1"/>
  <c r="FG279" i="1" s="1"/>
  <c r="FH279" i="1" s="1"/>
  <c r="FI279" i="1" s="1"/>
  <c r="FK279" i="1" s="1"/>
  <c r="FE205" i="1"/>
  <c r="FF205" i="1" s="1"/>
  <c r="FG205" i="1" s="1"/>
  <c r="FH205" i="1" s="1"/>
  <c r="FI205" i="1" s="1"/>
  <c r="FK205" i="1" s="1"/>
  <c r="FD302" i="1"/>
  <c r="FF302" i="1" s="1"/>
  <c r="FG302" i="1" s="1"/>
  <c r="FH302" i="1" s="1"/>
  <c r="FI302" i="1" s="1"/>
  <c r="FK302" i="1" s="1"/>
  <c r="FQ283" i="1"/>
  <c r="FR283" i="1" s="1"/>
  <c r="FU5" i="1"/>
  <c r="FV5" i="1" s="1"/>
  <c r="GE108" i="1"/>
  <c r="FS100" i="1"/>
  <c r="FT100" i="1" s="1"/>
  <c r="GG42" i="1"/>
  <c r="GH42" i="1" s="1"/>
  <c r="GI42" i="1" s="1"/>
  <c r="FY239" i="1"/>
  <c r="FZ239" i="1" s="1"/>
  <c r="FU35" i="1"/>
  <c r="FV35" i="1" s="1"/>
  <c r="GA191" i="1"/>
  <c r="GB191" i="1" s="1"/>
  <c r="FW245" i="1"/>
  <c r="FX245" i="1" s="1"/>
  <c r="FS234" i="1"/>
  <c r="FT234" i="1" s="1"/>
  <c r="FY67" i="1"/>
  <c r="FZ67" i="1" s="1"/>
  <c r="GE196" i="1"/>
  <c r="FQ110" i="1"/>
  <c r="FR110" i="1" s="1"/>
  <c r="GE102" i="1"/>
  <c r="FW88" i="1"/>
  <c r="FX88" i="1" s="1"/>
  <c r="FQ277" i="1"/>
  <c r="FR277" i="1" s="1"/>
  <c r="GG163" i="1"/>
  <c r="GH163" i="1" s="1"/>
  <c r="GI163" i="1" s="1"/>
  <c r="FD170" i="1"/>
  <c r="FF170" i="1" s="1"/>
  <c r="FG170" i="1" s="1"/>
  <c r="FH170" i="1" s="1"/>
  <c r="FI170" i="1" s="1"/>
  <c r="FK170" i="1" s="1"/>
  <c r="FD94" i="1"/>
  <c r="FF94" i="1" s="1"/>
  <c r="FG94" i="1" s="1"/>
  <c r="FH94" i="1" s="1"/>
  <c r="FI94" i="1" s="1"/>
  <c r="FK94" i="1" s="1"/>
  <c r="FE30" i="1"/>
  <c r="FF30" i="1" s="1"/>
  <c r="FG30" i="1" s="1"/>
  <c r="FH30" i="1" s="1"/>
  <c r="FI30" i="1" s="1"/>
  <c r="FK30" i="1" s="1"/>
  <c r="FD129" i="1"/>
  <c r="FF129" i="1" s="1"/>
  <c r="FG129" i="1" s="1"/>
  <c r="FH129" i="1" s="1"/>
  <c r="FI129" i="1" s="1"/>
  <c r="FK129" i="1" s="1"/>
  <c r="FY18" i="1"/>
  <c r="FZ18" i="1" s="1"/>
  <c r="GD275" i="1"/>
  <c r="GG5" i="1"/>
  <c r="GH5" i="1" s="1"/>
  <c r="GI5" i="1" s="1"/>
  <c r="FW163" i="1"/>
  <c r="FX163" i="1" s="1"/>
  <c r="GG34" i="1"/>
  <c r="GH34" i="1" s="1"/>
  <c r="GI34" i="1" s="1"/>
  <c r="FY22" i="1"/>
  <c r="FZ22" i="1" s="1"/>
  <c r="FS275" i="1"/>
  <c r="FT275" i="1" s="1"/>
  <c r="GE161" i="1"/>
  <c r="FD298" i="1"/>
  <c r="FF298" i="1" s="1"/>
  <c r="FG298" i="1" s="1"/>
  <c r="FH298" i="1" s="1"/>
  <c r="FI298" i="1" s="1"/>
  <c r="FK298" i="1" s="1"/>
  <c r="FW283" i="1"/>
  <c r="FX283" i="1" s="1"/>
  <c r="FY5" i="1"/>
  <c r="FZ5" i="1" s="1"/>
  <c r="FU108" i="1"/>
  <c r="FV108" i="1" s="1"/>
  <c r="FY100" i="1"/>
  <c r="FZ100" i="1" s="1"/>
  <c r="FY42" i="1"/>
  <c r="FZ42" i="1" s="1"/>
  <c r="GG239" i="1"/>
  <c r="GH239" i="1" s="1"/>
  <c r="GI239" i="1" s="1"/>
  <c r="FD277" i="1"/>
  <c r="FF277" i="1" s="1"/>
  <c r="FG277" i="1" s="1"/>
  <c r="FH277" i="1" s="1"/>
  <c r="FI277" i="1" s="1"/>
  <c r="FK277" i="1" s="1"/>
  <c r="FQ35" i="1"/>
  <c r="FR35" i="1" s="1"/>
  <c r="FY191" i="1"/>
  <c r="FZ191" i="1" s="1"/>
  <c r="FQ191" i="1"/>
  <c r="FR191" i="1" s="1"/>
  <c r="FS245" i="1"/>
  <c r="FT245" i="1" s="1"/>
  <c r="FY234" i="1"/>
  <c r="FZ234" i="1" s="1"/>
  <c r="GD67" i="1"/>
  <c r="FU196" i="1"/>
  <c r="FV196" i="1" s="1"/>
  <c r="GE110" i="1"/>
  <c r="FU102" i="1"/>
  <c r="FV102" i="1" s="1"/>
  <c r="GD88" i="1"/>
  <c r="FW277" i="1"/>
  <c r="FX277" i="1" s="1"/>
  <c r="FS163" i="1"/>
  <c r="FT163" i="1" s="1"/>
  <c r="FS150" i="1"/>
  <c r="FT150" i="1" s="1"/>
  <c r="FD141" i="1"/>
  <c r="FF141" i="1" s="1"/>
  <c r="FG141" i="1" s="1"/>
  <c r="FH141" i="1" s="1"/>
  <c r="FI141" i="1" s="1"/>
  <c r="FK141" i="1" s="1"/>
  <c r="FD68" i="1"/>
  <c r="FF68" i="1" s="1"/>
  <c r="FG68" i="1" s="1"/>
  <c r="FH68" i="1" s="1"/>
  <c r="FI68" i="1" s="1"/>
  <c r="FK68" i="1" s="1"/>
  <c r="FD274" i="1"/>
  <c r="FF274" i="1" s="1"/>
  <c r="FG274" i="1" s="1"/>
  <c r="FH274" i="1" s="1"/>
  <c r="FI274" i="1" s="1"/>
  <c r="FK274" i="1" s="1"/>
  <c r="FD148" i="1"/>
  <c r="FF148" i="1" s="1"/>
  <c r="FG148" i="1" s="1"/>
  <c r="FH148" i="1" s="1"/>
  <c r="FI148" i="1" s="1"/>
  <c r="FK148" i="1" s="1"/>
  <c r="FQ108" i="1"/>
  <c r="FR108" i="1" s="1"/>
  <c r="GE34" i="1"/>
  <c r="FS161" i="1"/>
  <c r="FT161" i="1" s="1"/>
  <c r="GD283" i="1"/>
  <c r="GE5" i="1"/>
  <c r="FW108" i="1"/>
  <c r="FX108" i="1" s="1"/>
  <c r="FQ100" i="1"/>
  <c r="FR100" i="1" s="1"/>
  <c r="FS42" i="1"/>
  <c r="FT42" i="1" s="1"/>
  <c r="FW239" i="1"/>
  <c r="FX239" i="1" s="1"/>
  <c r="FD142" i="1"/>
  <c r="FF142" i="1" s="1"/>
  <c r="FG142" i="1" s="1"/>
  <c r="FH142" i="1" s="1"/>
  <c r="FI142" i="1" s="1"/>
  <c r="FK142" i="1" s="1"/>
  <c r="FS35" i="1"/>
  <c r="FT35" i="1" s="1"/>
  <c r="GD191" i="1"/>
  <c r="GD245" i="1"/>
  <c r="FW234" i="1"/>
  <c r="FX234" i="1" s="1"/>
  <c r="GG234" i="1"/>
  <c r="GH234" i="1" s="1"/>
  <c r="GI234" i="1" s="1"/>
  <c r="GG67" i="1"/>
  <c r="GH67" i="1" s="1"/>
  <c r="GI67" i="1" s="1"/>
  <c r="FY196" i="1"/>
  <c r="FZ196" i="1" s="1"/>
  <c r="FU110" i="1"/>
  <c r="FV110" i="1" s="1"/>
  <c r="GG102" i="1"/>
  <c r="GH102" i="1" s="1"/>
  <c r="GI102" i="1" s="1"/>
  <c r="GG88" i="1"/>
  <c r="GH88" i="1" s="1"/>
  <c r="GI88" i="1" s="1"/>
  <c r="FY277" i="1"/>
  <c r="FZ277" i="1" s="1"/>
  <c r="FU163" i="1"/>
  <c r="FV163" i="1" s="1"/>
  <c r="FE48" i="1"/>
  <c r="FF48" i="1" s="1"/>
  <c r="FG48" i="1" s="1"/>
  <c r="FH48" i="1" s="1"/>
  <c r="FI48" i="1" s="1"/>
  <c r="FK48" i="1" s="1"/>
  <c r="FD178" i="1"/>
  <c r="FF178" i="1" s="1"/>
  <c r="FG178" i="1" s="1"/>
  <c r="FH178" i="1" s="1"/>
  <c r="FI178" i="1" s="1"/>
  <c r="FK178" i="1" s="1"/>
  <c r="FE216" i="1"/>
  <c r="FF216" i="1" s="1"/>
  <c r="FG216" i="1" s="1"/>
  <c r="FH216" i="1" s="1"/>
  <c r="FI216" i="1" s="1"/>
  <c r="FK216" i="1" s="1"/>
  <c r="FE90" i="1"/>
  <c r="FF90" i="1" s="1"/>
  <c r="FG90" i="1" s="1"/>
  <c r="FH90" i="1" s="1"/>
  <c r="FI90" i="1" s="1"/>
  <c r="FK90" i="1" s="1"/>
  <c r="FQ18" i="1"/>
  <c r="FR18" i="1" s="1"/>
  <c r="FW34" i="1"/>
  <c r="FX34" i="1" s="1"/>
  <c r="FQ275" i="1"/>
  <c r="FR275" i="1" s="1"/>
  <c r="GG161" i="1"/>
  <c r="GH161" i="1" s="1"/>
  <c r="GI161" i="1" s="1"/>
  <c r="GE283" i="1"/>
  <c r="GA5" i="1"/>
  <c r="GB5" i="1" s="1"/>
  <c r="FW100" i="1"/>
  <c r="FX100" i="1" s="1"/>
  <c r="FU42" i="1"/>
  <c r="FV42" i="1" s="1"/>
  <c r="FQ239" i="1"/>
  <c r="FR239" i="1" s="1"/>
  <c r="FD239" i="1"/>
  <c r="FF239" i="1" s="1"/>
  <c r="FG239" i="1" s="1"/>
  <c r="FH239" i="1" s="1"/>
  <c r="FI239" i="1" s="1"/>
  <c r="FK239" i="1" s="1"/>
  <c r="GE35" i="1"/>
  <c r="GE191" i="1"/>
  <c r="GG245" i="1"/>
  <c r="GH245" i="1" s="1"/>
  <c r="GI245" i="1" s="1"/>
  <c r="FQ234" i="1"/>
  <c r="FR234" i="1" s="1"/>
  <c r="FQ67" i="1"/>
  <c r="FR67" i="1" s="1"/>
  <c r="FS196" i="1"/>
  <c r="FT196" i="1" s="1"/>
  <c r="FW110" i="1"/>
  <c r="FX110" i="1" s="1"/>
  <c r="FS221" i="1"/>
  <c r="FT221" i="1" s="1"/>
  <c r="FS102" i="1"/>
  <c r="FT102" i="1" s="1"/>
  <c r="FU88" i="1"/>
  <c r="FV88" i="1" s="1"/>
  <c r="GG277" i="1"/>
  <c r="GH277" i="1" s="1"/>
  <c r="GI277" i="1" s="1"/>
  <c r="FD187" i="1"/>
  <c r="FF187" i="1" s="1"/>
  <c r="FG187" i="1" s="1"/>
  <c r="FH187" i="1" s="1"/>
  <c r="FI187" i="1" s="1"/>
  <c r="FK187" i="1" s="1"/>
  <c r="FD229" i="1"/>
  <c r="FF229" i="1" s="1"/>
  <c r="FG229" i="1" s="1"/>
  <c r="FH229" i="1" s="1"/>
  <c r="FI229" i="1" s="1"/>
  <c r="FK229" i="1" s="1"/>
  <c r="GE18" i="1"/>
  <c r="FW22" i="1"/>
  <c r="FX22" i="1" s="1"/>
  <c r="GG275" i="1"/>
  <c r="GH275" i="1" s="1"/>
  <c r="GI275" i="1" s="1"/>
  <c r="GD22" i="1"/>
  <c r="FU22" i="1"/>
  <c r="FV22" i="1" s="1"/>
  <c r="FW161" i="1"/>
  <c r="FX161" i="1" s="1"/>
  <c r="GG108" i="1"/>
  <c r="GH108" i="1" s="1"/>
  <c r="GI108" i="1" s="1"/>
  <c r="FW18" i="1"/>
  <c r="FX18" i="1" s="1"/>
  <c r="FY34" i="1"/>
  <c r="FZ34" i="1" s="1"/>
  <c r="FQ22" i="1"/>
  <c r="FR22" i="1" s="1"/>
  <c r="FU275" i="1"/>
  <c r="FV275" i="1" s="1"/>
  <c r="FY161" i="1"/>
  <c r="FZ161" i="1" s="1"/>
  <c r="FD71" i="1"/>
  <c r="FF71" i="1" s="1"/>
  <c r="FG71" i="1" s="1"/>
  <c r="FH71" i="1" s="1"/>
  <c r="FI71" i="1" s="1"/>
  <c r="FK71" i="1" s="1"/>
  <c r="FD172" i="1"/>
  <c r="FF172" i="1" s="1"/>
  <c r="FG172" i="1" s="1"/>
  <c r="FH172" i="1" s="1"/>
  <c r="FI172" i="1" s="1"/>
  <c r="FK172" i="1" s="1"/>
  <c r="FY283" i="1"/>
  <c r="FZ283" i="1" s="1"/>
  <c r="FS5" i="1"/>
  <c r="FT5" i="1" s="1"/>
  <c r="FQ5" i="1"/>
  <c r="FR5" i="1" s="1"/>
  <c r="FS108" i="1"/>
  <c r="FT108" i="1" s="1"/>
  <c r="GD100" i="1"/>
  <c r="GE42" i="1"/>
  <c r="FU239" i="1"/>
  <c r="FV239" i="1" s="1"/>
  <c r="FE163" i="1"/>
  <c r="FF163" i="1" s="1"/>
  <c r="FG163" i="1" s="1"/>
  <c r="FH163" i="1" s="1"/>
  <c r="FI163" i="1" s="1"/>
  <c r="FK163" i="1" s="1"/>
  <c r="GD35" i="1"/>
  <c r="FW191" i="1"/>
  <c r="FX191" i="1" s="1"/>
  <c r="FU245" i="1"/>
  <c r="FV245" i="1" s="1"/>
  <c r="GE234" i="1"/>
  <c r="GE72" i="1"/>
  <c r="GA67" i="1"/>
  <c r="GB67" i="1" s="1"/>
  <c r="FU112" i="1"/>
  <c r="FV112" i="1" s="1"/>
  <c r="FQ196" i="1"/>
  <c r="FR196" i="1" s="1"/>
  <c r="GG110" i="1"/>
  <c r="GH110" i="1" s="1"/>
  <c r="GI110" i="1" s="1"/>
  <c r="GG221" i="1"/>
  <c r="GH221" i="1" s="1"/>
  <c r="GI221" i="1" s="1"/>
  <c r="FY102" i="1"/>
  <c r="FZ102" i="1" s="1"/>
  <c r="FQ285" i="1"/>
  <c r="FR285" i="1" s="1"/>
  <c r="FQ88" i="1"/>
  <c r="FR88" i="1" s="1"/>
  <c r="FU277" i="1"/>
  <c r="FV277" i="1" s="1"/>
  <c r="GG150" i="1"/>
  <c r="GH150" i="1" s="1"/>
  <c r="GI150" i="1" s="1"/>
  <c r="FE162" i="1"/>
  <c r="FF162" i="1" s="1"/>
  <c r="FG162" i="1" s="1"/>
  <c r="FH162" i="1" s="1"/>
  <c r="FI162" i="1" s="1"/>
  <c r="FK162" i="1" s="1"/>
  <c r="FE95" i="1"/>
  <c r="FF95" i="1" s="1"/>
  <c r="FG95" i="1" s="1"/>
  <c r="FH95" i="1" s="1"/>
  <c r="FI95" i="1" s="1"/>
  <c r="FK95" i="1" s="1"/>
  <c r="FD281" i="1"/>
  <c r="FF281" i="1" s="1"/>
  <c r="FG281" i="1" s="1"/>
  <c r="FH281" i="1" s="1"/>
  <c r="FI281" i="1" s="1"/>
  <c r="FK281" i="1" s="1"/>
  <c r="FD283" i="1"/>
  <c r="FF283" i="1" s="1"/>
  <c r="FG283" i="1" s="1"/>
  <c r="FH283" i="1" s="1"/>
  <c r="FI283" i="1" s="1"/>
  <c r="FK283" i="1" s="1"/>
  <c r="FD249" i="1"/>
  <c r="FF249" i="1" s="1"/>
  <c r="FG249" i="1" s="1"/>
  <c r="FH249" i="1" s="1"/>
  <c r="FI249" i="1" s="1"/>
  <c r="FK249" i="1" s="1"/>
  <c r="GD18" i="1"/>
  <c r="FU18" i="1"/>
  <c r="FV18" i="1" s="1"/>
  <c r="GD34" i="1"/>
  <c r="GE275" i="1"/>
  <c r="FU67" i="1"/>
  <c r="FV67" i="1" s="1"/>
  <c r="FW221" i="1"/>
  <c r="FX221" i="1" s="1"/>
  <c r="FE199" i="1"/>
  <c r="FD199" i="1"/>
  <c r="FQ203" i="1"/>
  <c r="FR203" i="1" s="1"/>
  <c r="FW203" i="1"/>
  <c r="FX203" i="1" s="1"/>
  <c r="GD203" i="1"/>
  <c r="FY203" i="1"/>
  <c r="FZ203" i="1" s="1"/>
  <c r="GG203" i="1"/>
  <c r="GH203" i="1" s="1"/>
  <c r="GI203" i="1" s="1"/>
  <c r="FU203" i="1"/>
  <c r="FV203" i="1" s="1"/>
  <c r="FY9" i="1"/>
  <c r="FZ9" i="1" s="1"/>
  <c r="GE9" i="1"/>
  <c r="GG9" i="1"/>
  <c r="GH9" i="1" s="1"/>
  <c r="GI9" i="1" s="1"/>
  <c r="GD9" i="1"/>
  <c r="FS9" i="1"/>
  <c r="FT9" i="1" s="1"/>
  <c r="FW9" i="1"/>
  <c r="FX9" i="1" s="1"/>
  <c r="FU156" i="1"/>
  <c r="FV156" i="1" s="1"/>
  <c r="GG156" i="1"/>
  <c r="GH156" i="1" s="1"/>
  <c r="GI156" i="1" s="1"/>
  <c r="GE156" i="1"/>
  <c r="FW156" i="1"/>
  <c r="FX156" i="1" s="1"/>
  <c r="GD156" i="1"/>
  <c r="FS156" i="1"/>
  <c r="FT156" i="1" s="1"/>
  <c r="FQ184" i="1"/>
  <c r="FR184" i="1" s="1"/>
  <c r="FY184" i="1"/>
  <c r="FZ184" i="1" s="1"/>
  <c r="FW184" i="1"/>
  <c r="FX184" i="1" s="1"/>
  <c r="FE176" i="1"/>
  <c r="FD176" i="1"/>
  <c r="FE117" i="1"/>
  <c r="FD117" i="1"/>
  <c r="GG229" i="1"/>
  <c r="GH229" i="1" s="1"/>
  <c r="GI229" i="1" s="1"/>
  <c r="FY229" i="1"/>
  <c r="FZ229" i="1" s="1"/>
  <c r="GD229" i="1"/>
  <c r="FS229" i="1"/>
  <c r="FT229" i="1" s="1"/>
  <c r="GE229" i="1"/>
  <c r="FW229" i="1"/>
  <c r="FX229" i="1" s="1"/>
  <c r="FE70" i="1"/>
  <c r="FD70" i="1"/>
  <c r="FQ9" i="1"/>
  <c r="FR9" i="1" s="1"/>
  <c r="FQ156" i="1"/>
  <c r="FR156" i="1" s="1"/>
  <c r="FE243" i="1"/>
  <c r="FF243" i="1" s="1"/>
  <c r="FG243" i="1" s="1"/>
  <c r="FH243" i="1" s="1"/>
  <c r="FI243" i="1" s="1"/>
  <c r="FK243" i="1" s="1"/>
  <c r="FE8" i="1"/>
  <c r="FF8" i="1" s="1"/>
  <c r="FG8" i="1" s="1"/>
  <c r="FH8" i="1" s="1"/>
  <c r="FI8" i="1" s="1"/>
  <c r="FK8" i="1" s="1"/>
  <c r="FQ229" i="1"/>
  <c r="FR229" i="1" s="1"/>
  <c r="FY156" i="1"/>
  <c r="FZ156" i="1" s="1"/>
  <c r="FE195" i="1"/>
  <c r="FD195" i="1"/>
  <c r="FE135" i="1"/>
  <c r="FD135" i="1"/>
  <c r="GG255" i="1"/>
  <c r="GH255" i="1" s="1"/>
  <c r="GI255" i="1" s="1"/>
  <c r="GE255" i="1"/>
  <c r="FW255" i="1"/>
  <c r="FX255" i="1" s="1"/>
  <c r="FQ255" i="1"/>
  <c r="FR255" i="1" s="1"/>
  <c r="GD255" i="1"/>
  <c r="FS255" i="1"/>
  <c r="FT255" i="1" s="1"/>
  <c r="FY255" i="1"/>
  <c r="FZ255" i="1" s="1"/>
  <c r="FY87" i="1"/>
  <c r="FZ87" i="1" s="1"/>
  <c r="GE87" i="1"/>
  <c r="FQ87" i="1"/>
  <c r="FR87" i="1" s="1"/>
  <c r="FU87" i="1"/>
  <c r="FV87" i="1" s="1"/>
  <c r="FS152" i="1"/>
  <c r="FT152" i="1" s="1"/>
  <c r="FW152" i="1"/>
  <c r="FX152" i="1" s="1"/>
  <c r="FQ152" i="1"/>
  <c r="FR152" i="1" s="1"/>
  <c r="FD292" i="1"/>
  <c r="FE292" i="1"/>
  <c r="FW45" i="1"/>
  <c r="FX45" i="1" s="1"/>
  <c r="FQ45" i="1"/>
  <c r="FR45" i="1" s="1"/>
  <c r="GE45" i="1"/>
  <c r="GG45" i="1"/>
  <c r="GH45" i="1" s="1"/>
  <c r="GI45" i="1" s="1"/>
  <c r="FY45" i="1"/>
  <c r="FZ45" i="1" s="1"/>
  <c r="FS45" i="1"/>
  <c r="FT45" i="1" s="1"/>
  <c r="FE233" i="1"/>
  <c r="FD233" i="1"/>
  <c r="FU229" i="1"/>
  <c r="FV229" i="1" s="1"/>
  <c r="FU45" i="1"/>
  <c r="FV45" i="1" s="1"/>
  <c r="FD93" i="1"/>
  <c r="FF93" i="1" s="1"/>
  <c r="FG93" i="1" s="1"/>
  <c r="FH93" i="1" s="1"/>
  <c r="FI93" i="1" s="1"/>
  <c r="FK93" i="1" s="1"/>
  <c r="GE274" i="1"/>
  <c r="FQ274" i="1"/>
  <c r="FR274" i="1" s="1"/>
  <c r="GD274" i="1"/>
  <c r="FU274" i="1"/>
  <c r="FV274" i="1" s="1"/>
  <c r="FW274" i="1"/>
  <c r="FX274" i="1" s="1"/>
  <c r="FS274" i="1"/>
  <c r="FT274" i="1" s="1"/>
  <c r="FY280" i="1"/>
  <c r="FZ280" i="1" s="1"/>
  <c r="GE280" i="1"/>
  <c r="GG280" i="1"/>
  <c r="GH280" i="1" s="1"/>
  <c r="GI280" i="1" s="1"/>
  <c r="FS280" i="1"/>
  <c r="FT280" i="1" s="1"/>
  <c r="FW280" i="1"/>
  <c r="FX280" i="1" s="1"/>
  <c r="GA280" i="1"/>
  <c r="GB280" i="1" s="1"/>
  <c r="FU280" i="1"/>
  <c r="FV280" i="1" s="1"/>
  <c r="FD66" i="1"/>
  <c r="FE66" i="1"/>
  <c r="FU186" i="1"/>
  <c r="FV186" i="1" s="1"/>
  <c r="FW186" i="1"/>
  <c r="FX186" i="1" s="1"/>
  <c r="FS186" i="1"/>
  <c r="FT186" i="1" s="1"/>
  <c r="FQ186" i="1"/>
  <c r="FR186" i="1" s="1"/>
  <c r="GE186" i="1"/>
  <c r="FU153" i="1"/>
  <c r="FV153" i="1" s="1"/>
  <c r="FY153" i="1"/>
  <c r="FZ153" i="1" s="1"/>
  <c r="FW153" i="1"/>
  <c r="FX153" i="1" s="1"/>
  <c r="GD153" i="1"/>
  <c r="GG153" i="1"/>
  <c r="GH153" i="1" s="1"/>
  <c r="GI153" i="1" s="1"/>
  <c r="FS153" i="1"/>
  <c r="FT153" i="1" s="1"/>
  <c r="FD3" i="1"/>
  <c r="FE3" i="1"/>
  <c r="FW122" i="1"/>
  <c r="FX122" i="1" s="1"/>
  <c r="FU122" i="1"/>
  <c r="FV122" i="1" s="1"/>
  <c r="GD122" i="1"/>
  <c r="FY122" i="1"/>
  <c r="FZ122" i="1" s="1"/>
  <c r="FS122" i="1"/>
  <c r="FT122" i="1" s="1"/>
  <c r="GE122" i="1"/>
  <c r="FQ122" i="1"/>
  <c r="FR122" i="1" s="1"/>
  <c r="GG274" i="1"/>
  <c r="GH274" i="1" s="1"/>
  <c r="GI274" i="1" s="1"/>
  <c r="FQ280" i="1"/>
  <c r="FR280" i="1" s="1"/>
  <c r="GD45" i="1"/>
  <c r="FE259" i="1"/>
  <c r="FD259" i="1"/>
  <c r="GD32" i="1"/>
  <c r="FQ32" i="1"/>
  <c r="FR32" i="1" s="1"/>
  <c r="FW32" i="1"/>
  <c r="FX32" i="1" s="1"/>
  <c r="GE32" i="1"/>
  <c r="FS32" i="1"/>
  <c r="FT32" i="1" s="1"/>
  <c r="GG32" i="1"/>
  <c r="GH32" i="1" s="1"/>
  <c r="GI32" i="1" s="1"/>
  <c r="FY32" i="1"/>
  <c r="FZ32" i="1" s="1"/>
  <c r="FW172" i="1"/>
  <c r="FX172" i="1" s="1"/>
  <c r="FS172" i="1"/>
  <c r="FT172" i="1" s="1"/>
  <c r="FU172" i="1"/>
  <c r="FV172" i="1" s="1"/>
  <c r="GG172" i="1"/>
  <c r="GH172" i="1" s="1"/>
  <c r="GI172" i="1" s="1"/>
  <c r="GE172" i="1"/>
  <c r="FQ172" i="1"/>
  <c r="FR172" i="1" s="1"/>
  <c r="FY172" i="1"/>
  <c r="FZ172" i="1" s="1"/>
  <c r="GG122" i="1"/>
  <c r="GH122" i="1" s="1"/>
  <c r="GI122" i="1" s="1"/>
  <c r="GD280" i="1"/>
  <c r="FQ153" i="1"/>
  <c r="FR153" i="1" s="1"/>
  <c r="FU255" i="1"/>
  <c r="FV255" i="1" s="1"/>
  <c r="FY83" i="1"/>
  <c r="FZ83" i="1" s="1"/>
  <c r="FD85" i="1"/>
  <c r="FF85" i="1" s="1"/>
  <c r="FG85" i="1" s="1"/>
  <c r="FH85" i="1" s="1"/>
  <c r="FI85" i="1" s="1"/>
  <c r="FK85" i="1" s="1"/>
  <c r="FU25" i="1"/>
  <c r="FV25" i="1" s="1"/>
  <c r="FS28" i="1"/>
  <c r="FT28" i="1" s="1"/>
  <c r="FY290" i="1"/>
  <c r="FZ290" i="1" s="1"/>
  <c r="GG85" i="1"/>
  <c r="GH85" i="1" s="1"/>
  <c r="GI85" i="1" s="1"/>
  <c r="GG56" i="1"/>
  <c r="GH56" i="1" s="1"/>
  <c r="GI56" i="1" s="1"/>
  <c r="FS71" i="1"/>
  <c r="FT71" i="1" s="1"/>
  <c r="FU225" i="1"/>
  <c r="FV225" i="1" s="1"/>
  <c r="FU175" i="1"/>
  <c r="FV175" i="1" s="1"/>
  <c r="FY103" i="1"/>
  <c r="FZ103" i="1" s="1"/>
  <c r="FY181" i="1"/>
  <c r="FZ181" i="1" s="1"/>
  <c r="FW151" i="1"/>
  <c r="FX151" i="1" s="1"/>
  <c r="FQ146" i="1"/>
  <c r="FR146" i="1" s="1"/>
  <c r="FQ263" i="1"/>
  <c r="FQ81" i="1"/>
  <c r="FR81" i="1" s="1"/>
  <c r="GD278" i="1"/>
  <c r="FW11" i="1"/>
  <c r="FX11" i="1" s="1"/>
  <c r="FY75" i="1"/>
  <c r="FZ75" i="1" s="1"/>
  <c r="FU244" i="1"/>
  <c r="FV244" i="1" s="1"/>
  <c r="GG82" i="1"/>
  <c r="GH82" i="1" s="1"/>
  <c r="GI82" i="1" s="1"/>
  <c r="FU249" i="1"/>
  <c r="FV249" i="1" s="1"/>
  <c r="GD78" i="1"/>
  <c r="FQ78" i="1"/>
  <c r="FR78" i="1" s="1"/>
  <c r="GG95" i="1"/>
  <c r="GH95" i="1" s="1"/>
  <c r="GI95" i="1" s="1"/>
  <c r="GE83" i="1"/>
  <c r="FE33" i="1"/>
  <c r="FF33" i="1" s="1"/>
  <c r="FG33" i="1" s="1"/>
  <c r="FH33" i="1" s="1"/>
  <c r="FI33" i="1" s="1"/>
  <c r="FK33" i="1" s="1"/>
  <c r="FP13" i="1"/>
  <c r="FQ103" i="1"/>
  <c r="FR103" i="1" s="1"/>
  <c r="FY278" i="1"/>
  <c r="FZ278" i="1" s="1"/>
  <c r="GD103" i="1"/>
  <c r="FU263" i="1"/>
  <c r="FV263" i="1" s="1"/>
  <c r="FY114" i="1"/>
  <c r="FZ114" i="1" s="1"/>
  <c r="FQ210" i="1"/>
  <c r="FR210" i="1" s="1"/>
  <c r="FY28" i="1"/>
  <c r="FZ28" i="1" s="1"/>
  <c r="GD290" i="1"/>
  <c r="FS85" i="1"/>
  <c r="FT85" i="1" s="1"/>
  <c r="GE56" i="1"/>
  <c r="FU71" i="1"/>
  <c r="FV71" i="1" s="1"/>
  <c r="FY175" i="1"/>
  <c r="FZ175" i="1" s="1"/>
  <c r="GG103" i="1"/>
  <c r="GH103" i="1" s="1"/>
  <c r="GI103" i="1" s="1"/>
  <c r="FU103" i="1"/>
  <c r="FV103" i="1" s="1"/>
  <c r="GD181" i="1"/>
  <c r="FY146" i="1"/>
  <c r="FZ146" i="1" s="1"/>
  <c r="GE263" i="1"/>
  <c r="GG81" i="1"/>
  <c r="GH81" i="1" s="1"/>
  <c r="GI81" i="1" s="1"/>
  <c r="FW278" i="1"/>
  <c r="FX278" i="1" s="1"/>
  <c r="FQ11" i="1"/>
  <c r="FR11" i="1" s="1"/>
  <c r="FS244" i="1"/>
  <c r="FT244" i="1" s="1"/>
  <c r="FU82" i="1"/>
  <c r="FV82" i="1" s="1"/>
  <c r="FQ226" i="1"/>
  <c r="FR226" i="1" s="1"/>
  <c r="GG8" i="1"/>
  <c r="GH8" i="1" s="1"/>
  <c r="GI8" i="1" s="1"/>
  <c r="FY78" i="1"/>
  <c r="FZ78" i="1" s="1"/>
  <c r="GD95" i="1"/>
  <c r="FQ83" i="1"/>
  <c r="FR83" i="1" s="1"/>
  <c r="FD115" i="1"/>
  <c r="FF115" i="1" s="1"/>
  <c r="FG115" i="1" s="1"/>
  <c r="FH115" i="1" s="1"/>
  <c r="FI115" i="1" s="1"/>
  <c r="FK115" i="1" s="1"/>
  <c r="FD182" i="1"/>
  <c r="FF182" i="1" s="1"/>
  <c r="FG182" i="1" s="1"/>
  <c r="FH182" i="1" s="1"/>
  <c r="FI182" i="1" s="1"/>
  <c r="FK182" i="1" s="1"/>
  <c r="FD149" i="1"/>
  <c r="FF149" i="1" s="1"/>
  <c r="FG149" i="1" s="1"/>
  <c r="FH149" i="1" s="1"/>
  <c r="FI149" i="1" s="1"/>
  <c r="FK149" i="1" s="1"/>
  <c r="FE214" i="1"/>
  <c r="FF214" i="1" s="1"/>
  <c r="FG214" i="1" s="1"/>
  <c r="FH214" i="1" s="1"/>
  <c r="FI214" i="1" s="1"/>
  <c r="FK214" i="1" s="1"/>
  <c r="FE97" i="1"/>
  <c r="FF97" i="1" s="1"/>
  <c r="FG97" i="1" s="1"/>
  <c r="FH97" i="1" s="1"/>
  <c r="FI97" i="1" s="1"/>
  <c r="FK97" i="1" s="1"/>
  <c r="FD159" i="1"/>
  <c r="FF159" i="1" s="1"/>
  <c r="FG159" i="1" s="1"/>
  <c r="FH159" i="1" s="1"/>
  <c r="FI159" i="1" s="1"/>
  <c r="FK159" i="1" s="1"/>
  <c r="GG278" i="1"/>
  <c r="GH278" i="1" s="1"/>
  <c r="GI278" i="1" s="1"/>
  <c r="FS8" i="1"/>
  <c r="FT8" i="1" s="1"/>
  <c r="GG114" i="1"/>
  <c r="GH114" i="1" s="1"/>
  <c r="GI114" i="1" s="1"/>
  <c r="FS210" i="1"/>
  <c r="FT210" i="1" s="1"/>
  <c r="FD143" i="1"/>
  <c r="FF143" i="1" s="1"/>
  <c r="FG143" i="1" s="1"/>
  <c r="FH143" i="1" s="1"/>
  <c r="FI143" i="1" s="1"/>
  <c r="FK143" i="1" s="1"/>
  <c r="FS57" i="1"/>
  <c r="FT57" i="1" s="1"/>
  <c r="GE28" i="1"/>
  <c r="GE290" i="1"/>
  <c r="GD85" i="1"/>
  <c r="FS136" i="1"/>
  <c r="FT136" i="1" s="1"/>
  <c r="GD56" i="1"/>
  <c r="GD71" i="1"/>
  <c r="GD175" i="1"/>
  <c r="GA103" i="1"/>
  <c r="GB103" i="1" s="1"/>
  <c r="FS181" i="1"/>
  <c r="FT181" i="1" s="1"/>
  <c r="FU181" i="1"/>
  <c r="FV181" i="1" s="1"/>
  <c r="FW146" i="1"/>
  <c r="FX146" i="1" s="1"/>
  <c r="GG263" i="1"/>
  <c r="GH263" i="1" s="1"/>
  <c r="GI263" i="1" s="1"/>
  <c r="FY81" i="1"/>
  <c r="FZ81" i="1" s="1"/>
  <c r="FQ278" i="1"/>
  <c r="FR278" i="1" s="1"/>
  <c r="GD11" i="1"/>
  <c r="GD244" i="1"/>
  <c r="GE82" i="1"/>
  <c r="GE70" i="1"/>
  <c r="FW8" i="1"/>
  <c r="FX8" i="1" s="1"/>
  <c r="FS78" i="1"/>
  <c r="FT78" i="1" s="1"/>
  <c r="FU92" i="1"/>
  <c r="FV92" i="1" s="1"/>
  <c r="GE95" i="1"/>
  <c r="FS83" i="1"/>
  <c r="FT83" i="1" s="1"/>
  <c r="FE83" i="1"/>
  <c r="FF83" i="1" s="1"/>
  <c r="FG83" i="1" s="1"/>
  <c r="FH83" i="1" s="1"/>
  <c r="FI83" i="1" s="1"/>
  <c r="FK83" i="1" s="1"/>
  <c r="FD228" i="1"/>
  <c r="FF228" i="1" s="1"/>
  <c r="FG228" i="1" s="1"/>
  <c r="FH228" i="1" s="1"/>
  <c r="FI228" i="1" s="1"/>
  <c r="FK228" i="1" s="1"/>
  <c r="FE75" i="1"/>
  <c r="FF75" i="1" s="1"/>
  <c r="FG75" i="1" s="1"/>
  <c r="FH75" i="1" s="1"/>
  <c r="FI75" i="1" s="1"/>
  <c r="FK75" i="1" s="1"/>
  <c r="FU290" i="1"/>
  <c r="FV290" i="1" s="1"/>
  <c r="FY56" i="1"/>
  <c r="FZ56" i="1" s="1"/>
  <c r="GA181" i="1"/>
  <c r="GB181" i="1" s="1"/>
  <c r="FY244" i="1"/>
  <c r="FZ244" i="1" s="1"/>
  <c r="FU83" i="1"/>
  <c r="FV83" i="1" s="1"/>
  <c r="FD51" i="1"/>
  <c r="FF51" i="1" s="1"/>
  <c r="FG51" i="1" s="1"/>
  <c r="FH51" i="1" s="1"/>
  <c r="FI51" i="1" s="1"/>
  <c r="FK51" i="1" s="1"/>
  <c r="FW57" i="1"/>
  <c r="FX57" i="1" s="1"/>
  <c r="FQ225" i="1"/>
  <c r="FR225" i="1" s="1"/>
  <c r="FS151" i="1"/>
  <c r="FT151" i="1" s="1"/>
  <c r="GG70" i="1"/>
  <c r="GH70" i="1" s="1"/>
  <c r="GI70" i="1" s="1"/>
  <c r="GE249" i="1"/>
  <c r="FY92" i="1"/>
  <c r="FZ92" i="1" s="1"/>
  <c r="FS95" i="1"/>
  <c r="FT95" i="1" s="1"/>
  <c r="FD13" i="1"/>
  <c r="FE13" i="1"/>
  <c r="GG62" i="1"/>
  <c r="GH62" i="1" s="1"/>
  <c r="GI62" i="1" s="1"/>
  <c r="GG186" i="1"/>
  <c r="GH186" i="1" s="1"/>
  <c r="GI186" i="1" s="1"/>
  <c r="GG193" i="1"/>
  <c r="GH193" i="1" s="1"/>
  <c r="GI193" i="1" s="1"/>
  <c r="GD87" i="1"/>
  <c r="FU200" i="1"/>
  <c r="FV200" i="1" s="1"/>
  <c r="GD174" i="1"/>
  <c r="GD184" i="1"/>
  <c r="FU152" i="1"/>
  <c r="FV152" i="1" s="1"/>
  <c r="FS253" i="1"/>
  <c r="FT253" i="1" s="1"/>
  <c r="FQ193" i="1"/>
  <c r="FR193" i="1" s="1"/>
  <c r="GG200" i="1"/>
  <c r="GH200" i="1" s="1"/>
  <c r="GI200" i="1" s="1"/>
  <c r="FU174" i="1"/>
  <c r="FV174" i="1" s="1"/>
  <c r="FU184" i="1"/>
  <c r="FV184" i="1" s="1"/>
  <c r="GD152" i="1"/>
  <c r="GG253" i="1"/>
  <c r="GH253" i="1" s="1"/>
  <c r="GI253" i="1" s="1"/>
  <c r="FS62" i="1"/>
  <c r="FT62" i="1" s="1"/>
  <c r="FY186" i="1"/>
  <c r="FZ186" i="1" s="1"/>
  <c r="FU193" i="1"/>
  <c r="FV193" i="1" s="1"/>
  <c r="GG87" i="1"/>
  <c r="GH87" i="1" s="1"/>
  <c r="GI87" i="1" s="1"/>
  <c r="FS87" i="1"/>
  <c r="FT87" i="1" s="1"/>
  <c r="FQ200" i="1"/>
  <c r="FR200" i="1" s="1"/>
  <c r="FQ174" i="1"/>
  <c r="FR174" i="1" s="1"/>
  <c r="FS184" i="1"/>
  <c r="FT184" i="1" s="1"/>
  <c r="FY152" i="1"/>
  <c r="FZ152" i="1" s="1"/>
  <c r="FU253" i="1"/>
  <c r="FV253" i="1" s="1"/>
  <c r="GD62" i="1"/>
  <c r="GD186" i="1"/>
  <c r="GD193" i="1"/>
  <c r="FW87" i="1"/>
  <c r="FY200" i="1"/>
  <c r="FZ200" i="1" s="1"/>
  <c r="FS174" i="1"/>
  <c r="FT174" i="1" s="1"/>
  <c r="GE184" i="1"/>
  <c r="GE152" i="1"/>
  <c r="FW253" i="1"/>
  <c r="FX253" i="1" s="1"/>
  <c r="FY193" i="1"/>
  <c r="FZ193" i="1" s="1"/>
  <c r="FS200" i="1"/>
  <c r="FT200" i="1" s="1"/>
  <c r="GE174" i="1"/>
  <c r="GG184" i="1"/>
  <c r="GH184" i="1" s="1"/>
  <c r="GI184" i="1" s="1"/>
  <c r="GG152" i="1"/>
  <c r="GH152" i="1" s="1"/>
  <c r="GI152" i="1" s="1"/>
  <c r="FQ253" i="1"/>
  <c r="FR253" i="1" s="1"/>
  <c r="GD136" i="1"/>
  <c r="FU75" i="1"/>
  <c r="FV75" i="1" s="1"/>
  <c r="GD177" i="1"/>
  <c r="FU226" i="1"/>
  <c r="FV226" i="1" s="1"/>
  <c r="FY299" i="1"/>
  <c r="FZ299" i="1" s="1"/>
  <c r="FD234" i="1"/>
  <c r="FF234" i="1" s="1"/>
  <c r="FG234" i="1" s="1"/>
  <c r="FH234" i="1" s="1"/>
  <c r="FI234" i="1" s="1"/>
  <c r="FK234" i="1" s="1"/>
  <c r="FQ75" i="1"/>
  <c r="FR75" i="1" s="1"/>
  <c r="GD226" i="1"/>
  <c r="FP60" i="1"/>
  <c r="FQ60" i="1" s="1"/>
  <c r="FR60" i="1" s="1"/>
  <c r="FY25" i="1"/>
  <c r="FZ25" i="1" s="1"/>
  <c r="FQ25" i="1"/>
  <c r="FR25" i="1" s="1"/>
  <c r="FU136" i="1"/>
  <c r="FV136" i="1" s="1"/>
  <c r="GA75" i="1"/>
  <c r="GB75" i="1" s="1"/>
  <c r="GE226" i="1"/>
  <c r="FD153" i="1"/>
  <c r="FF153" i="1" s="1"/>
  <c r="FG153" i="1" s="1"/>
  <c r="FH153" i="1" s="1"/>
  <c r="FI153" i="1" s="1"/>
  <c r="FK153" i="1" s="1"/>
  <c r="GG136" i="1"/>
  <c r="GH136" i="1" s="1"/>
  <c r="GI136" i="1" s="1"/>
  <c r="FS25" i="1"/>
  <c r="FT25" i="1" s="1"/>
  <c r="GE136" i="1"/>
  <c r="GD75" i="1"/>
  <c r="FS226" i="1"/>
  <c r="FT226" i="1" s="1"/>
  <c r="FS249" i="1"/>
  <c r="FT249" i="1" s="1"/>
  <c r="GD8" i="1"/>
  <c r="FW92" i="1"/>
  <c r="FX92" i="1" s="1"/>
  <c r="GE221" i="1"/>
  <c r="GE53" i="1"/>
  <c r="FW95" i="1"/>
  <c r="FX95" i="1" s="1"/>
  <c r="GE163" i="1"/>
  <c r="FP204" i="1"/>
  <c r="FY204" i="1" s="1"/>
  <c r="FZ204" i="1" s="1"/>
  <c r="FD125" i="1"/>
  <c r="FF125" i="1" s="1"/>
  <c r="FG125" i="1" s="1"/>
  <c r="FH125" i="1" s="1"/>
  <c r="FI125" i="1" s="1"/>
  <c r="FK125" i="1" s="1"/>
  <c r="FD174" i="1"/>
  <c r="FF174" i="1" s="1"/>
  <c r="FG174" i="1" s="1"/>
  <c r="FH174" i="1" s="1"/>
  <c r="FI174" i="1" s="1"/>
  <c r="FK174" i="1" s="1"/>
  <c r="GD25" i="1"/>
  <c r="GE25" i="1"/>
  <c r="FY136" i="1"/>
  <c r="FZ136" i="1" s="1"/>
  <c r="GE75" i="1"/>
  <c r="FY226" i="1"/>
  <c r="FZ226" i="1" s="1"/>
  <c r="FS53" i="1"/>
  <c r="FT53" i="1" s="1"/>
  <c r="FY95" i="1"/>
  <c r="FZ95" i="1" s="1"/>
  <c r="FQ163" i="1"/>
  <c r="FR163" i="1" s="1"/>
  <c r="FD197" i="1"/>
  <c r="FF197" i="1" s="1"/>
  <c r="FG197" i="1" s="1"/>
  <c r="FH197" i="1" s="1"/>
  <c r="FI197" i="1" s="1"/>
  <c r="FK197" i="1" s="1"/>
  <c r="FD92" i="1"/>
  <c r="FF92" i="1" s="1"/>
  <c r="FG92" i="1" s="1"/>
  <c r="FH92" i="1" s="1"/>
  <c r="FI92" i="1" s="1"/>
  <c r="FK92" i="1" s="1"/>
  <c r="FE299" i="1"/>
  <c r="FF299" i="1" s="1"/>
  <c r="FG299" i="1" s="1"/>
  <c r="FH299" i="1" s="1"/>
  <c r="FI299" i="1" s="1"/>
  <c r="FK299" i="1" s="1"/>
  <c r="FD264" i="1"/>
  <c r="FF264" i="1" s="1"/>
  <c r="FG264" i="1" s="1"/>
  <c r="FH264" i="1" s="1"/>
  <c r="FI264" i="1" s="1"/>
  <c r="FK264" i="1" s="1"/>
  <c r="FD300" i="1"/>
  <c r="FF300" i="1" s="1"/>
  <c r="FG300" i="1" s="1"/>
  <c r="FH300" i="1" s="1"/>
  <c r="FI300" i="1" s="1"/>
  <c r="FK300" i="1" s="1"/>
  <c r="FD232" i="1"/>
  <c r="FF232" i="1" s="1"/>
  <c r="FG232" i="1" s="1"/>
  <c r="FH232" i="1" s="1"/>
  <c r="FI232" i="1" s="1"/>
  <c r="FK232" i="1" s="1"/>
  <c r="FD220" i="1"/>
  <c r="FF220" i="1" s="1"/>
  <c r="FG220" i="1" s="1"/>
  <c r="FH220" i="1" s="1"/>
  <c r="FI220" i="1" s="1"/>
  <c r="FK220" i="1" s="1"/>
  <c r="GG25" i="1"/>
  <c r="GH25" i="1" s="1"/>
  <c r="GI25" i="1" s="1"/>
  <c r="FW136" i="1"/>
  <c r="FX136" i="1" s="1"/>
  <c r="FU143" i="1"/>
  <c r="FV143" i="1" s="1"/>
  <c r="FD301" i="1"/>
  <c r="FF301" i="1" s="1"/>
  <c r="FG301" i="1" s="1"/>
  <c r="FH301" i="1" s="1"/>
  <c r="FI301" i="1" s="1"/>
  <c r="FK301" i="1" s="1"/>
  <c r="FE120" i="1"/>
  <c r="FF120" i="1" s="1"/>
  <c r="FG120" i="1" s="1"/>
  <c r="FH120" i="1" s="1"/>
  <c r="FI120" i="1" s="1"/>
  <c r="FK120" i="1" s="1"/>
  <c r="FS75" i="1"/>
  <c r="FT75" i="1" s="1"/>
  <c r="GG226" i="1"/>
  <c r="GH226" i="1" s="1"/>
  <c r="GI226" i="1" s="1"/>
  <c r="FQ249" i="1"/>
  <c r="FR249" i="1" s="1"/>
  <c r="GE8" i="1"/>
  <c r="GD221" i="1"/>
  <c r="FQ95" i="1"/>
  <c r="FR95" i="1" s="1"/>
  <c r="FU95" i="1"/>
  <c r="FV95" i="1" s="1"/>
  <c r="GD163" i="1"/>
  <c r="FP202" i="1"/>
  <c r="FU202" i="1" s="1"/>
  <c r="FV202" i="1" s="1"/>
  <c r="FD207" i="1"/>
  <c r="FF207" i="1" s="1"/>
  <c r="FG207" i="1" s="1"/>
  <c r="FH207" i="1" s="1"/>
  <c r="FI207" i="1" s="1"/>
  <c r="FK207" i="1" s="1"/>
  <c r="FD130" i="1"/>
  <c r="FF130" i="1" s="1"/>
  <c r="FG130" i="1" s="1"/>
  <c r="FH130" i="1" s="1"/>
  <c r="FI130" i="1" s="1"/>
  <c r="FK130" i="1" s="1"/>
  <c r="FE107" i="1"/>
  <c r="FF107" i="1" s="1"/>
  <c r="FG107" i="1" s="1"/>
  <c r="FH107" i="1" s="1"/>
  <c r="FI107" i="1" s="1"/>
  <c r="FK107" i="1" s="1"/>
  <c r="GE3" i="1"/>
  <c r="GD113" i="1"/>
  <c r="FD238" i="1"/>
  <c r="FF238" i="1" s="1"/>
  <c r="FG238" i="1" s="1"/>
  <c r="FH238" i="1" s="1"/>
  <c r="FI238" i="1" s="1"/>
  <c r="FK238" i="1" s="1"/>
  <c r="FQ297" i="1"/>
  <c r="FR297" i="1" s="1"/>
  <c r="GD3" i="1"/>
  <c r="FE140" i="1"/>
  <c r="FF140" i="1" s="1"/>
  <c r="FG140" i="1" s="1"/>
  <c r="FH140" i="1" s="1"/>
  <c r="FI140" i="1" s="1"/>
  <c r="FK140" i="1" s="1"/>
  <c r="FQ57" i="1"/>
  <c r="FR57" i="1" s="1"/>
  <c r="GD143" i="1"/>
  <c r="GE225" i="1"/>
  <c r="FY113" i="1"/>
  <c r="FZ113" i="1" s="1"/>
  <c r="FQ151" i="1"/>
  <c r="FR151" i="1" s="1"/>
  <c r="FU177" i="1"/>
  <c r="FV177" i="1" s="1"/>
  <c r="FU70" i="1"/>
  <c r="FV70" i="1" s="1"/>
  <c r="FS299" i="1"/>
  <c r="FT299" i="1" s="1"/>
  <c r="FQ92" i="1"/>
  <c r="FR92" i="1" s="1"/>
  <c r="GG53" i="1"/>
  <c r="GH53" i="1" s="1"/>
  <c r="GI53" i="1" s="1"/>
  <c r="FP4" i="1"/>
  <c r="GE4" i="1" s="1"/>
  <c r="FD106" i="1"/>
  <c r="FF106" i="1" s="1"/>
  <c r="FG106" i="1" s="1"/>
  <c r="FH106" i="1" s="1"/>
  <c r="FI106" i="1" s="1"/>
  <c r="FK106" i="1" s="1"/>
  <c r="FQ177" i="1"/>
  <c r="FR177" i="1" s="1"/>
  <c r="FW299" i="1"/>
  <c r="FX299" i="1" s="1"/>
  <c r="FU297" i="1"/>
  <c r="FV297" i="1" s="1"/>
  <c r="GG3" i="1"/>
  <c r="GH3" i="1" s="1"/>
  <c r="GI3" i="1" s="1"/>
  <c r="FE74" i="1"/>
  <c r="FF74" i="1" s="1"/>
  <c r="FG74" i="1" s="1"/>
  <c r="FH74" i="1" s="1"/>
  <c r="FI74" i="1" s="1"/>
  <c r="FK74" i="1" s="1"/>
  <c r="FU57" i="1"/>
  <c r="FV57" i="1" s="1"/>
  <c r="FS143" i="1"/>
  <c r="FT143" i="1" s="1"/>
  <c r="FS225" i="1"/>
  <c r="FT225" i="1" s="1"/>
  <c r="GG113" i="1"/>
  <c r="GH113" i="1" s="1"/>
  <c r="GI113" i="1" s="1"/>
  <c r="FY151" i="1"/>
  <c r="FZ151" i="1" s="1"/>
  <c r="FS177" i="1"/>
  <c r="FT177" i="1" s="1"/>
  <c r="FW70" i="1"/>
  <c r="FX70" i="1" s="1"/>
  <c r="FQ299" i="1"/>
  <c r="FR299" i="1" s="1"/>
  <c r="GA92" i="1"/>
  <c r="GB92" i="1" s="1"/>
  <c r="FW53" i="1"/>
  <c r="FX53" i="1" s="1"/>
  <c r="FE134" i="1"/>
  <c r="FF134" i="1" s="1"/>
  <c r="FG134" i="1" s="1"/>
  <c r="FH134" i="1" s="1"/>
  <c r="FI134" i="1" s="1"/>
  <c r="FK134" i="1" s="1"/>
  <c r="FE111" i="1"/>
  <c r="FF111" i="1" s="1"/>
  <c r="FG111" i="1" s="1"/>
  <c r="FH111" i="1" s="1"/>
  <c r="FI111" i="1" s="1"/>
  <c r="FK111" i="1" s="1"/>
  <c r="FS297" i="1"/>
  <c r="FT297" i="1" s="1"/>
  <c r="FW3" i="1"/>
  <c r="FX3" i="1" s="1"/>
  <c r="GD57" i="1"/>
  <c r="GG143" i="1"/>
  <c r="GH143" i="1" s="1"/>
  <c r="GI143" i="1" s="1"/>
  <c r="GA143" i="1"/>
  <c r="GB143" i="1" s="1"/>
  <c r="GD225" i="1"/>
  <c r="FW113" i="1"/>
  <c r="FX113" i="1" s="1"/>
  <c r="FU151" i="1"/>
  <c r="FV151" i="1" s="1"/>
  <c r="GE177" i="1"/>
  <c r="FS70" i="1"/>
  <c r="FT70" i="1" s="1"/>
  <c r="GG299" i="1"/>
  <c r="GH299" i="1" s="1"/>
  <c r="GI299" i="1" s="1"/>
  <c r="GD92" i="1"/>
  <c r="FY53" i="1"/>
  <c r="FZ53" i="1" s="1"/>
  <c r="GE143" i="1"/>
  <c r="GG297" i="1"/>
  <c r="GH297" i="1" s="1"/>
  <c r="GI297" i="1" s="1"/>
  <c r="FY3" i="1"/>
  <c r="FZ3" i="1" s="1"/>
  <c r="GE57" i="1"/>
  <c r="FY143" i="1"/>
  <c r="FZ143" i="1" s="1"/>
  <c r="FY225" i="1"/>
  <c r="FZ225" i="1" s="1"/>
  <c r="FQ113" i="1"/>
  <c r="FR113" i="1" s="1"/>
  <c r="GD151" i="1"/>
  <c r="GG177" i="1"/>
  <c r="GH177" i="1" s="1"/>
  <c r="GI177" i="1" s="1"/>
  <c r="FQ70" i="1"/>
  <c r="FR70" i="1" s="1"/>
  <c r="FU299" i="1"/>
  <c r="FV299" i="1" s="1"/>
  <c r="GE92" i="1"/>
  <c r="GD53" i="1"/>
  <c r="FS3" i="1"/>
  <c r="FT3" i="1" s="1"/>
  <c r="FU3" i="1"/>
  <c r="FV3" i="1" s="1"/>
  <c r="FD169" i="1"/>
  <c r="FF169" i="1" s="1"/>
  <c r="FG169" i="1" s="1"/>
  <c r="FH169" i="1" s="1"/>
  <c r="FI169" i="1" s="1"/>
  <c r="FK169" i="1" s="1"/>
  <c r="FY57" i="1"/>
  <c r="FZ57" i="1" s="1"/>
  <c r="FQ143" i="1"/>
  <c r="FR143" i="1" s="1"/>
  <c r="GG225" i="1"/>
  <c r="GH225" i="1" s="1"/>
  <c r="GI225" i="1" s="1"/>
  <c r="FU113" i="1"/>
  <c r="FV113" i="1" s="1"/>
  <c r="GG151" i="1"/>
  <c r="GH151" i="1" s="1"/>
  <c r="GI151" i="1" s="1"/>
  <c r="FW177" i="1"/>
  <c r="FX177" i="1" s="1"/>
  <c r="GD70" i="1"/>
  <c r="GD299" i="1"/>
  <c r="FS92" i="1"/>
  <c r="FT92" i="1" s="1"/>
  <c r="FQ53" i="1"/>
  <c r="FR53" i="1" s="1"/>
  <c r="FS113" i="1"/>
  <c r="FT113" i="1" s="1"/>
  <c r="FD4" i="1"/>
  <c r="FE4" i="1"/>
  <c r="FD49" i="1"/>
  <c r="FE49" i="1"/>
  <c r="FD52" i="1"/>
  <c r="FE52" i="1"/>
  <c r="GE61" i="1"/>
  <c r="GG61" i="1"/>
  <c r="GH61" i="1" s="1"/>
  <c r="GI61" i="1" s="1"/>
  <c r="GD61" i="1"/>
  <c r="FY61" i="1"/>
  <c r="FZ61" i="1" s="1"/>
  <c r="FS61" i="1"/>
  <c r="FT61" i="1" s="1"/>
  <c r="FU61" i="1"/>
  <c r="FV61" i="1" s="1"/>
  <c r="FQ61" i="1"/>
  <c r="FR61" i="1" s="1"/>
  <c r="FW61" i="1"/>
  <c r="FX61" i="1" s="1"/>
  <c r="GA199" i="1"/>
  <c r="GB199" i="1" s="1"/>
  <c r="GE199" i="1"/>
  <c r="FU199" i="1"/>
  <c r="FV199" i="1" s="1"/>
  <c r="FQ199" i="1"/>
  <c r="FR199" i="1" s="1"/>
  <c r="GD199" i="1"/>
  <c r="FY199" i="1"/>
  <c r="FZ199" i="1" s="1"/>
  <c r="FS199" i="1"/>
  <c r="FT199" i="1" s="1"/>
  <c r="FW199" i="1"/>
  <c r="FX199" i="1" s="1"/>
  <c r="GG199" i="1"/>
  <c r="GH199" i="1" s="1"/>
  <c r="GI199" i="1" s="1"/>
  <c r="GD223" i="1"/>
  <c r="GA223" i="1"/>
  <c r="GB223" i="1" s="1"/>
  <c r="FS223" i="1"/>
  <c r="FT223" i="1" s="1"/>
  <c r="FU223" i="1"/>
  <c r="FV223" i="1" s="1"/>
  <c r="GE223" i="1"/>
  <c r="FW223" i="1"/>
  <c r="FX223" i="1" s="1"/>
  <c r="FQ223" i="1"/>
  <c r="FR223" i="1" s="1"/>
  <c r="FY223" i="1"/>
  <c r="FZ223" i="1" s="1"/>
  <c r="GG223" i="1"/>
  <c r="GH223" i="1" s="1"/>
  <c r="GI223" i="1" s="1"/>
  <c r="FQ128" i="1"/>
  <c r="FR128" i="1" s="1"/>
  <c r="FS128" i="1"/>
  <c r="FT128" i="1" s="1"/>
  <c r="GD128" i="1"/>
  <c r="FW128" i="1"/>
  <c r="FX128" i="1" s="1"/>
  <c r="GG128" i="1"/>
  <c r="GH128" i="1" s="1"/>
  <c r="GI128" i="1" s="1"/>
  <c r="FU128" i="1"/>
  <c r="FV128" i="1" s="1"/>
  <c r="GE128" i="1"/>
  <c r="FY128" i="1"/>
  <c r="FZ128" i="1" s="1"/>
  <c r="GD268" i="1"/>
  <c r="FQ268" i="1"/>
  <c r="FR268" i="1" s="1"/>
  <c r="FU268" i="1"/>
  <c r="FV268" i="1" s="1"/>
  <c r="FY268" i="1"/>
  <c r="FZ268" i="1" s="1"/>
  <c r="GG268" i="1"/>
  <c r="GH268" i="1" s="1"/>
  <c r="GI268" i="1" s="1"/>
  <c r="GA268" i="1"/>
  <c r="GB268" i="1" s="1"/>
  <c r="FS268" i="1"/>
  <c r="FT268" i="1" s="1"/>
  <c r="GE268" i="1"/>
  <c r="FW268" i="1"/>
  <c r="FX268" i="1" s="1"/>
  <c r="FS66" i="1"/>
  <c r="FT66" i="1" s="1"/>
  <c r="FY66" i="1"/>
  <c r="FZ66" i="1" s="1"/>
  <c r="GE66" i="1"/>
  <c r="FU66" i="1"/>
  <c r="FV66" i="1" s="1"/>
  <c r="GD66" i="1"/>
  <c r="FW66" i="1"/>
  <c r="FX66" i="1" s="1"/>
  <c r="FQ66" i="1"/>
  <c r="FR66" i="1" s="1"/>
  <c r="GG66" i="1"/>
  <c r="GH66" i="1" s="1"/>
  <c r="GI66" i="1" s="1"/>
  <c r="FD82" i="1"/>
  <c r="FE82" i="1"/>
  <c r="FQ201" i="1"/>
  <c r="FR201" i="1" s="1"/>
  <c r="FY201" i="1"/>
  <c r="FZ201" i="1" s="1"/>
  <c r="FU201" i="1"/>
  <c r="FV201" i="1" s="1"/>
  <c r="GD201" i="1"/>
  <c r="FS201" i="1"/>
  <c r="FT201" i="1" s="1"/>
  <c r="FW201" i="1"/>
  <c r="FX201" i="1" s="1"/>
  <c r="GE201" i="1"/>
  <c r="GG201" i="1"/>
  <c r="GH201" i="1" s="1"/>
  <c r="GI201" i="1" s="1"/>
  <c r="FY37" i="1"/>
  <c r="FZ37" i="1" s="1"/>
  <c r="FS37" i="1"/>
  <c r="FT37" i="1" s="1"/>
  <c r="FW37" i="1"/>
  <c r="FX37" i="1" s="1"/>
  <c r="GG37" i="1"/>
  <c r="GH37" i="1" s="1"/>
  <c r="GI37" i="1" s="1"/>
  <c r="GA37" i="1"/>
  <c r="GB37" i="1" s="1"/>
  <c r="GE37" i="1"/>
  <c r="FU37" i="1"/>
  <c r="FV37" i="1" s="1"/>
  <c r="FQ37" i="1"/>
  <c r="FR37" i="1" s="1"/>
  <c r="GD37" i="1"/>
  <c r="FU227" i="1"/>
  <c r="FV227" i="1" s="1"/>
  <c r="FQ227" i="1"/>
  <c r="FR227" i="1" s="1"/>
  <c r="FW227" i="1"/>
  <c r="FX227" i="1" s="1"/>
  <c r="GG227" i="1"/>
  <c r="GH227" i="1" s="1"/>
  <c r="GI227" i="1" s="1"/>
  <c r="FY227" i="1"/>
  <c r="FZ227" i="1" s="1"/>
  <c r="FS227" i="1"/>
  <c r="FT227" i="1" s="1"/>
  <c r="GD227" i="1"/>
  <c r="GE227" i="1"/>
  <c r="GE252" i="1"/>
  <c r="FY252" i="1"/>
  <c r="FZ252" i="1" s="1"/>
  <c r="FU252" i="1"/>
  <c r="FV252" i="1" s="1"/>
  <c r="FQ252" i="1"/>
  <c r="FR252" i="1" s="1"/>
  <c r="GD252" i="1"/>
  <c r="FW252" i="1"/>
  <c r="FX252" i="1" s="1"/>
  <c r="GA252" i="1"/>
  <c r="GB252" i="1" s="1"/>
  <c r="GG252" i="1"/>
  <c r="GH252" i="1" s="1"/>
  <c r="GI252" i="1" s="1"/>
  <c r="FS252" i="1"/>
  <c r="FT252" i="1" s="1"/>
  <c r="FS138" i="1"/>
  <c r="FT138" i="1" s="1"/>
  <c r="GE138" i="1"/>
  <c r="GD138" i="1"/>
  <c r="FW138" i="1"/>
  <c r="FX138" i="1" s="1"/>
  <c r="FQ138" i="1"/>
  <c r="FR138" i="1" s="1"/>
  <c r="FY138" i="1"/>
  <c r="FZ138" i="1" s="1"/>
  <c r="FU138" i="1"/>
  <c r="FV138" i="1" s="1"/>
  <c r="GG138" i="1"/>
  <c r="GH138" i="1" s="1"/>
  <c r="GI138" i="1" s="1"/>
  <c r="FS131" i="1"/>
  <c r="FT131" i="1" s="1"/>
  <c r="GE131" i="1"/>
  <c r="FU131" i="1"/>
  <c r="FV131" i="1" s="1"/>
  <c r="FQ131" i="1"/>
  <c r="FR131" i="1" s="1"/>
  <c r="GD131" i="1"/>
  <c r="FY131" i="1"/>
  <c r="FZ131" i="1" s="1"/>
  <c r="GG131" i="1"/>
  <c r="GH131" i="1" s="1"/>
  <c r="GI131" i="1" s="1"/>
  <c r="FW131" i="1"/>
  <c r="FX131" i="1" s="1"/>
  <c r="FY182" i="1"/>
  <c r="FZ182" i="1" s="1"/>
  <c r="GG182" i="1"/>
  <c r="GH182" i="1" s="1"/>
  <c r="GI182" i="1" s="1"/>
  <c r="FQ182" i="1"/>
  <c r="FR182" i="1" s="1"/>
  <c r="GE182" i="1"/>
  <c r="GD182" i="1"/>
  <c r="FU182" i="1"/>
  <c r="FV182" i="1" s="1"/>
  <c r="FS182" i="1"/>
  <c r="FT182" i="1" s="1"/>
  <c r="FW182" i="1"/>
  <c r="FX182" i="1" s="1"/>
  <c r="GA98" i="1"/>
  <c r="GB98" i="1" s="1"/>
  <c r="FQ98" i="1"/>
  <c r="FR98" i="1" s="1"/>
  <c r="GD98" i="1"/>
  <c r="FU98" i="1"/>
  <c r="FV98" i="1" s="1"/>
  <c r="FY98" i="1"/>
  <c r="FZ98" i="1" s="1"/>
  <c r="FW98" i="1"/>
  <c r="FX98" i="1" s="1"/>
  <c r="GG98" i="1"/>
  <c r="GH98" i="1" s="1"/>
  <c r="GI98" i="1" s="1"/>
  <c r="GE98" i="1"/>
  <c r="FS98" i="1"/>
  <c r="FT98" i="1" s="1"/>
  <c r="FD218" i="1"/>
  <c r="FE218" i="1"/>
  <c r="FE114" i="1"/>
  <c r="FD114" i="1"/>
  <c r="FE284" i="1"/>
  <c r="FD284" i="1"/>
  <c r="FW38" i="1"/>
  <c r="FX38" i="1" s="1"/>
  <c r="FQ38" i="1"/>
  <c r="FR38" i="1" s="1"/>
  <c r="FY38" i="1"/>
  <c r="FZ38" i="1" s="1"/>
  <c r="FU38" i="1"/>
  <c r="FV38" i="1" s="1"/>
  <c r="FS38" i="1"/>
  <c r="FT38" i="1" s="1"/>
  <c r="GD38" i="1"/>
  <c r="GE38" i="1"/>
  <c r="GA38" i="1"/>
  <c r="GB38" i="1" s="1"/>
  <c r="GG38" i="1"/>
  <c r="GH38" i="1" s="1"/>
  <c r="GI38" i="1" s="1"/>
  <c r="FE62" i="1"/>
  <c r="FD62" i="1"/>
  <c r="FE31" i="1"/>
  <c r="FD31" i="1"/>
  <c r="FE35" i="1"/>
  <c r="FE36" i="1"/>
  <c r="FD36" i="1"/>
  <c r="FD54" i="1"/>
  <c r="FE54" i="1"/>
  <c r="FD14" i="1"/>
  <c r="FE14" i="1"/>
  <c r="FD17" i="1"/>
  <c r="FE17" i="1"/>
  <c r="FD116" i="1"/>
  <c r="FE116" i="1"/>
  <c r="FU101" i="1"/>
  <c r="FV101" i="1" s="1"/>
  <c r="FW101" i="1"/>
  <c r="FX101" i="1" s="1"/>
  <c r="FQ101" i="1"/>
  <c r="FR101" i="1" s="1"/>
  <c r="GD101" i="1"/>
  <c r="FY101" i="1"/>
  <c r="FZ101" i="1" s="1"/>
  <c r="GE101" i="1"/>
  <c r="FS101" i="1"/>
  <c r="FT101" i="1" s="1"/>
  <c r="GG101" i="1"/>
  <c r="GH101" i="1" s="1"/>
  <c r="GI101" i="1" s="1"/>
  <c r="FU257" i="1"/>
  <c r="FV257" i="1" s="1"/>
  <c r="GD119" i="1"/>
  <c r="GG119" i="1"/>
  <c r="GH119" i="1" s="1"/>
  <c r="GI119" i="1" s="1"/>
  <c r="FQ119" i="1"/>
  <c r="FR119" i="1" s="1"/>
  <c r="FU119" i="1"/>
  <c r="FV119" i="1" s="1"/>
  <c r="GE119" i="1"/>
  <c r="FW119" i="1"/>
  <c r="FX119" i="1" s="1"/>
  <c r="FS119" i="1"/>
  <c r="FT119" i="1" s="1"/>
  <c r="FY119" i="1"/>
  <c r="FZ119" i="1" s="1"/>
  <c r="GE145" i="1"/>
  <c r="FW145" i="1"/>
  <c r="FX145" i="1" s="1"/>
  <c r="GD145" i="1"/>
  <c r="FS145" i="1"/>
  <c r="FT145" i="1" s="1"/>
  <c r="FY145" i="1"/>
  <c r="FZ145" i="1" s="1"/>
  <c r="GG145" i="1"/>
  <c r="GH145" i="1" s="1"/>
  <c r="GI145" i="1" s="1"/>
  <c r="FQ145" i="1"/>
  <c r="FR145" i="1" s="1"/>
  <c r="FU145" i="1"/>
  <c r="FV145" i="1" s="1"/>
  <c r="GD31" i="1"/>
  <c r="FW31" i="1"/>
  <c r="FX31" i="1" s="1"/>
  <c r="GG31" i="1"/>
  <c r="GH31" i="1" s="1"/>
  <c r="GI31" i="1" s="1"/>
  <c r="GE31" i="1"/>
  <c r="FS31" i="1"/>
  <c r="FT31" i="1" s="1"/>
  <c r="FQ31" i="1"/>
  <c r="FR31" i="1" s="1"/>
  <c r="GA31" i="1"/>
  <c r="GB31" i="1" s="1"/>
  <c r="FY31" i="1"/>
  <c r="FZ31" i="1" s="1"/>
  <c r="FU31" i="1"/>
  <c r="FV31" i="1" s="1"/>
  <c r="FS288" i="1"/>
  <c r="FT288" i="1" s="1"/>
  <c r="GE288" i="1"/>
  <c r="FU288" i="1"/>
  <c r="FV288" i="1" s="1"/>
  <c r="GD288" i="1"/>
  <c r="FQ288" i="1"/>
  <c r="FR288" i="1" s="1"/>
  <c r="FW288" i="1"/>
  <c r="FX288" i="1" s="1"/>
  <c r="FY288" i="1"/>
  <c r="FZ288" i="1" s="1"/>
  <c r="GG288" i="1"/>
  <c r="GH288" i="1" s="1"/>
  <c r="GI288" i="1" s="1"/>
  <c r="FQ276" i="1"/>
  <c r="FR276" i="1" s="1"/>
  <c r="FU276" i="1"/>
  <c r="FV276" i="1" s="1"/>
  <c r="GD276" i="1"/>
  <c r="GG276" i="1"/>
  <c r="GH276" i="1" s="1"/>
  <c r="GI276" i="1" s="1"/>
  <c r="FY276" i="1"/>
  <c r="FZ276" i="1" s="1"/>
  <c r="FS276" i="1"/>
  <c r="FT276" i="1" s="1"/>
  <c r="GE276" i="1"/>
  <c r="FW276" i="1"/>
  <c r="FX276" i="1" s="1"/>
  <c r="FY243" i="1"/>
  <c r="FZ243" i="1" s="1"/>
  <c r="FQ243" i="1"/>
  <c r="FR243" i="1" s="1"/>
  <c r="FU243" i="1"/>
  <c r="FV243" i="1" s="1"/>
  <c r="GD243" i="1"/>
  <c r="GG243" i="1"/>
  <c r="GH243" i="1" s="1"/>
  <c r="GI243" i="1" s="1"/>
  <c r="FS243" i="1"/>
  <c r="FT243" i="1" s="1"/>
  <c r="FW243" i="1"/>
  <c r="FX243" i="1" s="1"/>
  <c r="GA243" i="1"/>
  <c r="GB243" i="1" s="1"/>
  <c r="GE243" i="1"/>
  <c r="GE170" i="1"/>
  <c r="FY170" i="1"/>
  <c r="FZ170" i="1" s="1"/>
  <c r="FU170" i="1"/>
  <c r="FV170" i="1" s="1"/>
  <c r="FQ170" i="1"/>
  <c r="FR170" i="1" s="1"/>
  <c r="GD170" i="1"/>
  <c r="FS170" i="1"/>
  <c r="FT170" i="1" s="1"/>
  <c r="FW170" i="1"/>
  <c r="FX170" i="1" s="1"/>
  <c r="GG170" i="1"/>
  <c r="GH170" i="1" s="1"/>
  <c r="GI170" i="1" s="1"/>
  <c r="FD255" i="1"/>
  <c r="FE255" i="1"/>
  <c r="FE236" i="1"/>
  <c r="FD236" i="1"/>
  <c r="FE112" i="1"/>
  <c r="FD112" i="1"/>
  <c r="FQ46" i="1"/>
  <c r="FR46" i="1" s="1"/>
  <c r="FW46" i="1"/>
  <c r="FX46" i="1" s="1"/>
  <c r="FU46" i="1"/>
  <c r="FV46" i="1" s="1"/>
  <c r="GG46" i="1"/>
  <c r="GH46" i="1" s="1"/>
  <c r="GI46" i="1" s="1"/>
  <c r="GD46" i="1"/>
  <c r="FY46" i="1"/>
  <c r="FZ46" i="1" s="1"/>
  <c r="FS46" i="1"/>
  <c r="FT46" i="1" s="1"/>
  <c r="GE46" i="1"/>
  <c r="GA130" i="1"/>
  <c r="GB130" i="1" s="1"/>
  <c r="FS130" i="1"/>
  <c r="FT130" i="1" s="1"/>
  <c r="FW130" i="1"/>
  <c r="FX130" i="1" s="1"/>
  <c r="GG130" i="1"/>
  <c r="GH130" i="1" s="1"/>
  <c r="GI130" i="1" s="1"/>
  <c r="GE130" i="1"/>
  <c r="FU130" i="1"/>
  <c r="FV130" i="1" s="1"/>
  <c r="FQ130" i="1"/>
  <c r="FR130" i="1" s="1"/>
  <c r="GD130" i="1"/>
  <c r="FY130" i="1"/>
  <c r="FZ130" i="1" s="1"/>
  <c r="FY258" i="1"/>
  <c r="FZ258" i="1" s="1"/>
  <c r="GG258" i="1"/>
  <c r="GH258" i="1" s="1"/>
  <c r="GI258" i="1" s="1"/>
  <c r="FU258" i="1"/>
  <c r="FV258" i="1" s="1"/>
  <c r="FW258" i="1"/>
  <c r="FX258" i="1" s="1"/>
  <c r="FQ258" i="1"/>
  <c r="FR258" i="1" s="1"/>
  <c r="GE258" i="1"/>
  <c r="FS258" i="1"/>
  <c r="FT258" i="1" s="1"/>
  <c r="GD258" i="1"/>
  <c r="FS49" i="1"/>
  <c r="FT49" i="1" s="1"/>
  <c r="FW49" i="1"/>
  <c r="FX49" i="1" s="1"/>
  <c r="GG49" i="1"/>
  <c r="GH49" i="1" s="1"/>
  <c r="GI49" i="1" s="1"/>
  <c r="GE49" i="1"/>
  <c r="FU49" i="1"/>
  <c r="FV49" i="1" s="1"/>
  <c r="FQ49" i="1"/>
  <c r="FR49" i="1" s="1"/>
  <c r="GD49" i="1"/>
  <c r="FY49" i="1"/>
  <c r="FZ49" i="1" s="1"/>
  <c r="GE271" i="1"/>
  <c r="FS271" i="1"/>
  <c r="FT271" i="1" s="1"/>
  <c r="FW271" i="1"/>
  <c r="FX271" i="1" s="1"/>
  <c r="FU271" i="1"/>
  <c r="FV271" i="1" s="1"/>
  <c r="GG271" i="1"/>
  <c r="GH271" i="1" s="1"/>
  <c r="GI271" i="1" s="1"/>
  <c r="FQ271" i="1"/>
  <c r="FR271" i="1" s="1"/>
  <c r="GD271" i="1"/>
  <c r="FY271" i="1"/>
  <c r="FZ271" i="1" s="1"/>
  <c r="GD86" i="1"/>
  <c r="FW86" i="1"/>
  <c r="FX86" i="1" s="1"/>
  <c r="GG86" i="1"/>
  <c r="GH86" i="1" s="1"/>
  <c r="GI86" i="1" s="1"/>
  <c r="GE86" i="1"/>
  <c r="FS86" i="1"/>
  <c r="FT86" i="1" s="1"/>
  <c r="FQ86" i="1"/>
  <c r="FR86" i="1" s="1"/>
  <c r="FU86" i="1"/>
  <c r="FV86" i="1" s="1"/>
  <c r="FY86" i="1"/>
  <c r="FZ86" i="1" s="1"/>
  <c r="GG240" i="1"/>
  <c r="GH240" i="1" s="1"/>
  <c r="GI240" i="1" s="1"/>
  <c r="GD240" i="1"/>
  <c r="FS240" i="1"/>
  <c r="FT240" i="1" s="1"/>
  <c r="GE240" i="1"/>
  <c r="FU240" i="1"/>
  <c r="FV240" i="1" s="1"/>
  <c r="FQ240" i="1"/>
  <c r="FW240" i="1"/>
  <c r="FX240" i="1" s="1"/>
  <c r="GE216" i="1"/>
  <c r="FU216" i="1"/>
  <c r="FV216" i="1" s="1"/>
  <c r="FQ216" i="1"/>
  <c r="FR216" i="1" s="1"/>
  <c r="FW216" i="1"/>
  <c r="FX216" i="1" s="1"/>
  <c r="GD216" i="1"/>
  <c r="GG216" i="1"/>
  <c r="GH216" i="1" s="1"/>
  <c r="GI216" i="1" s="1"/>
  <c r="FY216" i="1"/>
  <c r="FZ216" i="1" s="1"/>
  <c r="FS216" i="1"/>
  <c r="FT216" i="1" s="1"/>
  <c r="FY300" i="1"/>
  <c r="FZ300" i="1" s="1"/>
  <c r="FS300" i="1"/>
  <c r="FT300" i="1" s="1"/>
  <c r="FW300" i="1"/>
  <c r="FX300" i="1" s="1"/>
  <c r="GG300" i="1"/>
  <c r="GH300" i="1" s="1"/>
  <c r="GI300" i="1" s="1"/>
  <c r="FQ300" i="1"/>
  <c r="FR300" i="1" s="1"/>
  <c r="FU300" i="1"/>
  <c r="FV300" i="1" s="1"/>
  <c r="GD300" i="1"/>
  <c r="GE300" i="1"/>
  <c r="FY251" i="1"/>
  <c r="FZ251" i="1" s="1"/>
  <c r="FU251" i="1"/>
  <c r="FV251" i="1" s="1"/>
  <c r="GG251" i="1"/>
  <c r="GH251" i="1" s="1"/>
  <c r="GI251" i="1" s="1"/>
  <c r="GD251" i="1"/>
  <c r="FQ251" i="1"/>
  <c r="FR251" i="1" s="1"/>
  <c r="GE251" i="1"/>
  <c r="FW251" i="1"/>
  <c r="FX251" i="1" s="1"/>
  <c r="FS251" i="1"/>
  <c r="FT251" i="1" s="1"/>
  <c r="FY219" i="1"/>
  <c r="FZ219" i="1" s="1"/>
  <c r="FS219" i="1"/>
  <c r="FT219" i="1" s="1"/>
  <c r="GD219" i="1"/>
  <c r="GE219" i="1"/>
  <c r="FU219" i="1"/>
  <c r="FV219" i="1" s="1"/>
  <c r="FQ219" i="1"/>
  <c r="FR219" i="1" s="1"/>
  <c r="FW219" i="1"/>
  <c r="FX219" i="1" s="1"/>
  <c r="GG219" i="1"/>
  <c r="GH219" i="1" s="1"/>
  <c r="GI219" i="1" s="1"/>
  <c r="FQ26" i="1"/>
  <c r="FR26" i="1" s="1"/>
  <c r="FS26" i="1"/>
  <c r="FT26" i="1" s="1"/>
  <c r="GD26" i="1"/>
  <c r="FY26" i="1"/>
  <c r="FZ26" i="1" s="1"/>
  <c r="FW26" i="1"/>
  <c r="FX26" i="1" s="1"/>
  <c r="GG26" i="1"/>
  <c r="GH26" i="1" s="1"/>
  <c r="GI26" i="1" s="1"/>
  <c r="GE26" i="1"/>
  <c r="FU26" i="1"/>
  <c r="FV26" i="1" s="1"/>
  <c r="FQ154" i="1"/>
  <c r="FR154" i="1" s="1"/>
  <c r="FU154" i="1"/>
  <c r="FV154" i="1" s="1"/>
  <c r="GE154" i="1"/>
  <c r="FW154" i="1"/>
  <c r="FX154" i="1" s="1"/>
  <c r="GD154" i="1"/>
  <c r="GG154" i="1"/>
  <c r="GH154" i="1" s="1"/>
  <c r="GI154" i="1" s="1"/>
  <c r="FS154" i="1"/>
  <c r="FT154" i="1" s="1"/>
  <c r="FY154" i="1"/>
  <c r="FZ154" i="1" s="1"/>
  <c r="FY296" i="1"/>
  <c r="FZ296" i="1" s="1"/>
  <c r="FS296" i="1"/>
  <c r="FT296" i="1" s="1"/>
  <c r="GE296" i="1"/>
  <c r="FW296" i="1"/>
  <c r="FX296" i="1" s="1"/>
  <c r="FQ296" i="1"/>
  <c r="FR296" i="1" s="1"/>
  <c r="FU296" i="1"/>
  <c r="FV296" i="1" s="1"/>
  <c r="GD296" i="1"/>
  <c r="GG296" i="1"/>
  <c r="GH296" i="1" s="1"/>
  <c r="GI296" i="1" s="1"/>
  <c r="FU176" i="1"/>
  <c r="FV176" i="1" s="1"/>
  <c r="FQ176" i="1"/>
  <c r="FR176" i="1" s="1"/>
  <c r="GD176" i="1"/>
  <c r="FY176" i="1"/>
  <c r="FZ176" i="1" s="1"/>
  <c r="FW176" i="1"/>
  <c r="FX176" i="1" s="1"/>
  <c r="GG176" i="1"/>
  <c r="GH176" i="1" s="1"/>
  <c r="GI176" i="1" s="1"/>
  <c r="GE176" i="1"/>
  <c r="FS176" i="1"/>
  <c r="FT176" i="1" s="1"/>
  <c r="FE212" i="1"/>
  <c r="FD212" i="1"/>
  <c r="FE219" i="1"/>
  <c r="FD219" i="1"/>
  <c r="FE177" i="1"/>
  <c r="FD177" i="1"/>
  <c r="FE294" i="1"/>
  <c r="FD294" i="1"/>
  <c r="FR136" i="1"/>
  <c r="FS148" i="1"/>
  <c r="FT148" i="1" s="1"/>
  <c r="GG148" i="1"/>
  <c r="GH148" i="1" s="1"/>
  <c r="GI148" i="1" s="1"/>
  <c r="FU148" i="1"/>
  <c r="FV148" i="1" s="1"/>
  <c r="FQ148" i="1"/>
  <c r="FR148" i="1" s="1"/>
  <c r="GD148" i="1"/>
  <c r="FY148" i="1"/>
  <c r="FZ148" i="1" s="1"/>
  <c r="FW148" i="1"/>
  <c r="FX148" i="1" s="1"/>
  <c r="GE148" i="1"/>
  <c r="FP44" i="1"/>
  <c r="FE270" i="1"/>
  <c r="FD270" i="1"/>
  <c r="FY33" i="1"/>
  <c r="FZ33" i="1" s="1"/>
  <c r="FW33" i="1"/>
  <c r="FX33" i="1" s="1"/>
  <c r="GG33" i="1"/>
  <c r="GH33" i="1" s="1"/>
  <c r="GI33" i="1" s="1"/>
  <c r="GE33" i="1"/>
  <c r="FS33" i="1"/>
  <c r="FT33" i="1" s="1"/>
  <c r="GD33" i="1"/>
  <c r="FQ33" i="1"/>
  <c r="FR33" i="1" s="1"/>
  <c r="FU33" i="1"/>
  <c r="FV33" i="1" s="1"/>
  <c r="GD228" i="1"/>
  <c r="GG228" i="1"/>
  <c r="GH228" i="1" s="1"/>
  <c r="GI228" i="1" s="1"/>
  <c r="FY228" i="1"/>
  <c r="FZ228" i="1" s="1"/>
  <c r="FS228" i="1"/>
  <c r="FT228" i="1" s="1"/>
  <c r="GE228" i="1"/>
  <c r="FU228" i="1"/>
  <c r="FV228" i="1" s="1"/>
  <c r="FQ228" i="1"/>
  <c r="FR228" i="1" s="1"/>
  <c r="FW228" i="1"/>
  <c r="FX228" i="1" s="1"/>
  <c r="FD72" i="1"/>
  <c r="FE72" i="1"/>
  <c r="FF198" i="1"/>
  <c r="FG198" i="1" s="1"/>
  <c r="FH198" i="1" s="1"/>
  <c r="FI198" i="1" s="1"/>
  <c r="FK198" i="1" s="1"/>
  <c r="FD10" i="1"/>
  <c r="FE10" i="1"/>
  <c r="FQ238" i="1"/>
  <c r="FR238" i="1" s="1"/>
  <c r="FW238" i="1"/>
  <c r="FX238" i="1" s="1"/>
  <c r="GG238" i="1"/>
  <c r="GH238" i="1" s="1"/>
  <c r="GI238" i="1" s="1"/>
  <c r="FY238" i="1"/>
  <c r="FZ238" i="1" s="1"/>
  <c r="FS238" i="1"/>
  <c r="FT238" i="1" s="1"/>
  <c r="GE238" i="1"/>
  <c r="GD238" i="1"/>
  <c r="FU238" i="1"/>
  <c r="FV238" i="1" s="1"/>
  <c r="FE287" i="1"/>
  <c r="FD287" i="1"/>
  <c r="FW235" i="1"/>
  <c r="FX235" i="1" s="1"/>
  <c r="GG235" i="1"/>
  <c r="GH235" i="1" s="1"/>
  <c r="GI235" i="1" s="1"/>
  <c r="FY235" i="1"/>
  <c r="FZ235" i="1" s="1"/>
  <c r="FS235" i="1"/>
  <c r="FT235" i="1" s="1"/>
  <c r="GD235" i="1"/>
  <c r="GE235" i="1"/>
  <c r="FU235" i="1"/>
  <c r="FV235" i="1" s="1"/>
  <c r="FQ235" i="1"/>
  <c r="FR235" i="1" s="1"/>
  <c r="FE225" i="1"/>
  <c r="FD225" i="1"/>
  <c r="FW208" i="1"/>
  <c r="FX208" i="1" s="1"/>
  <c r="FY208" i="1"/>
  <c r="FZ208" i="1" s="1"/>
  <c r="GE208" i="1"/>
  <c r="GG208" i="1"/>
  <c r="GH208" i="1" s="1"/>
  <c r="GI208" i="1" s="1"/>
  <c r="FS208" i="1"/>
  <c r="FT208" i="1" s="1"/>
  <c r="FQ208" i="1"/>
  <c r="FR208" i="1" s="1"/>
  <c r="FU208" i="1"/>
  <c r="FV208" i="1" s="1"/>
  <c r="GD208" i="1"/>
  <c r="FY302" i="1"/>
  <c r="FZ302" i="1" s="1"/>
  <c r="GG302" i="1"/>
  <c r="GH302" i="1" s="1"/>
  <c r="GI302" i="1" s="1"/>
  <c r="GE302" i="1"/>
  <c r="FQ302" i="1"/>
  <c r="FR302" i="1" s="1"/>
  <c r="FS302" i="1"/>
  <c r="FT302" i="1" s="1"/>
  <c r="FU302" i="1"/>
  <c r="FV302" i="1" s="1"/>
  <c r="GD302" i="1"/>
  <c r="FW302" i="1"/>
  <c r="FX302" i="1" s="1"/>
  <c r="FS133" i="1"/>
  <c r="FT133" i="1" s="1"/>
  <c r="FW133" i="1"/>
  <c r="FX133" i="1" s="1"/>
  <c r="GD133" i="1"/>
  <c r="FQ133" i="1"/>
  <c r="FR133" i="1" s="1"/>
  <c r="FY133" i="1"/>
  <c r="FZ133" i="1" s="1"/>
  <c r="GE133" i="1"/>
  <c r="GG133" i="1"/>
  <c r="GH133" i="1" s="1"/>
  <c r="GI133" i="1" s="1"/>
  <c r="FU133" i="1"/>
  <c r="FV133" i="1" s="1"/>
  <c r="FD101" i="1"/>
  <c r="FE101" i="1"/>
  <c r="FQ260" i="1"/>
  <c r="FR260" i="1" s="1"/>
  <c r="GE260" i="1"/>
  <c r="FS260" i="1"/>
  <c r="FT260" i="1" s="1"/>
  <c r="FY260" i="1"/>
  <c r="FZ260" i="1" s="1"/>
  <c r="GD260" i="1"/>
  <c r="GG260" i="1"/>
  <c r="GH260" i="1" s="1"/>
  <c r="GI260" i="1" s="1"/>
  <c r="FW260" i="1"/>
  <c r="FX260" i="1" s="1"/>
  <c r="FU260" i="1"/>
  <c r="FV260" i="1" s="1"/>
  <c r="FE64" i="1"/>
  <c r="FD64" i="1"/>
  <c r="GD23" i="1"/>
  <c r="FY23" i="1"/>
  <c r="FZ23" i="1" s="1"/>
  <c r="GA23" i="1"/>
  <c r="GB23" i="1" s="1"/>
  <c r="FW23" i="1"/>
  <c r="FX23" i="1" s="1"/>
  <c r="GG23" i="1"/>
  <c r="GH23" i="1" s="1"/>
  <c r="GI23" i="1" s="1"/>
  <c r="GE23" i="1"/>
  <c r="FS23" i="1"/>
  <c r="FT23" i="1" s="1"/>
  <c r="FQ23" i="1"/>
  <c r="FR23" i="1" s="1"/>
  <c r="FU23" i="1"/>
  <c r="FV23" i="1" s="1"/>
  <c r="FQ6" i="1"/>
  <c r="FR6" i="1" s="1"/>
  <c r="FU6" i="1"/>
  <c r="FV6" i="1" s="1"/>
  <c r="FY6" i="1"/>
  <c r="FZ6" i="1" s="1"/>
  <c r="GD6" i="1"/>
  <c r="GG6" i="1"/>
  <c r="GH6" i="1" s="1"/>
  <c r="GI6" i="1" s="1"/>
  <c r="GE6" i="1"/>
  <c r="FS6" i="1"/>
  <c r="FT6" i="1" s="1"/>
  <c r="FW6" i="1"/>
  <c r="FX6" i="1" s="1"/>
  <c r="FU89" i="1"/>
  <c r="FV89" i="1" s="1"/>
  <c r="FY89" i="1"/>
  <c r="FZ89" i="1" s="1"/>
  <c r="FW89" i="1"/>
  <c r="FX89" i="1" s="1"/>
  <c r="GG89" i="1"/>
  <c r="GH89" i="1" s="1"/>
  <c r="GI89" i="1" s="1"/>
  <c r="GE89" i="1"/>
  <c r="GD89" i="1"/>
  <c r="FS89" i="1"/>
  <c r="FT89" i="1" s="1"/>
  <c r="FQ89" i="1"/>
  <c r="FR89" i="1" s="1"/>
  <c r="GD29" i="1"/>
  <c r="FQ29" i="1"/>
  <c r="FR29" i="1" s="1"/>
  <c r="GG29" i="1"/>
  <c r="GH29" i="1" s="1"/>
  <c r="GI29" i="1" s="1"/>
  <c r="FW29" i="1"/>
  <c r="FX29" i="1" s="1"/>
  <c r="GE29" i="1"/>
  <c r="FS29" i="1"/>
  <c r="FT29" i="1" s="1"/>
  <c r="FY29" i="1"/>
  <c r="FZ29" i="1" s="1"/>
  <c r="FU29" i="1"/>
  <c r="FV29" i="1" s="1"/>
  <c r="FY147" i="1"/>
  <c r="FZ147" i="1" s="1"/>
  <c r="FQ147" i="1"/>
  <c r="FR147" i="1" s="1"/>
  <c r="FU147" i="1"/>
  <c r="FV147" i="1" s="1"/>
  <c r="GE147" i="1"/>
  <c r="FW147" i="1"/>
  <c r="FX147" i="1" s="1"/>
  <c r="FS147" i="1"/>
  <c r="FT147" i="1" s="1"/>
  <c r="GD147" i="1"/>
  <c r="GG147" i="1"/>
  <c r="GH147" i="1" s="1"/>
  <c r="GI147" i="1" s="1"/>
  <c r="FE269" i="1"/>
  <c r="FD269" i="1"/>
  <c r="FD47" i="1"/>
  <c r="FE47" i="1"/>
  <c r="FE43" i="1"/>
  <c r="FD43" i="1"/>
  <c r="FE15" i="1"/>
  <c r="FD15" i="1"/>
  <c r="FD60" i="1"/>
  <c r="FE60" i="1"/>
  <c r="FE63" i="1"/>
  <c r="FD63" i="1"/>
  <c r="FE6" i="1"/>
  <c r="FD6" i="1"/>
  <c r="GG213" i="1"/>
  <c r="GH213" i="1" s="1"/>
  <c r="GI213" i="1" s="1"/>
  <c r="GE213" i="1"/>
  <c r="FQ213" i="1"/>
  <c r="FR213" i="1" s="1"/>
  <c r="FS213" i="1"/>
  <c r="FT213" i="1" s="1"/>
  <c r="GD213" i="1"/>
  <c r="FU213" i="1"/>
  <c r="FV213" i="1" s="1"/>
  <c r="FW213" i="1"/>
  <c r="FX213" i="1" s="1"/>
  <c r="FY213" i="1"/>
  <c r="FZ213" i="1" s="1"/>
  <c r="GD220" i="1"/>
  <c r="GG220" i="1"/>
  <c r="GH220" i="1" s="1"/>
  <c r="GI220" i="1" s="1"/>
  <c r="FY220" i="1"/>
  <c r="FZ220" i="1" s="1"/>
  <c r="FS220" i="1"/>
  <c r="FT220" i="1" s="1"/>
  <c r="GE220" i="1"/>
  <c r="FU220" i="1"/>
  <c r="FV220" i="1" s="1"/>
  <c r="FQ220" i="1"/>
  <c r="FR220" i="1" s="1"/>
  <c r="FW220" i="1"/>
  <c r="FX220" i="1" s="1"/>
  <c r="FS190" i="1"/>
  <c r="FT190" i="1" s="1"/>
  <c r="FQ190" i="1"/>
  <c r="FR190" i="1" s="1"/>
  <c r="GE190" i="1"/>
  <c r="FW190" i="1"/>
  <c r="FX190" i="1" s="1"/>
  <c r="FU190" i="1"/>
  <c r="FV190" i="1" s="1"/>
  <c r="GG190" i="1"/>
  <c r="GH190" i="1" s="1"/>
  <c r="GI190" i="1" s="1"/>
  <c r="FY190" i="1"/>
  <c r="FZ190" i="1" s="1"/>
  <c r="GD190" i="1"/>
  <c r="FQ272" i="1"/>
  <c r="FR272" i="1" s="1"/>
  <c r="FU272" i="1"/>
  <c r="FV272" i="1" s="1"/>
  <c r="GD272" i="1"/>
  <c r="GG272" i="1"/>
  <c r="GH272" i="1" s="1"/>
  <c r="GI272" i="1" s="1"/>
  <c r="FY272" i="1"/>
  <c r="FZ272" i="1" s="1"/>
  <c r="FS272" i="1"/>
  <c r="FT272" i="1" s="1"/>
  <c r="GE272" i="1"/>
  <c r="FW272" i="1"/>
  <c r="FX272" i="1" s="1"/>
  <c r="GD157" i="1"/>
  <c r="FQ157" i="1"/>
  <c r="FR157" i="1" s="1"/>
  <c r="GE157" i="1"/>
  <c r="FY157" i="1"/>
  <c r="FZ157" i="1" s="1"/>
  <c r="GG157" i="1"/>
  <c r="GH157" i="1" s="1"/>
  <c r="GI157" i="1" s="1"/>
  <c r="FW157" i="1"/>
  <c r="FX157" i="1" s="1"/>
  <c r="FU157" i="1"/>
  <c r="FV157" i="1" s="1"/>
  <c r="FS157" i="1"/>
  <c r="FT157" i="1" s="1"/>
  <c r="FU47" i="1"/>
  <c r="FV47" i="1" s="1"/>
  <c r="GD47" i="1"/>
  <c r="GE47" i="1"/>
  <c r="FQ47" i="1"/>
  <c r="FR47" i="1" s="1"/>
  <c r="FW47" i="1"/>
  <c r="FX47" i="1" s="1"/>
  <c r="GG47" i="1"/>
  <c r="GH47" i="1" s="1"/>
  <c r="GI47" i="1" s="1"/>
  <c r="FS47" i="1"/>
  <c r="FT47" i="1" s="1"/>
  <c r="FY47" i="1"/>
  <c r="FZ47" i="1" s="1"/>
  <c r="GD121" i="1"/>
  <c r="GG121" i="1"/>
  <c r="GH121" i="1" s="1"/>
  <c r="GI121" i="1" s="1"/>
  <c r="FQ121" i="1"/>
  <c r="FR121" i="1" s="1"/>
  <c r="FU121" i="1"/>
  <c r="FV121" i="1" s="1"/>
  <c r="GE121" i="1"/>
  <c r="FW121" i="1"/>
  <c r="FX121" i="1" s="1"/>
  <c r="FS121" i="1"/>
  <c r="FT121" i="1" s="1"/>
  <c r="FY121" i="1"/>
  <c r="FZ121" i="1" s="1"/>
  <c r="GE241" i="1"/>
  <c r="FU241" i="1"/>
  <c r="FV241" i="1" s="1"/>
  <c r="FQ241" i="1"/>
  <c r="FR241" i="1" s="1"/>
  <c r="FW241" i="1"/>
  <c r="FX241" i="1" s="1"/>
  <c r="GG241" i="1"/>
  <c r="GH241" i="1" s="1"/>
  <c r="GI241" i="1" s="1"/>
  <c r="FY241" i="1"/>
  <c r="FZ241" i="1" s="1"/>
  <c r="GD241" i="1"/>
  <c r="FS241" i="1"/>
  <c r="FT241" i="1" s="1"/>
  <c r="GE284" i="1"/>
  <c r="FU284" i="1"/>
  <c r="FV284" i="1" s="1"/>
  <c r="GD284" i="1"/>
  <c r="FQ284" i="1"/>
  <c r="FR284" i="1" s="1"/>
  <c r="FW284" i="1"/>
  <c r="FX284" i="1" s="1"/>
  <c r="FY284" i="1"/>
  <c r="FZ284" i="1" s="1"/>
  <c r="GG284" i="1"/>
  <c r="GH284" i="1" s="1"/>
  <c r="GI284" i="1" s="1"/>
  <c r="GA284" i="1"/>
  <c r="GB284" i="1" s="1"/>
  <c r="FS284" i="1"/>
  <c r="FT284" i="1" s="1"/>
  <c r="FP194" i="1"/>
  <c r="FP65" i="1"/>
  <c r="FE128" i="1"/>
  <c r="FD128" i="1"/>
  <c r="FE139" i="1"/>
  <c r="FD139" i="1"/>
  <c r="FE242" i="1"/>
  <c r="FD242" i="1"/>
  <c r="FS246" i="1"/>
  <c r="FT246" i="1" s="1"/>
  <c r="GE246" i="1"/>
  <c r="FU246" i="1"/>
  <c r="FV246" i="1" s="1"/>
  <c r="FW246" i="1"/>
  <c r="FX246" i="1" s="1"/>
  <c r="FQ246" i="1"/>
  <c r="FR246" i="1" s="1"/>
  <c r="GD246" i="1"/>
  <c r="FY246" i="1"/>
  <c r="FZ246" i="1" s="1"/>
  <c r="GG246" i="1"/>
  <c r="GH246" i="1" s="1"/>
  <c r="GI246" i="1" s="1"/>
  <c r="FS111" i="1"/>
  <c r="FT111" i="1" s="1"/>
  <c r="GG111" i="1"/>
  <c r="GH111" i="1" s="1"/>
  <c r="GI111" i="1" s="1"/>
  <c r="FU111" i="1"/>
  <c r="FV111" i="1" s="1"/>
  <c r="GE111" i="1"/>
  <c r="FQ111" i="1"/>
  <c r="FR111" i="1" s="1"/>
  <c r="GD111" i="1"/>
  <c r="FY111" i="1"/>
  <c r="FZ111" i="1" s="1"/>
  <c r="FW111" i="1"/>
  <c r="FX111" i="1" s="1"/>
  <c r="FS137" i="1"/>
  <c r="FT137" i="1" s="1"/>
  <c r="FQ137" i="1"/>
  <c r="FR137" i="1" s="1"/>
  <c r="GE137" i="1"/>
  <c r="FW137" i="1"/>
  <c r="FX137" i="1" s="1"/>
  <c r="FY137" i="1"/>
  <c r="FZ137" i="1" s="1"/>
  <c r="FU137" i="1"/>
  <c r="FV137" i="1" s="1"/>
  <c r="GG137" i="1"/>
  <c r="GH137" i="1" s="1"/>
  <c r="GI137" i="1" s="1"/>
  <c r="GD137" i="1"/>
  <c r="FS20" i="1"/>
  <c r="FT20" i="1" s="1"/>
  <c r="FW20" i="1"/>
  <c r="FX20" i="1" s="1"/>
  <c r="GG20" i="1"/>
  <c r="GH20" i="1" s="1"/>
  <c r="GI20" i="1" s="1"/>
  <c r="GE20" i="1"/>
  <c r="FU20" i="1"/>
  <c r="FV20" i="1" s="1"/>
  <c r="FQ20" i="1"/>
  <c r="FR20" i="1" s="1"/>
  <c r="GA20" i="1"/>
  <c r="GB20" i="1" s="1"/>
  <c r="GD20" i="1"/>
  <c r="FY20" i="1"/>
  <c r="FZ20" i="1" s="1"/>
  <c r="FS52" i="1"/>
  <c r="FT52" i="1" s="1"/>
  <c r="FW52" i="1"/>
  <c r="FX52" i="1" s="1"/>
  <c r="GG52" i="1"/>
  <c r="GH52" i="1" s="1"/>
  <c r="GI52" i="1" s="1"/>
  <c r="GE52" i="1"/>
  <c r="FU52" i="1"/>
  <c r="FV52" i="1" s="1"/>
  <c r="FQ52" i="1"/>
  <c r="FR52" i="1" s="1"/>
  <c r="GD52" i="1"/>
  <c r="FY52" i="1"/>
  <c r="FZ52" i="1" s="1"/>
  <c r="GD215" i="1"/>
  <c r="GA215" i="1"/>
  <c r="GB215" i="1" s="1"/>
  <c r="FS215" i="1"/>
  <c r="FT215" i="1" s="1"/>
  <c r="FU215" i="1"/>
  <c r="FV215" i="1" s="1"/>
  <c r="GE215" i="1"/>
  <c r="FW215" i="1"/>
  <c r="FX215" i="1" s="1"/>
  <c r="FQ215" i="1"/>
  <c r="FR215" i="1" s="1"/>
  <c r="FY215" i="1"/>
  <c r="FZ215" i="1" s="1"/>
  <c r="GG215" i="1"/>
  <c r="GH215" i="1" s="1"/>
  <c r="GI215" i="1" s="1"/>
  <c r="GD127" i="1"/>
  <c r="GG127" i="1"/>
  <c r="GH127" i="1" s="1"/>
  <c r="GI127" i="1" s="1"/>
  <c r="GA127" i="1"/>
  <c r="GB127" i="1" s="1"/>
  <c r="FS127" i="1"/>
  <c r="FT127" i="1" s="1"/>
  <c r="FW127" i="1"/>
  <c r="FX127" i="1" s="1"/>
  <c r="GE127" i="1"/>
  <c r="FY127" i="1"/>
  <c r="FZ127" i="1" s="1"/>
  <c r="FU127" i="1"/>
  <c r="FV127" i="1" s="1"/>
  <c r="FQ127" i="1"/>
  <c r="FR127" i="1" s="1"/>
  <c r="FU155" i="1"/>
  <c r="FV155" i="1" s="1"/>
  <c r="GG155" i="1"/>
  <c r="GH155" i="1" s="1"/>
  <c r="GI155" i="1" s="1"/>
  <c r="GD155" i="1"/>
  <c r="FY155" i="1"/>
  <c r="FZ155" i="1" s="1"/>
  <c r="FS155" i="1"/>
  <c r="FT155" i="1" s="1"/>
  <c r="FQ155" i="1"/>
  <c r="FR155" i="1" s="1"/>
  <c r="GE155" i="1"/>
  <c r="FW155" i="1"/>
  <c r="FX155" i="1" s="1"/>
  <c r="GG217" i="1"/>
  <c r="GH217" i="1" s="1"/>
  <c r="GI217" i="1" s="1"/>
  <c r="FY217" i="1"/>
  <c r="FZ217" i="1" s="1"/>
  <c r="GD217" i="1"/>
  <c r="FS217" i="1"/>
  <c r="FT217" i="1" s="1"/>
  <c r="GE217" i="1"/>
  <c r="FU217" i="1"/>
  <c r="FV217" i="1" s="1"/>
  <c r="FQ217" i="1"/>
  <c r="FR217" i="1" s="1"/>
  <c r="FW217" i="1"/>
  <c r="FX217" i="1" s="1"/>
  <c r="FU167" i="1"/>
  <c r="FV167" i="1" s="1"/>
  <c r="GG167" i="1"/>
  <c r="GH167" i="1" s="1"/>
  <c r="GI167" i="1" s="1"/>
  <c r="FS167" i="1"/>
  <c r="FT167" i="1" s="1"/>
  <c r="FY167" i="1"/>
  <c r="FZ167" i="1" s="1"/>
  <c r="FW167" i="1"/>
  <c r="FX167" i="1" s="1"/>
  <c r="FQ167" i="1"/>
  <c r="FR167" i="1" s="1"/>
  <c r="GD167" i="1"/>
  <c r="GE167" i="1"/>
  <c r="GE281" i="1"/>
  <c r="FS281" i="1"/>
  <c r="FT281" i="1" s="1"/>
  <c r="GG281" i="1"/>
  <c r="GH281" i="1" s="1"/>
  <c r="GI281" i="1" s="1"/>
  <c r="GD281" i="1"/>
  <c r="FQ281" i="1"/>
  <c r="FR281" i="1" s="1"/>
  <c r="FU281" i="1"/>
  <c r="FV281" i="1" s="1"/>
  <c r="FW281" i="1"/>
  <c r="FX281" i="1" s="1"/>
  <c r="FY281" i="1"/>
  <c r="FZ281" i="1" s="1"/>
  <c r="GG294" i="1"/>
  <c r="GH294" i="1" s="1"/>
  <c r="GI294" i="1" s="1"/>
  <c r="FW294" i="1"/>
  <c r="FX294" i="1" s="1"/>
  <c r="FS294" i="1"/>
  <c r="FT294" i="1" s="1"/>
  <c r="FY294" i="1"/>
  <c r="FZ294" i="1" s="1"/>
  <c r="GD294" i="1"/>
  <c r="GE294" i="1"/>
  <c r="FQ294" i="1"/>
  <c r="FR294" i="1" s="1"/>
  <c r="FU294" i="1"/>
  <c r="FV294" i="1" s="1"/>
  <c r="GE41" i="1"/>
  <c r="GA41" i="1"/>
  <c r="GB41" i="1" s="1"/>
  <c r="GD41" i="1"/>
  <c r="FS41" i="1"/>
  <c r="FT41" i="1" s="1"/>
  <c r="FY41" i="1"/>
  <c r="FZ41" i="1" s="1"/>
  <c r="FU41" i="1"/>
  <c r="FV41" i="1" s="1"/>
  <c r="FQ41" i="1"/>
  <c r="FR41" i="1" s="1"/>
  <c r="FW41" i="1"/>
  <c r="FX41" i="1" s="1"/>
  <c r="GG41" i="1"/>
  <c r="GH41" i="1" s="1"/>
  <c r="GI41" i="1" s="1"/>
  <c r="GD224" i="1"/>
  <c r="GG224" i="1"/>
  <c r="GH224" i="1" s="1"/>
  <c r="GI224" i="1" s="1"/>
  <c r="FY224" i="1"/>
  <c r="FZ224" i="1" s="1"/>
  <c r="FS224" i="1"/>
  <c r="FT224" i="1" s="1"/>
  <c r="GE224" i="1"/>
  <c r="FU224" i="1"/>
  <c r="FV224" i="1" s="1"/>
  <c r="FQ224" i="1"/>
  <c r="FR224" i="1" s="1"/>
  <c r="FW224" i="1"/>
  <c r="FX224" i="1" s="1"/>
  <c r="FQ115" i="1"/>
  <c r="FR115" i="1" s="1"/>
  <c r="FW115" i="1"/>
  <c r="FX115" i="1" s="1"/>
  <c r="GG115" i="1"/>
  <c r="GH115" i="1" s="1"/>
  <c r="GI115" i="1" s="1"/>
  <c r="FY115" i="1"/>
  <c r="FZ115" i="1" s="1"/>
  <c r="GD115" i="1"/>
  <c r="FS115" i="1"/>
  <c r="FT115" i="1" s="1"/>
  <c r="GE115" i="1"/>
  <c r="FU115" i="1"/>
  <c r="FV115" i="1" s="1"/>
  <c r="FY232" i="1"/>
  <c r="FZ232" i="1" s="1"/>
  <c r="FS232" i="1"/>
  <c r="FT232" i="1" s="1"/>
  <c r="GE232" i="1"/>
  <c r="FU232" i="1"/>
  <c r="FV232" i="1" s="1"/>
  <c r="FQ232" i="1"/>
  <c r="FR232" i="1" s="1"/>
  <c r="FW232" i="1"/>
  <c r="FX232" i="1" s="1"/>
  <c r="GD232" i="1"/>
  <c r="GG232" i="1"/>
  <c r="GH232" i="1" s="1"/>
  <c r="GI232" i="1" s="1"/>
  <c r="FS164" i="1"/>
  <c r="FT164" i="1" s="1"/>
  <c r="GD164" i="1"/>
  <c r="FW164" i="1"/>
  <c r="FX164" i="1" s="1"/>
  <c r="FU164" i="1"/>
  <c r="FV164" i="1" s="1"/>
  <c r="GE164" i="1"/>
  <c r="GG164" i="1"/>
  <c r="GH164" i="1" s="1"/>
  <c r="GI164" i="1" s="1"/>
  <c r="FQ164" i="1"/>
  <c r="FR164" i="1" s="1"/>
  <c r="FY164" i="1"/>
  <c r="FZ164" i="1" s="1"/>
  <c r="FE126" i="1"/>
  <c r="FD126" i="1"/>
  <c r="FD81" i="1"/>
  <c r="FE81" i="1"/>
  <c r="FE99" i="1"/>
  <c r="FD99" i="1"/>
  <c r="FD252" i="1"/>
  <c r="FE252" i="1"/>
  <c r="FE278" i="1"/>
  <c r="FD278" i="1"/>
  <c r="FW76" i="1"/>
  <c r="FX76" i="1" s="1"/>
  <c r="GG76" i="1"/>
  <c r="GH76" i="1" s="1"/>
  <c r="GI76" i="1" s="1"/>
  <c r="GE76" i="1"/>
  <c r="GD76" i="1"/>
  <c r="FS76" i="1"/>
  <c r="FT76" i="1" s="1"/>
  <c r="FQ76" i="1"/>
  <c r="FR76" i="1" s="1"/>
  <c r="FU76" i="1"/>
  <c r="FV76" i="1" s="1"/>
  <c r="FY76" i="1"/>
  <c r="FZ76" i="1" s="1"/>
  <c r="FQ205" i="1"/>
  <c r="FR205" i="1" s="1"/>
  <c r="FY205" i="1"/>
  <c r="FZ205" i="1" s="1"/>
  <c r="GG205" i="1"/>
  <c r="GH205" i="1" s="1"/>
  <c r="GI205" i="1" s="1"/>
  <c r="FU205" i="1"/>
  <c r="FV205" i="1" s="1"/>
  <c r="GD205" i="1"/>
  <c r="FW205" i="1"/>
  <c r="FX205" i="1" s="1"/>
  <c r="FS205" i="1"/>
  <c r="FT205" i="1" s="1"/>
  <c r="GE205" i="1"/>
  <c r="FW123" i="1"/>
  <c r="FX123" i="1" s="1"/>
  <c r="FQ123" i="1"/>
  <c r="FR123" i="1" s="1"/>
  <c r="GG123" i="1"/>
  <c r="GH123" i="1" s="1"/>
  <c r="GI123" i="1" s="1"/>
  <c r="FS123" i="1"/>
  <c r="FT123" i="1" s="1"/>
  <c r="GD123" i="1"/>
  <c r="GE123" i="1"/>
  <c r="FY123" i="1"/>
  <c r="FZ123" i="1" s="1"/>
  <c r="FU123" i="1"/>
  <c r="FV123" i="1" s="1"/>
  <c r="FS140" i="1"/>
  <c r="FT140" i="1" s="1"/>
  <c r="FU140" i="1"/>
  <c r="FV140" i="1" s="1"/>
  <c r="FY140" i="1"/>
  <c r="FZ140" i="1" s="1"/>
  <c r="GG140" i="1"/>
  <c r="GH140" i="1" s="1"/>
  <c r="GI140" i="1" s="1"/>
  <c r="GD140" i="1"/>
  <c r="GE140" i="1"/>
  <c r="GA140" i="1"/>
  <c r="GB140" i="1" s="1"/>
  <c r="FW140" i="1"/>
  <c r="FX140" i="1" s="1"/>
  <c r="FQ140" i="1"/>
  <c r="FR140" i="1" s="1"/>
  <c r="FD202" i="1"/>
  <c r="FE202" i="1"/>
  <c r="FW50" i="1"/>
  <c r="FX50" i="1" s="1"/>
  <c r="GG50" i="1"/>
  <c r="GH50" i="1" s="1"/>
  <c r="GI50" i="1" s="1"/>
  <c r="GE50" i="1"/>
  <c r="FU50" i="1"/>
  <c r="FV50" i="1" s="1"/>
  <c r="FQ50" i="1"/>
  <c r="FR50" i="1" s="1"/>
  <c r="GD50" i="1"/>
  <c r="FY50" i="1"/>
  <c r="FZ50" i="1" s="1"/>
  <c r="FS50" i="1"/>
  <c r="FT50" i="1" s="1"/>
  <c r="GE149" i="1"/>
  <c r="FW149" i="1"/>
  <c r="FX149" i="1" s="1"/>
  <c r="FS149" i="1"/>
  <c r="FT149" i="1" s="1"/>
  <c r="FY149" i="1"/>
  <c r="FZ149" i="1" s="1"/>
  <c r="GG149" i="1"/>
  <c r="GH149" i="1" s="1"/>
  <c r="GI149" i="1" s="1"/>
  <c r="FQ149" i="1"/>
  <c r="FR149" i="1" s="1"/>
  <c r="GD149" i="1"/>
  <c r="FU149" i="1"/>
  <c r="FV149" i="1" s="1"/>
  <c r="GE291" i="1"/>
  <c r="GD291" i="1"/>
  <c r="GG291" i="1"/>
  <c r="GH291" i="1" s="1"/>
  <c r="GI291" i="1" s="1"/>
  <c r="FQ291" i="1"/>
  <c r="FR291" i="1" s="1"/>
  <c r="FS291" i="1"/>
  <c r="FT291" i="1" s="1"/>
  <c r="FY291" i="1"/>
  <c r="FZ291" i="1" s="1"/>
  <c r="FU291" i="1"/>
  <c r="FV291" i="1" s="1"/>
  <c r="FW291" i="1"/>
  <c r="FX291" i="1" s="1"/>
  <c r="GG188" i="1"/>
  <c r="GH188" i="1" s="1"/>
  <c r="GI188" i="1" s="1"/>
  <c r="GA188" i="1"/>
  <c r="GB188" i="1" s="1"/>
  <c r="FQ188" i="1"/>
  <c r="FR188" i="1" s="1"/>
  <c r="FW188" i="1"/>
  <c r="FX188" i="1" s="1"/>
  <c r="FU188" i="1"/>
  <c r="FV188" i="1" s="1"/>
  <c r="FS188" i="1"/>
  <c r="FT188" i="1" s="1"/>
  <c r="GD188" i="1"/>
  <c r="FY188" i="1"/>
  <c r="FZ188" i="1" s="1"/>
  <c r="GE188" i="1"/>
  <c r="FY55" i="1"/>
  <c r="FZ55" i="1" s="1"/>
  <c r="GD55" i="1"/>
  <c r="FQ55" i="1"/>
  <c r="FR55" i="1" s="1"/>
  <c r="FU55" i="1"/>
  <c r="FV55" i="1" s="1"/>
  <c r="GE55" i="1"/>
  <c r="FS55" i="1"/>
  <c r="FT55" i="1" s="1"/>
  <c r="FW55" i="1"/>
  <c r="FX55" i="1" s="1"/>
  <c r="GG55" i="1"/>
  <c r="GH55" i="1" s="1"/>
  <c r="GI55" i="1" s="1"/>
  <c r="FD7" i="1"/>
  <c r="FE7" i="1"/>
  <c r="FE61" i="1"/>
  <c r="FD61" i="1"/>
  <c r="GG15" i="1"/>
  <c r="GH15" i="1" s="1"/>
  <c r="GI15" i="1" s="1"/>
  <c r="GE15" i="1"/>
  <c r="FS15" i="1"/>
  <c r="FT15" i="1" s="1"/>
  <c r="FW15" i="1"/>
  <c r="FX15" i="1" s="1"/>
  <c r="FQ15" i="1"/>
  <c r="FR15" i="1" s="1"/>
  <c r="FU15" i="1"/>
  <c r="FV15" i="1" s="1"/>
  <c r="FY15" i="1"/>
  <c r="FZ15" i="1" s="1"/>
  <c r="GD15" i="1"/>
  <c r="FQ222" i="1"/>
  <c r="FR222" i="1" s="1"/>
  <c r="FW222" i="1"/>
  <c r="FX222" i="1" s="1"/>
  <c r="GG222" i="1"/>
  <c r="GH222" i="1" s="1"/>
  <c r="GI222" i="1" s="1"/>
  <c r="FY222" i="1"/>
  <c r="FZ222" i="1" s="1"/>
  <c r="FS222" i="1"/>
  <c r="FT222" i="1" s="1"/>
  <c r="GE222" i="1"/>
  <c r="GD222" i="1"/>
  <c r="FU222" i="1"/>
  <c r="FV222" i="1" s="1"/>
  <c r="FS195" i="1"/>
  <c r="FT195" i="1" s="1"/>
  <c r="FW195" i="1"/>
  <c r="FX195" i="1" s="1"/>
  <c r="GE195" i="1"/>
  <c r="FY195" i="1"/>
  <c r="FZ195" i="1" s="1"/>
  <c r="FU195" i="1"/>
  <c r="FV195" i="1" s="1"/>
  <c r="FQ195" i="1"/>
  <c r="FR195" i="1" s="1"/>
  <c r="GD195" i="1"/>
  <c r="GG195" i="1"/>
  <c r="GH195" i="1" s="1"/>
  <c r="GI195" i="1" s="1"/>
  <c r="GD189" i="1"/>
  <c r="GG189" i="1"/>
  <c r="GH189" i="1" s="1"/>
  <c r="GI189" i="1" s="1"/>
  <c r="FQ189" i="1"/>
  <c r="FR189" i="1" s="1"/>
  <c r="FU189" i="1"/>
  <c r="FV189" i="1" s="1"/>
  <c r="FS189" i="1"/>
  <c r="FT189" i="1" s="1"/>
  <c r="FW189" i="1"/>
  <c r="FX189" i="1" s="1"/>
  <c r="GE189" i="1"/>
  <c r="FY189" i="1"/>
  <c r="FZ189" i="1" s="1"/>
  <c r="FQ209" i="1"/>
  <c r="FR209" i="1" s="1"/>
  <c r="FW209" i="1"/>
  <c r="FX209" i="1" s="1"/>
  <c r="GE209" i="1"/>
  <c r="FS209" i="1"/>
  <c r="FT209" i="1" s="1"/>
  <c r="GG209" i="1"/>
  <c r="GH209" i="1" s="1"/>
  <c r="GI209" i="1" s="1"/>
  <c r="GD209" i="1"/>
  <c r="FU209" i="1"/>
  <c r="FV209" i="1" s="1"/>
  <c r="FY209" i="1"/>
  <c r="FZ209" i="1" s="1"/>
  <c r="GG59" i="1"/>
  <c r="GH59" i="1" s="1"/>
  <c r="GI59" i="1" s="1"/>
  <c r="FU59" i="1"/>
  <c r="FV59" i="1" s="1"/>
  <c r="GD59" i="1"/>
  <c r="FY59" i="1"/>
  <c r="FZ59" i="1" s="1"/>
  <c r="GE59" i="1"/>
  <c r="FQ59" i="1"/>
  <c r="FR59" i="1" s="1"/>
  <c r="FW59" i="1"/>
  <c r="FX59" i="1" s="1"/>
  <c r="FS59" i="1"/>
  <c r="FT59" i="1" s="1"/>
  <c r="FU116" i="1"/>
  <c r="FV116" i="1" s="1"/>
  <c r="FQ270" i="1"/>
  <c r="FR270" i="1" s="1"/>
  <c r="FW270" i="1"/>
  <c r="FX270" i="1" s="1"/>
  <c r="GG270" i="1"/>
  <c r="GH270" i="1" s="1"/>
  <c r="GI270" i="1" s="1"/>
  <c r="FY270" i="1"/>
  <c r="FZ270" i="1" s="1"/>
  <c r="FS270" i="1"/>
  <c r="FT270" i="1" s="1"/>
  <c r="GE270" i="1"/>
  <c r="GD270" i="1"/>
  <c r="FU270" i="1"/>
  <c r="FV270" i="1" s="1"/>
  <c r="FS259" i="1"/>
  <c r="FT259" i="1" s="1"/>
  <c r="GD259" i="1"/>
  <c r="FY259" i="1"/>
  <c r="FZ259" i="1" s="1"/>
  <c r="FW259" i="1"/>
  <c r="FX259" i="1" s="1"/>
  <c r="GG259" i="1"/>
  <c r="GH259" i="1" s="1"/>
  <c r="GI259" i="1" s="1"/>
  <c r="FU259" i="1"/>
  <c r="FV259" i="1" s="1"/>
  <c r="FQ259" i="1"/>
  <c r="FR259" i="1" s="1"/>
  <c r="GE259" i="1"/>
  <c r="FD104" i="1"/>
  <c r="FE104" i="1"/>
  <c r="FD250" i="1"/>
  <c r="FE250" i="1"/>
  <c r="GD58" i="1"/>
  <c r="FU58" i="1"/>
  <c r="FV58" i="1" s="1"/>
  <c r="FQ58" i="1"/>
  <c r="FR58" i="1" s="1"/>
  <c r="FW58" i="1"/>
  <c r="FX58" i="1" s="1"/>
  <c r="FS58" i="1"/>
  <c r="FT58" i="1" s="1"/>
  <c r="GG58" i="1"/>
  <c r="GH58" i="1" s="1"/>
  <c r="GI58" i="1" s="1"/>
  <c r="GE58" i="1"/>
  <c r="FY58" i="1"/>
  <c r="FZ58" i="1" s="1"/>
  <c r="GE289" i="1"/>
  <c r="FW289" i="1"/>
  <c r="FX289" i="1" s="1"/>
  <c r="GG289" i="1"/>
  <c r="GH289" i="1" s="1"/>
  <c r="GI289" i="1" s="1"/>
  <c r="GD289" i="1"/>
  <c r="FS289" i="1"/>
  <c r="FT289" i="1" s="1"/>
  <c r="FU289" i="1"/>
  <c r="FV289" i="1" s="1"/>
  <c r="FQ289" i="1"/>
  <c r="FR289" i="1" s="1"/>
  <c r="FY289" i="1"/>
  <c r="FZ289" i="1" s="1"/>
  <c r="FY248" i="1"/>
  <c r="FZ248" i="1" s="1"/>
  <c r="FQ248" i="1"/>
  <c r="FR248" i="1" s="1"/>
  <c r="GE248" i="1"/>
  <c r="FS248" i="1"/>
  <c r="FT248" i="1" s="1"/>
  <c r="GG248" i="1"/>
  <c r="GH248" i="1" s="1"/>
  <c r="GI248" i="1" s="1"/>
  <c r="GD248" i="1"/>
  <c r="FW248" i="1"/>
  <c r="FX248" i="1" s="1"/>
  <c r="GA248" i="1"/>
  <c r="GB248" i="1" s="1"/>
  <c r="FU248" i="1"/>
  <c r="FV248" i="1" s="1"/>
  <c r="FU165" i="1"/>
  <c r="FV165" i="1" s="1"/>
  <c r="FW165" i="1"/>
  <c r="FX165" i="1" s="1"/>
  <c r="FQ165" i="1"/>
  <c r="FR165" i="1" s="1"/>
  <c r="GE165" i="1"/>
  <c r="GD165" i="1"/>
  <c r="GG165" i="1"/>
  <c r="GH165" i="1" s="1"/>
  <c r="GI165" i="1" s="1"/>
  <c r="FS165" i="1"/>
  <c r="FT165" i="1" s="1"/>
  <c r="FY165" i="1"/>
  <c r="FZ165" i="1" s="1"/>
  <c r="GG19" i="1"/>
  <c r="GH19" i="1" s="1"/>
  <c r="GI19" i="1" s="1"/>
  <c r="FW19" i="1"/>
  <c r="FX19" i="1" s="1"/>
  <c r="FU19" i="1"/>
  <c r="FV19" i="1" s="1"/>
  <c r="FQ19" i="1"/>
  <c r="FR19" i="1" s="1"/>
  <c r="FS19" i="1"/>
  <c r="FT19" i="1" s="1"/>
  <c r="FY19" i="1"/>
  <c r="FZ19" i="1" s="1"/>
  <c r="GD19" i="1"/>
  <c r="GE19" i="1"/>
  <c r="GG12" i="1"/>
  <c r="GH12" i="1" s="1"/>
  <c r="GI12" i="1" s="1"/>
  <c r="GD12" i="1"/>
  <c r="FS12" i="1"/>
  <c r="FT12" i="1" s="1"/>
  <c r="GE12" i="1"/>
  <c r="FQ12" i="1"/>
  <c r="FR12" i="1" s="1"/>
  <c r="FU12" i="1"/>
  <c r="FV12" i="1" s="1"/>
  <c r="FY12" i="1"/>
  <c r="FZ12" i="1" s="1"/>
  <c r="FW12" i="1"/>
  <c r="FX12" i="1" s="1"/>
  <c r="FS134" i="1"/>
  <c r="FT134" i="1" s="1"/>
  <c r="GA134" i="1"/>
  <c r="GB134" i="1" s="1"/>
  <c r="FU134" i="1"/>
  <c r="FV134" i="1" s="1"/>
  <c r="GG134" i="1"/>
  <c r="GH134" i="1" s="1"/>
  <c r="GI134" i="1" s="1"/>
  <c r="GD134" i="1"/>
  <c r="GE134" i="1"/>
  <c r="FQ134" i="1"/>
  <c r="FR134" i="1" s="1"/>
  <c r="FY134" i="1"/>
  <c r="FZ134" i="1" s="1"/>
  <c r="FW134" i="1"/>
  <c r="FX134" i="1" s="1"/>
  <c r="FU158" i="1"/>
  <c r="FV158" i="1" s="1"/>
  <c r="FY158" i="1"/>
  <c r="FZ158" i="1" s="1"/>
  <c r="GD158" i="1"/>
  <c r="GG158" i="1"/>
  <c r="GH158" i="1" s="1"/>
  <c r="GI158" i="1" s="1"/>
  <c r="FS158" i="1"/>
  <c r="FT158" i="1" s="1"/>
  <c r="FW158" i="1"/>
  <c r="FX158" i="1" s="1"/>
  <c r="FQ158" i="1"/>
  <c r="FR158" i="1" s="1"/>
  <c r="GE158" i="1"/>
  <c r="GA158" i="1"/>
  <c r="GB158" i="1" s="1"/>
  <c r="GE293" i="1"/>
  <c r="GG293" i="1"/>
  <c r="GH293" i="1" s="1"/>
  <c r="GI293" i="1" s="1"/>
  <c r="FW293" i="1"/>
  <c r="FX293" i="1" s="1"/>
  <c r="FQ293" i="1"/>
  <c r="FR293" i="1" s="1"/>
  <c r="FS293" i="1"/>
  <c r="FT293" i="1" s="1"/>
  <c r="GD293" i="1"/>
  <c r="FY293" i="1"/>
  <c r="FZ293" i="1" s="1"/>
  <c r="FU293" i="1"/>
  <c r="FV293" i="1" s="1"/>
  <c r="FQ250" i="1"/>
  <c r="FR250" i="1" s="1"/>
  <c r="FU250" i="1"/>
  <c r="FV250" i="1" s="1"/>
  <c r="FY250" i="1"/>
  <c r="FZ250" i="1" s="1"/>
  <c r="GE250" i="1"/>
  <c r="FS250" i="1"/>
  <c r="FT250" i="1" s="1"/>
  <c r="GG250" i="1"/>
  <c r="GH250" i="1" s="1"/>
  <c r="GI250" i="1" s="1"/>
  <c r="GD250" i="1"/>
  <c r="FW250" i="1"/>
  <c r="FX250" i="1" s="1"/>
  <c r="FS105" i="1"/>
  <c r="FT105" i="1" s="1"/>
  <c r="GE279" i="1"/>
  <c r="GG279" i="1"/>
  <c r="GH279" i="1" s="1"/>
  <c r="GI279" i="1" s="1"/>
  <c r="FS279" i="1"/>
  <c r="FT279" i="1" s="1"/>
  <c r="GD279" i="1"/>
  <c r="FU279" i="1"/>
  <c r="FV279" i="1" s="1"/>
  <c r="FQ279" i="1"/>
  <c r="FR279" i="1" s="1"/>
  <c r="FW279" i="1"/>
  <c r="FX279" i="1" s="1"/>
  <c r="FY279" i="1"/>
  <c r="FZ279" i="1" s="1"/>
  <c r="GD264" i="1"/>
  <c r="GA264" i="1"/>
  <c r="GB264" i="1" s="1"/>
  <c r="FU264" i="1"/>
  <c r="FV264" i="1" s="1"/>
  <c r="FW264" i="1"/>
  <c r="FX264" i="1" s="1"/>
  <c r="GG264" i="1"/>
  <c r="GH264" i="1" s="1"/>
  <c r="GI264" i="1" s="1"/>
  <c r="GE264" i="1"/>
  <c r="FQ264" i="1"/>
  <c r="FR264" i="1" s="1"/>
  <c r="FY264" i="1"/>
  <c r="FZ264" i="1" s="1"/>
  <c r="FS264" i="1"/>
  <c r="FT264" i="1" s="1"/>
  <c r="FW43" i="1"/>
  <c r="FX43" i="1" s="1"/>
  <c r="GG43" i="1"/>
  <c r="GH43" i="1" s="1"/>
  <c r="GI43" i="1" s="1"/>
  <c r="FY43" i="1"/>
  <c r="FZ43" i="1" s="1"/>
  <c r="FQ43" i="1"/>
  <c r="FR43" i="1" s="1"/>
  <c r="GD43" i="1"/>
  <c r="GE43" i="1"/>
  <c r="FS43" i="1"/>
  <c r="FT43" i="1" s="1"/>
  <c r="FU43" i="1"/>
  <c r="FV43" i="1" s="1"/>
  <c r="FU207" i="1"/>
  <c r="FV207" i="1" s="1"/>
  <c r="GG207" i="1"/>
  <c r="GH207" i="1" s="1"/>
  <c r="GI207" i="1" s="1"/>
  <c r="FY207" i="1"/>
  <c r="FZ207" i="1" s="1"/>
  <c r="FS207" i="1"/>
  <c r="FT207" i="1" s="1"/>
  <c r="FQ207" i="1"/>
  <c r="FR207" i="1" s="1"/>
  <c r="GD207" i="1"/>
  <c r="FW207" i="1"/>
  <c r="FX207" i="1" s="1"/>
  <c r="GE207" i="1"/>
  <c r="GD16" i="1"/>
  <c r="FS16" i="1"/>
  <c r="FT16" i="1" s="1"/>
  <c r="FY16" i="1"/>
  <c r="FZ16" i="1" s="1"/>
  <c r="GE16" i="1"/>
  <c r="GG16" i="1"/>
  <c r="GH16" i="1" s="1"/>
  <c r="GI16" i="1" s="1"/>
  <c r="FU16" i="1"/>
  <c r="FV16" i="1" s="1"/>
  <c r="FQ16" i="1"/>
  <c r="FR16" i="1" s="1"/>
  <c r="FW16" i="1"/>
  <c r="FX16" i="1" s="1"/>
  <c r="GE269" i="1"/>
  <c r="GG269" i="1"/>
  <c r="GH269" i="1" s="1"/>
  <c r="GI269" i="1" s="1"/>
  <c r="FS269" i="1"/>
  <c r="FT269" i="1" s="1"/>
  <c r="FQ269" i="1"/>
  <c r="FR269" i="1" s="1"/>
  <c r="GD269" i="1"/>
  <c r="FY269" i="1"/>
  <c r="FZ269" i="1" s="1"/>
  <c r="FU269" i="1"/>
  <c r="FV269" i="1" s="1"/>
  <c r="FW269" i="1"/>
  <c r="FX269" i="1" s="1"/>
  <c r="FE181" i="1"/>
  <c r="FD181" i="1"/>
  <c r="FD180" i="1"/>
  <c r="FE180" i="1"/>
  <c r="FE56" i="1"/>
  <c r="FD56" i="1"/>
  <c r="GE73" i="1"/>
  <c r="GD73" i="1"/>
  <c r="FS73" i="1"/>
  <c r="FT73" i="1" s="1"/>
  <c r="FQ73" i="1"/>
  <c r="FR73" i="1" s="1"/>
  <c r="FU73" i="1"/>
  <c r="FV73" i="1" s="1"/>
  <c r="FY73" i="1"/>
  <c r="FZ73" i="1" s="1"/>
  <c r="FW73" i="1"/>
  <c r="FX73" i="1" s="1"/>
  <c r="GG73" i="1"/>
  <c r="GH73" i="1" s="1"/>
  <c r="GI73" i="1" s="1"/>
  <c r="FR118" i="1"/>
  <c r="FW117" i="1"/>
  <c r="FX117" i="1" s="1"/>
  <c r="GG117" i="1"/>
  <c r="GH117" i="1" s="1"/>
  <c r="GI117" i="1" s="1"/>
  <c r="FY117" i="1"/>
  <c r="FZ117" i="1" s="1"/>
  <c r="FS117" i="1"/>
  <c r="FT117" i="1" s="1"/>
  <c r="GD117" i="1"/>
  <c r="GE117" i="1"/>
  <c r="FU117" i="1"/>
  <c r="FV117" i="1" s="1"/>
  <c r="FQ117" i="1"/>
  <c r="FR117" i="1" s="1"/>
  <c r="FE171" i="1"/>
  <c r="FD171" i="1"/>
  <c r="FS212" i="1"/>
  <c r="FT212" i="1" s="1"/>
  <c r="FQ212" i="1"/>
  <c r="FR212" i="1" s="1"/>
  <c r="GD212" i="1"/>
  <c r="FU212" i="1"/>
  <c r="FV212" i="1" s="1"/>
  <c r="FW212" i="1"/>
  <c r="FX212" i="1" s="1"/>
  <c r="FY212" i="1"/>
  <c r="FZ212" i="1" s="1"/>
  <c r="GG212" i="1"/>
  <c r="GH212" i="1" s="1"/>
  <c r="GI212" i="1" s="1"/>
  <c r="GE212" i="1"/>
  <c r="GE233" i="1"/>
  <c r="FU233" i="1"/>
  <c r="FV233" i="1" s="1"/>
  <c r="FQ233" i="1"/>
  <c r="FR233" i="1" s="1"/>
  <c r="FW233" i="1"/>
  <c r="FX233" i="1" s="1"/>
  <c r="GG233" i="1"/>
  <c r="GH233" i="1" s="1"/>
  <c r="GI233" i="1" s="1"/>
  <c r="FY233" i="1"/>
  <c r="FZ233" i="1" s="1"/>
  <c r="GD233" i="1"/>
  <c r="FS233" i="1"/>
  <c r="FT233" i="1" s="1"/>
  <c r="GG298" i="1"/>
  <c r="GH298" i="1" s="1"/>
  <c r="GI298" i="1" s="1"/>
  <c r="FY298" i="1"/>
  <c r="FZ298" i="1" s="1"/>
  <c r="FS298" i="1"/>
  <c r="FT298" i="1" s="1"/>
  <c r="GE298" i="1"/>
  <c r="GD298" i="1"/>
  <c r="FU298" i="1"/>
  <c r="FV298" i="1" s="1"/>
  <c r="FQ298" i="1"/>
  <c r="FR298" i="1" s="1"/>
  <c r="FW298" i="1"/>
  <c r="FX298" i="1" s="1"/>
  <c r="FP2" i="1"/>
  <c r="EE2" i="1"/>
  <c r="ET2" i="1" s="1"/>
  <c r="FC2" i="1" s="1"/>
  <c r="FE2" i="1" s="1"/>
  <c r="GD79" i="1" l="1"/>
  <c r="GE79" i="1"/>
  <c r="FD144" i="1"/>
  <c r="FF144" i="1" s="1"/>
  <c r="FG144" i="1" s="1"/>
  <c r="FH144" i="1" s="1"/>
  <c r="FI144" i="1" s="1"/>
  <c r="FK144" i="1" s="1"/>
  <c r="FS79" i="1"/>
  <c r="FT79" i="1" s="1"/>
  <c r="GG79" i="1"/>
  <c r="GH79" i="1" s="1"/>
  <c r="GI79" i="1" s="1"/>
  <c r="FD41" i="1"/>
  <c r="FF41" i="1" s="1"/>
  <c r="FG41" i="1" s="1"/>
  <c r="FH41" i="1" s="1"/>
  <c r="FI41" i="1" s="1"/>
  <c r="FK41" i="1" s="1"/>
  <c r="FY79" i="1"/>
  <c r="FZ79" i="1" s="1"/>
  <c r="FQ79" i="1"/>
  <c r="FR79" i="1" s="1"/>
  <c r="FW79" i="1"/>
  <c r="FX79" i="1" s="1"/>
  <c r="GA79" i="1"/>
  <c r="GB79" i="1" s="1"/>
  <c r="FD272" i="1"/>
  <c r="FF272" i="1" s="1"/>
  <c r="FG272" i="1" s="1"/>
  <c r="FH272" i="1" s="1"/>
  <c r="FI272" i="1" s="1"/>
  <c r="FK272" i="1" s="1"/>
  <c r="FE258" i="1"/>
  <c r="FF258" i="1" s="1"/>
  <c r="FG258" i="1" s="1"/>
  <c r="FH258" i="1" s="1"/>
  <c r="FI258" i="1" s="1"/>
  <c r="FK258" i="1" s="1"/>
  <c r="FQ257" i="1"/>
  <c r="FR257" i="1" s="1"/>
  <c r="GG257" i="1"/>
  <c r="GH257" i="1" s="1"/>
  <c r="GI257" i="1" s="1"/>
  <c r="GA257" i="1"/>
  <c r="GB257" i="1" s="1"/>
  <c r="FE285" i="1"/>
  <c r="FF285" i="1" s="1"/>
  <c r="FG285" i="1" s="1"/>
  <c r="FH285" i="1" s="1"/>
  <c r="FI285" i="1" s="1"/>
  <c r="FK285" i="1" s="1"/>
  <c r="GD257" i="1"/>
  <c r="FS257" i="1"/>
  <c r="FT257" i="1" s="1"/>
  <c r="FQ197" i="1"/>
  <c r="FR197" i="1" s="1"/>
  <c r="FY257" i="1"/>
  <c r="FZ257" i="1" s="1"/>
  <c r="FD215" i="1"/>
  <c r="FF215" i="1" s="1"/>
  <c r="FG215" i="1" s="1"/>
  <c r="FH215" i="1" s="1"/>
  <c r="FI215" i="1" s="1"/>
  <c r="FK215" i="1" s="1"/>
  <c r="GD125" i="1"/>
  <c r="FW160" i="1"/>
  <c r="FX160" i="1" s="1"/>
  <c r="GE125" i="1"/>
  <c r="GD118" i="1"/>
  <c r="GE118" i="1"/>
  <c r="FU118" i="1"/>
  <c r="FV118" i="1" s="1"/>
  <c r="FY160" i="1"/>
  <c r="FZ160" i="1" s="1"/>
  <c r="GE116" i="1"/>
  <c r="FS116" i="1"/>
  <c r="FT116" i="1" s="1"/>
  <c r="GE257" i="1"/>
  <c r="FU125" i="1"/>
  <c r="FV125" i="1" s="1"/>
  <c r="GE160" i="1"/>
  <c r="FY116" i="1"/>
  <c r="FZ116" i="1" s="1"/>
  <c r="FY118" i="1"/>
  <c r="FZ118" i="1" s="1"/>
  <c r="FS118" i="1"/>
  <c r="FT118" i="1" s="1"/>
  <c r="GD160" i="1"/>
  <c r="FY125" i="1"/>
  <c r="FZ125" i="1" s="1"/>
  <c r="GG116" i="1"/>
  <c r="GH116" i="1" s="1"/>
  <c r="GI116" i="1" s="1"/>
  <c r="FS125" i="1"/>
  <c r="FT125" i="1" s="1"/>
  <c r="GG160" i="1"/>
  <c r="GH160" i="1" s="1"/>
  <c r="GI160" i="1" s="1"/>
  <c r="FU160" i="1"/>
  <c r="FV160" i="1" s="1"/>
  <c r="GD116" i="1"/>
  <c r="FD224" i="1"/>
  <c r="FF224" i="1" s="1"/>
  <c r="FG224" i="1" s="1"/>
  <c r="FH224" i="1" s="1"/>
  <c r="FI224" i="1" s="1"/>
  <c r="FK224" i="1" s="1"/>
  <c r="FW116" i="1"/>
  <c r="FX116" i="1" s="1"/>
  <c r="GG125" i="1"/>
  <c r="GH125" i="1" s="1"/>
  <c r="GI125" i="1" s="1"/>
  <c r="FW118" i="1"/>
  <c r="FX118" i="1" s="1"/>
  <c r="GG118" i="1"/>
  <c r="GH118" i="1" s="1"/>
  <c r="GI118" i="1" s="1"/>
  <c r="FQ160" i="1"/>
  <c r="FR160" i="1" s="1"/>
  <c r="FW125" i="1"/>
  <c r="FX125" i="1" s="1"/>
  <c r="FW173" i="1"/>
  <c r="FX173" i="1" s="1"/>
  <c r="FD23" i="1"/>
  <c r="FF23" i="1" s="1"/>
  <c r="FG23" i="1" s="1"/>
  <c r="FH23" i="1" s="1"/>
  <c r="FI23" i="1" s="1"/>
  <c r="FK23" i="1" s="1"/>
  <c r="FU173" i="1"/>
  <c r="FV173" i="1" s="1"/>
  <c r="GD173" i="1"/>
  <c r="FS173" i="1"/>
  <c r="FT173" i="1" s="1"/>
  <c r="GE173" i="1"/>
  <c r="FY173" i="1"/>
  <c r="FZ173" i="1" s="1"/>
  <c r="FD46" i="1"/>
  <c r="FF46" i="1" s="1"/>
  <c r="FG46" i="1" s="1"/>
  <c r="FH46" i="1" s="1"/>
  <c r="FI46" i="1" s="1"/>
  <c r="FK46" i="1" s="1"/>
  <c r="FQ173" i="1"/>
  <c r="FR173" i="1" s="1"/>
  <c r="FD37" i="1"/>
  <c r="FF37" i="1" s="1"/>
  <c r="FG37" i="1" s="1"/>
  <c r="FH37" i="1" s="1"/>
  <c r="FI37" i="1" s="1"/>
  <c r="FK37" i="1" s="1"/>
  <c r="GA261" i="1"/>
  <c r="GB261" i="1" s="1"/>
  <c r="GC261" i="1" s="1"/>
  <c r="GF261" i="1" s="1"/>
  <c r="GJ261" i="1" s="1"/>
  <c r="GK261" i="1" s="1"/>
  <c r="FE241" i="1"/>
  <c r="FD291" i="1"/>
  <c r="GG99" i="1"/>
  <c r="GH99" i="1" s="1"/>
  <c r="GI99" i="1" s="1"/>
  <c r="GC303" i="1"/>
  <c r="GF303" i="1" s="1"/>
  <c r="GJ303" i="1" s="1"/>
  <c r="GK303" i="1" s="1"/>
  <c r="FD196" i="1"/>
  <c r="FF196" i="1" s="1"/>
  <c r="FG196" i="1" s="1"/>
  <c r="FH196" i="1" s="1"/>
  <c r="FI196" i="1" s="1"/>
  <c r="FK196" i="1" s="1"/>
  <c r="GG105" i="1"/>
  <c r="GH105" i="1" s="1"/>
  <c r="GI105" i="1" s="1"/>
  <c r="FY273" i="1"/>
  <c r="FZ273" i="1" s="1"/>
  <c r="FY197" i="1"/>
  <c r="FZ197" i="1" s="1"/>
  <c r="GG273" i="1"/>
  <c r="GH273" i="1" s="1"/>
  <c r="GI273" i="1" s="1"/>
  <c r="FQ273" i="1"/>
  <c r="FR273" i="1" s="1"/>
  <c r="FU273" i="1"/>
  <c r="FV273" i="1" s="1"/>
  <c r="GE273" i="1"/>
  <c r="GE197" i="1"/>
  <c r="GD273" i="1"/>
  <c r="FW273" i="1"/>
  <c r="FX273" i="1" s="1"/>
  <c r="FU197" i="1"/>
  <c r="FV197" i="1" s="1"/>
  <c r="GG197" i="1"/>
  <c r="GH197" i="1" s="1"/>
  <c r="GI197" i="1" s="1"/>
  <c r="GD197" i="1"/>
  <c r="GD105" i="1"/>
  <c r="FY105" i="1"/>
  <c r="FZ105" i="1" s="1"/>
  <c r="FW197" i="1"/>
  <c r="FX197" i="1" s="1"/>
  <c r="FQ105" i="1"/>
  <c r="FR105" i="1" s="1"/>
  <c r="GD99" i="1"/>
  <c r="FW105" i="1"/>
  <c r="FX105" i="1" s="1"/>
  <c r="GE105" i="1"/>
  <c r="FQ99" i="1"/>
  <c r="FR99" i="1" s="1"/>
  <c r="GE99" i="1"/>
  <c r="FW99" i="1"/>
  <c r="FX99" i="1" s="1"/>
  <c r="FY99" i="1"/>
  <c r="FZ99" i="1" s="1"/>
  <c r="FS99" i="1"/>
  <c r="FT99" i="1" s="1"/>
  <c r="GG94" i="1"/>
  <c r="GH94" i="1" s="1"/>
  <c r="GI94" i="1" s="1"/>
  <c r="FD28" i="1"/>
  <c r="FF28" i="1" s="1"/>
  <c r="FG28" i="1" s="1"/>
  <c r="FH28" i="1" s="1"/>
  <c r="FI28" i="1" s="1"/>
  <c r="FK28" i="1" s="1"/>
  <c r="GE267" i="1"/>
  <c r="FY267" i="1"/>
  <c r="FZ267" i="1" s="1"/>
  <c r="FW262" i="1"/>
  <c r="FX262" i="1" s="1"/>
  <c r="GE262" i="1"/>
  <c r="FE133" i="1"/>
  <c r="FF133" i="1" s="1"/>
  <c r="FG133" i="1" s="1"/>
  <c r="FH133" i="1" s="1"/>
  <c r="FI133" i="1" s="1"/>
  <c r="FK133" i="1" s="1"/>
  <c r="FW94" i="1"/>
  <c r="FX94" i="1" s="1"/>
  <c r="FD147" i="1"/>
  <c r="FF147" i="1" s="1"/>
  <c r="FG147" i="1" s="1"/>
  <c r="FH147" i="1" s="1"/>
  <c r="FI147" i="1" s="1"/>
  <c r="FK147" i="1" s="1"/>
  <c r="FU94" i="1"/>
  <c r="FV94" i="1" s="1"/>
  <c r="GE94" i="1"/>
  <c r="FD39" i="1"/>
  <c r="FF39" i="1" s="1"/>
  <c r="FG39" i="1" s="1"/>
  <c r="FH39" i="1" s="1"/>
  <c r="FI39" i="1" s="1"/>
  <c r="FK39" i="1" s="1"/>
  <c r="FD138" i="1"/>
  <c r="FF138" i="1" s="1"/>
  <c r="FG138" i="1" s="1"/>
  <c r="FH138" i="1" s="1"/>
  <c r="FI138" i="1" s="1"/>
  <c r="FK138" i="1" s="1"/>
  <c r="FE286" i="1"/>
  <c r="FF286" i="1" s="1"/>
  <c r="FG286" i="1" s="1"/>
  <c r="FH286" i="1" s="1"/>
  <c r="FI286" i="1" s="1"/>
  <c r="FK286" i="1" s="1"/>
  <c r="FD42" i="1"/>
  <c r="FF42" i="1" s="1"/>
  <c r="FG42" i="1" s="1"/>
  <c r="FH42" i="1" s="1"/>
  <c r="FI42" i="1" s="1"/>
  <c r="FK42" i="1" s="1"/>
  <c r="FY262" i="1"/>
  <c r="FZ262" i="1" s="1"/>
  <c r="FU262" i="1"/>
  <c r="FV262" i="1" s="1"/>
  <c r="FD9" i="1"/>
  <c r="FF9" i="1" s="1"/>
  <c r="FG9" i="1" s="1"/>
  <c r="FH9" i="1" s="1"/>
  <c r="FI9" i="1" s="1"/>
  <c r="FK9" i="1" s="1"/>
  <c r="GE36" i="1"/>
  <c r="GA69" i="1"/>
  <c r="GB69" i="1" s="1"/>
  <c r="GC69" i="1" s="1"/>
  <c r="GF69" i="1" s="1"/>
  <c r="GJ69" i="1" s="1"/>
  <c r="GK69" i="1" s="1"/>
  <c r="GL69" i="1" s="1"/>
  <c r="GM69" i="1" s="1"/>
  <c r="FE88" i="1"/>
  <c r="FF88" i="1" s="1"/>
  <c r="FG88" i="1" s="1"/>
  <c r="FH88" i="1" s="1"/>
  <c r="FI88" i="1" s="1"/>
  <c r="FK88" i="1" s="1"/>
  <c r="FE204" i="1"/>
  <c r="FF204" i="1" s="1"/>
  <c r="FG204" i="1" s="1"/>
  <c r="FH204" i="1" s="1"/>
  <c r="FI204" i="1" s="1"/>
  <c r="FK204" i="1" s="1"/>
  <c r="FD86" i="1"/>
  <c r="FF86" i="1" s="1"/>
  <c r="FG86" i="1" s="1"/>
  <c r="FH86" i="1" s="1"/>
  <c r="FI86" i="1" s="1"/>
  <c r="FK86" i="1" s="1"/>
  <c r="FE38" i="1"/>
  <c r="FF38" i="1" s="1"/>
  <c r="FG38" i="1" s="1"/>
  <c r="FH38" i="1" s="1"/>
  <c r="FI38" i="1" s="1"/>
  <c r="FK38" i="1" s="1"/>
  <c r="FW124" i="1"/>
  <c r="FX124" i="1" s="1"/>
  <c r="GE124" i="1"/>
  <c r="FE131" i="1"/>
  <c r="GG36" i="1"/>
  <c r="GH36" i="1" s="1"/>
  <c r="GI36" i="1" s="1"/>
  <c r="FQ236" i="1"/>
  <c r="FR236" i="1" s="1"/>
  <c r="FS236" i="1"/>
  <c r="FT236" i="1" s="1"/>
  <c r="FS267" i="1"/>
  <c r="FT267" i="1" s="1"/>
  <c r="FU36" i="1"/>
  <c r="FV36" i="1" s="1"/>
  <c r="GD236" i="1"/>
  <c r="FY36" i="1"/>
  <c r="FZ36" i="1" s="1"/>
  <c r="GE236" i="1"/>
  <c r="FS262" i="1"/>
  <c r="FT262" i="1" s="1"/>
  <c r="FU236" i="1"/>
  <c r="FV236" i="1" s="1"/>
  <c r="FS36" i="1"/>
  <c r="FT36" i="1" s="1"/>
  <c r="FQ36" i="1"/>
  <c r="FR36" i="1" s="1"/>
  <c r="GG262" i="1"/>
  <c r="GH262" i="1" s="1"/>
  <c r="GI262" i="1" s="1"/>
  <c r="FW236" i="1"/>
  <c r="FX236" i="1" s="1"/>
  <c r="FW36" i="1"/>
  <c r="FX36" i="1" s="1"/>
  <c r="FY236" i="1"/>
  <c r="FZ236" i="1" s="1"/>
  <c r="FQ262" i="1"/>
  <c r="FR262" i="1" s="1"/>
  <c r="GG124" i="1"/>
  <c r="GH124" i="1" s="1"/>
  <c r="GI124" i="1" s="1"/>
  <c r="FQ124" i="1"/>
  <c r="FR124" i="1" s="1"/>
  <c r="FY124" i="1"/>
  <c r="FZ124" i="1" s="1"/>
  <c r="GD124" i="1"/>
  <c r="FU124" i="1"/>
  <c r="FV124" i="1" s="1"/>
  <c r="FD12" i="1"/>
  <c r="FF12" i="1" s="1"/>
  <c r="FG12" i="1" s="1"/>
  <c r="FH12" i="1" s="1"/>
  <c r="FI12" i="1" s="1"/>
  <c r="FK12" i="1" s="1"/>
  <c r="FD184" i="1"/>
  <c r="FF184" i="1" s="1"/>
  <c r="FG184" i="1" s="1"/>
  <c r="FH184" i="1" s="1"/>
  <c r="FI184" i="1" s="1"/>
  <c r="FK184" i="1" s="1"/>
  <c r="FD57" i="1"/>
  <c r="FF57" i="1" s="1"/>
  <c r="FG57" i="1" s="1"/>
  <c r="FH57" i="1" s="1"/>
  <c r="FI57" i="1" s="1"/>
  <c r="FK57" i="1" s="1"/>
  <c r="FE20" i="1"/>
  <c r="FF20" i="1" s="1"/>
  <c r="FG20" i="1" s="1"/>
  <c r="FH20" i="1" s="1"/>
  <c r="FI20" i="1" s="1"/>
  <c r="FK20" i="1" s="1"/>
  <c r="FU74" i="1"/>
  <c r="FV74" i="1" s="1"/>
  <c r="FY266" i="1"/>
  <c r="FZ266" i="1" s="1"/>
  <c r="FD152" i="1"/>
  <c r="FF152" i="1" s="1"/>
  <c r="FG152" i="1" s="1"/>
  <c r="FH152" i="1" s="1"/>
  <c r="FI152" i="1" s="1"/>
  <c r="FK152" i="1" s="1"/>
  <c r="FD245" i="1"/>
  <c r="FF245" i="1" s="1"/>
  <c r="FG245" i="1" s="1"/>
  <c r="FH245" i="1" s="1"/>
  <c r="FI245" i="1" s="1"/>
  <c r="FK245" i="1" s="1"/>
  <c r="FW266" i="1"/>
  <c r="FX266" i="1" s="1"/>
  <c r="FS94" i="1"/>
  <c r="FT94" i="1" s="1"/>
  <c r="GA94" i="1"/>
  <c r="GB94" i="1" s="1"/>
  <c r="FY94" i="1"/>
  <c r="FZ94" i="1" s="1"/>
  <c r="GD94" i="1"/>
  <c r="FF248" i="1"/>
  <c r="FG248" i="1" s="1"/>
  <c r="FH248" i="1" s="1"/>
  <c r="FI248" i="1" s="1"/>
  <c r="FK248" i="1" s="1"/>
  <c r="FQ139" i="1"/>
  <c r="FR139" i="1" s="1"/>
  <c r="FU267" i="1"/>
  <c r="FV267" i="1" s="1"/>
  <c r="GD7" i="1"/>
  <c r="FQ7" i="1"/>
  <c r="FR7" i="1" s="1"/>
  <c r="FY7" i="1"/>
  <c r="FZ7" i="1" s="1"/>
  <c r="FW7" i="1"/>
  <c r="FX7" i="1" s="1"/>
  <c r="FU7" i="1"/>
  <c r="FV7" i="1" s="1"/>
  <c r="GE7" i="1"/>
  <c r="GG68" i="1"/>
  <c r="GH68" i="1" s="1"/>
  <c r="GI68" i="1" s="1"/>
  <c r="GG267" i="1"/>
  <c r="GH267" i="1" s="1"/>
  <c r="GI267" i="1" s="1"/>
  <c r="GD267" i="1"/>
  <c r="FQ267" i="1"/>
  <c r="FR267" i="1" s="1"/>
  <c r="GG7" i="1"/>
  <c r="GH7" i="1" s="1"/>
  <c r="GI7" i="1" s="1"/>
  <c r="FW24" i="1"/>
  <c r="FX24" i="1" s="1"/>
  <c r="FU24" i="1"/>
  <c r="FV24" i="1" s="1"/>
  <c r="GD24" i="1"/>
  <c r="GA24" i="1"/>
  <c r="GB24" i="1" s="1"/>
  <c r="FS24" i="1"/>
  <c r="FT24" i="1" s="1"/>
  <c r="GG24" i="1"/>
  <c r="GH24" i="1" s="1"/>
  <c r="GI24" i="1" s="1"/>
  <c r="FD209" i="1"/>
  <c r="FF209" i="1" s="1"/>
  <c r="FG209" i="1" s="1"/>
  <c r="FH209" i="1" s="1"/>
  <c r="FI209" i="1" s="1"/>
  <c r="FK209" i="1" s="1"/>
  <c r="GE24" i="1"/>
  <c r="FY24" i="1"/>
  <c r="FZ24" i="1" s="1"/>
  <c r="FU106" i="1"/>
  <c r="FV106" i="1" s="1"/>
  <c r="FW106" i="1"/>
  <c r="FX106" i="1" s="1"/>
  <c r="GD135" i="1"/>
  <c r="GD166" i="1"/>
  <c r="GC132" i="1"/>
  <c r="FU139" i="1"/>
  <c r="FV139" i="1" s="1"/>
  <c r="GA139" i="1"/>
  <c r="GB139" i="1" s="1"/>
  <c r="FW139" i="1"/>
  <c r="FX139" i="1" s="1"/>
  <c r="GA267" i="1"/>
  <c r="GB267" i="1" s="1"/>
  <c r="GD139" i="1"/>
  <c r="FS139" i="1"/>
  <c r="FT139" i="1" s="1"/>
  <c r="GE139" i="1"/>
  <c r="GG139" i="1"/>
  <c r="GH139" i="1" s="1"/>
  <c r="GI139" i="1" s="1"/>
  <c r="GD54" i="1"/>
  <c r="FQ51" i="1"/>
  <c r="FR51" i="1" s="1"/>
  <c r="FU51" i="1"/>
  <c r="FV51" i="1" s="1"/>
  <c r="GG54" i="1"/>
  <c r="GH54" i="1" s="1"/>
  <c r="GI54" i="1" s="1"/>
  <c r="FS64" i="1"/>
  <c r="FT64" i="1" s="1"/>
  <c r="FS51" i="1"/>
  <c r="FT51" i="1" s="1"/>
  <c r="FU54" i="1"/>
  <c r="FV54" i="1" s="1"/>
  <c r="GE51" i="1"/>
  <c r="GE54" i="1"/>
  <c r="GG51" i="1"/>
  <c r="GH51" i="1" s="1"/>
  <c r="GI51" i="1" s="1"/>
  <c r="FY54" i="1"/>
  <c r="FZ54" i="1" s="1"/>
  <c r="FW51" i="1"/>
  <c r="FX51" i="1" s="1"/>
  <c r="FW54" i="1"/>
  <c r="FX54" i="1" s="1"/>
  <c r="FY51" i="1"/>
  <c r="FZ51" i="1" s="1"/>
  <c r="FQ54" i="1"/>
  <c r="FR54" i="1" s="1"/>
  <c r="GE74" i="1"/>
  <c r="FU80" i="1"/>
  <c r="FV80" i="1" s="1"/>
  <c r="GD80" i="1"/>
  <c r="FD25" i="1"/>
  <c r="FF25" i="1" s="1"/>
  <c r="FG25" i="1" s="1"/>
  <c r="FH25" i="1" s="1"/>
  <c r="FI25" i="1" s="1"/>
  <c r="FK25" i="1" s="1"/>
  <c r="GG80" i="1"/>
  <c r="GH80" i="1" s="1"/>
  <c r="GI80" i="1" s="1"/>
  <c r="FD100" i="1"/>
  <c r="FF100" i="1" s="1"/>
  <c r="FG100" i="1" s="1"/>
  <c r="FH100" i="1" s="1"/>
  <c r="FI100" i="1" s="1"/>
  <c r="FK100" i="1" s="1"/>
  <c r="FW247" i="1"/>
  <c r="FX247" i="1" s="1"/>
  <c r="GG90" i="1"/>
  <c r="GH90" i="1" s="1"/>
  <c r="GI90" i="1" s="1"/>
  <c r="FU64" i="1"/>
  <c r="FV64" i="1" s="1"/>
  <c r="FD22" i="1"/>
  <c r="FF22" i="1" s="1"/>
  <c r="FG22" i="1" s="1"/>
  <c r="FH22" i="1" s="1"/>
  <c r="FI22" i="1" s="1"/>
  <c r="FK22" i="1" s="1"/>
  <c r="GD90" i="1"/>
  <c r="GD17" i="1"/>
  <c r="FW166" i="1"/>
  <c r="FX166" i="1" s="1"/>
  <c r="FU266" i="1"/>
  <c r="FV266" i="1" s="1"/>
  <c r="FE263" i="1"/>
  <c r="FF263" i="1" s="1"/>
  <c r="FG263" i="1" s="1"/>
  <c r="FH263" i="1" s="1"/>
  <c r="FI263" i="1" s="1"/>
  <c r="FK263" i="1" s="1"/>
  <c r="FY80" i="1"/>
  <c r="FZ80" i="1" s="1"/>
  <c r="FU129" i="1"/>
  <c r="FV129" i="1" s="1"/>
  <c r="FU90" i="1"/>
  <c r="FV90" i="1" s="1"/>
  <c r="FS90" i="1"/>
  <c r="FT90" i="1" s="1"/>
  <c r="GE166" i="1"/>
  <c r="FE18" i="1"/>
  <c r="FF18" i="1" s="1"/>
  <c r="FG18" i="1" s="1"/>
  <c r="FH18" i="1" s="1"/>
  <c r="FI18" i="1" s="1"/>
  <c r="FK18" i="1" s="1"/>
  <c r="FU166" i="1"/>
  <c r="FV166" i="1" s="1"/>
  <c r="FY90" i="1"/>
  <c r="FZ90" i="1" s="1"/>
  <c r="FS166" i="1"/>
  <c r="FT166" i="1" s="1"/>
  <c r="FY129" i="1"/>
  <c r="FZ129" i="1" s="1"/>
  <c r="GE90" i="1"/>
  <c r="FQ166" i="1"/>
  <c r="FR166" i="1" s="1"/>
  <c r="FS266" i="1"/>
  <c r="FT266" i="1" s="1"/>
  <c r="FY166" i="1"/>
  <c r="FZ166" i="1" s="1"/>
  <c r="GG129" i="1"/>
  <c r="GH129" i="1" s="1"/>
  <c r="GI129" i="1" s="1"/>
  <c r="FQ129" i="1"/>
  <c r="FR129" i="1" s="1"/>
  <c r="FE155" i="1"/>
  <c r="FF155" i="1" s="1"/>
  <c r="FG155" i="1" s="1"/>
  <c r="FH155" i="1" s="1"/>
  <c r="FI155" i="1" s="1"/>
  <c r="FK155" i="1" s="1"/>
  <c r="FS287" i="1"/>
  <c r="FT287" i="1" s="1"/>
  <c r="FQ90" i="1"/>
  <c r="FR90" i="1" s="1"/>
  <c r="FQ93" i="1"/>
  <c r="FR93" i="1" s="1"/>
  <c r="FY93" i="1"/>
  <c r="FZ93" i="1" s="1"/>
  <c r="GD10" i="1"/>
  <c r="FW10" i="1"/>
  <c r="FX10" i="1" s="1"/>
  <c r="GG64" i="1"/>
  <c r="GH64" i="1" s="1"/>
  <c r="GI64" i="1" s="1"/>
  <c r="GE93" i="1"/>
  <c r="FS93" i="1"/>
  <c r="FT93" i="1" s="1"/>
  <c r="FU10" i="1"/>
  <c r="FV10" i="1" s="1"/>
  <c r="GD64" i="1"/>
  <c r="GG93" i="1"/>
  <c r="GH93" i="1" s="1"/>
  <c r="GI93" i="1" s="1"/>
  <c r="GD93" i="1"/>
  <c r="GE64" i="1"/>
  <c r="FW93" i="1"/>
  <c r="FX93" i="1" s="1"/>
  <c r="GE10" i="1"/>
  <c r="FQ10" i="1"/>
  <c r="FR10" i="1" s="1"/>
  <c r="GA84" i="1"/>
  <c r="GB84" i="1" s="1"/>
  <c r="GC84" i="1" s="1"/>
  <c r="GF84" i="1" s="1"/>
  <c r="GJ84" i="1" s="1"/>
  <c r="GK84" i="1" s="1"/>
  <c r="GL84" i="1" s="1"/>
  <c r="GM84" i="1" s="1"/>
  <c r="GG10" i="1"/>
  <c r="GH10" i="1" s="1"/>
  <c r="GI10" i="1" s="1"/>
  <c r="FS10" i="1"/>
  <c r="FT10" i="1" s="1"/>
  <c r="FW64" i="1"/>
  <c r="FX64" i="1" s="1"/>
  <c r="FQ64" i="1"/>
  <c r="FR64" i="1" s="1"/>
  <c r="GD247" i="1"/>
  <c r="FU17" i="1"/>
  <c r="FV17" i="1" s="1"/>
  <c r="GA17" i="1"/>
  <c r="GB17" i="1" s="1"/>
  <c r="FE29" i="1"/>
  <c r="FF29" i="1" s="1"/>
  <c r="FG29" i="1" s="1"/>
  <c r="FH29" i="1" s="1"/>
  <c r="FI29" i="1" s="1"/>
  <c r="FK29" i="1" s="1"/>
  <c r="GG218" i="1"/>
  <c r="GH218" i="1" s="1"/>
  <c r="GI218" i="1" s="1"/>
  <c r="GE218" i="1"/>
  <c r="GG247" i="1"/>
  <c r="GH247" i="1" s="1"/>
  <c r="GI247" i="1" s="1"/>
  <c r="FW17" i="1"/>
  <c r="FX17" i="1" s="1"/>
  <c r="FU218" i="1"/>
  <c r="FV218" i="1" s="1"/>
  <c r="GG17" i="1"/>
  <c r="GH17" i="1" s="1"/>
  <c r="GI17" i="1" s="1"/>
  <c r="FY218" i="1"/>
  <c r="FZ218" i="1" s="1"/>
  <c r="GE247" i="1"/>
  <c r="FQ247" i="1"/>
  <c r="FR247" i="1" s="1"/>
  <c r="GE17" i="1"/>
  <c r="FD59" i="1"/>
  <c r="FF59" i="1" s="1"/>
  <c r="FG59" i="1" s="1"/>
  <c r="FH59" i="1" s="1"/>
  <c r="FI59" i="1" s="1"/>
  <c r="FK59" i="1" s="1"/>
  <c r="FQ218" i="1"/>
  <c r="FR218" i="1" s="1"/>
  <c r="FE50" i="1"/>
  <c r="FF50" i="1" s="1"/>
  <c r="FG50" i="1" s="1"/>
  <c r="FH50" i="1" s="1"/>
  <c r="FI50" i="1" s="1"/>
  <c r="FK50" i="1" s="1"/>
  <c r="FY247" i="1"/>
  <c r="FZ247" i="1" s="1"/>
  <c r="FS17" i="1"/>
  <c r="FT17" i="1" s="1"/>
  <c r="GG180" i="1"/>
  <c r="GH180" i="1" s="1"/>
  <c r="GI180" i="1" s="1"/>
  <c r="FW218" i="1"/>
  <c r="FX218" i="1" s="1"/>
  <c r="FU247" i="1"/>
  <c r="FV247" i="1" s="1"/>
  <c r="FY17" i="1"/>
  <c r="FZ17" i="1" s="1"/>
  <c r="GA180" i="1"/>
  <c r="GB180" i="1" s="1"/>
  <c r="FS218" i="1"/>
  <c r="FT218" i="1" s="1"/>
  <c r="FS135" i="1"/>
  <c r="FT135" i="1" s="1"/>
  <c r="FQ106" i="1"/>
  <c r="FR106" i="1" s="1"/>
  <c r="GE129" i="1"/>
  <c r="FU287" i="1"/>
  <c r="FV287" i="1" s="1"/>
  <c r="FE11" i="1"/>
  <c r="FF11" i="1" s="1"/>
  <c r="FG11" i="1" s="1"/>
  <c r="FH11" i="1" s="1"/>
  <c r="FI11" i="1" s="1"/>
  <c r="FK11" i="1" s="1"/>
  <c r="FE237" i="1"/>
  <c r="FF237" i="1" s="1"/>
  <c r="FG237" i="1" s="1"/>
  <c r="FH237" i="1" s="1"/>
  <c r="FI237" i="1" s="1"/>
  <c r="FK237" i="1" s="1"/>
  <c r="FW129" i="1"/>
  <c r="FX129" i="1" s="1"/>
  <c r="GD129" i="1"/>
  <c r="FY106" i="1"/>
  <c r="FZ106" i="1" s="1"/>
  <c r="GE287" i="1"/>
  <c r="GD287" i="1"/>
  <c r="FW135" i="1"/>
  <c r="FX135" i="1" s="1"/>
  <c r="GE135" i="1"/>
  <c r="FU135" i="1"/>
  <c r="FV135" i="1" s="1"/>
  <c r="FY135" i="1"/>
  <c r="FZ135" i="1" s="1"/>
  <c r="GD106" i="1"/>
  <c r="FY287" i="1"/>
  <c r="FZ287" i="1" s="1"/>
  <c r="FW287" i="1"/>
  <c r="FX287" i="1" s="1"/>
  <c r="GG135" i="1"/>
  <c r="GH135" i="1" s="1"/>
  <c r="GI135" i="1" s="1"/>
  <c r="FD213" i="1"/>
  <c r="FF213" i="1" s="1"/>
  <c r="FG213" i="1" s="1"/>
  <c r="FH213" i="1" s="1"/>
  <c r="FI213" i="1" s="1"/>
  <c r="FK213" i="1" s="1"/>
  <c r="GA135" i="1"/>
  <c r="GB135" i="1" s="1"/>
  <c r="GE106" i="1"/>
  <c r="FS106" i="1"/>
  <c r="FT106" i="1" s="1"/>
  <c r="FS142" i="1"/>
  <c r="FT142" i="1" s="1"/>
  <c r="FQ287" i="1"/>
  <c r="FR287" i="1" s="1"/>
  <c r="FS282" i="1"/>
  <c r="FT282" i="1" s="1"/>
  <c r="GA77" i="1"/>
  <c r="GB77" i="1" s="1"/>
  <c r="GC77" i="1" s="1"/>
  <c r="GF77" i="1" s="1"/>
  <c r="GJ77" i="1" s="1"/>
  <c r="GK77" i="1" s="1"/>
  <c r="GL77" i="1" s="1"/>
  <c r="GM77" i="1" s="1"/>
  <c r="FQ68" i="1"/>
  <c r="FR68" i="1" s="1"/>
  <c r="FQ109" i="1"/>
  <c r="FR109" i="1" s="1"/>
  <c r="FY109" i="1"/>
  <c r="FZ109" i="1" s="1"/>
  <c r="FE254" i="1"/>
  <c r="FF254" i="1" s="1"/>
  <c r="FG254" i="1" s="1"/>
  <c r="FH254" i="1" s="1"/>
  <c r="FI254" i="1" s="1"/>
  <c r="FK254" i="1" s="1"/>
  <c r="FD19" i="1"/>
  <c r="FF19" i="1" s="1"/>
  <c r="FG19" i="1" s="1"/>
  <c r="FH19" i="1" s="1"/>
  <c r="FI19" i="1" s="1"/>
  <c r="FK19" i="1" s="1"/>
  <c r="FD210" i="1"/>
  <c r="FF210" i="1" s="1"/>
  <c r="FG210" i="1" s="1"/>
  <c r="FH210" i="1" s="1"/>
  <c r="FI210" i="1" s="1"/>
  <c r="FK210" i="1" s="1"/>
  <c r="FW74" i="1"/>
  <c r="FX74" i="1" s="1"/>
  <c r="FQ74" i="1"/>
  <c r="FR74" i="1" s="1"/>
  <c r="FU68" i="1"/>
  <c r="FV68" i="1" s="1"/>
  <c r="FS68" i="1"/>
  <c r="FT68" i="1" s="1"/>
  <c r="GD109" i="1"/>
  <c r="GG74" i="1"/>
  <c r="GH74" i="1" s="1"/>
  <c r="GI74" i="1" s="1"/>
  <c r="FS74" i="1"/>
  <c r="FT74" i="1" s="1"/>
  <c r="FW68" i="1"/>
  <c r="FX68" i="1" s="1"/>
  <c r="FY68" i="1"/>
  <c r="FZ68" i="1" s="1"/>
  <c r="FE203" i="1"/>
  <c r="FF203" i="1" s="1"/>
  <c r="FG203" i="1" s="1"/>
  <c r="FH203" i="1" s="1"/>
  <c r="FI203" i="1" s="1"/>
  <c r="FK203" i="1" s="1"/>
  <c r="FD44" i="1"/>
  <c r="FF44" i="1" s="1"/>
  <c r="FG44" i="1" s="1"/>
  <c r="FH44" i="1" s="1"/>
  <c r="FI44" i="1" s="1"/>
  <c r="FK44" i="1" s="1"/>
  <c r="FE26" i="1"/>
  <c r="FF26" i="1" s="1"/>
  <c r="FG26" i="1" s="1"/>
  <c r="FH26" i="1" s="1"/>
  <c r="FI26" i="1" s="1"/>
  <c r="FK26" i="1" s="1"/>
  <c r="FW265" i="1"/>
  <c r="FX265" i="1" s="1"/>
  <c r="FS109" i="1"/>
  <c r="FT109" i="1" s="1"/>
  <c r="FU109" i="1"/>
  <c r="FV109" i="1" s="1"/>
  <c r="FY74" i="1"/>
  <c r="FZ74" i="1" s="1"/>
  <c r="GD68" i="1"/>
  <c r="GE109" i="1"/>
  <c r="GG109" i="1"/>
  <c r="GH109" i="1" s="1"/>
  <c r="GI109" i="1" s="1"/>
  <c r="GG266" i="1"/>
  <c r="GH266" i="1" s="1"/>
  <c r="GI266" i="1" s="1"/>
  <c r="FQ266" i="1"/>
  <c r="FR266" i="1" s="1"/>
  <c r="FU120" i="1"/>
  <c r="FV120" i="1" s="1"/>
  <c r="GD266" i="1"/>
  <c r="FW256" i="1"/>
  <c r="FX256" i="1" s="1"/>
  <c r="FW159" i="1"/>
  <c r="FX159" i="1" s="1"/>
  <c r="FD290" i="1"/>
  <c r="FF290" i="1" s="1"/>
  <c r="FG290" i="1" s="1"/>
  <c r="FH290" i="1" s="1"/>
  <c r="FI290" i="1" s="1"/>
  <c r="FK290" i="1" s="1"/>
  <c r="GA40" i="1"/>
  <c r="GB40" i="1" s="1"/>
  <c r="FD58" i="1"/>
  <c r="FF58" i="1" s="1"/>
  <c r="FG58" i="1" s="1"/>
  <c r="FH58" i="1" s="1"/>
  <c r="FI58" i="1" s="1"/>
  <c r="FK58" i="1" s="1"/>
  <c r="FD55" i="1"/>
  <c r="FF55" i="1" s="1"/>
  <c r="FG55" i="1" s="1"/>
  <c r="FH55" i="1" s="1"/>
  <c r="FI55" i="1" s="1"/>
  <c r="FK55" i="1" s="1"/>
  <c r="FD53" i="1"/>
  <c r="FF53" i="1" s="1"/>
  <c r="FG53" i="1" s="1"/>
  <c r="FH53" i="1" s="1"/>
  <c r="FI53" i="1" s="1"/>
  <c r="FK53" i="1" s="1"/>
  <c r="FY120" i="1"/>
  <c r="FZ120" i="1" s="1"/>
  <c r="FU40" i="1"/>
  <c r="FV40" i="1" s="1"/>
  <c r="GE159" i="1"/>
  <c r="FQ120" i="1"/>
  <c r="FR120" i="1" s="1"/>
  <c r="FW120" i="1"/>
  <c r="FX120" i="1" s="1"/>
  <c r="FY40" i="1"/>
  <c r="FZ40" i="1" s="1"/>
  <c r="FW40" i="1"/>
  <c r="FX40" i="1" s="1"/>
  <c r="GD40" i="1"/>
  <c r="FE5" i="1"/>
  <c r="FF5" i="1" s="1"/>
  <c r="FG5" i="1" s="1"/>
  <c r="FH5" i="1" s="1"/>
  <c r="FI5" i="1" s="1"/>
  <c r="FK5" i="1" s="1"/>
  <c r="GG159" i="1"/>
  <c r="GH159" i="1" s="1"/>
  <c r="GI159" i="1" s="1"/>
  <c r="GD120" i="1"/>
  <c r="FS120" i="1"/>
  <c r="FT120" i="1" s="1"/>
  <c r="GE40" i="1"/>
  <c r="FS40" i="1"/>
  <c r="FT40" i="1" s="1"/>
  <c r="FE217" i="1"/>
  <c r="FF217" i="1" s="1"/>
  <c r="FG217" i="1" s="1"/>
  <c r="FH217" i="1" s="1"/>
  <c r="FI217" i="1" s="1"/>
  <c r="FK217" i="1" s="1"/>
  <c r="FQ159" i="1"/>
  <c r="FR159" i="1" s="1"/>
  <c r="FD208" i="1"/>
  <c r="FF208" i="1" s="1"/>
  <c r="FG208" i="1" s="1"/>
  <c r="FH208" i="1" s="1"/>
  <c r="FI208" i="1" s="1"/>
  <c r="FK208" i="1" s="1"/>
  <c r="FY159" i="1"/>
  <c r="FZ159" i="1" s="1"/>
  <c r="GG282" i="1"/>
  <c r="GH282" i="1" s="1"/>
  <c r="GI282" i="1" s="1"/>
  <c r="FD194" i="1"/>
  <c r="FF194" i="1" s="1"/>
  <c r="FG194" i="1" s="1"/>
  <c r="FH194" i="1" s="1"/>
  <c r="FI194" i="1" s="1"/>
  <c r="FK194" i="1" s="1"/>
  <c r="GE120" i="1"/>
  <c r="GG40" i="1"/>
  <c r="GH40" i="1" s="1"/>
  <c r="GI40" i="1" s="1"/>
  <c r="GD159" i="1"/>
  <c r="GA159" i="1"/>
  <c r="GB159" i="1" s="1"/>
  <c r="FS159" i="1"/>
  <c r="FT159" i="1" s="1"/>
  <c r="FU282" i="1"/>
  <c r="FV282" i="1" s="1"/>
  <c r="FF119" i="1"/>
  <c r="FG119" i="1" s="1"/>
  <c r="FH119" i="1" s="1"/>
  <c r="FI119" i="1" s="1"/>
  <c r="FK119" i="1" s="1"/>
  <c r="GD142" i="1"/>
  <c r="FE156" i="1"/>
  <c r="FF156" i="1" s="1"/>
  <c r="FG156" i="1" s="1"/>
  <c r="FH156" i="1" s="1"/>
  <c r="FI156" i="1" s="1"/>
  <c r="FK156" i="1" s="1"/>
  <c r="FW180" i="1"/>
  <c r="FX180" i="1" s="1"/>
  <c r="FQ180" i="1"/>
  <c r="FR180" i="1" s="1"/>
  <c r="GA80" i="1"/>
  <c r="GB80" i="1" s="1"/>
  <c r="GE80" i="1"/>
  <c r="GE180" i="1"/>
  <c r="FY180" i="1"/>
  <c r="FZ180" i="1" s="1"/>
  <c r="FU180" i="1"/>
  <c r="FV180" i="1" s="1"/>
  <c r="FQ80" i="1"/>
  <c r="FR80" i="1" s="1"/>
  <c r="FU295" i="1"/>
  <c r="FV295" i="1" s="1"/>
  <c r="FS180" i="1"/>
  <c r="FT180" i="1" s="1"/>
  <c r="FY142" i="1"/>
  <c r="FZ142" i="1" s="1"/>
  <c r="GE142" i="1"/>
  <c r="FW142" i="1"/>
  <c r="FX142" i="1" s="1"/>
  <c r="FQ282" i="1"/>
  <c r="FR282" i="1" s="1"/>
  <c r="FW282" i="1"/>
  <c r="FX282" i="1" s="1"/>
  <c r="GD282" i="1"/>
  <c r="GG142" i="1"/>
  <c r="GH142" i="1" s="1"/>
  <c r="GI142" i="1" s="1"/>
  <c r="FU142" i="1"/>
  <c r="FV142" i="1" s="1"/>
  <c r="FY282" i="1"/>
  <c r="FZ282" i="1" s="1"/>
  <c r="FW80" i="1"/>
  <c r="FX80" i="1" s="1"/>
  <c r="FS265" i="1"/>
  <c r="FT265" i="1" s="1"/>
  <c r="FE65" i="1"/>
  <c r="FF65" i="1" s="1"/>
  <c r="FG65" i="1" s="1"/>
  <c r="FH65" i="1" s="1"/>
  <c r="FI65" i="1" s="1"/>
  <c r="FK65" i="1" s="1"/>
  <c r="FU265" i="1"/>
  <c r="FV265" i="1" s="1"/>
  <c r="FY265" i="1"/>
  <c r="FZ265" i="1" s="1"/>
  <c r="FW242" i="1"/>
  <c r="FX242" i="1" s="1"/>
  <c r="GE265" i="1"/>
  <c r="GD265" i="1"/>
  <c r="FQ265" i="1"/>
  <c r="FR265" i="1" s="1"/>
  <c r="FF137" i="1"/>
  <c r="FG137" i="1" s="1"/>
  <c r="FH137" i="1" s="1"/>
  <c r="FI137" i="1" s="1"/>
  <c r="FK137" i="1" s="1"/>
  <c r="GE104" i="1"/>
  <c r="FY104" i="1"/>
  <c r="FZ104" i="1" s="1"/>
  <c r="FU104" i="1"/>
  <c r="FV104" i="1" s="1"/>
  <c r="FQ104" i="1"/>
  <c r="FR104" i="1" s="1"/>
  <c r="FW104" i="1"/>
  <c r="FX104" i="1" s="1"/>
  <c r="GD231" i="1"/>
  <c r="GA231" i="1"/>
  <c r="GB231" i="1" s="1"/>
  <c r="GG231" i="1"/>
  <c r="GH231" i="1" s="1"/>
  <c r="GI231" i="1" s="1"/>
  <c r="FS231" i="1"/>
  <c r="FT231" i="1" s="1"/>
  <c r="GE231" i="1"/>
  <c r="FW231" i="1"/>
  <c r="FX231" i="1" s="1"/>
  <c r="FQ231" i="1"/>
  <c r="FR231" i="1" s="1"/>
  <c r="FU231" i="1"/>
  <c r="FV231" i="1" s="1"/>
  <c r="GA63" i="1"/>
  <c r="GB63" i="1" s="1"/>
  <c r="GC63" i="1" s="1"/>
  <c r="GF63" i="1" s="1"/>
  <c r="GJ63" i="1" s="1"/>
  <c r="GK63" i="1" s="1"/>
  <c r="GL63" i="1" s="1"/>
  <c r="GM63" i="1" s="1"/>
  <c r="FE98" i="1"/>
  <c r="FF98" i="1" s="1"/>
  <c r="FG98" i="1" s="1"/>
  <c r="FH98" i="1" s="1"/>
  <c r="FI98" i="1" s="1"/>
  <c r="FK98" i="1" s="1"/>
  <c r="GD256" i="1"/>
  <c r="FS256" i="1"/>
  <c r="FT256" i="1" s="1"/>
  <c r="GG256" i="1"/>
  <c r="GH256" i="1" s="1"/>
  <c r="GI256" i="1" s="1"/>
  <c r="GE256" i="1"/>
  <c r="FU256" i="1"/>
  <c r="FV256" i="1" s="1"/>
  <c r="FD27" i="1"/>
  <c r="FF27" i="1" s="1"/>
  <c r="FG27" i="1" s="1"/>
  <c r="FH27" i="1" s="1"/>
  <c r="FI27" i="1" s="1"/>
  <c r="FK27" i="1" s="1"/>
  <c r="FQ256" i="1"/>
  <c r="FR256" i="1" s="1"/>
  <c r="FQ179" i="1"/>
  <c r="FR179" i="1" s="1"/>
  <c r="GA141" i="1"/>
  <c r="GB141" i="1" s="1"/>
  <c r="GC141" i="1" s="1"/>
  <c r="GF141" i="1" s="1"/>
  <c r="GJ141" i="1" s="1"/>
  <c r="GK141" i="1" s="1"/>
  <c r="GL141" i="1" s="1"/>
  <c r="GM141" i="1" s="1"/>
  <c r="GE179" i="1"/>
  <c r="FS179" i="1"/>
  <c r="FT179" i="1" s="1"/>
  <c r="GA91" i="1"/>
  <c r="GB91" i="1" s="1"/>
  <c r="GC91" i="1" s="1"/>
  <c r="GF91" i="1" s="1"/>
  <c r="GJ91" i="1" s="1"/>
  <c r="GK91" i="1" s="1"/>
  <c r="GL91" i="1" s="1"/>
  <c r="GM91" i="1" s="1"/>
  <c r="FS295" i="1"/>
  <c r="FT295" i="1" s="1"/>
  <c r="GA21" i="1"/>
  <c r="GB21" i="1" s="1"/>
  <c r="GC21" i="1" s="1"/>
  <c r="GF21" i="1" s="1"/>
  <c r="GJ21" i="1" s="1"/>
  <c r="GK21" i="1" s="1"/>
  <c r="GL21" i="1" s="1"/>
  <c r="GM21" i="1" s="1"/>
  <c r="GD242" i="1"/>
  <c r="FY295" i="1"/>
  <c r="FZ295" i="1" s="1"/>
  <c r="GE295" i="1"/>
  <c r="GA162" i="1"/>
  <c r="GB162" i="1" s="1"/>
  <c r="GC162" i="1" s="1"/>
  <c r="GF162" i="1" s="1"/>
  <c r="GJ162" i="1" s="1"/>
  <c r="GK162" i="1" s="1"/>
  <c r="GL162" i="1" s="1"/>
  <c r="GM162" i="1" s="1"/>
  <c r="FY192" i="1"/>
  <c r="FZ192" i="1" s="1"/>
  <c r="GE242" i="1"/>
  <c r="GA242" i="1"/>
  <c r="GB242" i="1" s="1"/>
  <c r="FU242" i="1"/>
  <c r="FV242" i="1" s="1"/>
  <c r="GA295" i="1"/>
  <c r="GB295" i="1" s="1"/>
  <c r="FS104" i="1"/>
  <c r="FT104" i="1" s="1"/>
  <c r="GG242" i="1"/>
  <c r="GH242" i="1" s="1"/>
  <c r="GI242" i="1" s="1"/>
  <c r="GD295" i="1"/>
  <c r="GG295" i="1"/>
  <c r="GH295" i="1" s="1"/>
  <c r="GI295" i="1" s="1"/>
  <c r="GD104" i="1"/>
  <c r="FQ242" i="1"/>
  <c r="FR242" i="1" s="1"/>
  <c r="FW295" i="1"/>
  <c r="FX295" i="1" s="1"/>
  <c r="FY242" i="1"/>
  <c r="FZ242" i="1" s="1"/>
  <c r="GA214" i="1"/>
  <c r="GB214" i="1" s="1"/>
  <c r="GC214" i="1" s="1"/>
  <c r="GF214" i="1" s="1"/>
  <c r="GJ214" i="1" s="1"/>
  <c r="GK214" i="1" s="1"/>
  <c r="GL214" i="1" s="1"/>
  <c r="GM214" i="1" s="1"/>
  <c r="FF292" i="1"/>
  <c r="FG292" i="1" s="1"/>
  <c r="FH292" i="1" s="1"/>
  <c r="FI292" i="1" s="1"/>
  <c r="FK292" i="1" s="1"/>
  <c r="GC107" i="1"/>
  <c r="GF107" i="1" s="1"/>
  <c r="GJ107" i="1" s="1"/>
  <c r="GK107" i="1" s="1"/>
  <c r="GL107" i="1" s="1"/>
  <c r="GM107" i="1" s="1"/>
  <c r="FF230" i="1"/>
  <c r="FG230" i="1" s="1"/>
  <c r="FH230" i="1" s="1"/>
  <c r="FI230" i="1" s="1"/>
  <c r="FK230" i="1" s="1"/>
  <c r="GA237" i="1"/>
  <c r="GB237" i="1" s="1"/>
  <c r="GC237" i="1" s="1"/>
  <c r="GF237" i="1" s="1"/>
  <c r="GJ237" i="1" s="1"/>
  <c r="GK237" i="1" s="1"/>
  <c r="GL237" i="1" s="1"/>
  <c r="GM237" i="1" s="1"/>
  <c r="FF259" i="1"/>
  <c r="FG259" i="1" s="1"/>
  <c r="FH259" i="1" s="1"/>
  <c r="FI259" i="1" s="1"/>
  <c r="FK259" i="1" s="1"/>
  <c r="GA171" i="1"/>
  <c r="GB171" i="1" s="1"/>
  <c r="GC171" i="1" s="1"/>
  <c r="GF171" i="1" s="1"/>
  <c r="GJ171" i="1" s="1"/>
  <c r="GK171" i="1" s="1"/>
  <c r="GL171" i="1" s="1"/>
  <c r="GM171" i="1" s="1"/>
  <c r="GE178" i="1"/>
  <c r="FS178" i="1"/>
  <c r="FT178" i="1" s="1"/>
  <c r="FU48" i="1"/>
  <c r="FV48" i="1" s="1"/>
  <c r="GA144" i="1"/>
  <c r="GB144" i="1" s="1"/>
  <c r="GC144" i="1" s="1"/>
  <c r="GF144" i="1" s="1"/>
  <c r="GJ144" i="1" s="1"/>
  <c r="GK144" i="1" s="1"/>
  <c r="GL144" i="1" s="1"/>
  <c r="GM144" i="1" s="1"/>
  <c r="GG178" i="1"/>
  <c r="GH178" i="1" s="1"/>
  <c r="GI178" i="1" s="1"/>
  <c r="FW178" i="1"/>
  <c r="FX178" i="1" s="1"/>
  <c r="GD48" i="1"/>
  <c r="FQ178" i="1"/>
  <c r="FR178" i="1" s="1"/>
  <c r="GA96" i="1"/>
  <c r="GB96" i="1" s="1"/>
  <c r="GC96" i="1" s="1"/>
  <c r="GF96" i="1" s="1"/>
  <c r="GJ96" i="1" s="1"/>
  <c r="GK96" i="1" s="1"/>
  <c r="GL96" i="1" s="1"/>
  <c r="GM96" i="1" s="1"/>
  <c r="FY178" i="1"/>
  <c r="FZ178" i="1" s="1"/>
  <c r="GE48" i="1"/>
  <c r="FY48" i="1"/>
  <c r="FZ48" i="1" s="1"/>
  <c r="GD178" i="1"/>
  <c r="FS48" i="1"/>
  <c r="FT48" i="1" s="1"/>
  <c r="FQ48" i="1"/>
  <c r="FR48" i="1" s="1"/>
  <c r="GG48" i="1"/>
  <c r="GH48" i="1" s="1"/>
  <c r="GI48" i="1" s="1"/>
  <c r="FF135" i="1"/>
  <c r="FG135" i="1" s="1"/>
  <c r="FH135" i="1" s="1"/>
  <c r="FI135" i="1" s="1"/>
  <c r="FK135" i="1" s="1"/>
  <c r="GE60" i="1"/>
  <c r="FW179" i="1"/>
  <c r="FX179" i="1" s="1"/>
  <c r="GG187" i="1"/>
  <c r="GH187" i="1" s="1"/>
  <c r="GI187" i="1" s="1"/>
  <c r="FD34" i="1"/>
  <c r="FF34" i="1" s="1"/>
  <c r="FG34" i="1" s="1"/>
  <c r="FH34" i="1" s="1"/>
  <c r="FI34" i="1" s="1"/>
  <c r="FK34" i="1" s="1"/>
  <c r="GA210" i="1"/>
  <c r="GB210" i="1" s="1"/>
  <c r="GC210" i="1" s="1"/>
  <c r="GF210" i="1" s="1"/>
  <c r="GJ210" i="1" s="1"/>
  <c r="GK210" i="1" s="1"/>
  <c r="GL210" i="1" s="1"/>
  <c r="GM210" i="1" s="1"/>
  <c r="FU179" i="1"/>
  <c r="FV179" i="1" s="1"/>
  <c r="GD179" i="1"/>
  <c r="FY60" i="1"/>
  <c r="FZ60" i="1" s="1"/>
  <c r="GG179" i="1"/>
  <c r="GH179" i="1" s="1"/>
  <c r="GI179" i="1" s="1"/>
  <c r="FU60" i="1"/>
  <c r="FV60" i="1" s="1"/>
  <c r="FY187" i="1"/>
  <c r="FZ187" i="1" s="1"/>
  <c r="GA230" i="1"/>
  <c r="GB230" i="1" s="1"/>
  <c r="GC230" i="1" s="1"/>
  <c r="GF230" i="1" s="1"/>
  <c r="GJ230" i="1" s="1"/>
  <c r="GK230" i="1" s="1"/>
  <c r="GL230" i="1" s="1"/>
  <c r="GM230" i="1" s="1"/>
  <c r="FU187" i="1"/>
  <c r="FV187" i="1" s="1"/>
  <c r="FS187" i="1"/>
  <c r="FT187" i="1" s="1"/>
  <c r="FQ202" i="1"/>
  <c r="FR202" i="1" s="1"/>
  <c r="GA126" i="1"/>
  <c r="GB126" i="1" s="1"/>
  <c r="GC126" i="1" s="1"/>
  <c r="GF126" i="1" s="1"/>
  <c r="GJ126" i="1" s="1"/>
  <c r="GK126" i="1" s="1"/>
  <c r="GL126" i="1" s="1"/>
  <c r="GM126" i="1" s="1"/>
  <c r="GA82" i="1"/>
  <c r="GB82" i="1" s="1"/>
  <c r="GC82" i="1" s="1"/>
  <c r="GF82" i="1" s="1"/>
  <c r="GJ82" i="1" s="1"/>
  <c r="GK82" i="1" s="1"/>
  <c r="GL82" i="1" s="1"/>
  <c r="GM82" i="1" s="1"/>
  <c r="FW187" i="1"/>
  <c r="FX187" i="1" s="1"/>
  <c r="FQ187" i="1"/>
  <c r="FR187" i="1" s="1"/>
  <c r="GA187" i="1"/>
  <c r="GB187" i="1" s="1"/>
  <c r="GE202" i="1"/>
  <c r="GE187" i="1"/>
  <c r="GC14" i="1"/>
  <c r="GF14" i="1" s="1"/>
  <c r="GJ14" i="1" s="1"/>
  <c r="GK14" i="1" s="1"/>
  <c r="GL14" i="1" s="1"/>
  <c r="GM14" i="1" s="1"/>
  <c r="GA72" i="1"/>
  <c r="GB72" i="1" s="1"/>
  <c r="GC72" i="1" s="1"/>
  <c r="GF72" i="1" s="1"/>
  <c r="GJ72" i="1" s="1"/>
  <c r="GK72" i="1" s="1"/>
  <c r="GL72" i="1" s="1"/>
  <c r="GM72" i="1" s="1"/>
  <c r="GA71" i="1"/>
  <c r="GB71" i="1" s="1"/>
  <c r="GC71" i="1" s="1"/>
  <c r="GF71" i="1" s="1"/>
  <c r="GJ71" i="1" s="1"/>
  <c r="GK71" i="1" s="1"/>
  <c r="GL71" i="1" s="1"/>
  <c r="GM71" i="1" s="1"/>
  <c r="GC150" i="1"/>
  <c r="GF150" i="1" s="1"/>
  <c r="GJ150" i="1" s="1"/>
  <c r="GK150" i="1" s="1"/>
  <c r="GL150" i="1" s="1"/>
  <c r="GM150" i="1" s="1"/>
  <c r="GA174" i="1"/>
  <c r="GB174" i="1" s="1"/>
  <c r="GC174" i="1" s="1"/>
  <c r="GF174" i="1" s="1"/>
  <c r="GJ174" i="1" s="1"/>
  <c r="GK174" i="1" s="1"/>
  <c r="GL174" i="1" s="1"/>
  <c r="GM174" i="1" s="1"/>
  <c r="GA206" i="1"/>
  <c r="GB206" i="1" s="1"/>
  <c r="GC206" i="1" s="1"/>
  <c r="GF206" i="1" s="1"/>
  <c r="GJ206" i="1" s="1"/>
  <c r="GK206" i="1" s="1"/>
  <c r="GL206" i="1" s="1"/>
  <c r="GM206" i="1" s="1"/>
  <c r="FF66" i="1"/>
  <c r="FG66" i="1" s="1"/>
  <c r="FH66" i="1" s="1"/>
  <c r="FI66" i="1" s="1"/>
  <c r="FK66" i="1" s="1"/>
  <c r="FF233" i="1"/>
  <c r="FG233" i="1" s="1"/>
  <c r="FH233" i="1" s="1"/>
  <c r="FI233" i="1" s="1"/>
  <c r="FK233" i="1" s="1"/>
  <c r="FF195" i="1"/>
  <c r="FG195" i="1" s="1"/>
  <c r="FH195" i="1" s="1"/>
  <c r="FI195" i="1" s="1"/>
  <c r="FK195" i="1" s="1"/>
  <c r="FF70" i="1"/>
  <c r="FG70" i="1" s="1"/>
  <c r="FH70" i="1" s="1"/>
  <c r="FI70" i="1" s="1"/>
  <c r="FK70" i="1" s="1"/>
  <c r="FF117" i="1"/>
  <c r="FG117" i="1" s="1"/>
  <c r="FH117" i="1" s="1"/>
  <c r="FI117" i="1" s="1"/>
  <c r="FK117" i="1" s="1"/>
  <c r="GA81" i="1"/>
  <c r="GB81" i="1" s="1"/>
  <c r="GC81" i="1" s="1"/>
  <c r="GF81" i="1" s="1"/>
  <c r="GJ81" i="1" s="1"/>
  <c r="GK81" i="1" s="1"/>
  <c r="GL81" i="1" s="1"/>
  <c r="GM81" i="1" s="1"/>
  <c r="GG202" i="1"/>
  <c r="GH202" i="1" s="1"/>
  <c r="GI202" i="1" s="1"/>
  <c r="GD4" i="1"/>
  <c r="FW4" i="1"/>
  <c r="FX4" i="1" s="1"/>
  <c r="FW202" i="1"/>
  <c r="FX202" i="1" s="1"/>
  <c r="GA56" i="1"/>
  <c r="GB56" i="1" s="1"/>
  <c r="GC56" i="1" s="1"/>
  <c r="GF56" i="1" s="1"/>
  <c r="GJ56" i="1" s="1"/>
  <c r="GK56" i="1" s="1"/>
  <c r="GL56" i="1" s="1"/>
  <c r="GM56" i="1" s="1"/>
  <c r="FS202" i="1"/>
  <c r="FT202" i="1" s="1"/>
  <c r="GA108" i="1"/>
  <c r="GB108" i="1" s="1"/>
  <c r="GC108" i="1" s="1"/>
  <c r="GF108" i="1" s="1"/>
  <c r="GJ108" i="1" s="1"/>
  <c r="GK108" i="1" s="1"/>
  <c r="GL108" i="1" s="1"/>
  <c r="GM108" i="1" s="1"/>
  <c r="GC11" i="1"/>
  <c r="GF11" i="1" s="1"/>
  <c r="GJ11" i="1" s="1"/>
  <c r="GK11" i="1" s="1"/>
  <c r="GL11" i="1" s="1"/>
  <c r="GM11" i="1" s="1"/>
  <c r="GA202" i="1"/>
  <c r="GB202" i="1" s="1"/>
  <c r="GD202" i="1"/>
  <c r="GA292" i="1"/>
  <c r="GB292" i="1" s="1"/>
  <c r="GC292" i="1" s="1"/>
  <c r="GF292" i="1" s="1"/>
  <c r="GJ292" i="1" s="1"/>
  <c r="GK292" i="1" s="1"/>
  <c r="GL292" i="1" s="1"/>
  <c r="GM292" i="1" s="1"/>
  <c r="FY202" i="1"/>
  <c r="FZ202" i="1" s="1"/>
  <c r="GA286" i="1"/>
  <c r="GB286" i="1" s="1"/>
  <c r="GC286" i="1" s="1"/>
  <c r="GF286" i="1" s="1"/>
  <c r="GJ286" i="1" s="1"/>
  <c r="GK286" i="1" s="1"/>
  <c r="GL286" i="1" s="1"/>
  <c r="GM286" i="1" s="1"/>
  <c r="GA30" i="1"/>
  <c r="GB30" i="1" s="1"/>
  <c r="GC30" i="1" s="1"/>
  <c r="GF30" i="1" s="1"/>
  <c r="GJ30" i="1" s="1"/>
  <c r="GK30" i="1" s="1"/>
  <c r="GL30" i="1" s="1"/>
  <c r="GM30" i="1" s="1"/>
  <c r="GA114" i="1"/>
  <c r="GB114" i="1" s="1"/>
  <c r="GC114" i="1" s="1"/>
  <c r="GF114" i="1" s="1"/>
  <c r="GJ114" i="1" s="1"/>
  <c r="GK114" i="1" s="1"/>
  <c r="GL114" i="1" s="1"/>
  <c r="GM114" i="1" s="1"/>
  <c r="GA301" i="1"/>
  <c r="GB301" i="1" s="1"/>
  <c r="GC301" i="1" s="1"/>
  <c r="GF301" i="1" s="1"/>
  <c r="GJ301" i="1" s="1"/>
  <c r="GK301" i="1" s="1"/>
  <c r="GL301" i="1" s="1"/>
  <c r="GM301" i="1" s="1"/>
  <c r="FY39" i="1"/>
  <c r="FZ39" i="1" s="1"/>
  <c r="GA168" i="1"/>
  <c r="GB168" i="1" s="1"/>
  <c r="GC168" i="1" s="1"/>
  <c r="GF168" i="1" s="1"/>
  <c r="GJ168" i="1" s="1"/>
  <c r="GK168" i="1" s="1"/>
  <c r="GL168" i="1" s="1"/>
  <c r="GM168" i="1" s="1"/>
  <c r="GA97" i="1"/>
  <c r="GB97" i="1" s="1"/>
  <c r="GC97" i="1" s="1"/>
  <c r="GF97" i="1" s="1"/>
  <c r="GJ97" i="1" s="1"/>
  <c r="GK97" i="1" s="1"/>
  <c r="GL97" i="1" s="1"/>
  <c r="GM97" i="1" s="1"/>
  <c r="GC169" i="1"/>
  <c r="GF169" i="1" s="1"/>
  <c r="GJ169" i="1" s="1"/>
  <c r="GK169" i="1" s="1"/>
  <c r="GL169" i="1" s="1"/>
  <c r="GM169" i="1" s="1"/>
  <c r="GA85" i="1"/>
  <c r="GB85" i="1" s="1"/>
  <c r="GC85" i="1" s="1"/>
  <c r="GF85" i="1" s="1"/>
  <c r="GJ85" i="1" s="1"/>
  <c r="GK85" i="1" s="1"/>
  <c r="GL85" i="1" s="1"/>
  <c r="GM85" i="1" s="1"/>
  <c r="GA27" i="1"/>
  <c r="GB27" i="1" s="1"/>
  <c r="GC27" i="1" s="1"/>
  <c r="GF27" i="1" s="1"/>
  <c r="GJ27" i="1" s="1"/>
  <c r="GK27" i="1" s="1"/>
  <c r="GL27" i="1" s="1"/>
  <c r="GM27" i="1" s="1"/>
  <c r="GA62" i="1"/>
  <c r="GB62" i="1" s="1"/>
  <c r="GC62" i="1" s="1"/>
  <c r="GF62" i="1" s="1"/>
  <c r="GJ62" i="1" s="1"/>
  <c r="GK62" i="1" s="1"/>
  <c r="GL62" i="1" s="1"/>
  <c r="GM62" i="1" s="1"/>
  <c r="FQ204" i="1"/>
  <c r="FR204" i="1" s="1"/>
  <c r="GE204" i="1"/>
  <c r="FS204" i="1"/>
  <c r="FT204" i="1" s="1"/>
  <c r="FW204" i="1"/>
  <c r="FX204" i="1" s="1"/>
  <c r="GD204" i="1"/>
  <c r="FU204" i="1"/>
  <c r="FV204" i="1" s="1"/>
  <c r="GG204" i="1"/>
  <c r="GH204" i="1" s="1"/>
  <c r="GI204" i="1" s="1"/>
  <c r="GA244" i="1"/>
  <c r="GB244" i="1" s="1"/>
  <c r="GC244" i="1" s="1"/>
  <c r="GF244" i="1" s="1"/>
  <c r="GJ244" i="1" s="1"/>
  <c r="GK244" i="1" s="1"/>
  <c r="GL244" i="1" s="1"/>
  <c r="GM244" i="1" s="1"/>
  <c r="GA198" i="1"/>
  <c r="GB198" i="1" s="1"/>
  <c r="GC198" i="1" s="1"/>
  <c r="GF198" i="1" s="1"/>
  <c r="GJ198" i="1" s="1"/>
  <c r="GK198" i="1" s="1"/>
  <c r="GL198" i="1" s="1"/>
  <c r="GM198" i="1" s="1"/>
  <c r="GC103" i="1"/>
  <c r="GF103" i="1" s="1"/>
  <c r="GJ103" i="1" s="1"/>
  <c r="GK103" i="1" s="1"/>
  <c r="GL103" i="1" s="1"/>
  <c r="GM103" i="1" s="1"/>
  <c r="FF3" i="1"/>
  <c r="FG3" i="1" s="1"/>
  <c r="FH3" i="1" s="1"/>
  <c r="FI3" i="1" s="1"/>
  <c r="FK3" i="1" s="1"/>
  <c r="GC181" i="1"/>
  <c r="GF181" i="1" s="1"/>
  <c r="GJ181" i="1" s="1"/>
  <c r="GK181" i="1" s="1"/>
  <c r="GL181" i="1" s="1"/>
  <c r="GM181" i="1" s="1"/>
  <c r="FF199" i="1"/>
  <c r="FG199" i="1" s="1"/>
  <c r="FH199" i="1" s="1"/>
  <c r="FI199" i="1" s="1"/>
  <c r="FK199" i="1" s="1"/>
  <c r="GC95" i="1"/>
  <c r="GF95" i="1" s="1"/>
  <c r="GJ95" i="1" s="1"/>
  <c r="GK95" i="1" s="1"/>
  <c r="GL95" i="1" s="1"/>
  <c r="GM95" i="1" s="1"/>
  <c r="GA186" i="1"/>
  <c r="GB186" i="1" s="1"/>
  <c r="GC186" i="1" s="1"/>
  <c r="GF186" i="1" s="1"/>
  <c r="GJ186" i="1" s="1"/>
  <c r="GK186" i="1" s="1"/>
  <c r="GL186" i="1" s="1"/>
  <c r="GM186" i="1" s="1"/>
  <c r="GA183" i="1"/>
  <c r="GB183" i="1" s="1"/>
  <c r="GC183" i="1" s="1"/>
  <c r="GF183" i="1" s="1"/>
  <c r="GJ183" i="1" s="1"/>
  <c r="GK183" i="1" s="1"/>
  <c r="GL183" i="1" s="1"/>
  <c r="GM183" i="1" s="1"/>
  <c r="GA152" i="1"/>
  <c r="GB152" i="1" s="1"/>
  <c r="GC152" i="1" s="1"/>
  <c r="GF152" i="1" s="1"/>
  <c r="GJ152" i="1" s="1"/>
  <c r="GK152" i="1" s="1"/>
  <c r="GL152" i="1" s="1"/>
  <c r="GM152" i="1" s="1"/>
  <c r="GA9" i="1"/>
  <c r="GB9" i="1" s="1"/>
  <c r="GC9" i="1" s="1"/>
  <c r="GF9" i="1" s="1"/>
  <c r="GJ9" i="1" s="1"/>
  <c r="GK9" i="1" s="1"/>
  <c r="GL9" i="1" s="1"/>
  <c r="GM9" i="1" s="1"/>
  <c r="GA28" i="1"/>
  <c r="GB28" i="1" s="1"/>
  <c r="GC28" i="1" s="1"/>
  <c r="GF28" i="1" s="1"/>
  <c r="GJ28" i="1" s="1"/>
  <c r="GK28" i="1" s="1"/>
  <c r="GL28" i="1" s="1"/>
  <c r="GM28" i="1" s="1"/>
  <c r="GA254" i="1"/>
  <c r="GB254" i="1" s="1"/>
  <c r="GC254" i="1" s="1"/>
  <c r="GF254" i="1" s="1"/>
  <c r="GJ254" i="1" s="1"/>
  <c r="GK254" i="1" s="1"/>
  <c r="GL254" i="1" s="1"/>
  <c r="GM254" i="1" s="1"/>
  <c r="GA285" i="1"/>
  <c r="GB285" i="1" s="1"/>
  <c r="GC285" i="1" s="1"/>
  <c r="GF285" i="1" s="1"/>
  <c r="GJ285" i="1" s="1"/>
  <c r="GK285" i="1" s="1"/>
  <c r="GL285" i="1" s="1"/>
  <c r="GM285" i="1" s="1"/>
  <c r="GA184" i="1"/>
  <c r="GB184" i="1" s="1"/>
  <c r="GC184" i="1" s="1"/>
  <c r="GF184" i="1" s="1"/>
  <c r="GJ184" i="1" s="1"/>
  <c r="GK184" i="1" s="1"/>
  <c r="GL184" i="1" s="1"/>
  <c r="GM184" i="1" s="1"/>
  <c r="GC191" i="1"/>
  <c r="GF191" i="1" s="1"/>
  <c r="GJ191" i="1" s="1"/>
  <c r="GK191" i="1" s="1"/>
  <c r="GL191" i="1" s="1"/>
  <c r="GM191" i="1" s="1"/>
  <c r="GA279" i="1"/>
  <c r="GB279" i="1" s="1"/>
  <c r="GC279" i="1" s="1"/>
  <c r="GF279" i="1" s="1"/>
  <c r="GJ279" i="1" s="1"/>
  <c r="GK279" i="1" s="1"/>
  <c r="GL279" i="1" s="1"/>
  <c r="GM279" i="1" s="1"/>
  <c r="GC78" i="1"/>
  <c r="GF78" i="1" s="1"/>
  <c r="GJ78" i="1" s="1"/>
  <c r="GK78" i="1" s="1"/>
  <c r="GL78" i="1" s="1"/>
  <c r="GM78" i="1" s="1"/>
  <c r="GA226" i="1"/>
  <c r="GB226" i="1" s="1"/>
  <c r="GC226" i="1" s="1"/>
  <c r="GF226" i="1" s="1"/>
  <c r="GJ226" i="1" s="1"/>
  <c r="GK226" i="1" s="1"/>
  <c r="GL226" i="1" s="1"/>
  <c r="GM226" i="1" s="1"/>
  <c r="GC234" i="1"/>
  <c r="GF234" i="1" s="1"/>
  <c r="GJ234" i="1" s="1"/>
  <c r="GK234" i="1" s="1"/>
  <c r="GL234" i="1" s="1"/>
  <c r="GM234" i="1" s="1"/>
  <c r="GA100" i="1"/>
  <c r="GB100" i="1" s="1"/>
  <c r="GC100" i="1" s="1"/>
  <c r="GF100" i="1" s="1"/>
  <c r="GJ100" i="1" s="1"/>
  <c r="GK100" i="1" s="1"/>
  <c r="GL100" i="1" s="1"/>
  <c r="GM100" i="1" s="1"/>
  <c r="GC67" i="1"/>
  <c r="GF67" i="1" s="1"/>
  <c r="GJ67" i="1" s="1"/>
  <c r="GK67" i="1" s="1"/>
  <c r="GL67" i="1" s="1"/>
  <c r="GM67" i="1" s="1"/>
  <c r="GC5" i="1"/>
  <c r="GF5" i="1" s="1"/>
  <c r="GJ5" i="1" s="1"/>
  <c r="GK5" i="1" s="1"/>
  <c r="GL5" i="1" s="1"/>
  <c r="GM5" i="1" s="1"/>
  <c r="GC35" i="1"/>
  <c r="GF35" i="1" s="1"/>
  <c r="GJ35" i="1" s="1"/>
  <c r="GK35" i="1" s="1"/>
  <c r="GL35" i="1" s="1"/>
  <c r="GM35" i="1" s="1"/>
  <c r="GA32" i="1"/>
  <c r="GB32" i="1" s="1"/>
  <c r="GC32" i="1" s="1"/>
  <c r="GF32" i="1" s="1"/>
  <c r="GJ32" i="1" s="1"/>
  <c r="GK32" i="1" s="1"/>
  <c r="GL32" i="1" s="1"/>
  <c r="GM32" i="1" s="1"/>
  <c r="GA283" i="1"/>
  <c r="GB283" i="1" s="1"/>
  <c r="GC283" i="1" s="1"/>
  <c r="GF283" i="1" s="1"/>
  <c r="GJ283" i="1" s="1"/>
  <c r="GK283" i="1" s="1"/>
  <c r="GL283" i="1" s="1"/>
  <c r="GM283" i="1" s="1"/>
  <c r="GA185" i="1"/>
  <c r="GB185" i="1" s="1"/>
  <c r="GC185" i="1" s="1"/>
  <c r="GF185" i="1" s="1"/>
  <c r="GJ185" i="1" s="1"/>
  <c r="GK185" i="1" s="1"/>
  <c r="GL185" i="1" s="1"/>
  <c r="GM185" i="1" s="1"/>
  <c r="GC280" i="1"/>
  <c r="GF280" i="1" s="1"/>
  <c r="GJ280" i="1" s="1"/>
  <c r="GK280" i="1" s="1"/>
  <c r="GL280" i="1" s="1"/>
  <c r="GM280" i="1" s="1"/>
  <c r="GA229" i="1"/>
  <c r="GB229" i="1" s="1"/>
  <c r="GC229" i="1" s="1"/>
  <c r="GF229" i="1" s="1"/>
  <c r="GJ229" i="1" s="1"/>
  <c r="GK229" i="1" s="1"/>
  <c r="GL229" i="1" s="1"/>
  <c r="GM229" i="1" s="1"/>
  <c r="FF176" i="1"/>
  <c r="FG176" i="1" s="1"/>
  <c r="FH176" i="1" s="1"/>
  <c r="FI176" i="1" s="1"/>
  <c r="FK176" i="1" s="1"/>
  <c r="GA112" i="1"/>
  <c r="GB112" i="1" s="1"/>
  <c r="GC112" i="1" s="1"/>
  <c r="GF112" i="1" s="1"/>
  <c r="GJ112" i="1" s="1"/>
  <c r="GK112" i="1" s="1"/>
  <c r="GL112" i="1" s="1"/>
  <c r="GM112" i="1" s="1"/>
  <c r="GA211" i="1"/>
  <c r="GB211" i="1" s="1"/>
  <c r="GC211" i="1" s="1"/>
  <c r="GF211" i="1" s="1"/>
  <c r="GJ211" i="1" s="1"/>
  <c r="GK211" i="1" s="1"/>
  <c r="GL211" i="1" s="1"/>
  <c r="GM211" i="1" s="1"/>
  <c r="GG60" i="1"/>
  <c r="GH60" i="1" s="1"/>
  <c r="GI60" i="1" s="1"/>
  <c r="GA277" i="1"/>
  <c r="GB277" i="1" s="1"/>
  <c r="GC277" i="1" s="1"/>
  <c r="GF277" i="1" s="1"/>
  <c r="GJ277" i="1" s="1"/>
  <c r="GK277" i="1" s="1"/>
  <c r="GL277" i="1" s="1"/>
  <c r="GM277" i="1" s="1"/>
  <c r="GA110" i="1"/>
  <c r="GB110" i="1" s="1"/>
  <c r="GC110" i="1" s="1"/>
  <c r="GF110" i="1" s="1"/>
  <c r="GJ110" i="1" s="1"/>
  <c r="GK110" i="1" s="1"/>
  <c r="GL110" i="1" s="1"/>
  <c r="GM110" i="1" s="1"/>
  <c r="GA175" i="1"/>
  <c r="GB175" i="1" s="1"/>
  <c r="GC175" i="1" s="1"/>
  <c r="GF175" i="1" s="1"/>
  <c r="GJ175" i="1" s="1"/>
  <c r="GK175" i="1" s="1"/>
  <c r="GL175" i="1" s="1"/>
  <c r="GM175" i="1" s="1"/>
  <c r="GA25" i="1"/>
  <c r="GB25" i="1" s="1"/>
  <c r="GC25" i="1" s="1"/>
  <c r="GF25" i="1" s="1"/>
  <c r="GJ25" i="1" s="1"/>
  <c r="GK25" i="1" s="1"/>
  <c r="GL25" i="1" s="1"/>
  <c r="GM25" i="1" s="1"/>
  <c r="GA156" i="1"/>
  <c r="GB156" i="1" s="1"/>
  <c r="GC156" i="1" s="1"/>
  <c r="GF156" i="1" s="1"/>
  <c r="GJ156" i="1" s="1"/>
  <c r="GK156" i="1" s="1"/>
  <c r="GL156" i="1" s="1"/>
  <c r="GM156" i="1" s="1"/>
  <c r="FY88" i="1"/>
  <c r="FZ88" i="1" s="1"/>
  <c r="FF13" i="1"/>
  <c r="FG13" i="1" s="1"/>
  <c r="FH13" i="1" s="1"/>
  <c r="FI13" i="1" s="1"/>
  <c r="FK13" i="1" s="1"/>
  <c r="GA102" i="1"/>
  <c r="GB102" i="1" s="1"/>
  <c r="GC102" i="1" s="1"/>
  <c r="GF102" i="1" s="1"/>
  <c r="GJ102" i="1" s="1"/>
  <c r="GK102" i="1" s="1"/>
  <c r="GL102" i="1" s="1"/>
  <c r="GM102" i="1" s="1"/>
  <c r="GA196" i="1"/>
  <c r="GB196" i="1" s="1"/>
  <c r="GC196" i="1" s="1"/>
  <c r="GF196" i="1" s="1"/>
  <c r="GJ196" i="1" s="1"/>
  <c r="GK196" i="1" s="1"/>
  <c r="GL196" i="1" s="1"/>
  <c r="GM196" i="1" s="1"/>
  <c r="GA163" i="1"/>
  <c r="GB163" i="1" s="1"/>
  <c r="GC163" i="1" s="1"/>
  <c r="GF163" i="1" s="1"/>
  <c r="GJ163" i="1" s="1"/>
  <c r="GK163" i="1" s="1"/>
  <c r="GL163" i="1" s="1"/>
  <c r="GM163" i="1" s="1"/>
  <c r="GA161" i="1"/>
  <c r="GB161" i="1" s="1"/>
  <c r="GC161" i="1" s="1"/>
  <c r="GF161" i="1" s="1"/>
  <c r="GJ161" i="1" s="1"/>
  <c r="GK161" i="1" s="1"/>
  <c r="GL161" i="1" s="1"/>
  <c r="GM161" i="1" s="1"/>
  <c r="FR263" i="1"/>
  <c r="GA263" i="1"/>
  <c r="GB263" i="1" s="1"/>
  <c r="GA45" i="1"/>
  <c r="GB45" i="1" s="1"/>
  <c r="GC45" i="1" s="1"/>
  <c r="GF45" i="1" s="1"/>
  <c r="GJ45" i="1" s="1"/>
  <c r="GK45" i="1" s="1"/>
  <c r="GL45" i="1" s="1"/>
  <c r="GM45" i="1" s="1"/>
  <c r="FS60" i="1"/>
  <c r="FT60" i="1" s="1"/>
  <c r="GA278" i="1"/>
  <c r="GB278" i="1" s="1"/>
  <c r="GC278" i="1" s="1"/>
  <c r="GF278" i="1" s="1"/>
  <c r="GJ278" i="1" s="1"/>
  <c r="GK278" i="1" s="1"/>
  <c r="GL278" i="1" s="1"/>
  <c r="GM278" i="1" s="1"/>
  <c r="GA34" i="1"/>
  <c r="GB34" i="1" s="1"/>
  <c r="GC34" i="1" s="1"/>
  <c r="GF34" i="1" s="1"/>
  <c r="GJ34" i="1" s="1"/>
  <c r="GK34" i="1" s="1"/>
  <c r="GL34" i="1" s="1"/>
  <c r="GM34" i="1" s="1"/>
  <c r="FF212" i="1"/>
  <c r="FG212" i="1" s="1"/>
  <c r="FH212" i="1" s="1"/>
  <c r="FI212" i="1" s="1"/>
  <c r="FK212" i="1" s="1"/>
  <c r="GA288" i="1"/>
  <c r="GB288" i="1" s="1"/>
  <c r="GC288" i="1" s="1"/>
  <c r="GF288" i="1" s="1"/>
  <c r="GJ288" i="1" s="1"/>
  <c r="GK288" i="1" s="1"/>
  <c r="GL288" i="1" s="1"/>
  <c r="GM288" i="1" s="1"/>
  <c r="GA275" i="1"/>
  <c r="GB275" i="1" s="1"/>
  <c r="GC275" i="1" s="1"/>
  <c r="GF275" i="1" s="1"/>
  <c r="GJ275" i="1" s="1"/>
  <c r="GK275" i="1" s="1"/>
  <c r="GL275" i="1" s="1"/>
  <c r="GM275" i="1" s="1"/>
  <c r="GA221" i="1"/>
  <c r="GB221" i="1" s="1"/>
  <c r="GC221" i="1" s="1"/>
  <c r="GF221" i="1" s="1"/>
  <c r="GJ221" i="1" s="1"/>
  <c r="GK221" i="1" s="1"/>
  <c r="GL221" i="1" s="1"/>
  <c r="GM221" i="1" s="1"/>
  <c r="GA249" i="1"/>
  <c r="GB249" i="1" s="1"/>
  <c r="GC249" i="1" s="1"/>
  <c r="GF249" i="1" s="1"/>
  <c r="GJ249" i="1" s="1"/>
  <c r="GK249" i="1" s="1"/>
  <c r="GL249" i="1" s="1"/>
  <c r="GM249" i="1" s="1"/>
  <c r="GA18" i="1"/>
  <c r="GB18" i="1" s="1"/>
  <c r="GC18" i="1" s="1"/>
  <c r="GF18" i="1" s="1"/>
  <c r="GJ18" i="1" s="1"/>
  <c r="GK18" i="1" s="1"/>
  <c r="GL18" i="1" s="1"/>
  <c r="GM18" i="1" s="1"/>
  <c r="GA245" i="1"/>
  <c r="GB245" i="1" s="1"/>
  <c r="GC245" i="1" s="1"/>
  <c r="GF245" i="1" s="1"/>
  <c r="GJ245" i="1" s="1"/>
  <c r="GK245" i="1" s="1"/>
  <c r="GL245" i="1" s="1"/>
  <c r="GM245" i="1" s="1"/>
  <c r="GA172" i="1"/>
  <c r="GB172" i="1" s="1"/>
  <c r="GC172" i="1" s="1"/>
  <c r="GF172" i="1" s="1"/>
  <c r="GJ172" i="1" s="1"/>
  <c r="GK172" i="1" s="1"/>
  <c r="GL172" i="1" s="1"/>
  <c r="GM172" i="1" s="1"/>
  <c r="GA239" i="1"/>
  <c r="GB239" i="1" s="1"/>
  <c r="GC239" i="1" s="1"/>
  <c r="GF239" i="1" s="1"/>
  <c r="GJ239" i="1" s="1"/>
  <c r="GK239" i="1" s="1"/>
  <c r="GL239" i="1" s="1"/>
  <c r="GM239" i="1" s="1"/>
  <c r="FW60" i="1"/>
  <c r="FX60" i="1" s="1"/>
  <c r="GA22" i="1"/>
  <c r="GB22" i="1" s="1"/>
  <c r="GC22" i="1" s="1"/>
  <c r="GF22" i="1" s="1"/>
  <c r="GJ22" i="1" s="1"/>
  <c r="GK22" i="1" s="1"/>
  <c r="GL22" i="1" s="1"/>
  <c r="GM22" i="1" s="1"/>
  <c r="GD60" i="1"/>
  <c r="GA42" i="1"/>
  <c r="GB42" i="1" s="1"/>
  <c r="GC42" i="1" s="1"/>
  <c r="GF42" i="1" s="1"/>
  <c r="GJ42" i="1" s="1"/>
  <c r="GK42" i="1" s="1"/>
  <c r="GL42" i="1" s="1"/>
  <c r="GM42" i="1" s="1"/>
  <c r="GA200" i="1"/>
  <c r="GB200" i="1" s="1"/>
  <c r="GC200" i="1" s="1"/>
  <c r="GF200" i="1" s="1"/>
  <c r="GJ200" i="1" s="1"/>
  <c r="GK200" i="1" s="1"/>
  <c r="GL200" i="1" s="1"/>
  <c r="GM200" i="1" s="1"/>
  <c r="GA203" i="1"/>
  <c r="GB203" i="1" s="1"/>
  <c r="GC203" i="1" s="1"/>
  <c r="GF203" i="1" s="1"/>
  <c r="GJ203" i="1" s="1"/>
  <c r="GK203" i="1" s="1"/>
  <c r="GL203" i="1" s="1"/>
  <c r="GM203" i="1" s="1"/>
  <c r="GA122" i="1"/>
  <c r="GB122" i="1" s="1"/>
  <c r="GC122" i="1" s="1"/>
  <c r="GF122" i="1" s="1"/>
  <c r="GJ122" i="1" s="1"/>
  <c r="GK122" i="1" s="1"/>
  <c r="GL122" i="1" s="1"/>
  <c r="GM122" i="1" s="1"/>
  <c r="GA153" i="1"/>
  <c r="GB153" i="1" s="1"/>
  <c r="GC153" i="1" s="1"/>
  <c r="GF153" i="1" s="1"/>
  <c r="GJ153" i="1" s="1"/>
  <c r="GK153" i="1" s="1"/>
  <c r="GL153" i="1" s="1"/>
  <c r="GM153" i="1" s="1"/>
  <c r="GA253" i="1"/>
  <c r="GB253" i="1" s="1"/>
  <c r="GC253" i="1" s="1"/>
  <c r="GF253" i="1" s="1"/>
  <c r="GJ253" i="1" s="1"/>
  <c r="GK253" i="1" s="1"/>
  <c r="GL253" i="1" s="1"/>
  <c r="GM253" i="1" s="1"/>
  <c r="GC92" i="1"/>
  <c r="GF92" i="1" s="1"/>
  <c r="GJ92" i="1" s="1"/>
  <c r="GK92" i="1" s="1"/>
  <c r="GL92" i="1" s="1"/>
  <c r="GM92" i="1" s="1"/>
  <c r="GA193" i="1"/>
  <c r="GB193" i="1" s="1"/>
  <c r="GC193" i="1" s="1"/>
  <c r="GF193" i="1" s="1"/>
  <c r="GJ193" i="1" s="1"/>
  <c r="GK193" i="1" s="1"/>
  <c r="GL193" i="1" s="1"/>
  <c r="GM193" i="1" s="1"/>
  <c r="GA274" i="1"/>
  <c r="GB274" i="1" s="1"/>
  <c r="GC274" i="1" s="1"/>
  <c r="GF274" i="1" s="1"/>
  <c r="GJ274" i="1" s="1"/>
  <c r="GK274" i="1" s="1"/>
  <c r="GL274" i="1" s="1"/>
  <c r="GM274" i="1" s="1"/>
  <c r="FF202" i="1"/>
  <c r="FG202" i="1" s="1"/>
  <c r="FH202" i="1" s="1"/>
  <c r="FI202" i="1" s="1"/>
  <c r="FK202" i="1" s="1"/>
  <c r="FF241" i="1"/>
  <c r="FG241" i="1" s="1"/>
  <c r="FH241" i="1" s="1"/>
  <c r="FI241" i="1" s="1"/>
  <c r="FK241" i="1" s="1"/>
  <c r="FF6" i="1"/>
  <c r="FG6" i="1" s="1"/>
  <c r="FH6" i="1" s="1"/>
  <c r="FI6" i="1" s="1"/>
  <c r="FK6" i="1" s="1"/>
  <c r="FF15" i="1"/>
  <c r="FG15" i="1" s="1"/>
  <c r="FH15" i="1" s="1"/>
  <c r="FI15" i="1" s="1"/>
  <c r="FK15" i="1" s="1"/>
  <c r="GA83" i="1"/>
  <c r="GB83" i="1" s="1"/>
  <c r="GC83" i="1" s="1"/>
  <c r="GF83" i="1" s="1"/>
  <c r="GJ83" i="1" s="1"/>
  <c r="GK83" i="1" s="1"/>
  <c r="GL83" i="1" s="1"/>
  <c r="GM83" i="1" s="1"/>
  <c r="GA8" i="1"/>
  <c r="GB8" i="1" s="1"/>
  <c r="GC8" i="1" s="1"/>
  <c r="GF8" i="1" s="1"/>
  <c r="GJ8" i="1" s="1"/>
  <c r="GK8" i="1" s="1"/>
  <c r="GL8" i="1" s="1"/>
  <c r="GM8" i="1" s="1"/>
  <c r="GA70" i="1"/>
  <c r="GB70" i="1" s="1"/>
  <c r="GC70" i="1" s="1"/>
  <c r="GF70" i="1" s="1"/>
  <c r="GJ70" i="1" s="1"/>
  <c r="GK70" i="1" s="1"/>
  <c r="GL70" i="1" s="1"/>
  <c r="GM70" i="1" s="1"/>
  <c r="FQ13" i="1"/>
  <c r="GE13" i="1"/>
  <c r="GD13" i="1"/>
  <c r="FY13" i="1"/>
  <c r="FZ13" i="1" s="1"/>
  <c r="FU13" i="1"/>
  <c r="FV13" i="1" s="1"/>
  <c r="GG13" i="1"/>
  <c r="GH13" i="1" s="1"/>
  <c r="GI13" i="1" s="1"/>
  <c r="FS13" i="1"/>
  <c r="FT13" i="1" s="1"/>
  <c r="FW13" i="1"/>
  <c r="FX13" i="1" s="1"/>
  <c r="GA146" i="1"/>
  <c r="GB146" i="1" s="1"/>
  <c r="GC146" i="1" s="1"/>
  <c r="GF146" i="1" s="1"/>
  <c r="GJ146" i="1" s="1"/>
  <c r="GK146" i="1" s="1"/>
  <c r="GL146" i="1" s="1"/>
  <c r="GM146" i="1" s="1"/>
  <c r="GA255" i="1"/>
  <c r="GB255" i="1" s="1"/>
  <c r="GC255" i="1" s="1"/>
  <c r="GF255" i="1" s="1"/>
  <c r="GJ255" i="1" s="1"/>
  <c r="GK255" i="1" s="1"/>
  <c r="GL255" i="1" s="1"/>
  <c r="GM255" i="1" s="1"/>
  <c r="GA290" i="1"/>
  <c r="GB290" i="1" s="1"/>
  <c r="GC290" i="1" s="1"/>
  <c r="GF290" i="1" s="1"/>
  <c r="GJ290" i="1" s="1"/>
  <c r="GK290" i="1" s="1"/>
  <c r="GL290" i="1" s="1"/>
  <c r="GM290" i="1" s="1"/>
  <c r="GA148" i="1"/>
  <c r="GB148" i="1" s="1"/>
  <c r="GC148" i="1" s="1"/>
  <c r="GF148" i="1" s="1"/>
  <c r="GJ148" i="1" s="1"/>
  <c r="GK148" i="1" s="1"/>
  <c r="GL148" i="1" s="1"/>
  <c r="GM148" i="1" s="1"/>
  <c r="GA149" i="1"/>
  <c r="GB149" i="1" s="1"/>
  <c r="GC149" i="1" s="1"/>
  <c r="GF149" i="1" s="1"/>
  <c r="GJ149" i="1" s="1"/>
  <c r="GK149" i="1" s="1"/>
  <c r="GL149" i="1" s="1"/>
  <c r="GM149" i="1" s="1"/>
  <c r="GA29" i="1"/>
  <c r="GB29" i="1" s="1"/>
  <c r="GC29" i="1" s="1"/>
  <c r="GF29" i="1" s="1"/>
  <c r="GJ29" i="1" s="1"/>
  <c r="GK29" i="1" s="1"/>
  <c r="GL29" i="1" s="1"/>
  <c r="GM29" i="1" s="1"/>
  <c r="GA201" i="1"/>
  <c r="GB201" i="1" s="1"/>
  <c r="GC201" i="1" s="1"/>
  <c r="GF201" i="1" s="1"/>
  <c r="GJ201" i="1" s="1"/>
  <c r="GK201" i="1" s="1"/>
  <c r="GL201" i="1" s="1"/>
  <c r="GM201" i="1" s="1"/>
  <c r="FX87" i="1"/>
  <c r="GA87" i="1"/>
  <c r="GB87" i="1" s="1"/>
  <c r="FF171" i="1"/>
  <c r="FG171" i="1" s="1"/>
  <c r="FH171" i="1" s="1"/>
  <c r="FI171" i="1" s="1"/>
  <c r="FK171" i="1" s="1"/>
  <c r="FF250" i="1"/>
  <c r="FG250" i="1" s="1"/>
  <c r="FH250" i="1" s="1"/>
  <c r="FI250" i="1" s="1"/>
  <c r="FK250" i="1" s="1"/>
  <c r="FF31" i="1"/>
  <c r="FG31" i="1" s="1"/>
  <c r="FH31" i="1" s="1"/>
  <c r="FI31" i="1" s="1"/>
  <c r="FK31" i="1" s="1"/>
  <c r="FF180" i="1"/>
  <c r="FG180" i="1" s="1"/>
  <c r="FH180" i="1" s="1"/>
  <c r="FI180" i="1" s="1"/>
  <c r="FK180" i="1" s="1"/>
  <c r="FF177" i="1"/>
  <c r="FG177" i="1" s="1"/>
  <c r="FH177" i="1" s="1"/>
  <c r="FI177" i="1" s="1"/>
  <c r="FK177" i="1" s="1"/>
  <c r="FF7" i="1"/>
  <c r="FG7" i="1" s="1"/>
  <c r="FH7" i="1" s="1"/>
  <c r="FI7" i="1" s="1"/>
  <c r="FK7" i="1" s="1"/>
  <c r="GC75" i="1"/>
  <c r="GF75" i="1" s="1"/>
  <c r="GJ75" i="1" s="1"/>
  <c r="GK75" i="1" s="1"/>
  <c r="GL75" i="1" s="1"/>
  <c r="GM75" i="1" s="1"/>
  <c r="GA299" i="1"/>
  <c r="GB299" i="1" s="1"/>
  <c r="GC299" i="1" s="1"/>
  <c r="GF299" i="1" s="1"/>
  <c r="GJ299" i="1" s="1"/>
  <c r="GK299" i="1" s="1"/>
  <c r="GL299" i="1" s="1"/>
  <c r="GM299" i="1" s="1"/>
  <c r="GA136" i="1"/>
  <c r="GB136" i="1" s="1"/>
  <c r="GC136" i="1" s="1"/>
  <c r="GF136" i="1" s="1"/>
  <c r="GJ136" i="1" s="1"/>
  <c r="GK136" i="1" s="1"/>
  <c r="GL136" i="1" s="1"/>
  <c r="GM136" i="1" s="1"/>
  <c r="FF104" i="1"/>
  <c r="FG104" i="1" s="1"/>
  <c r="FH104" i="1" s="1"/>
  <c r="FI104" i="1" s="1"/>
  <c r="FK104" i="1" s="1"/>
  <c r="FF64" i="1"/>
  <c r="FG64" i="1" s="1"/>
  <c r="FH64" i="1" s="1"/>
  <c r="FI64" i="1" s="1"/>
  <c r="FK64" i="1" s="1"/>
  <c r="FF284" i="1"/>
  <c r="FG284" i="1" s="1"/>
  <c r="FH284" i="1" s="1"/>
  <c r="FI284" i="1" s="1"/>
  <c r="FK284" i="1" s="1"/>
  <c r="FF99" i="1"/>
  <c r="FG99" i="1" s="1"/>
  <c r="FH99" i="1" s="1"/>
  <c r="FI99" i="1" s="1"/>
  <c r="FK99" i="1" s="1"/>
  <c r="GA53" i="1"/>
  <c r="GB53" i="1" s="1"/>
  <c r="GC53" i="1" s="1"/>
  <c r="GF53" i="1" s="1"/>
  <c r="GJ53" i="1" s="1"/>
  <c r="GK53" i="1" s="1"/>
  <c r="GL53" i="1" s="1"/>
  <c r="GM53" i="1" s="1"/>
  <c r="GC143" i="1"/>
  <c r="GF143" i="1" s="1"/>
  <c r="GJ143" i="1" s="1"/>
  <c r="GK143" i="1" s="1"/>
  <c r="GL143" i="1" s="1"/>
  <c r="GM143" i="1" s="1"/>
  <c r="FF61" i="1"/>
  <c r="FG61" i="1" s="1"/>
  <c r="FH61" i="1" s="1"/>
  <c r="FI61" i="1" s="1"/>
  <c r="FK61" i="1" s="1"/>
  <c r="GA151" i="1"/>
  <c r="GB151" i="1" s="1"/>
  <c r="GC151" i="1" s="1"/>
  <c r="GF151" i="1" s="1"/>
  <c r="GJ151" i="1" s="1"/>
  <c r="GK151" i="1" s="1"/>
  <c r="GL151" i="1" s="1"/>
  <c r="GM151" i="1" s="1"/>
  <c r="FS4" i="1"/>
  <c r="FT4" i="1" s="1"/>
  <c r="GA177" i="1"/>
  <c r="GB177" i="1" s="1"/>
  <c r="GC177" i="1" s="1"/>
  <c r="GF177" i="1" s="1"/>
  <c r="GJ177" i="1" s="1"/>
  <c r="GK177" i="1" s="1"/>
  <c r="GL177" i="1" s="1"/>
  <c r="GM177" i="1" s="1"/>
  <c r="GG4" i="1"/>
  <c r="GH4" i="1" s="1"/>
  <c r="GI4" i="1" s="1"/>
  <c r="FF128" i="1"/>
  <c r="FG128" i="1" s="1"/>
  <c r="FH128" i="1" s="1"/>
  <c r="FI128" i="1" s="1"/>
  <c r="FK128" i="1" s="1"/>
  <c r="FY4" i="1"/>
  <c r="FZ4" i="1" s="1"/>
  <c r="GA113" i="1"/>
  <c r="GB113" i="1" s="1"/>
  <c r="GC113" i="1" s="1"/>
  <c r="GF113" i="1" s="1"/>
  <c r="GJ113" i="1" s="1"/>
  <c r="GK113" i="1" s="1"/>
  <c r="GL113" i="1" s="1"/>
  <c r="GM113" i="1" s="1"/>
  <c r="GA225" i="1"/>
  <c r="GB225" i="1" s="1"/>
  <c r="GC225" i="1" s="1"/>
  <c r="GF225" i="1" s="1"/>
  <c r="GJ225" i="1" s="1"/>
  <c r="GK225" i="1" s="1"/>
  <c r="GL225" i="1" s="1"/>
  <c r="GM225" i="1" s="1"/>
  <c r="GA3" i="1"/>
  <c r="GB3" i="1" s="1"/>
  <c r="GC3" i="1" s="1"/>
  <c r="GF3" i="1" s="1"/>
  <c r="GJ3" i="1" s="1"/>
  <c r="GK3" i="1" s="1"/>
  <c r="GL3" i="1" s="1"/>
  <c r="GM3" i="1" s="1"/>
  <c r="FF63" i="1"/>
  <c r="FG63" i="1" s="1"/>
  <c r="FH63" i="1" s="1"/>
  <c r="FI63" i="1" s="1"/>
  <c r="FK63" i="1" s="1"/>
  <c r="FF43" i="1"/>
  <c r="FG43" i="1" s="1"/>
  <c r="FH43" i="1" s="1"/>
  <c r="FI43" i="1" s="1"/>
  <c r="FK43" i="1" s="1"/>
  <c r="FU4" i="1"/>
  <c r="FV4" i="1" s="1"/>
  <c r="FF219" i="1"/>
  <c r="FG219" i="1" s="1"/>
  <c r="FH219" i="1" s="1"/>
  <c r="FI219" i="1" s="1"/>
  <c r="FK219" i="1" s="1"/>
  <c r="FF62" i="1"/>
  <c r="FG62" i="1" s="1"/>
  <c r="FH62" i="1" s="1"/>
  <c r="FI62" i="1" s="1"/>
  <c r="FK62" i="1" s="1"/>
  <c r="GA297" i="1"/>
  <c r="GB297" i="1" s="1"/>
  <c r="GC297" i="1" s="1"/>
  <c r="GF297" i="1" s="1"/>
  <c r="GJ297" i="1" s="1"/>
  <c r="GK297" i="1" s="1"/>
  <c r="GL297" i="1" s="1"/>
  <c r="GM297" i="1" s="1"/>
  <c r="FF291" i="1"/>
  <c r="FG291" i="1" s="1"/>
  <c r="FH291" i="1" s="1"/>
  <c r="FI291" i="1" s="1"/>
  <c r="FK291" i="1" s="1"/>
  <c r="FQ4" i="1"/>
  <c r="FR4" i="1" s="1"/>
  <c r="FF114" i="1"/>
  <c r="FG114" i="1" s="1"/>
  <c r="FH114" i="1" s="1"/>
  <c r="FI114" i="1" s="1"/>
  <c r="FK114" i="1" s="1"/>
  <c r="GA57" i="1"/>
  <c r="GB57" i="1" s="1"/>
  <c r="GC57" i="1" s="1"/>
  <c r="GF57" i="1" s="1"/>
  <c r="GJ57" i="1" s="1"/>
  <c r="GK57" i="1" s="1"/>
  <c r="GL57" i="1" s="1"/>
  <c r="GM57" i="1" s="1"/>
  <c r="FF112" i="1"/>
  <c r="FG112" i="1" s="1"/>
  <c r="FH112" i="1" s="1"/>
  <c r="FI112" i="1" s="1"/>
  <c r="FK112" i="1" s="1"/>
  <c r="FF36" i="1"/>
  <c r="FG36" i="1" s="1"/>
  <c r="FH36" i="1" s="1"/>
  <c r="FI36" i="1" s="1"/>
  <c r="FK36" i="1" s="1"/>
  <c r="GA133" i="1"/>
  <c r="GB133" i="1" s="1"/>
  <c r="GC133" i="1" s="1"/>
  <c r="GF133" i="1" s="1"/>
  <c r="GJ133" i="1" s="1"/>
  <c r="GK133" i="1" s="1"/>
  <c r="GL133" i="1" s="1"/>
  <c r="GM133" i="1" s="1"/>
  <c r="GA195" i="1"/>
  <c r="GB195" i="1" s="1"/>
  <c r="GC195" i="1" s="1"/>
  <c r="GF195" i="1" s="1"/>
  <c r="GJ195" i="1" s="1"/>
  <c r="GK195" i="1" s="1"/>
  <c r="GL195" i="1" s="1"/>
  <c r="GM195" i="1" s="1"/>
  <c r="GA155" i="1"/>
  <c r="GB155" i="1" s="1"/>
  <c r="GC155" i="1" s="1"/>
  <c r="GF155" i="1" s="1"/>
  <c r="GJ155" i="1" s="1"/>
  <c r="GK155" i="1" s="1"/>
  <c r="GL155" i="1" s="1"/>
  <c r="GM155" i="1" s="1"/>
  <c r="GA207" i="1"/>
  <c r="GB207" i="1" s="1"/>
  <c r="GC207" i="1" s="1"/>
  <c r="GF207" i="1" s="1"/>
  <c r="GJ207" i="1" s="1"/>
  <c r="GK207" i="1" s="1"/>
  <c r="GL207" i="1" s="1"/>
  <c r="GM207" i="1" s="1"/>
  <c r="GA259" i="1"/>
  <c r="GB259" i="1" s="1"/>
  <c r="GC259" i="1" s="1"/>
  <c r="GF259" i="1" s="1"/>
  <c r="GJ259" i="1" s="1"/>
  <c r="GK259" i="1" s="1"/>
  <c r="GL259" i="1" s="1"/>
  <c r="GM259" i="1" s="1"/>
  <c r="GC215" i="1"/>
  <c r="GF215" i="1" s="1"/>
  <c r="GJ215" i="1" s="1"/>
  <c r="GK215" i="1" s="1"/>
  <c r="GL215" i="1" s="1"/>
  <c r="GM215" i="1" s="1"/>
  <c r="GA119" i="1"/>
  <c r="GB119" i="1" s="1"/>
  <c r="GC119" i="1" s="1"/>
  <c r="GF119" i="1" s="1"/>
  <c r="GJ119" i="1" s="1"/>
  <c r="GK119" i="1" s="1"/>
  <c r="GL119" i="1" s="1"/>
  <c r="GM119" i="1" s="1"/>
  <c r="GA115" i="1"/>
  <c r="GB115" i="1" s="1"/>
  <c r="GC115" i="1" s="1"/>
  <c r="GF115" i="1" s="1"/>
  <c r="GJ115" i="1" s="1"/>
  <c r="GK115" i="1" s="1"/>
  <c r="GL115" i="1" s="1"/>
  <c r="GM115" i="1" s="1"/>
  <c r="GA6" i="1"/>
  <c r="GB6" i="1" s="1"/>
  <c r="GC6" i="1" s="1"/>
  <c r="GF6" i="1" s="1"/>
  <c r="GJ6" i="1" s="1"/>
  <c r="GK6" i="1" s="1"/>
  <c r="GL6" i="1" s="1"/>
  <c r="GM6" i="1" s="1"/>
  <c r="GA176" i="1"/>
  <c r="GB176" i="1" s="1"/>
  <c r="GC176" i="1" s="1"/>
  <c r="GF176" i="1" s="1"/>
  <c r="GJ176" i="1" s="1"/>
  <c r="GK176" i="1" s="1"/>
  <c r="GL176" i="1" s="1"/>
  <c r="GM176" i="1" s="1"/>
  <c r="GA270" i="1"/>
  <c r="GB270" i="1" s="1"/>
  <c r="GC270" i="1" s="1"/>
  <c r="GF270" i="1" s="1"/>
  <c r="GJ270" i="1" s="1"/>
  <c r="GK270" i="1" s="1"/>
  <c r="GL270" i="1" s="1"/>
  <c r="GM270" i="1" s="1"/>
  <c r="GA205" i="1"/>
  <c r="GB205" i="1" s="1"/>
  <c r="GC205" i="1" s="1"/>
  <c r="GF205" i="1" s="1"/>
  <c r="GJ205" i="1" s="1"/>
  <c r="GK205" i="1" s="1"/>
  <c r="GL205" i="1" s="1"/>
  <c r="GM205" i="1" s="1"/>
  <c r="GA228" i="1"/>
  <c r="GB228" i="1" s="1"/>
  <c r="GC228" i="1" s="1"/>
  <c r="GF228" i="1" s="1"/>
  <c r="GJ228" i="1" s="1"/>
  <c r="GK228" i="1" s="1"/>
  <c r="GL228" i="1" s="1"/>
  <c r="GM228" i="1" s="1"/>
  <c r="GA271" i="1"/>
  <c r="GB271" i="1" s="1"/>
  <c r="GC271" i="1" s="1"/>
  <c r="GF271" i="1" s="1"/>
  <c r="GJ271" i="1" s="1"/>
  <c r="GK271" i="1" s="1"/>
  <c r="GL271" i="1" s="1"/>
  <c r="GM271" i="1" s="1"/>
  <c r="GA276" i="1"/>
  <c r="GB276" i="1" s="1"/>
  <c r="GC276" i="1" s="1"/>
  <c r="GF276" i="1" s="1"/>
  <c r="GJ276" i="1" s="1"/>
  <c r="GK276" i="1" s="1"/>
  <c r="GL276" i="1" s="1"/>
  <c r="GM276" i="1" s="1"/>
  <c r="GA128" i="1"/>
  <c r="GB128" i="1" s="1"/>
  <c r="GC128" i="1" s="1"/>
  <c r="GF128" i="1" s="1"/>
  <c r="GJ128" i="1" s="1"/>
  <c r="GK128" i="1" s="1"/>
  <c r="GL128" i="1" s="1"/>
  <c r="GM128" i="1" s="1"/>
  <c r="GA73" i="1"/>
  <c r="GB73" i="1" s="1"/>
  <c r="GC73" i="1" s="1"/>
  <c r="GF73" i="1" s="1"/>
  <c r="GJ73" i="1" s="1"/>
  <c r="GK73" i="1" s="1"/>
  <c r="GL73" i="1" s="1"/>
  <c r="GM73" i="1" s="1"/>
  <c r="GA165" i="1"/>
  <c r="GB165" i="1" s="1"/>
  <c r="GC165" i="1" s="1"/>
  <c r="GF165" i="1" s="1"/>
  <c r="GJ165" i="1" s="1"/>
  <c r="GK165" i="1" s="1"/>
  <c r="GL165" i="1" s="1"/>
  <c r="GM165" i="1" s="1"/>
  <c r="GC248" i="1"/>
  <c r="GF248" i="1" s="1"/>
  <c r="GJ248" i="1" s="1"/>
  <c r="GK248" i="1" s="1"/>
  <c r="GL248" i="1" s="1"/>
  <c r="GM248" i="1" s="1"/>
  <c r="GA59" i="1"/>
  <c r="GB59" i="1" s="1"/>
  <c r="GC59" i="1" s="1"/>
  <c r="GF59" i="1" s="1"/>
  <c r="GJ59" i="1" s="1"/>
  <c r="GK59" i="1" s="1"/>
  <c r="GL59" i="1" s="1"/>
  <c r="GM59" i="1" s="1"/>
  <c r="GA281" i="1"/>
  <c r="GB281" i="1" s="1"/>
  <c r="GC281" i="1" s="1"/>
  <c r="GF281" i="1" s="1"/>
  <c r="GJ281" i="1" s="1"/>
  <c r="GK281" i="1" s="1"/>
  <c r="GL281" i="1" s="1"/>
  <c r="GM281" i="1" s="1"/>
  <c r="GA272" i="1"/>
  <c r="GB272" i="1" s="1"/>
  <c r="GC272" i="1" s="1"/>
  <c r="GF272" i="1" s="1"/>
  <c r="GJ272" i="1" s="1"/>
  <c r="GK272" i="1" s="1"/>
  <c r="GL272" i="1" s="1"/>
  <c r="GM272" i="1" s="1"/>
  <c r="GC264" i="1"/>
  <c r="GF264" i="1" s="1"/>
  <c r="GJ264" i="1" s="1"/>
  <c r="GK264" i="1" s="1"/>
  <c r="GL264" i="1" s="1"/>
  <c r="GM264" i="1" s="1"/>
  <c r="GC41" i="1"/>
  <c r="GF41" i="1" s="1"/>
  <c r="GJ41" i="1" s="1"/>
  <c r="GK41" i="1" s="1"/>
  <c r="GL41" i="1" s="1"/>
  <c r="GM41" i="1" s="1"/>
  <c r="GA241" i="1"/>
  <c r="GB241" i="1" s="1"/>
  <c r="GC241" i="1" s="1"/>
  <c r="GF241" i="1" s="1"/>
  <c r="GJ241" i="1" s="1"/>
  <c r="GK241" i="1" s="1"/>
  <c r="GL241" i="1" s="1"/>
  <c r="GM241" i="1" s="1"/>
  <c r="GA220" i="1"/>
  <c r="GB220" i="1" s="1"/>
  <c r="GC220" i="1" s="1"/>
  <c r="GF220" i="1" s="1"/>
  <c r="GJ220" i="1" s="1"/>
  <c r="GK220" i="1" s="1"/>
  <c r="GL220" i="1" s="1"/>
  <c r="GM220" i="1" s="1"/>
  <c r="GA154" i="1"/>
  <c r="GB154" i="1" s="1"/>
  <c r="GC154" i="1" s="1"/>
  <c r="GF154" i="1" s="1"/>
  <c r="GJ154" i="1" s="1"/>
  <c r="GK154" i="1" s="1"/>
  <c r="GL154" i="1" s="1"/>
  <c r="GM154" i="1" s="1"/>
  <c r="GA101" i="1"/>
  <c r="GB101" i="1" s="1"/>
  <c r="GC101" i="1" s="1"/>
  <c r="GF101" i="1" s="1"/>
  <c r="GJ101" i="1" s="1"/>
  <c r="GK101" i="1" s="1"/>
  <c r="GL101" i="1" s="1"/>
  <c r="GM101" i="1" s="1"/>
  <c r="GA233" i="1"/>
  <c r="GB233" i="1" s="1"/>
  <c r="GC233" i="1" s="1"/>
  <c r="GF233" i="1" s="1"/>
  <c r="GJ233" i="1" s="1"/>
  <c r="GK233" i="1" s="1"/>
  <c r="GL233" i="1" s="1"/>
  <c r="GM233" i="1" s="1"/>
  <c r="GA16" i="1"/>
  <c r="GB16" i="1" s="1"/>
  <c r="GC16" i="1" s="1"/>
  <c r="GF16" i="1" s="1"/>
  <c r="GJ16" i="1" s="1"/>
  <c r="GK16" i="1" s="1"/>
  <c r="GL16" i="1" s="1"/>
  <c r="GM16" i="1" s="1"/>
  <c r="GA293" i="1"/>
  <c r="GB293" i="1" s="1"/>
  <c r="GC293" i="1" s="1"/>
  <c r="GF293" i="1" s="1"/>
  <c r="GJ293" i="1" s="1"/>
  <c r="GK293" i="1" s="1"/>
  <c r="GL293" i="1" s="1"/>
  <c r="GM293" i="1" s="1"/>
  <c r="GC134" i="1"/>
  <c r="GF134" i="1" s="1"/>
  <c r="GJ134" i="1" s="1"/>
  <c r="GK134" i="1" s="1"/>
  <c r="GL134" i="1" s="1"/>
  <c r="GM134" i="1" s="1"/>
  <c r="GA12" i="1"/>
  <c r="GB12" i="1" s="1"/>
  <c r="GC12" i="1" s="1"/>
  <c r="GF12" i="1" s="1"/>
  <c r="GJ12" i="1" s="1"/>
  <c r="GK12" i="1" s="1"/>
  <c r="GL12" i="1" s="1"/>
  <c r="GM12" i="1" s="1"/>
  <c r="GA289" i="1"/>
  <c r="GB289" i="1" s="1"/>
  <c r="GC289" i="1" s="1"/>
  <c r="GF289" i="1" s="1"/>
  <c r="GJ289" i="1" s="1"/>
  <c r="GK289" i="1" s="1"/>
  <c r="GL289" i="1" s="1"/>
  <c r="GM289" i="1" s="1"/>
  <c r="GA189" i="1"/>
  <c r="GB189" i="1" s="1"/>
  <c r="GC189" i="1" s="1"/>
  <c r="GF189" i="1" s="1"/>
  <c r="GJ189" i="1" s="1"/>
  <c r="GK189" i="1" s="1"/>
  <c r="GL189" i="1" s="1"/>
  <c r="GM189" i="1" s="1"/>
  <c r="GA55" i="1"/>
  <c r="GB55" i="1" s="1"/>
  <c r="GC55" i="1" s="1"/>
  <c r="GF55" i="1" s="1"/>
  <c r="GJ55" i="1" s="1"/>
  <c r="GK55" i="1" s="1"/>
  <c r="GL55" i="1" s="1"/>
  <c r="GM55" i="1" s="1"/>
  <c r="GC188" i="1"/>
  <c r="GF188" i="1" s="1"/>
  <c r="GJ188" i="1" s="1"/>
  <c r="GK188" i="1" s="1"/>
  <c r="GL188" i="1" s="1"/>
  <c r="GM188" i="1" s="1"/>
  <c r="GC140" i="1"/>
  <c r="GF140" i="1" s="1"/>
  <c r="GJ140" i="1" s="1"/>
  <c r="GK140" i="1" s="1"/>
  <c r="GL140" i="1" s="1"/>
  <c r="GM140" i="1" s="1"/>
  <c r="GA111" i="1"/>
  <c r="GB111" i="1" s="1"/>
  <c r="GC111" i="1" s="1"/>
  <c r="GF111" i="1" s="1"/>
  <c r="GJ111" i="1" s="1"/>
  <c r="GK111" i="1" s="1"/>
  <c r="GL111" i="1" s="1"/>
  <c r="GM111" i="1" s="1"/>
  <c r="GA246" i="1"/>
  <c r="GB246" i="1" s="1"/>
  <c r="GC246" i="1" s="1"/>
  <c r="GF246" i="1" s="1"/>
  <c r="GJ246" i="1" s="1"/>
  <c r="GK246" i="1" s="1"/>
  <c r="GL246" i="1" s="1"/>
  <c r="GM246" i="1" s="1"/>
  <c r="FU194" i="1"/>
  <c r="FV194" i="1" s="1"/>
  <c r="FY194" i="1"/>
  <c r="FZ194" i="1" s="1"/>
  <c r="GG194" i="1"/>
  <c r="GH194" i="1" s="1"/>
  <c r="GI194" i="1" s="1"/>
  <c r="FQ194" i="1"/>
  <c r="FR194" i="1" s="1"/>
  <c r="GD194" i="1"/>
  <c r="FS194" i="1"/>
  <c r="FT194" i="1" s="1"/>
  <c r="GE194" i="1"/>
  <c r="FW194" i="1"/>
  <c r="FX194" i="1" s="1"/>
  <c r="GA121" i="1"/>
  <c r="GB121" i="1" s="1"/>
  <c r="GC121" i="1" s="1"/>
  <c r="GF121" i="1" s="1"/>
  <c r="GJ121" i="1" s="1"/>
  <c r="GK121" i="1" s="1"/>
  <c r="GL121" i="1" s="1"/>
  <c r="GM121" i="1" s="1"/>
  <c r="GC23" i="1"/>
  <c r="GF23" i="1" s="1"/>
  <c r="GJ23" i="1" s="1"/>
  <c r="GK23" i="1" s="1"/>
  <c r="GL23" i="1" s="1"/>
  <c r="GM23" i="1" s="1"/>
  <c r="GA208" i="1"/>
  <c r="GB208" i="1" s="1"/>
  <c r="GC208" i="1" s="1"/>
  <c r="GF208" i="1" s="1"/>
  <c r="GJ208" i="1" s="1"/>
  <c r="GK208" i="1" s="1"/>
  <c r="GL208" i="1" s="1"/>
  <c r="GM208" i="1" s="1"/>
  <c r="GA235" i="1"/>
  <c r="GB235" i="1" s="1"/>
  <c r="GC235" i="1" s="1"/>
  <c r="GF235" i="1" s="1"/>
  <c r="GJ235" i="1" s="1"/>
  <c r="GK235" i="1" s="1"/>
  <c r="GL235" i="1" s="1"/>
  <c r="GM235" i="1" s="1"/>
  <c r="GA33" i="1"/>
  <c r="GB33" i="1" s="1"/>
  <c r="GC33" i="1" s="1"/>
  <c r="GF33" i="1" s="1"/>
  <c r="GJ33" i="1" s="1"/>
  <c r="GK33" i="1" s="1"/>
  <c r="GL33" i="1" s="1"/>
  <c r="GM33" i="1" s="1"/>
  <c r="GA251" i="1"/>
  <c r="GB251" i="1" s="1"/>
  <c r="GC251" i="1" s="1"/>
  <c r="GF251" i="1" s="1"/>
  <c r="GJ251" i="1" s="1"/>
  <c r="GK251" i="1" s="1"/>
  <c r="GL251" i="1" s="1"/>
  <c r="GM251" i="1" s="1"/>
  <c r="GA216" i="1"/>
  <c r="GB216" i="1" s="1"/>
  <c r="GC216" i="1" s="1"/>
  <c r="GF216" i="1" s="1"/>
  <c r="GJ216" i="1" s="1"/>
  <c r="GK216" i="1" s="1"/>
  <c r="GL216" i="1" s="1"/>
  <c r="GM216" i="1" s="1"/>
  <c r="GA258" i="1"/>
  <c r="GB258" i="1" s="1"/>
  <c r="GC258" i="1" s="1"/>
  <c r="GF258" i="1" s="1"/>
  <c r="GJ258" i="1" s="1"/>
  <c r="GK258" i="1" s="1"/>
  <c r="GL258" i="1" s="1"/>
  <c r="GM258" i="1" s="1"/>
  <c r="GA170" i="1"/>
  <c r="GB170" i="1" s="1"/>
  <c r="GC170" i="1" s="1"/>
  <c r="GF170" i="1" s="1"/>
  <c r="GJ170" i="1" s="1"/>
  <c r="GK170" i="1" s="1"/>
  <c r="GL170" i="1" s="1"/>
  <c r="GM170" i="1" s="1"/>
  <c r="GC243" i="1"/>
  <c r="GF243" i="1" s="1"/>
  <c r="GJ243" i="1" s="1"/>
  <c r="GK243" i="1" s="1"/>
  <c r="GL243" i="1" s="1"/>
  <c r="GM243" i="1" s="1"/>
  <c r="GC38" i="1"/>
  <c r="GF38" i="1" s="1"/>
  <c r="GJ38" i="1" s="1"/>
  <c r="GK38" i="1" s="1"/>
  <c r="GL38" i="1" s="1"/>
  <c r="GM38" i="1" s="1"/>
  <c r="GA131" i="1"/>
  <c r="GB131" i="1" s="1"/>
  <c r="GC131" i="1" s="1"/>
  <c r="GF131" i="1" s="1"/>
  <c r="GJ131" i="1" s="1"/>
  <c r="GK131" i="1" s="1"/>
  <c r="GL131" i="1" s="1"/>
  <c r="GM131" i="1" s="1"/>
  <c r="GA66" i="1"/>
  <c r="GB66" i="1" s="1"/>
  <c r="GC66" i="1" s="1"/>
  <c r="GF66" i="1" s="1"/>
  <c r="GJ66" i="1" s="1"/>
  <c r="GK66" i="1" s="1"/>
  <c r="GL66" i="1" s="1"/>
  <c r="GM66" i="1" s="1"/>
  <c r="GC268" i="1"/>
  <c r="GF268" i="1" s="1"/>
  <c r="GJ268" i="1" s="1"/>
  <c r="GK268" i="1" s="1"/>
  <c r="GA212" i="1"/>
  <c r="GB212" i="1" s="1"/>
  <c r="GC212" i="1" s="1"/>
  <c r="GF212" i="1" s="1"/>
  <c r="GJ212" i="1" s="1"/>
  <c r="GK212" i="1" s="1"/>
  <c r="GL212" i="1" s="1"/>
  <c r="GM212" i="1" s="1"/>
  <c r="FF56" i="1"/>
  <c r="FG56" i="1" s="1"/>
  <c r="FH56" i="1" s="1"/>
  <c r="FI56" i="1" s="1"/>
  <c r="FK56" i="1" s="1"/>
  <c r="GA19" i="1"/>
  <c r="GB19" i="1" s="1"/>
  <c r="GC19" i="1" s="1"/>
  <c r="GF19" i="1" s="1"/>
  <c r="GJ19" i="1" s="1"/>
  <c r="GK19" i="1" s="1"/>
  <c r="GL19" i="1" s="1"/>
  <c r="GM19" i="1" s="1"/>
  <c r="GA58" i="1"/>
  <c r="GB58" i="1" s="1"/>
  <c r="GC58" i="1" s="1"/>
  <c r="GF58" i="1" s="1"/>
  <c r="GJ58" i="1" s="1"/>
  <c r="GK58" i="1" s="1"/>
  <c r="GL58" i="1" s="1"/>
  <c r="GM58" i="1" s="1"/>
  <c r="GA15" i="1"/>
  <c r="GB15" i="1" s="1"/>
  <c r="GC15" i="1" s="1"/>
  <c r="GF15" i="1" s="1"/>
  <c r="GJ15" i="1" s="1"/>
  <c r="GK15" i="1" s="1"/>
  <c r="GL15" i="1" s="1"/>
  <c r="GM15" i="1" s="1"/>
  <c r="FF131" i="1"/>
  <c r="FG131" i="1" s="1"/>
  <c r="FH131" i="1" s="1"/>
  <c r="FI131" i="1" s="1"/>
  <c r="FK131" i="1" s="1"/>
  <c r="GA123" i="1"/>
  <c r="GB123" i="1" s="1"/>
  <c r="GC123" i="1" s="1"/>
  <c r="GF123" i="1" s="1"/>
  <c r="GJ123" i="1" s="1"/>
  <c r="GK123" i="1" s="1"/>
  <c r="GL123" i="1" s="1"/>
  <c r="GM123" i="1" s="1"/>
  <c r="FF278" i="1"/>
  <c r="FG278" i="1" s="1"/>
  <c r="FH278" i="1" s="1"/>
  <c r="FI278" i="1" s="1"/>
  <c r="FK278" i="1" s="1"/>
  <c r="FF252" i="1"/>
  <c r="FG252" i="1" s="1"/>
  <c r="FH252" i="1" s="1"/>
  <c r="FI252" i="1" s="1"/>
  <c r="FK252" i="1" s="1"/>
  <c r="FF81" i="1"/>
  <c r="FG81" i="1" s="1"/>
  <c r="FH81" i="1" s="1"/>
  <c r="FI81" i="1" s="1"/>
  <c r="FK81" i="1" s="1"/>
  <c r="FF126" i="1"/>
  <c r="FG126" i="1" s="1"/>
  <c r="FH126" i="1" s="1"/>
  <c r="FI126" i="1" s="1"/>
  <c r="FK126" i="1" s="1"/>
  <c r="GA232" i="1"/>
  <c r="GB232" i="1" s="1"/>
  <c r="GC232" i="1" s="1"/>
  <c r="GF232" i="1" s="1"/>
  <c r="GJ232" i="1" s="1"/>
  <c r="GK232" i="1" s="1"/>
  <c r="GL232" i="1" s="1"/>
  <c r="GM232" i="1" s="1"/>
  <c r="GA294" i="1"/>
  <c r="GB294" i="1" s="1"/>
  <c r="GC294" i="1" s="1"/>
  <c r="GF294" i="1" s="1"/>
  <c r="GJ294" i="1" s="1"/>
  <c r="GK294" i="1" s="1"/>
  <c r="GL294" i="1" s="1"/>
  <c r="GM294" i="1" s="1"/>
  <c r="GA217" i="1"/>
  <c r="GB217" i="1" s="1"/>
  <c r="GC217" i="1" s="1"/>
  <c r="GF217" i="1" s="1"/>
  <c r="GJ217" i="1" s="1"/>
  <c r="GK217" i="1" s="1"/>
  <c r="GL217" i="1" s="1"/>
  <c r="GM217" i="1" s="1"/>
  <c r="GA52" i="1"/>
  <c r="GB52" i="1" s="1"/>
  <c r="GC52" i="1" s="1"/>
  <c r="GF52" i="1" s="1"/>
  <c r="GJ52" i="1" s="1"/>
  <c r="GK52" i="1" s="1"/>
  <c r="GL52" i="1" s="1"/>
  <c r="GM52" i="1" s="1"/>
  <c r="GC20" i="1"/>
  <c r="GF20" i="1" s="1"/>
  <c r="GJ20" i="1" s="1"/>
  <c r="GK20" i="1" s="1"/>
  <c r="GL20" i="1" s="1"/>
  <c r="GM20" i="1" s="1"/>
  <c r="FF139" i="1"/>
  <c r="FG139" i="1" s="1"/>
  <c r="FH139" i="1" s="1"/>
  <c r="FI139" i="1" s="1"/>
  <c r="FK139" i="1" s="1"/>
  <c r="GA47" i="1"/>
  <c r="GB47" i="1" s="1"/>
  <c r="GC47" i="1" s="1"/>
  <c r="GF47" i="1" s="1"/>
  <c r="GJ47" i="1" s="1"/>
  <c r="GK47" i="1" s="1"/>
  <c r="GL47" i="1" s="1"/>
  <c r="GM47" i="1" s="1"/>
  <c r="GA190" i="1"/>
  <c r="GB190" i="1" s="1"/>
  <c r="GC190" i="1" s="1"/>
  <c r="GF190" i="1" s="1"/>
  <c r="GJ190" i="1" s="1"/>
  <c r="GK190" i="1" s="1"/>
  <c r="GL190" i="1" s="1"/>
  <c r="GM190" i="1" s="1"/>
  <c r="FF269" i="1"/>
  <c r="FG269" i="1" s="1"/>
  <c r="FH269" i="1" s="1"/>
  <c r="FI269" i="1" s="1"/>
  <c r="FK269" i="1" s="1"/>
  <c r="GA89" i="1"/>
  <c r="GB89" i="1" s="1"/>
  <c r="GC89" i="1" s="1"/>
  <c r="GF89" i="1" s="1"/>
  <c r="GJ89" i="1" s="1"/>
  <c r="GK89" i="1" s="1"/>
  <c r="GL89" i="1" s="1"/>
  <c r="GM89" i="1" s="1"/>
  <c r="FF225" i="1"/>
  <c r="FG225" i="1" s="1"/>
  <c r="FH225" i="1" s="1"/>
  <c r="FI225" i="1" s="1"/>
  <c r="FK225" i="1" s="1"/>
  <c r="FF287" i="1"/>
  <c r="FG287" i="1" s="1"/>
  <c r="FH287" i="1" s="1"/>
  <c r="FI287" i="1" s="1"/>
  <c r="FK287" i="1" s="1"/>
  <c r="FF10" i="1"/>
  <c r="FG10" i="1" s="1"/>
  <c r="FH10" i="1" s="1"/>
  <c r="FI10" i="1" s="1"/>
  <c r="FK10" i="1" s="1"/>
  <c r="FF270" i="1"/>
  <c r="FG270" i="1" s="1"/>
  <c r="FH270" i="1" s="1"/>
  <c r="FI270" i="1" s="1"/>
  <c r="FK270" i="1" s="1"/>
  <c r="GA26" i="1"/>
  <c r="GB26" i="1" s="1"/>
  <c r="GC26" i="1" s="1"/>
  <c r="GF26" i="1" s="1"/>
  <c r="GJ26" i="1" s="1"/>
  <c r="GK26" i="1" s="1"/>
  <c r="GL26" i="1" s="1"/>
  <c r="GM26" i="1" s="1"/>
  <c r="FY240" i="1"/>
  <c r="FZ240" i="1" s="1"/>
  <c r="GA86" i="1"/>
  <c r="GB86" i="1" s="1"/>
  <c r="GC86" i="1" s="1"/>
  <c r="GF86" i="1" s="1"/>
  <c r="GJ86" i="1" s="1"/>
  <c r="GK86" i="1" s="1"/>
  <c r="GL86" i="1" s="1"/>
  <c r="GM86" i="1" s="1"/>
  <c r="GA145" i="1"/>
  <c r="GB145" i="1" s="1"/>
  <c r="GC145" i="1" s="1"/>
  <c r="GF145" i="1" s="1"/>
  <c r="GJ145" i="1" s="1"/>
  <c r="GK145" i="1" s="1"/>
  <c r="GL145" i="1" s="1"/>
  <c r="GM145" i="1" s="1"/>
  <c r="FF17" i="1"/>
  <c r="FG17" i="1" s="1"/>
  <c r="FH17" i="1" s="1"/>
  <c r="FI17" i="1" s="1"/>
  <c r="FK17" i="1" s="1"/>
  <c r="FF14" i="1"/>
  <c r="FG14" i="1" s="1"/>
  <c r="FH14" i="1" s="1"/>
  <c r="FI14" i="1" s="1"/>
  <c r="FK14" i="1" s="1"/>
  <c r="FF35" i="1"/>
  <c r="FG35" i="1" s="1"/>
  <c r="FH35" i="1" s="1"/>
  <c r="FI35" i="1" s="1"/>
  <c r="FK35" i="1" s="1"/>
  <c r="FF218" i="1"/>
  <c r="FG218" i="1" s="1"/>
  <c r="FH218" i="1" s="1"/>
  <c r="FI218" i="1" s="1"/>
  <c r="FK218" i="1" s="1"/>
  <c r="GC98" i="1"/>
  <c r="GF98" i="1" s="1"/>
  <c r="GJ98" i="1" s="1"/>
  <c r="GK98" i="1" s="1"/>
  <c r="GL98" i="1" s="1"/>
  <c r="GM98" i="1" s="1"/>
  <c r="GA138" i="1"/>
  <c r="GB138" i="1" s="1"/>
  <c r="GC138" i="1" s="1"/>
  <c r="GF138" i="1" s="1"/>
  <c r="GJ138" i="1" s="1"/>
  <c r="GK138" i="1" s="1"/>
  <c r="GL138" i="1" s="1"/>
  <c r="GM138" i="1" s="1"/>
  <c r="GC37" i="1"/>
  <c r="GF37" i="1" s="1"/>
  <c r="GJ37" i="1" s="1"/>
  <c r="GK37" i="1" s="1"/>
  <c r="GL37" i="1" s="1"/>
  <c r="GM37" i="1" s="1"/>
  <c r="GC223" i="1"/>
  <c r="GF223" i="1" s="1"/>
  <c r="GJ223" i="1" s="1"/>
  <c r="GK223" i="1" s="1"/>
  <c r="GL223" i="1" s="1"/>
  <c r="GM223" i="1" s="1"/>
  <c r="GC199" i="1"/>
  <c r="GF199" i="1" s="1"/>
  <c r="GJ199" i="1" s="1"/>
  <c r="GK199" i="1" s="1"/>
  <c r="GL199" i="1" s="1"/>
  <c r="GM199" i="1" s="1"/>
  <c r="GA61" i="1"/>
  <c r="GB61" i="1" s="1"/>
  <c r="GC61" i="1" s="1"/>
  <c r="GF61" i="1" s="1"/>
  <c r="GJ61" i="1" s="1"/>
  <c r="GK61" i="1" s="1"/>
  <c r="GL61" i="1" s="1"/>
  <c r="GM61" i="1" s="1"/>
  <c r="FF49" i="1"/>
  <c r="FG49" i="1" s="1"/>
  <c r="FH49" i="1" s="1"/>
  <c r="FI49" i="1" s="1"/>
  <c r="FK49" i="1" s="1"/>
  <c r="GC284" i="1"/>
  <c r="GF284" i="1" s="1"/>
  <c r="GJ284" i="1" s="1"/>
  <c r="GK284" i="1" s="1"/>
  <c r="GL284" i="1" s="1"/>
  <c r="GM284" i="1" s="1"/>
  <c r="GA298" i="1"/>
  <c r="GB298" i="1" s="1"/>
  <c r="GC298" i="1" s="1"/>
  <c r="GF298" i="1" s="1"/>
  <c r="GJ298" i="1" s="1"/>
  <c r="GK298" i="1" s="1"/>
  <c r="GL298" i="1" s="1"/>
  <c r="GM298" i="1" s="1"/>
  <c r="GA117" i="1"/>
  <c r="GB117" i="1" s="1"/>
  <c r="GC117" i="1" s="1"/>
  <c r="GF117" i="1" s="1"/>
  <c r="GJ117" i="1" s="1"/>
  <c r="GK117" i="1" s="1"/>
  <c r="GL117" i="1" s="1"/>
  <c r="GM117" i="1" s="1"/>
  <c r="FF181" i="1"/>
  <c r="FG181" i="1" s="1"/>
  <c r="FH181" i="1" s="1"/>
  <c r="FI181" i="1" s="1"/>
  <c r="FK181" i="1" s="1"/>
  <c r="GA269" i="1"/>
  <c r="GB269" i="1" s="1"/>
  <c r="GC269" i="1" s="1"/>
  <c r="GF269" i="1" s="1"/>
  <c r="GJ269" i="1" s="1"/>
  <c r="GK269" i="1" s="1"/>
  <c r="GL269" i="1" s="1"/>
  <c r="GM269" i="1" s="1"/>
  <c r="GA43" i="1"/>
  <c r="GB43" i="1" s="1"/>
  <c r="GC43" i="1" s="1"/>
  <c r="GF43" i="1" s="1"/>
  <c r="GJ43" i="1" s="1"/>
  <c r="GK43" i="1" s="1"/>
  <c r="GL43" i="1" s="1"/>
  <c r="GM43" i="1" s="1"/>
  <c r="GA250" i="1"/>
  <c r="GB250" i="1" s="1"/>
  <c r="GC250" i="1" s="1"/>
  <c r="GF250" i="1" s="1"/>
  <c r="GJ250" i="1" s="1"/>
  <c r="GK250" i="1" s="1"/>
  <c r="GL250" i="1" s="1"/>
  <c r="GM250" i="1" s="1"/>
  <c r="GC158" i="1"/>
  <c r="GF158" i="1" s="1"/>
  <c r="GJ158" i="1" s="1"/>
  <c r="GK158" i="1" s="1"/>
  <c r="GL158" i="1" s="1"/>
  <c r="GM158" i="1" s="1"/>
  <c r="GA209" i="1"/>
  <c r="GB209" i="1" s="1"/>
  <c r="GC209" i="1" s="1"/>
  <c r="GF209" i="1" s="1"/>
  <c r="GJ209" i="1" s="1"/>
  <c r="GK209" i="1" s="1"/>
  <c r="GL209" i="1" s="1"/>
  <c r="GM209" i="1" s="1"/>
  <c r="GA222" i="1"/>
  <c r="GB222" i="1" s="1"/>
  <c r="GC222" i="1" s="1"/>
  <c r="GF222" i="1" s="1"/>
  <c r="GJ222" i="1" s="1"/>
  <c r="GK222" i="1" s="1"/>
  <c r="GL222" i="1" s="1"/>
  <c r="GM222" i="1" s="1"/>
  <c r="GA291" i="1"/>
  <c r="GB291" i="1" s="1"/>
  <c r="GC291" i="1" s="1"/>
  <c r="GF291" i="1" s="1"/>
  <c r="GJ291" i="1" s="1"/>
  <c r="GK291" i="1" s="1"/>
  <c r="GL291" i="1" s="1"/>
  <c r="GM291" i="1" s="1"/>
  <c r="GA50" i="1"/>
  <c r="GB50" i="1" s="1"/>
  <c r="GC50" i="1" s="1"/>
  <c r="GF50" i="1" s="1"/>
  <c r="GJ50" i="1" s="1"/>
  <c r="GK50" i="1" s="1"/>
  <c r="GA76" i="1"/>
  <c r="GB76" i="1" s="1"/>
  <c r="GC76" i="1" s="1"/>
  <c r="GF76" i="1" s="1"/>
  <c r="GJ76" i="1" s="1"/>
  <c r="GK76" i="1" s="1"/>
  <c r="GL76" i="1" s="1"/>
  <c r="GM76" i="1" s="1"/>
  <c r="GA164" i="1"/>
  <c r="GB164" i="1" s="1"/>
  <c r="GC164" i="1" s="1"/>
  <c r="GF164" i="1" s="1"/>
  <c r="GJ164" i="1" s="1"/>
  <c r="GK164" i="1" s="1"/>
  <c r="GL164" i="1" s="1"/>
  <c r="GM164" i="1" s="1"/>
  <c r="GA224" i="1"/>
  <c r="GB224" i="1" s="1"/>
  <c r="GC224" i="1" s="1"/>
  <c r="GF224" i="1" s="1"/>
  <c r="GJ224" i="1" s="1"/>
  <c r="GK224" i="1" s="1"/>
  <c r="GL224" i="1" s="1"/>
  <c r="GM224" i="1" s="1"/>
  <c r="GA167" i="1"/>
  <c r="GB167" i="1" s="1"/>
  <c r="GC167" i="1" s="1"/>
  <c r="GF167" i="1" s="1"/>
  <c r="GJ167" i="1" s="1"/>
  <c r="GK167" i="1" s="1"/>
  <c r="GL167" i="1" s="1"/>
  <c r="GM167" i="1" s="1"/>
  <c r="GC127" i="1"/>
  <c r="GF127" i="1" s="1"/>
  <c r="GJ127" i="1" s="1"/>
  <c r="GK127" i="1" s="1"/>
  <c r="GL127" i="1" s="1"/>
  <c r="GM127" i="1" s="1"/>
  <c r="GA137" i="1"/>
  <c r="GB137" i="1" s="1"/>
  <c r="GC137" i="1" s="1"/>
  <c r="GF137" i="1" s="1"/>
  <c r="GJ137" i="1" s="1"/>
  <c r="GK137" i="1" s="1"/>
  <c r="GL137" i="1" s="1"/>
  <c r="GM137" i="1" s="1"/>
  <c r="FF242" i="1"/>
  <c r="FG242" i="1" s="1"/>
  <c r="FH242" i="1" s="1"/>
  <c r="FI242" i="1" s="1"/>
  <c r="FK242" i="1" s="1"/>
  <c r="FY65" i="1"/>
  <c r="FZ65" i="1" s="1"/>
  <c r="GE65" i="1"/>
  <c r="GD65" i="1"/>
  <c r="FU65" i="1"/>
  <c r="FV65" i="1" s="1"/>
  <c r="FQ65" i="1"/>
  <c r="FR65" i="1" s="1"/>
  <c r="FW65" i="1"/>
  <c r="FX65" i="1" s="1"/>
  <c r="FS65" i="1"/>
  <c r="FT65" i="1" s="1"/>
  <c r="GG65" i="1"/>
  <c r="GH65" i="1" s="1"/>
  <c r="GI65" i="1" s="1"/>
  <c r="GA157" i="1"/>
  <c r="GB157" i="1" s="1"/>
  <c r="GC157" i="1" s="1"/>
  <c r="GF157" i="1" s="1"/>
  <c r="GJ157" i="1" s="1"/>
  <c r="GK157" i="1" s="1"/>
  <c r="GL157" i="1" s="1"/>
  <c r="GM157" i="1" s="1"/>
  <c r="GA213" i="1"/>
  <c r="GB213" i="1" s="1"/>
  <c r="GC213" i="1" s="1"/>
  <c r="GF213" i="1" s="1"/>
  <c r="GJ213" i="1" s="1"/>
  <c r="GK213" i="1" s="1"/>
  <c r="GL213" i="1" s="1"/>
  <c r="GM213" i="1" s="1"/>
  <c r="FF60" i="1"/>
  <c r="FG60" i="1" s="1"/>
  <c r="FH60" i="1" s="1"/>
  <c r="FI60" i="1" s="1"/>
  <c r="FK60" i="1" s="1"/>
  <c r="FF47" i="1"/>
  <c r="FG47" i="1" s="1"/>
  <c r="FH47" i="1" s="1"/>
  <c r="FI47" i="1" s="1"/>
  <c r="FK47" i="1" s="1"/>
  <c r="GA147" i="1"/>
  <c r="GB147" i="1" s="1"/>
  <c r="GC147" i="1" s="1"/>
  <c r="GF147" i="1" s="1"/>
  <c r="GJ147" i="1" s="1"/>
  <c r="GK147" i="1" s="1"/>
  <c r="GL147" i="1" s="1"/>
  <c r="GM147" i="1" s="1"/>
  <c r="GA260" i="1"/>
  <c r="GB260" i="1" s="1"/>
  <c r="GC260" i="1" s="1"/>
  <c r="GF260" i="1" s="1"/>
  <c r="GJ260" i="1" s="1"/>
  <c r="GK260" i="1" s="1"/>
  <c r="GL260" i="1" s="1"/>
  <c r="GM260" i="1" s="1"/>
  <c r="FF101" i="1"/>
  <c r="FG101" i="1" s="1"/>
  <c r="FH101" i="1" s="1"/>
  <c r="FI101" i="1" s="1"/>
  <c r="FK101" i="1" s="1"/>
  <c r="GA302" i="1"/>
  <c r="GB302" i="1" s="1"/>
  <c r="GC302" i="1" s="1"/>
  <c r="GF302" i="1" s="1"/>
  <c r="GJ302" i="1" s="1"/>
  <c r="GK302" i="1" s="1"/>
  <c r="GL302" i="1" s="1"/>
  <c r="GM302" i="1" s="1"/>
  <c r="GA238" i="1"/>
  <c r="GB238" i="1" s="1"/>
  <c r="GC238" i="1" s="1"/>
  <c r="GF238" i="1" s="1"/>
  <c r="GJ238" i="1" s="1"/>
  <c r="GK238" i="1" s="1"/>
  <c r="GL238" i="1" s="1"/>
  <c r="GM238" i="1" s="1"/>
  <c r="FF72" i="1"/>
  <c r="FG72" i="1" s="1"/>
  <c r="FH72" i="1" s="1"/>
  <c r="FI72" i="1" s="1"/>
  <c r="FK72" i="1" s="1"/>
  <c r="FY44" i="1"/>
  <c r="FZ44" i="1" s="1"/>
  <c r="FW44" i="1"/>
  <c r="FX44" i="1" s="1"/>
  <c r="FQ44" i="1"/>
  <c r="FR44" i="1" s="1"/>
  <c r="GG44" i="1"/>
  <c r="GH44" i="1" s="1"/>
  <c r="GI44" i="1" s="1"/>
  <c r="GD44" i="1"/>
  <c r="GE44" i="1"/>
  <c r="FS44" i="1"/>
  <c r="FT44" i="1" s="1"/>
  <c r="FU44" i="1"/>
  <c r="FV44" i="1" s="1"/>
  <c r="FF294" i="1"/>
  <c r="FG294" i="1" s="1"/>
  <c r="FH294" i="1" s="1"/>
  <c r="FI294" i="1" s="1"/>
  <c r="FK294" i="1" s="1"/>
  <c r="GA296" i="1"/>
  <c r="GB296" i="1" s="1"/>
  <c r="GC296" i="1" s="1"/>
  <c r="GF296" i="1" s="1"/>
  <c r="GJ296" i="1" s="1"/>
  <c r="GK296" i="1" s="1"/>
  <c r="GL296" i="1" s="1"/>
  <c r="GM296" i="1" s="1"/>
  <c r="GA219" i="1"/>
  <c r="GB219" i="1" s="1"/>
  <c r="GC219" i="1" s="1"/>
  <c r="GF219" i="1" s="1"/>
  <c r="GJ219" i="1" s="1"/>
  <c r="GK219" i="1" s="1"/>
  <c r="GL219" i="1" s="1"/>
  <c r="GM219" i="1" s="1"/>
  <c r="GA300" i="1"/>
  <c r="GB300" i="1" s="1"/>
  <c r="GC300" i="1" s="1"/>
  <c r="GF300" i="1" s="1"/>
  <c r="GJ300" i="1" s="1"/>
  <c r="GK300" i="1" s="1"/>
  <c r="GL300" i="1" s="1"/>
  <c r="GM300" i="1" s="1"/>
  <c r="FR240" i="1"/>
  <c r="GA49" i="1"/>
  <c r="GB49" i="1" s="1"/>
  <c r="GC49" i="1" s="1"/>
  <c r="GF49" i="1" s="1"/>
  <c r="GJ49" i="1" s="1"/>
  <c r="GK49" i="1" s="1"/>
  <c r="GL49" i="1" s="1"/>
  <c r="GM49" i="1" s="1"/>
  <c r="GC130" i="1"/>
  <c r="GF130" i="1" s="1"/>
  <c r="GJ130" i="1" s="1"/>
  <c r="GK130" i="1" s="1"/>
  <c r="GL130" i="1" s="1"/>
  <c r="GM130" i="1" s="1"/>
  <c r="GA46" i="1"/>
  <c r="GB46" i="1" s="1"/>
  <c r="GC46" i="1" s="1"/>
  <c r="GF46" i="1" s="1"/>
  <c r="GJ46" i="1" s="1"/>
  <c r="GK46" i="1" s="1"/>
  <c r="GL46" i="1" s="1"/>
  <c r="GM46" i="1" s="1"/>
  <c r="FF236" i="1"/>
  <c r="FG236" i="1" s="1"/>
  <c r="FH236" i="1" s="1"/>
  <c r="FI236" i="1" s="1"/>
  <c r="FK236" i="1" s="1"/>
  <c r="FF255" i="1"/>
  <c r="FG255" i="1" s="1"/>
  <c r="FH255" i="1" s="1"/>
  <c r="FI255" i="1" s="1"/>
  <c r="FK255" i="1" s="1"/>
  <c r="GC31" i="1"/>
  <c r="GF31" i="1" s="1"/>
  <c r="GJ31" i="1" s="1"/>
  <c r="GK31" i="1" s="1"/>
  <c r="GL31" i="1" s="1"/>
  <c r="GM31" i="1" s="1"/>
  <c r="FF116" i="1"/>
  <c r="FG116" i="1" s="1"/>
  <c r="FH116" i="1" s="1"/>
  <c r="FI116" i="1" s="1"/>
  <c r="FK116" i="1" s="1"/>
  <c r="FF54" i="1"/>
  <c r="FG54" i="1" s="1"/>
  <c r="FH54" i="1" s="1"/>
  <c r="FI54" i="1" s="1"/>
  <c r="FK54" i="1" s="1"/>
  <c r="GA182" i="1"/>
  <c r="GB182" i="1" s="1"/>
  <c r="GC182" i="1" s="1"/>
  <c r="GF182" i="1" s="1"/>
  <c r="GJ182" i="1" s="1"/>
  <c r="GK182" i="1" s="1"/>
  <c r="GL182" i="1" s="1"/>
  <c r="GM182" i="1" s="1"/>
  <c r="GC252" i="1"/>
  <c r="GF252" i="1" s="1"/>
  <c r="GJ252" i="1" s="1"/>
  <c r="GK252" i="1" s="1"/>
  <c r="GL252" i="1" s="1"/>
  <c r="GM252" i="1" s="1"/>
  <c r="GA227" i="1"/>
  <c r="GB227" i="1" s="1"/>
  <c r="GC227" i="1" s="1"/>
  <c r="GF227" i="1" s="1"/>
  <c r="GJ227" i="1" s="1"/>
  <c r="GK227" i="1" s="1"/>
  <c r="GL227" i="1" s="1"/>
  <c r="GM227" i="1" s="1"/>
  <c r="FF82" i="1"/>
  <c r="FG82" i="1" s="1"/>
  <c r="FH82" i="1" s="1"/>
  <c r="FI82" i="1" s="1"/>
  <c r="FK82" i="1" s="1"/>
  <c r="FF52" i="1"/>
  <c r="FG52" i="1" s="1"/>
  <c r="FH52" i="1" s="1"/>
  <c r="FI52" i="1" s="1"/>
  <c r="FK52" i="1" s="1"/>
  <c r="FF4" i="1"/>
  <c r="FG4" i="1" s="1"/>
  <c r="FH4" i="1" s="1"/>
  <c r="FI4" i="1" s="1"/>
  <c r="FK4" i="1" s="1"/>
  <c r="GG2" i="1"/>
  <c r="GH2" i="1" s="1"/>
  <c r="GI2" i="1" s="1"/>
  <c r="GD2" i="1"/>
  <c r="GE2" i="1"/>
  <c r="FW2" i="1"/>
  <c r="FX2" i="1" s="1"/>
  <c r="FY2" i="1"/>
  <c r="FZ2" i="1" s="1"/>
  <c r="FS2" i="1"/>
  <c r="FT2" i="1" s="1"/>
  <c r="FU2" i="1"/>
  <c r="FV2" i="1" s="1"/>
  <c r="FQ2" i="1"/>
  <c r="FR2" i="1" s="1"/>
  <c r="FD2" i="1"/>
  <c r="FF2" i="1" s="1"/>
  <c r="FG2" i="1" s="1"/>
  <c r="FH2" i="1" s="1"/>
  <c r="FI2" i="1" s="1"/>
  <c r="FK2" i="1" s="1"/>
  <c r="GC79" i="1" l="1"/>
  <c r="GF79" i="1" s="1"/>
  <c r="GJ79" i="1" s="1"/>
  <c r="GK79" i="1" s="1"/>
  <c r="GL79" i="1" s="1"/>
  <c r="GM79" i="1" s="1"/>
  <c r="GA125" i="1"/>
  <c r="GB125" i="1" s="1"/>
  <c r="GC125" i="1" s="1"/>
  <c r="GF125" i="1" s="1"/>
  <c r="GJ125" i="1" s="1"/>
  <c r="GK125" i="1" s="1"/>
  <c r="GL125" i="1" s="1"/>
  <c r="GM125" i="1" s="1"/>
  <c r="GC257" i="1"/>
  <c r="GF257" i="1" s="1"/>
  <c r="GJ257" i="1" s="1"/>
  <c r="GK257" i="1" s="1"/>
  <c r="GL257" i="1" s="1"/>
  <c r="GM257" i="1" s="1"/>
  <c r="GA160" i="1"/>
  <c r="GB160" i="1" s="1"/>
  <c r="GC160" i="1" s="1"/>
  <c r="GF160" i="1" s="1"/>
  <c r="GJ160" i="1" s="1"/>
  <c r="GK160" i="1" s="1"/>
  <c r="GL160" i="1" s="1"/>
  <c r="GM160" i="1" s="1"/>
  <c r="GA118" i="1"/>
  <c r="GB118" i="1" s="1"/>
  <c r="GC118" i="1" s="1"/>
  <c r="GF118" i="1" s="1"/>
  <c r="GJ118" i="1" s="1"/>
  <c r="GK118" i="1" s="1"/>
  <c r="GL118" i="1" s="1"/>
  <c r="GM118" i="1" s="1"/>
  <c r="GA116" i="1"/>
  <c r="GB116" i="1" s="1"/>
  <c r="GC116" i="1" s="1"/>
  <c r="GF116" i="1" s="1"/>
  <c r="GJ116" i="1" s="1"/>
  <c r="GK116" i="1" s="1"/>
  <c r="GL116" i="1" s="1"/>
  <c r="GM116" i="1" s="1"/>
  <c r="GA173" i="1"/>
  <c r="GB173" i="1" s="1"/>
  <c r="GC173" i="1" s="1"/>
  <c r="GF173" i="1" s="1"/>
  <c r="GJ173" i="1" s="1"/>
  <c r="GK173" i="1" s="1"/>
  <c r="GL173" i="1" s="1"/>
  <c r="GM173" i="1" s="1"/>
  <c r="GA197" i="1"/>
  <c r="GB197" i="1" s="1"/>
  <c r="GC197" i="1" s="1"/>
  <c r="GF197" i="1" s="1"/>
  <c r="GJ197" i="1" s="1"/>
  <c r="GK197" i="1" s="1"/>
  <c r="GL197" i="1" s="1"/>
  <c r="GM197" i="1" s="1"/>
  <c r="GA273" i="1"/>
  <c r="GB273" i="1" s="1"/>
  <c r="GC273" i="1" s="1"/>
  <c r="GF273" i="1" s="1"/>
  <c r="GJ273" i="1" s="1"/>
  <c r="GK273" i="1" s="1"/>
  <c r="GL273" i="1" s="1"/>
  <c r="GM273" i="1" s="1"/>
  <c r="GA105" i="1"/>
  <c r="GB105" i="1" s="1"/>
  <c r="GC105" i="1" s="1"/>
  <c r="GF105" i="1" s="1"/>
  <c r="GJ105" i="1" s="1"/>
  <c r="GK105" i="1" s="1"/>
  <c r="GL105" i="1" s="1"/>
  <c r="GM105" i="1" s="1"/>
  <c r="GA99" i="1"/>
  <c r="GB99" i="1" s="1"/>
  <c r="GC99" i="1" s="1"/>
  <c r="GF99" i="1" s="1"/>
  <c r="GJ99" i="1" s="1"/>
  <c r="GK99" i="1" s="1"/>
  <c r="GL99" i="1" s="1"/>
  <c r="GM99" i="1" s="1"/>
  <c r="GL303" i="1"/>
  <c r="GM303" i="1" s="1"/>
  <c r="GL261" i="1"/>
  <c r="GM261" i="1" s="1"/>
  <c r="GA262" i="1"/>
  <c r="GB262" i="1" s="1"/>
  <c r="GC262" i="1" s="1"/>
  <c r="GF262" i="1" s="1"/>
  <c r="GJ262" i="1" s="1"/>
  <c r="GK262" i="1" s="1"/>
  <c r="GL262" i="1" s="1"/>
  <c r="GM262" i="1" s="1"/>
  <c r="GA124" i="1"/>
  <c r="GB124" i="1" s="1"/>
  <c r="GC124" i="1" s="1"/>
  <c r="GF124" i="1" s="1"/>
  <c r="GJ124" i="1" s="1"/>
  <c r="GK124" i="1" s="1"/>
  <c r="GL124" i="1" s="1"/>
  <c r="GM124" i="1" s="1"/>
  <c r="GA236" i="1"/>
  <c r="GB236" i="1" s="1"/>
  <c r="GC236" i="1" s="1"/>
  <c r="GF236" i="1" s="1"/>
  <c r="GJ236" i="1" s="1"/>
  <c r="GK236" i="1" s="1"/>
  <c r="GL236" i="1" s="1"/>
  <c r="GM236" i="1" s="1"/>
  <c r="GA36" i="1"/>
  <c r="GB36" i="1" s="1"/>
  <c r="GC36" i="1" s="1"/>
  <c r="GF36" i="1" s="1"/>
  <c r="GJ36" i="1" s="1"/>
  <c r="GK36" i="1" s="1"/>
  <c r="GL36" i="1" s="1"/>
  <c r="GM36" i="1" s="1"/>
  <c r="GC94" i="1"/>
  <c r="GF94" i="1" s="1"/>
  <c r="GJ94" i="1" s="1"/>
  <c r="GK94" i="1" s="1"/>
  <c r="GL94" i="1" s="1"/>
  <c r="GM94" i="1" s="1"/>
  <c r="GA7" i="1"/>
  <c r="GB7" i="1" s="1"/>
  <c r="GC7" i="1" s="1"/>
  <c r="GF7" i="1" s="1"/>
  <c r="GJ7" i="1" s="1"/>
  <c r="GK7" i="1" s="1"/>
  <c r="GL7" i="1" s="1"/>
  <c r="GM7" i="1" s="1"/>
  <c r="GC267" i="1"/>
  <c r="GF267" i="1" s="1"/>
  <c r="GJ267" i="1" s="1"/>
  <c r="GK267" i="1" s="1"/>
  <c r="GL267" i="1" s="1"/>
  <c r="GM267" i="1" s="1"/>
  <c r="GC24" i="1"/>
  <c r="GF24" i="1" s="1"/>
  <c r="GJ24" i="1" s="1"/>
  <c r="GK24" i="1" s="1"/>
  <c r="GL24" i="1" s="1"/>
  <c r="GM24" i="1" s="1"/>
  <c r="GA266" i="1"/>
  <c r="GB266" i="1" s="1"/>
  <c r="GC266" i="1" s="1"/>
  <c r="GF266" i="1" s="1"/>
  <c r="GJ266" i="1" s="1"/>
  <c r="GK266" i="1" s="1"/>
  <c r="GL266" i="1" s="1"/>
  <c r="GM266" i="1" s="1"/>
  <c r="GA54" i="1"/>
  <c r="GB54" i="1" s="1"/>
  <c r="GC54" i="1" s="1"/>
  <c r="GF54" i="1" s="1"/>
  <c r="GJ54" i="1" s="1"/>
  <c r="GK54" i="1" s="1"/>
  <c r="GL54" i="1" s="1"/>
  <c r="GM54" i="1" s="1"/>
  <c r="GA166" i="1"/>
  <c r="GB166" i="1" s="1"/>
  <c r="GC166" i="1" s="1"/>
  <c r="GF166" i="1" s="1"/>
  <c r="GJ166" i="1" s="1"/>
  <c r="GK166" i="1" s="1"/>
  <c r="GL166" i="1" s="1"/>
  <c r="GM166" i="1" s="1"/>
  <c r="GC139" i="1"/>
  <c r="GF139" i="1" s="1"/>
  <c r="GJ139" i="1" s="1"/>
  <c r="GK139" i="1" s="1"/>
  <c r="GL139" i="1" s="1"/>
  <c r="GM139" i="1" s="1"/>
  <c r="GA51" i="1"/>
  <c r="GB51" i="1" s="1"/>
  <c r="GC51" i="1" s="1"/>
  <c r="GF51" i="1" s="1"/>
  <c r="GJ51" i="1" s="1"/>
  <c r="GK51" i="1" s="1"/>
  <c r="GL51" i="1" s="1"/>
  <c r="GM51" i="1" s="1"/>
  <c r="GF132" i="1"/>
  <c r="GJ132" i="1" s="1"/>
  <c r="GK132" i="1" s="1"/>
  <c r="GA90" i="1"/>
  <c r="GB90" i="1" s="1"/>
  <c r="GC90" i="1" s="1"/>
  <c r="GF90" i="1" s="1"/>
  <c r="GJ90" i="1" s="1"/>
  <c r="GK90" i="1" s="1"/>
  <c r="GL90" i="1" s="1"/>
  <c r="GM90" i="1" s="1"/>
  <c r="GA10" i="1"/>
  <c r="GB10" i="1" s="1"/>
  <c r="GC10" i="1" s="1"/>
  <c r="GF10" i="1" s="1"/>
  <c r="GJ10" i="1" s="1"/>
  <c r="GK10" i="1" s="1"/>
  <c r="GL10" i="1" s="1"/>
  <c r="GM10" i="1" s="1"/>
  <c r="GA64" i="1"/>
  <c r="GB64" i="1" s="1"/>
  <c r="GC64" i="1" s="1"/>
  <c r="GF64" i="1" s="1"/>
  <c r="GJ64" i="1" s="1"/>
  <c r="GK64" i="1" s="1"/>
  <c r="GL64" i="1" s="1"/>
  <c r="GM64" i="1" s="1"/>
  <c r="GA106" i="1"/>
  <c r="GB106" i="1" s="1"/>
  <c r="GC106" i="1" s="1"/>
  <c r="GF106" i="1" s="1"/>
  <c r="GJ106" i="1" s="1"/>
  <c r="GK106" i="1" s="1"/>
  <c r="GL106" i="1" s="1"/>
  <c r="GM106" i="1" s="1"/>
  <c r="GA287" i="1"/>
  <c r="GB287" i="1" s="1"/>
  <c r="GC287" i="1" s="1"/>
  <c r="GF287" i="1" s="1"/>
  <c r="GJ287" i="1" s="1"/>
  <c r="GK287" i="1" s="1"/>
  <c r="GL287" i="1" s="1"/>
  <c r="GM287" i="1" s="1"/>
  <c r="GA247" i="1"/>
  <c r="GB247" i="1" s="1"/>
  <c r="GC247" i="1" s="1"/>
  <c r="GF247" i="1" s="1"/>
  <c r="GJ247" i="1" s="1"/>
  <c r="GK247" i="1" s="1"/>
  <c r="GL247" i="1" s="1"/>
  <c r="GM247" i="1" s="1"/>
  <c r="GA93" i="1"/>
  <c r="GB93" i="1" s="1"/>
  <c r="GC93" i="1" s="1"/>
  <c r="GF93" i="1" s="1"/>
  <c r="GJ93" i="1" s="1"/>
  <c r="GK93" i="1" s="1"/>
  <c r="GL93" i="1" s="1"/>
  <c r="GM93" i="1" s="1"/>
  <c r="GC135" i="1"/>
  <c r="GF135" i="1" s="1"/>
  <c r="GJ135" i="1" s="1"/>
  <c r="GK135" i="1" s="1"/>
  <c r="GL135" i="1" s="1"/>
  <c r="GM135" i="1" s="1"/>
  <c r="GC17" i="1"/>
  <c r="GF17" i="1" s="1"/>
  <c r="GJ17" i="1" s="1"/>
  <c r="GK17" i="1" s="1"/>
  <c r="GL17" i="1" s="1"/>
  <c r="GM17" i="1" s="1"/>
  <c r="GA218" i="1"/>
  <c r="GB218" i="1" s="1"/>
  <c r="GC218" i="1" s="1"/>
  <c r="GF218" i="1" s="1"/>
  <c r="GJ218" i="1" s="1"/>
  <c r="GK218" i="1" s="1"/>
  <c r="GL218" i="1" s="1"/>
  <c r="GM218" i="1" s="1"/>
  <c r="GA129" i="1"/>
  <c r="GB129" i="1" s="1"/>
  <c r="GC129" i="1" s="1"/>
  <c r="GF129" i="1" s="1"/>
  <c r="GJ129" i="1" s="1"/>
  <c r="GK129" i="1" s="1"/>
  <c r="GL129" i="1" s="1"/>
  <c r="GM129" i="1" s="1"/>
  <c r="GA109" i="1"/>
  <c r="GB109" i="1" s="1"/>
  <c r="GC109" i="1" s="1"/>
  <c r="GF109" i="1" s="1"/>
  <c r="GJ109" i="1" s="1"/>
  <c r="GK109" i="1" s="1"/>
  <c r="GL109" i="1" s="1"/>
  <c r="GM109" i="1" s="1"/>
  <c r="GA192" i="1"/>
  <c r="GB192" i="1" s="1"/>
  <c r="GC192" i="1" s="1"/>
  <c r="GF192" i="1" s="1"/>
  <c r="GJ192" i="1" s="1"/>
  <c r="GK192" i="1" s="1"/>
  <c r="GL192" i="1" s="1"/>
  <c r="GM192" i="1" s="1"/>
  <c r="GA265" i="1"/>
  <c r="GB265" i="1" s="1"/>
  <c r="GC265" i="1" s="1"/>
  <c r="GF265" i="1" s="1"/>
  <c r="GJ265" i="1" s="1"/>
  <c r="GK265" i="1" s="1"/>
  <c r="GL265" i="1" s="1"/>
  <c r="GM265" i="1" s="1"/>
  <c r="GC80" i="1"/>
  <c r="GF80" i="1" s="1"/>
  <c r="GJ80" i="1" s="1"/>
  <c r="GK80" i="1" s="1"/>
  <c r="GL80" i="1" s="1"/>
  <c r="GM80" i="1" s="1"/>
  <c r="GC40" i="1"/>
  <c r="GF40" i="1" s="1"/>
  <c r="GJ40" i="1" s="1"/>
  <c r="GK40" i="1" s="1"/>
  <c r="GL40" i="1" s="1"/>
  <c r="GM40" i="1" s="1"/>
  <c r="GA68" i="1"/>
  <c r="GB68" i="1" s="1"/>
  <c r="GC68" i="1" s="1"/>
  <c r="GF68" i="1" s="1"/>
  <c r="GJ68" i="1" s="1"/>
  <c r="GK68" i="1" s="1"/>
  <c r="GL68" i="1" s="1"/>
  <c r="GM68" i="1" s="1"/>
  <c r="GA74" i="1"/>
  <c r="GB74" i="1" s="1"/>
  <c r="GC74" i="1" s="1"/>
  <c r="GF74" i="1" s="1"/>
  <c r="GJ74" i="1" s="1"/>
  <c r="GK74" i="1" s="1"/>
  <c r="GL74" i="1" s="1"/>
  <c r="GM74" i="1" s="1"/>
  <c r="GC159" i="1"/>
  <c r="GF159" i="1" s="1"/>
  <c r="GJ159" i="1" s="1"/>
  <c r="GK159" i="1" s="1"/>
  <c r="GL159" i="1" s="1"/>
  <c r="GM159" i="1" s="1"/>
  <c r="GA120" i="1"/>
  <c r="GB120" i="1" s="1"/>
  <c r="GC120" i="1" s="1"/>
  <c r="GF120" i="1" s="1"/>
  <c r="GJ120" i="1" s="1"/>
  <c r="GK120" i="1" s="1"/>
  <c r="GL120" i="1" s="1"/>
  <c r="GM120" i="1" s="1"/>
  <c r="GC180" i="1"/>
  <c r="GF180" i="1" s="1"/>
  <c r="GJ180" i="1" s="1"/>
  <c r="GK180" i="1" s="1"/>
  <c r="GL180" i="1" s="1"/>
  <c r="GM180" i="1" s="1"/>
  <c r="GA142" i="1"/>
  <c r="GB142" i="1" s="1"/>
  <c r="GC142" i="1" s="1"/>
  <c r="GF142" i="1" s="1"/>
  <c r="GJ142" i="1" s="1"/>
  <c r="GK142" i="1" s="1"/>
  <c r="GL142" i="1" s="1"/>
  <c r="GM142" i="1" s="1"/>
  <c r="GA282" i="1"/>
  <c r="GB282" i="1" s="1"/>
  <c r="GC282" i="1" s="1"/>
  <c r="GF282" i="1" s="1"/>
  <c r="GJ282" i="1" s="1"/>
  <c r="GK282" i="1" s="1"/>
  <c r="GL282" i="1" s="1"/>
  <c r="GM282" i="1" s="1"/>
  <c r="GA256" i="1"/>
  <c r="GB256" i="1" s="1"/>
  <c r="GC256" i="1" s="1"/>
  <c r="GF256" i="1" s="1"/>
  <c r="GJ256" i="1" s="1"/>
  <c r="GK256" i="1" s="1"/>
  <c r="GL256" i="1" s="1"/>
  <c r="GM256" i="1" s="1"/>
  <c r="GA104" i="1"/>
  <c r="GB104" i="1" s="1"/>
  <c r="GC104" i="1" s="1"/>
  <c r="GF104" i="1" s="1"/>
  <c r="GJ104" i="1" s="1"/>
  <c r="GK104" i="1" s="1"/>
  <c r="GL104" i="1" s="1"/>
  <c r="GM104" i="1" s="1"/>
  <c r="GC231" i="1"/>
  <c r="GF231" i="1" s="1"/>
  <c r="GJ231" i="1" s="1"/>
  <c r="GK231" i="1" s="1"/>
  <c r="GL231" i="1" s="1"/>
  <c r="GM231" i="1" s="1"/>
  <c r="GC242" i="1"/>
  <c r="GF242" i="1" s="1"/>
  <c r="GJ242" i="1" s="1"/>
  <c r="GK242" i="1" s="1"/>
  <c r="GL242" i="1" s="1"/>
  <c r="GM242" i="1" s="1"/>
  <c r="GC295" i="1"/>
  <c r="GF295" i="1" s="1"/>
  <c r="GJ295" i="1" s="1"/>
  <c r="GK295" i="1" s="1"/>
  <c r="GL295" i="1" s="1"/>
  <c r="GM295" i="1" s="1"/>
  <c r="GA88" i="1"/>
  <c r="GB88" i="1" s="1"/>
  <c r="GC88" i="1" s="1"/>
  <c r="GF88" i="1" s="1"/>
  <c r="GJ88" i="1" s="1"/>
  <c r="GK88" i="1" s="1"/>
  <c r="GL88" i="1" s="1"/>
  <c r="GM88" i="1" s="1"/>
  <c r="GA178" i="1"/>
  <c r="GB178" i="1" s="1"/>
  <c r="GC178" i="1" s="1"/>
  <c r="GF178" i="1" s="1"/>
  <c r="GJ178" i="1" s="1"/>
  <c r="GK178" i="1" s="1"/>
  <c r="GL178" i="1" s="1"/>
  <c r="GM178" i="1" s="1"/>
  <c r="GA48" i="1"/>
  <c r="GB48" i="1" s="1"/>
  <c r="GC48" i="1" s="1"/>
  <c r="GF48" i="1" s="1"/>
  <c r="GJ48" i="1" s="1"/>
  <c r="GK48" i="1" s="1"/>
  <c r="GL48" i="1" s="1"/>
  <c r="GM48" i="1" s="1"/>
  <c r="GA39" i="1"/>
  <c r="GB39" i="1" s="1"/>
  <c r="GC39" i="1" s="1"/>
  <c r="GF39" i="1" s="1"/>
  <c r="GJ39" i="1" s="1"/>
  <c r="GK39" i="1" s="1"/>
  <c r="GL39" i="1" s="1"/>
  <c r="GM39" i="1" s="1"/>
  <c r="GC202" i="1"/>
  <c r="GF202" i="1" s="1"/>
  <c r="GJ202" i="1" s="1"/>
  <c r="GK202" i="1" s="1"/>
  <c r="GL202" i="1" s="1"/>
  <c r="GM202" i="1" s="1"/>
  <c r="GC187" i="1"/>
  <c r="GF187" i="1" s="1"/>
  <c r="GJ187" i="1" s="1"/>
  <c r="GK187" i="1" s="1"/>
  <c r="GL187" i="1" s="1"/>
  <c r="GM187" i="1" s="1"/>
  <c r="GA179" i="1"/>
  <c r="GB179" i="1" s="1"/>
  <c r="GC179" i="1" s="1"/>
  <c r="GF179" i="1" s="1"/>
  <c r="GJ179" i="1" s="1"/>
  <c r="GK179" i="1" s="1"/>
  <c r="GL179" i="1" s="1"/>
  <c r="GM179" i="1" s="1"/>
  <c r="GA60" i="1"/>
  <c r="GB60" i="1" s="1"/>
  <c r="GC60" i="1" s="1"/>
  <c r="GF60" i="1" s="1"/>
  <c r="GJ60" i="1" s="1"/>
  <c r="GK60" i="1" s="1"/>
  <c r="GL60" i="1" s="1"/>
  <c r="GM60" i="1" s="1"/>
  <c r="GA204" i="1"/>
  <c r="GB204" i="1" s="1"/>
  <c r="GC204" i="1" s="1"/>
  <c r="GF204" i="1" s="1"/>
  <c r="GJ204" i="1" s="1"/>
  <c r="GK204" i="1" s="1"/>
  <c r="GL204" i="1" s="1"/>
  <c r="GM204" i="1" s="1"/>
  <c r="GC263" i="1"/>
  <c r="GF263" i="1" s="1"/>
  <c r="GJ263" i="1" s="1"/>
  <c r="GK263" i="1" s="1"/>
  <c r="GL263" i="1" s="1"/>
  <c r="GM263" i="1" s="1"/>
  <c r="GA240" i="1"/>
  <c r="GB240" i="1" s="1"/>
  <c r="GC240" i="1" s="1"/>
  <c r="GF240" i="1" s="1"/>
  <c r="GJ240" i="1" s="1"/>
  <c r="GK240" i="1" s="1"/>
  <c r="GL240" i="1" s="1"/>
  <c r="GM240" i="1" s="1"/>
  <c r="GC87" i="1"/>
  <c r="GF87" i="1" s="1"/>
  <c r="GJ87" i="1" s="1"/>
  <c r="GK87" i="1" s="1"/>
  <c r="GL87" i="1" s="1"/>
  <c r="GM87" i="1" s="1"/>
  <c r="FR13" i="1"/>
  <c r="GA13" i="1"/>
  <c r="GB13" i="1" s="1"/>
  <c r="GA4" i="1"/>
  <c r="GB4" i="1" s="1"/>
  <c r="GC4" i="1" s="1"/>
  <c r="GF4" i="1" s="1"/>
  <c r="GJ4" i="1" s="1"/>
  <c r="GK4" i="1" s="1"/>
  <c r="GL4" i="1" s="1"/>
  <c r="GM4" i="1" s="1"/>
  <c r="GL268" i="1"/>
  <c r="GM268" i="1" s="1"/>
  <c r="GA44" i="1"/>
  <c r="GB44" i="1" s="1"/>
  <c r="GC44" i="1" s="1"/>
  <c r="GF44" i="1" s="1"/>
  <c r="GJ44" i="1" s="1"/>
  <c r="GK44" i="1" s="1"/>
  <c r="GL44" i="1" s="1"/>
  <c r="GM44" i="1" s="1"/>
  <c r="GA65" i="1"/>
  <c r="GB65" i="1" s="1"/>
  <c r="GC65" i="1" s="1"/>
  <c r="GF65" i="1" s="1"/>
  <c r="GJ65" i="1" s="1"/>
  <c r="GK65" i="1" s="1"/>
  <c r="GL65" i="1" s="1"/>
  <c r="GM65" i="1" s="1"/>
  <c r="GL50" i="1"/>
  <c r="GM50" i="1" s="1"/>
  <c r="GA194" i="1"/>
  <c r="GB194" i="1" s="1"/>
  <c r="GC194" i="1" s="1"/>
  <c r="GF194" i="1" s="1"/>
  <c r="GJ194" i="1" s="1"/>
  <c r="GK194" i="1" s="1"/>
  <c r="GL194" i="1" s="1"/>
  <c r="GM194" i="1" s="1"/>
  <c r="GA2" i="1"/>
  <c r="GB2" i="1" s="1"/>
  <c r="GC2" i="1" s="1"/>
  <c r="GF2" i="1" s="1"/>
  <c r="GL132" i="1" l="1"/>
  <c r="GM132" i="1" s="1"/>
  <c r="GC13" i="1"/>
  <c r="GF13" i="1" s="1"/>
  <c r="GJ13" i="1" s="1"/>
  <c r="GK13" i="1" s="1"/>
  <c r="GL13" i="1" s="1"/>
  <c r="GM13" i="1" s="1"/>
  <c r="GJ2" i="1"/>
  <c r="GK2" i="1" s="1"/>
  <c r="GL2" i="1" s="1"/>
  <c r="GM2" i="1" s="1"/>
</calcChain>
</file>

<file path=xl/sharedStrings.xml><?xml version="1.0" encoding="utf-8"?>
<sst xmlns="http://schemas.openxmlformats.org/spreadsheetml/2006/main" count="2004" uniqueCount="972">
  <si>
    <t>sl</t>
  </si>
  <si>
    <t>id</t>
  </si>
  <si>
    <t>tname</t>
  </si>
  <si>
    <t>marchBasic</t>
  </si>
  <si>
    <t>aprilBasic</t>
  </si>
  <si>
    <t>mayBasic</t>
  </si>
  <si>
    <t>juneBasic</t>
  </si>
  <si>
    <t>julyBasic</t>
  </si>
  <si>
    <t>augustBasic</t>
  </si>
  <si>
    <t>septemberBasic</t>
  </si>
  <si>
    <t>octoberBasic</t>
  </si>
  <si>
    <t>novemberBasic</t>
  </si>
  <si>
    <t>decemberBasic</t>
  </si>
  <si>
    <t>januaryBasic</t>
  </si>
  <si>
    <t>februaryBasic</t>
  </si>
  <si>
    <t>marchHRA</t>
  </si>
  <si>
    <t>marchDA</t>
  </si>
  <si>
    <t>marchAddl</t>
  </si>
  <si>
    <t>marchGross</t>
  </si>
  <si>
    <t>marchGPF</t>
  </si>
  <si>
    <t>marchGSLI</t>
  </si>
  <si>
    <t>marchPTAX</t>
  </si>
  <si>
    <t>marchNetpay</t>
  </si>
  <si>
    <t>aprilDA</t>
  </si>
  <si>
    <t>aprilHRA</t>
  </si>
  <si>
    <t>aprilAddl</t>
  </si>
  <si>
    <t>aprilGross</t>
  </si>
  <si>
    <t>aprilGPF</t>
  </si>
  <si>
    <t>aprilGSLI</t>
  </si>
  <si>
    <t>aprilPTAX</t>
  </si>
  <si>
    <t>aprilNetpay</t>
  </si>
  <si>
    <t>mayDA</t>
  </si>
  <si>
    <t>mayHRA</t>
  </si>
  <si>
    <t>mayAddl</t>
  </si>
  <si>
    <t>mayGross</t>
  </si>
  <si>
    <t>mayGPF</t>
  </si>
  <si>
    <t>mayGSLI</t>
  </si>
  <si>
    <t>mayPTAX</t>
  </si>
  <si>
    <t>mayNetpay</t>
  </si>
  <si>
    <t>marchMA</t>
  </si>
  <si>
    <t>aprilMA</t>
  </si>
  <si>
    <t>mayMA</t>
  </si>
  <si>
    <t>juneDA</t>
  </si>
  <si>
    <t>juneHRA</t>
  </si>
  <si>
    <t>juneAddl</t>
  </si>
  <si>
    <t>juneMA</t>
  </si>
  <si>
    <t>juneGross</t>
  </si>
  <si>
    <t>juneGPF</t>
  </si>
  <si>
    <t>juneGSLI</t>
  </si>
  <si>
    <t>junePTAX</t>
  </si>
  <si>
    <t>juneNetpay</t>
  </si>
  <si>
    <t>julyDA</t>
  </si>
  <si>
    <t>julyHRA</t>
  </si>
  <si>
    <t>julyAddl</t>
  </si>
  <si>
    <t>julyMA</t>
  </si>
  <si>
    <t>julyGross</t>
  </si>
  <si>
    <t>julyGPF</t>
  </si>
  <si>
    <t>julyGSLI</t>
  </si>
  <si>
    <t>julyPTAX</t>
  </si>
  <si>
    <t>julyNetpay</t>
  </si>
  <si>
    <t>septemberDA</t>
  </si>
  <si>
    <t>septemberHRA</t>
  </si>
  <si>
    <t>septemberAddl</t>
  </si>
  <si>
    <t>septemberMA</t>
  </si>
  <si>
    <t>septemberGross</t>
  </si>
  <si>
    <t>septemberGPF</t>
  </si>
  <si>
    <t>septemberGSLI</t>
  </si>
  <si>
    <t>septemberPTAX</t>
  </si>
  <si>
    <t>septemberNetpay</t>
  </si>
  <si>
    <t>augustDA</t>
  </si>
  <si>
    <t>augustHRA</t>
  </si>
  <si>
    <t>augustAddl</t>
  </si>
  <si>
    <t>augustMA</t>
  </si>
  <si>
    <t>augustGross</t>
  </si>
  <si>
    <t>augustGPF</t>
  </si>
  <si>
    <t>augustGSLI</t>
  </si>
  <si>
    <t>augustPTAX</t>
  </si>
  <si>
    <t>augustNetpay</t>
  </si>
  <si>
    <t>octoberDA</t>
  </si>
  <si>
    <t>octoberHRA</t>
  </si>
  <si>
    <t>octoberAddl</t>
  </si>
  <si>
    <t>octoberMA</t>
  </si>
  <si>
    <t>octoberGross</t>
  </si>
  <si>
    <t>octoberGPF</t>
  </si>
  <si>
    <t>octoberGSLI</t>
  </si>
  <si>
    <t>octoberPTAX</t>
  </si>
  <si>
    <t>octoberNetpay</t>
  </si>
  <si>
    <t>novemberDA</t>
  </si>
  <si>
    <t>novemberHRA</t>
  </si>
  <si>
    <t>novemberAddl</t>
  </si>
  <si>
    <t>novemberMA</t>
  </si>
  <si>
    <t>novemberGross</t>
  </si>
  <si>
    <t>novemberGPF</t>
  </si>
  <si>
    <t>novemberGSLI</t>
  </si>
  <si>
    <t>novemberPTAX</t>
  </si>
  <si>
    <t>novemberNetpay</t>
  </si>
  <si>
    <t>decemberDA</t>
  </si>
  <si>
    <t>decemberHRA</t>
  </si>
  <si>
    <t>decemberAddl</t>
  </si>
  <si>
    <t>decemberMA</t>
  </si>
  <si>
    <t>decemberGross</t>
  </si>
  <si>
    <t>decemberGPF</t>
  </si>
  <si>
    <t>decemberGSLI</t>
  </si>
  <si>
    <t>decemberPTAX</t>
  </si>
  <si>
    <t>decemberNetpay</t>
  </si>
  <si>
    <t>januaryDA</t>
  </si>
  <si>
    <t>januaryHRA</t>
  </si>
  <si>
    <t>januaryAddl</t>
  </si>
  <si>
    <t>januaryMA</t>
  </si>
  <si>
    <t>januaryGross</t>
  </si>
  <si>
    <t>januaryGPF</t>
  </si>
  <si>
    <t>januaryGSLI</t>
  </si>
  <si>
    <t>januaryPTAX</t>
  </si>
  <si>
    <t>januaryNetpay</t>
  </si>
  <si>
    <t>februaryDA</t>
  </si>
  <si>
    <t>februaryHRA</t>
  </si>
  <si>
    <t>februaryAddl</t>
  </si>
  <si>
    <t>februaryMA</t>
  </si>
  <si>
    <t>februaryGross</t>
  </si>
  <si>
    <t>februaryGPF</t>
  </si>
  <si>
    <t>februaryGSLI</t>
  </si>
  <si>
    <t>februaryPTAX</t>
  </si>
  <si>
    <t>februaryNetpay</t>
  </si>
  <si>
    <t>AllGross</t>
  </si>
  <si>
    <t>teachers101</t>
  </si>
  <si>
    <t>SOHINI PAUL</t>
  </si>
  <si>
    <t>teachers102</t>
  </si>
  <si>
    <t>MOUMITA MAJI</t>
  </si>
  <si>
    <t>teachers103</t>
  </si>
  <si>
    <t>RAGHABENDRA KOLEY</t>
  </si>
  <si>
    <t>teachers104</t>
  </si>
  <si>
    <t>AVISHEK CHOWDHURY</t>
  </si>
  <si>
    <t>teachers105</t>
  </si>
  <si>
    <t>AMIT RIT</t>
  </si>
  <si>
    <t>teachers106</t>
  </si>
  <si>
    <t>TAPAS KARMAKAR</t>
  </si>
  <si>
    <t>teachers107</t>
  </si>
  <si>
    <t>BIKASH CHANDRA DALUI</t>
  </si>
  <si>
    <t>teachers108</t>
  </si>
  <si>
    <t>SUPARNA GHOSH</t>
  </si>
  <si>
    <t>teachers109</t>
  </si>
  <si>
    <t>SOHEL REJA</t>
  </si>
  <si>
    <t>teachers110</t>
  </si>
  <si>
    <t>TARUN GHARA</t>
  </si>
  <si>
    <t>teachers111</t>
  </si>
  <si>
    <t>SWAPAN DAS</t>
  </si>
  <si>
    <t>teachers112</t>
  </si>
  <si>
    <t>RAJU KOLEY</t>
  </si>
  <si>
    <t>teachers388-61383f93</t>
  </si>
  <si>
    <t>RAHUL BISWAS</t>
  </si>
  <si>
    <t>teachers113</t>
  </si>
  <si>
    <t>BAPAN SASMAL</t>
  </si>
  <si>
    <t>teachers114</t>
  </si>
  <si>
    <t>NILADRI DHALI</t>
  </si>
  <si>
    <t>teachers115</t>
  </si>
  <si>
    <t>PRIYANKA RAKSHIT</t>
  </si>
  <si>
    <t>teachers116</t>
  </si>
  <si>
    <t>SIPRA MAJUMDER</t>
  </si>
  <si>
    <t>teachers117</t>
  </si>
  <si>
    <t>PARTHA NANDI</t>
  </si>
  <si>
    <t>teachers118</t>
  </si>
  <si>
    <t>SWAGATA CHAKRABORTY</t>
  </si>
  <si>
    <t>teachers121</t>
  </si>
  <si>
    <t>MANAS CHAKRABORTY</t>
  </si>
  <si>
    <t>teachers122</t>
  </si>
  <si>
    <t>SOUMENDU PRAMANIK</t>
  </si>
  <si>
    <t>teachers123</t>
  </si>
  <si>
    <t>AMIT POREY</t>
  </si>
  <si>
    <t>teachers124</t>
  </si>
  <si>
    <t>ASHIS KUMAR PARUI</t>
  </si>
  <si>
    <t>teachers125</t>
  </si>
  <si>
    <t>SONALI ADHIKARY</t>
  </si>
  <si>
    <t>teachers126</t>
  </si>
  <si>
    <t>KAUSHIK DAS</t>
  </si>
  <si>
    <t>teachers127</t>
  </si>
  <si>
    <t>SHYAMAL HAIT</t>
  </si>
  <si>
    <t>teachers128</t>
  </si>
  <si>
    <t>NETAI DAS</t>
  </si>
  <si>
    <t>teachers129</t>
  </si>
  <si>
    <t>AMIT BARAN DIRGHANGI</t>
  </si>
  <si>
    <t>teachers130</t>
  </si>
  <si>
    <t>PRASANTA PAL</t>
  </si>
  <si>
    <t>teachers131</t>
  </si>
  <si>
    <t>DIPANKAR PATRA</t>
  </si>
  <si>
    <t>teachers132</t>
  </si>
  <si>
    <t>PREMNATH KAR</t>
  </si>
  <si>
    <t>teachers133</t>
  </si>
  <si>
    <t xml:space="preserve">SUBRATA BISWAS </t>
  </si>
  <si>
    <t>teachers134</t>
  </si>
  <si>
    <t>ARUP SAMANTA</t>
  </si>
  <si>
    <t>teachers135</t>
  </si>
  <si>
    <t>BHAGYADHAR KARAR</t>
  </si>
  <si>
    <t>teachers136</t>
  </si>
  <si>
    <t>NILANJANA DEYASHI PAL</t>
  </si>
  <si>
    <t>teachers389-da7ce61c</t>
  </si>
  <si>
    <t>MD HUMAYAN KABIR</t>
  </si>
  <si>
    <t>teachers137</t>
  </si>
  <si>
    <t>MRITYUNJAY ASH</t>
  </si>
  <si>
    <t>teachers138</t>
  </si>
  <si>
    <t>DEBKUMAR MUDLI</t>
  </si>
  <si>
    <t>teachers395-e9d452d8</t>
  </si>
  <si>
    <t>PIYALI BERA</t>
  </si>
  <si>
    <t>teachers139</t>
  </si>
  <si>
    <t>ASTAPADA DAS</t>
  </si>
  <si>
    <t>teachers140</t>
  </si>
  <si>
    <t>ANIRBAN PANDIT</t>
  </si>
  <si>
    <t>teachers141</t>
  </si>
  <si>
    <t>ADAITYA BAR</t>
  </si>
  <si>
    <t>teachers142</t>
  </si>
  <si>
    <t>CHANDANA CHAKRABORTI</t>
  </si>
  <si>
    <t>teachers143</t>
  </si>
  <si>
    <t>SUDIP CHAKRABORTY</t>
  </si>
  <si>
    <t>teachers144</t>
  </si>
  <si>
    <t>BIBEKASISH HAJRA</t>
  </si>
  <si>
    <t>teachers145</t>
  </si>
  <si>
    <t>SHYAMAL MAITY</t>
  </si>
  <si>
    <t>teachers146</t>
  </si>
  <si>
    <t>MANOJ KHOTEL</t>
  </si>
  <si>
    <t>teachers147</t>
  </si>
  <si>
    <t>PRADIP SADHUKHAN</t>
  </si>
  <si>
    <t>teachers148</t>
  </si>
  <si>
    <t>TRIDIB SINGH</t>
  </si>
  <si>
    <t>teachers149</t>
  </si>
  <si>
    <t>PRANAB GAYEN</t>
  </si>
  <si>
    <t>teachers150</t>
  </si>
  <si>
    <t>DEBASISH MAZUMDER</t>
  </si>
  <si>
    <t>teachers151</t>
  </si>
  <si>
    <t>SAYAN DAS</t>
  </si>
  <si>
    <t>teachers152</t>
  </si>
  <si>
    <t>KARTICK GHOSH</t>
  </si>
  <si>
    <t>teachers153</t>
  </si>
  <si>
    <t>SUMAN SAMANTA</t>
  </si>
  <si>
    <t>teachers154</t>
  </si>
  <si>
    <t>SURAJIT KOLEY</t>
  </si>
  <si>
    <t>teachers155</t>
  </si>
  <si>
    <t>RAMESH DALUI</t>
  </si>
  <si>
    <t>teachers156</t>
  </si>
  <si>
    <t>LIPI GHOSH</t>
  </si>
  <si>
    <t>teachers157</t>
  </si>
  <si>
    <t>PULAK MITRA</t>
  </si>
  <si>
    <t>teachers158</t>
  </si>
  <si>
    <t>SAYAN DE</t>
  </si>
  <si>
    <t>teachers159</t>
  </si>
  <si>
    <t>SHUVENDU MANNA</t>
  </si>
  <si>
    <t>teachers160</t>
  </si>
  <si>
    <t>PARTHA SARATHI CHANDRA</t>
  </si>
  <si>
    <t>teachers161</t>
  </si>
  <si>
    <t>SAUMEN MANDAL</t>
  </si>
  <si>
    <t>teachers162</t>
  </si>
  <si>
    <t>HEMA HALDER</t>
  </si>
  <si>
    <t>teachers398-7bc9c6b0</t>
  </si>
  <si>
    <t>BITHIKA MAJUMDER</t>
  </si>
  <si>
    <t>teachers163</t>
  </si>
  <si>
    <t>JAKIA SULTANA</t>
  </si>
  <si>
    <t>teachers164</t>
  </si>
  <si>
    <t>APURBA PRODHAN</t>
  </si>
  <si>
    <t>teachers165</t>
  </si>
  <si>
    <t>DALI KHAN</t>
  </si>
  <si>
    <t>teachers166</t>
  </si>
  <si>
    <t>BIKASH CHANDRA JANA</t>
  </si>
  <si>
    <t>teachers167</t>
  </si>
  <si>
    <t>SUKANTA GUCHAIT</t>
  </si>
  <si>
    <t>teachers168</t>
  </si>
  <si>
    <t>MOLLA MD MAHASIN</t>
  </si>
  <si>
    <t>teachers169</t>
  </si>
  <si>
    <t>UTPAL KUMAR SHEE</t>
  </si>
  <si>
    <t>teachers170</t>
  </si>
  <si>
    <t>SWAPAN PATRA</t>
  </si>
  <si>
    <t>teachers390-79bf2ea7</t>
  </si>
  <si>
    <t>SHAIKH MAHAMMAD ALI</t>
  </si>
  <si>
    <t>teachers171</t>
  </si>
  <si>
    <t>PALASH KUMAR MONDAL</t>
  </si>
  <si>
    <t>teachers172</t>
  </si>
  <si>
    <t>LABANYA MONDAL</t>
  </si>
  <si>
    <t>teachers173</t>
  </si>
  <si>
    <t>SUSHANTA BACHAR</t>
  </si>
  <si>
    <t>teachers174</t>
  </si>
  <si>
    <t>MALAYASISH BACHHAR</t>
  </si>
  <si>
    <t>teachers175</t>
  </si>
  <si>
    <t>SARMISTHA BAG</t>
  </si>
  <si>
    <t>teachers176</t>
  </si>
  <si>
    <t>SUBHANKAR GHOSH</t>
  </si>
  <si>
    <t>teachers177</t>
  </si>
  <si>
    <t>SUMON GOLUI</t>
  </si>
  <si>
    <t>teachers178</t>
  </si>
  <si>
    <t>NITYANANDA GOLUI</t>
  </si>
  <si>
    <t>teachers179</t>
  </si>
  <si>
    <t>ARINDAM MANDAL</t>
  </si>
  <si>
    <t>teachers180</t>
  </si>
  <si>
    <t>PRABHANJAN DAS</t>
  </si>
  <si>
    <t>teachers181</t>
  </si>
  <si>
    <t>SUVRA KANTI SARKAR</t>
  </si>
  <si>
    <t>teachers182</t>
  </si>
  <si>
    <t>SIDDHARTHA BISWAS</t>
  </si>
  <si>
    <t>teachers183</t>
  </si>
  <si>
    <t>SISIR KUMAR PRAMANICK</t>
  </si>
  <si>
    <t>teachers184</t>
  </si>
  <si>
    <t>SRIBAS HAZRA</t>
  </si>
  <si>
    <t>teachers185</t>
  </si>
  <si>
    <t>DEBASIS MALIK</t>
  </si>
  <si>
    <t>teachers186</t>
  </si>
  <si>
    <t>ASISH CHANDRA</t>
  </si>
  <si>
    <t>teachers187</t>
  </si>
  <si>
    <t>MD JAHIDUR RAHAMAN</t>
  </si>
  <si>
    <t>teachers188</t>
  </si>
  <si>
    <t>GOURANGA BODHAK</t>
  </si>
  <si>
    <t>teachers189</t>
  </si>
  <si>
    <t>SOUMOJIT SAHA</t>
  </si>
  <si>
    <t>teachers385-d26e20d3</t>
  </si>
  <si>
    <t>ALAKA HANSDA</t>
  </si>
  <si>
    <t>teachers190</t>
  </si>
  <si>
    <t>PROSENJIT GHOSH</t>
  </si>
  <si>
    <t>teachers191</t>
  </si>
  <si>
    <t>RANJAN ROUTH</t>
  </si>
  <si>
    <t>teachers192</t>
  </si>
  <si>
    <t>ASHIS KOLEY</t>
  </si>
  <si>
    <t>teachers193</t>
  </si>
  <si>
    <t>teachers194</t>
  </si>
  <si>
    <t>SEKHAR PALMAL</t>
  </si>
  <si>
    <t>teachers195</t>
  </si>
  <si>
    <t>SUSIL KUMAR SAMANTA</t>
  </si>
  <si>
    <t>teachers196</t>
  </si>
  <si>
    <t>SUVANKAR PAUL</t>
  </si>
  <si>
    <t>teachers197</t>
  </si>
  <si>
    <t>BAPI SAMANTA</t>
  </si>
  <si>
    <t>teachers198</t>
  </si>
  <si>
    <t>PINTU SAU</t>
  </si>
  <si>
    <t>teachers199</t>
  </si>
  <si>
    <t>AMIT MAL</t>
  </si>
  <si>
    <t>teachers200</t>
  </si>
  <si>
    <t>SUKANTA HAZRA</t>
  </si>
  <si>
    <t>teachers201</t>
  </si>
  <si>
    <t>NAZEMUL MALLICK</t>
  </si>
  <si>
    <t>teachers202</t>
  </si>
  <si>
    <t>DEBASISH SAMANTA</t>
  </si>
  <si>
    <t>teachers203</t>
  </si>
  <si>
    <t>ARGHA MAITY</t>
  </si>
  <si>
    <t>teachers204</t>
  </si>
  <si>
    <t>SWARAJ PANDIT</t>
  </si>
  <si>
    <t>teachers205</t>
  </si>
  <si>
    <t>NILIMA CHANDA</t>
  </si>
  <si>
    <t>teachers206</t>
  </si>
  <si>
    <t>SUKANTA DHARA</t>
  </si>
  <si>
    <t>teachers207</t>
  </si>
  <si>
    <t>SK KUTUBUDDIN</t>
  </si>
  <si>
    <t>teachers208</t>
  </si>
  <si>
    <t>TAPASI ACHARYYA</t>
  </si>
  <si>
    <t>teachers209</t>
  </si>
  <si>
    <t>ROJINA KHATUN</t>
  </si>
  <si>
    <t>teachers210</t>
  </si>
  <si>
    <t>NILADRY SEKHAR KHAN</t>
  </si>
  <si>
    <t>teachers212</t>
  </si>
  <si>
    <t>SRABANI JATI</t>
  </si>
  <si>
    <t>teachers213</t>
  </si>
  <si>
    <t>PRASUN MUKHOPADHYAY</t>
  </si>
  <si>
    <t>teachers214</t>
  </si>
  <si>
    <t>DEBASRI KOLEY JATI</t>
  </si>
  <si>
    <t>teachers215</t>
  </si>
  <si>
    <t>MOUSUMI BISWAS</t>
  </si>
  <si>
    <t>teachers216</t>
  </si>
  <si>
    <t>MERAJUDDIN SARKAR</t>
  </si>
  <si>
    <t>teachers217</t>
  </si>
  <si>
    <t>FARID MONDAL</t>
  </si>
  <si>
    <t>teachers218</t>
  </si>
  <si>
    <t>UJJWAL ADHIKARY</t>
  </si>
  <si>
    <t>teachers219</t>
  </si>
  <si>
    <t>SUDIPTA BHANDARI</t>
  </si>
  <si>
    <t>teachers220</t>
  </si>
  <si>
    <t>SK RAJIBUL HAQUE</t>
  </si>
  <si>
    <t>teachers221</t>
  </si>
  <si>
    <t>SUBHRADIP POREL</t>
  </si>
  <si>
    <t>teachers222</t>
  </si>
  <si>
    <t>PRIYABRATA BANDYOPADHYAY</t>
  </si>
  <si>
    <t>teachers223</t>
  </si>
  <si>
    <t>SUJIT GUCHHAIT</t>
  </si>
  <si>
    <t>teachers224</t>
  </si>
  <si>
    <t>RAJASI SAMANTA</t>
  </si>
  <si>
    <t>teachers226</t>
  </si>
  <si>
    <t>SK ASIF MURSHED</t>
  </si>
  <si>
    <t>teachers227</t>
  </si>
  <si>
    <t>TANDRA DALUI</t>
  </si>
  <si>
    <t>teachers229</t>
  </si>
  <si>
    <t>RAJESH MAITY</t>
  </si>
  <si>
    <t>teachers230</t>
  </si>
  <si>
    <t>MRITUNJOY MANNA</t>
  </si>
  <si>
    <t>teachers231</t>
  </si>
  <si>
    <t>JULFIKAR ALI SHAH</t>
  </si>
  <si>
    <t>teachers232</t>
  </si>
  <si>
    <t>ATANU MAJI</t>
  </si>
  <si>
    <t>teachers233</t>
  </si>
  <si>
    <t>RUPALI DAS</t>
  </si>
  <si>
    <t>teachers391-12274feb</t>
  </si>
  <si>
    <t>MOONMOON SARKAR</t>
  </si>
  <si>
    <t>teachers234</t>
  </si>
  <si>
    <t>SUSMITA DHAWA</t>
  </si>
  <si>
    <t>teachers235</t>
  </si>
  <si>
    <t>BABITA DOLUI</t>
  </si>
  <si>
    <t>teachers236</t>
  </si>
  <si>
    <t>TANUSHREE PANDIT</t>
  </si>
  <si>
    <t>teachers237</t>
  </si>
  <si>
    <t>TAPAN KUMAR KOLEY</t>
  </si>
  <si>
    <t>teachers238</t>
  </si>
  <si>
    <t>BABULAL DHARA</t>
  </si>
  <si>
    <t>teachers239</t>
  </si>
  <si>
    <t>PRALHAD CHAKRABORTY</t>
  </si>
  <si>
    <t>teachers240</t>
  </si>
  <si>
    <t>SAMIR BAG</t>
  </si>
  <si>
    <t>teachers241</t>
  </si>
  <si>
    <t>KUMARESH SARKAR</t>
  </si>
  <si>
    <t>teachers242</t>
  </si>
  <si>
    <t>MILAN BISWAS</t>
  </si>
  <si>
    <t>teachers392-5190daaf</t>
  </si>
  <si>
    <t>MINHAJUDDIN SHIRAJ</t>
  </si>
  <si>
    <t>teachers243</t>
  </si>
  <si>
    <t>TAPAS KUMAR GHOSH</t>
  </si>
  <si>
    <t>teachers244</t>
  </si>
  <si>
    <t>MURARIMOHAN MANNA</t>
  </si>
  <si>
    <t>teachers245</t>
  </si>
  <si>
    <t>AVIJIT ROY</t>
  </si>
  <si>
    <t>teachers246</t>
  </si>
  <si>
    <t>CHINMOY KHAN</t>
  </si>
  <si>
    <t>teachers247</t>
  </si>
  <si>
    <t>PANKAJ KUMAR MONDAL</t>
  </si>
  <si>
    <t>teachers248</t>
  </si>
  <si>
    <t>TAPASI RAY</t>
  </si>
  <si>
    <t>teachers249</t>
  </si>
  <si>
    <t>PRASENJIT CHANDRA</t>
  </si>
  <si>
    <t>teachers250</t>
  </si>
  <si>
    <t>PRADIP KAMILYA</t>
  </si>
  <si>
    <t>teachers393-b8f65964</t>
  </si>
  <si>
    <t>RAJKUMAR SARKAR</t>
  </si>
  <si>
    <t>teachers251</t>
  </si>
  <si>
    <t>SUDIPTA DAS</t>
  </si>
  <si>
    <t>teachers254</t>
  </si>
  <si>
    <t>SUMANTA PATRA</t>
  </si>
  <si>
    <t>teachers253</t>
  </si>
  <si>
    <t>SUBRATA BISWAS</t>
  </si>
  <si>
    <t>teachers252</t>
  </si>
  <si>
    <t>ANKITA KOLEY DAS</t>
  </si>
  <si>
    <t>teachers256</t>
  </si>
  <si>
    <t>ULLASH JANA</t>
  </si>
  <si>
    <t>teachers255</t>
  </si>
  <si>
    <t>RAJESH GOLUI</t>
  </si>
  <si>
    <t>teachers257</t>
  </si>
  <si>
    <t>SUJATA MANNA</t>
  </si>
  <si>
    <t>teachers258</t>
  </si>
  <si>
    <t>UDAY BHUINYA</t>
  </si>
  <si>
    <t>teachers259</t>
  </si>
  <si>
    <t>SK SAHABUDDIN</t>
  </si>
  <si>
    <t>teachers260</t>
  </si>
  <si>
    <t>NIZAM UDDIN SARDAR</t>
  </si>
  <si>
    <t>teachers261</t>
  </si>
  <si>
    <t>KHEYALI MALAKAR</t>
  </si>
  <si>
    <t>teachers262</t>
  </si>
  <si>
    <t>MUKUL HAZRA</t>
  </si>
  <si>
    <t>teachers263</t>
  </si>
  <si>
    <t>SNEHASHIS JANA</t>
  </si>
  <si>
    <t>teachers264</t>
  </si>
  <si>
    <t>SUMA SAMANTA</t>
  </si>
  <si>
    <t>teachers265</t>
  </si>
  <si>
    <t>BILAS DANDA</t>
  </si>
  <si>
    <t>teachers266</t>
  </si>
  <si>
    <t>USUB ALI</t>
  </si>
  <si>
    <t>teachers267</t>
  </si>
  <si>
    <t>NIRMALYA DAS</t>
  </si>
  <si>
    <t>teachers268</t>
  </si>
  <si>
    <t>TANUJ RONG</t>
  </si>
  <si>
    <t>teachers269</t>
  </si>
  <si>
    <t>SUSANTA PAL</t>
  </si>
  <si>
    <t>teachers270</t>
  </si>
  <si>
    <t>MOUSUMI ADHIKARY</t>
  </si>
  <si>
    <t>teachers271</t>
  </si>
  <si>
    <t>SOUMEN MAITY</t>
  </si>
  <si>
    <t>teachers272</t>
  </si>
  <si>
    <t>ARKA CHANDRA</t>
  </si>
  <si>
    <t>teachers273</t>
  </si>
  <si>
    <t>NIRMAL DAS</t>
  </si>
  <si>
    <t>teachers274</t>
  </si>
  <si>
    <t>TAPAS POLLEY</t>
  </si>
  <si>
    <t>teachers275</t>
  </si>
  <si>
    <t>SANJOY KUMAR BAG</t>
  </si>
  <si>
    <t>teachers276</t>
  </si>
  <si>
    <t>PRIYANKA DEY</t>
  </si>
  <si>
    <t>teachers277</t>
  </si>
  <si>
    <t>SHAMPA SAU BODHAK</t>
  </si>
  <si>
    <t>teachers278</t>
  </si>
  <si>
    <t>SUMANA PRAMANIK</t>
  </si>
  <si>
    <t>teachers396-680da03e</t>
  </si>
  <si>
    <t>SHEULI PRODHAN</t>
  </si>
  <si>
    <t>teachers279</t>
  </si>
  <si>
    <t>HEMANTA KUMAR SADHUKHAN</t>
  </si>
  <si>
    <t>teachers280</t>
  </si>
  <si>
    <t>SOUVIK SAMANTA</t>
  </si>
  <si>
    <t>teachers281</t>
  </si>
  <si>
    <t>HEMANTA MAITY</t>
  </si>
  <si>
    <t>teachers282</t>
  </si>
  <si>
    <t>SK GOLAM EAJDANI</t>
  </si>
  <si>
    <t>teachers283</t>
  </si>
  <si>
    <t>SUDIP KUMAR KARAR</t>
  </si>
  <si>
    <t>teachers284</t>
  </si>
  <si>
    <t>SONALI PAUL</t>
  </si>
  <si>
    <t>teachers285</t>
  </si>
  <si>
    <t>SUSMITA MANDAL</t>
  </si>
  <si>
    <t>teachers286</t>
  </si>
  <si>
    <t>ABHIJIT MAITY</t>
  </si>
  <si>
    <t>teachers287</t>
  </si>
  <si>
    <t>SOUVIK CHAUDHURI</t>
  </si>
  <si>
    <t>teachers288</t>
  </si>
  <si>
    <t>ACHINTYA SAMANTA</t>
  </si>
  <si>
    <t>teachers289</t>
  </si>
  <si>
    <t>SOMENDRA NATH DAS</t>
  </si>
  <si>
    <t>teachers290</t>
  </si>
  <si>
    <t>DEBABRATA DAS</t>
  </si>
  <si>
    <t>teachers291</t>
  </si>
  <si>
    <t>KAMALA KANTA RAUL</t>
  </si>
  <si>
    <t>teachers292</t>
  </si>
  <si>
    <t>KARTICK CHANDRA MAITI</t>
  </si>
  <si>
    <t>teachers293</t>
  </si>
  <si>
    <t>DILIP KUMAR DAS</t>
  </si>
  <si>
    <t>teachers294</t>
  </si>
  <si>
    <t>MAUMITA CHAKRABORTY</t>
  </si>
  <si>
    <t>teachers295</t>
  </si>
  <si>
    <t>KAJARI BISWAS</t>
  </si>
  <si>
    <t>teachers296</t>
  </si>
  <si>
    <t>PALASH KUMAR DALUI</t>
  </si>
  <si>
    <t>teachers297</t>
  </si>
  <si>
    <t>DILIP DALUI</t>
  </si>
  <si>
    <t>teachers298</t>
  </si>
  <si>
    <t>SANTI SARKAR</t>
  </si>
  <si>
    <t>teachers299</t>
  </si>
  <si>
    <t>SUBIR MANNA</t>
  </si>
  <si>
    <t>teachers300</t>
  </si>
  <si>
    <t>PROSENJIT PARAL</t>
  </si>
  <si>
    <t>teachers301</t>
  </si>
  <si>
    <t>BIPLAB GHOSH</t>
  </si>
  <si>
    <t>teachers302</t>
  </si>
  <si>
    <t>SURAJIT DOLUI</t>
  </si>
  <si>
    <t>teachers303</t>
  </si>
  <si>
    <t>SIDDHARTHA MONDAL</t>
  </si>
  <si>
    <t>teachers387-8a82d5ab</t>
  </si>
  <si>
    <t>TARUN KUMAR BARUI</t>
  </si>
  <si>
    <t>teachers304</t>
  </si>
  <si>
    <t>SISIRKANA BERA</t>
  </si>
  <si>
    <t>teachers305</t>
  </si>
  <si>
    <t>ANUP DAS</t>
  </si>
  <si>
    <t>teachers306</t>
  </si>
  <si>
    <t>KALYANI HAZRA BOR</t>
  </si>
  <si>
    <t>teachers307</t>
  </si>
  <si>
    <t>JHANTU MALLICK</t>
  </si>
  <si>
    <t>teachers308</t>
  </si>
  <si>
    <t>GADADHAR BAR</t>
  </si>
  <si>
    <t>teachers309</t>
  </si>
  <si>
    <t>SAIKAT MONDAL</t>
  </si>
  <si>
    <t>teachers310</t>
  </si>
  <si>
    <t>PALASH BEJ</t>
  </si>
  <si>
    <t>teachers311</t>
  </si>
  <si>
    <t>PALLAB MONDAL</t>
  </si>
  <si>
    <t>teachers312</t>
  </si>
  <si>
    <t>AMIYA KUMAR RIT</t>
  </si>
  <si>
    <t>teachers313</t>
  </si>
  <si>
    <t>SUBHANKAR MAITY</t>
  </si>
  <si>
    <t>teachers314</t>
  </si>
  <si>
    <t>PALLABI PURKAIT</t>
  </si>
  <si>
    <t>teachers315</t>
  </si>
  <si>
    <t>MANTU MALICK</t>
  </si>
  <si>
    <t>teachers316</t>
  </si>
  <si>
    <t>GITA ADHIKARY</t>
  </si>
  <si>
    <t>teachers317</t>
  </si>
  <si>
    <t>ABHISHEK CHATTERJEE</t>
  </si>
  <si>
    <t>teachers318</t>
  </si>
  <si>
    <t>SURAJIT MAJUMDER</t>
  </si>
  <si>
    <t>teachers386-dbc88f20</t>
  </si>
  <si>
    <t>GOPINATH MANNA</t>
  </si>
  <si>
    <t>teachers319</t>
  </si>
  <si>
    <t>BHOLANATH DALUI</t>
  </si>
  <si>
    <t>teachers320</t>
  </si>
  <si>
    <t>KUNTAL PACHAL</t>
  </si>
  <si>
    <t>teachers321</t>
  </si>
  <si>
    <t>MD RAFIQUL ALAM</t>
  </si>
  <si>
    <t>teachers322</t>
  </si>
  <si>
    <t>ARATI PATRA</t>
  </si>
  <si>
    <t>teachers323</t>
  </si>
  <si>
    <t>BALARAM PAL</t>
  </si>
  <si>
    <t>teachers324</t>
  </si>
  <si>
    <t>DEBASHIS MAJI</t>
  </si>
  <si>
    <t>teachers325</t>
  </si>
  <si>
    <t>NUR HOSSAIN MALLICK</t>
  </si>
  <si>
    <t>teachers326</t>
  </si>
  <si>
    <t>SATINDRA NATH BERA</t>
  </si>
  <si>
    <t>teachers327</t>
  </si>
  <si>
    <t>PRANAB KUMAR POREY</t>
  </si>
  <si>
    <t>teachers328</t>
  </si>
  <si>
    <t>SUMANA BHANDARI</t>
  </si>
  <si>
    <t>teachers329</t>
  </si>
  <si>
    <t>MANASI SHOW</t>
  </si>
  <si>
    <t>teachers330</t>
  </si>
  <si>
    <t>NARAYAN CHANDRA MANNA</t>
  </si>
  <si>
    <t>teachers331</t>
  </si>
  <si>
    <t>MITHUN CHAKRABORTY</t>
  </si>
  <si>
    <t>teachers332</t>
  </si>
  <si>
    <t>ARUN KUMAR PAL</t>
  </si>
  <si>
    <t>teachers333</t>
  </si>
  <si>
    <t>SK SARAFUDDEN</t>
  </si>
  <si>
    <t>teachers334</t>
  </si>
  <si>
    <t>DEBDAS MANNA</t>
  </si>
  <si>
    <t>teachers335</t>
  </si>
  <si>
    <t>SUSANTA CHATTERJEE</t>
  </si>
  <si>
    <t>teachers388-9d83883f</t>
  </si>
  <si>
    <t>AVIJIT KARAR</t>
  </si>
  <si>
    <t>teachers336</t>
  </si>
  <si>
    <t>SANDIP KARAR</t>
  </si>
  <si>
    <t>teachers337</t>
  </si>
  <si>
    <t>KUNAL PACHAL</t>
  </si>
  <si>
    <t>teachers338</t>
  </si>
  <si>
    <t>ABDUL KARIM</t>
  </si>
  <si>
    <t>teachers339</t>
  </si>
  <si>
    <t>TAPAS PATRA</t>
  </si>
  <si>
    <t>teachers340</t>
  </si>
  <si>
    <t>TINA GAYEN DOLUI</t>
  </si>
  <si>
    <t>teachers341</t>
  </si>
  <si>
    <t>GAUTAM CHAKRABORTTY</t>
  </si>
  <si>
    <t>teachers342</t>
  </si>
  <si>
    <t>SOURAV SHAW</t>
  </si>
  <si>
    <t>teachers343</t>
  </si>
  <si>
    <t>PAPIYA SAHU</t>
  </si>
  <si>
    <t>teachers344</t>
  </si>
  <si>
    <t>DEBOSREE MAITY</t>
  </si>
  <si>
    <t>teachers345</t>
  </si>
  <si>
    <t>SANGHAMITRA MAITY</t>
  </si>
  <si>
    <t>teachers346</t>
  </si>
  <si>
    <t>LIPIKA MONDAL</t>
  </si>
  <si>
    <t>teachers347</t>
  </si>
  <si>
    <t>MINTU MALIK</t>
  </si>
  <si>
    <t>teachers348</t>
  </si>
  <si>
    <t>PAROMITA ROY</t>
  </si>
  <si>
    <t>teachers349</t>
  </si>
  <si>
    <t>ALAKANANDA PAUL</t>
  </si>
  <si>
    <t>teachers350</t>
  </si>
  <si>
    <t>PARTHO SARATHI HAZRA</t>
  </si>
  <si>
    <t>teachers351</t>
  </si>
  <si>
    <t>SUBRATA DAS</t>
  </si>
  <si>
    <t>teachers352</t>
  </si>
  <si>
    <t>KAJI SAMIM AKTAR</t>
  </si>
  <si>
    <t>teachers353</t>
  </si>
  <si>
    <t>SALIL KUMAR CHAKRABORTTY</t>
  </si>
  <si>
    <t>teachers354</t>
  </si>
  <si>
    <t>SANTI KUMAR KARAK</t>
  </si>
  <si>
    <t>teachers355</t>
  </si>
  <si>
    <t>PRASUN HAZRA</t>
  </si>
  <si>
    <t>teachers356</t>
  </si>
  <si>
    <t>SK SABIR HOSSAIN</t>
  </si>
  <si>
    <t>teachers357</t>
  </si>
  <si>
    <t>KANIKA PANJA</t>
  </si>
  <si>
    <t>teachers358</t>
  </si>
  <si>
    <t>DEBASHIS MANDAL</t>
  </si>
  <si>
    <t>teachers359</t>
  </si>
  <si>
    <t>AMIYA KUMAR KOLEY</t>
  </si>
  <si>
    <t>teachers360</t>
  </si>
  <si>
    <t>BARNA DATTA</t>
  </si>
  <si>
    <t>teachers361</t>
  </si>
  <si>
    <t>ROSHNIARA MONDAL SK</t>
  </si>
  <si>
    <t>teachers362</t>
  </si>
  <si>
    <t>PROBHAT RANJAN KOLEY</t>
  </si>
  <si>
    <t>teachers363</t>
  </si>
  <si>
    <t>PRIYANKA ROY</t>
  </si>
  <si>
    <t>teachers364</t>
  </si>
  <si>
    <t>RUPA HALDER</t>
  </si>
  <si>
    <t>teachers365</t>
  </si>
  <si>
    <t>HEMANTA KUMAR MISRA</t>
  </si>
  <si>
    <t>teachers366</t>
  </si>
  <si>
    <t>DIBYENDU KOLEY</t>
  </si>
  <si>
    <t>teachers367</t>
  </si>
  <si>
    <t>SARIFUL MOLLAH</t>
  </si>
  <si>
    <t>teachers394-a4f17403</t>
  </si>
  <si>
    <t>JNANSANKAR SINGHA MAHAPATRA</t>
  </si>
  <si>
    <t>teachers368</t>
  </si>
  <si>
    <t>MUNMUN CHANDRA</t>
  </si>
  <si>
    <t>teachers369</t>
  </si>
  <si>
    <t>SUPARNA GAYEN</t>
  </si>
  <si>
    <t>teachers370</t>
  </si>
  <si>
    <t>TANMOY SAHA</t>
  </si>
  <si>
    <t>teachers371</t>
  </si>
  <si>
    <t>SARAJIT BISWAS</t>
  </si>
  <si>
    <t>teachers372</t>
  </si>
  <si>
    <t>LAL CHAND SK</t>
  </si>
  <si>
    <t>teachers373</t>
  </si>
  <si>
    <t>RINA ADAK</t>
  </si>
  <si>
    <t>teachers374</t>
  </si>
  <si>
    <t>MRINMAY ADHIKARY</t>
  </si>
  <si>
    <t>teachers375</t>
  </si>
  <si>
    <t>MADHUMITA DHAL</t>
  </si>
  <si>
    <t>teachers376</t>
  </si>
  <si>
    <t>SAILEN NEBU</t>
  </si>
  <si>
    <t>teachers377</t>
  </si>
  <si>
    <t>BISWAJIT SAU</t>
  </si>
  <si>
    <t>teachers378</t>
  </si>
  <si>
    <t>KAMAL KUMAR DHARA</t>
  </si>
  <si>
    <t>teachers379</t>
  </si>
  <si>
    <t>DIBYENDU KUMAR ADHIKARY</t>
  </si>
  <si>
    <t>teachers380</t>
  </si>
  <si>
    <t>SANJUKTA HAJRA</t>
  </si>
  <si>
    <t>teachers381</t>
  </si>
  <si>
    <t>SK MAIDUL ISLAM</t>
  </si>
  <si>
    <t>teachers382</t>
  </si>
  <si>
    <t>MALLIKA GAYEN</t>
  </si>
  <si>
    <t>teachers383</t>
  </si>
  <si>
    <t>SURASHREE SADHUKHAN SAHA</t>
  </si>
  <si>
    <t>teachers384</t>
  </si>
  <si>
    <t>ABDUS SALAM MOLLICK</t>
  </si>
  <si>
    <t>bonus</t>
  </si>
  <si>
    <t>aprilIR</t>
  </si>
  <si>
    <t>GrossGPF</t>
  </si>
  <si>
    <t>GrossGSLI</t>
  </si>
  <si>
    <t>GrossPTAX</t>
  </si>
  <si>
    <t>StandardDeduction</t>
  </si>
  <si>
    <t>hbLoanPrincipal</t>
  </si>
  <si>
    <t>hbLoanInterest</t>
  </si>
  <si>
    <t>lic</t>
  </si>
  <si>
    <t>ulip</t>
  </si>
  <si>
    <t>ppf</t>
  </si>
  <si>
    <t>nsc</t>
  </si>
  <si>
    <t>nscInterest</t>
  </si>
  <si>
    <t>tutionFee</t>
  </si>
  <si>
    <t>sukanya</t>
  </si>
  <si>
    <t>stampDuty</t>
  </si>
  <si>
    <t>mediclaim</t>
  </si>
  <si>
    <t>terminalDisease</t>
  </si>
  <si>
    <t>handicapTreatment</t>
  </si>
  <si>
    <t>educationLoan</t>
  </si>
  <si>
    <t>charity</t>
  </si>
  <si>
    <t>rgSaving</t>
  </si>
  <si>
    <t>otherIncome</t>
  </si>
  <si>
    <t>fd</t>
  </si>
  <si>
    <t>tds</t>
  </si>
  <si>
    <t>GrossIncome</t>
  </si>
  <si>
    <t>Gross80C</t>
  </si>
  <si>
    <t>After80CDeduction</t>
  </si>
  <si>
    <t>limit80C</t>
  </si>
  <si>
    <t>Gross80D</t>
  </si>
  <si>
    <t>TaxableIncome</t>
  </si>
  <si>
    <t>firstSlabDeduction</t>
  </si>
  <si>
    <t>IncomeTaxStepOne</t>
  </si>
  <si>
    <t>IncomeTaxStepTwo</t>
  </si>
  <si>
    <t>Rebate</t>
  </si>
  <si>
    <t>addEduCess</t>
  </si>
  <si>
    <t>EduCess</t>
  </si>
  <si>
    <t>NetTax</t>
  </si>
  <si>
    <t>above5Lakh</t>
  </si>
  <si>
    <t>school</t>
  </si>
  <si>
    <t>AMORAGORI GIRLS PRIMARY SCHOOL</t>
  </si>
  <si>
    <t>BANCHARAM ROY PRIMARY SCHOOL</t>
  </si>
  <si>
    <t>BAR GAZIPUR PRIMARY SCHOOL</t>
  </si>
  <si>
    <t>BER DHAIPUR PRIMARY SCHOOL</t>
  </si>
  <si>
    <t>BETAI PC PRIMARY SCHOOL</t>
  </si>
  <si>
    <t>BHATEGHORI PRIMARY SCHOOL</t>
  </si>
  <si>
    <t>BHATEGHORI SIBTALA PRIMARY SCHOOL</t>
  </si>
  <si>
    <t>BINOLA KRISHNABATI PRIMARY SCHOOL</t>
  </si>
  <si>
    <t>BOALIA B PARA PRIMARY SCHOOL</t>
  </si>
  <si>
    <t>BOALIA PRIMARY SCHOOL</t>
  </si>
  <si>
    <t>CHAKJANARDAN PRIMARY SCHOOL</t>
  </si>
  <si>
    <t>CHAKSALIKA PRIMARY SCHOOL</t>
  </si>
  <si>
    <t>CHAKSALIKA RAJBANSHIPARA PRIMARY SCHOOL</t>
  </si>
  <si>
    <t>CHARANOWPARA PRIMARY SCHOOL</t>
  </si>
  <si>
    <t>CHINGRAJOLE NARAYANI GIRLS PRIMARY SCHOOL</t>
  </si>
  <si>
    <t>CHINGRAJOLE VIVEKANANDA PRIMARY SCHOOL</t>
  </si>
  <si>
    <t>DAKSHIN JOYPUR JR BASIC SCHOOL</t>
  </si>
  <si>
    <t>DHAIPUR PRIMARY SCHOOL</t>
  </si>
  <si>
    <t>DURGAPUR JUNIOR BASIC SCHOOL</t>
  </si>
  <si>
    <t>GAZIPUR THAKAMOYEE PRIMARY SCHOOL</t>
  </si>
  <si>
    <t>GHANASHYAMCHAK PRIMARY SCHOOL</t>
  </si>
  <si>
    <t>GHARDUBRA MONIMOHAN PRIMARY SCHOOL</t>
  </si>
  <si>
    <t>GHOLEDWIPA PRIMARY SCHOOL</t>
  </si>
  <si>
    <t>HANIDHARA PRIMARY SCHOOL</t>
  </si>
  <si>
    <t>HAZRABERIA PRIMARY SCHOOL</t>
  </si>
  <si>
    <t>JAGALGORI PRIMARY SCHOOL</t>
  </si>
  <si>
    <t>JAYANTI PRIMARY SCHOOL</t>
  </si>
  <si>
    <t>JHAMTIA DHARAMPOTA PRIMARY SCHOOL</t>
  </si>
  <si>
    <t>JHAMTIA DHARAPARA PRIMARY SCHOOL</t>
  </si>
  <si>
    <t>JHAMTIA PRIMARY SCHOOL</t>
  </si>
  <si>
    <t>JHAMTIA SELNAPARA PRIMARY SCHOOL</t>
  </si>
  <si>
    <t>JHIKIRA HIGH ATT PRIMARY SCHOOL</t>
  </si>
  <si>
    <t>JHIKIRA MOTIMONI GIRLS PRIMARY SCHOOL</t>
  </si>
  <si>
    <t>JHIKIRA MUSLIMPARA PRIMARY SCHOOL</t>
  </si>
  <si>
    <t>JHIKIRA SATISH CHANDRA JR BASIC SCHOOL</t>
  </si>
  <si>
    <t>JOYPUR BAKULTALA PRIMARY SCHOOL</t>
  </si>
  <si>
    <t>JOYPUR JOYCHANDI TALA PRIMARY SCHOOL</t>
  </si>
  <si>
    <t>JOYPUR PHAKIRDAS HIGH ATT PRIMARY SCHOOL</t>
  </si>
  <si>
    <t>JOYPUR RAJBANSHI PARA PRIMARY SCHOOL</t>
  </si>
  <si>
    <t>JOYPUR SANTRAPARA PRIMARY SCHOOL</t>
  </si>
  <si>
    <t>JOYPUR SURANGAMAYEE GIRLS PRIMARY SCHOOL</t>
  </si>
  <si>
    <t>KALASHDIHI PRIMARY SCHOOL</t>
  </si>
  <si>
    <t>KALBANSH GAZENDRA PRIMARY SCHOOL</t>
  </si>
  <si>
    <t>KAMARGORIA PRIMARY SCHOOL</t>
  </si>
  <si>
    <t>KAMARKHOLA PRIMARY SCHOOL</t>
  </si>
  <si>
    <t>KANKROLE PREMOMOYEE PRIMARY SCHOOL</t>
  </si>
  <si>
    <t>KHAJURDAHA PRIMARY SCHOOL</t>
  </si>
  <si>
    <t>KHORIOP HIGH ATT PRIMARY SCHOOL</t>
  </si>
  <si>
    <t>KHOROP SOUTH PRIMARY</t>
  </si>
  <si>
    <t>KUNDULIA TAPASILI PRIMARY SCHOOL</t>
  </si>
  <si>
    <t>MAHAKALPUR MC HIGH ATT PRIMARY SCHOOL</t>
  </si>
  <si>
    <t>MAINAN PRIMARY SCHOOL</t>
  </si>
  <si>
    <t>MANUCHAK ORIENTED PRIMARY SCHOOL</t>
  </si>
  <si>
    <t>MENOKA SMRITI VIDYAMANDIR JR BASIC</t>
  </si>
  <si>
    <t>NAKUBAR PRIMARY SCHOOL</t>
  </si>
  <si>
    <t>NISCHINTAPUR PRIMARY SCHOOL</t>
  </si>
  <si>
    <t>NOWPARA GAZIPUR PRIMARY SCHOOL</t>
  </si>
  <si>
    <t>NOWPARA JUNIOR BASIC SCHOOL</t>
  </si>
  <si>
    <t>NUTANGRAM PRIMARY SCHOOL</t>
  </si>
  <si>
    <t>PAIKBASA PRIMARY SCHOOL</t>
  </si>
  <si>
    <t>PASCHIM GAZIPUR II PRIMARY SCHOOL</t>
  </si>
  <si>
    <t>PASCHIM NOWPARA PRIMARY SCHOOL</t>
  </si>
  <si>
    <t>PASCHIM SAURIA PRIMARY SCHOOL</t>
  </si>
  <si>
    <t>RANJOYBAR MUZAFFAR AHMED PRIMARY SCHOOL</t>
  </si>
  <si>
    <t>RANJOYBAR PRIMARY SCHOOL</t>
  </si>
  <si>
    <t>RAUTARA PRIMARY SCHOOL</t>
  </si>
  <si>
    <t>SAHARABERIA PRIMARY SCHOOL</t>
  </si>
  <si>
    <t>SAHARABERIA SUKANTA PRIMARY SCHOOL</t>
  </si>
  <si>
    <t>SANURIA ORIENTED PRIMARY SCHOOL</t>
  </si>
  <si>
    <t>SATPOTA PRIMARY SCHOOL</t>
  </si>
  <si>
    <t>SEHAGORI PRIMARY SCHOOL</t>
  </si>
  <si>
    <t>SEHAGORI RAJBANSHIPARA PRIMARY SCHOOL</t>
  </si>
  <si>
    <t>SHIBGACHIA PRIMARY SCHOOL</t>
  </si>
  <si>
    <t>SIBGACHIA HORIZON PRIMARY SCHOOL</t>
  </si>
  <si>
    <t>SOUTH SIBGACHIA PRIMARY SCHOOL</t>
  </si>
  <si>
    <t>TELIBERIA PRIMARY SCHOOL</t>
  </si>
  <si>
    <t>THALIA HARA CHAND PRIMARY SCHOOL</t>
  </si>
  <si>
    <t>THALIA SIBTOLA PRIMARY SCHOOL</t>
  </si>
  <si>
    <t>UTTAR GAZIPUR PRIMARY SCHOOL</t>
  </si>
  <si>
    <t>UTTAR JOYPUR PRIMARY SCHOOL</t>
  </si>
  <si>
    <t>UTTAR KALBANSH KISHOR MOHAN PRIMARY SCHOOL</t>
  </si>
  <si>
    <t>UTTAR KANKROLE PRIMARY SCHOOL</t>
  </si>
  <si>
    <t>UTTAR SEHAGORI PRIMARY SCHOOL</t>
  </si>
  <si>
    <t>association</t>
  </si>
  <si>
    <t>WBTPTA</t>
  </si>
  <si>
    <t>ABPTA</t>
  </si>
  <si>
    <t>WBPTA</t>
  </si>
  <si>
    <t>NOT WBTPTA</t>
  </si>
  <si>
    <t>standardDeductionNew</t>
  </si>
  <si>
    <t>GrossIncomeNew</t>
  </si>
  <si>
    <t>ThirtyIT</t>
  </si>
  <si>
    <t>ThirtyITTax</t>
  </si>
  <si>
    <t>TwentyIT</t>
  </si>
  <si>
    <t>TwentyITTax</t>
  </si>
  <si>
    <t>FifteenIT</t>
  </si>
  <si>
    <t>FifteenITTax</t>
  </si>
  <si>
    <t>TenIT</t>
  </si>
  <si>
    <t>TenITTax</t>
  </si>
  <si>
    <t>FiveIT</t>
  </si>
  <si>
    <t>FiveITTax</t>
  </si>
  <si>
    <t>cal1</t>
  </si>
  <si>
    <t>cal2</t>
  </si>
  <si>
    <t>cal3</t>
  </si>
  <si>
    <t>CalculatedIT</t>
  </si>
  <si>
    <t>cal4</t>
  </si>
  <si>
    <t>cal5</t>
  </si>
  <si>
    <t>cal6</t>
  </si>
  <si>
    <t>GrossRelief</t>
  </si>
  <si>
    <t>IncomeTaxAfterRelief</t>
  </si>
  <si>
    <t>eduCess</t>
  </si>
  <si>
    <t>AddedEduCess</t>
  </si>
  <si>
    <t>GrossTotalIncome</t>
  </si>
  <si>
    <t>BankInterest</t>
  </si>
  <si>
    <t>TARAK NATH MONDAL</t>
  </si>
  <si>
    <t>teachers396-3fc4378f</t>
  </si>
  <si>
    <t>SAKINA KHATOON</t>
  </si>
  <si>
    <t>teachers399-29d8e169</t>
  </si>
  <si>
    <t>SUBHRAJYOTI SAU</t>
  </si>
  <si>
    <t>teachers397-a816599d</t>
  </si>
  <si>
    <t>DEB KUMAR GAYEN</t>
  </si>
  <si>
    <t>teachers395-e928c8e3</t>
  </si>
  <si>
    <t>DIBYENDU SAMANTA</t>
  </si>
  <si>
    <t>teachers399-5cc82fa0</t>
  </si>
  <si>
    <t>SUCHARITA PANDIT</t>
  </si>
  <si>
    <t>teachers398-0d5c8f45</t>
  </si>
  <si>
    <t>NAYANTARA DHARA</t>
  </si>
  <si>
    <t>doj</t>
  </si>
  <si>
    <t>09-12-2021</t>
  </si>
  <si>
    <t>19-10-2022</t>
  </si>
  <si>
    <t>02-09-2003</t>
  </si>
  <si>
    <t>25-11-2023</t>
  </si>
  <si>
    <t>20-01-2014</t>
  </si>
  <si>
    <t>28-07-2021</t>
  </si>
  <si>
    <t>30-08-2003</t>
  </si>
  <si>
    <t>09-02-2024</t>
  </si>
  <si>
    <t>18-02-2021</t>
  </si>
  <si>
    <t>03-09-2024</t>
  </si>
  <si>
    <t>27-07-2021</t>
  </si>
  <si>
    <t>29-08-2003</t>
  </si>
  <si>
    <t>03-02-2017</t>
  </si>
  <si>
    <t>05-12-1997</t>
  </si>
  <si>
    <t>02-03-2010</t>
  </si>
  <si>
    <t>10-02-2024</t>
  </si>
  <si>
    <t>13-01-2025</t>
  </si>
  <si>
    <t>04-12-2014</t>
  </si>
  <si>
    <t>10-08-2021</t>
  </si>
  <si>
    <t>05-12-2014</t>
  </si>
  <si>
    <t>16-02-2024</t>
  </si>
  <si>
    <t>18-08-1994</t>
  </si>
  <si>
    <t>11-09-2024</t>
  </si>
  <si>
    <t>11-02-2017</t>
  </si>
  <si>
    <t>28-03-2022</t>
  </si>
  <si>
    <t>06-06-2005</t>
  </si>
  <si>
    <t>06-12-2014</t>
  </si>
  <si>
    <t>06-01-2015</t>
  </si>
  <si>
    <t>11-05-2015</t>
  </si>
  <si>
    <t>01-08-2018</t>
  </si>
  <si>
    <t>02-03-2024</t>
  </si>
  <si>
    <t>10-02-2010</t>
  </si>
  <si>
    <t>29-12-2014</t>
  </si>
  <si>
    <t>13-05-2015</t>
  </si>
  <si>
    <t>03-09-2003</t>
  </si>
  <si>
    <t>27-06-2015</t>
  </si>
  <si>
    <t>25-09-2019</t>
  </si>
  <si>
    <t>08-04-2017</t>
  </si>
  <si>
    <t>14-07-2023</t>
  </si>
  <si>
    <t>04-07-2014</t>
  </si>
  <si>
    <t>22-03-1996</t>
  </si>
  <si>
    <t>03-08-2023</t>
  </si>
  <si>
    <t>26-09-2019</t>
  </si>
  <si>
    <t>30-07-2021</t>
  </si>
  <si>
    <t>06-02-2017</t>
  </si>
  <si>
    <t>08-08-2023</t>
  </si>
  <si>
    <t>27-09-1991</t>
  </si>
  <si>
    <t>09-12-2014</t>
  </si>
  <si>
    <t>07-12-2017</t>
  </si>
  <si>
    <t>24-09-2022</t>
  </si>
  <si>
    <t>13-02-2017</t>
  </si>
  <si>
    <t>19-02-2021</t>
  </si>
  <si>
    <t>09-01-2025</t>
  </si>
  <si>
    <t>08-01-2025</t>
  </si>
  <si>
    <t>08-02-2017</t>
  </si>
  <si>
    <t>21-01-2014</t>
  </si>
  <si>
    <t>07-03-2024</t>
  </si>
  <si>
    <t>04-09-2024</t>
  </si>
  <si>
    <t>14-06-2004</t>
  </si>
  <si>
    <t>04-02-2017</t>
  </si>
  <si>
    <t>13-07-2023</t>
  </si>
  <si>
    <t>21-02-2024</t>
  </si>
  <si>
    <t>31-10-1992</t>
  </si>
  <si>
    <t>09-03-2010</t>
  </si>
  <si>
    <t>17-02-2024</t>
  </si>
  <si>
    <t>15-01-2025</t>
  </si>
  <si>
    <t>18-09-2003</t>
  </si>
  <si>
    <t>11-05-2017</t>
  </si>
  <si>
    <t>03-06-2024</t>
  </si>
  <si>
    <t>21-07-2000</t>
  </si>
  <si>
    <t>19-07-2002</t>
  </si>
  <si>
    <t>27-12-2014</t>
  </si>
  <si>
    <t>01-02-2014</t>
  </si>
  <si>
    <t>04-10-2021</t>
  </si>
  <si>
    <t>20-02-2013</t>
  </si>
  <si>
    <t>02-12-2005</t>
  </si>
  <si>
    <t>01-09-2003</t>
  </si>
  <si>
    <t>06-12-1994</t>
  </si>
  <si>
    <t>22-02-2024</t>
  </si>
  <si>
    <t>22-01-2014</t>
  </si>
  <si>
    <t>13-03-2014</t>
  </si>
  <si>
    <t>12-02-2024</t>
  </si>
  <si>
    <t>03-07-2024</t>
  </si>
  <si>
    <t>NO</t>
  </si>
  <si>
    <t>YES</t>
  </si>
  <si>
    <t>MO</t>
  </si>
  <si>
    <t>ph</t>
  </si>
  <si>
    <t>arrear</t>
  </si>
  <si>
    <t>TwentyFiveIT</t>
  </si>
  <si>
    <t>TwentyFiveITTax</t>
  </si>
  <si>
    <t>teachers399-6d7dd594</t>
  </si>
  <si>
    <t>FALGUNI MALIK</t>
  </si>
  <si>
    <t>teachers399-20dae0ff</t>
  </si>
  <si>
    <t>teachers399-4fe1a07f</t>
  </si>
  <si>
    <t>SANCHITA DAS</t>
  </si>
  <si>
    <t>BIPLAB MAITY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</si>
</sst>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7.xml"/><Relationship Id="rId13" Type="http://schemas.openxmlformats.org/officeDocument/2006/relationships/externalLink" Target="externalLinks/externalLink12.xml"/><Relationship Id="rId3" Type="http://schemas.openxmlformats.org/officeDocument/2006/relationships/externalLink" Target="externalLinks/externalLink2.xml"/><Relationship Id="rId7" Type="http://schemas.openxmlformats.org/officeDocument/2006/relationships/externalLink" Target="externalLinks/externalLink6.xml"/><Relationship Id="rId12" Type="http://schemas.openxmlformats.org/officeDocument/2006/relationships/externalLink" Target="externalLinks/externalLink11.xml"/><Relationship Id="rId1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Relationship Id="rId11" Type="http://schemas.openxmlformats.org/officeDocument/2006/relationships/externalLink" Target="externalLinks/externalLink10.xml"/><Relationship Id="rId5" Type="http://schemas.openxmlformats.org/officeDocument/2006/relationships/externalLink" Target="externalLinks/externalLink4.xml"/><Relationship Id="rId15" Type="http://schemas.openxmlformats.org/officeDocument/2006/relationships/styles" Target="styles.xml"/><Relationship Id="rId10" Type="http://schemas.openxmlformats.org/officeDocument/2006/relationships/externalLink" Target="externalLinks/externalLink9.xml"/><Relationship Id="rId4" Type="http://schemas.openxmlformats.org/officeDocument/2006/relationships/externalLink" Target="externalLinks/externalLink3.xml"/><Relationship Id="rId9" Type="http://schemas.openxmlformats.org/officeDocument/2006/relationships/externalLink" Target="externalLinks/externalLink8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march-2025.csv" TargetMode="External"/><Relationship Id="rId1" Type="http://schemas.openxmlformats.org/officeDocument/2006/relationships/externalLinkPath" Target="march-2025.csv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april-2025.csv" TargetMode="External"/><Relationship Id="rId1" Type="http://schemas.openxmlformats.org/officeDocument/2006/relationships/externalLinkPath" Target="april-2025.csv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may-2025.csv" TargetMode="External"/><Relationship Id="rId1" Type="http://schemas.openxmlformats.org/officeDocument/2006/relationships/externalLinkPath" Target="may-2025.csv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june-2025.csv" TargetMode="External"/><Relationship Id="rId1" Type="http://schemas.openxmlformats.org/officeDocument/2006/relationships/externalLinkPath" Target="june-2025.csv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july-2025.csv" TargetMode="External"/><Relationship Id="rId1" Type="http://schemas.openxmlformats.org/officeDocument/2006/relationships/externalLinkPath" Target="july-2025.csv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august-2025.csv" TargetMode="External"/><Relationship Id="rId1" Type="http://schemas.openxmlformats.org/officeDocument/2006/relationships/externalLinkPath" Target="august-2025.csv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september-2025.csv" TargetMode="External"/><Relationship Id="rId1" Type="http://schemas.openxmlformats.org/officeDocument/2006/relationships/externalLinkPath" Target="september-2025.csv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october-2025.csv" TargetMode="External"/><Relationship Id="rId1" Type="http://schemas.openxmlformats.org/officeDocument/2006/relationships/externalLinkPath" Target="october-2025.csv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november-2025.csv" TargetMode="External"/><Relationship Id="rId1" Type="http://schemas.openxmlformats.org/officeDocument/2006/relationships/externalLinkPath" Target="november-2025.csv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december-2025.csv" TargetMode="External"/><Relationship Id="rId1" Type="http://schemas.openxmlformats.org/officeDocument/2006/relationships/externalLinkPath" Target="december-2025.csv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january-2026.csv" TargetMode="External"/><Relationship Id="rId1" Type="http://schemas.openxmlformats.org/officeDocument/2006/relationships/externalLinkPath" Target="january-2026.csv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february-2026.csv" TargetMode="External"/><Relationship Id="rId1" Type="http://schemas.openxmlformats.org/officeDocument/2006/relationships/externalLinkPath" Target="february-2026.csv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ch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31600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30700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47300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25400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34500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31600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47300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34500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31600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28900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47300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27000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28900</v>
          </cell>
          <cell r="D14">
            <v>0</v>
          </cell>
          <cell r="G14">
            <v>500</v>
          </cell>
          <cell r="H14">
            <v>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31600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31600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28900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51700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33500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28900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48800</v>
          </cell>
          <cell r="D21">
            <v>0</v>
          </cell>
          <cell r="G21">
            <v>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37700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28900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51700</v>
          </cell>
          <cell r="D24">
            <v>400</v>
          </cell>
          <cell r="G24">
            <v>500</v>
          </cell>
          <cell r="H24">
            <v>5000</v>
          </cell>
          <cell r="I24">
            <v>0</v>
          </cell>
          <cell r="J24">
            <v>0</v>
          </cell>
        </row>
        <row r="25">
          <cell r="A25" t="str">
            <v>teachers125</v>
          </cell>
          <cell r="C25">
            <v>34500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34500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51700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27000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51700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28900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51700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33500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31600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28900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51700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25400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28900</v>
          </cell>
          <cell r="D37">
            <v>0</v>
          </cell>
          <cell r="G37">
            <v>500</v>
          </cell>
          <cell r="H37">
            <v>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55400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28900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24700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47300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33500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30700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48700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34500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34500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34500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48700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33500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33500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34500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34500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33500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31600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33500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37700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33500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33500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27000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34500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33500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33500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33500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31600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30700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28900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51700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37700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51700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34500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33500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48700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47300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28900</v>
          </cell>
          <cell r="D74">
            <v>0</v>
          </cell>
          <cell r="G74">
            <v>500</v>
          </cell>
          <cell r="H74">
            <v>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33500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34500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27000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27000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28900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33500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33500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33500</v>
          </cell>
          <cell r="D82">
            <v>400</v>
          </cell>
          <cell r="G82">
            <v>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29800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48700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34500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27000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55400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47300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35500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34500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28900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34500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25400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28900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34500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34500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28600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33500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31600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48700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31600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25400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34500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34500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27000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28900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33500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33500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31600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51700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37700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31300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53400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33500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51700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47300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34500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34500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27000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31600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47300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31600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30700</v>
          </cell>
          <cell r="D123">
            <v>0</v>
          </cell>
          <cell r="G123">
            <v>500</v>
          </cell>
          <cell r="H123">
            <v>2000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33500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27000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28900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51700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31600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teachers225</v>
          </cell>
          <cell r="C129">
            <v>64300</v>
          </cell>
          <cell r="D129">
            <v>400</v>
          </cell>
          <cell r="G129">
            <v>500</v>
          </cell>
          <cell r="H129">
            <v>0</v>
          </cell>
          <cell r="I129">
            <v>0</v>
          </cell>
          <cell r="J129">
            <v>0</v>
          </cell>
        </row>
        <row r="130">
          <cell r="A130" t="str">
            <v>teachers226</v>
          </cell>
          <cell r="C130">
            <v>33500</v>
          </cell>
          <cell r="D130">
            <v>0</v>
          </cell>
          <cell r="G130">
            <v>500</v>
          </cell>
          <cell r="H130">
            <v>2500</v>
          </cell>
          <cell r="I130">
            <v>0</v>
          </cell>
          <cell r="J130">
            <v>0</v>
          </cell>
        </row>
        <row r="131">
          <cell r="A131" t="str">
            <v>teachers227</v>
          </cell>
          <cell r="C131">
            <v>35500</v>
          </cell>
          <cell r="D131">
            <v>400</v>
          </cell>
          <cell r="G131">
            <v>500</v>
          </cell>
          <cell r="H131">
            <v>5000</v>
          </cell>
          <cell r="I131">
            <v>0</v>
          </cell>
          <cell r="J131">
            <v>0</v>
          </cell>
        </row>
        <row r="132">
          <cell r="A132" t="str">
            <v>teachers228</v>
          </cell>
          <cell r="C132">
            <v>27000</v>
          </cell>
          <cell r="D132">
            <v>0</v>
          </cell>
          <cell r="G132">
            <v>500</v>
          </cell>
          <cell r="H132">
            <v>2000</v>
          </cell>
          <cell r="I132">
            <v>0</v>
          </cell>
          <cell r="J132">
            <v>0</v>
          </cell>
        </row>
        <row r="133">
          <cell r="A133" t="str">
            <v>teachers229</v>
          </cell>
          <cell r="C133">
            <v>28900</v>
          </cell>
          <cell r="D133">
            <v>0</v>
          </cell>
          <cell r="G133">
            <v>500</v>
          </cell>
          <cell r="H133">
            <v>2000</v>
          </cell>
          <cell r="I133">
            <v>0</v>
          </cell>
          <cell r="J133">
            <v>0</v>
          </cell>
        </row>
        <row r="134">
          <cell r="A134" t="str">
            <v>teachers230</v>
          </cell>
          <cell r="C134">
            <v>47300</v>
          </cell>
          <cell r="D134">
            <v>400</v>
          </cell>
          <cell r="G134">
            <v>500</v>
          </cell>
          <cell r="H134">
            <v>5000</v>
          </cell>
          <cell r="I134">
            <v>60</v>
          </cell>
          <cell r="J134">
            <v>0</v>
          </cell>
        </row>
        <row r="135">
          <cell r="A135" t="str">
            <v>teachers231</v>
          </cell>
          <cell r="C135">
            <v>34500</v>
          </cell>
          <cell r="D135">
            <v>0</v>
          </cell>
          <cell r="G135">
            <v>500</v>
          </cell>
          <cell r="H135">
            <v>3000</v>
          </cell>
          <cell r="I135">
            <v>0</v>
          </cell>
          <cell r="J135">
            <v>0</v>
          </cell>
        </row>
        <row r="136">
          <cell r="A136" t="str">
            <v>teachers232</v>
          </cell>
          <cell r="C136">
            <v>33500</v>
          </cell>
          <cell r="D136">
            <v>0</v>
          </cell>
          <cell r="G136">
            <v>0</v>
          </cell>
          <cell r="H136">
            <v>3000</v>
          </cell>
          <cell r="I136">
            <v>0</v>
          </cell>
          <cell r="J136">
            <v>0</v>
          </cell>
        </row>
        <row r="137">
          <cell r="A137" t="str">
            <v>teachers233</v>
          </cell>
          <cell r="C137">
            <v>28900</v>
          </cell>
          <cell r="D137">
            <v>0</v>
          </cell>
          <cell r="G137">
            <v>500</v>
          </cell>
          <cell r="H137">
            <v>4000</v>
          </cell>
          <cell r="I137">
            <v>0</v>
          </cell>
          <cell r="J137">
            <v>0</v>
          </cell>
        </row>
        <row r="138">
          <cell r="A138" t="str">
            <v>teachers391-12274feb</v>
          </cell>
          <cell r="C138">
            <v>28900</v>
          </cell>
          <cell r="D138">
            <v>0</v>
          </cell>
          <cell r="G138">
            <v>0</v>
          </cell>
          <cell r="H138">
            <v>0</v>
          </cell>
          <cell r="I138">
            <v>0</v>
          </cell>
          <cell r="J138">
            <v>0</v>
          </cell>
        </row>
        <row r="139">
          <cell r="A139" t="str">
            <v>teachers234</v>
          </cell>
          <cell r="C139">
            <v>34500</v>
          </cell>
          <cell r="D139">
            <v>400</v>
          </cell>
          <cell r="G139">
            <v>500</v>
          </cell>
          <cell r="H139">
            <v>7000</v>
          </cell>
          <cell r="I139">
            <v>0</v>
          </cell>
          <cell r="J139">
            <v>0</v>
          </cell>
        </row>
        <row r="140">
          <cell r="A140" t="str">
            <v>teachers235</v>
          </cell>
          <cell r="C140">
            <v>30700</v>
          </cell>
          <cell r="D140">
            <v>0</v>
          </cell>
          <cell r="G140">
            <v>500</v>
          </cell>
          <cell r="H140">
            <v>4000</v>
          </cell>
          <cell r="I140">
            <v>0</v>
          </cell>
          <cell r="J140">
            <v>0</v>
          </cell>
        </row>
        <row r="141">
          <cell r="A141" t="str">
            <v>teachers236</v>
          </cell>
          <cell r="C141">
            <v>28900</v>
          </cell>
          <cell r="D141">
            <v>0</v>
          </cell>
          <cell r="G141">
            <v>0</v>
          </cell>
          <cell r="H141">
            <v>2000</v>
          </cell>
          <cell r="I141">
            <v>0</v>
          </cell>
          <cell r="J141">
            <v>0</v>
          </cell>
        </row>
        <row r="142">
          <cell r="A142" t="str">
            <v>teachers237</v>
          </cell>
          <cell r="C142">
            <v>48700</v>
          </cell>
          <cell r="D142">
            <v>400</v>
          </cell>
          <cell r="G142">
            <v>500</v>
          </cell>
          <cell r="H142">
            <v>7000</v>
          </cell>
          <cell r="I142">
            <v>0</v>
          </cell>
          <cell r="J142">
            <v>0</v>
          </cell>
        </row>
        <row r="143">
          <cell r="A143" t="str">
            <v>teachers238</v>
          </cell>
          <cell r="C143">
            <v>37700</v>
          </cell>
          <cell r="D143">
            <v>0</v>
          </cell>
          <cell r="G143">
            <v>0</v>
          </cell>
          <cell r="H143">
            <v>2500</v>
          </cell>
          <cell r="I143">
            <v>0</v>
          </cell>
          <cell r="J143">
            <v>0</v>
          </cell>
        </row>
        <row r="144">
          <cell r="A144" t="str">
            <v>teachers239</v>
          </cell>
          <cell r="C144">
            <v>37700</v>
          </cell>
          <cell r="D144">
            <v>0</v>
          </cell>
          <cell r="G144">
            <v>500</v>
          </cell>
          <cell r="H144">
            <v>2500</v>
          </cell>
          <cell r="I144">
            <v>0</v>
          </cell>
          <cell r="J144">
            <v>0</v>
          </cell>
        </row>
        <row r="145">
          <cell r="A145" t="str">
            <v>teachers240</v>
          </cell>
          <cell r="C145">
            <v>47300</v>
          </cell>
          <cell r="D145">
            <v>400</v>
          </cell>
          <cell r="G145">
            <v>0</v>
          </cell>
          <cell r="H145">
            <v>3000</v>
          </cell>
          <cell r="I145">
            <v>60</v>
          </cell>
          <cell r="J145">
            <v>0</v>
          </cell>
        </row>
        <row r="146">
          <cell r="A146" t="str">
            <v>teachers241</v>
          </cell>
          <cell r="C146">
            <v>27000</v>
          </cell>
          <cell r="D146">
            <v>0</v>
          </cell>
          <cell r="G146">
            <v>500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teachers242</v>
          </cell>
          <cell r="C147">
            <v>27000</v>
          </cell>
          <cell r="D147">
            <v>0</v>
          </cell>
          <cell r="G147">
            <v>500</v>
          </cell>
          <cell r="H147">
            <v>2000</v>
          </cell>
          <cell r="I147">
            <v>0</v>
          </cell>
          <cell r="J147">
            <v>0</v>
          </cell>
        </row>
        <row r="148">
          <cell r="A148" t="str">
            <v>teachers392-5190daaf</v>
          </cell>
          <cell r="C148">
            <v>28900</v>
          </cell>
          <cell r="D148">
            <v>0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</row>
        <row r="149">
          <cell r="A149" t="str">
            <v>teachers243</v>
          </cell>
          <cell r="C149">
            <v>48700</v>
          </cell>
          <cell r="D149">
            <v>400</v>
          </cell>
          <cell r="G149">
            <v>500</v>
          </cell>
          <cell r="H149">
            <v>8000</v>
          </cell>
          <cell r="I149">
            <v>0</v>
          </cell>
          <cell r="J149">
            <v>0</v>
          </cell>
        </row>
        <row r="150">
          <cell r="A150" t="str">
            <v>teachers244</v>
          </cell>
          <cell r="C150">
            <v>47300</v>
          </cell>
          <cell r="D150">
            <v>0</v>
          </cell>
          <cell r="G150">
            <v>0</v>
          </cell>
          <cell r="H150">
            <v>9000</v>
          </cell>
          <cell r="I150">
            <v>0</v>
          </cell>
          <cell r="J150">
            <v>0</v>
          </cell>
        </row>
        <row r="151">
          <cell r="A151" t="str">
            <v>teachers245</v>
          </cell>
          <cell r="C151">
            <v>37700</v>
          </cell>
          <cell r="D151">
            <v>0</v>
          </cell>
          <cell r="G151">
            <v>0</v>
          </cell>
          <cell r="H151">
            <v>3000</v>
          </cell>
          <cell r="I151">
            <v>0</v>
          </cell>
          <cell r="J151">
            <v>0</v>
          </cell>
        </row>
        <row r="152">
          <cell r="A152" t="str">
            <v>teachers246</v>
          </cell>
          <cell r="C152">
            <v>33500</v>
          </cell>
          <cell r="D152">
            <v>0</v>
          </cell>
          <cell r="G152">
            <v>500</v>
          </cell>
          <cell r="H152">
            <v>3000</v>
          </cell>
          <cell r="I152">
            <v>0</v>
          </cell>
          <cell r="J152">
            <v>0</v>
          </cell>
        </row>
        <row r="153">
          <cell r="A153" t="str">
            <v>teachers247</v>
          </cell>
          <cell r="C153">
            <v>47300</v>
          </cell>
          <cell r="D153">
            <v>400</v>
          </cell>
          <cell r="G153">
            <v>500</v>
          </cell>
          <cell r="H153">
            <v>8000</v>
          </cell>
          <cell r="I153">
            <v>60</v>
          </cell>
          <cell r="J153">
            <v>0</v>
          </cell>
        </row>
        <row r="154">
          <cell r="A154" t="str">
            <v>teachers248</v>
          </cell>
          <cell r="C154">
            <v>34500</v>
          </cell>
          <cell r="D154">
            <v>0</v>
          </cell>
          <cell r="G154">
            <v>500</v>
          </cell>
          <cell r="H154">
            <v>5000</v>
          </cell>
          <cell r="I154">
            <v>0</v>
          </cell>
          <cell r="J154">
            <v>0</v>
          </cell>
        </row>
        <row r="155">
          <cell r="A155" t="str">
            <v>teachers249</v>
          </cell>
          <cell r="C155">
            <v>34500</v>
          </cell>
          <cell r="D155">
            <v>0</v>
          </cell>
          <cell r="G155">
            <v>0</v>
          </cell>
          <cell r="H155">
            <v>6000</v>
          </cell>
          <cell r="I155">
            <v>0</v>
          </cell>
          <cell r="J155">
            <v>0</v>
          </cell>
        </row>
        <row r="156">
          <cell r="A156" t="str">
            <v>teachers250</v>
          </cell>
          <cell r="C156">
            <v>28900</v>
          </cell>
          <cell r="D156">
            <v>0</v>
          </cell>
          <cell r="G156">
            <v>500</v>
          </cell>
          <cell r="H156">
            <v>2000</v>
          </cell>
          <cell r="I156">
            <v>0</v>
          </cell>
          <cell r="J156">
            <v>0</v>
          </cell>
        </row>
        <row r="157">
          <cell r="A157" t="str">
            <v>teachers393-b8f65964</v>
          </cell>
          <cell r="C157">
            <v>28900</v>
          </cell>
          <cell r="D157">
            <v>0</v>
          </cell>
          <cell r="G157">
            <v>500</v>
          </cell>
          <cell r="H157">
            <v>0</v>
          </cell>
          <cell r="I157">
            <v>0</v>
          </cell>
          <cell r="J157">
            <v>0</v>
          </cell>
        </row>
        <row r="158">
          <cell r="A158" t="str">
            <v>teachers251</v>
          </cell>
          <cell r="C158">
            <v>51700</v>
          </cell>
          <cell r="D158">
            <v>400</v>
          </cell>
          <cell r="G158">
            <v>500</v>
          </cell>
          <cell r="H158">
            <v>6000</v>
          </cell>
          <cell r="I158">
            <v>60</v>
          </cell>
          <cell r="J158">
            <v>0</v>
          </cell>
        </row>
        <row r="159">
          <cell r="A159" t="str">
            <v>teachers254</v>
          </cell>
          <cell r="C159">
            <v>34500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teachers253</v>
          </cell>
          <cell r="C160">
            <v>34500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teachers252</v>
          </cell>
          <cell r="C161">
            <v>34500</v>
          </cell>
          <cell r="D161">
            <v>0</v>
          </cell>
          <cell r="G161">
            <v>500</v>
          </cell>
          <cell r="H161">
            <v>4000</v>
          </cell>
          <cell r="I161">
            <v>0</v>
          </cell>
          <cell r="J161">
            <v>0</v>
          </cell>
        </row>
        <row r="162">
          <cell r="A162" t="str">
            <v>teachers256</v>
          </cell>
          <cell r="C162">
            <v>34500</v>
          </cell>
          <cell r="D162">
            <v>0</v>
          </cell>
          <cell r="G162">
            <v>500</v>
          </cell>
          <cell r="H162">
            <v>4000</v>
          </cell>
          <cell r="I162">
            <v>0</v>
          </cell>
          <cell r="J162">
            <v>0</v>
          </cell>
        </row>
        <row r="163">
          <cell r="A163" t="str">
            <v>teachers255</v>
          </cell>
          <cell r="C163">
            <v>33500</v>
          </cell>
          <cell r="D163">
            <v>0</v>
          </cell>
          <cell r="G163">
            <v>500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teachers257</v>
          </cell>
          <cell r="C164">
            <v>47300</v>
          </cell>
          <cell r="D164">
            <v>400</v>
          </cell>
          <cell r="G164">
            <v>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teachers258</v>
          </cell>
          <cell r="C165">
            <v>34500</v>
          </cell>
          <cell r="D165">
            <v>0</v>
          </cell>
          <cell r="G165">
            <v>0</v>
          </cell>
          <cell r="H165">
            <v>3000</v>
          </cell>
          <cell r="I165">
            <v>0</v>
          </cell>
          <cell r="J165">
            <v>0</v>
          </cell>
        </row>
        <row r="166">
          <cell r="A166" t="str">
            <v>teachers259</v>
          </cell>
          <cell r="C166">
            <v>34500</v>
          </cell>
          <cell r="D166">
            <v>0</v>
          </cell>
          <cell r="G166">
            <v>500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teachers260</v>
          </cell>
          <cell r="C167">
            <v>27000</v>
          </cell>
          <cell r="D167">
            <v>0</v>
          </cell>
          <cell r="G167">
            <v>500</v>
          </cell>
          <cell r="H167">
            <v>2000</v>
          </cell>
          <cell r="I167">
            <v>0</v>
          </cell>
          <cell r="J167">
            <v>0</v>
          </cell>
        </row>
        <row r="168">
          <cell r="A168" t="str">
            <v>teachers261</v>
          </cell>
          <cell r="C168">
            <v>31600</v>
          </cell>
          <cell r="D168">
            <v>0</v>
          </cell>
          <cell r="G168">
            <v>500</v>
          </cell>
          <cell r="H168">
            <v>2000</v>
          </cell>
          <cell r="I168">
            <v>0</v>
          </cell>
          <cell r="J168">
            <v>0</v>
          </cell>
        </row>
        <row r="169">
          <cell r="A169" t="str">
            <v>teachers262</v>
          </cell>
          <cell r="C169">
            <v>34500</v>
          </cell>
          <cell r="D169">
            <v>0</v>
          </cell>
          <cell r="G169">
            <v>0</v>
          </cell>
          <cell r="H169">
            <v>3000</v>
          </cell>
          <cell r="I169">
            <v>0</v>
          </cell>
          <cell r="J169">
            <v>0</v>
          </cell>
        </row>
        <row r="170">
          <cell r="A170" t="str">
            <v>teachers263</v>
          </cell>
          <cell r="C170">
            <v>33500</v>
          </cell>
          <cell r="D170">
            <v>400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teachers264</v>
          </cell>
          <cell r="C171">
            <v>50200</v>
          </cell>
          <cell r="D171">
            <v>0</v>
          </cell>
          <cell r="G171">
            <v>500</v>
          </cell>
          <cell r="H171">
            <v>15000</v>
          </cell>
          <cell r="I171">
            <v>0</v>
          </cell>
          <cell r="J171">
            <v>0</v>
          </cell>
        </row>
        <row r="172">
          <cell r="A172" t="str">
            <v>teachers265</v>
          </cell>
          <cell r="C172">
            <v>33500</v>
          </cell>
          <cell r="D172">
            <v>0</v>
          </cell>
          <cell r="G172">
            <v>500</v>
          </cell>
          <cell r="H172">
            <v>2500</v>
          </cell>
          <cell r="I172">
            <v>0</v>
          </cell>
          <cell r="J172">
            <v>0</v>
          </cell>
        </row>
        <row r="173">
          <cell r="A173" t="str">
            <v>teachers266</v>
          </cell>
          <cell r="C173">
            <v>33500</v>
          </cell>
          <cell r="D173">
            <v>0</v>
          </cell>
          <cell r="G173">
            <v>500</v>
          </cell>
          <cell r="H173">
            <v>2500</v>
          </cell>
          <cell r="I173">
            <v>0</v>
          </cell>
          <cell r="J173">
            <v>0</v>
          </cell>
        </row>
        <row r="174">
          <cell r="A174" t="str">
            <v>teachers267</v>
          </cell>
          <cell r="C174">
            <v>33500</v>
          </cell>
          <cell r="D174">
            <v>400</v>
          </cell>
          <cell r="G174">
            <v>500</v>
          </cell>
          <cell r="H174">
            <v>3000</v>
          </cell>
          <cell r="I174">
            <v>0</v>
          </cell>
          <cell r="J174">
            <v>0</v>
          </cell>
        </row>
        <row r="175">
          <cell r="A175" t="str">
            <v>teachers268</v>
          </cell>
          <cell r="C175">
            <v>34500</v>
          </cell>
          <cell r="D175">
            <v>0</v>
          </cell>
          <cell r="G175">
            <v>500</v>
          </cell>
          <cell r="H175">
            <v>3000</v>
          </cell>
          <cell r="I175">
            <v>0</v>
          </cell>
          <cell r="J175">
            <v>0</v>
          </cell>
        </row>
        <row r="176">
          <cell r="A176" t="str">
            <v>teachers269</v>
          </cell>
          <cell r="C176">
            <v>33500</v>
          </cell>
          <cell r="D176">
            <v>0</v>
          </cell>
          <cell r="G176">
            <v>500</v>
          </cell>
          <cell r="H176">
            <v>3000</v>
          </cell>
          <cell r="I176">
            <v>0</v>
          </cell>
          <cell r="J176">
            <v>0</v>
          </cell>
        </row>
        <row r="177">
          <cell r="A177" t="str">
            <v>teachers270</v>
          </cell>
          <cell r="C177">
            <v>37700</v>
          </cell>
          <cell r="D177">
            <v>0</v>
          </cell>
          <cell r="G177">
            <v>500</v>
          </cell>
          <cell r="H177">
            <v>7000</v>
          </cell>
          <cell r="I177">
            <v>0</v>
          </cell>
          <cell r="J177">
            <v>0</v>
          </cell>
        </row>
        <row r="178">
          <cell r="A178" t="str">
            <v>teachers271</v>
          </cell>
          <cell r="C178">
            <v>25400</v>
          </cell>
          <cell r="D178">
            <v>0</v>
          </cell>
          <cell r="G178">
            <v>500</v>
          </cell>
          <cell r="H178">
            <v>2000</v>
          </cell>
          <cell r="I178">
            <v>0</v>
          </cell>
          <cell r="J178">
            <v>0</v>
          </cell>
        </row>
        <row r="179">
          <cell r="A179" t="str">
            <v>teachers272</v>
          </cell>
          <cell r="C179">
            <v>28900</v>
          </cell>
          <cell r="D179">
            <v>0</v>
          </cell>
          <cell r="G179">
            <v>500</v>
          </cell>
          <cell r="H179">
            <v>2000</v>
          </cell>
          <cell r="I179">
            <v>0</v>
          </cell>
          <cell r="J179">
            <v>0</v>
          </cell>
        </row>
        <row r="180">
          <cell r="A180" t="str">
            <v>teachers273</v>
          </cell>
          <cell r="C180">
            <v>51700</v>
          </cell>
          <cell r="D180">
            <v>400</v>
          </cell>
          <cell r="G180">
            <v>500</v>
          </cell>
          <cell r="H180">
            <v>3500</v>
          </cell>
          <cell r="I180">
            <v>0</v>
          </cell>
          <cell r="J180">
            <v>0</v>
          </cell>
        </row>
        <row r="181">
          <cell r="A181" t="str">
            <v>teachers274</v>
          </cell>
          <cell r="C181">
            <v>47300</v>
          </cell>
          <cell r="D181">
            <v>0</v>
          </cell>
          <cell r="G181">
            <v>0</v>
          </cell>
          <cell r="H181">
            <v>3000</v>
          </cell>
          <cell r="I181">
            <v>0</v>
          </cell>
          <cell r="J181">
            <v>0</v>
          </cell>
        </row>
        <row r="182">
          <cell r="A182" t="str">
            <v>teachers275</v>
          </cell>
          <cell r="C182">
            <v>47300</v>
          </cell>
          <cell r="D182">
            <v>0</v>
          </cell>
          <cell r="G182">
            <v>500</v>
          </cell>
          <cell r="H182">
            <v>3000</v>
          </cell>
          <cell r="I182">
            <v>0</v>
          </cell>
          <cell r="J182">
            <v>0</v>
          </cell>
        </row>
        <row r="183">
          <cell r="A183" t="str">
            <v>teachers276</v>
          </cell>
          <cell r="C183">
            <v>34500</v>
          </cell>
          <cell r="D183">
            <v>0</v>
          </cell>
          <cell r="G183">
            <v>500</v>
          </cell>
          <cell r="H183">
            <v>2500</v>
          </cell>
          <cell r="I183">
            <v>0</v>
          </cell>
          <cell r="J183">
            <v>0</v>
          </cell>
        </row>
        <row r="184">
          <cell r="A184" t="str">
            <v>teachers277</v>
          </cell>
          <cell r="C184">
            <v>33500</v>
          </cell>
          <cell r="D184">
            <v>0</v>
          </cell>
          <cell r="G184">
            <v>0</v>
          </cell>
          <cell r="H184">
            <v>2500</v>
          </cell>
          <cell r="I184">
            <v>0</v>
          </cell>
          <cell r="J184">
            <v>0</v>
          </cell>
        </row>
        <row r="185">
          <cell r="A185" t="str">
            <v>teachers278</v>
          </cell>
          <cell r="C185">
            <v>28900</v>
          </cell>
          <cell r="D185">
            <v>0</v>
          </cell>
          <cell r="G185">
            <v>500</v>
          </cell>
          <cell r="H185">
            <v>2000</v>
          </cell>
          <cell r="I185">
            <v>0</v>
          </cell>
          <cell r="J185">
            <v>0</v>
          </cell>
        </row>
        <row r="186">
          <cell r="A186" t="str">
            <v>teachers396-680da03e</v>
          </cell>
          <cell r="C186">
            <v>24700</v>
          </cell>
          <cell r="D186">
            <v>0</v>
          </cell>
          <cell r="G186">
            <v>500</v>
          </cell>
          <cell r="H186">
            <v>0</v>
          </cell>
          <cell r="I186">
            <v>0</v>
          </cell>
          <cell r="J186">
            <v>0</v>
          </cell>
        </row>
        <row r="187">
          <cell r="A187" t="str">
            <v>teachers279</v>
          </cell>
          <cell r="C187">
            <v>47300</v>
          </cell>
          <cell r="D187">
            <v>400</v>
          </cell>
          <cell r="G187">
            <v>0</v>
          </cell>
          <cell r="H187">
            <v>4000</v>
          </cell>
          <cell r="I187">
            <v>0</v>
          </cell>
          <cell r="J187">
            <v>0</v>
          </cell>
        </row>
        <row r="188">
          <cell r="A188" t="str">
            <v>teachers280</v>
          </cell>
          <cell r="C188">
            <v>33500</v>
          </cell>
          <cell r="D188">
            <v>0</v>
          </cell>
          <cell r="G188">
            <v>500</v>
          </cell>
          <cell r="H188">
            <v>3000</v>
          </cell>
          <cell r="I188">
            <v>0</v>
          </cell>
          <cell r="J188">
            <v>0</v>
          </cell>
        </row>
        <row r="189">
          <cell r="A189" t="str">
            <v>teachers281</v>
          </cell>
          <cell r="C189">
            <v>28600</v>
          </cell>
          <cell r="D189">
            <v>0</v>
          </cell>
          <cell r="G189">
            <v>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teachers282</v>
          </cell>
          <cell r="C190">
            <v>58800</v>
          </cell>
          <cell r="D190">
            <v>400</v>
          </cell>
          <cell r="G190">
            <v>500</v>
          </cell>
          <cell r="H190">
            <v>13000</v>
          </cell>
          <cell r="I190">
            <v>0</v>
          </cell>
          <cell r="J190">
            <v>0</v>
          </cell>
        </row>
        <row r="191">
          <cell r="A191" t="str">
            <v>teachers283</v>
          </cell>
          <cell r="C191">
            <v>34500</v>
          </cell>
          <cell r="D191">
            <v>0</v>
          </cell>
          <cell r="G191">
            <v>500</v>
          </cell>
          <cell r="H191">
            <v>5500</v>
          </cell>
          <cell r="I191">
            <v>0</v>
          </cell>
          <cell r="J191">
            <v>0</v>
          </cell>
        </row>
        <row r="192">
          <cell r="A192" t="str">
            <v>teachers284</v>
          </cell>
          <cell r="C192">
            <v>50200</v>
          </cell>
          <cell r="D192">
            <v>0</v>
          </cell>
          <cell r="G192">
            <v>500</v>
          </cell>
          <cell r="H192">
            <v>5000</v>
          </cell>
          <cell r="I192">
            <v>0</v>
          </cell>
          <cell r="J192">
            <v>0</v>
          </cell>
        </row>
        <row r="193">
          <cell r="A193" t="str">
            <v>teachers285</v>
          </cell>
          <cell r="C193">
            <v>33500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teachers286</v>
          </cell>
          <cell r="C194">
            <v>33500</v>
          </cell>
          <cell r="D194">
            <v>0</v>
          </cell>
          <cell r="G194">
            <v>500</v>
          </cell>
          <cell r="H194">
            <v>2500</v>
          </cell>
          <cell r="I194">
            <v>0</v>
          </cell>
          <cell r="J194">
            <v>0</v>
          </cell>
        </row>
        <row r="195">
          <cell r="A195" t="str">
            <v>teachers287</v>
          </cell>
          <cell r="C195">
            <v>33500</v>
          </cell>
          <cell r="D195">
            <v>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teachers288</v>
          </cell>
          <cell r="C196">
            <v>37700</v>
          </cell>
          <cell r="D196">
            <v>0</v>
          </cell>
          <cell r="G196">
            <v>500</v>
          </cell>
          <cell r="H196">
            <v>5000</v>
          </cell>
          <cell r="I196">
            <v>0</v>
          </cell>
          <cell r="J196">
            <v>0</v>
          </cell>
        </row>
        <row r="197">
          <cell r="A197" t="str">
            <v>teachers289</v>
          </cell>
          <cell r="C197">
            <v>28900</v>
          </cell>
          <cell r="D197">
            <v>0</v>
          </cell>
          <cell r="G197">
            <v>500</v>
          </cell>
          <cell r="H197">
            <v>2000</v>
          </cell>
          <cell r="I197">
            <v>0</v>
          </cell>
          <cell r="J197">
            <v>0</v>
          </cell>
        </row>
        <row r="198">
          <cell r="A198" t="str">
            <v>teachers290</v>
          </cell>
          <cell r="C198">
            <v>33500</v>
          </cell>
          <cell r="D198">
            <v>400</v>
          </cell>
          <cell r="G198">
            <v>500</v>
          </cell>
          <cell r="H198">
            <v>3000</v>
          </cell>
          <cell r="I198">
            <v>0</v>
          </cell>
          <cell r="J198">
            <v>0</v>
          </cell>
        </row>
        <row r="199">
          <cell r="A199" t="str">
            <v>teachers291</v>
          </cell>
          <cell r="C199">
            <v>27000</v>
          </cell>
          <cell r="D199">
            <v>0</v>
          </cell>
          <cell r="G199">
            <v>500</v>
          </cell>
          <cell r="H199">
            <v>2000</v>
          </cell>
          <cell r="I199">
            <v>0</v>
          </cell>
          <cell r="J199">
            <v>0</v>
          </cell>
        </row>
        <row r="200">
          <cell r="A200" t="str">
            <v>teachers292</v>
          </cell>
          <cell r="C200">
            <v>51700</v>
          </cell>
          <cell r="D200">
            <v>400</v>
          </cell>
          <cell r="G200">
            <v>500</v>
          </cell>
          <cell r="H200">
            <v>10000</v>
          </cell>
          <cell r="I200">
            <v>0</v>
          </cell>
          <cell r="J200">
            <v>0</v>
          </cell>
        </row>
        <row r="201">
          <cell r="A201" t="str">
            <v>teachers293</v>
          </cell>
          <cell r="C201">
            <v>47300</v>
          </cell>
          <cell r="D201">
            <v>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teachers294</v>
          </cell>
          <cell r="C202">
            <v>33500</v>
          </cell>
          <cell r="D202">
            <v>0</v>
          </cell>
          <cell r="G202">
            <v>500</v>
          </cell>
          <cell r="H202">
            <v>3000</v>
          </cell>
          <cell r="I202">
            <v>0</v>
          </cell>
          <cell r="J202">
            <v>0</v>
          </cell>
        </row>
        <row r="203">
          <cell r="A203" t="str">
            <v>teachers295</v>
          </cell>
          <cell r="C203">
            <v>31600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teachers296</v>
          </cell>
          <cell r="C204">
            <v>47300</v>
          </cell>
          <cell r="D204">
            <v>400</v>
          </cell>
          <cell r="G204">
            <v>500</v>
          </cell>
          <cell r="H204">
            <v>5000</v>
          </cell>
          <cell r="I204">
            <v>0</v>
          </cell>
          <cell r="J204">
            <v>0</v>
          </cell>
        </row>
        <row r="205">
          <cell r="A205" t="str">
            <v>teachers297</v>
          </cell>
          <cell r="C205">
            <v>47300</v>
          </cell>
          <cell r="D205">
            <v>0</v>
          </cell>
          <cell r="G205">
            <v>500</v>
          </cell>
          <cell r="H205">
            <v>6000</v>
          </cell>
          <cell r="I205">
            <v>0</v>
          </cell>
          <cell r="J205">
            <v>0</v>
          </cell>
        </row>
        <row r="206">
          <cell r="A206" t="str">
            <v>teachers298</v>
          </cell>
          <cell r="C206">
            <v>31600</v>
          </cell>
          <cell r="D206">
            <v>0</v>
          </cell>
          <cell r="G206">
            <v>500</v>
          </cell>
          <cell r="H206">
            <v>2000</v>
          </cell>
          <cell r="I206">
            <v>0</v>
          </cell>
          <cell r="J206">
            <v>0</v>
          </cell>
        </row>
        <row r="207">
          <cell r="A207" t="str">
            <v>teachers299</v>
          </cell>
          <cell r="C207">
            <v>48700</v>
          </cell>
          <cell r="D207">
            <v>400</v>
          </cell>
          <cell r="G207">
            <v>500</v>
          </cell>
          <cell r="H207">
            <v>4000</v>
          </cell>
          <cell r="I207">
            <v>60</v>
          </cell>
          <cell r="J207">
            <v>0</v>
          </cell>
        </row>
        <row r="208">
          <cell r="A208" t="str">
            <v>teachers300</v>
          </cell>
          <cell r="C208">
            <v>34500</v>
          </cell>
          <cell r="D208">
            <v>0</v>
          </cell>
          <cell r="G208">
            <v>500</v>
          </cell>
          <cell r="H208">
            <v>2500</v>
          </cell>
          <cell r="I208">
            <v>0</v>
          </cell>
          <cell r="J208">
            <v>0</v>
          </cell>
        </row>
        <row r="209">
          <cell r="A209" t="str">
            <v>teachers301</v>
          </cell>
          <cell r="C209">
            <v>34500</v>
          </cell>
          <cell r="D209">
            <v>0</v>
          </cell>
          <cell r="G209">
            <v>500</v>
          </cell>
          <cell r="H209">
            <v>2500</v>
          </cell>
          <cell r="I209">
            <v>0</v>
          </cell>
          <cell r="J209">
            <v>0</v>
          </cell>
        </row>
        <row r="210">
          <cell r="A210" t="str">
            <v>teachers302</v>
          </cell>
          <cell r="C210">
            <v>33500</v>
          </cell>
          <cell r="D210">
            <v>0</v>
          </cell>
          <cell r="G210">
            <v>0</v>
          </cell>
          <cell r="H210">
            <v>2500</v>
          </cell>
          <cell r="I210">
            <v>0</v>
          </cell>
          <cell r="J210">
            <v>0</v>
          </cell>
        </row>
        <row r="211">
          <cell r="A211" t="str">
            <v>teachers303</v>
          </cell>
          <cell r="C211">
            <v>33500</v>
          </cell>
          <cell r="D211">
            <v>0</v>
          </cell>
          <cell r="G211">
            <v>500</v>
          </cell>
          <cell r="H211">
            <v>4000</v>
          </cell>
          <cell r="I211">
            <v>0</v>
          </cell>
          <cell r="J211">
            <v>0</v>
          </cell>
        </row>
        <row r="212">
          <cell r="A212" t="str">
            <v>teachers387-8a82d5ab</v>
          </cell>
          <cell r="C212">
            <v>24700</v>
          </cell>
          <cell r="D212">
            <v>0</v>
          </cell>
          <cell r="G212">
            <v>500</v>
          </cell>
          <cell r="H212">
            <v>0</v>
          </cell>
          <cell r="I212">
            <v>0</v>
          </cell>
          <cell r="J212">
            <v>0</v>
          </cell>
        </row>
        <row r="213">
          <cell r="A213" t="str">
            <v>teachers304</v>
          </cell>
          <cell r="C213">
            <v>51700</v>
          </cell>
          <cell r="D213">
            <v>400</v>
          </cell>
          <cell r="G213">
            <v>500</v>
          </cell>
          <cell r="H213">
            <v>10000</v>
          </cell>
          <cell r="I213">
            <v>0</v>
          </cell>
          <cell r="J213">
            <v>0</v>
          </cell>
        </row>
        <row r="214">
          <cell r="A214" t="str">
            <v>teachers305</v>
          </cell>
          <cell r="C214">
            <v>47300</v>
          </cell>
          <cell r="D214">
            <v>0</v>
          </cell>
          <cell r="G214">
            <v>0</v>
          </cell>
          <cell r="H214">
            <v>5000</v>
          </cell>
          <cell r="I214">
            <v>0</v>
          </cell>
          <cell r="J214">
            <v>0</v>
          </cell>
        </row>
        <row r="215">
          <cell r="A215" t="str">
            <v>teachers306</v>
          </cell>
          <cell r="C215">
            <v>50200</v>
          </cell>
          <cell r="D215">
            <v>0</v>
          </cell>
          <cell r="G215">
            <v>0</v>
          </cell>
          <cell r="H215">
            <v>4000</v>
          </cell>
          <cell r="I215">
            <v>60</v>
          </cell>
          <cell r="J215">
            <v>0</v>
          </cell>
        </row>
        <row r="216">
          <cell r="A216" t="str">
            <v>teachers307</v>
          </cell>
          <cell r="C216">
            <v>33500</v>
          </cell>
          <cell r="D216">
            <v>0</v>
          </cell>
          <cell r="G216">
            <v>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teachers308</v>
          </cell>
          <cell r="C217">
            <v>49200</v>
          </cell>
          <cell r="D217">
            <v>0</v>
          </cell>
          <cell r="G217">
            <v>500</v>
          </cell>
          <cell r="H217">
            <v>10000</v>
          </cell>
          <cell r="I217">
            <v>0</v>
          </cell>
          <cell r="J217">
            <v>0</v>
          </cell>
        </row>
        <row r="218">
          <cell r="A218" t="str">
            <v>teachers309</v>
          </cell>
          <cell r="C218">
            <v>50200</v>
          </cell>
          <cell r="D218">
            <v>400</v>
          </cell>
          <cell r="G218">
            <v>500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teachers310</v>
          </cell>
          <cell r="C219">
            <v>34500</v>
          </cell>
          <cell r="D219">
            <v>0</v>
          </cell>
          <cell r="G219">
            <v>500</v>
          </cell>
          <cell r="H219">
            <v>5000</v>
          </cell>
          <cell r="I219">
            <v>0</v>
          </cell>
          <cell r="J219">
            <v>0</v>
          </cell>
        </row>
        <row r="220">
          <cell r="A220" t="str">
            <v>teachers311</v>
          </cell>
          <cell r="C220">
            <v>28900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teachers312</v>
          </cell>
          <cell r="C221">
            <v>35500</v>
          </cell>
          <cell r="D221">
            <v>400</v>
          </cell>
          <cell r="G221">
            <v>0</v>
          </cell>
          <cell r="H221">
            <v>5000</v>
          </cell>
          <cell r="I221">
            <v>0</v>
          </cell>
          <cell r="J221">
            <v>0</v>
          </cell>
        </row>
        <row r="222">
          <cell r="A222" t="str">
            <v>teachers313</v>
          </cell>
          <cell r="C222">
            <v>33500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teachers314</v>
          </cell>
          <cell r="C223">
            <v>31600</v>
          </cell>
          <cell r="D223">
            <v>0</v>
          </cell>
          <cell r="G223">
            <v>500</v>
          </cell>
          <cell r="H223">
            <v>2000</v>
          </cell>
          <cell r="I223">
            <v>0</v>
          </cell>
          <cell r="J223">
            <v>0</v>
          </cell>
        </row>
        <row r="224">
          <cell r="A224" t="str">
            <v>teachers315</v>
          </cell>
          <cell r="C224">
            <v>34500</v>
          </cell>
          <cell r="D224">
            <v>400</v>
          </cell>
          <cell r="G224">
            <v>500</v>
          </cell>
          <cell r="H224">
            <v>3000</v>
          </cell>
          <cell r="I224">
            <v>0</v>
          </cell>
          <cell r="J224">
            <v>0</v>
          </cell>
        </row>
        <row r="225">
          <cell r="A225" t="str">
            <v>teachers316</v>
          </cell>
          <cell r="C225">
            <v>34500</v>
          </cell>
          <cell r="D225">
            <v>0</v>
          </cell>
          <cell r="G225">
            <v>500</v>
          </cell>
          <cell r="H225">
            <v>3000</v>
          </cell>
          <cell r="I225">
            <v>0</v>
          </cell>
          <cell r="J225">
            <v>0</v>
          </cell>
        </row>
        <row r="226">
          <cell r="A226" t="str">
            <v>teachers317</v>
          </cell>
          <cell r="C226">
            <v>33500</v>
          </cell>
          <cell r="D226">
            <v>400</v>
          </cell>
          <cell r="G226">
            <v>500</v>
          </cell>
          <cell r="H226">
            <v>2500</v>
          </cell>
          <cell r="I226">
            <v>0</v>
          </cell>
          <cell r="J226">
            <v>0</v>
          </cell>
        </row>
        <row r="227">
          <cell r="A227" t="str">
            <v>teachers318</v>
          </cell>
          <cell r="C227">
            <v>33500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teachers386-dbc88f20</v>
          </cell>
          <cell r="C228">
            <v>28900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teachers319</v>
          </cell>
          <cell r="C229">
            <v>47300</v>
          </cell>
          <cell r="D229">
            <v>0</v>
          </cell>
          <cell r="G229">
            <v>0</v>
          </cell>
          <cell r="H229">
            <v>10000</v>
          </cell>
          <cell r="I229">
            <v>60</v>
          </cell>
          <cell r="J229">
            <v>0</v>
          </cell>
        </row>
        <row r="230">
          <cell r="A230" t="str">
            <v>teachers320</v>
          </cell>
          <cell r="C230">
            <v>34500</v>
          </cell>
          <cell r="D230">
            <v>0</v>
          </cell>
          <cell r="G230">
            <v>500</v>
          </cell>
          <cell r="H230">
            <v>2500</v>
          </cell>
          <cell r="I230">
            <v>0</v>
          </cell>
          <cell r="J230">
            <v>0</v>
          </cell>
        </row>
        <row r="231">
          <cell r="A231" t="str">
            <v>teachers321</v>
          </cell>
          <cell r="C231">
            <v>28900</v>
          </cell>
          <cell r="D231">
            <v>0</v>
          </cell>
          <cell r="G231">
            <v>500</v>
          </cell>
          <cell r="H231">
            <v>2000</v>
          </cell>
          <cell r="I231">
            <v>0</v>
          </cell>
          <cell r="J231">
            <v>0</v>
          </cell>
        </row>
        <row r="232">
          <cell r="A232" t="str">
            <v>teachers322</v>
          </cell>
          <cell r="C232">
            <v>48700</v>
          </cell>
          <cell r="D232">
            <v>400</v>
          </cell>
          <cell r="G232">
            <v>500</v>
          </cell>
          <cell r="H232">
            <v>6000</v>
          </cell>
          <cell r="I232">
            <v>0</v>
          </cell>
          <cell r="J232">
            <v>0</v>
          </cell>
        </row>
        <row r="233">
          <cell r="A233" t="str">
            <v>teachers323</v>
          </cell>
          <cell r="C233">
            <v>47300</v>
          </cell>
          <cell r="D233">
            <v>0</v>
          </cell>
          <cell r="G233">
            <v>0</v>
          </cell>
          <cell r="H233">
            <v>6000</v>
          </cell>
          <cell r="I233">
            <v>0</v>
          </cell>
          <cell r="J233">
            <v>0</v>
          </cell>
        </row>
        <row r="234">
          <cell r="A234" t="str">
            <v>teachers324</v>
          </cell>
          <cell r="C234">
            <v>33500</v>
          </cell>
          <cell r="D234">
            <v>0</v>
          </cell>
          <cell r="G234">
            <v>500</v>
          </cell>
          <cell r="H234">
            <v>2500</v>
          </cell>
          <cell r="I234">
            <v>0</v>
          </cell>
          <cell r="J234">
            <v>0</v>
          </cell>
        </row>
        <row r="235">
          <cell r="A235" t="str">
            <v>teachers325</v>
          </cell>
          <cell r="C235">
            <v>33500</v>
          </cell>
          <cell r="D235">
            <v>0</v>
          </cell>
          <cell r="G235">
            <v>500</v>
          </cell>
          <cell r="H235">
            <v>2500</v>
          </cell>
          <cell r="I235">
            <v>0</v>
          </cell>
          <cell r="J235">
            <v>0</v>
          </cell>
        </row>
        <row r="236">
          <cell r="A236" t="str">
            <v>teachers326</v>
          </cell>
          <cell r="C236">
            <v>37700</v>
          </cell>
          <cell r="D236">
            <v>0</v>
          </cell>
          <cell r="G236">
            <v>500</v>
          </cell>
          <cell r="H236">
            <v>3000</v>
          </cell>
          <cell r="I236">
            <v>0</v>
          </cell>
          <cell r="J236">
            <v>0</v>
          </cell>
        </row>
        <row r="237">
          <cell r="A237" t="str">
            <v>teachers327</v>
          </cell>
          <cell r="C237">
            <v>55400</v>
          </cell>
          <cell r="D237">
            <v>400</v>
          </cell>
          <cell r="G237">
            <v>0</v>
          </cell>
          <cell r="H237">
            <v>3500</v>
          </cell>
          <cell r="I237">
            <v>0</v>
          </cell>
          <cell r="J237">
            <v>0</v>
          </cell>
        </row>
        <row r="238">
          <cell r="A238" t="str">
            <v>teachers328</v>
          </cell>
          <cell r="C238">
            <v>29800</v>
          </cell>
          <cell r="D238">
            <v>0</v>
          </cell>
          <cell r="G238">
            <v>500</v>
          </cell>
          <cell r="H238">
            <v>2000</v>
          </cell>
          <cell r="I238">
            <v>0</v>
          </cell>
          <cell r="J238">
            <v>0</v>
          </cell>
        </row>
        <row r="239">
          <cell r="A239" t="str">
            <v>teachers329</v>
          </cell>
          <cell r="C239">
            <v>28900</v>
          </cell>
          <cell r="D239">
            <v>0</v>
          </cell>
          <cell r="G239">
            <v>0</v>
          </cell>
          <cell r="H239">
            <v>2000</v>
          </cell>
          <cell r="I239">
            <v>0</v>
          </cell>
          <cell r="J239">
            <v>0</v>
          </cell>
        </row>
        <row r="240">
          <cell r="A240" t="str">
            <v>teachers330</v>
          </cell>
          <cell r="C240">
            <v>28900</v>
          </cell>
          <cell r="D240">
            <v>0</v>
          </cell>
          <cell r="G240">
            <v>500</v>
          </cell>
          <cell r="H240">
            <v>2000</v>
          </cell>
          <cell r="I240">
            <v>0</v>
          </cell>
          <cell r="J240">
            <v>0</v>
          </cell>
        </row>
        <row r="241">
          <cell r="A241" t="str">
            <v>teachers331</v>
          </cell>
          <cell r="C241">
            <v>37700</v>
          </cell>
          <cell r="D241">
            <v>400</v>
          </cell>
          <cell r="G241">
            <v>500</v>
          </cell>
          <cell r="H241">
            <v>3000</v>
          </cell>
          <cell r="I241">
            <v>0</v>
          </cell>
          <cell r="J241">
            <v>0</v>
          </cell>
        </row>
        <row r="242">
          <cell r="A242" t="str">
            <v>teachers332</v>
          </cell>
          <cell r="C242">
            <v>47300</v>
          </cell>
          <cell r="D242">
            <v>0</v>
          </cell>
          <cell r="G242">
            <v>500</v>
          </cell>
          <cell r="H242">
            <v>3000</v>
          </cell>
          <cell r="I242">
            <v>0</v>
          </cell>
          <cell r="J242">
            <v>0</v>
          </cell>
        </row>
        <row r="243">
          <cell r="A243" t="str">
            <v>teachers333</v>
          </cell>
          <cell r="C243">
            <v>33500</v>
          </cell>
          <cell r="D243">
            <v>0</v>
          </cell>
          <cell r="G243">
            <v>500</v>
          </cell>
          <cell r="H243">
            <v>2500</v>
          </cell>
          <cell r="I243">
            <v>0</v>
          </cell>
          <cell r="J243">
            <v>0</v>
          </cell>
        </row>
        <row r="244">
          <cell r="A244" t="str">
            <v>teachers334</v>
          </cell>
          <cell r="C244">
            <v>33500</v>
          </cell>
          <cell r="D244">
            <v>0</v>
          </cell>
          <cell r="G244">
            <v>500</v>
          </cell>
          <cell r="H244">
            <v>2500</v>
          </cell>
          <cell r="I244">
            <v>0</v>
          </cell>
          <cell r="J244">
            <v>0</v>
          </cell>
        </row>
        <row r="245">
          <cell r="A245" t="str">
            <v>teachers335</v>
          </cell>
          <cell r="C245">
            <v>28900</v>
          </cell>
          <cell r="D245">
            <v>0</v>
          </cell>
          <cell r="G245">
            <v>500</v>
          </cell>
          <cell r="H245">
            <v>2000</v>
          </cell>
          <cell r="I245">
            <v>0</v>
          </cell>
          <cell r="J245">
            <v>0</v>
          </cell>
        </row>
        <row r="246">
          <cell r="A246" t="str">
            <v>teachers388-9d83883f</v>
          </cell>
          <cell r="C246">
            <v>48700</v>
          </cell>
          <cell r="D246">
            <v>400</v>
          </cell>
          <cell r="G246">
            <v>500</v>
          </cell>
          <cell r="H246">
            <v>5000</v>
          </cell>
          <cell r="I246">
            <v>0</v>
          </cell>
          <cell r="J246">
            <v>0</v>
          </cell>
        </row>
        <row r="247">
          <cell r="A247" t="str">
            <v>teachers336</v>
          </cell>
          <cell r="C247">
            <v>34500</v>
          </cell>
          <cell r="D247">
            <v>0</v>
          </cell>
          <cell r="G247">
            <v>500</v>
          </cell>
          <cell r="H247">
            <v>6000</v>
          </cell>
          <cell r="I247">
            <v>0</v>
          </cell>
          <cell r="J247">
            <v>0</v>
          </cell>
        </row>
        <row r="248">
          <cell r="A248" t="str">
            <v>teachers337</v>
          </cell>
          <cell r="C248">
            <v>34500</v>
          </cell>
          <cell r="D248">
            <v>0</v>
          </cell>
          <cell r="G248">
            <v>500</v>
          </cell>
          <cell r="H248">
            <v>3000</v>
          </cell>
          <cell r="I248">
            <v>0</v>
          </cell>
          <cell r="J248">
            <v>0</v>
          </cell>
        </row>
        <row r="249">
          <cell r="A249" t="str">
            <v>teachers338</v>
          </cell>
          <cell r="C249">
            <v>28900</v>
          </cell>
          <cell r="D249">
            <v>0</v>
          </cell>
          <cell r="G249">
            <v>500</v>
          </cell>
          <cell r="H249">
            <v>2000</v>
          </cell>
          <cell r="I249">
            <v>0</v>
          </cell>
          <cell r="J249">
            <v>0</v>
          </cell>
        </row>
        <row r="250">
          <cell r="A250" t="str">
            <v>teachers339</v>
          </cell>
          <cell r="C250">
            <v>34500</v>
          </cell>
          <cell r="D250">
            <v>400</v>
          </cell>
          <cell r="G250">
            <v>0</v>
          </cell>
          <cell r="H250">
            <v>2500</v>
          </cell>
          <cell r="I250">
            <v>0</v>
          </cell>
          <cell r="J250">
            <v>0</v>
          </cell>
        </row>
        <row r="251">
          <cell r="A251" t="str">
            <v>teachers340</v>
          </cell>
          <cell r="C251">
            <v>34500</v>
          </cell>
          <cell r="D251">
            <v>0</v>
          </cell>
          <cell r="G251">
            <v>0</v>
          </cell>
          <cell r="H251">
            <v>5000</v>
          </cell>
          <cell r="I251">
            <v>0</v>
          </cell>
          <cell r="J251">
            <v>0</v>
          </cell>
        </row>
        <row r="252">
          <cell r="A252" t="str">
            <v>teachers341</v>
          </cell>
          <cell r="C252">
            <v>51700</v>
          </cell>
          <cell r="D252">
            <v>400</v>
          </cell>
          <cell r="G252">
            <v>500</v>
          </cell>
          <cell r="H252">
            <v>5000</v>
          </cell>
          <cell r="I252">
            <v>0</v>
          </cell>
          <cell r="J252">
            <v>0</v>
          </cell>
        </row>
        <row r="253">
          <cell r="A253" t="str">
            <v>teachers342</v>
          </cell>
          <cell r="C253">
            <v>34500</v>
          </cell>
          <cell r="D253">
            <v>0</v>
          </cell>
          <cell r="G253">
            <v>500</v>
          </cell>
          <cell r="H253">
            <v>3000</v>
          </cell>
          <cell r="I253">
            <v>0</v>
          </cell>
          <cell r="J253">
            <v>0</v>
          </cell>
        </row>
        <row r="254">
          <cell r="A254" t="str">
            <v>teachers343</v>
          </cell>
          <cell r="C254">
            <v>28900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teachers344</v>
          </cell>
          <cell r="C255">
            <v>34500</v>
          </cell>
          <cell r="D255">
            <v>400</v>
          </cell>
          <cell r="G255">
            <v>500</v>
          </cell>
          <cell r="H255">
            <v>3000</v>
          </cell>
          <cell r="I255">
            <v>0</v>
          </cell>
          <cell r="J255">
            <v>0</v>
          </cell>
        </row>
        <row r="256">
          <cell r="A256" t="str">
            <v>teachers345</v>
          </cell>
          <cell r="C256">
            <v>31600</v>
          </cell>
          <cell r="D256">
            <v>0</v>
          </cell>
          <cell r="G256">
            <v>0</v>
          </cell>
          <cell r="H256">
            <v>2000</v>
          </cell>
          <cell r="I256">
            <v>0</v>
          </cell>
          <cell r="J256">
            <v>0</v>
          </cell>
        </row>
        <row r="257">
          <cell r="A257" t="str">
            <v>teachers346</v>
          </cell>
          <cell r="C257">
            <v>31600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teachers347</v>
          </cell>
          <cell r="C258">
            <v>47300</v>
          </cell>
          <cell r="D258">
            <v>400</v>
          </cell>
          <cell r="G258">
            <v>0</v>
          </cell>
          <cell r="H258">
            <v>0</v>
          </cell>
          <cell r="I258">
            <v>0</v>
          </cell>
          <cell r="J258">
            <v>0</v>
          </cell>
        </row>
        <row r="259">
          <cell r="A259" t="str">
            <v>teachers348</v>
          </cell>
          <cell r="C259">
            <v>27000</v>
          </cell>
          <cell r="D259">
            <v>0</v>
          </cell>
          <cell r="G259">
            <v>0</v>
          </cell>
          <cell r="H259">
            <v>5000</v>
          </cell>
          <cell r="I259">
            <v>0</v>
          </cell>
          <cell r="J259">
            <v>0</v>
          </cell>
        </row>
        <row r="260">
          <cell r="A260" t="str">
            <v>teachers349</v>
          </cell>
          <cell r="C260">
            <v>28900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teachers350</v>
          </cell>
          <cell r="C261">
            <v>47300</v>
          </cell>
          <cell r="D261">
            <v>400</v>
          </cell>
          <cell r="G261">
            <v>500</v>
          </cell>
          <cell r="H261">
            <v>4000</v>
          </cell>
          <cell r="I261">
            <v>60</v>
          </cell>
          <cell r="J261">
            <v>0</v>
          </cell>
        </row>
        <row r="262">
          <cell r="A262" t="str">
            <v>teachers351</v>
          </cell>
          <cell r="C262">
            <v>27000</v>
          </cell>
          <cell r="D262">
            <v>0</v>
          </cell>
          <cell r="G262">
            <v>500</v>
          </cell>
          <cell r="H262">
            <v>2000</v>
          </cell>
          <cell r="I262">
            <v>0</v>
          </cell>
          <cell r="J262">
            <v>0</v>
          </cell>
        </row>
        <row r="263">
          <cell r="A263" t="str">
            <v>teachers352</v>
          </cell>
          <cell r="C263">
            <v>28900</v>
          </cell>
          <cell r="D263">
            <v>0</v>
          </cell>
          <cell r="G263">
            <v>500</v>
          </cell>
          <cell r="H263">
            <v>2000</v>
          </cell>
          <cell r="I263">
            <v>0</v>
          </cell>
          <cell r="J263">
            <v>0</v>
          </cell>
        </row>
        <row r="264">
          <cell r="A264" t="str">
            <v>teachers353</v>
          </cell>
          <cell r="C264">
            <v>48700</v>
          </cell>
          <cell r="D264">
            <v>400</v>
          </cell>
          <cell r="G264">
            <v>0</v>
          </cell>
          <cell r="H264">
            <v>5000</v>
          </cell>
          <cell r="I264">
            <v>60</v>
          </cell>
          <cell r="J264">
            <v>0</v>
          </cell>
        </row>
        <row r="265">
          <cell r="A265" t="str">
            <v>teachers354</v>
          </cell>
          <cell r="C265">
            <v>47300</v>
          </cell>
          <cell r="D265">
            <v>0</v>
          </cell>
          <cell r="G265">
            <v>500</v>
          </cell>
          <cell r="H265">
            <v>12000</v>
          </cell>
          <cell r="I265">
            <v>0</v>
          </cell>
          <cell r="J265">
            <v>0</v>
          </cell>
        </row>
        <row r="266">
          <cell r="A266" t="str">
            <v>teachers355</v>
          </cell>
          <cell r="C266">
            <v>51700</v>
          </cell>
          <cell r="D266">
            <v>400</v>
          </cell>
          <cell r="G266">
            <v>500</v>
          </cell>
          <cell r="H266">
            <v>8000</v>
          </cell>
          <cell r="I266">
            <v>60</v>
          </cell>
          <cell r="J266">
            <v>0</v>
          </cell>
        </row>
        <row r="267">
          <cell r="A267" t="str">
            <v>teachers356</v>
          </cell>
          <cell r="C267">
            <v>37700</v>
          </cell>
          <cell r="D267">
            <v>0</v>
          </cell>
          <cell r="G267">
            <v>500</v>
          </cell>
          <cell r="H267">
            <v>5000</v>
          </cell>
          <cell r="I267">
            <v>0</v>
          </cell>
          <cell r="J267">
            <v>0</v>
          </cell>
        </row>
        <row r="268">
          <cell r="A268" t="str">
            <v>teachers357</v>
          </cell>
          <cell r="C268">
            <v>51700</v>
          </cell>
          <cell r="D268">
            <v>400</v>
          </cell>
          <cell r="G268">
            <v>500</v>
          </cell>
          <cell r="H268">
            <v>4000</v>
          </cell>
          <cell r="I268">
            <v>0</v>
          </cell>
          <cell r="J268">
            <v>0</v>
          </cell>
        </row>
        <row r="269">
          <cell r="A269" t="str">
            <v>teachers358</v>
          </cell>
          <cell r="C269">
            <v>29800</v>
          </cell>
          <cell r="D269">
            <v>0</v>
          </cell>
          <cell r="G269">
            <v>500</v>
          </cell>
          <cell r="H269">
            <v>2000</v>
          </cell>
          <cell r="I269">
            <v>0</v>
          </cell>
          <cell r="J269">
            <v>0</v>
          </cell>
        </row>
        <row r="270">
          <cell r="A270" t="str">
            <v>teachers359</v>
          </cell>
          <cell r="C270">
            <v>47300</v>
          </cell>
          <cell r="D270">
            <v>400</v>
          </cell>
          <cell r="G270">
            <v>0</v>
          </cell>
          <cell r="H270">
            <v>7000</v>
          </cell>
          <cell r="I270">
            <v>60</v>
          </cell>
          <cell r="J270">
            <v>0</v>
          </cell>
        </row>
        <row r="271">
          <cell r="A271" t="str">
            <v>teachers360</v>
          </cell>
          <cell r="C271">
            <v>50200</v>
          </cell>
          <cell r="D271">
            <v>0</v>
          </cell>
          <cell r="G271">
            <v>500</v>
          </cell>
          <cell r="H271">
            <v>5000</v>
          </cell>
          <cell r="I271">
            <v>0</v>
          </cell>
          <cell r="J271">
            <v>0</v>
          </cell>
        </row>
        <row r="272">
          <cell r="A272" t="str">
            <v>teachers361</v>
          </cell>
          <cell r="C272">
            <v>33500</v>
          </cell>
          <cell r="D272">
            <v>0</v>
          </cell>
          <cell r="G272">
            <v>500</v>
          </cell>
          <cell r="H272">
            <v>5000</v>
          </cell>
          <cell r="I272">
            <v>0</v>
          </cell>
          <cell r="J272">
            <v>0</v>
          </cell>
        </row>
        <row r="273">
          <cell r="A273" t="str">
            <v>teachers362</v>
          </cell>
          <cell r="C273">
            <v>33500</v>
          </cell>
          <cell r="D273">
            <v>0</v>
          </cell>
          <cell r="G273">
            <v>500</v>
          </cell>
          <cell r="H273">
            <v>3000</v>
          </cell>
          <cell r="I273">
            <v>0</v>
          </cell>
          <cell r="J273">
            <v>0</v>
          </cell>
        </row>
        <row r="274">
          <cell r="A274" t="str">
            <v>teachers363</v>
          </cell>
          <cell r="C274">
            <v>27000</v>
          </cell>
          <cell r="D274">
            <v>0</v>
          </cell>
          <cell r="G274">
            <v>0</v>
          </cell>
          <cell r="H274">
            <v>2000</v>
          </cell>
          <cell r="I274">
            <v>0</v>
          </cell>
          <cell r="J274">
            <v>0</v>
          </cell>
        </row>
        <row r="275">
          <cell r="A275" t="str">
            <v>teachers364</v>
          </cell>
          <cell r="C275">
            <v>27000</v>
          </cell>
          <cell r="D275">
            <v>0</v>
          </cell>
          <cell r="G275">
            <v>0</v>
          </cell>
          <cell r="H275">
            <v>2000</v>
          </cell>
          <cell r="I275">
            <v>0</v>
          </cell>
          <cell r="J275">
            <v>0</v>
          </cell>
        </row>
        <row r="276">
          <cell r="A276" t="str">
            <v>teachers365</v>
          </cell>
          <cell r="C276">
            <v>47300</v>
          </cell>
          <cell r="D276">
            <v>400</v>
          </cell>
          <cell r="G276">
            <v>500</v>
          </cell>
          <cell r="H276">
            <v>4000</v>
          </cell>
          <cell r="I276">
            <v>0</v>
          </cell>
          <cell r="J276">
            <v>0</v>
          </cell>
        </row>
        <row r="277">
          <cell r="A277" t="str">
            <v>teachers366</v>
          </cell>
          <cell r="C277">
            <v>33500</v>
          </cell>
          <cell r="D277">
            <v>0</v>
          </cell>
          <cell r="G277">
            <v>500</v>
          </cell>
          <cell r="H277">
            <v>2500</v>
          </cell>
          <cell r="I277">
            <v>0</v>
          </cell>
          <cell r="J277">
            <v>0</v>
          </cell>
        </row>
        <row r="278">
          <cell r="A278" t="str">
            <v>teachers367</v>
          </cell>
          <cell r="C278">
            <v>33500</v>
          </cell>
          <cell r="D278">
            <v>0</v>
          </cell>
          <cell r="G278">
            <v>0</v>
          </cell>
          <cell r="H278">
            <v>5000</v>
          </cell>
          <cell r="I278">
            <v>0</v>
          </cell>
          <cell r="J278">
            <v>0</v>
          </cell>
        </row>
        <row r="279">
          <cell r="A279" t="str">
            <v>teachers394-a4f17403</v>
          </cell>
          <cell r="C279">
            <v>28900</v>
          </cell>
          <cell r="D279">
            <v>0</v>
          </cell>
          <cell r="G279">
            <v>0</v>
          </cell>
          <cell r="H279">
            <v>0</v>
          </cell>
          <cell r="I279">
            <v>0</v>
          </cell>
          <cell r="J279">
            <v>0</v>
          </cell>
        </row>
        <row r="280">
          <cell r="A280" t="str">
            <v>teachers368</v>
          </cell>
          <cell r="C280">
            <v>51700</v>
          </cell>
          <cell r="D280">
            <v>400</v>
          </cell>
          <cell r="G280">
            <v>0</v>
          </cell>
          <cell r="H280">
            <v>4000</v>
          </cell>
          <cell r="I280">
            <v>0</v>
          </cell>
          <cell r="J280">
            <v>0</v>
          </cell>
        </row>
        <row r="281">
          <cell r="A281" t="str">
            <v>teachers369</v>
          </cell>
          <cell r="C281">
            <v>34500</v>
          </cell>
          <cell r="D281">
            <v>0</v>
          </cell>
          <cell r="G281">
            <v>500</v>
          </cell>
          <cell r="H281">
            <v>3000</v>
          </cell>
          <cell r="I281">
            <v>0</v>
          </cell>
          <cell r="J281">
            <v>0</v>
          </cell>
        </row>
        <row r="282">
          <cell r="A282" t="str">
            <v>teachers370</v>
          </cell>
          <cell r="C282">
            <v>34500</v>
          </cell>
          <cell r="D282">
            <v>0</v>
          </cell>
          <cell r="G282">
            <v>500</v>
          </cell>
          <cell r="H282">
            <v>2500</v>
          </cell>
          <cell r="I282">
            <v>0</v>
          </cell>
          <cell r="J282">
            <v>0</v>
          </cell>
        </row>
        <row r="283">
          <cell r="A283" t="str">
            <v>teachers371</v>
          </cell>
          <cell r="C283">
            <v>27000</v>
          </cell>
          <cell r="D283">
            <v>0</v>
          </cell>
          <cell r="G283">
            <v>500</v>
          </cell>
          <cell r="H283">
            <v>2000</v>
          </cell>
          <cell r="I283">
            <v>0</v>
          </cell>
          <cell r="J283">
            <v>0</v>
          </cell>
        </row>
        <row r="284">
          <cell r="A284" t="str">
            <v>teachers372</v>
          </cell>
          <cell r="C284">
            <v>31600</v>
          </cell>
          <cell r="D284">
            <v>0</v>
          </cell>
          <cell r="G284">
            <v>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teachers373</v>
          </cell>
          <cell r="C285">
            <v>51700</v>
          </cell>
          <cell r="D285">
            <v>400</v>
          </cell>
          <cell r="G285">
            <v>500</v>
          </cell>
          <cell r="H285">
            <v>10000</v>
          </cell>
          <cell r="I285">
            <v>0</v>
          </cell>
          <cell r="J285">
            <v>0</v>
          </cell>
        </row>
        <row r="286">
          <cell r="A286" t="str">
            <v>teachers374</v>
          </cell>
          <cell r="C286">
            <v>37700</v>
          </cell>
          <cell r="D286">
            <v>0</v>
          </cell>
          <cell r="G286">
            <v>500</v>
          </cell>
          <cell r="H286">
            <v>5000</v>
          </cell>
          <cell r="I286">
            <v>0</v>
          </cell>
          <cell r="J286">
            <v>0</v>
          </cell>
        </row>
        <row r="287">
          <cell r="A287" t="str">
            <v>teachers375</v>
          </cell>
          <cell r="C287">
            <v>27000</v>
          </cell>
          <cell r="D287">
            <v>0</v>
          </cell>
          <cell r="G287">
            <v>500</v>
          </cell>
          <cell r="H287">
            <v>2000</v>
          </cell>
          <cell r="I287">
            <v>0</v>
          </cell>
          <cell r="J287">
            <v>0</v>
          </cell>
        </row>
        <row r="288">
          <cell r="A288" t="str">
            <v>teachers376</v>
          </cell>
          <cell r="C288">
            <v>51700</v>
          </cell>
          <cell r="D288">
            <v>400</v>
          </cell>
          <cell r="G288">
            <v>0</v>
          </cell>
          <cell r="H288">
            <v>8000</v>
          </cell>
          <cell r="I288">
            <v>60</v>
          </cell>
          <cell r="J288">
            <v>0</v>
          </cell>
        </row>
        <row r="289">
          <cell r="A289" t="str">
            <v>teachers377</v>
          </cell>
          <cell r="C289">
            <v>33500</v>
          </cell>
          <cell r="D289">
            <v>0</v>
          </cell>
          <cell r="G289">
            <v>0</v>
          </cell>
          <cell r="H289">
            <v>2500</v>
          </cell>
          <cell r="I289">
            <v>0</v>
          </cell>
          <cell r="J289">
            <v>0</v>
          </cell>
        </row>
        <row r="290">
          <cell r="A290" t="str">
            <v>teachers378</v>
          </cell>
          <cell r="C290">
            <v>48700</v>
          </cell>
          <cell r="D290">
            <v>400</v>
          </cell>
          <cell r="G290">
            <v>0</v>
          </cell>
          <cell r="H290">
            <v>12000</v>
          </cell>
          <cell r="I290">
            <v>0</v>
          </cell>
          <cell r="J290">
            <v>0</v>
          </cell>
        </row>
        <row r="291">
          <cell r="A291" t="str">
            <v>teachers379</v>
          </cell>
          <cell r="C291">
            <v>33500</v>
          </cell>
          <cell r="D291">
            <v>0</v>
          </cell>
          <cell r="G291">
            <v>500</v>
          </cell>
          <cell r="H291">
            <v>3000</v>
          </cell>
          <cell r="I291">
            <v>0</v>
          </cell>
          <cell r="J291">
            <v>0</v>
          </cell>
        </row>
        <row r="292">
          <cell r="A292" t="str">
            <v>teachers380</v>
          </cell>
          <cell r="C292">
            <v>33500</v>
          </cell>
          <cell r="D292">
            <v>0</v>
          </cell>
          <cell r="G292">
            <v>500</v>
          </cell>
          <cell r="H292">
            <v>5000</v>
          </cell>
          <cell r="I292">
            <v>0</v>
          </cell>
          <cell r="J292">
            <v>0</v>
          </cell>
        </row>
        <row r="293">
          <cell r="A293" t="str">
            <v>teachers381</v>
          </cell>
          <cell r="C293">
            <v>34500</v>
          </cell>
          <cell r="D293">
            <v>400</v>
          </cell>
          <cell r="G293">
            <v>0</v>
          </cell>
          <cell r="H293">
            <v>2500</v>
          </cell>
          <cell r="I293">
            <v>0</v>
          </cell>
          <cell r="J293">
            <v>0</v>
          </cell>
        </row>
        <row r="294">
          <cell r="A294" t="str">
            <v>teachers382</v>
          </cell>
          <cell r="C294">
            <v>34500</v>
          </cell>
          <cell r="D294">
            <v>0</v>
          </cell>
          <cell r="G294">
            <v>500</v>
          </cell>
          <cell r="H294">
            <v>2500</v>
          </cell>
          <cell r="I294">
            <v>0</v>
          </cell>
          <cell r="J294">
            <v>0</v>
          </cell>
        </row>
        <row r="295">
          <cell r="A295" t="str">
            <v>teachers383</v>
          </cell>
          <cell r="C295">
            <v>34500</v>
          </cell>
          <cell r="D295">
            <v>0</v>
          </cell>
          <cell r="G295">
            <v>500</v>
          </cell>
          <cell r="H295">
            <v>2500</v>
          </cell>
          <cell r="I295">
            <v>0</v>
          </cell>
          <cell r="J295">
            <v>0</v>
          </cell>
        </row>
        <row r="296">
          <cell r="A296" t="str">
            <v>teachers384</v>
          </cell>
          <cell r="C296">
            <v>31600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teachers396-3fc4378f</v>
          </cell>
          <cell r="C297">
            <v>0</v>
          </cell>
          <cell r="D297">
            <v>0</v>
          </cell>
          <cell r="G297">
            <v>0</v>
          </cell>
          <cell r="H297">
            <v>0</v>
          </cell>
          <cell r="I297">
            <v>0</v>
          </cell>
          <cell r="J297">
            <v>0</v>
          </cell>
        </row>
        <row r="298">
          <cell r="A298" t="str">
            <v>teachers399-29d8e169</v>
          </cell>
          <cell r="C298">
            <v>0</v>
          </cell>
          <cell r="D298">
            <v>0</v>
          </cell>
          <cell r="G298">
            <v>0</v>
          </cell>
          <cell r="H298">
            <v>0</v>
          </cell>
          <cell r="I298">
            <v>0</v>
          </cell>
          <cell r="J298">
            <v>0</v>
          </cell>
        </row>
        <row r="299">
          <cell r="A299" t="str">
            <v>teachers395-e928c8e3</v>
          </cell>
          <cell r="C299">
            <v>0</v>
          </cell>
          <cell r="D299">
            <v>0</v>
          </cell>
          <cell r="G299">
            <v>0</v>
          </cell>
          <cell r="H299">
            <v>0</v>
          </cell>
          <cell r="I299">
            <v>0</v>
          </cell>
          <cell r="J299">
            <v>0</v>
          </cell>
        </row>
        <row r="300">
          <cell r="A300" t="str">
            <v>teachers397-a816599d</v>
          </cell>
          <cell r="C300">
            <v>0</v>
          </cell>
          <cell r="D300">
            <v>0</v>
          </cell>
          <cell r="G300">
            <v>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teachers398-0d5c8f45</v>
          </cell>
          <cell r="C301">
            <v>0</v>
          </cell>
          <cell r="D301">
            <v>0</v>
          </cell>
          <cell r="G301">
            <v>0</v>
          </cell>
          <cell r="H301">
            <v>0</v>
          </cell>
          <cell r="I301">
            <v>0</v>
          </cell>
          <cell r="J301">
            <v>0</v>
          </cell>
        </row>
        <row r="302">
          <cell r="A302" t="str">
            <v>teachers399-5cc82fa0</v>
          </cell>
          <cell r="C302">
            <v>0</v>
          </cell>
          <cell r="D302">
            <v>0</v>
          </cell>
          <cell r="G302">
            <v>0</v>
          </cell>
          <cell r="H302">
            <v>0</v>
          </cell>
          <cell r="I302">
            <v>0</v>
          </cell>
          <cell r="J302">
            <v>0</v>
          </cell>
        </row>
        <row r="303">
          <cell r="A303" t="str">
            <v>teachers399-6d7dd594</v>
          </cell>
          <cell r="C303">
            <v>0</v>
          </cell>
          <cell r="D303">
            <v>0</v>
          </cell>
          <cell r="G303">
            <v>500</v>
          </cell>
          <cell r="H303">
            <v>0</v>
          </cell>
          <cell r="I303">
            <v>0</v>
          </cell>
          <cell r="J303">
            <v>0</v>
          </cell>
        </row>
        <row r="304">
          <cell r="A304" t="str">
            <v>teachers399-20dae0ff</v>
          </cell>
          <cell r="C304">
            <v>33500</v>
          </cell>
          <cell r="D304">
            <v>0</v>
          </cell>
          <cell r="G304">
            <v>500</v>
          </cell>
          <cell r="H304">
            <v>3000</v>
          </cell>
          <cell r="I304">
            <v>0</v>
          </cell>
          <cell r="J304">
            <v>0</v>
          </cell>
        </row>
        <row r="305">
          <cell r="A305" t="str">
            <v>teachers399-4fe1a07f</v>
          </cell>
          <cell r="C305">
            <v>31600</v>
          </cell>
          <cell r="D305">
            <v>0</v>
          </cell>
          <cell r="G305">
            <v>500</v>
          </cell>
          <cell r="H305">
            <v>2000</v>
          </cell>
          <cell r="I305">
            <v>0</v>
          </cell>
          <cell r="J305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il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</row>
        <row r="2">
          <cell r="A2" t="str">
            <v>teachers101</v>
          </cell>
          <cell r="C2">
            <v>31600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</row>
        <row r="3">
          <cell r="A3" t="str">
            <v>teachers102</v>
          </cell>
          <cell r="C3">
            <v>30700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</row>
        <row r="4">
          <cell r="A4" t="str">
            <v>teachers103</v>
          </cell>
          <cell r="C4">
            <v>47300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</row>
        <row r="5">
          <cell r="A5" t="str">
            <v>teachers104</v>
          </cell>
          <cell r="C5">
            <v>25400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</row>
        <row r="6">
          <cell r="A6" t="str">
            <v>teachers105</v>
          </cell>
          <cell r="C6">
            <v>34500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</row>
        <row r="7">
          <cell r="A7" t="str">
            <v>teachers106</v>
          </cell>
          <cell r="C7">
            <v>31600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</row>
        <row r="8">
          <cell r="A8" t="str">
            <v>teachers107</v>
          </cell>
          <cell r="C8">
            <v>47300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</row>
        <row r="9">
          <cell r="A9" t="str">
            <v>teachers108</v>
          </cell>
          <cell r="C9">
            <v>34500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</row>
        <row r="10">
          <cell r="A10" t="str">
            <v>teachers109</v>
          </cell>
          <cell r="C10">
            <v>31600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</row>
        <row r="11">
          <cell r="A11" t="str">
            <v>teachers110</v>
          </cell>
          <cell r="C11">
            <v>28900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</row>
        <row r="12">
          <cell r="A12" t="str">
            <v>teachers111</v>
          </cell>
          <cell r="C12">
            <v>47300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</row>
        <row r="13">
          <cell r="A13" t="str">
            <v>teachers112</v>
          </cell>
          <cell r="C13">
            <v>27000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</row>
        <row r="14">
          <cell r="A14" t="str">
            <v>teachers388-61383f93</v>
          </cell>
          <cell r="C14">
            <v>28900</v>
          </cell>
          <cell r="D14">
            <v>0</v>
          </cell>
          <cell r="G14">
            <v>500</v>
          </cell>
          <cell r="H14">
            <v>0</v>
          </cell>
          <cell r="I14">
            <v>0</v>
          </cell>
        </row>
        <row r="15">
          <cell r="A15" t="str">
            <v>teachers113</v>
          </cell>
          <cell r="C15">
            <v>31600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</row>
        <row r="16">
          <cell r="A16" t="str">
            <v>teachers114</v>
          </cell>
          <cell r="C16">
            <v>31600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</row>
        <row r="17">
          <cell r="A17" t="str">
            <v>teachers115</v>
          </cell>
          <cell r="C17">
            <v>28900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</row>
        <row r="18">
          <cell r="A18" t="str">
            <v>teachers116</v>
          </cell>
          <cell r="C18">
            <v>51700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</row>
        <row r="19">
          <cell r="A19" t="str">
            <v>teachers117</v>
          </cell>
          <cell r="C19">
            <v>33500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</row>
        <row r="20">
          <cell r="A20" t="str">
            <v>teachers118</v>
          </cell>
          <cell r="C20">
            <v>28900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</row>
        <row r="21">
          <cell r="A21" t="str">
            <v>teachers121</v>
          </cell>
          <cell r="C21">
            <v>48800</v>
          </cell>
          <cell r="D21">
            <v>0</v>
          </cell>
          <cell r="G21">
            <v>0</v>
          </cell>
          <cell r="H21">
            <v>4000</v>
          </cell>
          <cell r="I21">
            <v>0</v>
          </cell>
        </row>
        <row r="22">
          <cell r="A22" t="str">
            <v>teachers122</v>
          </cell>
          <cell r="C22">
            <v>37700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</row>
        <row r="23">
          <cell r="A23" t="str">
            <v>teachers123</v>
          </cell>
          <cell r="C23">
            <v>28900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</row>
        <row r="24">
          <cell r="A24" t="str">
            <v>teachers124</v>
          </cell>
          <cell r="C24">
            <v>51700</v>
          </cell>
          <cell r="D24">
            <v>400</v>
          </cell>
          <cell r="G24">
            <v>500</v>
          </cell>
          <cell r="H24">
            <v>5000</v>
          </cell>
          <cell r="I24">
            <v>60</v>
          </cell>
        </row>
        <row r="25">
          <cell r="A25" t="str">
            <v>teachers125</v>
          </cell>
          <cell r="C25">
            <v>34500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</row>
        <row r="26">
          <cell r="A26" t="str">
            <v>teachers126</v>
          </cell>
          <cell r="C26">
            <v>34500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</row>
        <row r="27">
          <cell r="A27" t="str">
            <v>teachers127</v>
          </cell>
          <cell r="C27">
            <v>51700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</row>
        <row r="28">
          <cell r="A28" t="str">
            <v>teachers128</v>
          </cell>
          <cell r="C28">
            <v>27000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</row>
        <row r="29">
          <cell r="A29" t="str">
            <v>teachers129</v>
          </cell>
          <cell r="C29">
            <v>51700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</row>
        <row r="30">
          <cell r="A30" t="str">
            <v>teachers130</v>
          </cell>
          <cell r="C30">
            <v>28900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</row>
        <row r="31">
          <cell r="A31" t="str">
            <v>teachers131</v>
          </cell>
          <cell r="C31">
            <v>51700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</row>
        <row r="32">
          <cell r="A32" t="str">
            <v>teachers132</v>
          </cell>
          <cell r="C32">
            <v>33500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</row>
        <row r="33">
          <cell r="A33" t="str">
            <v>teachers133</v>
          </cell>
          <cell r="C33">
            <v>31600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</row>
        <row r="34">
          <cell r="A34" t="str">
            <v>teachers134</v>
          </cell>
          <cell r="C34">
            <v>28900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</row>
        <row r="35">
          <cell r="A35" t="str">
            <v>teachers135</v>
          </cell>
          <cell r="C35">
            <v>51700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</row>
        <row r="36">
          <cell r="A36" t="str">
            <v>teachers136</v>
          </cell>
          <cell r="C36">
            <v>25400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</row>
        <row r="37">
          <cell r="A37" t="str">
            <v>teachers389-da7ce61c</v>
          </cell>
          <cell r="C37">
            <v>28900</v>
          </cell>
          <cell r="D37">
            <v>0</v>
          </cell>
          <cell r="G37">
            <v>500</v>
          </cell>
          <cell r="H37">
            <v>0</v>
          </cell>
          <cell r="I37">
            <v>0</v>
          </cell>
        </row>
        <row r="38">
          <cell r="A38" t="str">
            <v>teachers137</v>
          </cell>
          <cell r="C38">
            <v>55400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</row>
        <row r="39">
          <cell r="A39" t="str">
            <v>teachers138</v>
          </cell>
          <cell r="C39">
            <v>28900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</row>
        <row r="40">
          <cell r="A40" t="str">
            <v>teachers395-e9d452d8</v>
          </cell>
          <cell r="C40">
            <v>24700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</row>
        <row r="41">
          <cell r="A41" t="str">
            <v>teachers139</v>
          </cell>
          <cell r="C41">
            <v>47300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</row>
        <row r="42">
          <cell r="A42" t="str">
            <v>teachers140</v>
          </cell>
          <cell r="C42">
            <v>33500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</row>
        <row r="43">
          <cell r="A43" t="str">
            <v>teachers141</v>
          </cell>
          <cell r="C43">
            <v>30700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</row>
        <row r="44">
          <cell r="A44" t="str">
            <v>teachers142</v>
          </cell>
          <cell r="C44">
            <v>48700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</row>
        <row r="45">
          <cell r="A45" t="str">
            <v>teachers143</v>
          </cell>
          <cell r="C45">
            <v>34500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</row>
        <row r="46">
          <cell r="A46" t="str">
            <v>teachers144</v>
          </cell>
          <cell r="C46">
            <v>34500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</row>
        <row r="47">
          <cell r="A47" t="str">
            <v>teachers145</v>
          </cell>
          <cell r="C47">
            <v>34500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</row>
        <row r="48">
          <cell r="A48" t="str">
            <v>teachers146</v>
          </cell>
          <cell r="C48">
            <v>48700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</row>
        <row r="49">
          <cell r="A49" t="str">
            <v>teachers147</v>
          </cell>
          <cell r="C49">
            <v>33500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</row>
        <row r="50">
          <cell r="A50" t="str">
            <v>teachers148</v>
          </cell>
          <cell r="C50">
            <v>33500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</row>
        <row r="51">
          <cell r="A51" t="str">
            <v>teachers149</v>
          </cell>
          <cell r="C51">
            <v>34500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</row>
        <row r="52">
          <cell r="A52" t="str">
            <v>teachers150</v>
          </cell>
          <cell r="C52">
            <v>34500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</row>
        <row r="53">
          <cell r="A53" t="str">
            <v>teachers151</v>
          </cell>
          <cell r="C53">
            <v>33500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</row>
        <row r="54">
          <cell r="A54" t="str">
            <v>teachers152</v>
          </cell>
          <cell r="C54">
            <v>31600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</row>
        <row r="55">
          <cell r="A55" t="str">
            <v>teachers153</v>
          </cell>
          <cell r="C55">
            <v>33500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</row>
        <row r="56">
          <cell r="A56" t="str">
            <v>teachers154</v>
          </cell>
          <cell r="C56">
            <v>37700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</row>
        <row r="57">
          <cell r="A57" t="str">
            <v>teachers155</v>
          </cell>
          <cell r="C57">
            <v>33500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</row>
        <row r="58">
          <cell r="A58" t="str">
            <v>teachers156</v>
          </cell>
          <cell r="C58">
            <v>33500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</row>
        <row r="59">
          <cell r="A59" t="str">
            <v>teachers157</v>
          </cell>
          <cell r="C59">
            <v>27000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</row>
        <row r="60">
          <cell r="A60" t="str">
            <v>teachers158</v>
          </cell>
          <cell r="C60">
            <v>34500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</row>
        <row r="61">
          <cell r="A61" t="str">
            <v>teachers159</v>
          </cell>
          <cell r="C61">
            <v>33500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</row>
        <row r="62">
          <cell r="A62" t="str">
            <v>teachers160</v>
          </cell>
          <cell r="C62">
            <v>33500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</row>
        <row r="63">
          <cell r="A63" t="str">
            <v>teachers161</v>
          </cell>
          <cell r="C63">
            <v>33500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</row>
        <row r="64">
          <cell r="A64" t="str">
            <v>teachers162</v>
          </cell>
          <cell r="C64">
            <v>31600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</row>
        <row r="65">
          <cell r="A65" t="str">
            <v>teachers398-7bc9c6b0</v>
          </cell>
          <cell r="C65">
            <v>30700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</row>
        <row r="66">
          <cell r="A66" t="str">
            <v>teachers163</v>
          </cell>
          <cell r="C66">
            <v>28900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</row>
        <row r="67">
          <cell r="A67" t="str">
            <v>teachers164</v>
          </cell>
          <cell r="C67">
            <v>51700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</row>
        <row r="68">
          <cell r="A68" t="str">
            <v>teachers165</v>
          </cell>
          <cell r="C68">
            <v>37700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</row>
        <row r="69">
          <cell r="A69" t="str">
            <v>teachers166</v>
          </cell>
          <cell r="C69">
            <v>51700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</row>
        <row r="70">
          <cell r="A70" t="str">
            <v>teachers167</v>
          </cell>
          <cell r="C70">
            <v>34500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</row>
        <row r="71">
          <cell r="A71" t="str">
            <v>teachers168</v>
          </cell>
          <cell r="C71">
            <v>33500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</row>
        <row r="72">
          <cell r="A72" t="str">
            <v>teachers169</v>
          </cell>
          <cell r="C72">
            <v>48700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</row>
        <row r="73">
          <cell r="A73" t="str">
            <v>teachers170</v>
          </cell>
          <cell r="C73">
            <v>47300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</row>
        <row r="74">
          <cell r="A74" t="str">
            <v>teachers390-79bf2ea7</v>
          </cell>
          <cell r="C74">
            <v>28900</v>
          </cell>
          <cell r="D74">
            <v>0</v>
          </cell>
          <cell r="G74">
            <v>500</v>
          </cell>
          <cell r="H74">
            <v>0</v>
          </cell>
          <cell r="I74">
            <v>0</v>
          </cell>
        </row>
        <row r="75">
          <cell r="A75" t="str">
            <v>teachers171</v>
          </cell>
          <cell r="C75">
            <v>33500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</row>
        <row r="76">
          <cell r="A76" t="str">
            <v>teachers172</v>
          </cell>
          <cell r="C76">
            <v>34500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</row>
        <row r="77">
          <cell r="A77" t="str">
            <v>teachers173</v>
          </cell>
          <cell r="C77">
            <v>27000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</row>
        <row r="78">
          <cell r="A78" t="str">
            <v>teachers174</v>
          </cell>
          <cell r="C78">
            <v>27000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</row>
        <row r="79">
          <cell r="A79" t="str">
            <v>teachers175</v>
          </cell>
          <cell r="C79">
            <v>28900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</row>
        <row r="80">
          <cell r="A80" t="str">
            <v>teachers176</v>
          </cell>
          <cell r="C80">
            <v>33500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</row>
        <row r="81">
          <cell r="A81" t="str">
            <v>teachers177</v>
          </cell>
          <cell r="C81">
            <v>33500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</row>
        <row r="82">
          <cell r="A82" t="str">
            <v>teachers178</v>
          </cell>
          <cell r="C82">
            <v>33500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</row>
        <row r="83">
          <cell r="A83" t="str">
            <v>teachers179</v>
          </cell>
          <cell r="C83">
            <v>29800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</row>
        <row r="84">
          <cell r="A84" t="str">
            <v>teachers180</v>
          </cell>
          <cell r="C84">
            <v>48700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</row>
        <row r="85">
          <cell r="A85" t="str">
            <v>teachers181</v>
          </cell>
          <cell r="C85">
            <v>34500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</row>
        <row r="86">
          <cell r="A86" t="str">
            <v>teachers182</v>
          </cell>
          <cell r="C86">
            <v>27000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</row>
        <row r="87">
          <cell r="A87" t="str">
            <v>teachers183</v>
          </cell>
          <cell r="C87">
            <v>55400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</row>
        <row r="88">
          <cell r="A88" t="str">
            <v>teachers184</v>
          </cell>
          <cell r="C88">
            <v>47300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</row>
        <row r="89">
          <cell r="A89" t="str">
            <v>teachers185</v>
          </cell>
          <cell r="C89">
            <v>35500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</row>
        <row r="90">
          <cell r="A90" t="str">
            <v>teachers186</v>
          </cell>
          <cell r="C90">
            <v>34500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</row>
        <row r="91">
          <cell r="A91" t="str">
            <v>teachers187</v>
          </cell>
          <cell r="C91">
            <v>28900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</row>
        <row r="92">
          <cell r="A92" t="str">
            <v>teachers188</v>
          </cell>
          <cell r="C92">
            <v>34500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</row>
        <row r="93">
          <cell r="A93" t="str">
            <v>teachers189</v>
          </cell>
          <cell r="C93">
            <v>25400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</row>
        <row r="94">
          <cell r="A94" t="str">
            <v>teachers385-d26e20d3</v>
          </cell>
          <cell r="C94">
            <v>28900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</row>
        <row r="95">
          <cell r="A95" t="str">
            <v>teachers190</v>
          </cell>
          <cell r="C95">
            <v>34500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</row>
        <row r="96">
          <cell r="A96" t="str">
            <v>teachers191</v>
          </cell>
          <cell r="C96">
            <v>34500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</row>
        <row r="97">
          <cell r="A97" t="str">
            <v>teachers192</v>
          </cell>
          <cell r="C97">
            <v>28600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</row>
        <row r="98">
          <cell r="A98" t="str">
            <v>teachers193</v>
          </cell>
          <cell r="C98">
            <v>33500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</row>
        <row r="99">
          <cell r="A99" t="str">
            <v>teachers194</v>
          </cell>
          <cell r="C99">
            <v>31600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</row>
        <row r="100">
          <cell r="A100" t="str">
            <v>teachers195</v>
          </cell>
          <cell r="C100">
            <v>48700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</row>
        <row r="101">
          <cell r="A101" t="str">
            <v>teachers196</v>
          </cell>
          <cell r="C101">
            <v>31600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</row>
        <row r="102">
          <cell r="A102" t="str">
            <v>teachers197</v>
          </cell>
          <cell r="C102">
            <v>25400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</row>
        <row r="103">
          <cell r="A103" t="str">
            <v>teachers198</v>
          </cell>
          <cell r="C103">
            <v>34500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</row>
        <row r="104">
          <cell r="A104" t="str">
            <v>teachers199</v>
          </cell>
          <cell r="C104">
            <v>34500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</row>
        <row r="105">
          <cell r="A105" t="str">
            <v>teachers200</v>
          </cell>
          <cell r="C105">
            <v>27000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</row>
        <row r="106">
          <cell r="A106" t="str">
            <v>teachers201</v>
          </cell>
          <cell r="C106">
            <v>28900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</row>
        <row r="107">
          <cell r="A107" t="str">
            <v>teachers202</v>
          </cell>
          <cell r="C107">
            <v>33500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</row>
        <row r="108">
          <cell r="A108" t="str">
            <v>teachers203</v>
          </cell>
          <cell r="C108">
            <v>33500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</row>
        <row r="109">
          <cell r="A109" t="str">
            <v>teachers204</v>
          </cell>
          <cell r="C109">
            <v>31600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</row>
        <row r="110">
          <cell r="A110" t="str">
            <v>teachers205</v>
          </cell>
          <cell r="C110">
            <v>51700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</row>
        <row r="111">
          <cell r="A111" t="str">
            <v>teachers206</v>
          </cell>
          <cell r="C111">
            <v>37700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</row>
        <row r="112">
          <cell r="A112" t="str">
            <v>teachers207</v>
          </cell>
          <cell r="C112">
            <v>31300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</row>
        <row r="113">
          <cell r="A113" t="str">
            <v>teachers208</v>
          </cell>
          <cell r="C113">
            <v>53400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</row>
        <row r="114">
          <cell r="A114" t="str">
            <v>teachers209</v>
          </cell>
          <cell r="C114">
            <v>33500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</row>
        <row r="115">
          <cell r="A115" t="str">
            <v>teachers210</v>
          </cell>
          <cell r="C115">
            <v>51700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</row>
        <row r="116">
          <cell r="A116" t="str">
            <v>teachers212</v>
          </cell>
          <cell r="C116">
            <v>47300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</row>
        <row r="117">
          <cell r="A117" t="str">
            <v>teachers213</v>
          </cell>
          <cell r="C117">
            <v>34500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</row>
        <row r="118">
          <cell r="A118" t="str">
            <v>teachers214</v>
          </cell>
          <cell r="C118">
            <v>34500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</row>
        <row r="119">
          <cell r="A119" t="str">
            <v>teachers215</v>
          </cell>
          <cell r="C119">
            <v>27000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</row>
        <row r="120">
          <cell r="A120" t="str">
            <v>teachers216</v>
          </cell>
          <cell r="C120">
            <v>31600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</row>
        <row r="121">
          <cell r="A121" t="str">
            <v>teachers217</v>
          </cell>
          <cell r="C121">
            <v>47300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</row>
        <row r="122">
          <cell r="A122" t="str">
            <v>teachers218</v>
          </cell>
          <cell r="C122">
            <v>31600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</row>
        <row r="123">
          <cell r="A123" t="str">
            <v>teachers219</v>
          </cell>
          <cell r="C123">
            <v>30700</v>
          </cell>
          <cell r="D123">
            <v>0</v>
          </cell>
          <cell r="G123">
            <v>500</v>
          </cell>
          <cell r="H123">
            <v>2000</v>
          </cell>
          <cell r="I123">
            <v>0</v>
          </cell>
        </row>
        <row r="124">
          <cell r="A124" t="str">
            <v>teachers220</v>
          </cell>
          <cell r="C124">
            <v>33500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</row>
        <row r="125">
          <cell r="A125" t="str">
            <v>teachers221</v>
          </cell>
          <cell r="C125">
            <v>27000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</row>
        <row r="126">
          <cell r="A126" t="str">
            <v>teachers222</v>
          </cell>
          <cell r="C126">
            <v>28900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</row>
        <row r="127">
          <cell r="A127" t="str">
            <v>teachers223</v>
          </cell>
          <cell r="C127">
            <v>51700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</row>
        <row r="128">
          <cell r="A128" t="str">
            <v>teachers224</v>
          </cell>
          <cell r="C128">
            <v>31600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</row>
        <row r="129">
          <cell r="A129" t="str">
            <v>teachers226</v>
          </cell>
          <cell r="C129">
            <v>33500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</row>
        <row r="130">
          <cell r="A130" t="str">
            <v>teachers227</v>
          </cell>
          <cell r="C130">
            <v>35500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</row>
        <row r="131">
          <cell r="A131" t="str">
            <v>teachers228</v>
          </cell>
          <cell r="C131">
            <v>27000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</row>
        <row r="132">
          <cell r="A132" t="str">
            <v>teachers229</v>
          </cell>
          <cell r="C132">
            <v>28900</v>
          </cell>
          <cell r="D132">
            <v>0</v>
          </cell>
          <cell r="G132">
            <v>500</v>
          </cell>
          <cell r="H132">
            <v>2000</v>
          </cell>
          <cell r="I132">
            <v>0</v>
          </cell>
        </row>
        <row r="133">
          <cell r="A133" t="str">
            <v>teachers230</v>
          </cell>
          <cell r="C133">
            <v>47300</v>
          </cell>
          <cell r="D133">
            <v>400</v>
          </cell>
          <cell r="G133">
            <v>500</v>
          </cell>
          <cell r="H133">
            <v>5000</v>
          </cell>
          <cell r="I133">
            <v>60</v>
          </cell>
        </row>
        <row r="134">
          <cell r="A134" t="str">
            <v>teachers231</v>
          </cell>
          <cell r="C134">
            <v>34500</v>
          </cell>
          <cell r="D134">
            <v>0</v>
          </cell>
          <cell r="G134">
            <v>500</v>
          </cell>
          <cell r="H134">
            <v>3000</v>
          </cell>
          <cell r="I134">
            <v>0</v>
          </cell>
        </row>
        <row r="135">
          <cell r="A135" t="str">
            <v>teachers232</v>
          </cell>
          <cell r="C135">
            <v>33500</v>
          </cell>
          <cell r="D135">
            <v>0</v>
          </cell>
          <cell r="G135">
            <v>0</v>
          </cell>
          <cell r="H135">
            <v>3000</v>
          </cell>
          <cell r="I135">
            <v>0</v>
          </cell>
        </row>
        <row r="136">
          <cell r="A136" t="str">
            <v>teachers233</v>
          </cell>
          <cell r="C136">
            <v>28900</v>
          </cell>
          <cell r="D136">
            <v>0</v>
          </cell>
          <cell r="G136">
            <v>500</v>
          </cell>
          <cell r="H136">
            <v>4000</v>
          </cell>
          <cell r="I136">
            <v>0</v>
          </cell>
        </row>
        <row r="137">
          <cell r="A137" t="str">
            <v>teachers391-12274feb</v>
          </cell>
          <cell r="C137">
            <v>28900</v>
          </cell>
          <cell r="D137">
            <v>0</v>
          </cell>
          <cell r="G137">
            <v>0</v>
          </cell>
          <cell r="H137">
            <v>0</v>
          </cell>
          <cell r="I137">
            <v>0</v>
          </cell>
        </row>
        <row r="138">
          <cell r="A138" t="str">
            <v>teachers234</v>
          </cell>
          <cell r="C138">
            <v>34500</v>
          </cell>
          <cell r="D138">
            <v>400</v>
          </cell>
          <cell r="G138">
            <v>500</v>
          </cell>
          <cell r="H138">
            <v>7000</v>
          </cell>
          <cell r="I138">
            <v>0</v>
          </cell>
        </row>
        <row r="139">
          <cell r="A139" t="str">
            <v>teachers235</v>
          </cell>
          <cell r="C139">
            <v>30700</v>
          </cell>
          <cell r="D139">
            <v>0</v>
          </cell>
          <cell r="G139">
            <v>500</v>
          </cell>
          <cell r="H139">
            <v>4000</v>
          </cell>
          <cell r="I139">
            <v>0</v>
          </cell>
        </row>
        <row r="140">
          <cell r="A140" t="str">
            <v>teachers236</v>
          </cell>
          <cell r="C140">
            <v>28900</v>
          </cell>
          <cell r="D140">
            <v>0</v>
          </cell>
          <cell r="G140">
            <v>0</v>
          </cell>
          <cell r="H140">
            <v>2000</v>
          </cell>
          <cell r="I140">
            <v>0</v>
          </cell>
        </row>
        <row r="141">
          <cell r="A141" t="str">
            <v>teachers237</v>
          </cell>
          <cell r="C141">
            <v>48700</v>
          </cell>
          <cell r="D141">
            <v>400</v>
          </cell>
          <cell r="G141">
            <v>500</v>
          </cell>
          <cell r="H141">
            <v>7000</v>
          </cell>
          <cell r="I141">
            <v>0</v>
          </cell>
        </row>
        <row r="142">
          <cell r="A142" t="str">
            <v>teachers238</v>
          </cell>
          <cell r="C142">
            <v>37700</v>
          </cell>
          <cell r="D142">
            <v>0</v>
          </cell>
          <cell r="G142">
            <v>0</v>
          </cell>
          <cell r="H142">
            <v>2500</v>
          </cell>
          <cell r="I142">
            <v>0</v>
          </cell>
        </row>
        <row r="143">
          <cell r="A143" t="str">
            <v>teachers239</v>
          </cell>
          <cell r="C143">
            <v>37700</v>
          </cell>
          <cell r="D143">
            <v>0</v>
          </cell>
          <cell r="G143">
            <v>500</v>
          </cell>
          <cell r="H143">
            <v>2500</v>
          </cell>
          <cell r="I143">
            <v>0</v>
          </cell>
        </row>
        <row r="144">
          <cell r="A144" t="str">
            <v>teachers240</v>
          </cell>
          <cell r="C144">
            <v>47300</v>
          </cell>
          <cell r="D144">
            <v>400</v>
          </cell>
          <cell r="G144">
            <v>0</v>
          </cell>
          <cell r="H144">
            <v>3000</v>
          </cell>
          <cell r="I144">
            <v>60</v>
          </cell>
        </row>
        <row r="145">
          <cell r="A145" t="str">
            <v>teachers241</v>
          </cell>
          <cell r="C145">
            <v>27000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</row>
        <row r="146">
          <cell r="A146" t="str">
            <v>teachers242</v>
          </cell>
          <cell r="C146">
            <v>27000</v>
          </cell>
          <cell r="D146">
            <v>0</v>
          </cell>
          <cell r="G146">
            <v>500</v>
          </cell>
          <cell r="H146">
            <v>2000</v>
          </cell>
          <cell r="I146">
            <v>0</v>
          </cell>
        </row>
        <row r="147">
          <cell r="A147" t="str">
            <v>teachers392-5190daaf</v>
          </cell>
          <cell r="C147">
            <v>28900</v>
          </cell>
          <cell r="D147">
            <v>0</v>
          </cell>
          <cell r="G147">
            <v>0</v>
          </cell>
          <cell r="H147">
            <v>0</v>
          </cell>
          <cell r="I147">
            <v>0</v>
          </cell>
        </row>
        <row r="148">
          <cell r="A148" t="str">
            <v>teachers243</v>
          </cell>
          <cell r="C148">
            <v>48700</v>
          </cell>
          <cell r="D148">
            <v>400</v>
          </cell>
          <cell r="G148">
            <v>500</v>
          </cell>
          <cell r="H148">
            <v>8000</v>
          </cell>
          <cell r="I148">
            <v>0</v>
          </cell>
        </row>
        <row r="149">
          <cell r="A149" t="str">
            <v>teachers244</v>
          </cell>
          <cell r="C149">
            <v>47300</v>
          </cell>
          <cell r="D149">
            <v>0</v>
          </cell>
          <cell r="G149">
            <v>0</v>
          </cell>
          <cell r="H149">
            <v>9000</v>
          </cell>
          <cell r="I149">
            <v>0</v>
          </cell>
        </row>
        <row r="150">
          <cell r="A150" t="str">
            <v>teachers245</v>
          </cell>
          <cell r="C150">
            <v>37700</v>
          </cell>
          <cell r="D150">
            <v>0</v>
          </cell>
          <cell r="G150">
            <v>0</v>
          </cell>
          <cell r="H150">
            <v>3000</v>
          </cell>
          <cell r="I150">
            <v>0</v>
          </cell>
        </row>
        <row r="151">
          <cell r="A151" t="str">
            <v>teachers246</v>
          </cell>
          <cell r="C151">
            <v>33500</v>
          </cell>
          <cell r="D151">
            <v>0</v>
          </cell>
          <cell r="G151">
            <v>500</v>
          </cell>
          <cell r="H151">
            <v>3000</v>
          </cell>
          <cell r="I151">
            <v>0</v>
          </cell>
        </row>
        <row r="152">
          <cell r="A152" t="str">
            <v>teachers247</v>
          </cell>
          <cell r="C152">
            <v>47300</v>
          </cell>
          <cell r="D152">
            <v>400</v>
          </cell>
          <cell r="G152">
            <v>500</v>
          </cell>
          <cell r="H152">
            <v>8000</v>
          </cell>
          <cell r="I152">
            <v>60</v>
          </cell>
        </row>
        <row r="153">
          <cell r="A153" t="str">
            <v>teachers248</v>
          </cell>
          <cell r="C153">
            <v>34500</v>
          </cell>
          <cell r="D153">
            <v>0</v>
          </cell>
          <cell r="G153">
            <v>500</v>
          </cell>
          <cell r="H153">
            <v>5000</v>
          </cell>
          <cell r="I153">
            <v>0</v>
          </cell>
        </row>
        <row r="154">
          <cell r="A154" t="str">
            <v>teachers249</v>
          </cell>
          <cell r="C154">
            <v>34500</v>
          </cell>
          <cell r="D154">
            <v>0</v>
          </cell>
          <cell r="G154">
            <v>0</v>
          </cell>
          <cell r="H154">
            <v>6000</v>
          </cell>
          <cell r="I154">
            <v>0</v>
          </cell>
        </row>
        <row r="155">
          <cell r="A155" t="str">
            <v>teachers250</v>
          </cell>
          <cell r="C155">
            <v>28900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</row>
        <row r="156">
          <cell r="A156" t="str">
            <v>teachers393-b8f65964</v>
          </cell>
          <cell r="C156">
            <v>28900</v>
          </cell>
          <cell r="D156">
            <v>0</v>
          </cell>
          <cell r="G156">
            <v>500</v>
          </cell>
          <cell r="H156">
            <v>0</v>
          </cell>
          <cell r="I156">
            <v>0</v>
          </cell>
        </row>
        <row r="157">
          <cell r="A157" t="str">
            <v>teachers251</v>
          </cell>
          <cell r="C157">
            <v>51700</v>
          </cell>
          <cell r="D157">
            <v>400</v>
          </cell>
          <cell r="G157">
            <v>500</v>
          </cell>
          <cell r="H157">
            <v>6000</v>
          </cell>
          <cell r="I157">
            <v>60</v>
          </cell>
        </row>
        <row r="158">
          <cell r="A158" t="str">
            <v>teachers254</v>
          </cell>
          <cell r="C158">
            <v>34500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</row>
        <row r="159">
          <cell r="A159" t="str">
            <v>teachers253</v>
          </cell>
          <cell r="C159">
            <v>34500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</row>
        <row r="160">
          <cell r="A160" t="str">
            <v>teachers252</v>
          </cell>
          <cell r="C160">
            <v>34500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</row>
        <row r="161">
          <cell r="A161" t="str">
            <v>teachers256</v>
          </cell>
          <cell r="C161">
            <v>34500</v>
          </cell>
          <cell r="D161">
            <v>0</v>
          </cell>
          <cell r="G161">
            <v>500</v>
          </cell>
          <cell r="H161">
            <v>4000</v>
          </cell>
          <cell r="I161">
            <v>0</v>
          </cell>
        </row>
        <row r="162">
          <cell r="A162" t="str">
            <v>teachers255</v>
          </cell>
          <cell r="C162">
            <v>33500</v>
          </cell>
          <cell r="D162">
            <v>0</v>
          </cell>
          <cell r="G162">
            <v>500</v>
          </cell>
          <cell r="H162">
            <v>3000</v>
          </cell>
          <cell r="I162">
            <v>0</v>
          </cell>
        </row>
        <row r="163">
          <cell r="A163" t="str">
            <v>teachers257</v>
          </cell>
          <cell r="C163">
            <v>47300</v>
          </cell>
          <cell r="D163">
            <v>400</v>
          </cell>
          <cell r="G163">
            <v>0</v>
          </cell>
          <cell r="H163">
            <v>3000</v>
          </cell>
          <cell r="I163">
            <v>0</v>
          </cell>
        </row>
        <row r="164">
          <cell r="A164" t="str">
            <v>teachers258</v>
          </cell>
          <cell r="C164">
            <v>34500</v>
          </cell>
          <cell r="D164">
            <v>0</v>
          </cell>
          <cell r="G164">
            <v>0</v>
          </cell>
          <cell r="H164">
            <v>3000</v>
          </cell>
          <cell r="I164">
            <v>0</v>
          </cell>
        </row>
        <row r="165">
          <cell r="A165" t="str">
            <v>teachers259</v>
          </cell>
          <cell r="C165">
            <v>34500</v>
          </cell>
          <cell r="D165">
            <v>0</v>
          </cell>
          <cell r="G165">
            <v>500</v>
          </cell>
          <cell r="H165">
            <v>3000</v>
          </cell>
          <cell r="I165">
            <v>0</v>
          </cell>
        </row>
        <row r="166">
          <cell r="A166" t="str">
            <v>teachers260</v>
          </cell>
          <cell r="C166">
            <v>27000</v>
          </cell>
          <cell r="D166">
            <v>0</v>
          </cell>
          <cell r="G166">
            <v>500</v>
          </cell>
          <cell r="H166">
            <v>2000</v>
          </cell>
          <cell r="I166">
            <v>0</v>
          </cell>
        </row>
        <row r="167">
          <cell r="A167" t="str">
            <v>teachers261</v>
          </cell>
          <cell r="C167">
            <v>31600</v>
          </cell>
          <cell r="D167">
            <v>0</v>
          </cell>
          <cell r="G167">
            <v>500</v>
          </cell>
          <cell r="H167">
            <v>2000</v>
          </cell>
          <cell r="I167">
            <v>0</v>
          </cell>
        </row>
        <row r="168">
          <cell r="A168" t="str">
            <v>teachers262</v>
          </cell>
          <cell r="C168">
            <v>34500</v>
          </cell>
          <cell r="D168">
            <v>0</v>
          </cell>
          <cell r="G168">
            <v>0</v>
          </cell>
          <cell r="H168">
            <v>3000</v>
          </cell>
          <cell r="I168">
            <v>0</v>
          </cell>
        </row>
        <row r="169">
          <cell r="A169" t="str">
            <v>teachers263</v>
          </cell>
          <cell r="C169">
            <v>33500</v>
          </cell>
          <cell r="D169">
            <v>400</v>
          </cell>
          <cell r="G169">
            <v>500</v>
          </cell>
          <cell r="H169">
            <v>2500</v>
          </cell>
          <cell r="I169">
            <v>0</v>
          </cell>
        </row>
        <row r="170">
          <cell r="A170" t="str">
            <v>teachers264</v>
          </cell>
          <cell r="C170">
            <v>50200</v>
          </cell>
          <cell r="D170">
            <v>0</v>
          </cell>
          <cell r="G170">
            <v>500</v>
          </cell>
          <cell r="H170">
            <v>15000</v>
          </cell>
          <cell r="I170">
            <v>0</v>
          </cell>
        </row>
        <row r="171">
          <cell r="A171" t="str">
            <v>teachers265</v>
          </cell>
          <cell r="C171">
            <v>33500</v>
          </cell>
          <cell r="D171">
            <v>0</v>
          </cell>
          <cell r="G171">
            <v>500</v>
          </cell>
          <cell r="H171">
            <v>2500</v>
          </cell>
          <cell r="I171">
            <v>0</v>
          </cell>
        </row>
        <row r="172">
          <cell r="A172" t="str">
            <v>teachers266</v>
          </cell>
          <cell r="C172">
            <v>33500</v>
          </cell>
          <cell r="D172">
            <v>0</v>
          </cell>
          <cell r="G172">
            <v>500</v>
          </cell>
          <cell r="H172">
            <v>2500</v>
          </cell>
          <cell r="I172">
            <v>0</v>
          </cell>
        </row>
        <row r="173">
          <cell r="A173" t="str">
            <v>teachers267</v>
          </cell>
          <cell r="C173">
            <v>33500</v>
          </cell>
          <cell r="D173">
            <v>400</v>
          </cell>
          <cell r="G173">
            <v>500</v>
          </cell>
          <cell r="H173">
            <v>3000</v>
          </cell>
          <cell r="I173">
            <v>0</v>
          </cell>
        </row>
        <row r="174">
          <cell r="A174" t="str">
            <v>teachers268</v>
          </cell>
          <cell r="C174">
            <v>34500</v>
          </cell>
          <cell r="D174">
            <v>0</v>
          </cell>
          <cell r="G174">
            <v>500</v>
          </cell>
          <cell r="H174">
            <v>3000</v>
          </cell>
          <cell r="I174">
            <v>0</v>
          </cell>
        </row>
        <row r="175">
          <cell r="A175" t="str">
            <v>teachers269</v>
          </cell>
          <cell r="C175">
            <v>33500</v>
          </cell>
          <cell r="D175">
            <v>0</v>
          </cell>
          <cell r="G175">
            <v>500</v>
          </cell>
          <cell r="H175">
            <v>3000</v>
          </cell>
          <cell r="I175">
            <v>0</v>
          </cell>
        </row>
        <row r="176">
          <cell r="A176" t="str">
            <v>teachers270</v>
          </cell>
          <cell r="C176">
            <v>37700</v>
          </cell>
          <cell r="D176">
            <v>0</v>
          </cell>
          <cell r="G176">
            <v>500</v>
          </cell>
          <cell r="H176">
            <v>7000</v>
          </cell>
          <cell r="I176">
            <v>0</v>
          </cell>
        </row>
        <row r="177">
          <cell r="A177" t="str">
            <v>teachers271</v>
          </cell>
          <cell r="C177">
            <v>25400</v>
          </cell>
          <cell r="D177">
            <v>0</v>
          </cell>
          <cell r="G177">
            <v>500</v>
          </cell>
          <cell r="H177">
            <v>2000</v>
          </cell>
          <cell r="I177">
            <v>0</v>
          </cell>
        </row>
        <row r="178">
          <cell r="A178" t="str">
            <v>teachers272</v>
          </cell>
          <cell r="C178">
            <v>28900</v>
          </cell>
          <cell r="D178">
            <v>0</v>
          </cell>
          <cell r="G178">
            <v>500</v>
          </cell>
          <cell r="H178">
            <v>2000</v>
          </cell>
          <cell r="I178">
            <v>0</v>
          </cell>
        </row>
        <row r="179">
          <cell r="A179" t="str">
            <v>teachers273</v>
          </cell>
          <cell r="C179">
            <v>51700</v>
          </cell>
          <cell r="D179">
            <v>400</v>
          </cell>
          <cell r="G179">
            <v>500</v>
          </cell>
          <cell r="H179">
            <v>3500</v>
          </cell>
          <cell r="I179">
            <v>0</v>
          </cell>
        </row>
        <row r="180">
          <cell r="A180" t="str">
            <v>teachers274</v>
          </cell>
          <cell r="C180">
            <v>47300</v>
          </cell>
          <cell r="D180">
            <v>0</v>
          </cell>
          <cell r="G180">
            <v>0</v>
          </cell>
          <cell r="H180">
            <v>3000</v>
          </cell>
          <cell r="I180">
            <v>0</v>
          </cell>
        </row>
        <row r="181">
          <cell r="A181" t="str">
            <v>teachers275</v>
          </cell>
          <cell r="C181">
            <v>47300</v>
          </cell>
          <cell r="D181">
            <v>0</v>
          </cell>
          <cell r="G181">
            <v>500</v>
          </cell>
          <cell r="H181">
            <v>3000</v>
          </cell>
          <cell r="I181">
            <v>0</v>
          </cell>
        </row>
        <row r="182">
          <cell r="A182" t="str">
            <v>teachers276</v>
          </cell>
          <cell r="C182">
            <v>34500</v>
          </cell>
          <cell r="D182">
            <v>0</v>
          </cell>
          <cell r="G182">
            <v>500</v>
          </cell>
          <cell r="H182">
            <v>2500</v>
          </cell>
          <cell r="I182">
            <v>0</v>
          </cell>
        </row>
        <row r="183">
          <cell r="A183" t="str">
            <v>teachers277</v>
          </cell>
          <cell r="C183">
            <v>33500</v>
          </cell>
          <cell r="D183">
            <v>0</v>
          </cell>
          <cell r="G183">
            <v>0</v>
          </cell>
          <cell r="H183">
            <v>2500</v>
          </cell>
          <cell r="I183">
            <v>0</v>
          </cell>
        </row>
        <row r="184">
          <cell r="A184" t="str">
            <v>teachers278</v>
          </cell>
          <cell r="C184">
            <v>28900</v>
          </cell>
          <cell r="D184">
            <v>0</v>
          </cell>
          <cell r="G184">
            <v>500</v>
          </cell>
          <cell r="H184">
            <v>2000</v>
          </cell>
          <cell r="I184">
            <v>0</v>
          </cell>
        </row>
        <row r="185">
          <cell r="A185" t="str">
            <v>teachers396-680da03e</v>
          </cell>
          <cell r="C185">
            <v>24700</v>
          </cell>
          <cell r="D185">
            <v>0</v>
          </cell>
          <cell r="G185">
            <v>500</v>
          </cell>
          <cell r="H185">
            <v>0</v>
          </cell>
          <cell r="I185">
            <v>0</v>
          </cell>
        </row>
        <row r="186">
          <cell r="A186" t="str">
            <v>teachers279</v>
          </cell>
          <cell r="C186">
            <v>47300</v>
          </cell>
          <cell r="D186">
            <v>400</v>
          </cell>
          <cell r="G186">
            <v>0</v>
          </cell>
          <cell r="H186">
            <v>4000</v>
          </cell>
          <cell r="I186">
            <v>0</v>
          </cell>
        </row>
        <row r="187">
          <cell r="A187" t="str">
            <v>teachers280</v>
          </cell>
          <cell r="C187">
            <v>33500</v>
          </cell>
          <cell r="D187">
            <v>0</v>
          </cell>
          <cell r="G187">
            <v>500</v>
          </cell>
          <cell r="H187">
            <v>3000</v>
          </cell>
          <cell r="I187">
            <v>0</v>
          </cell>
        </row>
        <row r="188">
          <cell r="A188" t="str">
            <v>teachers281</v>
          </cell>
          <cell r="C188">
            <v>28600</v>
          </cell>
          <cell r="D188">
            <v>0</v>
          </cell>
          <cell r="G188">
            <v>0</v>
          </cell>
          <cell r="H188">
            <v>5000</v>
          </cell>
          <cell r="I188">
            <v>0</v>
          </cell>
        </row>
        <row r="189">
          <cell r="A189" t="str">
            <v>teachers282</v>
          </cell>
          <cell r="C189">
            <v>58800</v>
          </cell>
          <cell r="D189">
            <v>400</v>
          </cell>
          <cell r="G189">
            <v>500</v>
          </cell>
          <cell r="H189">
            <v>13000</v>
          </cell>
          <cell r="I189">
            <v>0</v>
          </cell>
        </row>
        <row r="190">
          <cell r="A190" t="str">
            <v>teachers283</v>
          </cell>
          <cell r="C190">
            <v>34500</v>
          </cell>
          <cell r="D190">
            <v>0</v>
          </cell>
          <cell r="G190">
            <v>500</v>
          </cell>
          <cell r="H190">
            <v>5500</v>
          </cell>
          <cell r="I190">
            <v>0</v>
          </cell>
        </row>
        <row r="191">
          <cell r="A191" t="str">
            <v>teachers284</v>
          </cell>
          <cell r="C191">
            <v>50200</v>
          </cell>
          <cell r="D191">
            <v>0</v>
          </cell>
          <cell r="G191">
            <v>500</v>
          </cell>
          <cell r="H191">
            <v>5000</v>
          </cell>
          <cell r="I191">
            <v>0</v>
          </cell>
        </row>
        <row r="192">
          <cell r="A192" t="str">
            <v>teachers285</v>
          </cell>
          <cell r="C192">
            <v>33500</v>
          </cell>
          <cell r="D192">
            <v>0</v>
          </cell>
          <cell r="G192">
            <v>500</v>
          </cell>
          <cell r="H192">
            <v>5000</v>
          </cell>
          <cell r="I192">
            <v>0</v>
          </cell>
        </row>
        <row r="193">
          <cell r="A193" t="str">
            <v>teachers286</v>
          </cell>
          <cell r="C193">
            <v>33500</v>
          </cell>
          <cell r="D193">
            <v>0</v>
          </cell>
          <cell r="G193">
            <v>500</v>
          </cell>
          <cell r="H193">
            <v>2500</v>
          </cell>
          <cell r="I193">
            <v>0</v>
          </cell>
        </row>
        <row r="194">
          <cell r="A194" t="str">
            <v>teachers287</v>
          </cell>
          <cell r="C194">
            <v>33500</v>
          </cell>
          <cell r="D194">
            <v>0</v>
          </cell>
          <cell r="G194">
            <v>500</v>
          </cell>
          <cell r="H194">
            <v>3000</v>
          </cell>
          <cell r="I194">
            <v>0</v>
          </cell>
        </row>
        <row r="195">
          <cell r="A195" t="str">
            <v>teachers288</v>
          </cell>
          <cell r="C195">
            <v>37700</v>
          </cell>
          <cell r="D195">
            <v>0</v>
          </cell>
          <cell r="G195">
            <v>500</v>
          </cell>
          <cell r="H195">
            <v>5000</v>
          </cell>
          <cell r="I195">
            <v>0</v>
          </cell>
        </row>
        <row r="196">
          <cell r="A196" t="str">
            <v>teachers289</v>
          </cell>
          <cell r="C196">
            <v>28900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</row>
        <row r="197">
          <cell r="A197" t="str">
            <v>teachers290</v>
          </cell>
          <cell r="C197">
            <v>33500</v>
          </cell>
          <cell r="D197">
            <v>400</v>
          </cell>
          <cell r="G197">
            <v>500</v>
          </cell>
          <cell r="H197">
            <v>3000</v>
          </cell>
          <cell r="I197">
            <v>0</v>
          </cell>
        </row>
        <row r="198">
          <cell r="A198" t="str">
            <v>teachers291</v>
          </cell>
          <cell r="C198">
            <v>27000</v>
          </cell>
          <cell r="D198">
            <v>0</v>
          </cell>
          <cell r="G198">
            <v>500</v>
          </cell>
          <cell r="H198">
            <v>2000</v>
          </cell>
          <cell r="I198">
            <v>0</v>
          </cell>
        </row>
        <row r="199">
          <cell r="A199" t="str">
            <v>teachers292</v>
          </cell>
          <cell r="C199">
            <v>51700</v>
          </cell>
          <cell r="D199">
            <v>400</v>
          </cell>
          <cell r="G199">
            <v>500</v>
          </cell>
          <cell r="H199">
            <v>10000</v>
          </cell>
          <cell r="I199">
            <v>0</v>
          </cell>
        </row>
        <row r="200">
          <cell r="A200" t="str">
            <v>teachers293</v>
          </cell>
          <cell r="C200">
            <v>47300</v>
          </cell>
          <cell r="D200">
            <v>0</v>
          </cell>
          <cell r="G200">
            <v>500</v>
          </cell>
          <cell r="H200">
            <v>5000</v>
          </cell>
          <cell r="I200">
            <v>0</v>
          </cell>
        </row>
        <row r="201">
          <cell r="A201" t="str">
            <v>teachers294</v>
          </cell>
          <cell r="C201">
            <v>33500</v>
          </cell>
          <cell r="D201">
            <v>0</v>
          </cell>
          <cell r="G201">
            <v>500</v>
          </cell>
          <cell r="H201">
            <v>3000</v>
          </cell>
          <cell r="I201">
            <v>0</v>
          </cell>
        </row>
        <row r="202">
          <cell r="A202" t="str">
            <v>teachers295</v>
          </cell>
          <cell r="C202">
            <v>31600</v>
          </cell>
          <cell r="D202">
            <v>0</v>
          </cell>
          <cell r="G202">
            <v>500</v>
          </cell>
          <cell r="H202">
            <v>2000</v>
          </cell>
          <cell r="I202">
            <v>0</v>
          </cell>
        </row>
        <row r="203">
          <cell r="A203" t="str">
            <v>teachers296</v>
          </cell>
          <cell r="C203">
            <v>47300</v>
          </cell>
          <cell r="D203">
            <v>400</v>
          </cell>
          <cell r="G203">
            <v>500</v>
          </cell>
          <cell r="H203">
            <v>5000</v>
          </cell>
          <cell r="I203">
            <v>0</v>
          </cell>
        </row>
        <row r="204">
          <cell r="A204" t="str">
            <v>teachers297</v>
          </cell>
          <cell r="C204">
            <v>47300</v>
          </cell>
          <cell r="D204">
            <v>0</v>
          </cell>
          <cell r="G204">
            <v>500</v>
          </cell>
          <cell r="H204">
            <v>6000</v>
          </cell>
          <cell r="I204">
            <v>0</v>
          </cell>
        </row>
        <row r="205">
          <cell r="A205" t="str">
            <v>teachers298</v>
          </cell>
          <cell r="C205">
            <v>31600</v>
          </cell>
          <cell r="D205">
            <v>0</v>
          </cell>
          <cell r="G205">
            <v>500</v>
          </cell>
          <cell r="H205">
            <v>2000</v>
          </cell>
          <cell r="I205">
            <v>0</v>
          </cell>
        </row>
        <row r="206">
          <cell r="A206" t="str">
            <v>teachers299</v>
          </cell>
          <cell r="C206">
            <v>48700</v>
          </cell>
          <cell r="D206">
            <v>400</v>
          </cell>
          <cell r="G206">
            <v>500</v>
          </cell>
          <cell r="H206">
            <v>4000</v>
          </cell>
          <cell r="I206">
            <v>60</v>
          </cell>
        </row>
        <row r="207">
          <cell r="A207" t="str">
            <v>teachers300</v>
          </cell>
          <cell r="C207">
            <v>34500</v>
          </cell>
          <cell r="D207">
            <v>0</v>
          </cell>
          <cell r="G207">
            <v>500</v>
          </cell>
          <cell r="H207">
            <v>2500</v>
          </cell>
          <cell r="I207">
            <v>0</v>
          </cell>
        </row>
        <row r="208">
          <cell r="A208" t="str">
            <v>teachers301</v>
          </cell>
          <cell r="C208">
            <v>34500</v>
          </cell>
          <cell r="D208">
            <v>0</v>
          </cell>
          <cell r="G208">
            <v>500</v>
          </cell>
          <cell r="H208">
            <v>2500</v>
          </cell>
          <cell r="I208">
            <v>0</v>
          </cell>
        </row>
        <row r="209">
          <cell r="A209" t="str">
            <v>teachers302</v>
          </cell>
          <cell r="C209">
            <v>33500</v>
          </cell>
          <cell r="D209">
            <v>0</v>
          </cell>
          <cell r="G209">
            <v>0</v>
          </cell>
          <cell r="H209">
            <v>2500</v>
          </cell>
          <cell r="I209">
            <v>0</v>
          </cell>
        </row>
        <row r="210">
          <cell r="A210" t="str">
            <v>teachers303</v>
          </cell>
          <cell r="C210">
            <v>33500</v>
          </cell>
          <cell r="D210">
            <v>0</v>
          </cell>
          <cell r="G210">
            <v>500</v>
          </cell>
          <cell r="H210">
            <v>4000</v>
          </cell>
          <cell r="I210">
            <v>0</v>
          </cell>
        </row>
        <row r="211">
          <cell r="A211" t="str">
            <v>teachers387-8a82d5ab</v>
          </cell>
          <cell r="C211">
            <v>24700</v>
          </cell>
          <cell r="D211">
            <v>0</v>
          </cell>
          <cell r="G211">
            <v>500</v>
          </cell>
          <cell r="H211">
            <v>0</v>
          </cell>
          <cell r="I211">
            <v>0</v>
          </cell>
        </row>
        <row r="212">
          <cell r="A212" t="str">
            <v>teachers304</v>
          </cell>
          <cell r="C212">
            <v>51700</v>
          </cell>
          <cell r="D212">
            <v>400</v>
          </cell>
          <cell r="G212">
            <v>500</v>
          </cell>
          <cell r="H212">
            <v>10000</v>
          </cell>
          <cell r="I212">
            <v>0</v>
          </cell>
        </row>
        <row r="213">
          <cell r="A213" t="str">
            <v>teachers305</v>
          </cell>
          <cell r="C213">
            <v>47300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</row>
        <row r="214">
          <cell r="A214" t="str">
            <v>teachers306</v>
          </cell>
          <cell r="C214">
            <v>50200</v>
          </cell>
          <cell r="D214">
            <v>0</v>
          </cell>
          <cell r="G214">
            <v>0</v>
          </cell>
          <cell r="H214">
            <v>4000</v>
          </cell>
          <cell r="I214">
            <v>60</v>
          </cell>
        </row>
        <row r="215">
          <cell r="A215" t="str">
            <v>teachers307</v>
          </cell>
          <cell r="C215">
            <v>33500</v>
          </cell>
          <cell r="D215">
            <v>0</v>
          </cell>
          <cell r="G215">
            <v>0</v>
          </cell>
          <cell r="H215">
            <v>5000</v>
          </cell>
          <cell r="I215">
            <v>0</v>
          </cell>
        </row>
        <row r="216">
          <cell r="A216" t="str">
            <v>teachers308</v>
          </cell>
          <cell r="C216">
            <v>49200</v>
          </cell>
          <cell r="D216">
            <v>0</v>
          </cell>
          <cell r="G216">
            <v>500</v>
          </cell>
          <cell r="H216">
            <v>10000</v>
          </cell>
          <cell r="I216">
            <v>0</v>
          </cell>
        </row>
        <row r="217">
          <cell r="A217" t="str">
            <v>teachers309</v>
          </cell>
          <cell r="C217">
            <v>50200</v>
          </cell>
          <cell r="D217">
            <v>400</v>
          </cell>
          <cell r="G217">
            <v>500</v>
          </cell>
          <cell r="H217">
            <v>5000</v>
          </cell>
          <cell r="I217">
            <v>0</v>
          </cell>
        </row>
        <row r="218">
          <cell r="A218" t="str">
            <v>teachers310</v>
          </cell>
          <cell r="C218">
            <v>34500</v>
          </cell>
          <cell r="D218">
            <v>0</v>
          </cell>
          <cell r="G218">
            <v>500</v>
          </cell>
          <cell r="H218">
            <v>5000</v>
          </cell>
          <cell r="I218">
            <v>0</v>
          </cell>
        </row>
        <row r="219">
          <cell r="A219" t="str">
            <v>teachers311</v>
          </cell>
          <cell r="C219">
            <v>28900</v>
          </cell>
          <cell r="D219">
            <v>0</v>
          </cell>
          <cell r="G219">
            <v>500</v>
          </cell>
          <cell r="H219">
            <v>2000</v>
          </cell>
          <cell r="I219">
            <v>0</v>
          </cell>
        </row>
        <row r="220">
          <cell r="A220" t="str">
            <v>teachers312</v>
          </cell>
          <cell r="C220">
            <v>35500</v>
          </cell>
          <cell r="D220">
            <v>400</v>
          </cell>
          <cell r="G220">
            <v>0</v>
          </cell>
          <cell r="H220">
            <v>5000</v>
          </cell>
          <cell r="I220">
            <v>0</v>
          </cell>
        </row>
        <row r="221">
          <cell r="A221" t="str">
            <v>teachers313</v>
          </cell>
          <cell r="C221">
            <v>33500</v>
          </cell>
          <cell r="D221">
            <v>0</v>
          </cell>
          <cell r="G221">
            <v>500</v>
          </cell>
          <cell r="H221">
            <v>3000</v>
          </cell>
          <cell r="I221">
            <v>0</v>
          </cell>
        </row>
        <row r="222">
          <cell r="A222" t="str">
            <v>teachers314</v>
          </cell>
          <cell r="C222">
            <v>31600</v>
          </cell>
          <cell r="D222">
            <v>0</v>
          </cell>
          <cell r="G222">
            <v>500</v>
          </cell>
          <cell r="H222">
            <v>2000</v>
          </cell>
          <cell r="I222">
            <v>0</v>
          </cell>
        </row>
        <row r="223">
          <cell r="A223" t="str">
            <v>teachers315</v>
          </cell>
          <cell r="C223">
            <v>34500</v>
          </cell>
          <cell r="D223">
            <v>400</v>
          </cell>
          <cell r="G223">
            <v>500</v>
          </cell>
          <cell r="H223">
            <v>3000</v>
          </cell>
          <cell r="I223">
            <v>0</v>
          </cell>
        </row>
        <row r="224">
          <cell r="A224" t="str">
            <v>teachers316</v>
          </cell>
          <cell r="C224">
            <v>34500</v>
          </cell>
          <cell r="D224">
            <v>0</v>
          </cell>
          <cell r="G224">
            <v>500</v>
          </cell>
          <cell r="H224">
            <v>3000</v>
          </cell>
          <cell r="I224">
            <v>0</v>
          </cell>
        </row>
        <row r="225">
          <cell r="A225" t="str">
            <v>teachers317</v>
          </cell>
          <cell r="C225">
            <v>33500</v>
          </cell>
          <cell r="D225">
            <v>400</v>
          </cell>
          <cell r="G225">
            <v>500</v>
          </cell>
          <cell r="H225">
            <v>2500</v>
          </cell>
          <cell r="I225">
            <v>0</v>
          </cell>
        </row>
        <row r="226">
          <cell r="A226" t="str">
            <v>teachers318</v>
          </cell>
          <cell r="C226">
            <v>33500</v>
          </cell>
          <cell r="D226">
            <v>0</v>
          </cell>
          <cell r="G226">
            <v>500</v>
          </cell>
          <cell r="H226">
            <v>2500</v>
          </cell>
          <cell r="I226">
            <v>0</v>
          </cell>
        </row>
        <row r="227">
          <cell r="A227" t="str">
            <v>teachers386-dbc88f20</v>
          </cell>
          <cell r="C227">
            <v>28900</v>
          </cell>
          <cell r="D227">
            <v>0</v>
          </cell>
          <cell r="G227">
            <v>500</v>
          </cell>
          <cell r="H227">
            <v>2000</v>
          </cell>
          <cell r="I227">
            <v>0</v>
          </cell>
        </row>
        <row r="228">
          <cell r="A228" t="str">
            <v>teachers319</v>
          </cell>
          <cell r="C228">
            <v>47300</v>
          </cell>
          <cell r="D228">
            <v>0</v>
          </cell>
          <cell r="G228">
            <v>0</v>
          </cell>
          <cell r="H228">
            <v>10000</v>
          </cell>
          <cell r="I228">
            <v>60</v>
          </cell>
        </row>
        <row r="229">
          <cell r="A229" t="str">
            <v>teachers320</v>
          </cell>
          <cell r="C229">
            <v>34500</v>
          </cell>
          <cell r="D229">
            <v>0</v>
          </cell>
          <cell r="G229">
            <v>500</v>
          </cell>
          <cell r="H229">
            <v>2500</v>
          </cell>
          <cell r="I229">
            <v>0</v>
          </cell>
        </row>
        <row r="230">
          <cell r="A230" t="str">
            <v>teachers321</v>
          </cell>
          <cell r="C230">
            <v>28900</v>
          </cell>
          <cell r="D230">
            <v>0</v>
          </cell>
          <cell r="G230">
            <v>500</v>
          </cell>
          <cell r="H230">
            <v>2000</v>
          </cell>
          <cell r="I230">
            <v>0</v>
          </cell>
        </row>
        <row r="231">
          <cell r="A231" t="str">
            <v>teachers322</v>
          </cell>
          <cell r="C231">
            <v>48700</v>
          </cell>
          <cell r="D231">
            <v>400</v>
          </cell>
          <cell r="G231">
            <v>500</v>
          </cell>
          <cell r="H231">
            <v>6000</v>
          </cell>
          <cell r="I231">
            <v>0</v>
          </cell>
        </row>
        <row r="232">
          <cell r="A232" t="str">
            <v>teachers323</v>
          </cell>
          <cell r="C232">
            <v>47300</v>
          </cell>
          <cell r="D232">
            <v>0</v>
          </cell>
          <cell r="G232">
            <v>0</v>
          </cell>
          <cell r="H232">
            <v>6000</v>
          </cell>
          <cell r="I232">
            <v>0</v>
          </cell>
        </row>
        <row r="233">
          <cell r="A233" t="str">
            <v>teachers324</v>
          </cell>
          <cell r="C233">
            <v>33500</v>
          </cell>
          <cell r="D233">
            <v>0</v>
          </cell>
          <cell r="G233">
            <v>500</v>
          </cell>
          <cell r="H233">
            <v>2500</v>
          </cell>
          <cell r="I233">
            <v>0</v>
          </cell>
        </row>
        <row r="234">
          <cell r="A234" t="str">
            <v>teachers325</v>
          </cell>
          <cell r="C234">
            <v>33500</v>
          </cell>
          <cell r="D234">
            <v>0</v>
          </cell>
          <cell r="G234">
            <v>500</v>
          </cell>
          <cell r="H234">
            <v>2500</v>
          </cell>
          <cell r="I234">
            <v>0</v>
          </cell>
        </row>
        <row r="235">
          <cell r="A235" t="str">
            <v>teachers326</v>
          </cell>
          <cell r="C235">
            <v>37700</v>
          </cell>
          <cell r="D235">
            <v>0</v>
          </cell>
          <cell r="G235">
            <v>500</v>
          </cell>
          <cell r="H235">
            <v>3000</v>
          </cell>
          <cell r="I235">
            <v>0</v>
          </cell>
        </row>
        <row r="236">
          <cell r="A236" t="str">
            <v>teachers327</v>
          </cell>
          <cell r="C236">
            <v>55400</v>
          </cell>
          <cell r="D236">
            <v>400</v>
          </cell>
          <cell r="G236">
            <v>0</v>
          </cell>
          <cell r="H236">
            <v>3500</v>
          </cell>
          <cell r="I236">
            <v>0</v>
          </cell>
        </row>
        <row r="237">
          <cell r="A237" t="str">
            <v>teachers328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</row>
        <row r="238">
          <cell r="A238" t="str">
            <v>teachers329</v>
          </cell>
          <cell r="C238">
            <v>28900</v>
          </cell>
          <cell r="D238">
            <v>0</v>
          </cell>
          <cell r="G238">
            <v>0</v>
          </cell>
          <cell r="H238">
            <v>2000</v>
          </cell>
          <cell r="I238">
            <v>0</v>
          </cell>
        </row>
        <row r="239">
          <cell r="A239" t="str">
            <v>teachers330</v>
          </cell>
          <cell r="C239">
            <v>28900</v>
          </cell>
          <cell r="D239">
            <v>0</v>
          </cell>
          <cell r="G239">
            <v>500</v>
          </cell>
          <cell r="H239">
            <v>2000</v>
          </cell>
          <cell r="I239">
            <v>0</v>
          </cell>
        </row>
        <row r="240">
          <cell r="A240" t="str">
            <v>teachers331</v>
          </cell>
          <cell r="C240">
            <v>37700</v>
          </cell>
          <cell r="D240">
            <v>400</v>
          </cell>
          <cell r="G240">
            <v>500</v>
          </cell>
          <cell r="H240">
            <v>3000</v>
          </cell>
          <cell r="I240">
            <v>0</v>
          </cell>
        </row>
        <row r="241">
          <cell r="A241" t="str">
            <v>teachers332</v>
          </cell>
          <cell r="C241">
            <v>47300</v>
          </cell>
          <cell r="D241">
            <v>0</v>
          </cell>
          <cell r="G241">
            <v>500</v>
          </cell>
          <cell r="H241">
            <v>3000</v>
          </cell>
          <cell r="I241">
            <v>0</v>
          </cell>
        </row>
        <row r="242">
          <cell r="A242" t="str">
            <v>teachers333</v>
          </cell>
          <cell r="C242">
            <v>33500</v>
          </cell>
          <cell r="D242">
            <v>0</v>
          </cell>
          <cell r="G242">
            <v>500</v>
          </cell>
          <cell r="H242">
            <v>2500</v>
          </cell>
          <cell r="I242">
            <v>0</v>
          </cell>
        </row>
        <row r="243">
          <cell r="A243" t="str">
            <v>teachers334</v>
          </cell>
          <cell r="C243">
            <v>33500</v>
          </cell>
          <cell r="D243">
            <v>0</v>
          </cell>
          <cell r="G243">
            <v>500</v>
          </cell>
          <cell r="H243">
            <v>2500</v>
          </cell>
          <cell r="I243">
            <v>0</v>
          </cell>
        </row>
        <row r="244">
          <cell r="A244" t="str">
            <v>teachers335</v>
          </cell>
          <cell r="C244">
            <v>28900</v>
          </cell>
          <cell r="D244">
            <v>0</v>
          </cell>
          <cell r="G244">
            <v>500</v>
          </cell>
          <cell r="H244">
            <v>2000</v>
          </cell>
          <cell r="I244">
            <v>0</v>
          </cell>
        </row>
        <row r="245">
          <cell r="A245" t="str">
            <v>teachers388-9d83883f</v>
          </cell>
          <cell r="C245">
            <v>48700</v>
          </cell>
          <cell r="D245">
            <v>400</v>
          </cell>
          <cell r="G245">
            <v>500</v>
          </cell>
          <cell r="H245">
            <v>5000</v>
          </cell>
          <cell r="I245">
            <v>0</v>
          </cell>
        </row>
        <row r="246">
          <cell r="A246" t="str">
            <v>teachers336</v>
          </cell>
          <cell r="C246">
            <v>34500</v>
          </cell>
          <cell r="D246">
            <v>0</v>
          </cell>
          <cell r="G246">
            <v>500</v>
          </cell>
          <cell r="H246">
            <v>6000</v>
          </cell>
          <cell r="I246">
            <v>0</v>
          </cell>
        </row>
        <row r="247">
          <cell r="A247" t="str">
            <v>teachers337</v>
          </cell>
          <cell r="C247">
            <v>34500</v>
          </cell>
          <cell r="D247">
            <v>0</v>
          </cell>
          <cell r="G247">
            <v>500</v>
          </cell>
          <cell r="H247">
            <v>3000</v>
          </cell>
          <cell r="I247">
            <v>0</v>
          </cell>
        </row>
        <row r="248">
          <cell r="A248" t="str">
            <v>teachers338</v>
          </cell>
          <cell r="C248">
            <v>28900</v>
          </cell>
          <cell r="D248">
            <v>0</v>
          </cell>
          <cell r="G248">
            <v>500</v>
          </cell>
          <cell r="H248">
            <v>2000</v>
          </cell>
          <cell r="I248">
            <v>0</v>
          </cell>
        </row>
        <row r="249">
          <cell r="A249" t="str">
            <v>teachers339</v>
          </cell>
          <cell r="C249">
            <v>34500</v>
          </cell>
          <cell r="D249">
            <v>400</v>
          </cell>
          <cell r="G249">
            <v>0</v>
          </cell>
          <cell r="H249">
            <v>2500</v>
          </cell>
          <cell r="I249">
            <v>0</v>
          </cell>
        </row>
        <row r="250">
          <cell r="A250" t="str">
            <v>teachers340</v>
          </cell>
          <cell r="C250">
            <v>34500</v>
          </cell>
          <cell r="D250">
            <v>0</v>
          </cell>
          <cell r="G250">
            <v>0</v>
          </cell>
          <cell r="H250">
            <v>5000</v>
          </cell>
          <cell r="I250">
            <v>0</v>
          </cell>
        </row>
        <row r="251">
          <cell r="A251" t="str">
            <v>teachers341</v>
          </cell>
          <cell r="C251">
            <v>51700</v>
          </cell>
          <cell r="D251">
            <v>400</v>
          </cell>
          <cell r="G251">
            <v>500</v>
          </cell>
          <cell r="H251">
            <v>5000</v>
          </cell>
          <cell r="I251">
            <v>0</v>
          </cell>
        </row>
        <row r="252">
          <cell r="A252" t="str">
            <v>teachers342</v>
          </cell>
          <cell r="C252">
            <v>34500</v>
          </cell>
          <cell r="D252">
            <v>0</v>
          </cell>
          <cell r="G252">
            <v>500</v>
          </cell>
          <cell r="H252">
            <v>3000</v>
          </cell>
          <cell r="I252">
            <v>0</v>
          </cell>
        </row>
        <row r="253">
          <cell r="A253" t="str">
            <v>teachers343</v>
          </cell>
          <cell r="C253">
            <v>28900</v>
          </cell>
          <cell r="D253">
            <v>0</v>
          </cell>
          <cell r="G253">
            <v>500</v>
          </cell>
          <cell r="H253">
            <v>2000</v>
          </cell>
          <cell r="I253">
            <v>0</v>
          </cell>
        </row>
        <row r="254">
          <cell r="A254" t="str">
            <v>teachers344</v>
          </cell>
          <cell r="C254">
            <v>34500</v>
          </cell>
          <cell r="D254">
            <v>400</v>
          </cell>
          <cell r="G254">
            <v>500</v>
          </cell>
          <cell r="H254">
            <v>3000</v>
          </cell>
          <cell r="I254">
            <v>0</v>
          </cell>
        </row>
        <row r="255">
          <cell r="A255" t="str">
            <v>teachers345</v>
          </cell>
          <cell r="C255">
            <v>31600</v>
          </cell>
          <cell r="D255">
            <v>0</v>
          </cell>
          <cell r="G255">
            <v>0</v>
          </cell>
          <cell r="H255">
            <v>2000</v>
          </cell>
          <cell r="I255">
            <v>0</v>
          </cell>
        </row>
        <row r="256">
          <cell r="A256" t="str">
            <v>teachers346</v>
          </cell>
          <cell r="C256">
            <v>31600</v>
          </cell>
          <cell r="D256">
            <v>0</v>
          </cell>
          <cell r="G256">
            <v>500</v>
          </cell>
          <cell r="H256">
            <v>2000</v>
          </cell>
          <cell r="I256">
            <v>0</v>
          </cell>
        </row>
        <row r="257">
          <cell r="A257" t="str">
            <v>teachers347</v>
          </cell>
          <cell r="C257">
            <v>34500</v>
          </cell>
          <cell r="D257">
            <v>0</v>
          </cell>
          <cell r="G257">
            <v>0</v>
          </cell>
          <cell r="H257">
            <v>0</v>
          </cell>
          <cell r="I257">
            <v>0</v>
          </cell>
        </row>
        <row r="258">
          <cell r="A258" t="str">
            <v>teachers348</v>
          </cell>
          <cell r="C258">
            <v>27000</v>
          </cell>
          <cell r="D258">
            <v>0</v>
          </cell>
          <cell r="G258">
            <v>0</v>
          </cell>
          <cell r="H258">
            <v>5000</v>
          </cell>
          <cell r="I258">
            <v>0</v>
          </cell>
        </row>
        <row r="259">
          <cell r="A259" t="str">
            <v>teachers349</v>
          </cell>
          <cell r="C259">
            <v>28900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</row>
        <row r="260">
          <cell r="A260" t="str">
            <v>teachers350</v>
          </cell>
          <cell r="C260">
            <v>47300</v>
          </cell>
          <cell r="D260">
            <v>400</v>
          </cell>
          <cell r="G260">
            <v>500</v>
          </cell>
          <cell r="H260">
            <v>4000</v>
          </cell>
          <cell r="I260">
            <v>60</v>
          </cell>
        </row>
        <row r="261">
          <cell r="A261" t="str">
            <v>teachers351</v>
          </cell>
          <cell r="C261">
            <v>27000</v>
          </cell>
          <cell r="D261">
            <v>0</v>
          </cell>
          <cell r="G261">
            <v>500</v>
          </cell>
          <cell r="H261">
            <v>2000</v>
          </cell>
          <cell r="I261">
            <v>0</v>
          </cell>
        </row>
        <row r="262">
          <cell r="A262" t="str">
            <v>teachers352</v>
          </cell>
          <cell r="C262">
            <v>28900</v>
          </cell>
          <cell r="D262">
            <v>0</v>
          </cell>
          <cell r="G262">
            <v>500</v>
          </cell>
          <cell r="H262">
            <v>2000</v>
          </cell>
          <cell r="I262">
            <v>0</v>
          </cell>
        </row>
        <row r="263">
          <cell r="A263" t="str">
            <v>teachers353</v>
          </cell>
          <cell r="C263">
            <v>48700</v>
          </cell>
          <cell r="D263">
            <v>400</v>
          </cell>
          <cell r="G263">
            <v>0</v>
          </cell>
          <cell r="H263">
            <v>5000</v>
          </cell>
          <cell r="I263">
            <v>60</v>
          </cell>
        </row>
        <row r="264">
          <cell r="A264" t="str">
            <v>teachers354</v>
          </cell>
          <cell r="C264">
            <v>47300</v>
          </cell>
          <cell r="D264">
            <v>0</v>
          </cell>
          <cell r="G264">
            <v>500</v>
          </cell>
          <cell r="H264">
            <v>12000</v>
          </cell>
          <cell r="I264">
            <v>0</v>
          </cell>
        </row>
        <row r="265">
          <cell r="A265" t="str">
            <v>teachers355</v>
          </cell>
          <cell r="C265">
            <v>51700</v>
          </cell>
          <cell r="D265">
            <v>400</v>
          </cell>
          <cell r="G265">
            <v>500</v>
          </cell>
          <cell r="H265">
            <v>8000</v>
          </cell>
          <cell r="I265">
            <v>60</v>
          </cell>
        </row>
        <row r="266">
          <cell r="A266" t="str">
            <v>teachers356</v>
          </cell>
          <cell r="C266">
            <v>37700</v>
          </cell>
          <cell r="D266">
            <v>0</v>
          </cell>
          <cell r="G266">
            <v>500</v>
          </cell>
          <cell r="H266">
            <v>5000</v>
          </cell>
          <cell r="I266">
            <v>0</v>
          </cell>
        </row>
        <row r="267">
          <cell r="A267" t="str">
            <v>teachers357</v>
          </cell>
          <cell r="C267">
            <v>51700</v>
          </cell>
          <cell r="D267">
            <v>400</v>
          </cell>
          <cell r="G267">
            <v>500</v>
          </cell>
          <cell r="H267">
            <v>4000</v>
          </cell>
          <cell r="I267">
            <v>0</v>
          </cell>
        </row>
        <row r="268">
          <cell r="A268" t="str">
            <v>teachers358</v>
          </cell>
          <cell r="C268">
            <v>29800</v>
          </cell>
          <cell r="D268">
            <v>0</v>
          </cell>
          <cell r="G268">
            <v>500</v>
          </cell>
          <cell r="H268">
            <v>2000</v>
          </cell>
          <cell r="I268">
            <v>0</v>
          </cell>
        </row>
        <row r="269">
          <cell r="A269" t="str">
            <v>teachers359</v>
          </cell>
          <cell r="C269">
            <v>47300</v>
          </cell>
          <cell r="D269">
            <v>400</v>
          </cell>
          <cell r="G269">
            <v>0</v>
          </cell>
          <cell r="H269">
            <v>7000</v>
          </cell>
          <cell r="I269">
            <v>60</v>
          </cell>
        </row>
        <row r="270">
          <cell r="A270" t="str">
            <v>teachers360</v>
          </cell>
          <cell r="C270">
            <v>50200</v>
          </cell>
          <cell r="D270">
            <v>0</v>
          </cell>
          <cell r="G270">
            <v>500</v>
          </cell>
          <cell r="H270">
            <v>5000</v>
          </cell>
          <cell r="I270">
            <v>0</v>
          </cell>
        </row>
        <row r="271">
          <cell r="A271" t="str">
            <v>teachers361</v>
          </cell>
          <cell r="C271">
            <v>33500</v>
          </cell>
          <cell r="D271">
            <v>0</v>
          </cell>
          <cell r="G271">
            <v>500</v>
          </cell>
          <cell r="H271">
            <v>5000</v>
          </cell>
          <cell r="I271">
            <v>0</v>
          </cell>
        </row>
        <row r="272">
          <cell r="A272" t="str">
            <v>teachers362</v>
          </cell>
          <cell r="C272">
            <v>33500</v>
          </cell>
          <cell r="D272">
            <v>0</v>
          </cell>
          <cell r="G272">
            <v>500</v>
          </cell>
          <cell r="H272">
            <v>3000</v>
          </cell>
          <cell r="I272">
            <v>0</v>
          </cell>
        </row>
        <row r="273">
          <cell r="A273" t="str">
            <v>teachers363</v>
          </cell>
          <cell r="C273">
            <v>27000</v>
          </cell>
          <cell r="D273">
            <v>0</v>
          </cell>
          <cell r="G273">
            <v>0</v>
          </cell>
          <cell r="H273">
            <v>2000</v>
          </cell>
          <cell r="I273">
            <v>0</v>
          </cell>
        </row>
        <row r="274">
          <cell r="A274" t="str">
            <v>teachers364</v>
          </cell>
          <cell r="C274">
            <v>27000</v>
          </cell>
          <cell r="D274">
            <v>0</v>
          </cell>
          <cell r="G274">
            <v>0</v>
          </cell>
          <cell r="H274">
            <v>2000</v>
          </cell>
          <cell r="I274">
            <v>0</v>
          </cell>
        </row>
        <row r="275">
          <cell r="A275" t="str">
            <v>teachers365</v>
          </cell>
          <cell r="C275">
            <v>47300</v>
          </cell>
          <cell r="D275">
            <v>400</v>
          </cell>
          <cell r="G275">
            <v>500</v>
          </cell>
          <cell r="H275">
            <v>4000</v>
          </cell>
          <cell r="I275">
            <v>0</v>
          </cell>
        </row>
        <row r="276">
          <cell r="A276" t="str">
            <v>teachers366</v>
          </cell>
          <cell r="C276">
            <v>33500</v>
          </cell>
          <cell r="D276">
            <v>0</v>
          </cell>
          <cell r="G276">
            <v>500</v>
          </cell>
          <cell r="H276">
            <v>2500</v>
          </cell>
          <cell r="I276">
            <v>0</v>
          </cell>
        </row>
        <row r="277">
          <cell r="A277" t="str">
            <v>teachers367</v>
          </cell>
          <cell r="C277">
            <v>33500</v>
          </cell>
          <cell r="D277">
            <v>0</v>
          </cell>
          <cell r="G277">
            <v>0</v>
          </cell>
          <cell r="H277">
            <v>5000</v>
          </cell>
          <cell r="I277">
            <v>0</v>
          </cell>
        </row>
        <row r="278">
          <cell r="A278" t="str">
            <v>teachers394-a4f17403</v>
          </cell>
          <cell r="C278">
            <v>28900</v>
          </cell>
          <cell r="D278">
            <v>0</v>
          </cell>
          <cell r="G278">
            <v>0</v>
          </cell>
          <cell r="H278">
            <v>0</v>
          </cell>
          <cell r="I278">
            <v>0</v>
          </cell>
        </row>
        <row r="279">
          <cell r="A279" t="str">
            <v>teachers368</v>
          </cell>
          <cell r="C279">
            <v>51700</v>
          </cell>
          <cell r="D279">
            <v>400</v>
          </cell>
          <cell r="G279">
            <v>0</v>
          </cell>
          <cell r="H279">
            <v>4000</v>
          </cell>
          <cell r="I279">
            <v>0</v>
          </cell>
        </row>
        <row r="280">
          <cell r="A280" t="str">
            <v>teachers369</v>
          </cell>
          <cell r="C280">
            <v>34500</v>
          </cell>
          <cell r="D280">
            <v>0</v>
          </cell>
          <cell r="G280">
            <v>500</v>
          </cell>
          <cell r="H280">
            <v>3000</v>
          </cell>
          <cell r="I280">
            <v>0</v>
          </cell>
        </row>
        <row r="281">
          <cell r="A281" t="str">
            <v>teachers370</v>
          </cell>
          <cell r="C281">
            <v>34500</v>
          </cell>
          <cell r="D281">
            <v>0</v>
          </cell>
          <cell r="G281">
            <v>500</v>
          </cell>
          <cell r="H281">
            <v>2500</v>
          </cell>
          <cell r="I281">
            <v>0</v>
          </cell>
        </row>
        <row r="282">
          <cell r="A282" t="str">
            <v>teachers371</v>
          </cell>
          <cell r="C282">
            <v>27000</v>
          </cell>
          <cell r="D282">
            <v>0</v>
          </cell>
          <cell r="G282">
            <v>500</v>
          </cell>
          <cell r="H282">
            <v>2000</v>
          </cell>
          <cell r="I282">
            <v>0</v>
          </cell>
        </row>
        <row r="283">
          <cell r="A283" t="str">
            <v>teachers372</v>
          </cell>
          <cell r="C283">
            <v>31600</v>
          </cell>
          <cell r="D283">
            <v>0</v>
          </cell>
          <cell r="G283">
            <v>0</v>
          </cell>
          <cell r="H283">
            <v>2000</v>
          </cell>
          <cell r="I283">
            <v>0</v>
          </cell>
        </row>
        <row r="284">
          <cell r="A284" t="str">
            <v>teachers373</v>
          </cell>
          <cell r="C284">
            <v>51700</v>
          </cell>
          <cell r="D284">
            <v>400</v>
          </cell>
          <cell r="G284">
            <v>500</v>
          </cell>
          <cell r="H284">
            <v>10000</v>
          </cell>
          <cell r="I284">
            <v>0</v>
          </cell>
        </row>
        <row r="285">
          <cell r="A285" t="str">
            <v>teachers374</v>
          </cell>
          <cell r="C285">
            <v>37700</v>
          </cell>
          <cell r="D285">
            <v>0</v>
          </cell>
          <cell r="G285">
            <v>500</v>
          </cell>
          <cell r="H285">
            <v>5000</v>
          </cell>
          <cell r="I285">
            <v>0</v>
          </cell>
        </row>
        <row r="286">
          <cell r="A286" t="str">
            <v>teachers375</v>
          </cell>
          <cell r="C286">
            <v>27000</v>
          </cell>
          <cell r="D286">
            <v>0</v>
          </cell>
          <cell r="G286">
            <v>500</v>
          </cell>
          <cell r="H286">
            <v>2000</v>
          </cell>
          <cell r="I286">
            <v>0</v>
          </cell>
        </row>
        <row r="287">
          <cell r="A287" t="str">
            <v>teachers376</v>
          </cell>
          <cell r="C287">
            <v>51700</v>
          </cell>
          <cell r="D287">
            <v>400</v>
          </cell>
          <cell r="G287">
            <v>0</v>
          </cell>
          <cell r="H287">
            <v>8000</v>
          </cell>
          <cell r="I287">
            <v>60</v>
          </cell>
        </row>
        <row r="288">
          <cell r="A288" t="str">
            <v>teachers377</v>
          </cell>
          <cell r="C288">
            <v>33500</v>
          </cell>
          <cell r="D288">
            <v>0</v>
          </cell>
          <cell r="G288">
            <v>0</v>
          </cell>
          <cell r="H288">
            <v>2500</v>
          </cell>
          <cell r="I288">
            <v>0</v>
          </cell>
        </row>
        <row r="289">
          <cell r="A289" t="str">
            <v>teachers378</v>
          </cell>
          <cell r="C289">
            <v>48700</v>
          </cell>
          <cell r="D289">
            <v>400</v>
          </cell>
          <cell r="G289">
            <v>0</v>
          </cell>
          <cell r="H289">
            <v>12000</v>
          </cell>
          <cell r="I289">
            <v>0</v>
          </cell>
        </row>
        <row r="290">
          <cell r="A290" t="str">
            <v>teachers379</v>
          </cell>
          <cell r="C290">
            <v>33500</v>
          </cell>
          <cell r="D290">
            <v>0</v>
          </cell>
          <cell r="G290">
            <v>500</v>
          </cell>
          <cell r="H290">
            <v>3000</v>
          </cell>
          <cell r="I290">
            <v>0</v>
          </cell>
        </row>
        <row r="291">
          <cell r="A291" t="str">
            <v>teachers380</v>
          </cell>
          <cell r="C291">
            <v>33500</v>
          </cell>
          <cell r="D291">
            <v>0</v>
          </cell>
          <cell r="G291">
            <v>500</v>
          </cell>
          <cell r="H291">
            <v>5000</v>
          </cell>
          <cell r="I291">
            <v>0</v>
          </cell>
        </row>
        <row r="292">
          <cell r="A292" t="str">
            <v>teachers381</v>
          </cell>
          <cell r="C292">
            <v>34500</v>
          </cell>
          <cell r="D292">
            <v>400</v>
          </cell>
          <cell r="G292">
            <v>0</v>
          </cell>
          <cell r="H292">
            <v>2500</v>
          </cell>
          <cell r="I292">
            <v>0</v>
          </cell>
        </row>
        <row r="293">
          <cell r="A293" t="str">
            <v>teachers382</v>
          </cell>
          <cell r="C293">
            <v>34500</v>
          </cell>
          <cell r="D293">
            <v>0</v>
          </cell>
          <cell r="G293">
            <v>500</v>
          </cell>
          <cell r="H293">
            <v>2500</v>
          </cell>
          <cell r="I293">
            <v>0</v>
          </cell>
        </row>
        <row r="294">
          <cell r="A294" t="str">
            <v>teachers383</v>
          </cell>
          <cell r="C294">
            <v>34500</v>
          </cell>
          <cell r="D294">
            <v>0</v>
          </cell>
          <cell r="G294">
            <v>500</v>
          </cell>
          <cell r="H294">
            <v>2500</v>
          </cell>
          <cell r="I294">
            <v>0</v>
          </cell>
        </row>
        <row r="295">
          <cell r="A295" t="str">
            <v>teachers384</v>
          </cell>
          <cell r="C295">
            <v>31600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</row>
        <row r="296">
          <cell r="A296" t="str">
            <v>teachers396-3fc4378f</v>
          </cell>
          <cell r="C296">
            <v>0</v>
          </cell>
          <cell r="D296">
            <v>0</v>
          </cell>
          <cell r="G296">
            <v>0</v>
          </cell>
          <cell r="H296">
            <v>0</v>
          </cell>
          <cell r="I296">
            <v>0</v>
          </cell>
        </row>
        <row r="297">
          <cell r="A297" t="str">
            <v>teachers399-29d8e169</v>
          </cell>
          <cell r="C297">
            <v>0</v>
          </cell>
          <cell r="D297">
            <v>0</v>
          </cell>
          <cell r="G297">
            <v>0</v>
          </cell>
          <cell r="H297">
            <v>0</v>
          </cell>
          <cell r="I297">
            <v>0</v>
          </cell>
        </row>
        <row r="298">
          <cell r="A298" t="str">
            <v>teachers395-e928c8e3</v>
          </cell>
          <cell r="C298">
            <v>0</v>
          </cell>
          <cell r="D298">
            <v>0</v>
          </cell>
          <cell r="G298">
            <v>0</v>
          </cell>
          <cell r="H298">
            <v>0</v>
          </cell>
          <cell r="I298">
            <v>0</v>
          </cell>
        </row>
        <row r="299">
          <cell r="A299" t="str">
            <v>teachers397-a816599d</v>
          </cell>
          <cell r="C299">
            <v>0</v>
          </cell>
          <cell r="D299">
            <v>0</v>
          </cell>
          <cell r="G299">
            <v>0</v>
          </cell>
          <cell r="H299">
            <v>0</v>
          </cell>
          <cell r="I299">
            <v>0</v>
          </cell>
        </row>
        <row r="300">
          <cell r="A300" t="str">
            <v>teachers398-0d5c8f45</v>
          </cell>
          <cell r="C300">
            <v>0</v>
          </cell>
          <cell r="D300">
            <v>0</v>
          </cell>
          <cell r="G300">
            <v>0</v>
          </cell>
          <cell r="H300">
            <v>0</v>
          </cell>
          <cell r="I300">
            <v>0</v>
          </cell>
        </row>
        <row r="301">
          <cell r="A301" t="str">
            <v>teachers399-5cc82fa0</v>
          </cell>
          <cell r="C301">
            <v>0</v>
          </cell>
          <cell r="D301">
            <v>0</v>
          </cell>
          <cell r="G301">
            <v>0</v>
          </cell>
          <cell r="H301">
            <v>0</v>
          </cell>
          <cell r="I301">
            <v>0</v>
          </cell>
        </row>
        <row r="302">
          <cell r="A302" t="str">
            <v>teachers399-6d7dd594</v>
          </cell>
          <cell r="C302">
            <v>0</v>
          </cell>
          <cell r="D302">
            <v>0</v>
          </cell>
          <cell r="G302">
            <v>500</v>
          </cell>
          <cell r="H302">
            <v>0</v>
          </cell>
          <cell r="I302">
            <v>0</v>
          </cell>
        </row>
        <row r="303">
          <cell r="A303" t="str">
            <v>teachers399-20dae0ff</v>
          </cell>
          <cell r="C303">
            <v>33500</v>
          </cell>
          <cell r="D303">
            <v>0</v>
          </cell>
          <cell r="G303">
            <v>500</v>
          </cell>
          <cell r="H303">
            <v>3000</v>
          </cell>
          <cell r="I303">
            <v>0</v>
          </cell>
        </row>
        <row r="304">
          <cell r="A304" t="str">
            <v>teachers399-4fe1a07f</v>
          </cell>
          <cell r="C304">
            <v>31600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</row>
        <row r="2">
          <cell r="A2" t="str">
            <v>teachers101</v>
          </cell>
          <cell r="C2">
            <v>31600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</row>
        <row r="3">
          <cell r="A3" t="str">
            <v>teachers102</v>
          </cell>
          <cell r="C3">
            <v>30700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</row>
        <row r="4">
          <cell r="A4" t="str">
            <v>teachers103</v>
          </cell>
          <cell r="C4">
            <v>47300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</row>
        <row r="5">
          <cell r="A5" t="str">
            <v>teachers104</v>
          </cell>
          <cell r="C5">
            <v>25400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</row>
        <row r="6">
          <cell r="A6" t="str">
            <v>teachers105</v>
          </cell>
          <cell r="C6">
            <v>34500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</row>
        <row r="7">
          <cell r="A7" t="str">
            <v>teachers106</v>
          </cell>
          <cell r="C7">
            <v>31600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</row>
        <row r="8">
          <cell r="A8" t="str">
            <v>teachers107</v>
          </cell>
          <cell r="C8">
            <v>47300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</row>
        <row r="9">
          <cell r="A9" t="str">
            <v>teachers108</v>
          </cell>
          <cell r="C9">
            <v>34500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</row>
        <row r="10">
          <cell r="A10" t="str">
            <v>teachers109</v>
          </cell>
          <cell r="C10">
            <v>31600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</row>
        <row r="11">
          <cell r="A11" t="str">
            <v>teachers110</v>
          </cell>
          <cell r="C11">
            <v>28900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</row>
        <row r="12">
          <cell r="A12" t="str">
            <v>teachers111</v>
          </cell>
          <cell r="C12">
            <v>47300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</row>
        <row r="13">
          <cell r="A13" t="str">
            <v>teachers112</v>
          </cell>
          <cell r="C13">
            <v>31600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</row>
        <row r="14">
          <cell r="A14" t="str">
            <v>teachers388-61383f93</v>
          </cell>
          <cell r="C14">
            <v>28900</v>
          </cell>
          <cell r="D14">
            <v>0</v>
          </cell>
          <cell r="G14">
            <v>500</v>
          </cell>
          <cell r="H14">
            <v>0</v>
          </cell>
          <cell r="I14">
            <v>0</v>
          </cell>
        </row>
        <row r="15">
          <cell r="A15" t="str">
            <v>teachers113</v>
          </cell>
          <cell r="C15">
            <v>31600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</row>
        <row r="16">
          <cell r="A16" t="str">
            <v>teachers114</v>
          </cell>
          <cell r="C16">
            <v>31600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</row>
        <row r="17">
          <cell r="A17" t="str">
            <v>teachers115</v>
          </cell>
          <cell r="C17">
            <v>28900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</row>
        <row r="18">
          <cell r="A18" t="str">
            <v>teachers116</v>
          </cell>
          <cell r="C18">
            <v>51700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</row>
        <row r="19">
          <cell r="A19" t="str">
            <v>teachers117</v>
          </cell>
          <cell r="C19">
            <v>33500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</row>
        <row r="20">
          <cell r="A20" t="str">
            <v>teachers118</v>
          </cell>
          <cell r="C20">
            <v>28900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</row>
        <row r="21">
          <cell r="A21" t="str">
            <v>teachers121</v>
          </cell>
          <cell r="C21">
            <v>48800</v>
          </cell>
          <cell r="D21">
            <v>0</v>
          </cell>
          <cell r="G21">
            <v>0</v>
          </cell>
          <cell r="H21">
            <v>4000</v>
          </cell>
          <cell r="I21">
            <v>0</v>
          </cell>
        </row>
        <row r="22">
          <cell r="A22" t="str">
            <v>teachers122</v>
          </cell>
          <cell r="C22">
            <v>37700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</row>
        <row r="23">
          <cell r="A23" t="str">
            <v>teachers123</v>
          </cell>
          <cell r="C23">
            <v>28900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</row>
        <row r="24">
          <cell r="A24" t="str">
            <v>teachers124</v>
          </cell>
          <cell r="C24">
            <v>51700</v>
          </cell>
          <cell r="D24">
            <v>400</v>
          </cell>
          <cell r="G24">
            <v>500</v>
          </cell>
          <cell r="H24">
            <v>5000</v>
          </cell>
          <cell r="I24">
            <v>60</v>
          </cell>
        </row>
        <row r="25">
          <cell r="A25" t="str">
            <v>teachers125</v>
          </cell>
          <cell r="C25">
            <v>34500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</row>
        <row r="26">
          <cell r="A26" t="str">
            <v>teachers126</v>
          </cell>
          <cell r="C26">
            <v>34500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</row>
        <row r="27">
          <cell r="A27" t="str">
            <v>teachers127</v>
          </cell>
          <cell r="C27">
            <v>51700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</row>
        <row r="28">
          <cell r="A28" t="str">
            <v>teachers128</v>
          </cell>
          <cell r="C28">
            <v>31600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</row>
        <row r="29">
          <cell r="A29" t="str">
            <v>teachers129</v>
          </cell>
          <cell r="C29">
            <v>51700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</row>
        <row r="30">
          <cell r="A30" t="str">
            <v>teachers130</v>
          </cell>
          <cell r="C30">
            <v>28900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</row>
        <row r="31">
          <cell r="A31" t="str">
            <v>teachers131</v>
          </cell>
          <cell r="C31">
            <v>51700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</row>
        <row r="32">
          <cell r="A32" t="str">
            <v>teachers132</v>
          </cell>
          <cell r="C32">
            <v>33500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</row>
        <row r="33">
          <cell r="A33" t="str">
            <v>teachers133</v>
          </cell>
          <cell r="C33">
            <v>31600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</row>
        <row r="34">
          <cell r="A34" t="str">
            <v>teachers134</v>
          </cell>
          <cell r="C34">
            <v>28900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</row>
        <row r="35">
          <cell r="A35" t="str">
            <v>teachers135</v>
          </cell>
          <cell r="C35">
            <v>51700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</row>
        <row r="36">
          <cell r="A36" t="str">
            <v>teachers136</v>
          </cell>
          <cell r="C36">
            <v>25400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</row>
        <row r="37">
          <cell r="A37" t="str">
            <v>teachers389-da7ce61c</v>
          </cell>
          <cell r="C37">
            <v>28900</v>
          </cell>
          <cell r="D37">
            <v>0</v>
          </cell>
          <cell r="G37">
            <v>500</v>
          </cell>
          <cell r="H37">
            <v>0</v>
          </cell>
          <cell r="I37">
            <v>0</v>
          </cell>
        </row>
        <row r="38">
          <cell r="A38" t="str">
            <v>teachers137</v>
          </cell>
          <cell r="C38">
            <v>55400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</row>
        <row r="39">
          <cell r="A39" t="str">
            <v>teachers138</v>
          </cell>
          <cell r="C39">
            <v>28900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</row>
        <row r="40">
          <cell r="A40" t="str">
            <v>teachers395-e9d452d8</v>
          </cell>
          <cell r="C40">
            <v>24700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</row>
        <row r="41">
          <cell r="A41" t="str">
            <v>teachers139</v>
          </cell>
          <cell r="C41">
            <v>47300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</row>
        <row r="42">
          <cell r="A42" t="str">
            <v>teachers140</v>
          </cell>
          <cell r="C42">
            <v>33500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</row>
        <row r="43">
          <cell r="A43" t="str">
            <v>teachers141</v>
          </cell>
          <cell r="C43">
            <v>30700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</row>
        <row r="44">
          <cell r="A44" t="str">
            <v>teachers142</v>
          </cell>
          <cell r="C44">
            <v>48700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</row>
        <row r="45">
          <cell r="A45" t="str">
            <v>teachers143</v>
          </cell>
          <cell r="C45">
            <v>34500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</row>
        <row r="46">
          <cell r="A46" t="str">
            <v>teachers144</v>
          </cell>
          <cell r="C46">
            <v>34500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</row>
        <row r="47">
          <cell r="A47" t="str">
            <v>teachers145</v>
          </cell>
          <cell r="C47">
            <v>34500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</row>
        <row r="48">
          <cell r="A48" t="str">
            <v>teachers146</v>
          </cell>
          <cell r="C48">
            <v>48700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</row>
        <row r="49">
          <cell r="A49" t="str">
            <v>teachers147</v>
          </cell>
          <cell r="C49">
            <v>33500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</row>
        <row r="50">
          <cell r="A50" t="str">
            <v>teachers148</v>
          </cell>
          <cell r="C50">
            <v>33500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</row>
        <row r="51">
          <cell r="A51" t="str">
            <v>teachers149</v>
          </cell>
          <cell r="C51">
            <v>34500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</row>
        <row r="52">
          <cell r="A52" t="str">
            <v>teachers150</v>
          </cell>
          <cell r="C52">
            <v>34500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</row>
        <row r="53">
          <cell r="A53" t="str">
            <v>teachers151</v>
          </cell>
          <cell r="C53">
            <v>33500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</row>
        <row r="54">
          <cell r="A54" t="str">
            <v>teachers152</v>
          </cell>
          <cell r="C54">
            <v>31600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</row>
        <row r="55">
          <cell r="A55" t="str">
            <v>teachers153</v>
          </cell>
          <cell r="C55">
            <v>33500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</row>
        <row r="56">
          <cell r="A56" t="str">
            <v>teachers154</v>
          </cell>
          <cell r="C56">
            <v>37700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</row>
        <row r="57">
          <cell r="A57" t="str">
            <v>teachers155</v>
          </cell>
          <cell r="C57">
            <v>33500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</row>
        <row r="58">
          <cell r="A58" t="str">
            <v>teachers156</v>
          </cell>
          <cell r="C58">
            <v>33500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</row>
        <row r="59">
          <cell r="A59" t="str">
            <v>teachers157</v>
          </cell>
          <cell r="C59">
            <v>31600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</row>
        <row r="60">
          <cell r="A60" t="str">
            <v>teachers158</v>
          </cell>
          <cell r="C60">
            <v>34500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</row>
        <row r="61">
          <cell r="A61" t="str">
            <v>teachers159</v>
          </cell>
          <cell r="C61">
            <v>33500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</row>
        <row r="62">
          <cell r="A62" t="str">
            <v>teachers160</v>
          </cell>
          <cell r="C62">
            <v>33500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</row>
        <row r="63">
          <cell r="A63" t="str">
            <v>teachers161</v>
          </cell>
          <cell r="C63">
            <v>33500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</row>
        <row r="64">
          <cell r="A64" t="str">
            <v>teachers162</v>
          </cell>
          <cell r="C64">
            <v>31600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</row>
        <row r="65">
          <cell r="A65" t="str">
            <v>teachers398-7bc9c6b0</v>
          </cell>
          <cell r="C65">
            <v>30700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</row>
        <row r="66">
          <cell r="A66" t="str">
            <v>teachers163</v>
          </cell>
          <cell r="C66">
            <v>28900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</row>
        <row r="67">
          <cell r="A67" t="str">
            <v>teachers164</v>
          </cell>
          <cell r="C67">
            <v>51700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</row>
        <row r="68">
          <cell r="A68" t="str">
            <v>teachers165</v>
          </cell>
          <cell r="C68">
            <v>37700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</row>
        <row r="69">
          <cell r="A69" t="str">
            <v>teachers166</v>
          </cell>
          <cell r="C69">
            <v>51700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</row>
        <row r="70">
          <cell r="A70" t="str">
            <v>teachers167</v>
          </cell>
          <cell r="C70">
            <v>34500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</row>
        <row r="71">
          <cell r="A71" t="str">
            <v>teachers168</v>
          </cell>
          <cell r="C71">
            <v>33500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</row>
        <row r="72">
          <cell r="A72" t="str">
            <v>teachers169</v>
          </cell>
          <cell r="C72">
            <v>48700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</row>
        <row r="73">
          <cell r="A73" t="str">
            <v>teachers170</v>
          </cell>
          <cell r="C73">
            <v>47300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</row>
        <row r="74">
          <cell r="A74" t="str">
            <v>teachers390-79bf2ea7</v>
          </cell>
          <cell r="C74">
            <v>28900</v>
          </cell>
          <cell r="D74">
            <v>0</v>
          </cell>
          <cell r="G74">
            <v>500</v>
          </cell>
          <cell r="H74">
            <v>0</v>
          </cell>
          <cell r="I74">
            <v>0</v>
          </cell>
        </row>
        <row r="75">
          <cell r="A75" t="str">
            <v>teachers171</v>
          </cell>
          <cell r="C75">
            <v>33500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</row>
        <row r="76">
          <cell r="A76" t="str">
            <v>teachers172</v>
          </cell>
          <cell r="C76">
            <v>34500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</row>
        <row r="77">
          <cell r="A77" t="str">
            <v>teachers173</v>
          </cell>
          <cell r="C77">
            <v>31600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</row>
        <row r="78">
          <cell r="A78" t="str">
            <v>teachers174</v>
          </cell>
          <cell r="C78">
            <v>31600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</row>
        <row r="79">
          <cell r="A79" t="str">
            <v>teachers175</v>
          </cell>
          <cell r="C79">
            <v>28900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</row>
        <row r="80">
          <cell r="A80" t="str">
            <v>teachers176</v>
          </cell>
          <cell r="C80">
            <v>33500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</row>
        <row r="81">
          <cell r="A81" t="str">
            <v>teachers177</v>
          </cell>
          <cell r="C81">
            <v>33500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</row>
        <row r="82">
          <cell r="A82" t="str">
            <v>teachers178</v>
          </cell>
          <cell r="C82">
            <v>33500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</row>
        <row r="83">
          <cell r="A83" t="str">
            <v>teachers179</v>
          </cell>
          <cell r="C83">
            <v>29800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</row>
        <row r="84">
          <cell r="A84" t="str">
            <v>teachers180</v>
          </cell>
          <cell r="C84">
            <v>48700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</row>
        <row r="85">
          <cell r="A85" t="str">
            <v>teachers181</v>
          </cell>
          <cell r="C85">
            <v>34500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</row>
        <row r="86">
          <cell r="A86" t="str">
            <v>teachers182</v>
          </cell>
          <cell r="C86">
            <v>31600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</row>
        <row r="87">
          <cell r="A87" t="str">
            <v>teachers183</v>
          </cell>
          <cell r="C87">
            <v>55400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</row>
        <row r="88">
          <cell r="A88" t="str">
            <v>teachers184</v>
          </cell>
          <cell r="C88">
            <v>47300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</row>
        <row r="89">
          <cell r="A89" t="str">
            <v>teachers185</v>
          </cell>
          <cell r="C89">
            <v>35500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</row>
        <row r="90">
          <cell r="A90" t="str">
            <v>teachers186</v>
          </cell>
          <cell r="C90">
            <v>34500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</row>
        <row r="91">
          <cell r="A91" t="str">
            <v>teachers187</v>
          </cell>
          <cell r="C91">
            <v>28900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</row>
        <row r="92">
          <cell r="A92" t="str">
            <v>teachers188</v>
          </cell>
          <cell r="C92">
            <v>34500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</row>
        <row r="93">
          <cell r="A93" t="str">
            <v>teachers189</v>
          </cell>
          <cell r="C93">
            <v>25400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</row>
        <row r="94">
          <cell r="A94" t="str">
            <v>teachers385-d26e20d3</v>
          </cell>
          <cell r="C94">
            <v>28900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</row>
        <row r="95">
          <cell r="A95" t="str">
            <v>teachers190</v>
          </cell>
          <cell r="C95">
            <v>34500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</row>
        <row r="96">
          <cell r="A96" t="str">
            <v>teachers191</v>
          </cell>
          <cell r="C96">
            <v>34500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</row>
        <row r="97">
          <cell r="A97" t="str">
            <v>teachers192</v>
          </cell>
          <cell r="C97">
            <v>28600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</row>
        <row r="98">
          <cell r="A98" t="str">
            <v>teachers193</v>
          </cell>
          <cell r="C98">
            <v>33500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</row>
        <row r="99">
          <cell r="A99" t="str">
            <v>teachers194</v>
          </cell>
          <cell r="C99">
            <v>31600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</row>
        <row r="100">
          <cell r="A100" t="str">
            <v>teachers195</v>
          </cell>
          <cell r="C100">
            <v>48700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</row>
        <row r="101">
          <cell r="A101" t="str">
            <v>teachers196</v>
          </cell>
          <cell r="C101">
            <v>31600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</row>
        <row r="102">
          <cell r="A102" t="str">
            <v>teachers197</v>
          </cell>
          <cell r="C102">
            <v>25400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</row>
        <row r="103">
          <cell r="A103" t="str">
            <v>teachers198</v>
          </cell>
          <cell r="C103">
            <v>34500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</row>
        <row r="104">
          <cell r="A104" t="str">
            <v>teachers199</v>
          </cell>
          <cell r="C104">
            <v>34500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</row>
        <row r="105">
          <cell r="A105" t="str">
            <v>teachers200</v>
          </cell>
          <cell r="C105">
            <v>31600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</row>
        <row r="106">
          <cell r="A106" t="str">
            <v>teachers201</v>
          </cell>
          <cell r="C106">
            <v>28900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</row>
        <row r="107">
          <cell r="A107" t="str">
            <v>teachers202</v>
          </cell>
          <cell r="C107">
            <v>33500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</row>
        <row r="108">
          <cell r="A108" t="str">
            <v>teachers203</v>
          </cell>
          <cell r="C108">
            <v>33500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</row>
        <row r="109">
          <cell r="A109" t="str">
            <v>teachers204</v>
          </cell>
          <cell r="C109">
            <v>31600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</row>
        <row r="110">
          <cell r="A110" t="str">
            <v>teachers205</v>
          </cell>
          <cell r="C110">
            <v>51700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</row>
        <row r="111">
          <cell r="A111" t="str">
            <v>teachers206</v>
          </cell>
          <cell r="C111">
            <v>37700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</row>
        <row r="112">
          <cell r="A112" t="str">
            <v>teachers207</v>
          </cell>
          <cell r="C112">
            <v>31300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</row>
        <row r="113">
          <cell r="A113" t="str">
            <v>teachers208</v>
          </cell>
          <cell r="C113">
            <v>53400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</row>
        <row r="114">
          <cell r="A114" t="str">
            <v>teachers209</v>
          </cell>
          <cell r="C114">
            <v>33500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</row>
        <row r="115">
          <cell r="A115" t="str">
            <v>teachers210</v>
          </cell>
          <cell r="C115">
            <v>51700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</row>
        <row r="116">
          <cell r="A116" t="str">
            <v>teachers211</v>
          </cell>
          <cell r="C116">
            <v>0</v>
          </cell>
          <cell r="D116">
            <v>0</v>
          </cell>
          <cell r="G116">
            <v>0</v>
          </cell>
          <cell r="H116">
            <v>0</v>
          </cell>
          <cell r="I116">
            <v>0</v>
          </cell>
        </row>
        <row r="117">
          <cell r="A117" t="str">
            <v>teachers212</v>
          </cell>
          <cell r="C117">
            <v>47300</v>
          </cell>
          <cell r="D117">
            <v>0</v>
          </cell>
          <cell r="G117">
            <v>0</v>
          </cell>
          <cell r="H117">
            <v>6000</v>
          </cell>
          <cell r="I117">
            <v>0</v>
          </cell>
        </row>
        <row r="118">
          <cell r="A118" t="str">
            <v>teachers213</v>
          </cell>
          <cell r="C118">
            <v>34500</v>
          </cell>
          <cell r="D118">
            <v>0</v>
          </cell>
          <cell r="G118">
            <v>0</v>
          </cell>
          <cell r="H118">
            <v>5000</v>
          </cell>
          <cell r="I118">
            <v>0</v>
          </cell>
        </row>
        <row r="119">
          <cell r="A119" t="str">
            <v>teachers214</v>
          </cell>
          <cell r="C119">
            <v>34500</v>
          </cell>
          <cell r="D119">
            <v>0</v>
          </cell>
          <cell r="G119">
            <v>500</v>
          </cell>
          <cell r="H119">
            <v>5000</v>
          </cell>
          <cell r="I119">
            <v>0</v>
          </cell>
        </row>
        <row r="120">
          <cell r="A120" t="str">
            <v>teachers215</v>
          </cell>
          <cell r="C120">
            <v>31600</v>
          </cell>
          <cell r="D120">
            <v>0</v>
          </cell>
          <cell r="G120">
            <v>0</v>
          </cell>
          <cell r="H120">
            <v>2000</v>
          </cell>
          <cell r="I120">
            <v>0</v>
          </cell>
        </row>
        <row r="121">
          <cell r="A121" t="str">
            <v>teachers216</v>
          </cell>
          <cell r="C121">
            <v>31600</v>
          </cell>
          <cell r="D121">
            <v>0</v>
          </cell>
          <cell r="G121">
            <v>500</v>
          </cell>
          <cell r="H121">
            <v>2000</v>
          </cell>
          <cell r="I121">
            <v>0</v>
          </cell>
        </row>
        <row r="122">
          <cell r="A122" t="str">
            <v>teachers217</v>
          </cell>
          <cell r="C122">
            <v>47300</v>
          </cell>
          <cell r="D122">
            <v>400</v>
          </cell>
          <cell r="G122">
            <v>500</v>
          </cell>
          <cell r="H122">
            <v>3000</v>
          </cell>
          <cell r="I122">
            <v>60</v>
          </cell>
        </row>
        <row r="123">
          <cell r="A123" t="str">
            <v>teachers218</v>
          </cell>
          <cell r="C123">
            <v>31600</v>
          </cell>
          <cell r="D123">
            <v>0</v>
          </cell>
          <cell r="G123">
            <v>500</v>
          </cell>
          <cell r="H123">
            <v>2000</v>
          </cell>
          <cell r="I123">
            <v>0</v>
          </cell>
        </row>
        <row r="124">
          <cell r="A124" t="str">
            <v>teachers219</v>
          </cell>
          <cell r="C124">
            <v>30700</v>
          </cell>
          <cell r="D124">
            <v>0</v>
          </cell>
          <cell r="G124">
            <v>500</v>
          </cell>
          <cell r="H124">
            <v>2000</v>
          </cell>
          <cell r="I124">
            <v>0</v>
          </cell>
        </row>
        <row r="125">
          <cell r="A125" t="str">
            <v>teachers220</v>
          </cell>
          <cell r="C125">
            <v>33500</v>
          </cell>
          <cell r="D125">
            <v>400</v>
          </cell>
          <cell r="G125">
            <v>0</v>
          </cell>
          <cell r="H125">
            <v>2500</v>
          </cell>
          <cell r="I125">
            <v>0</v>
          </cell>
        </row>
        <row r="126">
          <cell r="A126" t="str">
            <v>teachers221</v>
          </cell>
          <cell r="C126">
            <v>31600</v>
          </cell>
          <cell r="D126">
            <v>0</v>
          </cell>
          <cell r="G126">
            <v>0</v>
          </cell>
          <cell r="H126">
            <v>2000</v>
          </cell>
          <cell r="I126">
            <v>0</v>
          </cell>
        </row>
        <row r="127">
          <cell r="A127" t="str">
            <v>teachers222</v>
          </cell>
          <cell r="C127">
            <v>28900</v>
          </cell>
          <cell r="D127">
            <v>0</v>
          </cell>
          <cell r="G127">
            <v>500</v>
          </cell>
          <cell r="H127">
            <v>2000</v>
          </cell>
          <cell r="I127">
            <v>0</v>
          </cell>
        </row>
        <row r="128">
          <cell r="A128" t="str">
            <v>teachers223</v>
          </cell>
          <cell r="C128">
            <v>51700</v>
          </cell>
          <cell r="D128">
            <v>400</v>
          </cell>
          <cell r="G128">
            <v>500</v>
          </cell>
          <cell r="H128">
            <v>5000</v>
          </cell>
          <cell r="I128">
            <v>0</v>
          </cell>
        </row>
        <row r="129">
          <cell r="A129" t="str">
            <v>teachers224</v>
          </cell>
          <cell r="C129">
            <v>31600</v>
          </cell>
          <cell r="D129">
            <v>0</v>
          </cell>
          <cell r="G129">
            <v>500</v>
          </cell>
          <cell r="H129">
            <v>3000</v>
          </cell>
          <cell r="I129">
            <v>0</v>
          </cell>
        </row>
        <row r="130">
          <cell r="A130" t="str">
            <v>teachers226</v>
          </cell>
          <cell r="C130">
            <v>33500</v>
          </cell>
          <cell r="D130">
            <v>0</v>
          </cell>
          <cell r="G130">
            <v>500</v>
          </cell>
          <cell r="H130">
            <v>2500</v>
          </cell>
          <cell r="I130">
            <v>0</v>
          </cell>
        </row>
        <row r="131">
          <cell r="A131" t="str">
            <v>teachers227</v>
          </cell>
          <cell r="C131">
            <v>35500</v>
          </cell>
          <cell r="D131">
            <v>400</v>
          </cell>
          <cell r="G131">
            <v>500</v>
          </cell>
          <cell r="H131">
            <v>5000</v>
          </cell>
          <cell r="I131">
            <v>0</v>
          </cell>
        </row>
        <row r="132">
          <cell r="A132" t="str">
            <v>teachers228</v>
          </cell>
          <cell r="C132">
            <v>27000</v>
          </cell>
          <cell r="D132">
            <v>0</v>
          </cell>
          <cell r="G132">
            <v>500</v>
          </cell>
          <cell r="H132">
            <v>2000</v>
          </cell>
          <cell r="I132">
            <v>0</v>
          </cell>
        </row>
        <row r="133">
          <cell r="A133" t="str">
            <v>teachers229</v>
          </cell>
          <cell r="C133">
            <v>28900</v>
          </cell>
          <cell r="D133">
            <v>0</v>
          </cell>
          <cell r="G133">
            <v>500</v>
          </cell>
          <cell r="H133">
            <v>2000</v>
          </cell>
          <cell r="I133">
            <v>0</v>
          </cell>
        </row>
        <row r="134">
          <cell r="A134" t="str">
            <v>teachers230</v>
          </cell>
          <cell r="C134">
            <v>47300</v>
          </cell>
          <cell r="D134">
            <v>400</v>
          </cell>
          <cell r="G134">
            <v>500</v>
          </cell>
          <cell r="H134">
            <v>5000</v>
          </cell>
          <cell r="I134">
            <v>60</v>
          </cell>
        </row>
        <row r="135">
          <cell r="A135" t="str">
            <v>teachers231</v>
          </cell>
          <cell r="C135">
            <v>34500</v>
          </cell>
          <cell r="D135">
            <v>0</v>
          </cell>
          <cell r="G135">
            <v>500</v>
          </cell>
          <cell r="H135">
            <v>3000</v>
          </cell>
          <cell r="I135">
            <v>0</v>
          </cell>
        </row>
        <row r="136">
          <cell r="A136" t="str">
            <v>teachers232</v>
          </cell>
          <cell r="C136">
            <v>33500</v>
          </cell>
          <cell r="D136">
            <v>0</v>
          </cell>
          <cell r="G136">
            <v>0</v>
          </cell>
          <cell r="H136">
            <v>3000</v>
          </cell>
          <cell r="I136">
            <v>0</v>
          </cell>
        </row>
        <row r="137">
          <cell r="A137" t="str">
            <v>teachers233</v>
          </cell>
          <cell r="C137">
            <v>28900</v>
          </cell>
          <cell r="D137">
            <v>0</v>
          </cell>
          <cell r="G137">
            <v>500</v>
          </cell>
          <cell r="H137">
            <v>4000</v>
          </cell>
          <cell r="I137">
            <v>0</v>
          </cell>
        </row>
        <row r="138">
          <cell r="A138" t="str">
            <v>teachers391-12274feb</v>
          </cell>
          <cell r="C138">
            <v>28900</v>
          </cell>
          <cell r="D138">
            <v>0</v>
          </cell>
          <cell r="G138">
            <v>0</v>
          </cell>
          <cell r="H138">
            <v>0</v>
          </cell>
          <cell r="I138">
            <v>0</v>
          </cell>
        </row>
        <row r="139">
          <cell r="A139" t="str">
            <v>teachers234</v>
          </cell>
          <cell r="C139">
            <v>34500</v>
          </cell>
          <cell r="D139">
            <v>400</v>
          </cell>
          <cell r="G139">
            <v>500</v>
          </cell>
          <cell r="H139">
            <v>7000</v>
          </cell>
          <cell r="I139">
            <v>0</v>
          </cell>
        </row>
        <row r="140">
          <cell r="A140" t="str">
            <v>teachers235</v>
          </cell>
          <cell r="C140">
            <v>30700</v>
          </cell>
          <cell r="D140">
            <v>0</v>
          </cell>
          <cell r="G140">
            <v>500</v>
          </cell>
          <cell r="H140">
            <v>4000</v>
          </cell>
          <cell r="I140">
            <v>0</v>
          </cell>
        </row>
        <row r="141">
          <cell r="A141" t="str">
            <v>teachers236</v>
          </cell>
          <cell r="C141">
            <v>28900</v>
          </cell>
          <cell r="D141">
            <v>0</v>
          </cell>
          <cell r="G141">
            <v>0</v>
          </cell>
          <cell r="H141">
            <v>2000</v>
          </cell>
          <cell r="I141">
            <v>0</v>
          </cell>
        </row>
        <row r="142">
          <cell r="A142" t="str">
            <v>teachers237</v>
          </cell>
          <cell r="C142">
            <v>48700</v>
          </cell>
          <cell r="D142">
            <v>400</v>
          </cell>
          <cell r="G142">
            <v>500</v>
          </cell>
          <cell r="H142">
            <v>7000</v>
          </cell>
          <cell r="I142">
            <v>0</v>
          </cell>
        </row>
        <row r="143">
          <cell r="A143" t="str">
            <v>teachers238</v>
          </cell>
          <cell r="C143">
            <v>37700</v>
          </cell>
          <cell r="D143">
            <v>0</v>
          </cell>
          <cell r="G143">
            <v>0</v>
          </cell>
          <cell r="H143">
            <v>2500</v>
          </cell>
          <cell r="I143">
            <v>0</v>
          </cell>
        </row>
        <row r="144">
          <cell r="A144" t="str">
            <v>teachers239</v>
          </cell>
          <cell r="C144">
            <v>37700</v>
          </cell>
          <cell r="D144">
            <v>0</v>
          </cell>
          <cell r="G144">
            <v>500</v>
          </cell>
          <cell r="H144">
            <v>2500</v>
          </cell>
          <cell r="I144">
            <v>0</v>
          </cell>
        </row>
        <row r="145">
          <cell r="A145" t="str">
            <v>teachers240</v>
          </cell>
          <cell r="C145">
            <v>47300</v>
          </cell>
          <cell r="D145">
            <v>400</v>
          </cell>
          <cell r="G145">
            <v>0</v>
          </cell>
          <cell r="H145">
            <v>3000</v>
          </cell>
          <cell r="I145">
            <v>60</v>
          </cell>
        </row>
        <row r="146">
          <cell r="A146" t="str">
            <v>teachers241</v>
          </cell>
          <cell r="C146">
            <v>31600</v>
          </cell>
          <cell r="D146">
            <v>0</v>
          </cell>
          <cell r="G146">
            <v>500</v>
          </cell>
          <cell r="H146">
            <v>2000</v>
          </cell>
          <cell r="I146">
            <v>0</v>
          </cell>
        </row>
        <row r="147">
          <cell r="A147" t="str">
            <v>teachers242</v>
          </cell>
          <cell r="C147">
            <v>31600</v>
          </cell>
          <cell r="D147">
            <v>0</v>
          </cell>
          <cell r="G147">
            <v>500</v>
          </cell>
          <cell r="H147">
            <v>2000</v>
          </cell>
          <cell r="I147">
            <v>0</v>
          </cell>
        </row>
        <row r="148">
          <cell r="A148" t="str">
            <v>teachers392-5190daaf</v>
          </cell>
          <cell r="C148">
            <v>28900</v>
          </cell>
          <cell r="D148">
            <v>0</v>
          </cell>
          <cell r="G148">
            <v>0</v>
          </cell>
          <cell r="H148">
            <v>0</v>
          </cell>
          <cell r="I148">
            <v>0</v>
          </cell>
        </row>
        <row r="149">
          <cell r="A149" t="str">
            <v>teachers243</v>
          </cell>
          <cell r="C149">
            <v>48700</v>
          </cell>
          <cell r="D149">
            <v>400</v>
          </cell>
          <cell r="G149">
            <v>500</v>
          </cell>
          <cell r="H149">
            <v>8000</v>
          </cell>
          <cell r="I149">
            <v>0</v>
          </cell>
        </row>
        <row r="150">
          <cell r="A150" t="str">
            <v>teachers244</v>
          </cell>
          <cell r="C150">
            <v>47300</v>
          </cell>
          <cell r="D150">
            <v>0</v>
          </cell>
          <cell r="G150">
            <v>0</v>
          </cell>
          <cell r="H150">
            <v>9000</v>
          </cell>
          <cell r="I150">
            <v>0</v>
          </cell>
        </row>
        <row r="151">
          <cell r="A151" t="str">
            <v>teachers245</v>
          </cell>
          <cell r="C151">
            <v>37700</v>
          </cell>
          <cell r="D151">
            <v>0</v>
          </cell>
          <cell r="G151">
            <v>0</v>
          </cell>
          <cell r="H151">
            <v>3000</v>
          </cell>
          <cell r="I151">
            <v>0</v>
          </cell>
        </row>
        <row r="152">
          <cell r="A152" t="str">
            <v>teachers246</v>
          </cell>
          <cell r="C152">
            <v>33500</v>
          </cell>
          <cell r="D152">
            <v>0</v>
          </cell>
          <cell r="G152">
            <v>500</v>
          </cell>
          <cell r="H152">
            <v>3000</v>
          </cell>
          <cell r="I152">
            <v>0</v>
          </cell>
        </row>
        <row r="153">
          <cell r="A153" t="str">
            <v>teachers247</v>
          </cell>
          <cell r="C153">
            <v>47300</v>
          </cell>
          <cell r="D153">
            <v>400</v>
          </cell>
          <cell r="G153">
            <v>500</v>
          </cell>
          <cell r="H153">
            <v>8000</v>
          </cell>
          <cell r="I153">
            <v>60</v>
          </cell>
        </row>
        <row r="154">
          <cell r="A154" t="str">
            <v>teachers248</v>
          </cell>
          <cell r="C154">
            <v>34500</v>
          </cell>
          <cell r="D154">
            <v>0</v>
          </cell>
          <cell r="G154">
            <v>500</v>
          </cell>
          <cell r="H154">
            <v>5000</v>
          </cell>
          <cell r="I154">
            <v>0</v>
          </cell>
        </row>
        <row r="155">
          <cell r="A155" t="str">
            <v>teachers249</v>
          </cell>
          <cell r="C155">
            <v>34500</v>
          </cell>
          <cell r="D155">
            <v>0</v>
          </cell>
          <cell r="G155">
            <v>0</v>
          </cell>
          <cell r="H155">
            <v>6000</v>
          </cell>
          <cell r="I155">
            <v>0</v>
          </cell>
        </row>
        <row r="156">
          <cell r="A156" t="str">
            <v>teachers250</v>
          </cell>
          <cell r="C156">
            <v>28900</v>
          </cell>
          <cell r="D156">
            <v>0</v>
          </cell>
          <cell r="G156">
            <v>500</v>
          </cell>
          <cell r="H156">
            <v>2000</v>
          </cell>
          <cell r="I156">
            <v>0</v>
          </cell>
        </row>
        <row r="157">
          <cell r="A157" t="str">
            <v>teachers393-b8f65964</v>
          </cell>
          <cell r="C157">
            <v>28900</v>
          </cell>
          <cell r="D157">
            <v>0</v>
          </cell>
          <cell r="G157">
            <v>500</v>
          </cell>
          <cell r="H157">
            <v>0</v>
          </cell>
          <cell r="I157">
            <v>0</v>
          </cell>
        </row>
        <row r="158">
          <cell r="A158" t="str">
            <v>teachers251</v>
          </cell>
          <cell r="C158">
            <v>51700</v>
          </cell>
          <cell r="D158">
            <v>400</v>
          </cell>
          <cell r="G158">
            <v>500</v>
          </cell>
          <cell r="H158">
            <v>6000</v>
          </cell>
          <cell r="I158">
            <v>60</v>
          </cell>
        </row>
        <row r="159">
          <cell r="A159" t="str">
            <v>teachers254</v>
          </cell>
          <cell r="C159">
            <v>34500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</row>
        <row r="160">
          <cell r="A160" t="str">
            <v>teachers253</v>
          </cell>
          <cell r="C160">
            <v>34500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</row>
        <row r="161">
          <cell r="A161" t="str">
            <v>teachers252</v>
          </cell>
          <cell r="C161">
            <v>34500</v>
          </cell>
          <cell r="D161">
            <v>0</v>
          </cell>
          <cell r="G161">
            <v>500</v>
          </cell>
          <cell r="H161">
            <v>4000</v>
          </cell>
          <cell r="I161">
            <v>0</v>
          </cell>
        </row>
        <row r="162">
          <cell r="A162" t="str">
            <v>teachers256</v>
          </cell>
          <cell r="C162">
            <v>34500</v>
          </cell>
          <cell r="D162">
            <v>0</v>
          </cell>
          <cell r="G162">
            <v>500</v>
          </cell>
          <cell r="H162">
            <v>4000</v>
          </cell>
          <cell r="I162">
            <v>0</v>
          </cell>
        </row>
        <row r="163">
          <cell r="A163" t="str">
            <v>teachers255</v>
          </cell>
          <cell r="C163">
            <v>33500</v>
          </cell>
          <cell r="D163">
            <v>0</v>
          </cell>
          <cell r="G163">
            <v>500</v>
          </cell>
          <cell r="H163">
            <v>3000</v>
          </cell>
          <cell r="I163">
            <v>0</v>
          </cell>
        </row>
        <row r="164">
          <cell r="A164" t="str">
            <v>teachers257</v>
          </cell>
          <cell r="C164">
            <v>47300</v>
          </cell>
          <cell r="D164">
            <v>400</v>
          </cell>
          <cell r="G164">
            <v>0</v>
          </cell>
          <cell r="H164">
            <v>3000</v>
          </cell>
          <cell r="I164">
            <v>0</v>
          </cell>
        </row>
        <row r="165">
          <cell r="A165" t="str">
            <v>teachers258</v>
          </cell>
          <cell r="C165">
            <v>34500</v>
          </cell>
          <cell r="D165">
            <v>0</v>
          </cell>
          <cell r="G165">
            <v>0</v>
          </cell>
          <cell r="H165">
            <v>3000</v>
          </cell>
          <cell r="I165">
            <v>0</v>
          </cell>
        </row>
        <row r="166">
          <cell r="A166" t="str">
            <v>teachers259</v>
          </cell>
          <cell r="C166">
            <v>34500</v>
          </cell>
          <cell r="D166">
            <v>0</v>
          </cell>
          <cell r="G166">
            <v>500</v>
          </cell>
          <cell r="H166">
            <v>3000</v>
          </cell>
          <cell r="I166">
            <v>0</v>
          </cell>
        </row>
        <row r="167">
          <cell r="A167" t="str">
            <v>teachers260</v>
          </cell>
          <cell r="C167">
            <v>27000</v>
          </cell>
          <cell r="D167">
            <v>0</v>
          </cell>
          <cell r="G167">
            <v>500</v>
          </cell>
          <cell r="H167">
            <v>2000</v>
          </cell>
          <cell r="I167">
            <v>0</v>
          </cell>
        </row>
        <row r="168">
          <cell r="A168" t="str">
            <v>teachers261</v>
          </cell>
          <cell r="C168">
            <v>31600</v>
          </cell>
          <cell r="D168">
            <v>0</v>
          </cell>
          <cell r="G168">
            <v>500</v>
          </cell>
          <cell r="H168">
            <v>2000</v>
          </cell>
          <cell r="I168">
            <v>0</v>
          </cell>
        </row>
        <row r="169">
          <cell r="A169" t="str">
            <v>teachers262</v>
          </cell>
          <cell r="C169">
            <v>34500</v>
          </cell>
          <cell r="D169">
            <v>0</v>
          </cell>
          <cell r="G169">
            <v>0</v>
          </cell>
          <cell r="H169">
            <v>3000</v>
          </cell>
          <cell r="I169">
            <v>0</v>
          </cell>
        </row>
        <row r="170">
          <cell r="A170" t="str">
            <v>teachers263</v>
          </cell>
          <cell r="C170">
            <v>33500</v>
          </cell>
          <cell r="D170">
            <v>400</v>
          </cell>
          <cell r="G170">
            <v>500</v>
          </cell>
          <cell r="H170">
            <v>2500</v>
          </cell>
          <cell r="I170">
            <v>0</v>
          </cell>
        </row>
        <row r="171">
          <cell r="A171" t="str">
            <v>teachers264</v>
          </cell>
          <cell r="C171">
            <v>50200</v>
          </cell>
          <cell r="D171">
            <v>0</v>
          </cell>
          <cell r="G171">
            <v>500</v>
          </cell>
          <cell r="H171">
            <v>15000</v>
          </cell>
          <cell r="I171">
            <v>0</v>
          </cell>
        </row>
        <row r="172">
          <cell r="A172" t="str">
            <v>teachers265</v>
          </cell>
          <cell r="C172">
            <v>33500</v>
          </cell>
          <cell r="D172">
            <v>0</v>
          </cell>
          <cell r="G172">
            <v>500</v>
          </cell>
          <cell r="H172">
            <v>2500</v>
          </cell>
          <cell r="I172">
            <v>0</v>
          </cell>
        </row>
        <row r="173">
          <cell r="A173" t="str">
            <v>teachers266</v>
          </cell>
          <cell r="C173">
            <v>33500</v>
          </cell>
          <cell r="D173">
            <v>0</v>
          </cell>
          <cell r="G173">
            <v>500</v>
          </cell>
          <cell r="H173">
            <v>2500</v>
          </cell>
          <cell r="I173">
            <v>0</v>
          </cell>
        </row>
        <row r="174">
          <cell r="A174" t="str">
            <v>teachers267</v>
          </cell>
          <cell r="C174">
            <v>33500</v>
          </cell>
          <cell r="D174">
            <v>400</v>
          </cell>
          <cell r="G174">
            <v>500</v>
          </cell>
          <cell r="H174">
            <v>3000</v>
          </cell>
          <cell r="I174">
            <v>0</v>
          </cell>
        </row>
        <row r="175">
          <cell r="A175" t="str">
            <v>teachers268</v>
          </cell>
          <cell r="C175">
            <v>34500</v>
          </cell>
          <cell r="D175">
            <v>0</v>
          </cell>
          <cell r="G175">
            <v>500</v>
          </cell>
          <cell r="H175">
            <v>3000</v>
          </cell>
          <cell r="I175">
            <v>0</v>
          </cell>
        </row>
        <row r="176">
          <cell r="A176" t="str">
            <v>teachers269</v>
          </cell>
          <cell r="C176">
            <v>33500</v>
          </cell>
          <cell r="D176">
            <v>0</v>
          </cell>
          <cell r="G176">
            <v>500</v>
          </cell>
          <cell r="H176">
            <v>3000</v>
          </cell>
          <cell r="I176">
            <v>0</v>
          </cell>
        </row>
        <row r="177">
          <cell r="A177" t="str">
            <v>teachers270</v>
          </cell>
          <cell r="C177">
            <v>37700</v>
          </cell>
          <cell r="D177">
            <v>0</v>
          </cell>
          <cell r="G177">
            <v>500</v>
          </cell>
          <cell r="H177">
            <v>7000</v>
          </cell>
          <cell r="I177">
            <v>0</v>
          </cell>
        </row>
        <row r="178">
          <cell r="A178" t="str">
            <v>teachers271</v>
          </cell>
          <cell r="C178">
            <v>25400</v>
          </cell>
          <cell r="D178">
            <v>0</v>
          </cell>
          <cell r="G178">
            <v>500</v>
          </cell>
          <cell r="H178">
            <v>2000</v>
          </cell>
          <cell r="I178">
            <v>0</v>
          </cell>
        </row>
        <row r="179">
          <cell r="A179" t="str">
            <v>teachers272</v>
          </cell>
          <cell r="C179">
            <v>28900</v>
          </cell>
          <cell r="D179">
            <v>0</v>
          </cell>
          <cell r="G179">
            <v>500</v>
          </cell>
          <cell r="H179">
            <v>2000</v>
          </cell>
          <cell r="I179">
            <v>0</v>
          </cell>
        </row>
        <row r="180">
          <cell r="A180" t="str">
            <v>teachers273</v>
          </cell>
          <cell r="C180">
            <v>51700</v>
          </cell>
          <cell r="D180">
            <v>400</v>
          </cell>
          <cell r="G180">
            <v>500</v>
          </cell>
          <cell r="H180">
            <v>3500</v>
          </cell>
          <cell r="I180">
            <v>0</v>
          </cell>
        </row>
        <row r="181">
          <cell r="A181" t="str">
            <v>teachers274</v>
          </cell>
          <cell r="C181">
            <v>47300</v>
          </cell>
          <cell r="D181">
            <v>0</v>
          </cell>
          <cell r="G181">
            <v>0</v>
          </cell>
          <cell r="H181">
            <v>3000</v>
          </cell>
          <cell r="I181">
            <v>0</v>
          </cell>
        </row>
        <row r="182">
          <cell r="A182" t="str">
            <v>teachers275</v>
          </cell>
          <cell r="C182">
            <v>47300</v>
          </cell>
          <cell r="D182">
            <v>0</v>
          </cell>
          <cell r="G182">
            <v>500</v>
          </cell>
          <cell r="H182">
            <v>3000</v>
          </cell>
          <cell r="I182">
            <v>0</v>
          </cell>
        </row>
        <row r="183">
          <cell r="A183" t="str">
            <v>teachers276</v>
          </cell>
          <cell r="C183">
            <v>34500</v>
          </cell>
          <cell r="D183">
            <v>0</v>
          </cell>
          <cell r="G183">
            <v>500</v>
          </cell>
          <cell r="H183">
            <v>2500</v>
          </cell>
          <cell r="I183">
            <v>0</v>
          </cell>
        </row>
        <row r="184">
          <cell r="A184" t="str">
            <v>teachers277</v>
          </cell>
          <cell r="C184">
            <v>33500</v>
          </cell>
          <cell r="D184">
            <v>0</v>
          </cell>
          <cell r="G184">
            <v>0</v>
          </cell>
          <cell r="H184">
            <v>2500</v>
          </cell>
          <cell r="I184">
            <v>0</v>
          </cell>
        </row>
        <row r="185">
          <cell r="A185" t="str">
            <v>teachers278</v>
          </cell>
          <cell r="C185">
            <v>28900</v>
          </cell>
          <cell r="D185">
            <v>0</v>
          </cell>
          <cell r="G185">
            <v>500</v>
          </cell>
          <cell r="H185">
            <v>2000</v>
          </cell>
          <cell r="I185">
            <v>0</v>
          </cell>
        </row>
        <row r="186">
          <cell r="A186" t="str">
            <v>teachers396-680da03e</v>
          </cell>
          <cell r="C186">
            <v>24700</v>
          </cell>
          <cell r="D186">
            <v>0</v>
          </cell>
          <cell r="G186">
            <v>500</v>
          </cell>
          <cell r="H186">
            <v>0</v>
          </cell>
          <cell r="I186">
            <v>0</v>
          </cell>
        </row>
        <row r="187">
          <cell r="A187" t="str">
            <v>teachers279</v>
          </cell>
          <cell r="C187">
            <v>47300</v>
          </cell>
          <cell r="D187">
            <v>400</v>
          </cell>
          <cell r="G187">
            <v>0</v>
          </cell>
          <cell r="H187">
            <v>4000</v>
          </cell>
          <cell r="I187">
            <v>0</v>
          </cell>
        </row>
        <row r="188">
          <cell r="A188" t="str">
            <v>teachers280</v>
          </cell>
          <cell r="C188">
            <v>33500</v>
          </cell>
          <cell r="D188">
            <v>0</v>
          </cell>
          <cell r="G188">
            <v>500</v>
          </cell>
          <cell r="H188">
            <v>3000</v>
          </cell>
          <cell r="I188">
            <v>0</v>
          </cell>
        </row>
        <row r="189">
          <cell r="A189" t="str">
            <v>teachers281</v>
          </cell>
          <cell r="C189">
            <v>28600</v>
          </cell>
          <cell r="D189">
            <v>0</v>
          </cell>
          <cell r="G189">
            <v>0</v>
          </cell>
          <cell r="H189">
            <v>5000</v>
          </cell>
          <cell r="I189">
            <v>0</v>
          </cell>
        </row>
        <row r="190">
          <cell r="A190" t="str">
            <v>teachers282</v>
          </cell>
          <cell r="C190">
            <v>58800</v>
          </cell>
          <cell r="D190">
            <v>400</v>
          </cell>
          <cell r="G190">
            <v>500</v>
          </cell>
          <cell r="H190">
            <v>13000</v>
          </cell>
          <cell r="I190">
            <v>0</v>
          </cell>
        </row>
        <row r="191">
          <cell r="A191" t="str">
            <v>teachers283</v>
          </cell>
          <cell r="C191">
            <v>34500</v>
          </cell>
          <cell r="D191">
            <v>0</v>
          </cell>
          <cell r="G191">
            <v>500</v>
          </cell>
          <cell r="H191">
            <v>5500</v>
          </cell>
          <cell r="I191">
            <v>0</v>
          </cell>
        </row>
        <row r="192">
          <cell r="A192" t="str">
            <v>teachers284</v>
          </cell>
          <cell r="C192">
            <v>50200</v>
          </cell>
          <cell r="D192">
            <v>0</v>
          </cell>
          <cell r="G192">
            <v>500</v>
          </cell>
          <cell r="H192">
            <v>5000</v>
          </cell>
          <cell r="I192">
            <v>0</v>
          </cell>
        </row>
        <row r="193">
          <cell r="A193" t="str">
            <v>teachers285</v>
          </cell>
          <cell r="C193">
            <v>33500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</row>
        <row r="194">
          <cell r="A194" t="str">
            <v>teachers286</v>
          </cell>
          <cell r="C194">
            <v>33500</v>
          </cell>
          <cell r="D194">
            <v>0</v>
          </cell>
          <cell r="G194">
            <v>500</v>
          </cell>
          <cell r="H194">
            <v>2500</v>
          </cell>
          <cell r="I194">
            <v>0</v>
          </cell>
        </row>
        <row r="195">
          <cell r="A195" t="str">
            <v>teachers287</v>
          </cell>
          <cell r="C195">
            <v>33500</v>
          </cell>
          <cell r="D195">
            <v>0</v>
          </cell>
          <cell r="G195">
            <v>500</v>
          </cell>
          <cell r="H195">
            <v>3000</v>
          </cell>
          <cell r="I195">
            <v>0</v>
          </cell>
        </row>
        <row r="196">
          <cell r="A196" t="str">
            <v>teachers288</v>
          </cell>
          <cell r="C196">
            <v>37700</v>
          </cell>
          <cell r="D196">
            <v>0</v>
          </cell>
          <cell r="G196">
            <v>500</v>
          </cell>
          <cell r="H196">
            <v>5000</v>
          </cell>
          <cell r="I196">
            <v>0</v>
          </cell>
        </row>
        <row r="197">
          <cell r="A197" t="str">
            <v>teachers289</v>
          </cell>
          <cell r="C197">
            <v>28900</v>
          </cell>
          <cell r="D197">
            <v>0</v>
          </cell>
          <cell r="G197">
            <v>500</v>
          </cell>
          <cell r="H197">
            <v>2000</v>
          </cell>
          <cell r="I197">
            <v>0</v>
          </cell>
        </row>
        <row r="198">
          <cell r="A198" t="str">
            <v>teachers290</v>
          </cell>
          <cell r="C198">
            <v>33500</v>
          </cell>
          <cell r="D198">
            <v>400</v>
          </cell>
          <cell r="G198">
            <v>500</v>
          </cell>
          <cell r="H198">
            <v>3000</v>
          </cell>
          <cell r="I198">
            <v>0</v>
          </cell>
        </row>
        <row r="199">
          <cell r="A199" t="str">
            <v>teachers291</v>
          </cell>
          <cell r="C199">
            <v>31600</v>
          </cell>
          <cell r="D199">
            <v>0</v>
          </cell>
          <cell r="G199">
            <v>500</v>
          </cell>
          <cell r="H199">
            <v>2000</v>
          </cell>
          <cell r="I199">
            <v>0</v>
          </cell>
        </row>
        <row r="200">
          <cell r="A200" t="str">
            <v>teachers292</v>
          </cell>
          <cell r="C200">
            <v>51700</v>
          </cell>
          <cell r="D200">
            <v>400</v>
          </cell>
          <cell r="G200">
            <v>500</v>
          </cell>
          <cell r="H200">
            <v>10000</v>
          </cell>
          <cell r="I200">
            <v>0</v>
          </cell>
        </row>
        <row r="201">
          <cell r="A201" t="str">
            <v>teachers293</v>
          </cell>
          <cell r="C201">
            <v>47300</v>
          </cell>
          <cell r="D201">
            <v>0</v>
          </cell>
          <cell r="G201">
            <v>500</v>
          </cell>
          <cell r="H201">
            <v>5000</v>
          </cell>
          <cell r="I201">
            <v>0</v>
          </cell>
        </row>
        <row r="202">
          <cell r="A202" t="str">
            <v>teachers294</v>
          </cell>
          <cell r="C202">
            <v>33500</v>
          </cell>
          <cell r="D202">
            <v>0</v>
          </cell>
          <cell r="G202">
            <v>500</v>
          </cell>
          <cell r="H202">
            <v>3000</v>
          </cell>
          <cell r="I202">
            <v>0</v>
          </cell>
        </row>
        <row r="203">
          <cell r="A203" t="str">
            <v>teachers295</v>
          </cell>
          <cell r="C203">
            <v>31600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</row>
        <row r="204">
          <cell r="A204" t="str">
            <v>teachers296</v>
          </cell>
          <cell r="C204">
            <v>47300</v>
          </cell>
          <cell r="D204">
            <v>400</v>
          </cell>
          <cell r="G204">
            <v>500</v>
          </cell>
          <cell r="H204">
            <v>5000</v>
          </cell>
          <cell r="I204">
            <v>0</v>
          </cell>
        </row>
        <row r="205">
          <cell r="A205" t="str">
            <v>teachers297</v>
          </cell>
          <cell r="C205">
            <v>47300</v>
          </cell>
          <cell r="D205">
            <v>0</v>
          </cell>
          <cell r="G205">
            <v>500</v>
          </cell>
          <cell r="H205">
            <v>6000</v>
          </cell>
          <cell r="I205">
            <v>0</v>
          </cell>
        </row>
        <row r="206">
          <cell r="A206" t="str">
            <v>teachers298</v>
          </cell>
          <cell r="C206">
            <v>31600</v>
          </cell>
          <cell r="D206">
            <v>0</v>
          </cell>
          <cell r="G206">
            <v>500</v>
          </cell>
          <cell r="H206">
            <v>2000</v>
          </cell>
          <cell r="I206">
            <v>0</v>
          </cell>
        </row>
        <row r="207">
          <cell r="A207" t="str">
            <v>teachers299</v>
          </cell>
          <cell r="C207">
            <v>48700</v>
          </cell>
          <cell r="D207">
            <v>400</v>
          </cell>
          <cell r="G207">
            <v>500</v>
          </cell>
          <cell r="H207">
            <v>4000</v>
          </cell>
          <cell r="I207">
            <v>60</v>
          </cell>
        </row>
        <row r="208">
          <cell r="A208" t="str">
            <v>teachers300</v>
          </cell>
          <cell r="C208">
            <v>34500</v>
          </cell>
          <cell r="D208">
            <v>0</v>
          </cell>
          <cell r="G208">
            <v>500</v>
          </cell>
          <cell r="H208">
            <v>2500</v>
          </cell>
          <cell r="I208">
            <v>0</v>
          </cell>
        </row>
        <row r="209">
          <cell r="A209" t="str">
            <v>teachers301</v>
          </cell>
          <cell r="C209">
            <v>34500</v>
          </cell>
          <cell r="D209">
            <v>0</v>
          </cell>
          <cell r="G209">
            <v>500</v>
          </cell>
          <cell r="H209">
            <v>2500</v>
          </cell>
          <cell r="I209">
            <v>0</v>
          </cell>
        </row>
        <row r="210">
          <cell r="A210" t="str">
            <v>teachers302</v>
          </cell>
          <cell r="C210">
            <v>33500</v>
          </cell>
          <cell r="D210">
            <v>0</v>
          </cell>
          <cell r="G210">
            <v>0</v>
          </cell>
          <cell r="H210">
            <v>2500</v>
          </cell>
          <cell r="I210">
            <v>0</v>
          </cell>
        </row>
        <row r="211">
          <cell r="A211" t="str">
            <v>teachers303</v>
          </cell>
          <cell r="C211">
            <v>33500</v>
          </cell>
          <cell r="D211">
            <v>0</v>
          </cell>
          <cell r="G211">
            <v>500</v>
          </cell>
          <cell r="H211">
            <v>4000</v>
          </cell>
          <cell r="I211">
            <v>0</v>
          </cell>
        </row>
        <row r="212">
          <cell r="A212" t="str">
            <v>teachers387-8a82d5ab</v>
          </cell>
          <cell r="C212">
            <v>24700</v>
          </cell>
          <cell r="D212">
            <v>0</v>
          </cell>
          <cell r="G212">
            <v>500</v>
          </cell>
          <cell r="H212">
            <v>0</v>
          </cell>
          <cell r="I212">
            <v>0</v>
          </cell>
        </row>
        <row r="213">
          <cell r="A213" t="str">
            <v>teachers304</v>
          </cell>
          <cell r="C213">
            <v>51700</v>
          </cell>
          <cell r="D213">
            <v>400</v>
          </cell>
          <cell r="G213">
            <v>500</v>
          </cell>
          <cell r="H213">
            <v>10000</v>
          </cell>
          <cell r="I213">
            <v>0</v>
          </cell>
        </row>
        <row r="214">
          <cell r="A214" t="str">
            <v>teachers305</v>
          </cell>
          <cell r="C214">
            <v>47300</v>
          </cell>
          <cell r="D214">
            <v>0</v>
          </cell>
          <cell r="G214">
            <v>0</v>
          </cell>
          <cell r="H214">
            <v>5000</v>
          </cell>
          <cell r="I214">
            <v>0</v>
          </cell>
        </row>
        <row r="215">
          <cell r="A215" t="str">
            <v>teachers306</v>
          </cell>
          <cell r="C215">
            <v>50200</v>
          </cell>
          <cell r="D215">
            <v>0</v>
          </cell>
          <cell r="G215">
            <v>0</v>
          </cell>
          <cell r="H215">
            <v>4000</v>
          </cell>
          <cell r="I215">
            <v>60</v>
          </cell>
        </row>
        <row r="216">
          <cell r="A216" t="str">
            <v>teachers307</v>
          </cell>
          <cell r="C216">
            <v>33500</v>
          </cell>
          <cell r="D216">
            <v>0</v>
          </cell>
          <cell r="G216">
            <v>0</v>
          </cell>
          <cell r="H216">
            <v>5000</v>
          </cell>
          <cell r="I216">
            <v>0</v>
          </cell>
        </row>
        <row r="217">
          <cell r="A217" t="str">
            <v>teachers308</v>
          </cell>
          <cell r="C217">
            <v>49200</v>
          </cell>
          <cell r="D217">
            <v>0</v>
          </cell>
          <cell r="G217">
            <v>500</v>
          </cell>
          <cell r="H217">
            <v>10000</v>
          </cell>
          <cell r="I217">
            <v>0</v>
          </cell>
        </row>
        <row r="218">
          <cell r="A218" t="str">
            <v>teachers309</v>
          </cell>
          <cell r="C218">
            <v>50200</v>
          </cell>
          <cell r="D218">
            <v>400</v>
          </cell>
          <cell r="G218">
            <v>500</v>
          </cell>
          <cell r="H218">
            <v>5000</v>
          </cell>
          <cell r="I218">
            <v>0</v>
          </cell>
        </row>
        <row r="219">
          <cell r="A219" t="str">
            <v>teachers310</v>
          </cell>
          <cell r="C219">
            <v>34500</v>
          </cell>
          <cell r="D219">
            <v>0</v>
          </cell>
          <cell r="G219">
            <v>500</v>
          </cell>
          <cell r="H219">
            <v>5000</v>
          </cell>
          <cell r="I219">
            <v>0</v>
          </cell>
        </row>
        <row r="220">
          <cell r="A220" t="str">
            <v>teachers311</v>
          </cell>
          <cell r="C220">
            <v>28900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</row>
        <row r="221">
          <cell r="A221" t="str">
            <v>teachers312</v>
          </cell>
          <cell r="C221">
            <v>35500</v>
          </cell>
          <cell r="D221">
            <v>400</v>
          </cell>
          <cell r="G221">
            <v>0</v>
          </cell>
          <cell r="H221">
            <v>5000</v>
          </cell>
          <cell r="I221">
            <v>0</v>
          </cell>
        </row>
        <row r="222">
          <cell r="A222" t="str">
            <v>teachers313</v>
          </cell>
          <cell r="C222">
            <v>33500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</row>
        <row r="223">
          <cell r="A223" t="str">
            <v>teachers314</v>
          </cell>
          <cell r="C223">
            <v>31600</v>
          </cell>
          <cell r="D223">
            <v>0</v>
          </cell>
          <cell r="G223">
            <v>500</v>
          </cell>
          <cell r="H223">
            <v>2000</v>
          </cell>
          <cell r="I223">
            <v>0</v>
          </cell>
        </row>
        <row r="224">
          <cell r="A224" t="str">
            <v>teachers315</v>
          </cell>
          <cell r="C224">
            <v>34500</v>
          </cell>
          <cell r="D224">
            <v>400</v>
          </cell>
          <cell r="G224">
            <v>500</v>
          </cell>
          <cell r="H224">
            <v>3000</v>
          </cell>
          <cell r="I224">
            <v>0</v>
          </cell>
        </row>
        <row r="225">
          <cell r="A225" t="str">
            <v>teachers316</v>
          </cell>
          <cell r="C225">
            <v>34500</v>
          </cell>
          <cell r="D225">
            <v>0</v>
          </cell>
          <cell r="G225">
            <v>500</v>
          </cell>
          <cell r="H225">
            <v>3000</v>
          </cell>
          <cell r="I225">
            <v>0</v>
          </cell>
        </row>
        <row r="226">
          <cell r="A226" t="str">
            <v>teachers317</v>
          </cell>
          <cell r="C226">
            <v>33500</v>
          </cell>
          <cell r="D226">
            <v>400</v>
          </cell>
          <cell r="G226">
            <v>500</v>
          </cell>
          <cell r="H226">
            <v>2500</v>
          </cell>
          <cell r="I226">
            <v>0</v>
          </cell>
        </row>
        <row r="227">
          <cell r="A227" t="str">
            <v>teachers318</v>
          </cell>
          <cell r="C227">
            <v>33500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</row>
        <row r="228">
          <cell r="A228" t="str">
            <v>teachers386-dbc88f20</v>
          </cell>
          <cell r="C228">
            <v>28900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</row>
        <row r="229">
          <cell r="A229" t="str">
            <v>teachers319</v>
          </cell>
          <cell r="C229">
            <v>47300</v>
          </cell>
          <cell r="D229">
            <v>0</v>
          </cell>
          <cell r="G229">
            <v>0</v>
          </cell>
          <cell r="H229">
            <v>10000</v>
          </cell>
          <cell r="I229">
            <v>60</v>
          </cell>
        </row>
        <row r="230">
          <cell r="A230" t="str">
            <v>teachers320</v>
          </cell>
          <cell r="C230">
            <v>34500</v>
          </cell>
          <cell r="D230">
            <v>0</v>
          </cell>
          <cell r="G230">
            <v>500</v>
          </cell>
          <cell r="H230">
            <v>2500</v>
          </cell>
          <cell r="I230">
            <v>0</v>
          </cell>
        </row>
        <row r="231">
          <cell r="A231" t="str">
            <v>teachers321</v>
          </cell>
          <cell r="C231">
            <v>28900</v>
          </cell>
          <cell r="D231">
            <v>0</v>
          </cell>
          <cell r="G231">
            <v>500</v>
          </cell>
          <cell r="H231">
            <v>2000</v>
          </cell>
          <cell r="I231">
            <v>0</v>
          </cell>
        </row>
        <row r="232">
          <cell r="A232" t="str">
            <v>teachers322</v>
          </cell>
          <cell r="C232">
            <v>48700</v>
          </cell>
          <cell r="D232">
            <v>400</v>
          </cell>
          <cell r="G232">
            <v>500</v>
          </cell>
          <cell r="H232">
            <v>6000</v>
          </cell>
          <cell r="I232">
            <v>0</v>
          </cell>
        </row>
        <row r="233">
          <cell r="A233" t="str">
            <v>teachers323</v>
          </cell>
          <cell r="C233">
            <v>47300</v>
          </cell>
          <cell r="D233">
            <v>0</v>
          </cell>
          <cell r="G233">
            <v>0</v>
          </cell>
          <cell r="H233">
            <v>6000</v>
          </cell>
          <cell r="I233">
            <v>0</v>
          </cell>
        </row>
        <row r="234">
          <cell r="A234" t="str">
            <v>teachers324</v>
          </cell>
          <cell r="C234">
            <v>33500</v>
          </cell>
          <cell r="D234">
            <v>0</v>
          </cell>
          <cell r="G234">
            <v>500</v>
          </cell>
          <cell r="H234">
            <v>2500</v>
          </cell>
          <cell r="I234">
            <v>0</v>
          </cell>
        </row>
        <row r="235">
          <cell r="A235" t="str">
            <v>teachers325</v>
          </cell>
          <cell r="C235">
            <v>33500</v>
          </cell>
          <cell r="D235">
            <v>0</v>
          </cell>
          <cell r="G235">
            <v>500</v>
          </cell>
          <cell r="H235">
            <v>2500</v>
          </cell>
          <cell r="I235">
            <v>0</v>
          </cell>
        </row>
        <row r="236">
          <cell r="A236" t="str">
            <v>teachers326</v>
          </cell>
          <cell r="C236">
            <v>37700</v>
          </cell>
          <cell r="D236">
            <v>0</v>
          </cell>
          <cell r="G236">
            <v>500</v>
          </cell>
          <cell r="H236">
            <v>3000</v>
          </cell>
          <cell r="I236">
            <v>0</v>
          </cell>
        </row>
        <row r="237">
          <cell r="A237" t="str">
            <v>teachers327</v>
          </cell>
          <cell r="C237">
            <v>55400</v>
          </cell>
          <cell r="D237">
            <v>400</v>
          </cell>
          <cell r="G237">
            <v>0</v>
          </cell>
          <cell r="H237">
            <v>3500</v>
          </cell>
          <cell r="I237">
            <v>0</v>
          </cell>
        </row>
        <row r="238">
          <cell r="A238" t="str">
            <v>teachers328</v>
          </cell>
          <cell r="C238">
            <v>29800</v>
          </cell>
          <cell r="D238">
            <v>0</v>
          </cell>
          <cell r="G238">
            <v>500</v>
          </cell>
          <cell r="H238">
            <v>2000</v>
          </cell>
          <cell r="I238">
            <v>0</v>
          </cell>
        </row>
        <row r="239">
          <cell r="A239" t="str">
            <v>teachers329</v>
          </cell>
          <cell r="C239">
            <v>28900</v>
          </cell>
          <cell r="D239">
            <v>0</v>
          </cell>
          <cell r="G239">
            <v>0</v>
          </cell>
          <cell r="H239">
            <v>2000</v>
          </cell>
          <cell r="I239">
            <v>0</v>
          </cell>
        </row>
        <row r="240">
          <cell r="A240" t="str">
            <v>teachers330</v>
          </cell>
          <cell r="C240">
            <v>28900</v>
          </cell>
          <cell r="D240">
            <v>0</v>
          </cell>
          <cell r="G240">
            <v>500</v>
          </cell>
          <cell r="H240">
            <v>2000</v>
          </cell>
          <cell r="I240">
            <v>0</v>
          </cell>
        </row>
        <row r="241">
          <cell r="A241" t="str">
            <v>teachers331</v>
          </cell>
          <cell r="C241">
            <v>37700</v>
          </cell>
          <cell r="D241">
            <v>400</v>
          </cell>
          <cell r="G241">
            <v>500</v>
          </cell>
          <cell r="H241">
            <v>3000</v>
          </cell>
          <cell r="I241">
            <v>0</v>
          </cell>
        </row>
        <row r="242">
          <cell r="A242" t="str">
            <v>teachers332</v>
          </cell>
          <cell r="C242">
            <v>47300</v>
          </cell>
          <cell r="D242">
            <v>0</v>
          </cell>
          <cell r="G242">
            <v>500</v>
          </cell>
          <cell r="H242">
            <v>3000</v>
          </cell>
          <cell r="I242">
            <v>0</v>
          </cell>
        </row>
        <row r="243">
          <cell r="A243" t="str">
            <v>teachers333</v>
          </cell>
          <cell r="C243">
            <v>33500</v>
          </cell>
          <cell r="D243">
            <v>0</v>
          </cell>
          <cell r="G243">
            <v>500</v>
          </cell>
          <cell r="H243">
            <v>2500</v>
          </cell>
          <cell r="I243">
            <v>0</v>
          </cell>
        </row>
        <row r="244">
          <cell r="A244" t="str">
            <v>teachers334</v>
          </cell>
          <cell r="C244">
            <v>33500</v>
          </cell>
          <cell r="D244">
            <v>0</v>
          </cell>
          <cell r="G244">
            <v>500</v>
          </cell>
          <cell r="H244">
            <v>2500</v>
          </cell>
          <cell r="I244">
            <v>0</v>
          </cell>
        </row>
        <row r="245">
          <cell r="A245" t="str">
            <v>teachers335</v>
          </cell>
          <cell r="C245">
            <v>28900</v>
          </cell>
          <cell r="D245">
            <v>0</v>
          </cell>
          <cell r="G245">
            <v>500</v>
          </cell>
          <cell r="H245">
            <v>2000</v>
          </cell>
          <cell r="I245">
            <v>0</v>
          </cell>
        </row>
        <row r="246">
          <cell r="A246" t="str">
            <v>teachers388-9d83883f</v>
          </cell>
          <cell r="C246">
            <v>48700</v>
          </cell>
          <cell r="D246">
            <v>400</v>
          </cell>
          <cell r="G246">
            <v>500</v>
          </cell>
          <cell r="H246">
            <v>5000</v>
          </cell>
          <cell r="I246">
            <v>0</v>
          </cell>
        </row>
        <row r="247">
          <cell r="A247" t="str">
            <v>teachers336</v>
          </cell>
          <cell r="C247">
            <v>34500</v>
          </cell>
          <cell r="D247">
            <v>0</v>
          </cell>
          <cell r="G247">
            <v>500</v>
          </cell>
          <cell r="H247">
            <v>6000</v>
          </cell>
          <cell r="I247">
            <v>0</v>
          </cell>
        </row>
        <row r="248">
          <cell r="A248" t="str">
            <v>teachers337</v>
          </cell>
          <cell r="C248">
            <v>34500</v>
          </cell>
          <cell r="D248">
            <v>0</v>
          </cell>
          <cell r="G248">
            <v>500</v>
          </cell>
          <cell r="H248">
            <v>3000</v>
          </cell>
          <cell r="I248">
            <v>0</v>
          </cell>
        </row>
        <row r="249">
          <cell r="A249" t="str">
            <v>teachers338</v>
          </cell>
          <cell r="C249">
            <v>28900</v>
          </cell>
          <cell r="D249">
            <v>0</v>
          </cell>
          <cell r="G249">
            <v>500</v>
          </cell>
          <cell r="H249">
            <v>2000</v>
          </cell>
          <cell r="I249">
            <v>0</v>
          </cell>
        </row>
        <row r="250">
          <cell r="A250" t="str">
            <v>teachers339</v>
          </cell>
          <cell r="C250">
            <v>34500</v>
          </cell>
          <cell r="D250">
            <v>400</v>
          </cell>
          <cell r="G250">
            <v>0</v>
          </cell>
          <cell r="H250">
            <v>2500</v>
          </cell>
          <cell r="I250">
            <v>0</v>
          </cell>
        </row>
        <row r="251">
          <cell r="A251" t="str">
            <v>teachers340</v>
          </cell>
          <cell r="C251">
            <v>34500</v>
          </cell>
          <cell r="D251">
            <v>0</v>
          </cell>
          <cell r="G251">
            <v>0</v>
          </cell>
          <cell r="H251">
            <v>5000</v>
          </cell>
          <cell r="I251">
            <v>0</v>
          </cell>
        </row>
        <row r="252">
          <cell r="A252" t="str">
            <v>teachers341</v>
          </cell>
          <cell r="C252">
            <v>51700</v>
          </cell>
          <cell r="D252">
            <v>400</v>
          </cell>
          <cell r="G252">
            <v>500</v>
          </cell>
          <cell r="H252">
            <v>5000</v>
          </cell>
          <cell r="I252">
            <v>0</v>
          </cell>
        </row>
        <row r="253">
          <cell r="A253" t="str">
            <v>teachers342</v>
          </cell>
          <cell r="C253">
            <v>34500</v>
          </cell>
          <cell r="D253">
            <v>0</v>
          </cell>
          <cell r="G253">
            <v>500</v>
          </cell>
          <cell r="H253">
            <v>3000</v>
          </cell>
          <cell r="I253">
            <v>0</v>
          </cell>
        </row>
        <row r="254">
          <cell r="A254" t="str">
            <v>teachers343</v>
          </cell>
          <cell r="C254">
            <v>28900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</row>
        <row r="255">
          <cell r="A255" t="str">
            <v>teachers344</v>
          </cell>
          <cell r="C255">
            <v>34500</v>
          </cell>
          <cell r="D255">
            <v>400</v>
          </cell>
          <cell r="G255">
            <v>500</v>
          </cell>
          <cell r="H255">
            <v>3000</v>
          </cell>
          <cell r="I255">
            <v>0</v>
          </cell>
        </row>
        <row r="256">
          <cell r="A256" t="str">
            <v>teachers345</v>
          </cell>
          <cell r="C256">
            <v>31600</v>
          </cell>
          <cell r="D256">
            <v>0</v>
          </cell>
          <cell r="G256">
            <v>0</v>
          </cell>
          <cell r="H256">
            <v>2000</v>
          </cell>
          <cell r="I256">
            <v>0</v>
          </cell>
        </row>
        <row r="257">
          <cell r="A257" t="str">
            <v>teachers346</v>
          </cell>
          <cell r="C257">
            <v>31600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</row>
        <row r="258">
          <cell r="A258" t="str">
            <v>teachers347</v>
          </cell>
          <cell r="C258">
            <v>34500</v>
          </cell>
          <cell r="D258">
            <v>0</v>
          </cell>
          <cell r="G258">
            <v>0</v>
          </cell>
          <cell r="H258">
            <v>0</v>
          </cell>
          <cell r="I258">
            <v>0</v>
          </cell>
        </row>
        <row r="259">
          <cell r="A259" t="str">
            <v>teachers348</v>
          </cell>
          <cell r="C259">
            <v>31600</v>
          </cell>
          <cell r="D259">
            <v>0</v>
          </cell>
          <cell r="G259">
            <v>0</v>
          </cell>
          <cell r="H259">
            <v>5000</v>
          </cell>
          <cell r="I259">
            <v>0</v>
          </cell>
        </row>
        <row r="260">
          <cell r="A260" t="str">
            <v>teachers349</v>
          </cell>
          <cell r="C260">
            <v>28900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</row>
        <row r="261">
          <cell r="A261" t="str">
            <v>teachers350</v>
          </cell>
          <cell r="C261">
            <v>47300</v>
          </cell>
          <cell r="D261">
            <v>400</v>
          </cell>
          <cell r="G261">
            <v>500</v>
          </cell>
          <cell r="H261">
            <v>4000</v>
          </cell>
          <cell r="I261">
            <v>60</v>
          </cell>
        </row>
        <row r="262">
          <cell r="A262" t="str">
            <v>teachers351</v>
          </cell>
          <cell r="C262">
            <v>31600</v>
          </cell>
          <cell r="D262">
            <v>0</v>
          </cell>
          <cell r="G262">
            <v>500</v>
          </cell>
          <cell r="H262">
            <v>2000</v>
          </cell>
          <cell r="I262">
            <v>0</v>
          </cell>
        </row>
        <row r="263">
          <cell r="A263" t="str">
            <v>teachers352</v>
          </cell>
          <cell r="C263">
            <v>28900</v>
          </cell>
          <cell r="D263">
            <v>0</v>
          </cell>
          <cell r="G263">
            <v>500</v>
          </cell>
          <cell r="H263">
            <v>2000</v>
          </cell>
          <cell r="I263">
            <v>0</v>
          </cell>
        </row>
        <row r="264">
          <cell r="A264" t="str">
            <v>teachers353</v>
          </cell>
          <cell r="C264">
            <v>48700</v>
          </cell>
          <cell r="D264">
            <v>400</v>
          </cell>
          <cell r="G264">
            <v>0</v>
          </cell>
          <cell r="H264">
            <v>5000</v>
          </cell>
          <cell r="I264">
            <v>60</v>
          </cell>
        </row>
        <row r="265">
          <cell r="A265" t="str">
            <v>teachers354</v>
          </cell>
          <cell r="C265">
            <v>47300</v>
          </cell>
          <cell r="D265">
            <v>0</v>
          </cell>
          <cell r="G265">
            <v>500</v>
          </cell>
          <cell r="H265">
            <v>12000</v>
          </cell>
          <cell r="I265">
            <v>0</v>
          </cell>
        </row>
        <row r="266">
          <cell r="A266" t="str">
            <v>teachers355</v>
          </cell>
          <cell r="C266">
            <v>51700</v>
          </cell>
          <cell r="D266">
            <v>400</v>
          </cell>
          <cell r="G266">
            <v>500</v>
          </cell>
          <cell r="H266">
            <v>8000</v>
          </cell>
          <cell r="I266">
            <v>60</v>
          </cell>
        </row>
        <row r="267">
          <cell r="A267" t="str">
            <v>teachers356</v>
          </cell>
          <cell r="C267">
            <v>37700</v>
          </cell>
          <cell r="D267">
            <v>0</v>
          </cell>
          <cell r="G267">
            <v>500</v>
          </cell>
          <cell r="H267">
            <v>5000</v>
          </cell>
          <cell r="I267">
            <v>0</v>
          </cell>
        </row>
        <row r="268">
          <cell r="A268" t="str">
            <v>teachers357</v>
          </cell>
          <cell r="C268">
            <v>51700</v>
          </cell>
          <cell r="D268">
            <v>400</v>
          </cell>
          <cell r="G268">
            <v>500</v>
          </cell>
          <cell r="H268">
            <v>4000</v>
          </cell>
          <cell r="I268">
            <v>0</v>
          </cell>
        </row>
        <row r="269">
          <cell r="A269" t="str">
            <v>teachers358</v>
          </cell>
          <cell r="C269">
            <v>29800</v>
          </cell>
          <cell r="D269">
            <v>0</v>
          </cell>
          <cell r="G269">
            <v>500</v>
          </cell>
          <cell r="H269">
            <v>2000</v>
          </cell>
          <cell r="I269">
            <v>0</v>
          </cell>
        </row>
        <row r="270">
          <cell r="A270" t="str">
            <v>teachers359</v>
          </cell>
          <cell r="C270">
            <v>47300</v>
          </cell>
          <cell r="D270">
            <v>400</v>
          </cell>
          <cell r="G270">
            <v>0</v>
          </cell>
          <cell r="H270">
            <v>7000</v>
          </cell>
          <cell r="I270">
            <v>60</v>
          </cell>
        </row>
        <row r="271">
          <cell r="A271" t="str">
            <v>teachers360</v>
          </cell>
          <cell r="C271">
            <v>50200</v>
          </cell>
          <cell r="D271">
            <v>0</v>
          </cell>
          <cell r="G271">
            <v>500</v>
          </cell>
          <cell r="H271">
            <v>5000</v>
          </cell>
          <cell r="I271">
            <v>0</v>
          </cell>
        </row>
        <row r="272">
          <cell r="A272" t="str">
            <v>teachers361</v>
          </cell>
          <cell r="C272">
            <v>33500</v>
          </cell>
          <cell r="D272">
            <v>0</v>
          </cell>
          <cell r="G272">
            <v>500</v>
          </cell>
          <cell r="H272">
            <v>5000</v>
          </cell>
          <cell r="I272">
            <v>0</v>
          </cell>
        </row>
        <row r="273">
          <cell r="A273" t="str">
            <v>teachers362</v>
          </cell>
          <cell r="C273">
            <v>33500</v>
          </cell>
          <cell r="D273">
            <v>0</v>
          </cell>
          <cell r="G273">
            <v>500</v>
          </cell>
          <cell r="H273">
            <v>3000</v>
          </cell>
          <cell r="I273">
            <v>0</v>
          </cell>
        </row>
        <row r="274">
          <cell r="A274" t="str">
            <v>teachers363</v>
          </cell>
          <cell r="C274">
            <v>31600</v>
          </cell>
          <cell r="D274">
            <v>0</v>
          </cell>
          <cell r="G274">
            <v>0</v>
          </cell>
          <cell r="H274">
            <v>2000</v>
          </cell>
          <cell r="I274">
            <v>0</v>
          </cell>
        </row>
        <row r="275">
          <cell r="A275" t="str">
            <v>teachers364</v>
          </cell>
          <cell r="C275">
            <v>27000</v>
          </cell>
          <cell r="D275">
            <v>0</v>
          </cell>
          <cell r="G275">
            <v>0</v>
          </cell>
          <cell r="H275">
            <v>2000</v>
          </cell>
          <cell r="I275">
            <v>0</v>
          </cell>
        </row>
        <row r="276">
          <cell r="A276" t="str">
            <v>teachers365</v>
          </cell>
          <cell r="C276">
            <v>47300</v>
          </cell>
          <cell r="D276">
            <v>400</v>
          </cell>
          <cell r="G276">
            <v>500</v>
          </cell>
          <cell r="H276">
            <v>4000</v>
          </cell>
          <cell r="I276">
            <v>0</v>
          </cell>
        </row>
        <row r="277">
          <cell r="A277" t="str">
            <v>teachers366</v>
          </cell>
          <cell r="C277">
            <v>33500</v>
          </cell>
          <cell r="D277">
            <v>0</v>
          </cell>
          <cell r="G277">
            <v>500</v>
          </cell>
          <cell r="H277">
            <v>2500</v>
          </cell>
          <cell r="I277">
            <v>0</v>
          </cell>
        </row>
        <row r="278">
          <cell r="A278" t="str">
            <v>teachers367</v>
          </cell>
          <cell r="C278">
            <v>33500</v>
          </cell>
          <cell r="D278">
            <v>0</v>
          </cell>
          <cell r="G278">
            <v>0</v>
          </cell>
          <cell r="H278">
            <v>5000</v>
          </cell>
          <cell r="I278">
            <v>0</v>
          </cell>
        </row>
        <row r="279">
          <cell r="A279" t="str">
            <v>teachers394-a4f17403</v>
          </cell>
          <cell r="C279">
            <v>28900</v>
          </cell>
          <cell r="D279">
            <v>0</v>
          </cell>
          <cell r="G279">
            <v>0</v>
          </cell>
          <cell r="H279">
            <v>0</v>
          </cell>
          <cell r="I279">
            <v>0</v>
          </cell>
        </row>
        <row r="280">
          <cell r="A280" t="str">
            <v>teachers368</v>
          </cell>
          <cell r="C280">
            <v>51700</v>
          </cell>
          <cell r="D280">
            <v>400</v>
          </cell>
          <cell r="G280">
            <v>0</v>
          </cell>
          <cell r="H280">
            <v>4000</v>
          </cell>
          <cell r="I280">
            <v>0</v>
          </cell>
        </row>
        <row r="281">
          <cell r="A281" t="str">
            <v>teachers369</v>
          </cell>
          <cell r="C281">
            <v>34500</v>
          </cell>
          <cell r="D281">
            <v>0</v>
          </cell>
          <cell r="G281">
            <v>500</v>
          </cell>
          <cell r="H281">
            <v>3000</v>
          </cell>
          <cell r="I281">
            <v>0</v>
          </cell>
        </row>
        <row r="282">
          <cell r="A282" t="str">
            <v>teachers370</v>
          </cell>
          <cell r="C282">
            <v>34500</v>
          </cell>
          <cell r="D282">
            <v>0</v>
          </cell>
          <cell r="G282">
            <v>500</v>
          </cell>
          <cell r="H282">
            <v>2500</v>
          </cell>
          <cell r="I282">
            <v>0</v>
          </cell>
        </row>
        <row r="283">
          <cell r="A283" t="str">
            <v>teachers371</v>
          </cell>
          <cell r="C283">
            <v>31600</v>
          </cell>
          <cell r="D283">
            <v>0</v>
          </cell>
          <cell r="G283">
            <v>500</v>
          </cell>
          <cell r="H283">
            <v>2000</v>
          </cell>
          <cell r="I283">
            <v>0</v>
          </cell>
        </row>
        <row r="284">
          <cell r="A284" t="str">
            <v>teachers372</v>
          </cell>
          <cell r="C284">
            <v>31600</v>
          </cell>
          <cell r="D284">
            <v>0</v>
          </cell>
          <cell r="G284">
            <v>0</v>
          </cell>
          <cell r="H284">
            <v>2000</v>
          </cell>
          <cell r="I284">
            <v>0</v>
          </cell>
        </row>
        <row r="285">
          <cell r="A285" t="str">
            <v>teachers373</v>
          </cell>
          <cell r="C285">
            <v>51700</v>
          </cell>
          <cell r="D285">
            <v>400</v>
          </cell>
          <cell r="G285">
            <v>500</v>
          </cell>
          <cell r="H285">
            <v>10000</v>
          </cell>
          <cell r="I285">
            <v>0</v>
          </cell>
        </row>
        <row r="286">
          <cell r="A286" t="str">
            <v>teachers374</v>
          </cell>
          <cell r="C286">
            <v>37700</v>
          </cell>
          <cell r="D286">
            <v>0</v>
          </cell>
          <cell r="G286">
            <v>500</v>
          </cell>
          <cell r="H286">
            <v>5000</v>
          </cell>
          <cell r="I286">
            <v>0</v>
          </cell>
        </row>
        <row r="287">
          <cell r="A287" t="str">
            <v>teachers375</v>
          </cell>
          <cell r="C287">
            <v>31600</v>
          </cell>
          <cell r="D287">
            <v>0</v>
          </cell>
          <cell r="G287">
            <v>500</v>
          </cell>
          <cell r="H287">
            <v>2000</v>
          </cell>
          <cell r="I287">
            <v>0</v>
          </cell>
        </row>
        <row r="288">
          <cell r="A288" t="str">
            <v>teachers376</v>
          </cell>
          <cell r="C288">
            <v>51700</v>
          </cell>
          <cell r="D288">
            <v>400</v>
          </cell>
          <cell r="G288">
            <v>0</v>
          </cell>
          <cell r="H288">
            <v>8000</v>
          </cell>
          <cell r="I288">
            <v>60</v>
          </cell>
        </row>
        <row r="289">
          <cell r="A289" t="str">
            <v>teachers377</v>
          </cell>
          <cell r="C289">
            <v>33500</v>
          </cell>
          <cell r="D289">
            <v>0</v>
          </cell>
          <cell r="G289">
            <v>0</v>
          </cell>
          <cell r="H289">
            <v>2500</v>
          </cell>
          <cell r="I289">
            <v>0</v>
          </cell>
        </row>
        <row r="290">
          <cell r="A290" t="str">
            <v>teachers378</v>
          </cell>
          <cell r="C290">
            <v>48700</v>
          </cell>
          <cell r="D290">
            <v>400</v>
          </cell>
          <cell r="G290">
            <v>0</v>
          </cell>
          <cell r="H290">
            <v>12000</v>
          </cell>
          <cell r="I290">
            <v>0</v>
          </cell>
        </row>
        <row r="291">
          <cell r="A291" t="str">
            <v>teachers379</v>
          </cell>
          <cell r="C291">
            <v>33500</v>
          </cell>
          <cell r="D291">
            <v>0</v>
          </cell>
          <cell r="G291">
            <v>500</v>
          </cell>
          <cell r="H291">
            <v>3000</v>
          </cell>
          <cell r="I291">
            <v>0</v>
          </cell>
        </row>
        <row r="292">
          <cell r="A292" t="str">
            <v>teachers380</v>
          </cell>
          <cell r="C292">
            <v>33500</v>
          </cell>
          <cell r="D292">
            <v>0</v>
          </cell>
          <cell r="G292">
            <v>500</v>
          </cell>
          <cell r="H292">
            <v>5000</v>
          </cell>
          <cell r="I292">
            <v>0</v>
          </cell>
        </row>
        <row r="293">
          <cell r="A293" t="str">
            <v>teachers381</v>
          </cell>
          <cell r="C293">
            <v>34500</v>
          </cell>
          <cell r="D293">
            <v>400</v>
          </cell>
          <cell r="G293">
            <v>0</v>
          </cell>
          <cell r="H293">
            <v>2500</v>
          </cell>
          <cell r="I293">
            <v>0</v>
          </cell>
        </row>
        <row r="294">
          <cell r="A294" t="str">
            <v>teachers382</v>
          </cell>
          <cell r="C294">
            <v>34500</v>
          </cell>
          <cell r="D294">
            <v>0</v>
          </cell>
          <cell r="G294">
            <v>500</v>
          </cell>
          <cell r="H294">
            <v>2500</v>
          </cell>
          <cell r="I294">
            <v>0</v>
          </cell>
        </row>
        <row r="295">
          <cell r="A295" t="str">
            <v>teachers383</v>
          </cell>
          <cell r="C295">
            <v>34500</v>
          </cell>
          <cell r="D295">
            <v>0</v>
          </cell>
          <cell r="G295">
            <v>500</v>
          </cell>
          <cell r="H295">
            <v>2500</v>
          </cell>
          <cell r="I295">
            <v>0</v>
          </cell>
        </row>
        <row r="296">
          <cell r="A296" t="str">
            <v>teachers384</v>
          </cell>
          <cell r="C296">
            <v>31600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</row>
        <row r="297">
          <cell r="A297" t="str">
            <v>teachers396-3fc4378f</v>
          </cell>
          <cell r="C297">
            <v>24700</v>
          </cell>
          <cell r="D297">
            <v>0</v>
          </cell>
          <cell r="G297">
            <v>500</v>
          </cell>
          <cell r="H297">
            <v>0</v>
          </cell>
          <cell r="I297">
            <v>0</v>
          </cell>
        </row>
        <row r="298">
          <cell r="A298" t="str">
            <v>teachers399-29d8e169</v>
          </cell>
          <cell r="C298">
            <v>24700</v>
          </cell>
          <cell r="D298">
            <v>0</v>
          </cell>
          <cell r="G298">
            <v>0</v>
          </cell>
          <cell r="H298">
            <v>0</v>
          </cell>
          <cell r="I298">
            <v>0</v>
          </cell>
        </row>
        <row r="299">
          <cell r="A299" t="str">
            <v>teachers395-e928c8e3</v>
          </cell>
          <cell r="C299">
            <v>24700</v>
          </cell>
          <cell r="D299">
            <v>0</v>
          </cell>
          <cell r="G299">
            <v>0</v>
          </cell>
          <cell r="H299">
            <v>0</v>
          </cell>
          <cell r="I299">
            <v>0</v>
          </cell>
        </row>
        <row r="300">
          <cell r="A300" t="str">
            <v>teachers397-a816599d</v>
          </cell>
          <cell r="C300">
            <v>24700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</row>
        <row r="301">
          <cell r="A301" t="str">
            <v>teachers398-0d5c8f45</v>
          </cell>
          <cell r="C301">
            <v>24700</v>
          </cell>
          <cell r="D301">
            <v>0</v>
          </cell>
          <cell r="G301">
            <v>500</v>
          </cell>
          <cell r="H301">
            <v>0</v>
          </cell>
          <cell r="I301">
            <v>0</v>
          </cell>
        </row>
        <row r="302">
          <cell r="A302" t="str">
            <v>teachers399-5cc82fa0</v>
          </cell>
          <cell r="C302">
            <v>24700</v>
          </cell>
          <cell r="D302">
            <v>0</v>
          </cell>
          <cell r="G302">
            <v>0</v>
          </cell>
          <cell r="H302">
            <v>0</v>
          </cell>
          <cell r="I302">
            <v>0</v>
          </cell>
        </row>
        <row r="303">
          <cell r="A303" t="str">
            <v>teachers399-6d7dd594</v>
          </cell>
          <cell r="C303">
            <v>0</v>
          </cell>
          <cell r="D303">
            <v>0</v>
          </cell>
          <cell r="G303">
            <v>500</v>
          </cell>
          <cell r="H303">
            <v>0</v>
          </cell>
          <cell r="I303">
            <v>0</v>
          </cell>
        </row>
        <row r="304">
          <cell r="A304" t="str">
            <v>teachers399-20dae0ff</v>
          </cell>
          <cell r="C304">
            <v>33500</v>
          </cell>
          <cell r="D304">
            <v>0</v>
          </cell>
          <cell r="G304">
            <v>500</v>
          </cell>
          <cell r="H304">
            <v>3000</v>
          </cell>
          <cell r="I304">
            <v>0</v>
          </cell>
        </row>
        <row r="305">
          <cell r="A305" t="str">
            <v>teachers399-4fe1a07f</v>
          </cell>
          <cell r="C305">
            <v>31600</v>
          </cell>
          <cell r="D305">
            <v>0</v>
          </cell>
          <cell r="G305">
            <v>500</v>
          </cell>
          <cell r="H305">
            <v>2000</v>
          </cell>
          <cell r="I305">
            <v>0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e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</row>
        <row r="2">
          <cell r="A2" t="str">
            <v>teachers101</v>
          </cell>
          <cell r="C2">
            <v>31600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</row>
        <row r="3">
          <cell r="A3" t="str">
            <v>teachers102</v>
          </cell>
          <cell r="C3">
            <v>30700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</row>
        <row r="4">
          <cell r="A4" t="str">
            <v>teachers103</v>
          </cell>
          <cell r="C4">
            <v>47300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</row>
        <row r="5">
          <cell r="A5" t="str">
            <v>teachers104</v>
          </cell>
          <cell r="C5">
            <v>25400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</row>
        <row r="6">
          <cell r="A6" t="str">
            <v>teachers105</v>
          </cell>
          <cell r="C6">
            <v>34500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</row>
        <row r="7">
          <cell r="A7" t="str">
            <v>teachers106</v>
          </cell>
          <cell r="C7">
            <v>31600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</row>
        <row r="8">
          <cell r="A8" t="str">
            <v>teachers107</v>
          </cell>
          <cell r="C8">
            <v>47300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</row>
        <row r="9">
          <cell r="A9" t="str">
            <v>teachers108</v>
          </cell>
          <cell r="C9">
            <v>34500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</row>
        <row r="10">
          <cell r="A10" t="str">
            <v>teachers109</v>
          </cell>
          <cell r="C10">
            <v>31600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</row>
        <row r="11">
          <cell r="A11" t="str">
            <v>teachers110</v>
          </cell>
          <cell r="C11">
            <v>28900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</row>
        <row r="12">
          <cell r="A12" t="str">
            <v>teachers111</v>
          </cell>
          <cell r="C12">
            <v>47300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</row>
        <row r="13">
          <cell r="A13" t="str">
            <v>teachers112</v>
          </cell>
          <cell r="C13">
            <v>31600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</row>
        <row r="14">
          <cell r="A14" t="str">
            <v>teachers388-61383f93</v>
          </cell>
          <cell r="C14">
            <v>28900</v>
          </cell>
          <cell r="D14">
            <v>0</v>
          </cell>
          <cell r="G14">
            <v>500</v>
          </cell>
          <cell r="H14">
            <v>0</v>
          </cell>
          <cell r="I14">
            <v>0</v>
          </cell>
        </row>
        <row r="15">
          <cell r="A15" t="str">
            <v>teachers113</v>
          </cell>
          <cell r="C15">
            <v>31600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</row>
        <row r="16">
          <cell r="A16" t="str">
            <v>teachers114</v>
          </cell>
          <cell r="C16">
            <v>31600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</row>
        <row r="17">
          <cell r="A17" t="str">
            <v>teachers115</v>
          </cell>
          <cell r="C17">
            <v>28900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</row>
        <row r="18">
          <cell r="A18" t="str">
            <v>teachers116</v>
          </cell>
          <cell r="C18">
            <v>51700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</row>
        <row r="19">
          <cell r="A19" t="str">
            <v>teachers117</v>
          </cell>
          <cell r="C19">
            <v>33500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</row>
        <row r="20">
          <cell r="A20" t="str">
            <v>teachers118</v>
          </cell>
          <cell r="C20">
            <v>28900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</row>
        <row r="21">
          <cell r="A21" t="str">
            <v>teachers121</v>
          </cell>
          <cell r="C21">
            <v>48800</v>
          </cell>
          <cell r="D21">
            <v>0</v>
          </cell>
          <cell r="G21">
            <v>0</v>
          </cell>
          <cell r="H21">
            <v>4000</v>
          </cell>
          <cell r="I21">
            <v>0</v>
          </cell>
        </row>
        <row r="22">
          <cell r="A22" t="str">
            <v>teachers122</v>
          </cell>
          <cell r="C22">
            <v>37700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</row>
        <row r="23">
          <cell r="A23" t="str">
            <v>teachers123</v>
          </cell>
          <cell r="C23">
            <v>28900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</row>
        <row r="24">
          <cell r="A24" t="str">
            <v>teachers124</v>
          </cell>
          <cell r="C24">
            <v>51700</v>
          </cell>
          <cell r="D24">
            <v>400</v>
          </cell>
          <cell r="G24">
            <v>500</v>
          </cell>
          <cell r="H24">
            <v>5000</v>
          </cell>
          <cell r="I24">
            <v>60</v>
          </cell>
        </row>
        <row r="25">
          <cell r="A25" t="str">
            <v>teachers125</v>
          </cell>
          <cell r="C25">
            <v>34500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</row>
        <row r="26">
          <cell r="A26" t="str">
            <v>teachers126</v>
          </cell>
          <cell r="C26">
            <v>34500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</row>
        <row r="27">
          <cell r="A27" t="str">
            <v>teachers127</v>
          </cell>
          <cell r="C27">
            <v>51700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</row>
        <row r="28">
          <cell r="A28" t="str">
            <v>teachers128</v>
          </cell>
          <cell r="C28">
            <v>31600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</row>
        <row r="29">
          <cell r="A29" t="str">
            <v>teachers129</v>
          </cell>
          <cell r="C29">
            <v>51700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</row>
        <row r="30">
          <cell r="A30" t="str">
            <v>teachers130</v>
          </cell>
          <cell r="C30">
            <v>28900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</row>
        <row r="31">
          <cell r="A31" t="str">
            <v>teachers131</v>
          </cell>
          <cell r="C31">
            <v>51700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</row>
        <row r="32">
          <cell r="A32" t="str">
            <v>teachers132</v>
          </cell>
          <cell r="C32">
            <v>33500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</row>
        <row r="33">
          <cell r="A33" t="str">
            <v>teachers133</v>
          </cell>
          <cell r="C33">
            <v>31600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</row>
        <row r="34">
          <cell r="A34" t="str">
            <v>teachers134</v>
          </cell>
          <cell r="C34">
            <v>28900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</row>
        <row r="35">
          <cell r="A35" t="str">
            <v>teachers135</v>
          </cell>
          <cell r="C35">
            <v>51700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</row>
        <row r="36">
          <cell r="A36" t="str">
            <v>teachers136</v>
          </cell>
          <cell r="C36">
            <v>25400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</row>
        <row r="37">
          <cell r="A37" t="str">
            <v>teachers389-da7ce61c</v>
          </cell>
          <cell r="C37">
            <v>28900</v>
          </cell>
          <cell r="D37">
            <v>0</v>
          </cell>
          <cell r="G37">
            <v>500</v>
          </cell>
          <cell r="H37">
            <v>0</v>
          </cell>
          <cell r="I37">
            <v>0</v>
          </cell>
        </row>
        <row r="38">
          <cell r="A38" t="str">
            <v>teachers137</v>
          </cell>
          <cell r="C38">
            <v>55400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</row>
        <row r="39">
          <cell r="A39" t="str">
            <v>teachers138</v>
          </cell>
          <cell r="C39">
            <v>28900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</row>
        <row r="40">
          <cell r="A40" t="str">
            <v>teachers395-e9d452d8</v>
          </cell>
          <cell r="C40">
            <v>24700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</row>
        <row r="41">
          <cell r="A41" t="str">
            <v>teachers139</v>
          </cell>
          <cell r="C41">
            <v>47300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</row>
        <row r="42">
          <cell r="A42" t="str">
            <v>teachers140</v>
          </cell>
          <cell r="C42">
            <v>33500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</row>
        <row r="43">
          <cell r="A43" t="str">
            <v>teachers141</v>
          </cell>
          <cell r="C43">
            <v>30700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</row>
        <row r="44">
          <cell r="A44" t="str">
            <v>teachers142</v>
          </cell>
          <cell r="C44">
            <v>48700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</row>
        <row r="45">
          <cell r="A45" t="str">
            <v>teachers143</v>
          </cell>
          <cell r="C45">
            <v>34500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</row>
        <row r="46">
          <cell r="A46" t="str">
            <v>teachers144</v>
          </cell>
          <cell r="C46">
            <v>34500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</row>
        <row r="47">
          <cell r="A47" t="str">
            <v>teachers145</v>
          </cell>
          <cell r="C47">
            <v>34500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</row>
        <row r="48">
          <cell r="A48" t="str">
            <v>teachers146</v>
          </cell>
          <cell r="C48">
            <v>48700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</row>
        <row r="49">
          <cell r="A49" t="str">
            <v>teachers147</v>
          </cell>
          <cell r="C49">
            <v>33500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</row>
        <row r="50">
          <cell r="A50" t="str">
            <v>teachers148</v>
          </cell>
          <cell r="C50">
            <v>33500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</row>
        <row r="51">
          <cell r="A51" t="str">
            <v>teachers149</v>
          </cell>
          <cell r="C51">
            <v>34500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</row>
        <row r="52">
          <cell r="A52" t="str">
            <v>teachers150</v>
          </cell>
          <cell r="C52">
            <v>34500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</row>
        <row r="53">
          <cell r="A53" t="str">
            <v>teachers151</v>
          </cell>
          <cell r="C53">
            <v>33500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</row>
        <row r="54">
          <cell r="A54" t="str">
            <v>teachers152</v>
          </cell>
          <cell r="C54">
            <v>31600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</row>
        <row r="55">
          <cell r="A55" t="str">
            <v>teachers153</v>
          </cell>
          <cell r="C55">
            <v>33500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</row>
        <row r="56">
          <cell r="A56" t="str">
            <v>teachers154</v>
          </cell>
          <cell r="C56">
            <v>37700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</row>
        <row r="57">
          <cell r="A57" t="str">
            <v>teachers155</v>
          </cell>
          <cell r="C57">
            <v>33500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</row>
        <row r="58">
          <cell r="A58" t="str">
            <v>teachers156</v>
          </cell>
          <cell r="C58">
            <v>33500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</row>
        <row r="59">
          <cell r="A59" t="str">
            <v>teachers157</v>
          </cell>
          <cell r="C59">
            <v>31600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</row>
        <row r="60">
          <cell r="A60" t="str">
            <v>teachers158</v>
          </cell>
          <cell r="C60">
            <v>34500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</row>
        <row r="61">
          <cell r="A61" t="str">
            <v>teachers159</v>
          </cell>
          <cell r="C61">
            <v>33500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</row>
        <row r="62">
          <cell r="A62" t="str">
            <v>teachers160</v>
          </cell>
          <cell r="C62">
            <v>33500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</row>
        <row r="63">
          <cell r="A63" t="str">
            <v>teachers161</v>
          </cell>
          <cell r="C63">
            <v>33500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</row>
        <row r="64">
          <cell r="A64" t="str">
            <v>teachers162</v>
          </cell>
          <cell r="C64">
            <v>31600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</row>
        <row r="65">
          <cell r="A65" t="str">
            <v>teachers398-7bc9c6b0</v>
          </cell>
          <cell r="C65">
            <v>30700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</row>
        <row r="66">
          <cell r="A66" t="str">
            <v>teachers163</v>
          </cell>
          <cell r="C66">
            <v>28900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</row>
        <row r="67">
          <cell r="A67" t="str">
            <v>teachers164</v>
          </cell>
          <cell r="C67">
            <v>51700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</row>
        <row r="68">
          <cell r="A68" t="str">
            <v>teachers165</v>
          </cell>
          <cell r="C68">
            <v>37700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</row>
        <row r="69">
          <cell r="A69" t="str">
            <v>teachers166</v>
          </cell>
          <cell r="C69">
            <v>51700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</row>
        <row r="70">
          <cell r="A70" t="str">
            <v>teachers167</v>
          </cell>
          <cell r="C70">
            <v>34500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</row>
        <row r="71">
          <cell r="A71" t="str">
            <v>teachers168</v>
          </cell>
          <cell r="C71">
            <v>33500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</row>
        <row r="72">
          <cell r="A72" t="str">
            <v>teachers169</v>
          </cell>
          <cell r="C72">
            <v>48700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</row>
        <row r="73">
          <cell r="A73" t="str">
            <v>teachers170</v>
          </cell>
          <cell r="C73">
            <v>47300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</row>
        <row r="74">
          <cell r="A74" t="str">
            <v>teachers390-79bf2ea7</v>
          </cell>
          <cell r="C74">
            <v>28900</v>
          </cell>
          <cell r="D74">
            <v>0</v>
          </cell>
          <cell r="G74">
            <v>500</v>
          </cell>
          <cell r="H74">
            <v>0</v>
          </cell>
          <cell r="I74">
            <v>0</v>
          </cell>
        </row>
        <row r="75">
          <cell r="A75" t="str">
            <v>teachers171</v>
          </cell>
          <cell r="C75">
            <v>33500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</row>
        <row r="76">
          <cell r="A76" t="str">
            <v>teachers172</v>
          </cell>
          <cell r="C76">
            <v>34500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</row>
        <row r="77">
          <cell r="A77" t="str">
            <v>teachers173</v>
          </cell>
          <cell r="C77">
            <v>31600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</row>
        <row r="78">
          <cell r="A78" t="str">
            <v>teachers174</v>
          </cell>
          <cell r="C78">
            <v>31600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</row>
        <row r="79">
          <cell r="A79" t="str">
            <v>teachers175</v>
          </cell>
          <cell r="C79">
            <v>28900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</row>
        <row r="80">
          <cell r="A80" t="str">
            <v>teachers176</v>
          </cell>
          <cell r="C80">
            <v>33500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</row>
        <row r="81">
          <cell r="A81" t="str">
            <v>teachers177</v>
          </cell>
          <cell r="C81">
            <v>33500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</row>
        <row r="82">
          <cell r="A82" t="str">
            <v>teachers178</v>
          </cell>
          <cell r="C82">
            <v>33500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</row>
        <row r="83">
          <cell r="A83" t="str">
            <v>teachers179</v>
          </cell>
          <cell r="C83">
            <v>29800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</row>
        <row r="84">
          <cell r="A84" t="str">
            <v>teachers180</v>
          </cell>
          <cell r="C84">
            <v>48700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</row>
        <row r="85">
          <cell r="A85" t="str">
            <v>teachers181</v>
          </cell>
          <cell r="C85">
            <v>34500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</row>
        <row r="86">
          <cell r="A86" t="str">
            <v>teachers182</v>
          </cell>
          <cell r="C86">
            <v>31600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</row>
        <row r="87">
          <cell r="A87" t="str">
            <v>teachers183</v>
          </cell>
          <cell r="C87">
            <v>55400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</row>
        <row r="88">
          <cell r="A88" t="str">
            <v>teachers184</v>
          </cell>
          <cell r="C88">
            <v>47300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</row>
        <row r="89">
          <cell r="A89" t="str">
            <v>teachers185</v>
          </cell>
          <cell r="C89">
            <v>35500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</row>
        <row r="90">
          <cell r="A90" t="str">
            <v>teachers186</v>
          </cell>
          <cell r="C90">
            <v>34500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</row>
        <row r="91">
          <cell r="A91" t="str">
            <v>teachers187</v>
          </cell>
          <cell r="C91">
            <v>28900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</row>
        <row r="92">
          <cell r="A92" t="str">
            <v>teachers188</v>
          </cell>
          <cell r="C92">
            <v>34500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</row>
        <row r="93">
          <cell r="A93" t="str">
            <v>teachers189</v>
          </cell>
          <cell r="C93">
            <v>25400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</row>
        <row r="94">
          <cell r="A94" t="str">
            <v>teachers385-d26e20d3</v>
          </cell>
          <cell r="C94">
            <v>28900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</row>
        <row r="95">
          <cell r="A95" t="str">
            <v>teachers190</v>
          </cell>
          <cell r="C95">
            <v>34500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</row>
        <row r="96">
          <cell r="A96" t="str">
            <v>teachers191</v>
          </cell>
          <cell r="C96">
            <v>34500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</row>
        <row r="97">
          <cell r="A97" t="str">
            <v>teachers192</v>
          </cell>
          <cell r="C97">
            <v>28600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</row>
        <row r="98">
          <cell r="A98" t="str">
            <v>teachers193</v>
          </cell>
          <cell r="C98">
            <v>33500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</row>
        <row r="99">
          <cell r="A99" t="str">
            <v>teachers194</v>
          </cell>
          <cell r="C99">
            <v>31600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</row>
        <row r="100">
          <cell r="A100" t="str">
            <v>teachers195</v>
          </cell>
          <cell r="C100">
            <v>48700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</row>
        <row r="101">
          <cell r="A101" t="str">
            <v>teachers196</v>
          </cell>
          <cell r="C101">
            <v>31600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</row>
        <row r="102">
          <cell r="A102" t="str">
            <v>teachers197</v>
          </cell>
          <cell r="C102">
            <v>25400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</row>
        <row r="103">
          <cell r="A103" t="str">
            <v>teachers198</v>
          </cell>
          <cell r="C103">
            <v>34500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</row>
        <row r="104">
          <cell r="A104" t="str">
            <v>teachers199</v>
          </cell>
          <cell r="C104">
            <v>34500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</row>
        <row r="105">
          <cell r="A105" t="str">
            <v>teachers200</v>
          </cell>
          <cell r="C105">
            <v>31600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</row>
        <row r="106">
          <cell r="A106" t="str">
            <v>teachers201</v>
          </cell>
          <cell r="C106">
            <v>28900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</row>
        <row r="107">
          <cell r="A107" t="str">
            <v>teachers202</v>
          </cell>
          <cell r="C107">
            <v>33500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</row>
        <row r="108">
          <cell r="A108" t="str">
            <v>teachers203</v>
          </cell>
          <cell r="C108">
            <v>33500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</row>
        <row r="109">
          <cell r="A109" t="str">
            <v>teachers204</v>
          </cell>
          <cell r="C109">
            <v>31600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</row>
        <row r="110">
          <cell r="A110" t="str">
            <v>teachers205</v>
          </cell>
          <cell r="C110">
            <v>51700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</row>
        <row r="111">
          <cell r="A111" t="str">
            <v>teachers206</v>
          </cell>
          <cell r="C111">
            <v>37700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</row>
        <row r="112">
          <cell r="A112" t="str">
            <v>teachers207</v>
          </cell>
          <cell r="C112">
            <v>31300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</row>
        <row r="113">
          <cell r="A113" t="str">
            <v>teachers208</v>
          </cell>
          <cell r="C113">
            <v>53400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</row>
        <row r="114">
          <cell r="A114" t="str">
            <v>teachers209</v>
          </cell>
          <cell r="C114">
            <v>33500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</row>
        <row r="115">
          <cell r="A115" t="str">
            <v>teachers210</v>
          </cell>
          <cell r="C115">
            <v>51700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</row>
        <row r="116">
          <cell r="A116" t="str">
            <v>teachers212</v>
          </cell>
          <cell r="C116">
            <v>47300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</row>
        <row r="117">
          <cell r="A117" t="str">
            <v>teachers213</v>
          </cell>
          <cell r="C117">
            <v>34500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</row>
        <row r="118">
          <cell r="A118" t="str">
            <v>teachers214</v>
          </cell>
          <cell r="C118">
            <v>34500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</row>
        <row r="119">
          <cell r="A119" t="str">
            <v>teachers215</v>
          </cell>
          <cell r="C119">
            <v>31600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</row>
        <row r="120">
          <cell r="A120" t="str">
            <v>teachers216</v>
          </cell>
          <cell r="C120">
            <v>31600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</row>
        <row r="121">
          <cell r="A121" t="str">
            <v>teachers217</v>
          </cell>
          <cell r="C121">
            <v>47300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</row>
        <row r="122">
          <cell r="A122" t="str">
            <v>teachers218</v>
          </cell>
          <cell r="C122">
            <v>31600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</row>
        <row r="123">
          <cell r="A123" t="str">
            <v>teachers219</v>
          </cell>
          <cell r="C123">
            <v>30700</v>
          </cell>
          <cell r="D123">
            <v>0</v>
          </cell>
          <cell r="G123">
            <v>500</v>
          </cell>
          <cell r="H123">
            <v>2000</v>
          </cell>
          <cell r="I123">
            <v>0</v>
          </cell>
        </row>
        <row r="124">
          <cell r="A124" t="str">
            <v>teachers220</v>
          </cell>
          <cell r="C124">
            <v>33500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</row>
        <row r="125">
          <cell r="A125" t="str">
            <v>teachers221</v>
          </cell>
          <cell r="C125">
            <v>31600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</row>
        <row r="126">
          <cell r="A126" t="str">
            <v>teachers222</v>
          </cell>
          <cell r="C126">
            <v>28900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</row>
        <row r="127">
          <cell r="A127" t="str">
            <v>teachers223</v>
          </cell>
          <cell r="C127">
            <v>51700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</row>
        <row r="128">
          <cell r="A128" t="str">
            <v>teachers224</v>
          </cell>
          <cell r="C128">
            <v>31600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</row>
        <row r="129">
          <cell r="A129" t="str">
            <v>teachers226</v>
          </cell>
          <cell r="C129">
            <v>33500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</row>
        <row r="130">
          <cell r="A130" t="str">
            <v>teachers227</v>
          </cell>
          <cell r="C130">
            <v>35500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</row>
        <row r="131">
          <cell r="A131" t="str">
            <v>teachers228</v>
          </cell>
          <cell r="C131">
            <v>27000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</row>
        <row r="132">
          <cell r="A132" t="str">
            <v>teachers229</v>
          </cell>
          <cell r="C132">
            <v>28900</v>
          </cell>
          <cell r="D132">
            <v>0</v>
          </cell>
          <cell r="G132">
            <v>500</v>
          </cell>
          <cell r="H132">
            <v>2000</v>
          </cell>
          <cell r="I132">
            <v>0</v>
          </cell>
        </row>
        <row r="133">
          <cell r="A133" t="str">
            <v>teachers230</v>
          </cell>
          <cell r="C133">
            <v>47300</v>
          </cell>
          <cell r="D133">
            <v>400</v>
          </cell>
          <cell r="G133">
            <v>500</v>
          </cell>
          <cell r="H133">
            <v>5000</v>
          </cell>
          <cell r="I133">
            <v>60</v>
          </cell>
        </row>
        <row r="134">
          <cell r="A134" t="str">
            <v>teachers231</v>
          </cell>
          <cell r="C134">
            <v>34500</v>
          </cell>
          <cell r="D134">
            <v>0</v>
          </cell>
          <cell r="G134">
            <v>500</v>
          </cell>
          <cell r="H134">
            <v>3000</v>
          </cell>
          <cell r="I134">
            <v>0</v>
          </cell>
        </row>
        <row r="135">
          <cell r="A135" t="str">
            <v>teachers232</v>
          </cell>
          <cell r="C135">
            <v>33500</v>
          </cell>
          <cell r="D135">
            <v>0</v>
          </cell>
          <cell r="G135">
            <v>0</v>
          </cell>
          <cell r="H135">
            <v>3000</v>
          </cell>
          <cell r="I135">
            <v>0</v>
          </cell>
        </row>
        <row r="136">
          <cell r="A136" t="str">
            <v>teachers233</v>
          </cell>
          <cell r="C136">
            <v>28900</v>
          </cell>
          <cell r="D136">
            <v>0</v>
          </cell>
          <cell r="G136">
            <v>500</v>
          </cell>
          <cell r="H136">
            <v>4000</v>
          </cell>
          <cell r="I136">
            <v>0</v>
          </cell>
        </row>
        <row r="137">
          <cell r="A137" t="str">
            <v>teachers391-12274feb</v>
          </cell>
          <cell r="C137">
            <v>28900</v>
          </cell>
          <cell r="D137">
            <v>0</v>
          </cell>
          <cell r="G137">
            <v>0</v>
          </cell>
          <cell r="H137">
            <v>0</v>
          </cell>
          <cell r="I137">
            <v>0</v>
          </cell>
        </row>
        <row r="138">
          <cell r="A138" t="str">
            <v>teachers234</v>
          </cell>
          <cell r="C138">
            <v>34500</v>
          </cell>
          <cell r="D138">
            <v>400</v>
          </cell>
          <cell r="G138">
            <v>500</v>
          </cell>
          <cell r="H138">
            <v>7000</v>
          </cell>
          <cell r="I138">
            <v>0</v>
          </cell>
        </row>
        <row r="139">
          <cell r="A139" t="str">
            <v>teachers235</v>
          </cell>
          <cell r="C139">
            <v>30700</v>
          </cell>
          <cell r="D139">
            <v>0</v>
          </cell>
          <cell r="G139">
            <v>500</v>
          </cell>
          <cell r="H139">
            <v>4000</v>
          </cell>
          <cell r="I139">
            <v>0</v>
          </cell>
        </row>
        <row r="140">
          <cell r="A140" t="str">
            <v>teachers236</v>
          </cell>
          <cell r="C140">
            <v>28900</v>
          </cell>
          <cell r="D140">
            <v>0</v>
          </cell>
          <cell r="G140">
            <v>0</v>
          </cell>
          <cell r="H140">
            <v>2000</v>
          </cell>
          <cell r="I140">
            <v>0</v>
          </cell>
        </row>
        <row r="141">
          <cell r="A141" t="str">
            <v>teachers237</v>
          </cell>
          <cell r="C141">
            <v>48700</v>
          </cell>
          <cell r="D141">
            <v>400</v>
          </cell>
          <cell r="G141">
            <v>500</v>
          </cell>
          <cell r="H141">
            <v>7000</v>
          </cell>
          <cell r="I141">
            <v>0</v>
          </cell>
        </row>
        <row r="142">
          <cell r="A142" t="str">
            <v>teachers238</v>
          </cell>
          <cell r="C142">
            <v>37700</v>
          </cell>
          <cell r="D142">
            <v>0</v>
          </cell>
          <cell r="G142">
            <v>0</v>
          </cell>
          <cell r="H142">
            <v>2500</v>
          </cell>
          <cell r="I142">
            <v>0</v>
          </cell>
        </row>
        <row r="143">
          <cell r="A143" t="str">
            <v>teachers239</v>
          </cell>
          <cell r="C143">
            <v>37700</v>
          </cell>
          <cell r="D143">
            <v>0</v>
          </cell>
          <cell r="G143">
            <v>500</v>
          </cell>
          <cell r="H143">
            <v>2500</v>
          </cell>
          <cell r="I143">
            <v>0</v>
          </cell>
        </row>
        <row r="144">
          <cell r="A144" t="str">
            <v>teachers240</v>
          </cell>
          <cell r="C144">
            <v>47300</v>
          </cell>
          <cell r="D144">
            <v>400</v>
          </cell>
          <cell r="G144">
            <v>0</v>
          </cell>
          <cell r="H144">
            <v>3000</v>
          </cell>
          <cell r="I144">
            <v>60</v>
          </cell>
        </row>
        <row r="145">
          <cell r="A145" t="str">
            <v>teachers241</v>
          </cell>
          <cell r="C145">
            <v>31600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</row>
        <row r="146">
          <cell r="A146" t="str">
            <v>teachers242</v>
          </cell>
          <cell r="C146">
            <v>31600</v>
          </cell>
          <cell r="D146">
            <v>0</v>
          </cell>
          <cell r="G146">
            <v>500</v>
          </cell>
          <cell r="H146">
            <v>2000</v>
          </cell>
          <cell r="I146">
            <v>0</v>
          </cell>
        </row>
        <row r="147">
          <cell r="A147" t="str">
            <v>teachers392-5190daaf</v>
          </cell>
          <cell r="C147">
            <v>28900</v>
          </cell>
          <cell r="D147">
            <v>0</v>
          </cell>
          <cell r="G147">
            <v>0</v>
          </cell>
          <cell r="H147">
            <v>0</v>
          </cell>
          <cell r="I147">
            <v>0</v>
          </cell>
        </row>
        <row r="148">
          <cell r="A148" t="str">
            <v>teachers243</v>
          </cell>
          <cell r="C148">
            <v>48700</v>
          </cell>
          <cell r="D148">
            <v>400</v>
          </cell>
          <cell r="G148">
            <v>500</v>
          </cell>
          <cell r="H148">
            <v>8000</v>
          </cell>
          <cell r="I148">
            <v>0</v>
          </cell>
        </row>
        <row r="149">
          <cell r="A149" t="str">
            <v>teachers244</v>
          </cell>
          <cell r="C149">
            <v>47300</v>
          </cell>
          <cell r="D149">
            <v>0</v>
          </cell>
          <cell r="G149">
            <v>0</v>
          </cell>
          <cell r="H149">
            <v>9000</v>
          </cell>
          <cell r="I149">
            <v>0</v>
          </cell>
        </row>
        <row r="150">
          <cell r="A150" t="str">
            <v>teachers245</v>
          </cell>
          <cell r="C150">
            <v>37700</v>
          </cell>
          <cell r="D150">
            <v>0</v>
          </cell>
          <cell r="G150">
            <v>0</v>
          </cell>
          <cell r="H150">
            <v>3000</v>
          </cell>
          <cell r="I150">
            <v>0</v>
          </cell>
        </row>
        <row r="151">
          <cell r="A151" t="str">
            <v>teachers246</v>
          </cell>
          <cell r="C151">
            <v>33500</v>
          </cell>
          <cell r="D151">
            <v>0</v>
          </cell>
          <cell r="G151">
            <v>500</v>
          </cell>
          <cell r="H151">
            <v>3000</v>
          </cell>
          <cell r="I151">
            <v>0</v>
          </cell>
        </row>
        <row r="152">
          <cell r="A152" t="str">
            <v>teachers247</v>
          </cell>
          <cell r="C152">
            <v>47300</v>
          </cell>
          <cell r="D152">
            <v>400</v>
          </cell>
          <cell r="G152">
            <v>500</v>
          </cell>
          <cell r="H152">
            <v>8000</v>
          </cell>
          <cell r="I152">
            <v>60</v>
          </cell>
        </row>
        <row r="153">
          <cell r="A153" t="str">
            <v>teachers248</v>
          </cell>
          <cell r="C153">
            <v>34500</v>
          </cell>
          <cell r="D153">
            <v>0</v>
          </cell>
          <cell r="G153">
            <v>500</v>
          </cell>
          <cell r="H153">
            <v>5000</v>
          </cell>
          <cell r="I153">
            <v>0</v>
          </cell>
        </row>
        <row r="154">
          <cell r="A154" t="str">
            <v>teachers249</v>
          </cell>
          <cell r="C154">
            <v>34500</v>
          </cell>
          <cell r="D154">
            <v>0</v>
          </cell>
          <cell r="G154">
            <v>0</v>
          </cell>
          <cell r="H154">
            <v>6000</v>
          </cell>
          <cell r="I154">
            <v>0</v>
          </cell>
        </row>
        <row r="155">
          <cell r="A155" t="str">
            <v>teachers250</v>
          </cell>
          <cell r="C155">
            <v>28900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</row>
        <row r="156">
          <cell r="A156" t="str">
            <v>teachers393-b8f65964</v>
          </cell>
          <cell r="C156">
            <v>28900</v>
          </cell>
          <cell r="D156">
            <v>0</v>
          </cell>
          <cell r="G156">
            <v>500</v>
          </cell>
          <cell r="H156">
            <v>0</v>
          </cell>
          <cell r="I156">
            <v>0</v>
          </cell>
        </row>
        <row r="157">
          <cell r="A157" t="str">
            <v>teachers251</v>
          </cell>
          <cell r="C157">
            <v>51700</v>
          </cell>
          <cell r="D157">
            <v>400</v>
          </cell>
          <cell r="G157">
            <v>500</v>
          </cell>
          <cell r="H157">
            <v>6000</v>
          </cell>
          <cell r="I157">
            <v>60</v>
          </cell>
        </row>
        <row r="158">
          <cell r="A158" t="str">
            <v>teachers254</v>
          </cell>
          <cell r="C158">
            <v>34500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</row>
        <row r="159">
          <cell r="A159" t="str">
            <v>teachers253</v>
          </cell>
          <cell r="C159">
            <v>34500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</row>
        <row r="160">
          <cell r="A160" t="str">
            <v>teachers252</v>
          </cell>
          <cell r="C160">
            <v>34500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</row>
        <row r="161">
          <cell r="A161" t="str">
            <v>teachers256</v>
          </cell>
          <cell r="C161">
            <v>34500</v>
          </cell>
          <cell r="D161">
            <v>0</v>
          </cell>
          <cell r="G161">
            <v>500</v>
          </cell>
          <cell r="H161">
            <v>4000</v>
          </cell>
          <cell r="I161">
            <v>0</v>
          </cell>
        </row>
        <row r="162">
          <cell r="A162" t="str">
            <v>teachers255</v>
          </cell>
          <cell r="C162">
            <v>33500</v>
          </cell>
          <cell r="D162">
            <v>0</v>
          </cell>
          <cell r="G162">
            <v>500</v>
          </cell>
          <cell r="H162">
            <v>3000</v>
          </cell>
          <cell r="I162">
            <v>0</v>
          </cell>
        </row>
        <row r="163">
          <cell r="A163" t="str">
            <v>teachers257</v>
          </cell>
          <cell r="C163">
            <v>47300</v>
          </cell>
          <cell r="D163">
            <v>400</v>
          </cell>
          <cell r="G163">
            <v>0</v>
          </cell>
          <cell r="H163">
            <v>3000</v>
          </cell>
          <cell r="I163">
            <v>0</v>
          </cell>
        </row>
        <row r="164">
          <cell r="A164" t="str">
            <v>teachers258</v>
          </cell>
          <cell r="C164">
            <v>34500</v>
          </cell>
          <cell r="D164">
            <v>0</v>
          </cell>
          <cell r="G164">
            <v>0</v>
          </cell>
          <cell r="H164">
            <v>3000</v>
          </cell>
          <cell r="I164">
            <v>0</v>
          </cell>
        </row>
        <row r="165">
          <cell r="A165" t="str">
            <v>teachers259</v>
          </cell>
          <cell r="C165">
            <v>34500</v>
          </cell>
          <cell r="D165">
            <v>0</v>
          </cell>
          <cell r="G165">
            <v>500</v>
          </cell>
          <cell r="H165">
            <v>3000</v>
          </cell>
          <cell r="I165">
            <v>0</v>
          </cell>
        </row>
        <row r="166">
          <cell r="A166" t="str">
            <v>teachers260</v>
          </cell>
          <cell r="C166">
            <v>27000</v>
          </cell>
          <cell r="D166">
            <v>0</v>
          </cell>
          <cell r="G166">
            <v>500</v>
          </cell>
          <cell r="H166">
            <v>2000</v>
          </cell>
          <cell r="I166">
            <v>0</v>
          </cell>
        </row>
        <row r="167">
          <cell r="A167" t="str">
            <v>teachers261</v>
          </cell>
          <cell r="C167">
            <v>31600</v>
          </cell>
          <cell r="D167">
            <v>0</v>
          </cell>
          <cell r="G167">
            <v>500</v>
          </cell>
          <cell r="H167">
            <v>2000</v>
          </cell>
          <cell r="I167">
            <v>0</v>
          </cell>
        </row>
        <row r="168">
          <cell r="A168" t="str">
            <v>teachers262</v>
          </cell>
          <cell r="C168">
            <v>34500</v>
          </cell>
          <cell r="D168">
            <v>0</v>
          </cell>
          <cell r="G168">
            <v>0</v>
          </cell>
          <cell r="H168">
            <v>3000</v>
          </cell>
          <cell r="I168">
            <v>0</v>
          </cell>
        </row>
        <row r="169">
          <cell r="A169" t="str">
            <v>teachers263</v>
          </cell>
          <cell r="C169">
            <v>33500</v>
          </cell>
          <cell r="D169">
            <v>400</v>
          </cell>
          <cell r="G169">
            <v>500</v>
          </cell>
          <cell r="H169">
            <v>2500</v>
          </cell>
          <cell r="I169">
            <v>0</v>
          </cell>
        </row>
        <row r="170">
          <cell r="A170" t="str">
            <v>teachers264</v>
          </cell>
          <cell r="C170">
            <v>50200</v>
          </cell>
          <cell r="D170">
            <v>0</v>
          </cell>
          <cell r="G170">
            <v>500</v>
          </cell>
          <cell r="H170">
            <v>15000</v>
          </cell>
          <cell r="I170">
            <v>0</v>
          </cell>
        </row>
        <row r="171">
          <cell r="A171" t="str">
            <v>teachers265</v>
          </cell>
          <cell r="C171">
            <v>33500</v>
          </cell>
          <cell r="D171">
            <v>0</v>
          </cell>
          <cell r="G171">
            <v>500</v>
          </cell>
          <cell r="H171">
            <v>2500</v>
          </cell>
          <cell r="I171">
            <v>0</v>
          </cell>
        </row>
        <row r="172">
          <cell r="A172" t="str">
            <v>teachers266</v>
          </cell>
          <cell r="C172">
            <v>33500</v>
          </cell>
          <cell r="D172">
            <v>0</v>
          </cell>
          <cell r="G172">
            <v>500</v>
          </cell>
          <cell r="H172">
            <v>2500</v>
          </cell>
          <cell r="I172">
            <v>0</v>
          </cell>
        </row>
        <row r="173">
          <cell r="A173" t="str">
            <v>teachers267</v>
          </cell>
          <cell r="C173">
            <v>33500</v>
          </cell>
          <cell r="D173">
            <v>400</v>
          </cell>
          <cell r="G173">
            <v>500</v>
          </cell>
          <cell r="H173">
            <v>3000</v>
          </cell>
          <cell r="I173">
            <v>0</v>
          </cell>
        </row>
        <row r="174">
          <cell r="A174" t="str">
            <v>teachers268</v>
          </cell>
          <cell r="C174">
            <v>34500</v>
          </cell>
          <cell r="D174">
            <v>0</v>
          </cell>
          <cell r="G174">
            <v>500</v>
          </cell>
          <cell r="H174">
            <v>3000</v>
          </cell>
          <cell r="I174">
            <v>0</v>
          </cell>
        </row>
        <row r="175">
          <cell r="A175" t="str">
            <v>teachers269</v>
          </cell>
          <cell r="C175">
            <v>33500</v>
          </cell>
          <cell r="D175">
            <v>0</v>
          </cell>
          <cell r="G175">
            <v>500</v>
          </cell>
          <cell r="H175">
            <v>3000</v>
          </cell>
          <cell r="I175">
            <v>0</v>
          </cell>
        </row>
        <row r="176">
          <cell r="A176" t="str">
            <v>teachers270</v>
          </cell>
          <cell r="C176">
            <v>37700</v>
          </cell>
          <cell r="D176">
            <v>0</v>
          </cell>
          <cell r="G176">
            <v>500</v>
          </cell>
          <cell r="H176">
            <v>7000</v>
          </cell>
          <cell r="I176">
            <v>0</v>
          </cell>
        </row>
        <row r="177">
          <cell r="A177" t="str">
            <v>teachers271</v>
          </cell>
          <cell r="C177">
            <v>25400</v>
          </cell>
          <cell r="D177">
            <v>0</v>
          </cell>
          <cell r="G177">
            <v>500</v>
          </cell>
          <cell r="H177">
            <v>2000</v>
          </cell>
          <cell r="I177">
            <v>0</v>
          </cell>
        </row>
        <row r="178">
          <cell r="A178" t="str">
            <v>teachers272</v>
          </cell>
          <cell r="C178">
            <v>28900</v>
          </cell>
          <cell r="D178">
            <v>0</v>
          </cell>
          <cell r="G178">
            <v>500</v>
          </cell>
          <cell r="H178">
            <v>2000</v>
          </cell>
          <cell r="I178">
            <v>0</v>
          </cell>
        </row>
        <row r="179">
          <cell r="A179" t="str">
            <v>teachers273</v>
          </cell>
          <cell r="C179">
            <v>51700</v>
          </cell>
          <cell r="D179">
            <v>400</v>
          </cell>
          <cell r="G179">
            <v>500</v>
          </cell>
          <cell r="H179">
            <v>3500</v>
          </cell>
          <cell r="I179">
            <v>0</v>
          </cell>
        </row>
        <row r="180">
          <cell r="A180" t="str">
            <v>teachers274</v>
          </cell>
          <cell r="C180">
            <v>47300</v>
          </cell>
          <cell r="D180">
            <v>0</v>
          </cell>
          <cell r="G180">
            <v>0</v>
          </cell>
          <cell r="H180">
            <v>3000</v>
          </cell>
          <cell r="I180">
            <v>0</v>
          </cell>
        </row>
        <row r="181">
          <cell r="A181" t="str">
            <v>teachers275</v>
          </cell>
          <cell r="C181">
            <v>47300</v>
          </cell>
          <cell r="D181">
            <v>0</v>
          </cell>
          <cell r="G181">
            <v>500</v>
          </cell>
          <cell r="H181">
            <v>3000</v>
          </cell>
          <cell r="I181">
            <v>0</v>
          </cell>
        </row>
        <row r="182">
          <cell r="A182" t="str">
            <v>teachers276</v>
          </cell>
          <cell r="C182">
            <v>34500</v>
          </cell>
          <cell r="D182">
            <v>0</v>
          </cell>
          <cell r="G182">
            <v>500</v>
          </cell>
          <cell r="H182">
            <v>2500</v>
          </cell>
          <cell r="I182">
            <v>0</v>
          </cell>
        </row>
        <row r="183">
          <cell r="A183" t="str">
            <v>teachers277</v>
          </cell>
          <cell r="C183">
            <v>33500</v>
          </cell>
          <cell r="D183">
            <v>0</v>
          </cell>
          <cell r="G183">
            <v>0</v>
          </cell>
          <cell r="H183">
            <v>2500</v>
          </cell>
          <cell r="I183">
            <v>0</v>
          </cell>
        </row>
        <row r="184">
          <cell r="A184" t="str">
            <v>teachers278</v>
          </cell>
          <cell r="C184">
            <v>28900</v>
          </cell>
          <cell r="D184">
            <v>0</v>
          </cell>
          <cell r="G184">
            <v>500</v>
          </cell>
          <cell r="H184">
            <v>2000</v>
          </cell>
          <cell r="I184">
            <v>0</v>
          </cell>
        </row>
        <row r="185">
          <cell r="A185" t="str">
            <v>teachers396-680da03e</v>
          </cell>
          <cell r="C185">
            <v>24700</v>
          </cell>
          <cell r="D185">
            <v>0</v>
          </cell>
          <cell r="G185">
            <v>500</v>
          </cell>
          <cell r="H185">
            <v>0</v>
          </cell>
          <cell r="I185">
            <v>0</v>
          </cell>
        </row>
        <row r="186">
          <cell r="A186" t="str">
            <v>teachers279</v>
          </cell>
          <cell r="C186">
            <v>47300</v>
          </cell>
          <cell r="D186">
            <v>400</v>
          </cell>
          <cell r="G186">
            <v>0</v>
          </cell>
          <cell r="H186">
            <v>4000</v>
          </cell>
          <cell r="I186">
            <v>0</v>
          </cell>
        </row>
        <row r="187">
          <cell r="A187" t="str">
            <v>teachers280</v>
          </cell>
          <cell r="C187">
            <v>33500</v>
          </cell>
          <cell r="D187">
            <v>0</v>
          </cell>
          <cell r="G187">
            <v>500</v>
          </cell>
          <cell r="H187">
            <v>3000</v>
          </cell>
          <cell r="I187">
            <v>0</v>
          </cell>
        </row>
        <row r="188">
          <cell r="A188" t="str">
            <v>teachers281</v>
          </cell>
          <cell r="C188">
            <v>28600</v>
          </cell>
          <cell r="D188">
            <v>0</v>
          </cell>
          <cell r="G188">
            <v>0</v>
          </cell>
          <cell r="H188">
            <v>5000</v>
          </cell>
          <cell r="I188">
            <v>0</v>
          </cell>
        </row>
        <row r="189">
          <cell r="A189" t="str">
            <v>teachers282</v>
          </cell>
          <cell r="C189">
            <v>58800</v>
          </cell>
          <cell r="D189">
            <v>400</v>
          </cell>
          <cell r="G189">
            <v>500</v>
          </cell>
          <cell r="H189">
            <v>13000</v>
          </cell>
          <cell r="I189">
            <v>0</v>
          </cell>
        </row>
        <row r="190">
          <cell r="A190" t="str">
            <v>teachers283</v>
          </cell>
          <cell r="C190">
            <v>34500</v>
          </cell>
          <cell r="D190">
            <v>0</v>
          </cell>
          <cell r="G190">
            <v>500</v>
          </cell>
          <cell r="H190">
            <v>5500</v>
          </cell>
          <cell r="I190">
            <v>0</v>
          </cell>
        </row>
        <row r="191">
          <cell r="A191" t="str">
            <v>teachers284</v>
          </cell>
          <cell r="C191">
            <v>50200</v>
          </cell>
          <cell r="D191">
            <v>0</v>
          </cell>
          <cell r="G191">
            <v>500</v>
          </cell>
          <cell r="H191">
            <v>5000</v>
          </cell>
          <cell r="I191">
            <v>0</v>
          </cell>
        </row>
        <row r="192">
          <cell r="A192" t="str">
            <v>teachers285</v>
          </cell>
          <cell r="C192">
            <v>33500</v>
          </cell>
          <cell r="D192">
            <v>0</v>
          </cell>
          <cell r="G192">
            <v>500</v>
          </cell>
          <cell r="H192">
            <v>5000</v>
          </cell>
          <cell r="I192">
            <v>0</v>
          </cell>
        </row>
        <row r="193">
          <cell r="A193" t="str">
            <v>teachers286</v>
          </cell>
          <cell r="C193">
            <v>33500</v>
          </cell>
          <cell r="D193">
            <v>0</v>
          </cell>
          <cell r="G193">
            <v>500</v>
          </cell>
          <cell r="H193">
            <v>2500</v>
          </cell>
          <cell r="I193">
            <v>0</v>
          </cell>
        </row>
        <row r="194">
          <cell r="A194" t="str">
            <v>teachers287</v>
          </cell>
          <cell r="C194">
            <v>33500</v>
          </cell>
          <cell r="D194">
            <v>0</v>
          </cell>
          <cell r="G194">
            <v>500</v>
          </cell>
          <cell r="H194">
            <v>3000</v>
          </cell>
          <cell r="I194">
            <v>0</v>
          </cell>
        </row>
        <row r="195">
          <cell r="A195" t="str">
            <v>teachers288</v>
          </cell>
          <cell r="C195">
            <v>37700</v>
          </cell>
          <cell r="D195">
            <v>0</v>
          </cell>
          <cell r="G195">
            <v>500</v>
          </cell>
          <cell r="H195">
            <v>5000</v>
          </cell>
          <cell r="I195">
            <v>0</v>
          </cell>
        </row>
        <row r="196">
          <cell r="A196" t="str">
            <v>teachers289</v>
          </cell>
          <cell r="C196">
            <v>28900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</row>
        <row r="197">
          <cell r="A197" t="str">
            <v>teachers290</v>
          </cell>
          <cell r="C197">
            <v>33500</v>
          </cell>
          <cell r="D197">
            <v>400</v>
          </cell>
          <cell r="G197">
            <v>500</v>
          </cell>
          <cell r="H197">
            <v>3000</v>
          </cell>
          <cell r="I197">
            <v>0</v>
          </cell>
        </row>
        <row r="198">
          <cell r="A198" t="str">
            <v>teachers291</v>
          </cell>
          <cell r="C198">
            <v>31600</v>
          </cell>
          <cell r="D198">
            <v>0</v>
          </cell>
          <cell r="G198">
            <v>500</v>
          </cell>
          <cell r="H198">
            <v>2000</v>
          </cell>
          <cell r="I198">
            <v>0</v>
          </cell>
        </row>
        <row r="199">
          <cell r="A199" t="str">
            <v>teachers292</v>
          </cell>
          <cell r="C199">
            <v>51700</v>
          </cell>
          <cell r="D199">
            <v>400</v>
          </cell>
          <cell r="G199">
            <v>500</v>
          </cell>
          <cell r="H199">
            <v>10000</v>
          </cell>
          <cell r="I199">
            <v>0</v>
          </cell>
        </row>
        <row r="200">
          <cell r="A200" t="str">
            <v>teachers293</v>
          </cell>
          <cell r="C200">
            <v>47300</v>
          </cell>
          <cell r="D200">
            <v>0</v>
          </cell>
          <cell r="G200">
            <v>500</v>
          </cell>
          <cell r="H200">
            <v>5000</v>
          </cell>
          <cell r="I200">
            <v>0</v>
          </cell>
        </row>
        <row r="201">
          <cell r="A201" t="str">
            <v>teachers294</v>
          </cell>
          <cell r="C201">
            <v>33500</v>
          </cell>
          <cell r="D201">
            <v>0</v>
          </cell>
          <cell r="G201">
            <v>500</v>
          </cell>
          <cell r="H201">
            <v>3000</v>
          </cell>
          <cell r="I201">
            <v>0</v>
          </cell>
        </row>
        <row r="202">
          <cell r="A202" t="str">
            <v>teachers295</v>
          </cell>
          <cell r="C202">
            <v>31600</v>
          </cell>
          <cell r="D202">
            <v>0</v>
          </cell>
          <cell r="G202">
            <v>500</v>
          </cell>
          <cell r="H202">
            <v>2000</v>
          </cell>
          <cell r="I202">
            <v>0</v>
          </cell>
        </row>
        <row r="203">
          <cell r="A203" t="str">
            <v>teachers296</v>
          </cell>
          <cell r="C203">
            <v>47300</v>
          </cell>
          <cell r="D203">
            <v>400</v>
          </cell>
          <cell r="G203">
            <v>500</v>
          </cell>
          <cell r="H203">
            <v>5000</v>
          </cell>
          <cell r="I203">
            <v>0</v>
          </cell>
        </row>
        <row r="204">
          <cell r="A204" t="str">
            <v>teachers297</v>
          </cell>
          <cell r="C204">
            <v>47300</v>
          </cell>
          <cell r="D204">
            <v>0</v>
          </cell>
          <cell r="G204">
            <v>500</v>
          </cell>
          <cell r="H204">
            <v>6000</v>
          </cell>
          <cell r="I204">
            <v>0</v>
          </cell>
        </row>
        <row r="205">
          <cell r="A205" t="str">
            <v>teachers298</v>
          </cell>
          <cell r="C205">
            <v>31600</v>
          </cell>
          <cell r="D205">
            <v>0</v>
          </cell>
          <cell r="G205">
            <v>500</v>
          </cell>
          <cell r="H205">
            <v>2000</v>
          </cell>
          <cell r="I205">
            <v>0</v>
          </cell>
        </row>
        <row r="206">
          <cell r="A206" t="str">
            <v>teachers299</v>
          </cell>
          <cell r="C206">
            <v>48700</v>
          </cell>
          <cell r="D206">
            <v>400</v>
          </cell>
          <cell r="G206">
            <v>500</v>
          </cell>
          <cell r="H206">
            <v>4000</v>
          </cell>
          <cell r="I206">
            <v>60</v>
          </cell>
        </row>
        <row r="207">
          <cell r="A207" t="str">
            <v>teachers300</v>
          </cell>
          <cell r="C207">
            <v>34500</v>
          </cell>
          <cell r="D207">
            <v>0</v>
          </cell>
          <cell r="G207">
            <v>500</v>
          </cell>
          <cell r="H207">
            <v>2500</v>
          </cell>
          <cell r="I207">
            <v>0</v>
          </cell>
        </row>
        <row r="208">
          <cell r="A208" t="str">
            <v>teachers301</v>
          </cell>
          <cell r="C208">
            <v>34500</v>
          </cell>
          <cell r="D208">
            <v>0</v>
          </cell>
          <cell r="G208">
            <v>500</v>
          </cell>
          <cell r="H208">
            <v>2500</v>
          </cell>
          <cell r="I208">
            <v>0</v>
          </cell>
        </row>
        <row r="209">
          <cell r="A209" t="str">
            <v>teachers302</v>
          </cell>
          <cell r="C209">
            <v>33500</v>
          </cell>
          <cell r="D209">
            <v>0</v>
          </cell>
          <cell r="G209">
            <v>0</v>
          </cell>
          <cell r="H209">
            <v>2500</v>
          </cell>
          <cell r="I209">
            <v>0</v>
          </cell>
        </row>
        <row r="210">
          <cell r="A210" t="str">
            <v>teachers303</v>
          </cell>
          <cell r="C210">
            <v>33500</v>
          </cell>
          <cell r="D210">
            <v>0</v>
          </cell>
          <cell r="G210">
            <v>500</v>
          </cell>
          <cell r="H210">
            <v>4000</v>
          </cell>
          <cell r="I210">
            <v>0</v>
          </cell>
        </row>
        <row r="211">
          <cell r="A211" t="str">
            <v>teachers387-8a82d5ab</v>
          </cell>
          <cell r="C211">
            <v>24700</v>
          </cell>
          <cell r="D211">
            <v>0</v>
          </cell>
          <cell r="G211">
            <v>500</v>
          </cell>
          <cell r="H211">
            <v>0</v>
          </cell>
          <cell r="I211">
            <v>0</v>
          </cell>
        </row>
        <row r="212">
          <cell r="A212" t="str">
            <v>teachers304</v>
          </cell>
          <cell r="C212">
            <v>51700</v>
          </cell>
          <cell r="D212">
            <v>400</v>
          </cell>
          <cell r="G212">
            <v>500</v>
          </cell>
          <cell r="H212">
            <v>10000</v>
          </cell>
          <cell r="I212">
            <v>0</v>
          </cell>
        </row>
        <row r="213">
          <cell r="A213" t="str">
            <v>teachers305</v>
          </cell>
          <cell r="C213">
            <v>47300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</row>
        <row r="214">
          <cell r="A214" t="str">
            <v>teachers306</v>
          </cell>
          <cell r="C214">
            <v>50200</v>
          </cell>
          <cell r="D214">
            <v>0</v>
          </cell>
          <cell r="G214">
            <v>0</v>
          </cell>
          <cell r="H214">
            <v>4000</v>
          </cell>
          <cell r="I214">
            <v>60</v>
          </cell>
        </row>
        <row r="215">
          <cell r="A215" t="str">
            <v>teachers307</v>
          </cell>
          <cell r="C215">
            <v>33500</v>
          </cell>
          <cell r="D215">
            <v>0</v>
          </cell>
          <cell r="G215">
            <v>0</v>
          </cell>
          <cell r="H215">
            <v>5000</v>
          </cell>
          <cell r="I215">
            <v>0</v>
          </cell>
        </row>
        <row r="216">
          <cell r="A216" t="str">
            <v>teachers308</v>
          </cell>
          <cell r="C216">
            <v>49200</v>
          </cell>
          <cell r="D216">
            <v>0</v>
          </cell>
          <cell r="G216">
            <v>500</v>
          </cell>
          <cell r="H216">
            <v>10000</v>
          </cell>
          <cell r="I216">
            <v>0</v>
          </cell>
        </row>
        <row r="217">
          <cell r="A217" t="str">
            <v>teachers309</v>
          </cell>
          <cell r="C217">
            <v>50200</v>
          </cell>
          <cell r="D217">
            <v>400</v>
          </cell>
          <cell r="G217">
            <v>500</v>
          </cell>
          <cell r="H217">
            <v>5000</v>
          </cell>
          <cell r="I217">
            <v>0</v>
          </cell>
        </row>
        <row r="218">
          <cell r="A218" t="str">
            <v>teachers310</v>
          </cell>
          <cell r="C218">
            <v>34500</v>
          </cell>
          <cell r="D218">
            <v>0</v>
          </cell>
          <cell r="G218">
            <v>500</v>
          </cell>
          <cell r="H218">
            <v>5000</v>
          </cell>
          <cell r="I218">
            <v>0</v>
          </cell>
        </row>
        <row r="219">
          <cell r="A219" t="str">
            <v>teachers311</v>
          </cell>
          <cell r="C219">
            <v>28900</v>
          </cell>
          <cell r="D219">
            <v>0</v>
          </cell>
          <cell r="G219">
            <v>500</v>
          </cell>
          <cell r="H219">
            <v>2000</v>
          </cell>
          <cell r="I219">
            <v>0</v>
          </cell>
        </row>
        <row r="220">
          <cell r="A220" t="str">
            <v>teachers312</v>
          </cell>
          <cell r="C220">
            <v>35500</v>
          </cell>
          <cell r="D220">
            <v>400</v>
          </cell>
          <cell r="G220">
            <v>0</v>
          </cell>
          <cell r="H220">
            <v>5000</v>
          </cell>
          <cell r="I220">
            <v>0</v>
          </cell>
        </row>
        <row r="221">
          <cell r="A221" t="str">
            <v>teachers313</v>
          </cell>
          <cell r="C221">
            <v>33500</v>
          </cell>
          <cell r="D221">
            <v>0</v>
          </cell>
          <cell r="G221">
            <v>500</v>
          </cell>
          <cell r="H221">
            <v>3000</v>
          </cell>
          <cell r="I221">
            <v>0</v>
          </cell>
        </row>
        <row r="222">
          <cell r="A222" t="str">
            <v>teachers314</v>
          </cell>
          <cell r="C222">
            <v>31600</v>
          </cell>
          <cell r="D222">
            <v>0</v>
          </cell>
          <cell r="G222">
            <v>500</v>
          </cell>
          <cell r="H222">
            <v>2000</v>
          </cell>
          <cell r="I222">
            <v>0</v>
          </cell>
        </row>
        <row r="223">
          <cell r="A223" t="str">
            <v>teachers315</v>
          </cell>
          <cell r="C223">
            <v>34500</v>
          </cell>
          <cell r="D223">
            <v>400</v>
          </cell>
          <cell r="G223">
            <v>500</v>
          </cell>
          <cell r="H223">
            <v>3000</v>
          </cell>
          <cell r="I223">
            <v>0</v>
          </cell>
        </row>
        <row r="224">
          <cell r="A224" t="str">
            <v>teachers316</v>
          </cell>
          <cell r="C224">
            <v>34500</v>
          </cell>
          <cell r="D224">
            <v>0</v>
          </cell>
          <cell r="G224">
            <v>500</v>
          </cell>
          <cell r="H224">
            <v>3000</v>
          </cell>
          <cell r="I224">
            <v>0</v>
          </cell>
        </row>
        <row r="225">
          <cell r="A225" t="str">
            <v>teachers317</v>
          </cell>
          <cell r="C225">
            <v>33500</v>
          </cell>
          <cell r="D225">
            <v>400</v>
          </cell>
          <cell r="G225">
            <v>500</v>
          </cell>
          <cell r="H225">
            <v>2500</v>
          </cell>
          <cell r="I225">
            <v>0</v>
          </cell>
        </row>
        <row r="226">
          <cell r="A226" t="str">
            <v>teachers318</v>
          </cell>
          <cell r="C226">
            <v>33500</v>
          </cell>
          <cell r="D226">
            <v>0</v>
          </cell>
          <cell r="G226">
            <v>500</v>
          </cell>
          <cell r="H226">
            <v>2500</v>
          </cell>
          <cell r="I226">
            <v>0</v>
          </cell>
        </row>
        <row r="227">
          <cell r="A227" t="str">
            <v>teachers386-dbc88f20</v>
          </cell>
          <cell r="C227">
            <v>28900</v>
          </cell>
          <cell r="D227">
            <v>0</v>
          </cell>
          <cell r="G227">
            <v>500</v>
          </cell>
          <cell r="H227">
            <v>2000</v>
          </cell>
          <cell r="I227">
            <v>0</v>
          </cell>
        </row>
        <row r="228">
          <cell r="A228" t="str">
            <v>teachers319</v>
          </cell>
          <cell r="C228">
            <v>47300</v>
          </cell>
          <cell r="D228">
            <v>0</v>
          </cell>
          <cell r="G228">
            <v>0</v>
          </cell>
          <cell r="H228">
            <v>10000</v>
          </cell>
          <cell r="I228">
            <v>60</v>
          </cell>
        </row>
        <row r="229">
          <cell r="A229" t="str">
            <v>teachers320</v>
          </cell>
          <cell r="C229">
            <v>34500</v>
          </cell>
          <cell r="D229">
            <v>0</v>
          </cell>
          <cell r="G229">
            <v>500</v>
          </cell>
          <cell r="H229">
            <v>2500</v>
          </cell>
          <cell r="I229">
            <v>0</v>
          </cell>
        </row>
        <row r="230">
          <cell r="A230" t="str">
            <v>teachers321</v>
          </cell>
          <cell r="C230">
            <v>28900</v>
          </cell>
          <cell r="D230">
            <v>0</v>
          </cell>
          <cell r="G230">
            <v>500</v>
          </cell>
          <cell r="H230">
            <v>2000</v>
          </cell>
          <cell r="I230">
            <v>0</v>
          </cell>
        </row>
        <row r="231">
          <cell r="A231" t="str">
            <v>teachers322</v>
          </cell>
          <cell r="C231">
            <v>48700</v>
          </cell>
          <cell r="D231">
            <v>400</v>
          </cell>
          <cell r="G231">
            <v>500</v>
          </cell>
          <cell r="H231">
            <v>6000</v>
          </cell>
          <cell r="I231">
            <v>0</v>
          </cell>
        </row>
        <row r="232">
          <cell r="A232" t="str">
            <v>teachers323</v>
          </cell>
          <cell r="C232">
            <v>47300</v>
          </cell>
          <cell r="D232">
            <v>0</v>
          </cell>
          <cell r="G232">
            <v>0</v>
          </cell>
          <cell r="H232">
            <v>6000</v>
          </cell>
          <cell r="I232">
            <v>0</v>
          </cell>
        </row>
        <row r="233">
          <cell r="A233" t="str">
            <v>teachers324</v>
          </cell>
          <cell r="C233">
            <v>33500</v>
          </cell>
          <cell r="D233">
            <v>0</v>
          </cell>
          <cell r="G233">
            <v>500</v>
          </cell>
          <cell r="H233">
            <v>2500</v>
          </cell>
          <cell r="I233">
            <v>0</v>
          </cell>
        </row>
        <row r="234">
          <cell r="A234" t="str">
            <v>teachers325</v>
          </cell>
          <cell r="C234">
            <v>33500</v>
          </cell>
          <cell r="D234">
            <v>0</v>
          </cell>
          <cell r="G234">
            <v>500</v>
          </cell>
          <cell r="H234">
            <v>2500</v>
          </cell>
          <cell r="I234">
            <v>0</v>
          </cell>
        </row>
        <row r="235">
          <cell r="A235" t="str">
            <v>teachers326</v>
          </cell>
          <cell r="C235">
            <v>37700</v>
          </cell>
          <cell r="D235">
            <v>0</v>
          </cell>
          <cell r="G235">
            <v>500</v>
          </cell>
          <cell r="H235">
            <v>3000</v>
          </cell>
          <cell r="I235">
            <v>0</v>
          </cell>
        </row>
        <row r="236">
          <cell r="A236" t="str">
            <v>teachers327</v>
          </cell>
          <cell r="C236">
            <v>55400</v>
          </cell>
          <cell r="D236">
            <v>400</v>
          </cell>
          <cell r="G236">
            <v>0</v>
          </cell>
          <cell r="H236">
            <v>3500</v>
          </cell>
          <cell r="I236">
            <v>0</v>
          </cell>
        </row>
        <row r="237">
          <cell r="A237" t="str">
            <v>teachers328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</row>
        <row r="238">
          <cell r="A238" t="str">
            <v>teachers329</v>
          </cell>
          <cell r="C238">
            <v>28900</v>
          </cell>
          <cell r="D238">
            <v>0</v>
          </cell>
          <cell r="G238">
            <v>0</v>
          </cell>
          <cell r="H238">
            <v>2000</v>
          </cell>
          <cell r="I238">
            <v>0</v>
          </cell>
        </row>
        <row r="239">
          <cell r="A239" t="str">
            <v>teachers330</v>
          </cell>
          <cell r="C239">
            <v>28900</v>
          </cell>
          <cell r="D239">
            <v>0</v>
          </cell>
          <cell r="G239">
            <v>500</v>
          </cell>
          <cell r="H239">
            <v>2000</v>
          </cell>
          <cell r="I239">
            <v>0</v>
          </cell>
        </row>
        <row r="240">
          <cell r="A240" t="str">
            <v>teachers331</v>
          </cell>
          <cell r="C240">
            <v>37700</v>
          </cell>
          <cell r="D240">
            <v>400</v>
          </cell>
          <cell r="G240">
            <v>500</v>
          </cell>
          <cell r="H240">
            <v>3000</v>
          </cell>
          <cell r="I240">
            <v>0</v>
          </cell>
        </row>
        <row r="241">
          <cell r="A241" t="str">
            <v>teachers332</v>
          </cell>
          <cell r="C241">
            <v>47300</v>
          </cell>
          <cell r="D241">
            <v>0</v>
          </cell>
          <cell r="G241">
            <v>500</v>
          </cell>
          <cell r="H241">
            <v>3000</v>
          </cell>
          <cell r="I241">
            <v>0</v>
          </cell>
        </row>
        <row r="242">
          <cell r="A242" t="str">
            <v>teachers333</v>
          </cell>
          <cell r="C242">
            <v>33500</v>
          </cell>
          <cell r="D242">
            <v>0</v>
          </cell>
          <cell r="G242">
            <v>500</v>
          </cell>
          <cell r="H242">
            <v>2500</v>
          </cell>
          <cell r="I242">
            <v>0</v>
          </cell>
        </row>
        <row r="243">
          <cell r="A243" t="str">
            <v>teachers334</v>
          </cell>
          <cell r="C243">
            <v>33500</v>
          </cell>
          <cell r="D243">
            <v>0</v>
          </cell>
          <cell r="G243">
            <v>500</v>
          </cell>
          <cell r="H243">
            <v>2500</v>
          </cell>
          <cell r="I243">
            <v>0</v>
          </cell>
        </row>
        <row r="244">
          <cell r="A244" t="str">
            <v>teachers335</v>
          </cell>
          <cell r="C244">
            <v>28900</v>
          </cell>
          <cell r="D244">
            <v>0</v>
          </cell>
          <cell r="G244">
            <v>500</v>
          </cell>
          <cell r="H244">
            <v>2000</v>
          </cell>
          <cell r="I244">
            <v>0</v>
          </cell>
        </row>
        <row r="245">
          <cell r="A245" t="str">
            <v>teachers388-9d83883f</v>
          </cell>
          <cell r="C245">
            <v>48700</v>
          </cell>
          <cell r="D245">
            <v>400</v>
          </cell>
          <cell r="G245">
            <v>500</v>
          </cell>
          <cell r="H245">
            <v>5000</v>
          </cell>
          <cell r="I245">
            <v>0</v>
          </cell>
        </row>
        <row r="246">
          <cell r="A246" t="str">
            <v>teachers336</v>
          </cell>
          <cell r="C246">
            <v>34500</v>
          </cell>
          <cell r="D246">
            <v>0</v>
          </cell>
          <cell r="G246">
            <v>500</v>
          </cell>
          <cell r="H246">
            <v>6000</v>
          </cell>
          <cell r="I246">
            <v>0</v>
          </cell>
        </row>
        <row r="247">
          <cell r="A247" t="str">
            <v>teachers337</v>
          </cell>
          <cell r="C247">
            <v>34500</v>
          </cell>
          <cell r="D247">
            <v>0</v>
          </cell>
          <cell r="G247">
            <v>500</v>
          </cell>
          <cell r="H247">
            <v>3000</v>
          </cell>
          <cell r="I247">
            <v>0</v>
          </cell>
        </row>
        <row r="248">
          <cell r="A248" t="str">
            <v>teachers338</v>
          </cell>
          <cell r="C248">
            <v>28900</v>
          </cell>
          <cell r="D248">
            <v>0</v>
          </cell>
          <cell r="G248">
            <v>500</v>
          </cell>
          <cell r="H248">
            <v>2000</v>
          </cell>
          <cell r="I248">
            <v>0</v>
          </cell>
        </row>
        <row r="249">
          <cell r="A249" t="str">
            <v>teachers339</v>
          </cell>
          <cell r="C249">
            <v>34500</v>
          </cell>
          <cell r="D249">
            <v>400</v>
          </cell>
          <cell r="G249">
            <v>0</v>
          </cell>
          <cell r="H249">
            <v>2500</v>
          </cell>
          <cell r="I249">
            <v>0</v>
          </cell>
        </row>
        <row r="250">
          <cell r="A250" t="str">
            <v>teachers340</v>
          </cell>
          <cell r="C250">
            <v>34500</v>
          </cell>
          <cell r="D250">
            <v>0</v>
          </cell>
          <cell r="G250">
            <v>0</v>
          </cell>
          <cell r="H250">
            <v>5000</v>
          </cell>
          <cell r="I250">
            <v>0</v>
          </cell>
        </row>
        <row r="251">
          <cell r="A251" t="str">
            <v>teachers341</v>
          </cell>
          <cell r="C251">
            <v>51700</v>
          </cell>
          <cell r="D251">
            <v>400</v>
          </cell>
          <cell r="G251">
            <v>500</v>
          </cell>
          <cell r="H251">
            <v>5000</v>
          </cell>
          <cell r="I251">
            <v>0</v>
          </cell>
        </row>
        <row r="252">
          <cell r="A252" t="str">
            <v>teachers342</v>
          </cell>
          <cell r="C252">
            <v>34500</v>
          </cell>
          <cell r="D252">
            <v>0</v>
          </cell>
          <cell r="G252">
            <v>500</v>
          </cell>
          <cell r="H252">
            <v>3000</v>
          </cell>
          <cell r="I252">
            <v>0</v>
          </cell>
        </row>
        <row r="253">
          <cell r="A253" t="str">
            <v>teachers343</v>
          </cell>
          <cell r="C253">
            <v>28900</v>
          </cell>
          <cell r="D253">
            <v>0</v>
          </cell>
          <cell r="G253">
            <v>500</v>
          </cell>
          <cell r="H253">
            <v>2000</v>
          </cell>
          <cell r="I253">
            <v>0</v>
          </cell>
        </row>
        <row r="254">
          <cell r="A254" t="str">
            <v>teachers344</v>
          </cell>
          <cell r="C254">
            <v>34500</v>
          </cell>
          <cell r="D254">
            <v>400</v>
          </cell>
          <cell r="G254">
            <v>500</v>
          </cell>
          <cell r="H254">
            <v>3000</v>
          </cell>
          <cell r="I254">
            <v>0</v>
          </cell>
        </row>
        <row r="255">
          <cell r="A255" t="str">
            <v>teachers345</v>
          </cell>
          <cell r="C255">
            <v>31600</v>
          </cell>
          <cell r="D255">
            <v>0</v>
          </cell>
          <cell r="G255">
            <v>0</v>
          </cell>
          <cell r="H255">
            <v>2000</v>
          </cell>
          <cell r="I255">
            <v>0</v>
          </cell>
        </row>
        <row r="256">
          <cell r="A256" t="str">
            <v>teachers346</v>
          </cell>
          <cell r="C256">
            <v>31600</v>
          </cell>
          <cell r="D256">
            <v>0</v>
          </cell>
          <cell r="G256">
            <v>500</v>
          </cell>
          <cell r="H256">
            <v>2000</v>
          </cell>
          <cell r="I256">
            <v>0</v>
          </cell>
        </row>
        <row r="257">
          <cell r="A257" t="str">
            <v>teachers347</v>
          </cell>
          <cell r="C257">
            <v>34500</v>
          </cell>
          <cell r="D257">
            <v>0</v>
          </cell>
          <cell r="G257">
            <v>0</v>
          </cell>
          <cell r="H257">
            <v>0</v>
          </cell>
          <cell r="I257">
            <v>0</v>
          </cell>
        </row>
        <row r="258">
          <cell r="A258" t="str">
            <v>teachers348</v>
          </cell>
          <cell r="C258">
            <v>31600</v>
          </cell>
          <cell r="D258">
            <v>0</v>
          </cell>
          <cell r="G258">
            <v>0</v>
          </cell>
          <cell r="H258">
            <v>5000</v>
          </cell>
          <cell r="I258">
            <v>0</v>
          </cell>
        </row>
        <row r="259">
          <cell r="A259" t="str">
            <v>teachers349</v>
          </cell>
          <cell r="C259">
            <v>28900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</row>
        <row r="260">
          <cell r="A260" t="str">
            <v>teachers350</v>
          </cell>
          <cell r="C260">
            <v>47300</v>
          </cell>
          <cell r="D260">
            <v>400</v>
          </cell>
          <cell r="G260">
            <v>500</v>
          </cell>
          <cell r="H260">
            <v>4000</v>
          </cell>
          <cell r="I260">
            <v>60</v>
          </cell>
        </row>
        <row r="261">
          <cell r="A261" t="str">
            <v>teachers351</v>
          </cell>
          <cell r="C261">
            <v>31600</v>
          </cell>
          <cell r="D261">
            <v>0</v>
          </cell>
          <cell r="G261">
            <v>500</v>
          </cell>
          <cell r="H261">
            <v>2000</v>
          </cell>
          <cell r="I261">
            <v>0</v>
          </cell>
        </row>
        <row r="262">
          <cell r="A262" t="str">
            <v>teachers352</v>
          </cell>
          <cell r="C262">
            <v>28900</v>
          </cell>
          <cell r="D262">
            <v>0</v>
          </cell>
          <cell r="G262">
            <v>500</v>
          </cell>
          <cell r="H262">
            <v>2000</v>
          </cell>
          <cell r="I262">
            <v>0</v>
          </cell>
        </row>
        <row r="263">
          <cell r="A263" t="str">
            <v>teachers353</v>
          </cell>
          <cell r="C263">
            <v>48700</v>
          </cell>
          <cell r="D263">
            <v>400</v>
          </cell>
          <cell r="G263">
            <v>0</v>
          </cell>
          <cell r="H263">
            <v>5000</v>
          </cell>
          <cell r="I263">
            <v>60</v>
          </cell>
        </row>
        <row r="264">
          <cell r="A264" t="str">
            <v>teachers354</v>
          </cell>
          <cell r="C264">
            <v>47300</v>
          </cell>
          <cell r="D264">
            <v>0</v>
          </cell>
          <cell r="G264">
            <v>500</v>
          </cell>
          <cell r="H264">
            <v>12000</v>
          </cell>
          <cell r="I264">
            <v>0</v>
          </cell>
        </row>
        <row r="265">
          <cell r="A265" t="str">
            <v>teachers355</v>
          </cell>
          <cell r="C265">
            <v>51700</v>
          </cell>
          <cell r="D265">
            <v>400</v>
          </cell>
          <cell r="G265">
            <v>500</v>
          </cell>
          <cell r="H265">
            <v>8000</v>
          </cell>
          <cell r="I265">
            <v>60</v>
          </cell>
        </row>
        <row r="266">
          <cell r="A266" t="str">
            <v>teachers356</v>
          </cell>
          <cell r="C266">
            <v>37700</v>
          </cell>
          <cell r="D266">
            <v>0</v>
          </cell>
          <cell r="G266">
            <v>500</v>
          </cell>
          <cell r="H266">
            <v>5000</v>
          </cell>
          <cell r="I266">
            <v>0</v>
          </cell>
        </row>
        <row r="267">
          <cell r="A267" t="str">
            <v>teachers357</v>
          </cell>
          <cell r="C267">
            <v>51700</v>
          </cell>
          <cell r="D267">
            <v>400</v>
          </cell>
          <cell r="G267">
            <v>500</v>
          </cell>
          <cell r="H267">
            <v>4000</v>
          </cell>
          <cell r="I267">
            <v>0</v>
          </cell>
        </row>
        <row r="268">
          <cell r="A268" t="str">
            <v>teachers358</v>
          </cell>
          <cell r="C268">
            <v>29800</v>
          </cell>
          <cell r="D268">
            <v>0</v>
          </cell>
          <cell r="G268">
            <v>500</v>
          </cell>
          <cell r="H268">
            <v>2000</v>
          </cell>
          <cell r="I268">
            <v>0</v>
          </cell>
        </row>
        <row r="269">
          <cell r="A269" t="str">
            <v>teachers359</v>
          </cell>
          <cell r="C269">
            <v>47300</v>
          </cell>
          <cell r="D269">
            <v>400</v>
          </cell>
          <cell r="G269">
            <v>0</v>
          </cell>
          <cell r="H269">
            <v>7000</v>
          </cell>
          <cell r="I269">
            <v>60</v>
          </cell>
        </row>
        <row r="270">
          <cell r="A270" t="str">
            <v>teachers360</v>
          </cell>
          <cell r="C270">
            <v>50200</v>
          </cell>
          <cell r="D270">
            <v>0</v>
          </cell>
          <cell r="G270">
            <v>500</v>
          </cell>
          <cell r="H270">
            <v>5000</v>
          </cell>
          <cell r="I270">
            <v>0</v>
          </cell>
        </row>
        <row r="271">
          <cell r="A271" t="str">
            <v>teachers361</v>
          </cell>
          <cell r="C271">
            <v>33500</v>
          </cell>
          <cell r="D271">
            <v>0</v>
          </cell>
          <cell r="G271">
            <v>500</v>
          </cell>
          <cell r="H271">
            <v>5000</v>
          </cell>
          <cell r="I271">
            <v>0</v>
          </cell>
        </row>
        <row r="272">
          <cell r="A272" t="str">
            <v>teachers362</v>
          </cell>
          <cell r="C272">
            <v>33500</v>
          </cell>
          <cell r="D272">
            <v>0</v>
          </cell>
          <cell r="G272">
            <v>500</v>
          </cell>
          <cell r="H272">
            <v>3000</v>
          </cell>
          <cell r="I272">
            <v>0</v>
          </cell>
        </row>
        <row r="273">
          <cell r="A273" t="str">
            <v>teachers363</v>
          </cell>
          <cell r="C273">
            <v>31600</v>
          </cell>
          <cell r="D273">
            <v>0</v>
          </cell>
          <cell r="G273">
            <v>0</v>
          </cell>
          <cell r="H273">
            <v>2000</v>
          </cell>
          <cell r="I273">
            <v>0</v>
          </cell>
        </row>
        <row r="274">
          <cell r="A274" t="str">
            <v>teachers364</v>
          </cell>
          <cell r="C274">
            <v>27000</v>
          </cell>
          <cell r="D274">
            <v>0</v>
          </cell>
          <cell r="G274">
            <v>0</v>
          </cell>
          <cell r="H274">
            <v>2000</v>
          </cell>
          <cell r="I274">
            <v>0</v>
          </cell>
        </row>
        <row r="275">
          <cell r="A275" t="str">
            <v>teachers365</v>
          </cell>
          <cell r="C275">
            <v>47300</v>
          </cell>
          <cell r="D275">
            <v>400</v>
          </cell>
          <cell r="G275">
            <v>500</v>
          </cell>
          <cell r="H275">
            <v>4000</v>
          </cell>
          <cell r="I275">
            <v>0</v>
          </cell>
        </row>
        <row r="276">
          <cell r="A276" t="str">
            <v>teachers366</v>
          </cell>
          <cell r="C276">
            <v>33500</v>
          </cell>
          <cell r="D276">
            <v>0</v>
          </cell>
          <cell r="G276">
            <v>500</v>
          </cell>
          <cell r="H276">
            <v>2500</v>
          </cell>
          <cell r="I276">
            <v>0</v>
          </cell>
        </row>
        <row r="277">
          <cell r="A277" t="str">
            <v>teachers367</v>
          </cell>
          <cell r="C277">
            <v>33500</v>
          </cell>
          <cell r="D277">
            <v>0</v>
          </cell>
          <cell r="G277">
            <v>0</v>
          </cell>
          <cell r="H277">
            <v>5000</v>
          </cell>
          <cell r="I277">
            <v>0</v>
          </cell>
        </row>
        <row r="278">
          <cell r="A278" t="str">
            <v>teachers394-a4f17403</v>
          </cell>
          <cell r="C278">
            <v>28900</v>
          </cell>
          <cell r="D278">
            <v>0</v>
          </cell>
          <cell r="G278">
            <v>0</v>
          </cell>
          <cell r="H278">
            <v>0</v>
          </cell>
          <cell r="I278">
            <v>0</v>
          </cell>
        </row>
        <row r="279">
          <cell r="A279" t="str">
            <v>teachers368</v>
          </cell>
          <cell r="C279">
            <v>51700</v>
          </cell>
          <cell r="D279">
            <v>400</v>
          </cell>
          <cell r="G279">
            <v>0</v>
          </cell>
          <cell r="H279">
            <v>4000</v>
          </cell>
          <cell r="I279">
            <v>0</v>
          </cell>
        </row>
        <row r="280">
          <cell r="A280" t="str">
            <v>teachers369</v>
          </cell>
          <cell r="C280">
            <v>34500</v>
          </cell>
          <cell r="D280">
            <v>0</v>
          </cell>
          <cell r="G280">
            <v>500</v>
          </cell>
          <cell r="H280">
            <v>3000</v>
          </cell>
          <cell r="I280">
            <v>0</v>
          </cell>
        </row>
        <row r="281">
          <cell r="A281" t="str">
            <v>teachers370</v>
          </cell>
          <cell r="C281">
            <v>34500</v>
          </cell>
          <cell r="D281">
            <v>0</v>
          </cell>
          <cell r="G281">
            <v>500</v>
          </cell>
          <cell r="H281">
            <v>2500</v>
          </cell>
          <cell r="I281">
            <v>0</v>
          </cell>
        </row>
        <row r="282">
          <cell r="A282" t="str">
            <v>teachers371</v>
          </cell>
          <cell r="C282">
            <v>27000</v>
          </cell>
          <cell r="D282">
            <v>0</v>
          </cell>
          <cell r="G282">
            <v>500</v>
          </cell>
          <cell r="H282">
            <v>2000</v>
          </cell>
          <cell r="I282">
            <v>0</v>
          </cell>
        </row>
        <row r="283">
          <cell r="A283" t="str">
            <v>teachers372</v>
          </cell>
          <cell r="C283">
            <v>31600</v>
          </cell>
          <cell r="D283">
            <v>0</v>
          </cell>
          <cell r="G283">
            <v>0</v>
          </cell>
          <cell r="H283">
            <v>2000</v>
          </cell>
          <cell r="I283">
            <v>0</v>
          </cell>
        </row>
        <row r="284">
          <cell r="A284" t="str">
            <v>teachers373</v>
          </cell>
          <cell r="C284">
            <v>51700</v>
          </cell>
          <cell r="D284">
            <v>400</v>
          </cell>
          <cell r="G284">
            <v>500</v>
          </cell>
          <cell r="H284">
            <v>10000</v>
          </cell>
          <cell r="I284">
            <v>0</v>
          </cell>
        </row>
        <row r="285">
          <cell r="A285" t="str">
            <v>teachers374</v>
          </cell>
          <cell r="C285">
            <v>37700</v>
          </cell>
          <cell r="D285">
            <v>0</v>
          </cell>
          <cell r="G285">
            <v>500</v>
          </cell>
          <cell r="H285">
            <v>5000</v>
          </cell>
          <cell r="I285">
            <v>0</v>
          </cell>
        </row>
        <row r="286">
          <cell r="A286" t="str">
            <v>teachers375</v>
          </cell>
          <cell r="C286">
            <v>31600</v>
          </cell>
          <cell r="D286">
            <v>0</v>
          </cell>
          <cell r="G286">
            <v>500</v>
          </cell>
          <cell r="H286">
            <v>2000</v>
          </cell>
          <cell r="I286">
            <v>0</v>
          </cell>
        </row>
        <row r="287">
          <cell r="A287" t="str">
            <v>teachers376</v>
          </cell>
          <cell r="C287">
            <v>51700</v>
          </cell>
          <cell r="D287">
            <v>400</v>
          </cell>
          <cell r="G287">
            <v>0</v>
          </cell>
          <cell r="H287">
            <v>8000</v>
          </cell>
          <cell r="I287">
            <v>60</v>
          </cell>
        </row>
        <row r="288">
          <cell r="A288" t="str">
            <v>teachers377</v>
          </cell>
          <cell r="C288">
            <v>33500</v>
          </cell>
          <cell r="D288">
            <v>0</v>
          </cell>
          <cell r="G288">
            <v>0</v>
          </cell>
          <cell r="H288">
            <v>2500</v>
          </cell>
          <cell r="I288">
            <v>0</v>
          </cell>
        </row>
        <row r="289">
          <cell r="A289" t="str">
            <v>teachers378</v>
          </cell>
          <cell r="C289">
            <v>48700</v>
          </cell>
          <cell r="D289">
            <v>400</v>
          </cell>
          <cell r="G289">
            <v>0</v>
          </cell>
          <cell r="H289">
            <v>12000</v>
          </cell>
          <cell r="I289">
            <v>0</v>
          </cell>
        </row>
        <row r="290">
          <cell r="A290" t="str">
            <v>teachers379</v>
          </cell>
          <cell r="C290">
            <v>33500</v>
          </cell>
          <cell r="D290">
            <v>0</v>
          </cell>
          <cell r="G290">
            <v>500</v>
          </cell>
          <cell r="H290">
            <v>3000</v>
          </cell>
          <cell r="I290">
            <v>0</v>
          </cell>
        </row>
        <row r="291">
          <cell r="A291" t="str">
            <v>teachers380</v>
          </cell>
          <cell r="C291">
            <v>33500</v>
          </cell>
          <cell r="D291">
            <v>0</v>
          </cell>
          <cell r="G291">
            <v>500</v>
          </cell>
          <cell r="H291">
            <v>5000</v>
          </cell>
          <cell r="I291">
            <v>0</v>
          </cell>
        </row>
        <row r="292">
          <cell r="A292" t="str">
            <v>teachers381</v>
          </cell>
          <cell r="C292">
            <v>34500</v>
          </cell>
          <cell r="D292">
            <v>400</v>
          </cell>
          <cell r="G292">
            <v>0</v>
          </cell>
          <cell r="H292">
            <v>2500</v>
          </cell>
          <cell r="I292">
            <v>0</v>
          </cell>
        </row>
        <row r="293">
          <cell r="A293" t="str">
            <v>teachers382</v>
          </cell>
          <cell r="C293">
            <v>34500</v>
          </cell>
          <cell r="D293">
            <v>0</v>
          </cell>
          <cell r="G293">
            <v>500</v>
          </cell>
          <cell r="H293">
            <v>2500</v>
          </cell>
          <cell r="I293">
            <v>0</v>
          </cell>
        </row>
        <row r="294">
          <cell r="A294" t="str">
            <v>teachers383</v>
          </cell>
          <cell r="C294">
            <v>34500</v>
          </cell>
          <cell r="D294">
            <v>0</v>
          </cell>
          <cell r="G294">
            <v>500</v>
          </cell>
          <cell r="H294">
            <v>2500</v>
          </cell>
          <cell r="I294">
            <v>0</v>
          </cell>
        </row>
        <row r="295">
          <cell r="A295" t="str">
            <v>teachers384</v>
          </cell>
          <cell r="C295">
            <v>31600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</row>
        <row r="296">
          <cell r="A296" t="str">
            <v>teachers396-3fc4378f</v>
          </cell>
          <cell r="C296">
            <v>24700</v>
          </cell>
          <cell r="D296">
            <v>0</v>
          </cell>
          <cell r="G296">
            <v>500</v>
          </cell>
          <cell r="H296">
            <v>0</v>
          </cell>
          <cell r="I296">
            <v>0</v>
          </cell>
        </row>
        <row r="297">
          <cell r="A297" t="str">
            <v>teachers399-29d8e169</v>
          </cell>
          <cell r="C297">
            <v>24700</v>
          </cell>
          <cell r="D297">
            <v>0</v>
          </cell>
          <cell r="G297">
            <v>0</v>
          </cell>
          <cell r="H297">
            <v>0</v>
          </cell>
          <cell r="I297">
            <v>0</v>
          </cell>
        </row>
        <row r="298">
          <cell r="A298" t="str">
            <v>teachers395-e928c8e3</v>
          </cell>
          <cell r="C298">
            <v>24700</v>
          </cell>
          <cell r="D298">
            <v>0</v>
          </cell>
          <cell r="G298">
            <v>0</v>
          </cell>
          <cell r="H298">
            <v>0</v>
          </cell>
          <cell r="I298">
            <v>0</v>
          </cell>
        </row>
        <row r="299">
          <cell r="A299" t="str">
            <v>teachers397-a816599d</v>
          </cell>
          <cell r="C299">
            <v>24700</v>
          </cell>
          <cell r="D299">
            <v>0</v>
          </cell>
          <cell r="G299">
            <v>500</v>
          </cell>
          <cell r="H299">
            <v>0</v>
          </cell>
          <cell r="I299">
            <v>0</v>
          </cell>
        </row>
        <row r="300">
          <cell r="A300" t="str">
            <v>teachers398-0d5c8f45</v>
          </cell>
          <cell r="C300">
            <v>24700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</row>
        <row r="301">
          <cell r="A301" t="str">
            <v>teachers399-5cc82fa0</v>
          </cell>
          <cell r="C301">
            <v>24700</v>
          </cell>
          <cell r="D301">
            <v>0</v>
          </cell>
          <cell r="G301">
            <v>0</v>
          </cell>
          <cell r="H301">
            <v>0</v>
          </cell>
          <cell r="I301">
            <v>0</v>
          </cell>
        </row>
        <row r="302">
          <cell r="A302" t="str">
            <v>teachers399-6d7dd594</v>
          </cell>
          <cell r="C302">
            <v>0</v>
          </cell>
          <cell r="D302">
            <v>0</v>
          </cell>
          <cell r="G302">
            <v>500</v>
          </cell>
          <cell r="H302">
            <v>0</v>
          </cell>
          <cell r="I302">
            <v>0</v>
          </cell>
        </row>
        <row r="303">
          <cell r="A303" t="str">
            <v>teachers399-20dae0ff</v>
          </cell>
          <cell r="C303">
            <v>33500</v>
          </cell>
          <cell r="D303">
            <v>0</v>
          </cell>
          <cell r="G303">
            <v>500</v>
          </cell>
          <cell r="H303">
            <v>3000</v>
          </cell>
          <cell r="I303">
            <v>0</v>
          </cell>
        </row>
        <row r="304">
          <cell r="A304" t="str">
            <v>teachers399-4fe1a07f</v>
          </cell>
          <cell r="C304">
            <v>31600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y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0</v>
          </cell>
          <cell r="I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G21">
            <v>0</v>
          </cell>
          <cell r="H21">
            <v>4000</v>
          </cell>
          <cell r="I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G24">
            <v>500</v>
          </cell>
          <cell r="H24">
            <v>5000</v>
          </cell>
          <cell r="I24">
            <v>60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G37">
            <v>500</v>
          </cell>
          <cell r="H37">
            <v>0</v>
          </cell>
          <cell r="I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G74">
            <v>500</v>
          </cell>
          <cell r="H74">
            <v>0</v>
          </cell>
          <cell r="I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</row>
        <row r="123">
          <cell r="A123" t="str">
            <v>teachers219</v>
          </cell>
          <cell r="C123">
            <v>34500</v>
          </cell>
          <cell r="D123">
            <v>0</v>
          </cell>
          <cell r="G123">
            <v>500</v>
          </cell>
          <cell r="H123">
            <v>2000</v>
          </cell>
          <cell r="I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G136">
            <v>0</v>
          </cell>
          <cell r="H136">
            <v>0</v>
          </cell>
          <cell r="I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G146">
            <v>0</v>
          </cell>
          <cell r="H146">
            <v>0</v>
          </cell>
          <cell r="I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G154">
            <v>500</v>
          </cell>
          <cell r="H154">
            <v>2000</v>
          </cell>
          <cell r="I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G155">
            <v>500</v>
          </cell>
          <cell r="H155">
            <v>0</v>
          </cell>
          <cell r="I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</row>
        <row r="183">
          <cell r="A183" t="str">
            <v>teachers396-680da03e</v>
          </cell>
          <cell r="C183">
            <v>25400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G209">
            <v>500</v>
          </cell>
          <cell r="H209">
            <v>0</v>
          </cell>
          <cell r="I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</row>
        <row r="229">
          <cell r="A229" t="str">
            <v>teachers322</v>
          </cell>
          <cell r="C229">
            <v>50200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G234">
            <v>0</v>
          </cell>
          <cell r="H234">
            <v>3500</v>
          </cell>
          <cell r="I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</row>
        <row r="255">
          <cell r="A255" t="str">
            <v>teachers347</v>
          </cell>
          <cell r="C255">
            <v>35500</v>
          </cell>
          <cell r="D255">
            <v>0</v>
          </cell>
          <cell r="G255">
            <v>0</v>
          </cell>
          <cell r="H255">
            <v>0</v>
          </cell>
          <cell r="I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G262">
            <v>500</v>
          </cell>
          <cell r="H262">
            <v>12000</v>
          </cell>
          <cell r="I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G267">
            <v>0</v>
          </cell>
          <cell r="H267">
            <v>7000</v>
          </cell>
          <cell r="I267">
            <v>60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G270">
            <v>500</v>
          </cell>
          <cell r="H270">
            <v>3000</v>
          </cell>
          <cell r="I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G276">
            <v>0</v>
          </cell>
          <cell r="H276">
            <v>0</v>
          </cell>
          <cell r="I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G294">
            <v>500</v>
          </cell>
          <cell r="H294">
            <v>0</v>
          </cell>
          <cell r="I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G295">
            <v>0</v>
          </cell>
          <cell r="H295">
            <v>0</v>
          </cell>
          <cell r="I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G296">
            <v>0</v>
          </cell>
          <cell r="H296">
            <v>0</v>
          </cell>
          <cell r="I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G297">
            <v>500</v>
          </cell>
          <cell r="H297">
            <v>0</v>
          </cell>
          <cell r="I297">
            <v>0</v>
          </cell>
        </row>
        <row r="298">
          <cell r="A298" t="str">
            <v>teachers398-0d5c8f45</v>
          </cell>
          <cell r="C298">
            <v>24700</v>
          </cell>
          <cell r="D298">
            <v>0</v>
          </cell>
          <cell r="G298">
            <v>500</v>
          </cell>
          <cell r="H298">
            <v>0</v>
          </cell>
          <cell r="I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G299">
            <v>0</v>
          </cell>
          <cell r="H299">
            <v>0</v>
          </cell>
          <cell r="I299">
            <v>0</v>
          </cell>
        </row>
        <row r="300">
          <cell r="A300" t="str">
            <v>teachers399-6d7dd594</v>
          </cell>
          <cell r="C300">
            <v>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ust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0</v>
          </cell>
          <cell r="I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G21">
            <v>0</v>
          </cell>
          <cell r="H21">
            <v>4000</v>
          </cell>
          <cell r="I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G24">
            <v>500</v>
          </cell>
          <cell r="H24">
            <v>5000</v>
          </cell>
          <cell r="I24">
            <v>60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G37">
            <v>500</v>
          </cell>
          <cell r="H37">
            <v>0</v>
          </cell>
          <cell r="I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</row>
        <row r="61">
          <cell r="A61" t="str">
            <v>teachers159</v>
          </cell>
          <cell r="C61">
            <v>34500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G74">
            <v>500</v>
          </cell>
          <cell r="H74">
            <v>0</v>
          </cell>
          <cell r="I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</row>
        <row r="77">
          <cell r="A77" t="str">
            <v>teachers173</v>
          </cell>
          <cell r="C77">
            <v>27800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</row>
        <row r="78">
          <cell r="A78" t="str">
            <v>teachers174</v>
          </cell>
          <cell r="C78">
            <v>27800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</row>
        <row r="123">
          <cell r="A123" t="str">
            <v>teachers219</v>
          </cell>
          <cell r="C123">
            <v>31600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G136">
            <v>0</v>
          </cell>
          <cell r="H136">
            <v>0</v>
          </cell>
          <cell r="I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G146">
            <v>0</v>
          </cell>
          <cell r="H146">
            <v>0</v>
          </cell>
          <cell r="I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G155">
            <v>500</v>
          </cell>
          <cell r="H155">
            <v>0</v>
          </cell>
          <cell r="I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</row>
        <row r="229">
          <cell r="A229" t="str">
            <v>teachers322</v>
          </cell>
          <cell r="C229">
            <v>50200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G234">
            <v>0</v>
          </cell>
          <cell r="H234">
            <v>3500</v>
          </cell>
          <cell r="I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</row>
        <row r="255">
          <cell r="A255" t="str">
            <v>teachers347</v>
          </cell>
          <cell r="C255">
            <v>35500</v>
          </cell>
          <cell r="D255">
            <v>0</v>
          </cell>
          <cell r="G255">
            <v>0</v>
          </cell>
          <cell r="H255">
            <v>0</v>
          </cell>
          <cell r="I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G262">
            <v>500</v>
          </cell>
          <cell r="H262">
            <v>12000</v>
          </cell>
          <cell r="I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G267">
            <v>0</v>
          </cell>
          <cell r="H267">
            <v>7000</v>
          </cell>
          <cell r="I267">
            <v>60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G270">
            <v>500</v>
          </cell>
          <cell r="H270">
            <v>3000</v>
          </cell>
          <cell r="I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G276">
            <v>0</v>
          </cell>
          <cell r="H276">
            <v>0</v>
          </cell>
          <cell r="I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G294">
            <v>500</v>
          </cell>
          <cell r="H294">
            <v>0</v>
          </cell>
          <cell r="I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G295">
            <v>0</v>
          </cell>
          <cell r="H295">
            <v>0</v>
          </cell>
          <cell r="I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G296">
            <v>0</v>
          </cell>
          <cell r="H296">
            <v>0</v>
          </cell>
          <cell r="I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G297">
            <v>500</v>
          </cell>
          <cell r="H297">
            <v>0</v>
          </cell>
          <cell r="I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G298">
            <v>500</v>
          </cell>
          <cell r="H298">
            <v>0</v>
          </cell>
          <cell r="I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</row>
        <row r="300">
          <cell r="A300" t="str">
            <v>teachers399-6d7dd594</v>
          </cell>
          <cell r="C300">
            <v>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tember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G21">
            <v>0</v>
          </cell>
          <cell r="H21">
            <v>4000</v>
          </cell>
          <cell r="I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G24">
            <v>500</v>
          </cell>
          <cell r="H24">
            <v>5000</v>
          </cell>
          <cell r="I24">
            <v>60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</row>
        <row r="123">
          <cell r="A123" t="str">
            <v>teachers219</v>
          </cell>
          <cell r="C123">
            <v>34500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</row>
        <row r="229">
          <cell r="A229" t="str">
            <v>teachers322</v>
          </cell>
          <cell r="C229">
            <v>50200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G234">
            <v>0</v>
          </cell>
          <cell r="H234">
            <v>3500</v>
          </cell>
          <cell r="I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</row>
        <row r="255">
          <cell r="A255" t="str">
            <v>teachers347</v>
          </cell>
          <cell r="C255">
            <v>35500</v>
          </cell>
          <cell r="D255">
            <v>0</v>
          </cell>
          <cell r="G255">
            <v>0</v>
          </cell>
          <cell r="H255">
            <v>0</v>
          </cell>
          <cell r="I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G262">
            <v>500</v>
          </cell>
          <cell r="H262">
            <v>12000</v>
          </cell>
          <cell r="I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G267">
            <v>0</v>
          </cell>
          <cell r="H267">
            <v>7000</v>
          </cell>
          <cell r="I267">
            <v>60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G270">
            <v>500</v>
          </cell>
          <cell r="H270">
            <v>3000</v>
          </cell>
          <cell r="I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G294">
            <v>500</v>
          </cell>
          <cell r="H294">
            <v>0</v>
          </cell>
          <cell r="I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G295">
            <v>0</v>
          </cell>
          <cell r="H295">
            <v>0</v>
          </cell>
          <cell r="I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G296">
            <v>0</v>
          </cell>
          <cell r="H296">
            <v>0</v>
          </cell>
          <cell r="I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G297">
            <v>500</v>
          </cell>
          <cell r="H297">
            <v>0</v>
          </cell>
          <cell r="I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G298">
            <v>500</v>
          </cell>
          <cell r="H298">
            <v>0</v>
          </cell>
          <cell r="I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</row>
        <row r="300">
          <cell r="A300" t="str">
            <v>teachers399-6d7dd594</v>
          </cell>
          <cell r="C300">
            <v>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ober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G21">
            <v>0</v>
          </cell>
          <cell r="H21">
            <v>4000</v>
          </cell>
          <cell r="I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G24">
            <v>500</v>
          </cell>
          <cell r="H24">
            <v>5000</v>
          </cell>
          <cell r="I24">
            <v>60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</row>
        <row r="61">
          <cell r="A61" t="str">
            <v>teachers159</v>
          </cell>
          <cell r="C61">
            <v>34500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</row>
        <row r="77">
          <cell r="A77" t="str">
            <v>teachers173</v>
          </cell>
          <cell r="C77">
            <v>27800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</row>
        <row r="78">
          <cell r="A78" t="str">
            <v>teachers174</v>
          </cell>
          <cell r="C78">
            <v>27800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</row>
        <row r="123">
          <cell r="A123" t="str">
            <v>teachers219</v>
          </cell>
          <cell r="C123">
            <v>31600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</row>
        <row r="229">
          <cell r="A229" t="str">
            <v>teachers322</v>
          </cell>
          <cell r="C229">
            <v>50200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</row>
        <row r="255">
          <cell r="A255" t="str">
            <v>teachers347</v>
          </cell>
          <cell r="C255">
            <v>35500</v>
          </cell>
          <cell r="D255">
            <v>0</v>
          </cell>
          <cell r="G255">
            <v>0</v>
          </cell>
          <cell r="H255">
            <v>0</v>
          </cell>
          <cell r="I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G262">
            <v>500</v>
          </cell>
          <cell r="H262">
            <v>12000</v>
          </cell>
          <cell r="I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G267">
            <v>0</v>
          </cell>
          <cell r="H267">
            <v>7000</v>
          </cell>
          <cell r="I267">
            <v>60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G294">
            <v>500</v>
          </cell>
          <cell r="H294">
            <v>0</v>
          </cell>
          <cell r="I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G295">
            <v>0</v>
          </cell>
          <cell r="H295">
            <v>0</v>
          </cell>
          <cell r="I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G296">
            <v>0</v>
          </cell>
          <cell r="H296">
            <v>0</v>
          </cell>
          <cell r="I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G297">
            <v>500</v>
          </cell>
          <cell r="H297">
            <v>0</v>
          </cell>
          <cell r="I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G298">
            <v>500</v>
          </cell>
          <cell r="H298">
            <v>0</v>
          </cell>
          <cell r="I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</row>
        <row r="300">
          <cell r="A300" t="str">
            <v>teachers399-6d7dd594</v>
          </cell>
          <cell r="C300">
            <v>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ember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G24">
            <v>500</v>
          </cell>
          <cell r="H24">
            <v>5000</v>
          </cell>
          <cell r="I24">
            <v>60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</row>
        <row r="61">
          <cell r="A61" t="str">
            <v>teachers159</v>
          </cell>
          <cell r="C61">
            <v>34500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</row>
        <row r="77">
          <cell r="A77" t="str">
            <v>teachers173</v>
          </cell>
          <cell r="C77">
            <v>27800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</row>
        <row r="78">
          <cell r="A78" t="str">
            <v>teachers174</v>
          </cell>
          <cell r="C78">
            <v>27800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</row>
        <row r="123">
          <cell r="A123" t="str">
            <v>teachers219</v>
          </cell>
          <cell r="C123">
            <v>31600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</row>
        <row r="229">
          <cell r="A229" t="str">
            <v>teachers322</v>
          </cell>
          <cell r="C229">
            <v>50200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</row>
        <row r="255">
          <cell r="A255" t="str">
            <v>teachers347</v>
          </cell>
          <cell r="C255">
            <v>35500</v>
          </cell>
          <cell r="D255">
            <v>0</v>
          </cell>
          <cell r="G255">
            <v>0</v>
          </cell>
          <cell r="H255">
            <v>0</v>
          </cell>
          <cell r="I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G262">
            <v>500</v>
          </cell>
          <cell r="H262">
            <v>12000</v>
          </cell>
          <cell r="I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G267">
            <v>0</v>
          </cell>
          <cell r="H267">
            <v>7000</v>
          </cell>
          <cell r="I267">
            <v>60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G294">
            <v>500</v>
          </cell>
          <cell r="H294">
            <v>0</v>
          </cell>
          <cell r="I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G295">
            <v>0</v>
          </cell>
          <cell r="H295">
            <v>0</v>
          </cell>
          <cell r="I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G296">
            <v>0</v>
          </cell>
          <cell r="H296">
            <v>0</v>
          </cell>
          <cell r="I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G297">
            <v>500</v>
          </cell>
          <cell r="H297">
            <v>0</v>
          </cell>
          <cell r="I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G298">
            <v>500</v>
          </cell>
          <cell r="H298">
            <v>0</v>
          </cell>
          <cell r="I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</row>
        <row r="300">
          <cell r="A300" t="str">
            <v>teachers399-6d7dd594</v>
          </cell>
          <cell r="C300">
            <v>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ember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G24">
            <v>500</v>
          </cell>
          <cell r="H24">
            <v>5000</v>
          </cell>
          <cell r="I24">
            <v>60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</row>
        <row r="61">
          <cell r="A61" t="str">
            <v>teachers159</v>
          </cell>
          <cell r="C61">
            <v>34500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</row>
        <row r="77">
          <cell r="A77" t="str">
            <v>teachers173</v>
          </cell>
          <cell r="C77">
            <v>27800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</row>
        <row r="78">
          <cell r="A78" t="str">
            <v>teachers174</v>
          </cell>
          <cell r="C78">
            <v>27800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</row>
        <row r="123">
          <cell r="A123" t="str">
            <v>teachers219</v>
          </cell>
          <cell r="C123">
            <v>31600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</row>
        <row r="229">
          <cell r="A229" t="str">
            <v>teachers322</v>
          </cell>
          <cell r="C229">
            <v>51604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</row>
        <row r="255">
          <cell r="A255" t="str">
            <v>teachers347</v>
          </cell>
          <cell r="C255">
            <v>35500</v>
          </cell>
          <cell r="D255">
            <v>0</v>
          </cell>
          <cell r="G255">
            <v>0</v>
          </cell>
          <cell r="H255">
            <v>0</v>
          </cell>
          <cell r="I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G262">
            <v>500</v>
          </cell>
          <cell r="H262">
            <v>12000</v>
          </cell>
          <cell r="I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G267">
            <v>0</v>
          </cell>
          <cell r="H267">
            <v>7000</v>
          </cell>
          <cell r="I267">
            <v>60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G294">
            <v>500</v>
          </cell>
          <cell r="H294">
            <v>0</v>
          </cell>
          <cell r="I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G295">
            <v>0</v>
          </cell>
          <cell r="H295">
            <v>0</v>
          </cell>
          <cell r="I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G296">
            <v>0</v>
          </cell>
          <cell r="H296">
            <v>0</v>
          </cell>
          <cell r="I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G297">
            <v>500</v>
          </cell>
          <cell r="H297">
            <v>0</v>
          </cell>
          <cell r="I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G298">
            <v>500</v>
          </cell>
          <cell r="H298">
            <v>0</v>
          </cell>
          <cell r="I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</row>
        <row r="300">
          <cell r="A300" t="str">
            <v>teachers399-6d7dd594</v>
          </cell>
          <cell r="C300">
            <v>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uary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</row>
        <row r="61">
          <cell r="A61" t="str">
            <v>teachers159</v>
          </cell>
          <cell r="C61">
            <v>34500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</row>
        <row r="77">
          <cell r="A77" t="str">
            <v>teachers173</v>
          </cell>
          <cell r="C77">
            <v>27800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</row>
        <row r="78">
          <cell r="A78" t="str">
            <v>teachers174</v>
          </cell>
          <cell r="C78">
            <v>27800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</row>
        <row r="123">
          <cell r="A123" t="str">
            <v>teachers219</v>
          </cell>
          <cell r="C123">
            <v>31600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</row>
        <row r="229">
          <cell r="A229" t="str">
            <v>teachers322</v>
          </cell>
          <cell r="C229">
            <v>51700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</row>
        <row r="255">
          <cell r="A255" t="str">
            <v>teachers347</v>
          </cell>
          <cell r="C255">
            <v>35500</v>
          </cell>
          <cell r="D255">
            <v>0</v>
          </cell>
          <cell r="G255">
            <v>0</v>
          </cell>
          <cell r="H255">
            <v>0</v>
          </cell>
          <cell r="I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</row>
        <row r="300">
          <cell r="A300" t="str">
            <v>teachers399-6d7dd594</v>
          </cell>
          <cell r="C300">
            <v>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ruary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</row>
        <row r="61">
          <cell r="A61" t="str">
            <v>teachers159</v>
          </cell>
          <cell r="C61">
            <v>34500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</row>
        <row r="77">
          <cell r="A77" t="str">
            <v>teachers173</v>
          </cell>
          <cell r="C77">
            <v>27800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</row>
        <row r="78">
          <cell r="A78" t="str">
            <v>teachers174</v>
          </cell>
          <cell r="C78">
            <v>27800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</row>
        <row r="123">
          <cell r="A123" t="str">
            <v>teachers219</v>
          </cell>
          <cell r="C123">
            <v>31600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</row>
        <row r="229">
          <cell r="A229" t="str">
            <v>teachers322</v>
          </cell>
          <cell r="C229">
            <v>51700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</row>
        <row r="255">
          <cell r="A255" t="str">
            <v>teachers347</v>
          </cell>
          <cell r="C255">
            <v>35500</v>
          </cell>
          <cell r="D255">
            <v>0</v>
          </cell>
          <cell r="G255">
            <v>0</v>
          </cell>
          <cell r="H255">
            <v>0</v>
          </cell>
          <cell r="I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G262">
            <v>500</v>
          </cell>
          <cell r="H262">
            <v>12000</v>
          </cell>
          <cell r="I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</row>
        <row r="300">
          <cell r="A300" t="str">
            <v>teachers399-6d7dd594</v>
          </cell>
          <cell r="C300">
            <v>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495F6D-321E-473F-A2A3-27002020C3BF}">
  <dimension ref="A1:GM303"/>
  <sheetViews>
    <sheetView tabSelected="1" topLeftCell="FU1" workbookViewId="0">
      <pane ySplit="1" topLeftCell="A258" activePane="bottomLeft" state="frozen"/>
      <selection pane="bottomLeft" activeCell="GM266" sqref="GM266"/>
    </sheetView>
  </sheetViews>
  <sheetFormatPr defaultRowHeight="15" x14ac:dyDescent="0.25"/>
  <cols>
    <col min="1" max="1" width="4.7109375" bestFit="1" customWidth="1"/>
    <col min="2" max="2" width="21" bestFit="1" customWidth="1"/>
    <col min="3" max="3" width="33" bestFit="1" customWidth="1"/>
    <col min="4" max="4" width="48.42578125" bestFit="1" customWidth="1"/>
    <col min="5" max="5" width="13.140625" customWidth="1"/>
    <col min="6" max="6" width="4.140625" bestFit="1" customWidth="1"/>
    <col min="7" max="7" width="10.42578125" bestFit="1" customWidth="1"/>
    <col min="8" max="8" width="8.7109375" customWidth="1"/>
    <col min="9" max="9" width="15.140625" customWidth="1"/>
    <col min="10" max="10" width="13.140625" customWidth="1"/>
    <col min="11" max="11" width="11.28515625" customWidth="1"/>
    <col min="12" max="12" width="12.42578125" customWidth="1"/>
    <col min="13" max="13" width="12.85546875" customWidth="1"/>
    <col min="14" max="14" width="11.7109375" customWidth="1"/>
    <col min="15" max="15" width="13.5703125" customWidth="1"/>
    <col min="16" max="16" width="12.140625" customWidth="1"/>
    <col min="17" max="17" width="12.42578125" customWidth="1"/>
    <col min="18" max="18" width="13.28515625" customWidth="1"/>
    <col min="19" max="19" width="15.140625" customWidth="1"/>
    <col min="20" max="20" width="11.7109375" customWidth="1"/>
    <col min="21" max="21" width="9.85546875" customWidth="1"/>
    <col min="22" max="22" width="11" customWidth="1"/>
    <col min="23" max="23" width="11.42578125" customWidth="1"/>
    <col min="24" max="24" width="10.28515625" customWidth="1"/>
    <col min="25" max="25" width="12.140625" customWidth="1"/>
    <col min="26" max="26" width="10.7109375" customWidth="1"/>
    <col min="27" max="27" width="11" customWidth="1"/>
    <col min="28" max="28" width="11.85546875" customWidth="1"/>
    <col min="29" max="29" width="13.7109375" customWidth="1"/>
    <col min="30" max="30" width="11.42578125" customWidth="1"/>
    <col min="31" max="31" width="9.5703125" customWidth="1"/>
    <col min="32" max="32" width="10.7109375" customWidth="1"/>
    <col min="33" max="33" width="11.140625" customWidth="1"/>
    <col min="34" max="34" width="10" customWidth="1"/>
    <col min="35" max="35" width="11.85546875" customWidth="1"/>
    <col min="36" max="36" width="10.42578125" customWidth="1"/>
    <col min="37" max="37" width="10.7109375" customWidth="1"/>
    <col min="38" max="38" width="11.5703125" customWidth="1"/>
    <col min="39" max="39" width="13.42578125" customWidth="1"/>
    <col min="40" max="40" width="11.7109375" customWidth="1"/>
    <col min="41" max="41" width="9.85546875" customWidth="1"/>
    <col min="42" max="42" width="11" customWidth="1"/>
    <col min="43" max="43" width="11.42578125" customWidth="1"/>
    <col min="44" max="44" width="10.28515625" customWidth="1"/>
    <col min="45" max="45" width="12.140625" customWidth="1"/>
    <col min="46" max="46" width="10.7109375" customWidth="1"/>
    <col min="47" max="47" width="11" customWidth="1"/>
    <col min="48" max="48" width="11.85546875" customWidth="1"/>
    <col min="49" max="49" width="13.7109375" customWidth="1"/>
    <col min="50" max="50" width="11" customWidth="1"/>
    <col min="51" max="51" width="9.140625" customWidth="1"/>
    <col min="52" max="52" width="9" customWidth="1"/>
    <col min="53" max="53" width="10.28515625" customWidth="1"/>
    <col min="54" max="54" width="10.7109375" customWidth="1"/>
    <col min="55" max="55" width="9.5703125" customWidth="1"/>
    <col min="56" max="56" width="11.42578125" customWidth="1"/>
    <col min="57" max="57" width="10" customWidth="1"/>
    <col min="58" max="58" width="10.28515625" customWidth="1"/>
    <col min="59" max="59" width="11.140625" customWidth="1"/>
    <col min="60" max="60" width="13" customWidth="1"/>
    <col min="61" max="61" width="13.5703125" customWidth="1"/>
    <col min="62" max="62" width="11.7109375" customWidth="1"/>
    <col min="63" max="63" width="12.85546875" customWidth="1"/>
    <col min="64" max="64" width="13.28515625" customWidth="1"/>
    <col min="65" max="65" width="12.140625" customWidth="1"/>
    <col min="66" max="66" width="14" customWidth="1"/>
    <col min="67" max="67" width="12.5703125" customWidth="1"/>
    <col min="68" max="68" width="12.85546875" customWidth="1"/>
    <col min="69" max="69" width="13.7109375" customWidth="1"/>
    <col min="70" max="70" width="15.7109375" customWidth="1"/>
    <col min="71" max="71" width="17.5703125" customWidth="1"/>
    <col min="72" max="72" width="15.7109375" customWidth="1"/>
    <col min="73" max="73" width="16.85546875" customWidth="1"/>
    <col min="74" max="74" width="17.28515625" customWidth="1"/>
    <col min="75" max="75" width="16.140625" customWidth="1"/>
    <col min="76" max="76" width="18" customWidth="1"/>
    <col min="77" max="77" width="16.5703125" customWidth="1"/>
    <col min="78" max="78" width="16.85546875" customWidth="1"/>
    <col min="79" max="79" width="17.7109375" customWidth="1"/>
    <col min="80" max="80" width="19.7109375" customWidth="1"/>
    <col min="81" max="81" width="14.5703125" customWidth="1"/>
    <col min="82" max="82" width="12.7109375" customWidth="1"/>
    <col min="83" max="83" width="13.85546875" customWidth="1"/>
    <col min="84" max="84" width="14.28515625" customWidth="1"/>
    <col min="85" max="85" width="13.140625" customWidth="1"/>
    <col min="86" max="86" width="15" customWidth="1"/>
    <col min="87" max="87" width="13.5703125" customWidth="1"/>
    <col min="88" max="88" width="13.85546875" customWidth="1"/>
    <col min="89" max="89" width="14.7109375" customWidth="1"/>
    <col min="90" max="90" width="16.7109375" customWidth="1"/>
    <col min="91" max="91" width="17" customWidth="1"/>
    <col min="92" max="92" width="15" customWidth="1"/>
    <col min="93" max="93" width="16.28515625" customWidth="1"/>
    <col min="94" max="94" width="16.7109375" customWidth="1"/>
    <col min="95" max="95" width="15.5703125" customWidth="1"/>
    <col min="96" max="96" width="17.42578125" customWidth="1"/>
    <col min="97" max="97" width="16" customWidth="1"/>
    <col min="98" max="98" width="16.28515625" customWidth="1"/>
    <col min="99" max="99" width="17.140625" customWidth="1"/>
    <col min="100" max="100" width="19" customWidth="1"/>
    <col min="101" max="101" width="16.85546875" customWidth="1"/>
    <col min="102" max="102" width="14.85546875" customWidth="1"/>
    <col min="103" max="103" width="16.140625" customWidth="1"/>
    <col min="104" max="104" width="16.5703125" customWidth="1"/>
    <col min="105" max="105" width="15.42578125" customWidth="1"/>
    <col min="106" max="106" width="17.28515625" customWidth="1"/>
    <col min="107" max="107" width="15.85546875" customWidth="1"/>
    <col min="108" max="108" width="16.140625" customWidth="1"/>
    <col min="109" max="109" width="17" customWidth="1"/>
    <col min="110" max="110" width="18.85546875" customWidth="1"/>
    <col min="111" max="111" width="14.28515625" customWidth="1"/>
    <col min="112" max="112" width="12.42578125" customWidth="1"/>
    <col min="113" max="113" width="13.5703125" customWidth="1"/>
    <col min="114" max="114" width="14" customWidth="1"/>
    <col min="115" max="115" width="12.85546875" customWidth="1"/>
    <col min="116" max="116" width="14.7109375" customWidth="1"/>
    <col min="117" max="117" width="13.28515625" customWidth="1"/>
    <col min="118" max="118" width="13.5703125" customWidth="1"/>
    <col min="119" max="119" width="14.42578125" customWidth="1"/>
    <col min="120" max="120" width="16.42578125" customWidth="1"/>
    <col min="121" max="121" width="15.42578125" bestFit="1" customWidth="1"/>
    <col min="122" max="122" width="13.42578125" bestFit="1" customWidth="1"/>
    <col min="123" max="123" width="14.5703125" bestFit="1" customWidth="1"/>
    <col min="124" max="124" width="15" bestFit="1" customWidth="1"/>
    <col min="125" max="125" width="13.85546875" bestFit="1" customWidth="1"/>
    <col min="126" max="126" width="15.85546875" bestFit="1" customWidth="1"/>
    <col min="127" max="127" width="14.28515625" bestFit="1" customWidth="1"/>
    <col min="128" max="128" width="14.5703125" bestFit="1" customWidth="1"/>
    <col min="129" max="129" width="15.5703125" bestFit="1" customWidth="1"/>
    <col min="130" max="130" width="17.42578125" bestFit="1" customWidth="1"/>
    <col min="131" max="131" width="10.5703125" bestFit="1" customWidth="1"/>
    <col min="132" max="132" width="12.7109375" bestFit="1" customWidth="1"/>
    <col min="133" max="133" width="20.5703125" bestFit="1" customWidth="1"/>
    <col min="134" max="134" width="16.85546875" bestFit="1" customWidth="1"/>
    <col min="135" max="135" width="14.7109375" bestFit="1" customWidth="1"/>
    <col min="136" max="136" width="11.5703125" bestFit="1" customWidth="1"/>
    <col min="137" max="137" width="11.85546875" bestFit="1" customWidth="1"/>
    <col min="138" max="138" width="17.5703125" bestFit="1" customWidth="1"/>
    <col min="139" max="139" width="6" bestFit="1" customWidth="1"/>
    <col min="140" max="140" width="5.140625" bestFit="1" customWidth="1"/>
    <col min="141" max="141" width="6.7109375" bestFit="1" customWidth="1"/>
    <col min="142" max="142" width="6.28515625" bestFit="1" customWidth="1"/>
    <col min="143" max="143" width="6.140625" bestFit="1" customWidth="1"/>
    <col min="144" max="144" width="13.140625" bestFit="1" customWidth="1"/>
    <col min="145" max="145" width="12" bestFit="1" customWidth="1"/>
    <col min="146" max="146" width="10.42578125" bestFit="1" customWidth="1"/>
    <col min="147" max="147" width="12.85546875" bestFit="1" customWidth="1"/>
    <col min="148" max="148" width="11.28515625" bestFit="1" customWidth="1"/>
    <col min="149" max="149" width="10.5703125" bestFit="1" customWidth="1"/>
    <col min="150" max="150" width="20.42578125" bestFit="1" customWidth="1"/>
    <col min="151" max="151" width="12.5703125" bestFit="1" customWidth="1"/>
    <col min="152" max="152" width="17.85546875" bestFit="1" customWidth="1"/>
    <col min="153" max="153" width="20.85546875" bestFit="1" customWidth="1"/>
    <col min="154" max="154" width="16.42578125" bestFit="1" customWidth="1"/>
    <col min="155" max="155" width="9.28515625" bestFit="1" customWidth="1"/>
    <col min="156" max="156" width="10.7109375" bestFit="1" customWidth="1"/>
    <col min="157" max="157" width="14.7109375" bestFit="1" customWidth="1"/>
    <col min="158" max="158" width="11.42578125" bestFit="1" customWidth="1"/>
    <col min="159" max="159" width="16.85546875" bestFit="1" customWidth="1"/>
    <col min="160" max="160" width="20" bestFit="1" customWidth="1"/>
    <col min="161" max="162" width="20.85546875" bestFit="1" customWidth="1"/>
    <col min="163" max="163" width="9.5703125" bestFit="1" customWidth="1"/>
    <col min="164" max="164" width="10.5703125" bestFit="1" customWidth="1"/>
    <col min="165" max="165" width="13.85546875" bestFit="1" customWidth="1"/>
    <col min="166" max="166" width="6" bestFit="1" customWidth="1"/>
    <col min="167" max="167" width="9.5703125" bestFit="1" customWidth="1"/>
    <col min="168" max="168" width="13.7109375" bestFit="1" customWidth="1"/>
    <col min="169" max="169" width="14.85546875" bestFit="1" customWidth="1"/>
    <col min="170" max="170" width="19.5703125" bestFit="1" customWidth="1"/>
    <col min="171" max="171" width="22.42578125" bestFit="1" customWidth="1"/>
    <col min="172" max="172" width="16.7109375" bestFit="1" customWidth="1"/>
    <col min="173" max="173" width="10.140625" bestFit="1" customWidth="1"/>
    <col min="174" max="174" width="13.7109375" bestFit="1" customWidth="1"/>
    <col min="175" max="175" width="13.7109375" customWidth="1"/>
    <col min="176" max="176" width="16" bestFit="1" customWidth="1"/>
    <col min="177" max="177" width="10.140625" bestFit="1" customWidth="1"/>
    <col min="178" max="178" width="13.7109375" bestFit="1" customWidth="1"/>
    <col min="179" max="179" width="11.28515625" bestFit="1" customWidth="1"/>
    <col min="180" max="180" width="14.85546875" bestFit="1" customWidth="1"/>
    <col min="181" max="181" width="7" bestFit="1" customWidth="1"/>
    <col min="182" max="182" width="10.140625" bestFit="1" customWidth="1"/>
    <col min="183" max="183" width="7.85546875" bestFit="1" customWidth="1"/>
    <col min="184" max="184" width="11.28515625" bestFit="1" customWidth="1"/>
    <col min="185" max="185" width="14.85546875" bestFit="1" customWidth="1"/>
    <col min="186" max="187" width="7" bestFit="1" customWidth="1"/>
    <col min="188" max="188" width="6" bestFit="1" customWidth="1"/>
    <col min="189" max="189" width="7.7109375" bestFit="1" customWidth="1"/>
    <col min="190" max="190" width="6.140625" bestFit="1" customWidth="1"/>
    <col min="191" max="191" width="6" bestFit="1" customWidth="1"/>
    <col min="192" max="192" width="13.7109375" bestFit="1" customWidth="1"/>
    <col min="193" max="193" width="24.28515625" bestFit="1" customWidth="1"/>
    <col min="194" max="194" width="9" bestFit="1" customWidth="1"/>
    <col min="195" max="195" width="14.85546875" bestFit="1" customWidth="1"/>
  </cols>
  <sheetData>
    <row r="1" spans="1:195" x14ac:dyDescent="0.25">
      <c r="A1" t="s">
        <v>0</v>
      </c>
      <c r="B1" t="s">
        <v>1</v>
      </c>
      <c r="C1" t="s">
        <v>2</v>
      </c>
      <c r="D1" t="s">
        <v>748</v>
      </c>
      <c r="E1" t="s">
        <v>832</v>
      </c>
      <c r="F1" t="s">
        <v>962</v>
      </c>
      <c r="G1" t="s">
        <v>875</v>
      </c>
      <c r="H1" t="s">
        <v>709</v>
      </c>
      <c r="I1" t="s">
        <v>963</v>
      </c>
      <c r="J1" t="s">
        <v>3</v>
      </c>
      <c r="K1" t="s">
        <v>16</v>
      </c>
      <c r="L1" t="s">
        <v>15</v>
      </c>
      <c r="M1" t="s">
        <v>17</v>
      </c>
      <c r="N1" t="s">
        <v>39</v>
      </c>
      <c r="O1" t="s">
        <v>18</v>
      </c>
      <c r="P1" t="s">
        <v>19</v>
      </c>
      <c r="Q1" t="s">
        <v>20</v>
      </c>
      <c r="R1" t="s">
        <v>21</v>
      </c>
      <c r="S1" t="s">
        <v>22</v>
      </c>
      <c r="T1" t="s">
        <v>4</v>
      </c>
      <c r="U1" t="s">
        <v>23</v>
      </c>
      <c r="V1" t="s">
        <v>24</v>
      </c>
      <c r="W1" t="s">
        <v>25</v>
      </c>
      <c r="X1" t="s">
        <v>40</v>
      </c>
      <c r="Y1" t="s">
        <v>26</v>
      </c>
      <c r="Z1" t="s">
        <v>27</v>
      </c>
      <c r="AA1" t="s">
        <v>28</v>
      </c>
      <c r="AB1" t="s">
        <v>29</v>
      </c>
      <c r="AC1" t="s">
        <v>30</v>
      </c>
      <c r="AD1" t="s">
        <v>5</v>
      </c>
      <c r="AE1" t="s">
        <v>31</v>
      </c>
      <c r="AF1" t="s">
        <v>32</v>
      </c>
      <c r="AG1" t="s">
        <v>33</v>
      </c>
      <c r="AH1" t="s">
        <v>41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6</v>
      </c>
      <c r="AO1" t="s">
        <v>42</v>
      </c>
      <c r="AP1" t="s">
        <v>43</v>
      </c>
      <c r="AQ1" t="s">
        <v>44</v>
      </c>
      <c r="AR1" t="s">
        <v>45</v>
      </c>
      <c r="AS1" t="s">
        <v>46</v>
      </c>
      <c r="AT1" t="s">
        <v>47</v>
      </c>
      <c r="AU1" t="s">
        <v>48</v>
      </c>
      <c r="AV1" t="s">
        <v>49</v>
      </c>
      <c r="AW1" t="s">
        <v>50</v>
      </c>
      <c r="AX1" t="s">
        <v>7</v>
      </c>
      <c r="AY1" t="s">
        <v>51</v>
      </c>
      <c r="AZ1" t="s">
        <v>710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8</v>
      </c>
      <c r="BJ1" t="s">
        <v>69</v>
      </c>
      <c r="BK1" t="s">
        <v>70</v>
      </c>
      <c r="BL1" t="s">
        <v>71</v>
      </c>
      <c r="BM1" t="s">
        <v>72</v>
      </c>
      <c r="BN1" t="s">
        <v>73</v>
      </c>
      <c r="BO1" t="s">
        <v>74</v>
      </c>
      <c r="BP1" t="s">
        <v>75</v>
      </c>
      <c r="BQ1" t="s">
        <v>76</v>
      </c>
      <c r="BR1" t="s">
        <v>77</v>
      </c>
      <c r="BS1" t="s">
        <v>9</v>
      </c>
      <c r="BT1" t="s">
        <v>60</v>
      </c>
      <c r="BU1" t="s">
        <v>61</v>
      </c>
      <c r="BV1" t="s">
        <v>62</v>
      </c>
      <c r="BW1" t="s">
        <v>63</v>
      </c>
      <c r="BX1" t="s">
        <v>64</v>
      </c>
      <c r="BY1" t="s">
        <v>65</v>
      </c>
      <c r="BZ1" t="s">
        <v>66</v>
      </c>
      <c r="CA1" t="s">
        <v>67</v>
      </c>
      <c r="CB1" t="s">
        <v>68</v>
      </c>
      <c r="CC1" t="s">
        <v>10</v>
      </c>
      <c r="CD1" t="s">
        <v>78</v>
      </c>
      <c r="CE1" t="s">
        <v>79</v>
      </c>
      <c r="CF1" t="s">
        <v>80</v>
      </c>
      <c r="CG1" t="s">
        <v>81</v>
      </c>
      <c r="CH1" t="s">
        <v>82</v>
      </c>
      <c r="CI1" t="s">
        <v>83</v>
      </c>
      <c r="CJ1" t="s">
        <v>84</v>
      </c>
      <c r="CK1" t="s">
        <v>85</v>
      </c>
      <c r="CL1" t="s">
        <v>86</v>
      </c>
      <c r="CM1" t="s">
        <v>11</v>
      </c>
      <c r="CN1" t="s">
        <v>87</v>
      </c>
      <c r="CO1" t="s">
        <v>88</v>
      </c>
      <c r="CP1" t="s">
        <v>89</v>
      </c>
      <c r="CQ1" t="s">
        <v>90</v>
      </c>
      <c r="CR1" t="s">
        <v>91</v>
      </c>
      <c r="CS1" t="s">
        <v>92</v>
      </c>
      <c r="CT1" t="s">
        <v>93</v>
      </c>
      <c r="CU1" t="s">
        <v>94</v>
      </c>
      <c r="CV1" t="s">
        <v>95</v>
      </c>
      <c r="CW1" t="s">
        <v>12</v>
      </c>
      <c r="CX1" t="s">
        <v>96</v>
      </c>
      <c r="CY1" t="s">
        <v>97</v>
      </c>
      <c r="CZ1" t="s">
        <v>98</v>
      </c>
      <c r="DA1" t="s">
        <v>99</v>
      </c>
      <c r="DB1" t="s">
        <v>100</v>
      </c>
      <c r="DC1" t="s">
        <v>101</v>
      </c>
      <c r="DD1" t="s">
        <v>102</v>
      </c>
      <c r="DE1" t="s">
        <v>103</v>
      </c>
      <c r="DF1" t="s">
        <v>104</v>
      </c>
      <c r="DG1" t="s">
        <v>13</v>
      </c>
      <c r="DH1" t="s">
        <v>105</v>
      </c>
      <c r="DI1" t="s">
        <v>106</v>
      </c>
      <c r="DJ1" t="s">
        <v>107</v>
      </c>
      <c r="DK1" t="s">
        <v>108</v>
      </c>
      <c r="DL1" t="s">
        <v>109</v>
      </c>
      <c r="DM1" t="s">
        <v>110</v>
      </c>
      <c r="DN1" t="s">
        <v>111</v>
      </c>
      <c r="DO1" t="s">
        <v>112</v>
      </c>
      <c r="DP1" t="s">
        <v>113</v>
      </c>
      <c r="DQ1" t="s">
        <v>14</v>
      </c>
      <c r="DR1" t="s">
        <v>114</v>
      </c>
      <c r="DS1" t="s">
        <v>115</v>
      </c>
      <c r="DT1" t="s">
        <v>116</v>
      </c>
      <c r="DU1" t="s">
        <v>117</v>
      </c>
      <c r="DV1" t="s">
        <v>118</v>
      </c>
      <c r="DW1" t="s">
        <v>119</v>
      </c>
      <c r="DX1" t="s">
        <v>120</v>
      </c>
      <c r="DY1" t="s">
        <v>121</v>
      </c>
      <c r="DZ1" t="s">
        <v>122</v>
      </c>
      <c r="EA1" t="s">
        <v>123</v>
      </c>
      <c r="EB1" t="s">
        <v>713</v>
      </c>
      <c r="EC1" t="s">
        <v>714</v>
      </c>
      <c r="ED1" t="s">
        <v>716</v>
      </c>
      <c r="EE1" t="s">
        <v>734</v>
      </c>
      <c r="EF1" t="s">
        <v>711</v>
      </c>
      <c r="EG1" t="s">
        <v>712</v>
      </c>
      <c r="EH1" t="s">
        <v>715</v>
      </c>
      <c r="EI1" t="s">
        <v>717</v>
      </c>
      <c r="EJ1" t="s">
        <v>732</v>
      </c>
      <c r="EK1" t="s">
        <v>718</v>
      </c>
      <c r="EL1" t="s">
        <v>719</v>
      </c>
      <c r="EM1" t="s">
        <v>720</v>
      </c>
      <c r="EN1" t="s">
        <v>721</v>
      </c>
      <c r="EO1" t="s">
        <v>722</v>
      </c>
      <c r="EP1" t="s">
        <v>723</v>
      </c>
      <c r="EQ1" t="s">
        <v>724</v>
      </c>
      <c r="ER1" t="s">
        <v>735</v>
      </c>
      <c r="ES1" t="s">
        <v>737</v>
      </c>
      <c r="ET1" t="s">
        <v>736</v>
      </c>
      <c r="EU1" t="s">
        <v>725</v>
      </c>
      <c r="EV1" t="s">
        <v>726</v>
      </c>
      <c r="EW1" t="s">
        <v>727</v>
      </c>
      <c r="EX1" t="s">
        <v>728</v>
      </c>
      <c r="EY1" t="s">
        <v>729</v>
      </c>
      <c r="EZ1" t="s">
        <v>730</v>
      </c>
      <c r="FA1" t="s">
        <v>731</v>
      </c>
      <c r="FB1" t="s">
        <v>738</v>
      </c>
      <c r="FC1" t="s">
        <v>739</v>
      </c>
      <c r="FD1" t="s">
        <v>740</v>
      </c>
      <c r="FE1" t="s">
        <v>741</v>
      </c>
      <c r="FF1" t="s">
        <v>742</v>
      </c>
      <c r="FG1" t="s">
        <v>743</v>
      </c>
      <c r="FH1" t="s">
        <v>745</v>
      </c>
      <c r="FI1" t="s">
        <v>744</v>
      </c>
      <c r="FJ1" t="s">
        <v>733</v>
      </c>
      <c r="FK1" t="s">
        <v>746</v>
      </c>
      <c r="FL1" t="s">
        <v>747</v>
      </c>
      <c r="FM1" t="s">
        <v>861</v>
      </c>
      <c r="FN1" t="s">
        <v>860</v>
      </c>
      <c r="FO1" t="s">
        <v>837</v>
      </c>
      <c r="FP1" t="s">
        <v>838</v>
      </c>
      <c r="FQ1" t="s">
        <v>839</v>
      </c>
      <c r="FR1" t="s">
        <v>840</v>
      </c>
      <c r="FS1" t="s">
        <v>964</v>
      </c>
      <c r="FT1" t="s">
        <v>965</v>
      </c>
      <c r="FU1" t="s">
        <v>841</v>
      </c>
      <c r="FV1" t="s">
        <v>842</v>
      </c>
      <c r="FW1" t="s">
        <v>843</v>
      </c>
      <c r="FX1" t="s">
        <v>844</v>
      </c>
      <c r="FY1" t="s">
        <v>845</v>
      </c>
      <c r="FZ1" t="s">
        <v>846</v>
      </c>
      <c r="GA1" t="s">
        <v>847</v>
      </c>
      <c r="GB1" t="s">
        <v>848</v>
      </c>
      <c r="GC1" t="s">
        <v>852</v>
      </c>
      <c r="GD1" t="s">
        <v>849</v>
      </c>
      <c r="GE1" t="s">
        <v>850</v>
      </c>
      <c r="GF1" t="s">
        <v>851</v>
      </c>
      <c r="GG1" t="s">
        <v>853</v>
      </c>
      <c r="GH1" t="s">
        <v>854</v>
      </c>
      <c r="GI1" t="s">
        <v>855</v>
      </c>
      <c r="GJ1" t="s">
        <v>856</v>
      </c>
      <c r="GK1" t="s">
        <v>857</v>
      </c>
      <c r="GL1" t="s">
        <v>858</v>
      </c>
      <c r="GM1" t="s">
        <v>859</v>
      </c>
    </row>
    <row r="2" spans="1:195" x14ac:dyDescent="0.25">
      <c r="A2">
        <f>_xlfn.AGGREGATE(3,5,$B$2:B2)</f>
        <v>1</v>
      </c>
      <c r="B2" t="s">
        <v>124</v>
      </c>
      <c r="C2" t="s">
        <v>125</v>
      </c>
      <c r="D2" t="s">
        <v>749</v>
      </c>
      <c r="E2" t="s">
        <v>833</v>
      </c>
      <c r="F2" t="s">
        <v>959</v>
      </c>
      <c r="G2" t="s">
        <v>876</v>
      </c>
      <c r="H2">
        <f>IF(_xlfn.DAYS("31-03-2025",G2)&gt;=180,6800,0)</f>
        <v>6800</v>
      </c>
      <c r="I2">
        <f>_xlfn.XLOOKUP(B2,'[1]march-2025'!$A:$A,'[1]march-2025'!$J:$J,0,0)</f>
        <v>0</v>
      </c>
      <c r="J2">
        <f>_xlfn.XLOOKUP(B2,'[1]march-2025'!$A:$A,'[1]march-2025'!$C:$C,0,0)</f>
        <v>31600</v>
      </c>
      <c r="K2">
        <f>J2*0.14</f>
        <v>4424</v>
      </c>
      <c r="L2">
        <f>J2*0.12</f>
        <v>3792</v>
      </c>
      <c r="M2">
        <f>_xlfn.XLOOKUP(B2,'[1]march-2025'!$A:$A,'[1]march-2025'!$D:$D,0,0)</f>
        <v>0</v>
      </c>
      <c r="N2">
        <f>_xlfn.XLOOKUP(B2,'[1]march-2025'!$A:$A,'[1]march-2025'!$G:$G,0,0)</f>
        <v>500</v>
      </c>
      <c r="O2">
        <f>IF(J2&gt;0,SUM(J2:N2),0)</f>
        <v>40316</v>
      </c>
      <c r="P2">
        <f>_xlfn.XLOOKUP(B2,'[1]march-2025'!$A:$A,'[1]march-2025'!$H:$H,0,0)</f>
        <v>2000</v>
      </c>
      <c r="Q2">
        <f>_xlfn.XLOOKUP(B2,'[1]march-2025'!$A:$A,'[1]march-2025'!$I:$I,0,0)</f>
        <v>0</v>
      </c>
      <c r="R2">
        <f>IF($F$2="YES",0,IF(O2&gt;40000,200,IF(O2&gt;25000,150,IF(O2&gt;15000,130,IF(O2&gt;10000,110,0)))))</f>
        <v>200</v>
      </c>
      <c r="S2">
        <f>O2-P2-Q2-R2</f>
        <v>38116</v>
      </c>
      <c r="T2">
        <f>_xlfn.XLOOKUP(B2,'[2]april-2025'!$A:$A,'[2]april-2025'!$C:$C,0,0)</f>
        <v>31600</v>
      </c>
      <c r="U2">
        <f>T2*0.18</f>
        <v>5688</v>
      </c>
      <c r="V2">
        <f>T2*0.12</f>
        <v>3792</v>
      </c>
      <c r="W2">
        <f>_xlfn.XLOOKUP(B2,'[2]april-2025'!$A:$A,'[2]april-2025'!$D:$D,0,0)</f>
        <v>0</v>
      </c>
      <c r="X2">
        <f>_xlfn.XLOOKUP(B2,'[2]april-2025'!$A:$A,'[2]april-2025'!$G:$G,0,0)</f>
        <v>500</v>
      </c>
      <c r="Y2">
        <f>IF(T2&gt;0,SUM(T2:X2),0)</f>
        <v>41580</v>
      </c>
      <c r="Z2">
        <f>_xlfn.XLOOKUP(B2,'[2]april-2025'!$A:$A,'[2]april-2025'!$H:$H,0,0)</f>
        <v>2000</v>
      </c>
      <c r="AA2">
        <f>_xlfn.XLOOKUP(B2,'[2]april-2025'!$A:$A,'[2]april-2025'!$I:$I,0,0)</f>
        <v>0</v>
      </c>
      <c r="AB2">
        <f>IF($F2="YES",0,IF(Y2&gt;40000,200,IF(Y2&gt;25000,150,IF(Y2&gt;15000,130,IF(Y2&gt;10000,110,0)))))</f>
        <v>200</v>
      </c>
      <c r="AC2">
        <f>Y2-Z2-AA2-AB2</f>
        <v>39380</v>
      </c>
      <c r="AD2">
        <f>_xlfn.XLOOKUP(B2,'[3]may-2025'!$A:$A,'[3]may-2025'!$C:$C,0,0)</f>
        <v>31600</v>
      </c>
      <c r="AE2">
        <f>AD2*0.18</f>
        <v>5688</v>
      </c>
      <c r="AF2">
        <f>AD2*0.12</f>
        <v>3792</v>
      </c>
      <c r="AG2">
        <f>_xlfn.XLOOKUP(B2,'[3]may-2025'!$A:$A,'[3]may-2025'!$D:$D,0,0)</f>
        <v>0</v>
      </c>
      <c r="AH2">
        <f>_xlfn.XLOOKUP(B2,'[3]may-2025'!$A:$A,'[3]may-2025'!$G:$G,0,0)</f>
        <v>500</v>
      </c>
      <c r="AI2">
        <f>IF(AD2&gt;0,SUM(AD2:AH2),0)</f>
        <v>41580</v>
      </c>
      <c r="AJ2">
        <f>_xlfn.XLOOKUP(B2,'[3]may-2025'!$A:$A,'[3]may-2025'!$H:$H,0,0)</f>
        <v>2000</v>
      </c>
      <c r="AK2">
        <f>_xlfn.XLOOKUP(B2,'[3]may-2025'!$A:$A,'[3]may-2025'!$I:$I,0,0)</f>
        <v>0</v>
      </c>
      <c r="AL2">
        <f>IF($F2="YES",0,IF(AI2&gt;40000,200,IF(AI2&gt;25000,150,IF(AI2&gt;15000,130,IF(AI2&gt;10000,110,0)))))</f>
        <v>200</v>
      </c>
      <c r="AM2">
        <f>AI2-AJ2-AK2-AL2</f>
        <v>39380</v>
      </c>
      <c r="AN2">
        <f>_xlfn.XLOOKUP(B2,'[4]june-2025'!$A:$A,'[4]june-2025'!$C:$C,0,0)</f>
        <v>31600</v>
      </c>
      <c r="AO2">
        <f>AN2*0.18</f>
        <v>5688</v>
      </c>
      <c r="AP2">
        <f>AN2*0.12</f>
        <v>3792</v>
      </c>
      <c r="AQ2">
        <f>_xlfn.XLOOKUP(B2,'[4]june-2025'!$A:$A,'[4]june-2025'!$D:$D,0,0)</f>
        <v>0</v>
      </c>
      <c r="AR2">
        <f>_xlfn.XLOOKUP(B2,'[4]june-2025'!$A:$A,'[4]june-2025'!$G:$G,0,0)</f>
        <v>500</v>
      </c>
      <c r="AS2">
        <f>IF(AN2&gt;0,SUM(AN2:AR2),0)</f>
        <v>41580</v>
      </c>
      <c r="AT2">
        <f>_xlfn.XLOOKUP(B2,'[4]june-2025'!$A:$A,'[4]june-2025'!$H:$H,0,0)</f>
        <v>2000</v>
      </c>
      <c r="AU2">
        <f>_xlfn.XLOOKUP(B2,'[4]june-2025'!$A:$A,'[4]june-2025'!$I:$I,0,0)</f>
        <v>0</v>
      </c>
      <c r="AV2">
        <f>IF($F2="YES",0,IF(AS2&gt;40000,200,IF(AS2&gt;25000,150,IF(AS2&gt;15000,130,IF(AS2&gt;10000,110,0)))))</f>
        <v>200</v>
      </c>
      <c r="AW2">
        <f>AS2-AT2-AU2-AV2</f>
        <v>39380</v>
      </c>
      <c r="AX2">
        <f>_xlfn.XLOOKUP(B2,'[5]july-2025'!$A:$A,'[5]july-2025'!$C:$C,0,0)</f>
        <v>32500</v>
      </c>
      <c r="AY2">
        <f>AX2*0.18</f>
        <v>5850</v>
      </c>
      <c r="AZ2">
        <v>0</v>
      </c>
      <c r="BA2">
        <f>AX2*0.12</f>
        <v>3900</v>
      </c>
      <c r="BB2">
        <f>_xlfn.XLOOKUP(B2,'[5]july-2025'!$A:$A,'[5]july-2025'!$D:$D,0,0)</f>
        <v>0</v>
      </c>
      <c r="BC2">
        <f>_xlfn.XLOOKUP(B2,'[5]july-2025'!$A:$A,'[5]july-2025'!$G:$G,0,0)</f>
        <v>500</v>
      </c>
      <c r="BD2">
        <f>IF(AX2&gt;0,SUM(AX2:BC2),0)</f>
        <v>42750</v>
      </c>
      <c r="BE2">
        <f>_xlfn.XLOOKUP(B2,'[5]july-2025'!$A:$A,'[5]july-2025'!$H:$H,0,0)</f>
        <v>2000</v>
      </c>
      <c r="BF2">
        <f>_xlfn.XLOOKUP(B2,'[5]july-2025'!$A:$A,'[5]july-2025'!$I:$I,0,0)</f>
        <v>0</v>
      </c>
      <c r="BG2">
        <f>IF($F2="YES",0,IF(BD2&gt;40000,200,IF(BD2&gt;25000,150,IF(BD2&gt;15000,130,IF(BD2&gt;10000,110,0)))))</f>
        <v>200</v>
      </c>
      <c r="BH2">
        <f>BD2-BE2-BF2-BG2</f>
        <v>40550</v>
      </c>
      <c r="BI2">
        <f>_xlfn.XLOOKUP(B2,'[6]august-2025'!$A:$A,'[6]august-2025'!$C:$C,0,0)</f>
        <v>32500</v>
      </c>
      <c r="BJ2">
        <f>BI2*0.18</f>
        <v>5850</v>
      </c>
      <c r="BK2">
        <f>BI2*0.12</f>
        <v>3900</v>
      </c>
      <c r="BL2">
        <f>_xlfn.XLOOKUP(B2,'[6]august-2025'!$A:$A,'[6]august-2025'!$D:$D,0,0)</f>
        <v>0</v>
      </c>
      <c r="BM2">
        <f>_xlfn.XLOOKUP(B2,'[6]august-2025'!$A:$A,'[6]august-2025'!$G:$G,0,0)</f>
        <v>500</v>
      </c>
      <c r="BN2">
        <f>IF(BI2&gt;0,SUM(BI2:BM2),0)</f>
        <v>42750</v>
      </c>
      <c r="BO2">
        <f>_xlfn.XLOOKUP(B2,'[6]august-2025'!$A:$A,'[6]august-2025'!$H:$H,0,0)</f>
        <v>2000</v>
      </c>
      <c r="BP2">
        <f>_xlfn.XLOOKUP(B2,'[6]august-2025'!$A:$A,'[6]august-2025'!$I:$I,0,0)</f>
        <v>0</v>
      </c>
      <c r="BQ2">
        <f>IF($F2="YES",0,IF(BN2&gt;40000,200,IF(BN2&gt;25000,150,IF(BN2&gt;15000,130,IF(BN2&gt;10000,110,0)))))</f>
        <v>200</v>
      </c>
      <c r="BR2">
        <f>BN2-BO2-BP2-BQ2</f>
        <v>40550</v>
      </c>
      <c r="BS2">
        <f>_xlfn.XLOOKUP(B2,'[7]september-2025'!$A:$A,'[7]september-2025'!$C:$C,0,0)</f>
        <v>32500</v>
      </c>
      <c r="BT2">
        <f>BS2*0.18</f>
        <v>5850</v>
      </c>
      <c r="BU2">
        <f>BS2*0.12</f>
        <v>3900</v>
      </c>
      <c r="BV2">
        <f>_xlfn.XLOOKUP(B2,'[7]september-2025'!$A:$A,'[7]september-2025'!$D:$D,0,0)</f>
        <v>0</v>
      </c>
      <c r="BW2">
        <f>_xlfn.XLOOKUP(B2,'[7]september-2025'!$A:$A,'[7]september-2025'!$G:$G,0,0)</f>
        <v>500</v>
      </c>
      <c r="BX2">
        <f>IF(BS2&gt;0,SUM(BS2:BW2),0)</f>
        <v>42750</v>
      </c>
      <c r="BY2">
        <f>_xlfn.XLOOKUP(B2,'[7]september-2025'!$A:$A,'[7]september-2025'!$H:$H,0,0)</f>
        <v>2000</v>
      </c>
      <c r="BZ2">
        <f>_xlfn.XLOOKUP(B2,'[7]september-2025'!$A:$A,'[7]september-2025'!$I:$I,0,0)</f>
        <v>0</v>
      </c>
      <c r="CA2">
        <f>IF($F2="YES",0,IF(BX2&gt;40000,200,IF(BX2&gt;25000,150,IF(BX2&gt;15000,130,IF(BX2&gt;10000,110,0)))))</f>
        <v>200</v>
      </c>
      <c r="CB2">
        <f>BX2-BY2-BZ2-CA2</f>
        <v>40550</v>
      </c>
      <c r="CC2">
        <f>_xlfn.XLOOKUP(B2,'[8]october-2025'!$A:$A,'[8]october-2025'!$C:$C,0,0)</f>
        <v>32500</v>
      </c>
      <c r="CD2">
        <f>CC2*0.18</f>
        <v>5850</v>
      </c>
      <c r="CE2">
        <f>CC2*0.12</f>
        <v>3900</v>
      </c>
      <c r="CF2">
        <f>_xlfn.XLOOKUP(B2,'[8]october-2025'!$A:$A,'[8]october-2025'!$D:$D,0,0)</f>
        <v>0</v>
      </c>
      <c r="CG2">
        <f>_xlfn.XLOOKUP(B2,'[8]october-2025'!$A:$A,'[8]october-2025'!$G:$G,0,0)</f>
        <v>500</v>
      </c>
      <c r="CH2">
        <f>IF(CC2&gt;0,SUM(CC2:CG2),0)</f>
        <v>42750</v>
      </c>
      <c r="CI2">
        <f>_xlfn.XLOOKUP(B2,'[8]october-2025'!$A:$A,'[8]october-2025'!$H:$H,0,0)</f>
        <v>2000</v>
      </c>
      <c r="CJ2">
        <f>_xlfn.XLOOKUP(B2,'[8]october-2025'!$A:$A,'[8]october-2025'!$I:$I,0,0)</f>
        <v>0</v>
      </c>
      <c r="CK2">
        <f>IF($F2="YES",0,IF(CH2&gt;40000,200,IF(CH2&gt;25000,150,IF(CH2&gt;15000,130,IF(CH2&gt;10000,110,0)))))</f>
        <v>200</v>
      </c>
      <c r="CL2">
        <f>CH2-CI2-CJ2-CK2</f>
        <v>40550</v>
      </c>
      <c r="CM2">
        <f>_xlfn.XLOOKUP(B2,'[9]november-2025'!$A:$A,'[9]november-2025'!$C:$C,0,0)</f>
        <v>32500</v>
      </c>
      <c r="CN2">
        <f>CM2*0.18</f>
        <v>5850</v>
      </c>
      <c r="CO2">
        <f>CM2*0.12</f>
        <v>3900</v>
      </c>
      <c r="CP2">
        <f>_xlfn.XLOOKUP(B2,'[9]november-2025'!$A:$A,'[9]november-2025'!$D:$D,0,0)</f>
        <v>0</v>
      </c>
      <c r="CQ2">
        <f>_xlfn.XLOOKUP(B2,'[9]november-2025'!$A:$A,'[9]november-2025'!$G:$G,0,0)</f>
        <v>500</v>
      </c>
      <c r="CR2">
        <f>IF(CM2&gt;0,SUM(CM2:CQ2),0)</f>
        <v>42750</v>
      </c>
      <c r="CS2">
        <f>_xlfn.XLOOKUP(B2,'[9]november-2025'!$A:$A,'[9]november-2025'!$H:$H,0,0)</f>
        <v>2000</v>
      </c>
      <c r="CT2">
        <f>_xlfn.XLOOKUP(B2,'[9]november-2025'!$A:$A,'[9]november-2025'!$I:$I,0,0)</f>
        <v>0</v>
      </c>
      <c r="CU2">
        <f>IF($F2="YES",0,IF(CR2&gt;40000,200,IF(CR2&gt;25000,150,IF(CR2&gt;15000,130,IF(CR2&gt;10000,110,0)))))</f>
        <v>200</v>
      </c>
      <c r="CV2">
        <f>CR2-CS2-CT2-CU2</f>
        <v>40550</v>
      </c>
      <c r="CW2">
        <f>_xlfn.XLOOKUP(B2,'[10]december-2025'!$A:$A,'[10]december-2025'!$C:$C,0,0)</f>
        <v>32500</v>
      </c>
      <c r="CX2">
        <f>ROUND(CW2*0.18,0)</f>
        <v>5850</v>
      </c>
      <c r="CY2">
        <f>ROUND(CW2*0.12,0)</f>
        <v>3900</v>
      </c>
      <c r="CZ2">
        <f>_xlfn.XLOOKUP(B2,'[10]december-2025'!$A:$A,'[10]december-2025'!$D:$D,0,0)</f>
        <v>0</v>
      </c>
      <c r="DA2">
        <f>_xlfn.XLOOKUP(B2,'[10]december-2025'!$A:$A,'[10]december-2025'!$G:$G,0,0)</f>
        <v>500</v>
      </c>
      <c r="DB2">
        <f>IF(CW2&gt;0,SUM(CW2:DA2),0)</f>
        <v>42750</v>
      </c>
      <c r="DC2">
        <f>_xlfn.XLOOKUP(B2,'[10]december-2025'!$A:$A,'[10]december-2025'!$H:$H,0,0)</f>
        <v>2000</v>
      </c>
      <c r="DD2">
        <f>_xlfn.XLOOKUP(B2,'[10]december-2025'!$A:$A,'[10]december-2025'!$I:$I,0,0)</f>
        <v>0</v>
      </c>
      <c r="DE2">
        <f>IF($F2="YES",0,IF(DB2&gt;40000,200,IF(DB2&gt;25000,150,IF(DB2&gt;15000,130,IF(DB2&gt;10000,110,0)))))</f>
        <v>200</v>
      </c>
      <c r="DF2">
        <f>DB2-DC2-DD2-DE2</f>
        <v>40550</v>
      </c>
      <c r="DG2">
        <f>_xlfn.XLOOKUP(B2,'[11]january-2026'!$A:$A,'[11]january-2026'!$C:$C,0,0)</f>
        <v>32500</v>
      </c>
      <c r="DH2">
        <f>DG2*0.18</f>
        <v>5850</v>
      </c>
      <c r="DI2">
        <f>DG2*0.12</f>
        <v>3900</v>
      </c>
      <c r="DJ2">
        <f>_xlfn.XLOOKUP(B2,'[11]january-2026'!$A:$A,'[11]january-2026'!$D:$D,0,0)</f>
        <v>0</v>
      </c>
      <c r="DK2">
        <f>_xlfn.XLOOKUP(B2,'[11]january-2026'!$A:$A,'[11]january-2026'!$G:$G,0,0)</f>
        <v>500</v>
      </c>
      <c r="DL2">
        <f>IF(DG2&gt;0,SUM(DG2:DK2),0)</f>
        <v>42750</v>
      </c>
      <c r="DM2">
        <f>_xlfn.XLOOKUP(B2,'[11]january-2026'!$A:$A,'[11]january-2026'!$H:$H,0,0)</f>
        <v>2000</v>
      </c>
      <c r="DN2">
        <f>_xlfn.XLOOKUP(B2,'[11]january-2026'!$A:$A,'[11]january-2026'!$I:$I,0,0)</f>
        <v>0</v>
      </c>
      <c r="DO2">
        <f>IF($F2="YES",0,IF(DL2&gt;40000,200,IF(DL2&gt;25000,150,IF(DL2&gt;15000,130,IF(DL2&gt;10000,110,0)))))</f>
        <v>200</v>
      </c>
      <c r="DP2">
        <f>DL2-DM2-DN2-DO2</f>
        <v>40550</v>
      </c>
      <c r="DQ2">
        <f>_xlfn.XLOOKUP(B2,'[12]february-2026'!$A:$A,'[12]february-2026'!$C:$C,0,0)</f>
        <v>32500</v>
      </c>
      <c r="DR2">
        <f>DQ2*0.18</f>
        <v>5850</v>
      </c>
      <c r="DS2">
        <f>DQ2*0.12</f>
        <v>3900</v>
      </c>
      <c r="DT2">
        <f>_xlfn.XLOOKUP(B2,'[12]february-2026'!$A:$A,'[12]february-2026'!$D:$D,0,0)</f>
        <v>0</v>
      </c>
      <c r="DU2">
        <f>_xlfn.XLOOKUP(B2,'[12]february-2026'!$A:$A,'[12]february-2026'!$G:$G,0,0)</f>
        <v>500</v>
      </c>
      <c r="DV2">
        <f>IF(DQ2&gt;0,SUM(DQ2:DU2),0)</f>
        <v>42750</v>
      </c>
      <c r="DW2">
        <f>_xlfn.XLOOKUP(B2,'[12]february-2026'!$A:$A,'[12]february-2026'!$H:$H,0,0)</f>
        <v>2000</v>
      </c>
      <c r="DX2">
        <f>_xlfn.XLOOKUP(B2,'[12]february-2026'!$A:$A,'[12]february-2026'!$I:$I,0,0)</f>
        <v>0</v>
      </c>
      <c r="DY2">
        <f>IF($F2="YES",0,IF(DV2&gt;40000,200,IF(DV2&gt;25000,150,IF(DV2&gt;15000,130,IF(DV2&gt;10000,110,0)))))</f>
        <v>200</v>
      </c>
      <c r="DZ2">
        <f>DV2-DW2-DX2-DY2</f>
        <v>40550</v>
      </c>
      <c r="EA2">
        <f>DV2+DL2+DB2+CR2+CH2+BX2+BN2+BD2+AS2+AI2+Y2+O2+H2+I2</f>
        <v>513856</v>
      </c>
      <c r="EB2">
        <f>DY2+DO2+DE2+CU2+CK2+CA2+BQ2+BG2+AV2+AL2+AB2+R2</f>
        <v>2400</v>
      </c>
      <c r="EC2">
        <f>IF(EA2&gt;0,50000,0)</f>
        <v>50000</v>
      </c>
      <c r="ED2">
        <v>0</v>
      </c>
      <c r="EE2">
        <f>EA2-EB2-EC2</f>
        <v>461456</v>
      </c>
      <c r="EF2">
        <f>DW2+DM2+DC2+CS2+CI2+BY2+BO2+BE2+AT2+AJ2+Z2+P2</f>
        <v>24000</v>
      </c>
      <c r="EG2">
        <f>DX2+DN2+DD2+CT2+CJ2+BZ2+BP2+BF2+AU2+AK2+AA2+Q2</f>
        <v>0</v>
      </c>
      <c r="EH2">
        <v>0</v>
      </c>
      <c r="EI2">
        <v>0</v>
      </c>
      <c r="EJ2">
        <v>0</v>
      </c>
      <c r="EK2">
        <v>0</v>
      </c>
      <c r="EL2">
        <v>0</v>
      </c>
      <c r="EM2">
        <v>0</v>
      </c>
      <c r="EN2">
        <v>0</v>
      </c>
      <c r="EO2">
        <v>0</v>
      </c>
      <c r="EP2">
        <v>0</v>
      </c>
      <c r="EQ2">
        <v>0</v>
      </c>
      <c r="ER2">
        <f>SUM(EF2:EQ2)</f>
        <v>24000</v>
      </c>
      <c r="ES2">
        <f>IF(ER2&gt;=150000,150000,ER2)</f>
        <v>24000</v>
      </c>
      <c r="ET2">
        <f>EE2-ES2</f>
        <v>437456</v>
      </c>
      <c r="EU2">
        <v>0</v>
      </c>
      <c r="EV2">
        <v>0</v>
      </c>
      <c r="EW2">
        <v>0</v>
      </c>
      <c r="EX2">
        <v>0</v>
      </c>
      <c r="EY2">
        <v>0</v>
      </c>
      <c r="EZ2">
        <v>0</v>
      </c>
      <c r="FA2">
        <v>0</v>
      </c>
      <c r="FB2">
        <f>SUM(EU2:FA2)+(IF(F2="YES",50000,0))</f>
        <v>0</v>
      </c>
      <c r="FC2">
        <f>ET2-FB2</f>
        <v>437456</v>
      </c>
      <c r="FD2">
        <f>ROUND(IF(FC2&gt;0,IF(FC2&gt;500000,12500,(FC2-250000)*0.05),0),0)</f>
        <v>9373</v>
      </c>
      <c r="FE2">
        <f>IF(ROUND(IF(FC2&gt;0,IF(FC2&gt;1000000,25000,(FC2-500000)*0.2),0),0)&lt;0,0,ROUND(IF(FC2&gt;0,IF(FC2&gt;1000000,25000,(FC2-500000)*0.2),0),0))</f>
        <v>0</v>
      </c>
      <c r="FF2">
        <f>FD2+FE2</f>
        <v>9373</v>
      </c>
      <c r="FG2">
        <f>IF(FF2&lt;12500,0,FF2)</f>
        <v>0</v>
      </c>
      <c r="FH2">
        <f>FG2*0.04</f>
        <v>0</v>
      </c>
      <c r="FI2">
        <f>ROUND(FH2+FG2,0)</f>
        <v>0</v>
      </c>
      <c r="FJ2">
        <v>0</v>
      </c>
      <c r="FK2">
        <f>FI2-FJ2</f>
        <v>0</v>
      </c>
      <c r="FL2" t="b">
        <f>IF(EA2&gt;500000,TRUE,FALSE)</f>
        <v>1</v>
      </c>
      <c r="FM2">
        <f ca="1">IF(FL2,RANDBETWEEN(500,1000),RANDBETWEEN(1000,3000))</f>
        <v>706</v>
      </c>
      <c r="FN2">
        <f ca="1">EA2+FM2</f>
        <v>514562</v>
      </c>
      <c r="FO2">
        <f>IF(EA2&gt;0,75000,0)</f>
        <v>75000</v>
      </c>
      <c r="FP2">
        <f ca="1">FN2-FO2</f>
        <v>439562</v>
      </c>
      <c r="FQ2">
        <f ca="1">IF(FP2&gt;2400000,FP2-2400000,0)</f>
        <v>0</v>
      </c>
      <c r="FR2">
        <f ca="1">FQ2*0.3</f>
        <v>0</v>
      </c>
      <c r="FS2">
        <f ca="1">IF(FP2&gt;2000000,FP2-2000000,0)</f>
        <v>0</v>
      </c>
      <c r="FT2">
        <f ca="1">FS2*0.25</f>
        <v>0</v>
      </c>
      <c r="FU2">
        <f ca="1">IF(FP2&gt;1600000,FP2-1600000-FQ2,0)</f>
        <v>0</v>
      </c>
      <c r="FV2">
        <f ca="1">FU2*0.2</f>
        <v>0</v>
      </c>
      <c r="FW2">
        <f ca="1">IF(FP2&gt;1200000,FP2-1200000-IF(F2="YES",50000,0)-FU2,0)</f>
        <v>0</v>
      </c>
      <c r="FX2">
        <f ca="1">FW2*0.15</f>
        <v>0</v>
      </c>
      <c r="FY2">
        <f ca="1">IF(FP2&gt;800000,FP2-800000-FQ2-FU2-FW2,0)</f>
        <v>0</v>
      </c>
      <c r="FZ2">
        <f ca="1">FY2*0.1</f>
        <v>0</v>
      </c>
      <c r="GA2">
        <f ca="1">IF(FP2&gt;400000,FP2-400000-FQ2-FU2-FW2-FY2,0)</f>
        <v>39562</v>
      </c>
      <c r="GB2">
        <f ca="1">GA2*0.05</f>
        <v>1978.1000000000001</v>
      </c>
      <c r="GC2">
        <f ca="1">ROUND(FR2+FT2+FV2+FX2+FZ2+GB2,0)</f>
        <v>1978</v>
      </c>
      <c r="GD2">
        <f ca="1">IF(FP2&gt;1200000,FP2,0)</f>
        <v>0</v>
      </c>
      <c r="GE2">
        <f ca="1">IF(FP2&gt;1200000,GD2-1200000,0)</f>
        <v>0</v>
      </c>
      <c r="GF2">
        <f ca="1">IF(FP2&lt;1200001,MIN(GC2,60000),0)</f>
        <v>1978</v>
      </c>
      <c r="GG2">
        <f ca="1">IF(FP2&gt;1200000,GC2-GE2,0)</f>
        <v>0</v>
      </c>
      <c r="GH2" t="b">
        <f ca="1">IF(GG2&gt;0,TRUE,FALSE)</f>
        <v>0</v>
      </c>
      <c r="GI2">
        <f ca="1">IF(GH2,GG2,0)</f>
        <v>0</v>
      </c>
      <c r="GJ2">
        <f ca="1">GF2+GI2</f>
        <v>1978</v>
      </c>
      <c r="GK2">
        <f ca="1">ROUND(GC2-GJ2,0)</f>
        <v>0</v>
      </c>
      <c r="GL2">
        <f ca="1">GK2*0.04</f>
        <v>0</v>
      </c>
      <c r="GM2">
        <f ca="1">ROUNDUP(GK2+GL2,0)</f>
        <v>0</v>
      </c>
    </row>
    <row r="3" spans="1:195" x14ac:dyDescent="0.25">
      <c r="A3">
        <f>_xlfn.AGGREGATE(3,5,$B$2:B3)</f>
        <v>2</v>
      </c>
      <c r="B3" t="s">
        <v>126</v>
      </c>
      <c r="C3" t="s">
        <v>127</v>
      </c>
      <c r="D3" t="s">
        <v>749</v>
      </c>
      <c r="E3" t="s">
        <v>833</v>
      </c>
      <c r="F3" t="s">
        <v>959</v>
      </c>
      <c r="G3" t="s">
        <v>877</v>
      </c>
      <c r="H3">
        <f>IF(_xlfn.DAYS("31-03-2025",G3)&gt;=180,6800,0)</f>
        <v>6800</v>
      </c>
      <c r="I3">
        <f>_xlfn.XLOOKUP(B3,'[1]march-2025'!$A:$A,'[1]march-2025'!$J:$J,0,0)</f>
        <v>0</v>
      </c>
      <c r="J3">
        <f>_xlfn.XLOOKUP(B3,'[1]march-2025'!$A:$A,'[1]march-2025'!$C:$C,0,0)</f>
        <v>30700</v>
      </c>
      <c r="K3">
        <f>J3*0.14</f>
        <v>4298</v>
      </c>
      <c r="L3">
        <f>J3*0.12</f>
        <v>3684</v>
      </c>
      <c r="M3">
        <f>_xlfn.XLOOKUP(B3,'[1]march-2025'!$A:$A,'[1]march-2025'!$D:$D,0,0)</f>
        <v>0</v>
      </c>
      <c r="N3">
        <f>_xlfn.XLOOKUP(B3,'[1]march-2025'!$A:$A,'[1]march-2025'!$G:$G,0,0)</f>
        <v>0</v>
      </c>
      <c r="O3">
        <f>IF(J3&gt;0,SUM(J3:N3),0)</f>
        <v>38682</v>
      </c>
      <c r="P3">
        <f>_xlfn.XLOOKUP(B3,'[1]march-2025'!$A:$A,'[1]march-2025'!$H:$H,0,0)</f>
        <v>2000</v>
      </c>
      <c r="Q3">
        <f>_xlfn.XLOOKUP(B3,'[1]march-2025'!$A:$A,'[1]march-2025'!$I:$I,0,0)</f>
        <v>0</v>
      </c>
      <c r="R3">
        <f>IF($F3="YES",0,IF(O3&gt;40000,200,IF(O3&gt;25000,150,IF(O3&gt;15000,130,IF(O3&gt;10000,110,0)))))</f>
        <v>150</v>
      </c>
      <c r="S3">
        <f>O3-P3-Q3-R3</f>
        <v>36532</v>
      </c>
      <c r="T3">
        <f>_xlfn.XLOOKUP(B3,'[2]april-2025'!$A:$A,'[2]april-2025'!$C:$C,0,0)</f>
        <v>30700</v>
      </c>
      <c r="U3">
        <f>T3*0.18</f>
        <v>5526</v>
      </c>
      <c r="V3">
        <f>T3*0.12</f>
        <v>3684</v>
      </c>
      <c r="W3">
        <f>_xlfn.XLOOKUP(B3,'[2]april-2025'!$A:$A,'[2]april-2025'!$D:$D,0,0)</f>
        <v>0</v>
      </c>
      <c r="X3">
        <f>_xlfn.XLOOKUP(B3,'[2]april-2025'!$A:$A,'[2]april-2025'!$G:$G,0,0)</f>
        <v>0</v>
      </c>
      <c r="Y3">
        <f>IF(T3&gt;0,SUM(T3:X3),0)</f>
        <v>39910</v>
      </c>
      <c r="Z3">
        <f>_xlfn.XLOOKUP(B3,'[2]april-2025'!$A:$A,'[2]april-2025'!$H:$H,0,0)</f>
        <v>2000</v>
      </c>
      <c r="AA3">
        <f>_xlfn.XLOOKUP(B3,'[2]april-2025'!$A:$A,'[2]april-2025'!$I:$I,0,0)</f>
        <v>0</v>
      </c>
      <c r="AB3">
        <f>IF($F3="YES",0,IF(Y3&gt;40000,200,IF(Y3&gt;25000,150,IF(Y3&gt;15000,130,IF(Y3&gt;10000,110,0)))))</f>
        <v>150</v>
      </c>
      <c r="AC3">
        <f>Y3-Z3-AA3-AB3</f>
        <v>37760</v>
      </c>
      <c r="AD3">
        <f>_xlfn.XLOOKUP(B3,'[3]may-2025'!$A:$A,'[3]may-2025'!$C:$C,0,0)</f>
        <v>30700</v>
      </c>
      <c r="AE3">
        <f>AD3*0.18</f>
        <v>5526</v>
      </c>
      <c r="AF3">
        <f>AD3*0.12</f>
        <v>3684</v>
      </c>
      <c r="AG3">
        <f>_xlfn.XLOOKUP(B3,'[3]may-2025'!$A:$A,'[3]may-2025'!$D:$D,0,0)</f>
        <v>0</v>
      </c>
      <c r="AH3">
        <f>_xlfn.XLOOKUP(B3,'[3]may-2025'!$A:$A,'[3]may-2025'!$G:$G,0,0)</f>
        <v>0</v>
      </c>
      <c r="AI3">
        <f>IF(AD3&gt;0,SUM(AD3:AH3),0)</f>
        <v>39910</v>
      </c>
      <c r="AJ3">
        <f>_xlfn.XLOOKUP(B3,'[3]may-2025'!$A:$A,'[3]may-2025'!$H:$H,0,0)</f>
        <v>2000</v>
      </c>
      <c r="AK3">
        <f>_xlfn.XLOOKUP(B3,'[3]may-2025'!$A:$A,'[3]may-2025'!$I:$I,0,0)</f>
        <v>0</v>
      </c>
      <c r="AL3">
        <f>IF($F3="YES",0,IF(AI3&gt;40000,200,IF(AI3&gt;25000,150,IF(AI3&gt;15000,130,IF(AI3&gt;10000,110,0)))))</f>
        <v>150</v>
      </c>
      <c r="AM3">
        <f>AI3-AJ3-AK3-AL3</f>
        <v>37760</v>
      </c>
      <c r="AN3">
        <f>_xlfn.XLOOKUP(B3,'[4]june-2025'!$A:$A,'[4]june-2025'!$C:$C,0,0)</f>
        <v>30700</v>
      </c>
      <c r="AO3">
        <f>AN3*0.18</f>
        <v>5526</v>
      </c>
      <c r="AP3">
        <f>AN3*0.12</f>
        <v>3684</v>
      </c>
      <c r="AQ3">
        <f>_xlfn.XLOOKUP(B3,'[4]june-2025'!$A:$A,'[4]june-2025'!$D:$D,0,0)</f>
        <v>0</v>
      </c>
      <c r="AR3">
        <f>_xlfn.XLOOKUP(B3,'[4]june-2025'!$A:$A,'[4]june-2025'!$G:$G,0,0)</f>
        <v>0</v>
      </c>
      <c r="AS3">
        <f>IF(AN3&gt;0,SUM(AN3:AR3),0)</f>
        <v>39910</v>
      </c>
      <c r="AT3">
        <f>_xlfn.XLOOKUP(B3,'[4]june-2025'!$A:$A,'[4]june-2025'!$H:$H,0,0)</f>
        <v>2000</v>
      </c>
      <c r="AU3">
        <f>_xlfn.XLOOKUP(B3,'[4]june-2025'!$A:$A,'[4]june-2025'!$I:$I,0,0)</f>
        <v>0</v>
      </c>
      <c r="AV3">
        <f>IF($F3="YES",0,IF(AS3&gt;40000,200,IF(AS3&gt;25000,150,IF(AS3&gt;15000,130,IF(AS3&gt;10000,110,0)))))</f>
        <v>150</v>
      </c>
      <c r="AW3">
        <f>AS3-AT3-AU3-AV3</f>
        <v>37760</v>
      </c>
      <c r="AX3">
        <f>_xlfn.XLOOKUP(B3,'[5]july-2025'!$A:$A,'[5]july-2025'!$C:$C,0,0)</f>
        <v>31600</v>
      </c>
      <c r="AY3">
        <f>AX3*0.18</f>
        <v>5688</v>
      </c>
      <c r="AZ3">
        <v>0</v>
      </c>
      <c r="BA3">
        <f>AX3*0.12</f>
        <v>3792</v>
      </c>
      <c r="BB3">
        <f>_xlfn.XLOOKUP(B3,'[5]july-2025'!$A:$A,'[5]july-2025'!$D:$D,0,0)</f>
        <v>0</v>
      </c>
      <c r="BC3">
        <f>_xlfn.XLOOKUP(B3,'[5]july-2025'!$A:$A,'[5]july-2025'!$G:$G,0,0)</f>
        <v>0</v>
      </c>
      <c r="BD3">
        <f>IF(AX3&gt;0,SUM(AX3:BC3),0)</f>
        <v>41080</v>
      </c>
      <c r="BE3">
        <f>_xlfn.XLOOKUP(B3,'[5]july-2025'!$A:$A,'[5]july-2025'!$H:$H,0,0)</f>
        <v>2000</v>
      </c>
      <c r="BF3">
        <f>_xlfn.XLOOKUP(B3,'[5]july-2025'!$A:$A,'[5]july-2025'!$I:$I,0,0)</f>
        <v>0</v>
      </c>
      <c r="BG3">
        <f>IF($F3="YES",0,IF(BD3&gt;40000,200,IF(BD3&gt;25000,150,IF(BD3&gt;15000,130,IF(BD3&gt;10000,110,0)))))</f>
        <v>200</v>
      </c>
      <c r="BH3">
        <f>BD3-BE3-BF3-BG3</f>
        <v>38880</v>
      </c>
      <c r="BI3">
        <f>_xlfn.XLOOKUP(B3,'[6]august-2025'!$A:$A,'[6]august-2025'!$C:$C,0,0)</f>
        <v>31600</v>
      </c>
      <c r="BJ3">
        <f>BI3*0.18</f>
        <v>5688</v>
      </c>
      <c r="BK3">
        <f>BI3*0.12</f>
        <v>3792</v>
      </c>
      <c r="BL3">
        <f>_xlfn.XLOOKUP(B3,'[6]august-2025'!$A:$A,'[6]august-2025'!$D:$D,0,0)</f>
        <v>0</v>
      </c>
      <c r="BM3">
        <f>_xlfn.XLOOKUP(B3,'[6]august-2025'!$A:$A,'[6]august-2025'!$G:$G,0,0)</f>
        <v>0</v>
      </c>
      <c r="BN3">
        <f>IF(BI3&gt;0,SUM(BI3:BM3),0)</f>
        <v>41080</v>
      </c>
      <c r="BO3">
        <f>_xlfn.XLOOKUP(B3,'[6]august-2025'!$A:$A,'[6]august-2025'!$H:$H,0,0)</f>
        <v>2000</v>
      </c>
      <c r="BP3">
        <f>_xlfn.XLOOKUP(B3,'[6]august-2025'!$A:$A,'[6]august-2025'!$I:$I,0,0)</f>
        <v>0</v>
      </c>
      <c r="BQ3">
        <f>IF($F3="YES",0,IF(BN3&gt;40000,200,IF(BN3&gt;25000,150,IF(BN3&gt;15000,130,IF(BN3&gt;10000,110,0)))))</f>
        <v>200</v>
      </c>
      <c r="BR3">
        <f>BN3-BO3-BP3-BQ3</f>
        <v>38880</v>
      </c>
      <c r="BS3">
        <f>_xlfn.XLOOKUP(B3,'[7]september-2025'!$A:$A,'[7]september-2025'!$C:$C,0,0)</f>
        <v>31600</v>
      </c>
      <c r="BT3">
        <f>BS3*0.18</f>
        <v>5688</v>
      </c>
      <c r="BU3">
        <f>BS3*0.12</f>
        <v>3792</v>
      </c>
      <c r="BV3">
        <f>_xlfn.XLOOKUP(B3,'[7]september-2025'!$A:$A,'[7]september-2025'!$D:$D,0,0)</f>
        <v>0</v>
      </c>
      <c r="BW3">
        <f>_xlfn.XLOOKUP(B3,'[7]september-2025'!$A:$A,'[7]september-2025'!$G:$G,0,0)</f>
        <v>0</v>
      </c>
      <c r="BX3">
        <f>IF(BS3&gt;0,SUM(BS3:BW3),0)</f>
        <v>41080</v>
      </c>
      <c r="BY3">
        <f>_xlfn.XLOOKUP(B3,'[7]september-2025'!$A:$A,'[7]september-2025'!$H:$H,0,0)</f>
        <v>2000</v>
      </c>
      <c r="BZ3">
        <f>_xlfn.XLOOKUP(B3,'[7]september-2025'!$A:$A,'[7]september-2025'!$I:$I,0,0)</f>
        <v>0</v>
      </c>
      <c r="CA3">
        <f>IF($F3="YES",0,IF(BX3&gt;40000,200,IF(BX3&gt;25000,150,IF(BX3&gt;15000,130,IF(BX3&gt;10000,110,0)))))</f>
        <v>200</v>
      </c>
      <c r="CB3">
        <f>BX3-BY3-BZ3-CA3</f>
        <v>38880</v>
      </c>
      <c r="CC3">
        <f>_xlfn.XLOOKUP(B3,'[8]october-2025'!$A:$A,'[8]october-2025'!$C:$C,0,0)</f>
        <v>31600</v>
      </c>
      <c r="CD3">
        <f>CC3*0.18</f>
        <v>5688</v>
      </c>
      <c r="CE3">
        <f>CC3*0.12</f>
        <v>3792</v>
      </c>
      <c r="CF3">
        <f>_xlfn.XLOOKUP(B3,'[8]october-2025'!$A:$A,'[8]october-2025'!$D:$D,0,0)</f>
        <v>0</v>
      </c>
      <c r="CG3">
        <f>_xlfn.XLOOKUP(B3,'[8]october-2025'!$A:$A,'[8]october-2025'!$G:$G,0,0)</f>
        <v>0</v>
      </c>
      <c r="CH3">
        <f>IF(CC3&gt;0,SUM(CC3:CG3),0)</f>
        <v>41080</v>
      </c>
      <c r="CI3">
        <f>_xlfn.XLOOKUP(B3,'[8]october-2025'!$A:$A,'[8]october-2025'!$H:$H,0,0)</f>
        <v>2000</v>
      </c>
      <c r="CJ3">
        <f>_xlfn.XLOOKUP(B3,'[8]october-2025'!$A:$A,'[8]october-2025'!$I:$I,0,0)</f>
        <v>0</v>
      </c>
      <c r="CK3">
        <f>IF($F3="YES",0,IF(CH3&gt;40000,200,IF(CH3&gt;25000,150,IF(CH3&gt;15000,130,IF(CH3&gt;10000,110,0)))))</f>
        <v>200</v>
      </c>
      <c r="CL3">
        <f>CH3-CI3-CJ3-CK3</f>
        <v>38880</v>
      </c>
      <c r="CM3">
        <f>_xlfn.XLOOKUP(B3,'[9]november-2025'!$A:$A,'[9]november-2025'!$C:$C,0,0)</f>
        <v>31600</v>
      </c>
      <c r="CN3">
        <f>CM3*0.18</f>
        <v>5688</v>
      </c>
      <c r="CO3">
        <f>CM3*0.12</f>
        <v>3792</v>
      </c>
      <c r="CP3">
        <f>_xlfn.XLOOKUP(B3,'[9]november-2025'!$A:$A,'[9]november-2025'!$D:$D,0,0)</f>
        <v>0</v>
      </c>
      <c r="CQ3">
        <f>_xlfn.XLOOKUP(B3,'[9]november-2025'!$A:$A,'[9]november-2025'!$G:$G,0,0)</f>
        <v>0</v>
      </c>
      <c r="CR3">
        <f>IF(CM3&gt;0,SUM(CM3:CQ3),0)</f>
        <v>41080</v>
      </c>
      <c r="CS3">
        <f>_xlfn.XLOOKUP(B3,'[9]november-2025'!$A:$A,'[9]november-2025'!$H:$H,0,0)</f>
        <v>2000</v>
      </c>
      <c r="CT3">
        <f>_xlfn.XLOOKUP(B3,'[9]november-2025'!$A:$A,'[9]november-2025'!$I:$I,0,0)</f>
        <v>0</v>
      </c>
      <c r="CU3">
        <f>IF($F3="YES",0,IF(CR3&gt;40000,200,IF(CR3&gt;25000,150,IF(CR3&gt;15000,130,IF(CR3&gt;10000,110,0)))))</f>
        <v>200</v>
      </c>
      <c r="CV3">
        <f>CR3-CS3-CT3-CU3</f>
        <v>38880</v>
      </c>
      <c r="CW3">
        <f>_xlfn.XLOOKUP(B3,'[10]december-2025'!$A:$A,'[10]december-2025'!$C:$C,0,0)</f>
        <v>31600</v>
      </c>
      <c r="CX3">
        <f>ROUND(CW3*0.18,0)</f>
        <v>5688</v>
      </c>
      <c r="CY3">
        <f>ROUND(CW3*0.12,0)</f>
        <v>3792</v>
      </c>
      <c r="CZ3">
        <f>_xlfn.XLOOKUP(B3,'[10]december-2025'!$A:$A,'[10]december-2025'!$D:$D,0,0)</f>
        <v>0</v>
      </c>
      <c r="DA3">
        <f>_xlfn.XLOOKUP(B3,'[10]december-2025'!$A:$A,'[10]december-2025'!$G:$G,0,0)</f>
        <v>0</v>
      </c>
      <c r="DB3">
        <f>IF(CW3&gt;0,SUM(CW3:DA3),0)</f>
        <v>41080</v>
      </c>
      <c r="DC3">
        <f>_xlfn.XLOOKUP(B3,'[10]december-2025'!$A:$A,'[10]december-2025'!$H:$H,0,0)</f>
        <v>2000</v>
      </c>
      <c r="DD3">
        <f>_xlfn.XLOOKUP(B3,'[10]december-2025'!$A:$A,'[10]december-2025'!$I:$I,0,0)</f>
        <v>0</v>
      </c>
      <c r="DE3">
        <f>IF($F3="YES",0,IF(DB3&gt;40000,200,IF(DB3&gt;25000,150,IF(DB3&gt;15000,130,IF(DB3&gt;10000,110,0)))))</f>
        <v>200</v>
      </c>
      <c r="DF3">
        <f>DB3-DC3-DD3-DE3</f>
        <v>38880</v>
      </c>
      <c r="DG3">
        <f>_xlfn.XLOOKUP(B3,'[11]january-2026'!$A:$A,'[11]january-2026'!$C:$C,0,0)</f>
        <v>31600</v>
      </c>
      <c r="DH3">
        <f>DG3*0.18</f>
        <v>5688</v>
      </c>
      <c r="DI3">
        <f>DG3*0.12</f>
        <v>3792</v>
      </c>
      <c r="DJ3">
        <f>_xlfn.XLOOKUP(B3,'[11]january-2026'!$A:$A,'[11]january-2026'!$D:$D,0,0)</f>
        <v>0</v>
      </c>
      <c r="DK3">
        <f>_xlfn.XLOOKUP(B3,'[11]january-2026'!$A:$A,'[11]january-2026'!$G:$G,0,0)</f>
        <v>0</v>
      </c>
      <c r="DL3">
        <f>IF(DG3&gt;0,SUM(DG3:DK3),0)</f>
        <v>41080</v>
      </c>
      <c r="DM3">
        <f>_xlfn.XLOOKUP(B3,'[11]january-2026'!$A:$A,'[11]january-2026'!$H:$H,0,0)</f>
        <v>2000</v>
      </c>
      <c r="DN3">
        <f>_xlfn.XLOOKUP(B3,'[11]january-2026'!$A:$A,'[11]january-2026'!$I:$I,0,0)</f>
        <v>0</v>
      </c>
      <c r="DO3">
        <f>IF($F3="YES",0,IF(DL3&gt;40000,200,IF(DL3&gt;25000,150,IF(DL3&gt;15000,130,IF(DL3&gt;10000,110,0)))))</f>
        <v>200</v>
      </c>
      <c r="DP3">
        <f>DL3-DM3-DN3-DO3</f>
        <v>38880</v>
      </c>
      <c r="DQ3">
        <f>_xlfn.XLOOKUP(B3,'[12]february-2026'!$A:$A,'[12]february-2026'!$C:$C,0,0)</f>
        <v>31600</v>
      </c>
      <c r="DR3">
        <f>DQ3*0.18</f>
        <v>5688</v>
      </c>
      <c r="DS3">
        <f>DQ3*0.12</f>
        <v>3792</v>
      </c>
      <c r="DT3">
        <f>_xlfn.XLOOKUP(B3,'[12]february-2026'!$A:$A,'[12]february-2026'!$D:$D,0,0)</f>
        <v>0</v>
      </c>
      <c r="DU3">
        <f>_xlfn.XLOOKUP(B3,'[12]february-2026'!$A:$A,'[12]february-2026'!$G:$G,0,0)</f>
        <v>0</v>
      </c>
      <c r="DV3">
        <f>IF(DQ3&gt;0,SUM(DQ3:DU3),0)</f>
        <v>41080</v>
      </c>
      <c r="DW3">
        <f>_xlfn.XLOOKUP(B3,'[12]february-2026'!$A:$A,'[12]february-2026'!$H:$H,0,0)</f>
        <v>2000</v>
      </c>
      <c r="DX3">
        <f>_xlfn.XLOOKUP(B3,'[12]february-2026'!$A:$A,'[12]february-2026'!$I:$I,0,0)</f>
        <v>0</v>
      </c>
      <c r="DY3">
        <f>IF($F3="YES",0,IF(DV3&gt;40000,200,IF(DV3&gt;25000,150,IF(DV3&gt;15000,130,IF(DV3&gt;10000,110,0)))))</f>
        <v>200</v>
      </c>
      <c r="DZ3">
        <f>DV3-DW3-DX3-DY3</f>
        <v>38880</v>
      </c>
      <c r="EA3">
        <f>DV3+DL3+DB3+CR3+CH3+BX3+BN3+BD3+AS3+AI3+Y3+O3+H3+I3</f>
        <v>493852</v>
      </c>
      <c r="EB3">
        <f>DY3+DO3+DE3+CU3+CK3+CA3+BQ3+BG3+AV3+AL3+AB3+R3</f>
        <v>2200</v>
      </c>
      <c r="EC3">
        <f>IF(EA3&gt;0,50000,0)</f>
        <v>50000</v>
      </c>
      <c r="ED3">
        <v>0</v>
      </c>
      <c r="EE3">
        <f>EA3-EB3-EC3</f>
        <v>441652</v>
      </c>
      <c r="EF3">
        <f>DW3+DM3+DC3+CS3+CI3+BY3+BO3+BE3+AT3+AJ3+Z3+P3</f>
        <v>24000</v>
      </c>
      <c r="EG3">
        <f>DX3+DN3+DD3+CT3+CJ3+BZ3+BP3+BF3+AU3+AK3+AA3+Q3</f>
        <v>0</v>
      </c>
      <c r="EH3">
        <v>0</v>
      </c>
      <c r="EI3">
        <v>0</v>
      </c>
      <c r="EJ3">
        <v>0</v>
      </c>
      <c r="EK3">
        <v>0</v>
      </c>
      <c r="EL3">
        <v>0</v>
      </c>
      <c r="EM3">
        <v>0</v>
      </c>
      <c r="EN3">
        <v>0</v>
      </c>
      <c r="EO3">
        <v>0</v>
      </c>
      <c r="EP3">
        <v>0</v>
      </c>
      <c r="EQ3">
        <v>0</v>
      </c>
      <c r="ER3">
        <f>SUM(EF3:EQ3)</f>
        <v>24000</v>
      </c>
      <c r="ES3">
        <f>IF(ER3&gt;=150000,150000,ER3)</f>
        <v>24000</v>
      </c>
      <c r="ET3">
        <f>EE3-ES3</f>
        <v>417652</v>
      </c>
      <c r="EU3">
        <v>0</v>
      </c>
      <c r="EV3">
        <v>0</v>
      </c>
      <c r="EW3">
        <v>0</v>
      </c>
      <c r="EX3">
        <v>0</v>
      </c>
      <c r="EY3">
        <v>0</v>
      </c>
      <c r="EZ3">
        <v>0</v>
      </c>
      <c r="FA3">
        <v>0</v>
      </c>
      <c r="FB3">
        <f>SUM(EU3:FA3)+(IF(F3="YES",50000,0))</f>
        <v>0</v>
      </c>
      <c r="FC3">
        <f>ET3-FB3</f>
        <v>417652</v>
      </c>
      <c r="FD3">
        <f>ROUND(IF(FC3&gt;0,IF(FC3&gt;500000,12500,(FC3-250000)*0.05),0),0)</f>
        <v>8383</v>
      </c>
      <c r="FE3">
        <f>IF(ROUND(IF(FC3&gt;0,IF(FC3&gt;1000000,25000,(FC3-500000)*0.2),0),0)&lt;0,0,ROUND(IF(FC3&gt;0,IF(FC3&gt;1000000,25000,(FC3-500000)*0.2),0),0))</f>
        <v>0</v>
      </c>
      <c r="FF3">
        <f>FD3+FE3</f>
        <v>8383</v>
      </c>
      <c r="FG3">
        <f>IF(FF3&lt;12500,0,FF3)</f>
        <v>0</v>
      </c>
      <c r="FH3">
        <f>FG3*0.04</f>
        <v>0</v>
      </c>
      <c r="FI3">
        <f>ROUND(FH3+FG3,0)</f>
        <v>0</v>
      </c>
      <c r="FJ3">
        <v>0</v>
      </c>
      <c r="FK3">
        <f>FI3-FJ3</f>
        <v>0</v>
      </c>
      <c r="FL3" t="b">
        <f>IF(EA3&gt;500000,TRUE,FALSE)</f>
        <v>0</v>
      </c>
      <c r="FM3">
        <f ca="1">IF(FL3,RANDBETWEEN(500,1000),RANDBETWEEN(1000,3000))</f>
        <v>2657</v>
      </c>
      <c r="FN3">
        <f ca="1">EA3+FM3</f>
        <v>496509</v>
      </c>
      <c r="FO3">
        <f>IF(EA3&gt;0,75000,0)</f>
        <v>75000</v>
      </c>
      <c r="FP3">
        <f ca="1">FN3-FO3</f>
        <v>421509</v>
      </c>
      <c r="FQ3">
        <f ca="1">IF(FP3&gt;2400000,FP3-2400000,0)</f>
        <v>0</v>
      </c>
      <c r="FR3">
        <f ca="1">FQ3*0.3</f>
        <v>0</v>
      </c>
      <c r="FS3">
        <f ca="1">IF(FP3&gt;2000000,FP3-2000000,0)</f>
        <v>0</v>
      </c>
      <c r="FT3">
        <f ca="1">FS3*0.25</f>
        <v>0</v>
      </c>
      <c r="FU3">
        <f ca="1">IF(FP3&gt;1600000,FP3-1600000-FQ3,0)</f>
        <v>0</v>
      </c>
      <c r="FV3">
        <f ca="1">FU3*0.2</f>
        <v>0</v>
      </c>
      <c r="FW3">
        <f ca="1">IF(FP3&gt;1200000,FP3-1200000-IF(F3="YES",50000,0)-FU3,0)</f>
        <v>0</v>
      </c>
      <c r="FX3">
        <f ca="1">FW3*0.15</f>
        <v>0</v>
      </c>
      <c r="FY3">
        <f ca="1">IF(FP3&gt;800000,FP3-800000-FQ3-FU3-FW3,0)</f>
        <v>0</v>
      </c>
      <c r="FZ3">
        <f ca="1">FY3*0.1</f>
        <v>0</v>
      </c>
      <c r="GA3">
        <f ca="1">IF(FP3&gt;400000,FP3-400000-FQ3-FU3-FW3-FY3,0)</f>
        <v>21509</v>
      </c>
      <c r="GB3">
        <f ca="1">GA3*0.05</f>
        <v>1075.45</v>
      </c>
      <c r="GC3">
        <f ca="1">ROUND(FR3+FT3+FV3+FX3+FZ3+GB3,0)</f>
        <v>1075</v>
      </c>
      <c r="GD3">
        <f ca="1">IF(FP3&gt;1200000,FP3,0)</f>
        <v>0</v>
      </c>
      <c r="GE3">
        <f ca="1">IF(FP3&gt;1200000,GD3-1200000,0)</f>
        <v>0</v>
      </c>
      <c r="GF3">
        <f ca="1">IF(FP3&lt;1200001,MIN(GC3,60000),0)</f>
        <v>1075</v>
      </c>
      <c r="GG3">
        <f ca="1">IF(FP3&gt;1200000,GC3-GE3,0)</f>
        <v>0</v>
      </c>
      <c r="GH3" t="b">
        <f ca="1">IF(GG3&gt;0,TRUE,FALSE)</f>
        <v>0</v>
      </c>
      <c r="GI3">
        <f ca="1">IF(GH3,GG3,0)</f>
        <v>0</v>
      </c>
      <c r="GJ3">
        <f ca="1">GF3+GI3</f>
        <v>1075</v>
      </c>
      <c r="GK3">
        <f ca="1">ROUND(GC3-GJ3,0)</f>
        <v>0</v>
      </c>
      <c r="GL3">
        <f ca="1">GK3*0.04</f>
        <v>0</v>
      </c>
      <c r="GM3">
        <f ca="1">ROUNDUP(GK3+GL3,0)</f>
        <v>0</v>
      </c>
    </row>
    <row r="4" spans="1:195" x14ac:dyDescent="0.25">
      <c r="A4">
        <f>_xlfn.AGGREGATE(3,5,$B$2:B4)</f>
        <v>3</v>
      </c>
      <c r="B4" t="s">
        <v>128</v>
      </c>
      <c r="C4" t="s">
        <v>129</v>
      </c>
      <c r="D4" t="s">
        <v>750</v>
      </c>
      <c r="E4" t="s">
        <v>833</v>
      </c>
      <c r="F4" t="s">
        <v>960</v>
      </c>
      <c r="G4" t="s">
        <v>878</v>
      </c>
      <c r="H4">
        <f>IF(_xlfn.DAYS("31-03-2025",G4)&gt;=180,6800,0)</f>
        <v>6800</v>
      </c>
      <c r="I4">
        <f>_xlfn.XLOOKUP(B4,'[1]march-2025'!$A:$A,'[1]march-2025'!$J:$J,0,0)</f>
        <v>0</v>
      </c>
      <c r="J4">
        <f>_xlfn.XLOOKUP(B4,'[1]march-2025'!$A:$A,'[1]march-2025'!$C:$C,0,0)</f>
        <v>47300</v>
      </c>
      <c r="K4">
        <f>J4*0.14</f>
        <v>6622.0000000000009</v>
      </c>
      <c r="L4">
        <f>J4*0.12</f>
        <v>5676</v>
      </c>
      <c r="M4">
        <f>_xlfn.XLOOKUP(B4,'[1]march-2025'!$A:$A,'[1]march-2025'!$D:$D,0,0)</f>
        <v>0</v>
      </c>
      <c r="N4">
        <f>_xlfn.XLOOKUP(B4,'[1]march-2025'!$A:$A,'[1]march-2025'!$G:$G,0,0)</f>
        <v>500</v>
      </c>
      <c r="O4">
        <f>IF(J4&gt;0,SUM(J4:N4),0)</f>
        <v>60098</v>
      </c>
      <c r="P4">
        <f>_xlfn.XLOOKUP(B4,'[1]march-2025'!$A:$A,'[1]march-2025'!$H:$H,0,0)</f>
        <v>3000</v>
      </c>
      <c r="Q4">
        <f>_xlfn.XLOOKUP(B4,'[1]march-2025'!$A:$A,'[1]march-2025'!$I:$I,0,0)</f>
        <v>0</v>
      </c>
      <c r="R4">
        <f>IF($F4="YES",0,IF(O4&gt;40000,200,IF(O4&gt;25000,150,IF(O4&gt;15000,130,IF(O4&gt;10000,110,0)))))</f>
        <v>0</v>
      </c>
      <c r="S4">
        <f>O4-P4-Q4-R4</f>
        <v>57098</v>
      </c>
      <c r="T4">
        <f>_xlfn.XLOOKUP(B4,'[2]april-2025'!$A:$A,'[2]april-2025'!$C:$C,0,0)</f>
        <v>47300</v>
      </c>
      <c r="U4">
        <f>T4*0.18</f>
        <v>8514</v>
      </c>
      <c r="V4">
        <f>T4*0.12</f>
        <v>5676</v>
      </c>
      <c r="W4">
        <f>_xlfn.XLOOKUP(B4,'[2]april-2025'!$A:$A,'[2]april-2025'!$D:$D,0,0)</f>
        <v>0</v>
      </c>
      <c r="X4">
        <f>_xlfn.XLOOKUP(B4,'[2]april-2025'!$A:$A,'[2]april-2025'!$G:$G,0,0)</f>
        <v>500</v>
      </c>
      <c r="Y4">
        <f>IF(T4&gt;0,SUM(T4:X4),0)</f>
        <v>61990</v>
      </c>
      <c r="Z4">
        <f>_xlfn.XLOOKUP(B4,'[2]april-2025'!$A:$A,'[2]april-2025'!$H:$H,0,0)</f>
        <v>3000</v>
      </c>
      <c r="AA4">
        <f>_xlfn.XLOOKUP(B4,'[2]april-2025'!$A:$A,'[2]april-2025'!$I:$I,0,0)</f>
        <v>0</v>
      </c>
      <c r="AB4">
        <f>IF($F4="YES",0,IF(Y4&gt;40000,200,IF(Y4&gt;25000,150,IF(Y4&gt;15000,130,IF(Y4&gt;10000,110,0)))))</f>
        <v>0</v>
      </c>
      <c r="AC4">
        <f>Y4-Z4-AA4-AB4</f>
        <v>58990</v>
      </c>
      <c r="AD4">
        <f>_xlfn.XLOOKUP(B4,'[3]may-2025'!$A:$A,'[3]may-2025'!$C:$C,0,0)</f>
        <v>47300</v>
      </c>
      <c r="AE4">
        <f>AD4*0.18</f>
        <v>8514</v>
      </c>
      <c r="AF4">
        <f>AD4*0.12</f>
        <v>5676</v>
      </c>
      <c r="AG4">
        <f>_xlfn.XLOOKUP(B4,'[3]may-2025'!$A:$A,'[3]may-2025'!$D:$D,0,0)</f>
        <v>0</v>
      </c>
      <c r="AH4">
        <f>_xlfn.XLOOKUP(B4,'[3]may-2025'!$A:$A,'[3]may-2025'!$G:$G,0,0)</f>
        <v>500</v>
      </c>
      <c r="AI4">
        <f>IF(AD4&gt;0,SUM(AD4:AH4),0)</f>
        <v>61990</v>
      </c>
      <c r="AJ4">
        <f>_xlfn.XLOOKUP(B4,'[3]may-2025'!$A:$A,'[3]may-2025'!$H:$H,0,0)</f>
        <v>3000</v>
      </c>
      <c r="AK4">
        <f>_xlfn.XLOOKUP(B4,'[3]may-2025'!$A:$A,'[3]may-2025'!$I:$I,0,0)</f>
        <v>0</v>
      </c>
      <c r="AL4">
        <f>IF($F4="YES",0,IF(AI4&gt;40000,200,IF(AI4&gt;25000,150,IF(AI4&gt;15000,130,IF(AI4&gt;10000,110,0)))))</f>
        <v>0</v>
      </c>
      <c r="AM4">
        <f>AI4-AJ4-AK4-AL4</f>
        <v>58990</v>
      </c>
      <c r="AN4">
        <f>_xlfn.XLOOKUP(B4,'[4]june-2025'!$A:$A,'[4]june-2025'!$C:$C,0,0)</f>
        <v>47300</v>
      </c>
      <c r="AO4">
        <f>AN4*0.18</f>
        <v>8514</v>
      </c>
      <c r="AP4">
        <f>AN4*0.12</f>
        <v>5676</v>
      </c>
      <c r="AQ4">
        <f>_xlfn.XLOOKUP(B4,'[4]june-2025'!$A:$A,'[4]june-2025'!$D:$D,0,0)</f>
        <v>0</v>
      </c>
      <c r="AR4">
        <f>_xlfn.XLOOKUP(B4,'[4]june-2025'!$A:$A,'[4]june-2025'!$G:$G,0,0)</f>
        <v>500</v>
      </c>
      <c r="AS4">
        <f>IF(AN4&gt;0,SUM(AN4:AR4),0)</f>
        <v>61990</v>
      </c>
      <c r="AT4">
        <f>_xlfn.XLOOKUP(B4,'[4]june-2025'!$A:$A,'[4]june-2025'!$H:$H,0,0)</f>
        <v>3000</v>
      </c>
      <c r="AU4">
        <f>_xlfn.XLOOKUP(B4,'[4]june-2025'!$A:$A,'[4]june-2025'!$I:$I,0,0)</f>
        <v>0</v>
      </c>
      <c r="AV4">
        <f>IF($F4="YES",0,IF(AS4&gt;40000,200,IF(AS4&gt;25000,150,IF(AS4&gt;15000,130,IF(AS4&gt;10000,110,0)))))</f>
        <v>0</v>
      </c>
      <c r="AW4">
        <f>AS4-AT4-AU4-AV4</f>
        <v>58990</v>
      </c>
      <c r="AX4">
        <f>_xlfn.XLOOKUP(B4,'[5]july-2025'!$A:$A,'[5]july-2025'!$C:$C,0,0)</f>
        <v>48700</v>
      </c>
      <c r="AY4">
        <f>AX4*0.18</f>
        <v>8766</v>
      </c>
      <c r="AZ4">
        <v>0</v>
      </c>
      <c r="BA4">
        <f>AX4*0.12</f>
        <v>5844</v>
      </c>
      <c r="BB4">
        <f>_xlfn.XLOOKUP(B4,'[5]july-2025'!$A:$A,'[5]july-2025'!$D:$D,0,0)</f>
        <v>0</v>
      </c>
      <c r="BC4">
        <f>_xlfn.XLOOKUP(B4,'[5]july-2025'!$A:$A,'[5]july-2025'!$G:$G,0,0)</f>
        <v>500</v>
      </c>
      <c r="BD4">
        <f>IF(AX4&gt;0,SUM(AX4:BC4),0)</f>
        <v>63810</v>
      </c>
      <c r="BE4">
        <f>_xlfn.XLOOKUP(B4,'[5]july-2025'!$A:$A,'[5]july-2025'!$H:$H,0,0)</f>
        <v>3000</v>
      </c>
      <c r="BF4">
        <f>_xlfn.XLOOKUP(B4,'[5]july-2025'!$A:$A,'[5]july-2025'!$I:$I,0,0)</f>
        <v>0</v>
      </c>
      <c r="BG4">
        <f>IF($F4="YES",0,IF(BD4&gt;40000,200,IF(BD4&gt;25000,150,IF(BD4&gt;15000,130,IF(BD4&gt;10000,110,0)))))</f>
        <v>0</v>
      </c>
      <c r="BH4">
        <f>BD4-BE4-BF4-BG4</f>
        <v>60810</v>
      </c>
      <c r="BI4">
        <f>_xlfn.XLOOKUP(B4,'[6]august-2025'!$A:$A,'[6]august-2025'!$C:$C,0,0)</f>
        <v>48700</v>
      </c>
      <c r="BJ4">
        <f>BI4*0.18</f>
        <v>8766</v>
      </c>
      <c r="BK4">
        <f>BI4*0.12</f>
        <v>5844</v>
      </c>
      <c r="BL4">
        <f>_xlfn.XLOOKUP(B4,'[6]august-2025'!$A:$A,'[6]august-2025'!$D:$D,0,0)</f>
        <v>0</v>
      </c>
      <c r="BM4">
        <f>_xlfn.XLOOKUP(B4,'[6]august-2025'!$A:$A,'[6]august-2025'!$G:$G,0,0)</f>
        <v>500</v>
      </c>
      <c r="BN4">
        <f>IF(BI4&gt;0,SUM(BI4:BM4),0)</f>
        <v>63810</v>
      </c>
      <c r="BO4">
        <f>_xlfn.XLOOKUP(B4,'[6]august-2025'!$A:$A,'[6]august-2025'!$H:$H,0,0)</f>
        <v>3000</v>
      </c>
      <c r="BP4">
        <f>_xlfn.XLOOKUP(B4,'[6]august-2025'!$A:$A,'[6]august-2025'!$I:$I,0,0)</f>
        <v>0</v>
      </c>
      <c r="BQ4">
        <f>IF($F4="YES",0,IF(BN4&gt;40000,200,IF(BN4&gt;25000,150,IF(BN4&gt;15000,130,IF(BN4&gt;10000,110,0)))))</f>
        <v>0</v>
      </c>
      <c r="BR4">
        <f>BN4-BO4-BP4-BQ4</f>
        <v>60810</v>
      </c>
      <c r="BS4">
        <f>_xlfn.XLOOKUP(B4,'[7]september-2025'!$A:$A,'[7]september-2025'!$C:$C,0,0)</f>
        <v>48700</v>
      </c>
      <c r="BT4">
        <f>BS4*0.18</f>
        <v>8766</v>
      </c>
      <c r="BU4">
        <f>BS4*0.12</f>
        <v>5844</v>
      </c>
      <c r="BV4">
        <f>_xlfn.XLOOKUP(B4,'[7]september-2025'!$A:$A,'[7]september-2025'!$D:$D,0,0)</f>
        <v>0</v>
      </c>
      <c r="BW4">
        <f>_xlfn.XLOOKUP(B4,'[7]september-2025'!$A:$A,'[7]september-2025'!$G:$G,0,0)</f>
        <v>500</v>
      </c>
      <c r="BX4">
        <f>IF(BS4&gt;0,SUM(BS4:BW4),0)</f>
        <v>63810</v>
      </c>
      <c r="BY4">
        <f>_xlfn.XLOOKUP(B4,'[7]september-2025'!$A:$A,'[7]september-2025'!$H:$H,0,0)</f>
        <v>3000</v>
      </c>
      <c r="BZ4">
        <f>_xlfn.XLOOKUP(B4,'[7]september-2025'!$A:$A,'[7]september-2025'!$I:$I,0,0)</f>
        <v>0</v>
      </c>
      <c r="CA4">
        <f>IF($F4="YES",0,IF(BX4&gt;40000,200,IF(BX4&gt;25000,150,IF(BX4&gt;15000,130,IF(BX4&gt;10000,110,0)))))</f>
        <v>0</v>
      </c>
      <c r="CB4">
        <f>BX4-BY4-BZ4-CA4</f>
        <v>60810</v>
      </c>
      <c r="CC4">
        <f>_xlfn.XLOOKUP(B4,'[8]october-2025'!$A:$A,'[8]october-2025'!$C:$C,0,0)</f>
        <v>48700</v>
      </c>
      <c r="CD4">
        <f>CC4*0.18</f>
        <v>8766</v>
      </c>
      <c r="CE4">
        <f>CC4*0.12</f>
        <v>5844</v>
      </c>
      <c r="CF4">
        <f>_xlfn.XLOOKUP(B4,'[8]october-2025'!$A:$A,'[8]october-2025'!$D:$D,0,0)</f>
        <v>0</v>
      </c>
      <c r="CG4">
        <f>_xlfn.XLOOKUP(B4,'[8]october-2025'!$A:$A,'[8]october-2025'!$G:$G,0,0)</f>
        <v>500</v>
      </c>
      <c r="CH4">
        <f>IF(CC4&gt;0,SUM(CC4:CG4),0)</f>
        <v>63810</v>
      </c>
      <c r="CI4">
        <f>_xlfn.XLOOKUP(B4,'[8]october-2025'!$A:$A,'[8]october-2025'!$H:$H,0,0)</f>
        <v>3000</v>
      </c>
      <c r="CJ4">
        <f>_xlfn.XLOOKUP(B4,'[8]october-2025'!$A:$A,'[8]october-2025'!$I:$I,0,0)</f>
        <v>0</v>
      </c>
      <c r="CK4">
        <f>IF($F4="YES",0,IF(CH4&gt;40000,200,IF(CH4&gt;25000,150,IF(CH4&gt;15000,130,IF(CH4&gt;10000,110,0)))))</f>
        <v>0</v>
      </c>
      <c r="CL4">
        <f>CH4-CI4-CJ4-CK4</f>
        <v>60810</v>
      </c>
      <c r="CM4">
        <f>_xlfn.XLOOKUP(B4,'[9]november-2025'!$A:$A,'[9]november-2025'!$C:$C,0,0)</f>
        <v>48700</v>
      </c>
      <c r="CN4">
        <f>CM4*0.18</f>
        <v>8766</v>
      </c>
      <c r="CO4">
        <f>CM4*0.12</f>
        <v>5844</v>
      </c>
      <c r="CP4">
        <f>_xlfn.XLOOKUP(B4,'[9]november-2025'!$A:$A,'[9]november-2025'!$D:$D,0,0)</f>
        <v>0</v>
      </c>
      <c r="CQ4">
        <f>_xlfn.XLOOKUP(B4,'[9]november-2025'!$A:$A,'[9]november-2025'!$G:$G,0,0)</f>
        <v>500</v>
      </c>
      <c r="CR4">
        <f>IF(CM4&gt;0,SUM(CM4:CQ4),0)</f>
        <v>63810</v>
      </c>
      <c r="CS4">
        <f>_xlfn.XLOOKUP(B4,'[9]november-2025'!$A:$A,'[9]november-2025'!$H:$H,0,0)</f>
        <v>3000</v>
      </c>
      <c r="CT4">
        <f>_xlfn.XLOOKUP(B4,'[9]november-2025'!$A:$A,'[9]november-2025'!$I:$I,0,0)</f>
        <v>0</v>
      </c>
      <c r="CU4">
        <f>IF($F4="YES",0,IF(CR4&gt;40000,200,IF(CR4&gt;25000,150,IF(CR4&gt;15000,130,IF(CR4&gt;10000,110,0)))))</f>
        <v>0</v>
      </c>
      <c r="CV4">
        <f>CR4-CS4-CT4-CU4</f>
        <v>60810</v>
      </c>
      <c r="CW4">
        <f>_xlfn.XLOOKUP(B4,'[10]december-2025'!$A:$A,'[10]december-2025'!$C:$C,0,0)</f>
        <v>48700</v>
      </c>
      <c r="CX4">
        <f>ROUND(CW4*0.18,0)</f>
        <v>8766</v>
      </c>
      <c r="CY4">
        <f>ROUND(CW4*0.12,0)</f>
        <v>5844</v>
      </c>
      <c r="CZ4">
        <f>_xlfn.XLOOKUP(B4,'[10]december-2025'!$A:$A,'[10]december-2025'!$D:$D,0,0)</f>
        <v>0</v>
      </c>
      <c r="DA4">
        <f>_xlfn.XLOOKUP(B4,'[10]december-2025'!$A:$A,'[10]december-2025'!$G:$G,0,0)</f>
        <v>500</v>
      </c>
      <c r="DB4">
        <f>IF(CW4&gt;0,SUM(CW4:DA4),0)</f>
        <v>63810</v>
      </c>
      <c r="DC4">
        <f>_xlfn.XLOOKUP(B4,'[10]december-2025'!$A:$A,'[10]december-2025'!$H:$H,0,0)</f>
        <v>3000</v>
      </c>
      <c r="DD4">
        <f>_xlfn.XLOOKUP(B4,'[10]december-2025'!$A:$A,'[10]december-2025'!$I:$I,0,0)</f>
        <v>0</v>
      </c>
      <c r="DE4">
        <f>IF($F4="YES",0,IF(DB4&gt;40000,200,IF(DB4&gt;25000,150,IF(DB4&gt;15000,130,IF(DB4&gt;10000,110,0)))))</f>
        <v>0</v>
      </c>
      <c r="DF4">
        <f>DB4-DC4-DD4-DE4</f>
        <v>60810</v>
      </c>
      <c r="DG4">
        <f>_xlfn.XLOOKUP(B4,'[11]january-2026'!$A:$A,'[11]january-2026'!$C:$C,0,0)</f>
        <v>48700</v>
      </c>
      <c r="DH4">
        <f>DG4*0.18</f>
        <v>8766</v>
      </c>
      <c r="DI4">
        <f>DG4*0.12</f>
        <v>5844</v>
      </c>
      <c r="DJ4">
        <f>_xlfn.XLOOKUP(B4,'[11]january-2026'!$A:$A,'[11]january-2026'!$D:$D,0,0)</f>
        <v>0</v>
      </c>
      <c r="DK4">
        <f>_xlfn.XLOOKUP(B4,'[11]january-2026'!$A:$A,'[11]january-2026'!$G:$G,0,0)</f>
        <v>500</v>
      </c>
      <c r="DL4">
        <f>IF(DG4&gt;0,SUM(DG4:DK4),0)</f>
        <v>63810</v>
      </c>
      <c r="DM4">
        <f>_xlfn.XLOOKUP(B4,'[11]january-2026'!$A:$A,'[11]january-2026'!$H:$H,0,0)</f>
        <v>3000</v>
      </c>
      <c r="DN4">
        <f>_xlfn.XLOOKUP(B4,'[11]january-2026'!$A:$A,'[11]january-2026'!$I:$I,0,0)</f>
        <v>0</v>
      </c>
      <c r="DO4">
        <f>IF($F4="YES",0,IF(DL4&gt;40000,200,IF(DL4&gt;25000,150,IF(DL4&gt;15000,130,IF(DL4&gt;10000,110,0)))))</f>
        <v>0</v>
      </c>
      <c r="DP4">
        <f>DL4-DM4-DN4-DO4</f>
        <v>60810</v>
      </c>
      <c r="DQ4">
        <f>_xlfn.XLOOKUP(B4,'[12]february-2026'!$A:$A,'[12]february-2026'!$C:$C,0,0)</f>
        <v>48700</v>
      </c>
      <c r="DR4">
        <f>DQ4*0.18</f>
        <v>8766</v>
      </c>
      <c r="DS4">
        <f>DQ4*0.12</f>
        <v>5844</v>
      </c>
      <c r="DT4">
        <f>_xlfn.XLOOKUP(B4,'[12]february-2026'!$A:$A,'[12]february-2026'!$D:$D,0,0)</f>
        <v>0</v>
      </c>
      <c r="DU4">
        <f>_xlfn.XLOOKUP(B4,'[12]february-2026'!$A:$A,'[12]february-2026'!$G:$G,0,0)</f>
        <v>500</v>
      </c>
      <c r="DV4">
        <f>IF(DQ4&gt;0,SUM(DQ4:DU4),0)</f>
        <v>63810</v>
      </c>
      <c r="DW4">
        <f>_xlfn.XLOOKUP(B4,'[12]february-2026'!$A:$A,'[12]february-2026'!$H:$H,0,0)</f>
        <v>3000</v>
      </c>
      <c r="DX4">
        <f>_xlfn.XLOOKUP(B4,'[12]february-2026'!$A:$A,'[12]february-2026'!$I:$I,0,0)</f>
        <v>0</v>
      </c>
      <c r="DY4">
        <f>IF($F4="YES",0,IF(DV4&gt;40000,200,IF(DV4&gt;25000,150,IF(DV4&gt;15000,130,IF(DV4&gt;10000,110,0)))))</f>
        <v>0</v>
      </c>
      <c r="DZ4">
        <f>DV4-DW4-DX4-DY4</f>
        <v>60810</v>
      </c>
      <c r="EA4">
        <f>DV4+DL4+DB4+CR4+CH4+BX4+BN4+BD4+AS4+AI4+Y4+O4+H4+I4</f>
        <v>763348</v>
      </c>
      <c r="EB4">
        <f>DY4+DO4+DE4+CU4+CK4+CA4+BQ4+BG4+AV4+AL4+AB4+R4</f>
        <v>0</v>
      </c>
      <c r="EC4">
        <f>IF(EA4&gt;0,50000,0)</f>
        <v>50000</v>
      </c>
      <c r="ED4">
        <v>0</v>
      </c>
      <c r="EE4">
        <f>EA4-EB4-EC4</f>
        <v>713348</v>
      </c>
      <c r="EF4">
        <f>DW4+DM4+DC4+CS4+CI4+BY4+BO4+BE4+AT4+AJ4+Z4+P4</f>
        <v>36000</v>
      </c>
      <c r="EG4">
        <f>DX4+DN4+DD4+CT4+CJ4+BZ4+BP4+BF4+AU4+AK4+AA4+Q4</f>
        <v>0</v>
      </c>
      <c r="EH4">
        <v>0</v>
      </c>
      <c r="EI4">
        <v>0</v>
      </c>
      <c r="EJ4">
        <v>0</v>
      </c>
      <c r="EK4">
        <v>0</v>
      </c>
      <c r="EL4">
        <v>0</v>
      </c>
      <c r="EM4">
        <v>0</v>
      </c>
      <c r="EN4">
        <v>0</v>
      </c>
      <c r="EO4">
        <v>0</v>
      </c>
      <c r="EP4">
        <v>0</v>
      </c>
      <c r="EQ4">
        <v>0</v>
      </c>
      <c r="ER4">
        <f>SUM(EF4:EQ4)</f>
        <v>36000</v>
      </c>
      <c r="ES4">
        <f>IF(ER4&gt;=150000,150000,ER4)</f>
        <v>36000</v>
      </c>
      <c r="ET4">
        <f>EE4-ES4</f>
        <v>677348</v>
      </c>
      <c r="EU4">
        <v>0</v>
      </c>
      <c r="EV4">
        <v>0</v>
      </c>
      <c r="EW4">
        <v>0</v>
      </c>
      <c r="EX4">
        <v>0</v>
      </c>
      <c r="EY4">
        <v>0</v>
      </c>
      <c r="EZ4">
        <v>0</v>
      </c>
      <c r="FA4">
        <v>0</v>
      </c>
      <c r="FB4">
        <f>SUM(EU4:FA4)+(IF(F4="YES",50000,0))</f>
        <v>50000</v>
      </c>
      <c r="FC4">
        <f>ET4-FB4</f>
        <v>627348</v>
      </c>
      <c r="FD4">
        <f>ROUND(IF(FC4&gt;0,IF(FC4&gt;500000,12500,(FC4-250000)*0.05),0),0)</f>
        <v>12500</v>
      </c>
      <c r="FE4">
        <f>IF(ROUND(IF(FC4&gt;0,IF(FC4&gt;1000000,25000,(FC4-500000)*0.2),0),0)&lt;0,0,ROUND(IF(FC4&gt;0,IF(FC4&gt;1000000,25000,(FC4-500000)*0.2),0),0))</f>
        <v>25470</v>
      </c>
      <c r="FF4">
        <f>FD4+FE4</f>
        <v>37970</v>
      </c>
      <c r="FG4">
        <f>IF(FF4&lt;12500,0,FF4)</f>
        <v>37970</v>
      </c>
      <c r="FH4">
        <f>FG4*0.04</f>
        <v>1518.8</v>
      </c>
      <c r="FI4">
        <f>ROUND(FH4+FG4,0)</f>
        <v>39489</v>
      </c>
      <c r="FJ4">
        <v>0</v>
      </c>
      <c r="FK4">
        <f>FI4-FJ4</f>
        <v>39489</v>
      </c>
      <c r="FL4" t="b">
        <f>IF(EA4&gt;500000,TRUE,FALSE)</f>
        <v>1</v>
      </c>
      <c r="FM4">
        <f ca="1">IF(FL4,RANDBETWEEN(500,1000),RANDBETWEEN(1000,3000))</f>
        <v>633</v>
      </c>
      <c r="FN4">
        <f ca="1">EA4+FM4</f>
        <v>763981</v>
      </c>
      <c r="FO4">
        <f>IF(EA4&gt;0,75000,0)</f>
        <v>75000</v>
      </c>
      <c r="FP4">
        <f ca="1">FN4-FO4</f>
        <v>688981</v>
      </c>
      <c r="FQ4">
        <f ca="1">IF(FP4&gt;2400000,FP4-2400000,0)</f>
        <v>0</v>
      </c>
      <c r="FR4">
        <f ca="1">FQ4*0.3</f>
        <v>0</v>
      </c>
      <c r="FS4">
        <f ca="1">IF(FP4&gt;2000000,FP4-2000000,0)</f>
        <v>0</v>
      </c>
      <c r="FT4">
        <f ca="1">FS4*0.25</f>
        <v>0</v>
      </c>
      <c r="FU4">
        <f ca="1">IF(FP4&gt;1600000,FP4-1600000-FQ4,0)</f>
        <v>0</v>
      </c>
      <c r="FV4">
        <f ca="1">FU4*0.2</f>
        <v>0</v>
      </c>
      <c r="FW4">
        <f ca="1">IF(FP4&gt;1200000,FP4-1200000-IF(F4="YES",50000,0)-FU4,0)</f>
        <v>0</v>
      </c>
      <c r="FX4">
        <f ca="1">FW4*0.15</f>
        <v>0</v>
      </c>
      <c r="FY4">
        <f ca="1">IF(FP4&gt;800000,FP4-800000-FQ4-FU4-FW4,0)</f>
        <v>0</v>
      </c>
      <c r="FZ4">
        <f ca="1">FY4*0.1</f>
        <v>0</v>
      </c>
      <c r="GA4">
        <f ca="1">IF(FP4&gt;400000,FP4-400000-FQ4-FU4-FW4-FY4,0)</f>
        <v>288981</v>
      </c>
      <c r="GB4">
        <f ca="1">GA4*0.05</f>
        <v>14449.050000000001</v>
      </c>
      <c r="GC4">
        <f ca="1">ROUND(FR4+FT4+FV4+FX4+FZ4+GB4,0)</f>
        <v>14449</v>
      </c>
      <c r="GD4">
        <f ca="1">IF(FP4&gt;1200000,FP4,0)</f>
        <v>0</v>
      </c>
      <c r="GE4">
        <f ca="1">IF(FP4&gt;1200000,GD4-1200000,0)</f>
        <v>0</v>
      </c>
      <c r="GF4">
        <f ca="1">IF(FP4&lt;1200001,MIN(GC4,60000),0)</f>
        <v>14449</v>
      </c>
      <c r="GG4">
        <f ca="1">IF(FP4&gt;1200000,GC4-GE4,0)</f>
        <v>0</v>
      </c>
      <c r="GH4" t="b">
        <f ca="1">IF(GG4&gt;0,TRUE,FALSE)</f>
        <v>0</v>
      </c>
      <c r="GI4">
        <f ca="1">IF(GH4,GG4,0)</f>
        <v>0</v>
      </c>
      <c r="GJ4">
        <f ca="1">GF4+GI4</f>
        <v>14449</v>
      </c>
      <c r="GK4">
        <f ca="1">ROUND(GC4-GJ4,0)</f>
        <v>0</v>
      </c>
      <c r="GL4">
        <f ca="1">GK4*0.04</f>
        <v>0</v>
      </c>
      <c r="GM4">
        <f ca="1">ROUNDUP(GK4+GL4,0)</f>
        <v>0</v>
      </c>
    </row>
    <row r="5" spans="1:195" x14ac:dyDescent="0.25">
      <c r="A5">
        <f>_xlfn.AGGREGATE(3,5,$B$2:B5)</f>
        <v>4</v>
      </c>
      <c r="B5" t="s">
        <v>130</v>
      </c>
      <c r="C5" t="s">
        <v>131</v>
      </c>
      <c r="D5" t="s">
        <v>750</v>
      </c>
      <c r="E5" t="s">
        <v>833</v>
      </c>
      <c r="F5" t="s">
        <v>959</v>
      </c>
      <c r="G5" t="s">
        <v>879</v>
      </c>
      <c r="H5">
        <f>IF(_xlfn.DAYS("31-03-2025",G5)&gt;=180,6800,0)</f>
        <v>6800</v>
      </c>
      <c r="I5">
        <f>_xlfn.XLOOKUP(B5,'[1]march-2025'!$A:$A,'[1]march-2025'!$J:$J,0,0)</f>
        <v>0</v>
      </c>
      <c r="J5">
        <f>_xlfn.XLOOKUP(B5,'[1]march-2025'!$A:$A,'[1]march-2025'!$C:$C,0,0)</f>
        <v>25400</v>
      </c>
      <c r="K5">
        <f>J5*0.14</f>
        <v>3556.0000000000005</v>
      </c>
      <c r="L5">
        <f>J5*0.12</f>
        <v>3048</v>
      </c>
      <c r="M5">
        <f>_xlfn.XLOOKUP(B5,'[1]march-2025'!$A:$A,'[1]march-2025'!$D:$D,0,0)</f>
        <v>0</v>
      </c>
      <c r="N5">
        <f>_xlfn.XLOOKUP(B5,'[1]march-2025'!$A:$A,'[1]march-2025'!$G:$G,0,0)</f>
        <v>500</v>
      </c>
      <c r="O5">
        <f>IF(J5&gt;0,SUM(J5:N5),0)</f>
        <v>32504</v>
      </c>
      <c r="P5">
        <f>_xlfn.XLOOKUP(B5,'[1]march-2025'!$A:$A,'[1]march-2025'!$H:$H,0,0)</f>
        <v>2000</v>
      </c>
      <c r="Q5">
        <f>_xlfn.XLOOKUP(B5,'[1]march-2025'!$A:$A,'[1]march-2025'!$I:$I,0,0)</f>
        <v>0</v>
      </c>
      <c r="R5">
        <f>IF($F5="YES",0,IF(O5&gt;40000,200,IF(O5&gt;25000,150,IF(O5&gt;15000,130,IF(O5&gt;10000,110,0)))))</f>
        <v>150</v>
      </c>
      <c r="S5">
        <f>O5-P5-Q5-R5</f>
        <v>30354</v>
      </c>
      <c r="T5">
        <f>_xlfn.XLOOKUP(B5,'[2]april-2025'!$A:$A,'[2]april-2025'!$C:$C,0,0)</f>
        <v>25400</v>
      </c>
      <c r="U5">
        <f>T5*0.18</f>
        <v>4572</v>
      </c>
      <c r="V5">
        <f>T5*0.12</f>
        <v>3048</v>
      </c>
      <c r="W5">
        <f>_xlfn.XLOOKUP(B5,'[2]april-2025'!$A:$A,'[2]april-2025'!$D:$D,0,0)</f>
        <v>0</v>
      </c>
      <c r="X5">
        <f>_xlfn.XLOOKUP(B5,'[2]april-2025'!$A:$A,'[2]april-2025'!$G:$G,0,0)</f>
        <v>500</v>
      </c>
      <c r="Y5">
        <f>IF(T5&gt;0,SUM(T5:X5),0)</f>
        <v>33520</v>
      </c>
      <c r="Z5">
        <f>_xlfn.XLOOKUP(B5,'[2]april-2025'!$A:$A,'[2]april-2025'!$H:$H,0,0)</f>
        <v>2000</v>
      </c>
      <c r="AA5">
        <f>_xlfn.XLOOKUP(B5,'[2]april-2025'!$A:$A,'[2]april-2025'!$I:$I,0,0)</f>
        <v>0</v>
      </c>
      <c r="AB5">
        <f>IF($F5="YES",0,IF(Y5&gt;40000,200,IF(Y5&gt;25000,150,IF(Y5&gt;15000,130,IF(Y5&gt;10000,110,0)))))</f>
        <v>150</v>
      </c>
      <c r="AC5">
        <f>Y5-Z5-AA5-AB5</f>
        <v>31370</v>
      </c>
      <c r="AD5">
        <f>_xlfn.XLOOKUP(B5,'[3]may-2025'!$A:$A,'[3]may-2025'!$C:$C,0,0)</f>
        <v>25400</v>
      </c>
      <c r="AE5">
        <f>AD5*0.18</f>
        <v>4572</v>
      </c>
      <c r="AF5">
        <f>AD5*0.12</f>
        <v>3048</v>
      </c>
      <c r="AG5">
        <f>_xlfn.XLOOKUP(B5,'[3]may-2025'!$A:$A,'[3]may-2025'!$D:$D,0,0)</f>
        <v>0</v>
      </c>
      <c r="AH5">
        <f>_xlfn.XLOOKUP(B5,'[3]may-2025'!$A:$A,'[3]may-2025'!$G:$G,0,0)</f>
        <v>500</v>
      </c>
      <c r="AI5">
        <f>IF(AD5&gt;0,SUM(AD5:AH5),0)</f>
        <v>33520</v>
      </c>
      <c r="AJ5">
        <f>_xlfn.XLOOKUP(B5,'[3]may-2025'!$A:$A,'[3]may-2025'!$H:$H,0,0)</f>
        <v>2000</v>
      </c>
      <c r="AK5">
        <f>_xlfn.XLOOKUP(B5,'[3]may-2025'!$A:$A,'[3]may-2025'!$I:$I,0,0)</f>
        <v>0</v>
      </c>
      <c r="AL5">
        <f>IF($F5="YES",0,IF(AI5&gt;40000,200,IF(AI5&gt;25000,150,IF(AI5&gt;15000,130,IF(AI5&gt;10000,110,0)))))</f>
        <v>150</v>
      </c>
      <c r="AM5">
        <f>AI5-AJ5-AK5-AL5</f>
        <v>31370</v>
      </c>
      <c r="AN5">
        <f>_xlfn.XLOOKUP(B5,'[4]june-2025'!$A:$A,'[4]june-2025'!$C:$C,0,0)</f>
        <v>25400</v>
      </c>
      <c r="AO5">
        <f>AN5*0.18</f>
        <v>4572</v>
      </c>
      <c r="AP5">
        <f>AN5*0.12</f>
        <v>3048</v>
      </c>
      <c r="AQ5">
        <f>_xlfn.XLOOKUP(B5,'[4]june-2025'!$A:$A,'[4]june-2025'!$D:$D,0,0)</f>
        <v>0</v>
      </c>
      <c r="AR5">
        <f>_xlfn.XLOOKUP(B5,'[4]june-2025'!$A:$A,'[4]june-2025'!$G:$G,0,0)</f>
        <v>500</v>
      </c>
      <c r="AS5">
        <f>IF(AN5&gt;0,SUM(AN5:AR5),0)</f>
        <v>33520</v>
      </c>
      <c r="AT5">
        <f>_xlfn.XLOOKUP(B5,'[4]june-2025'!$A:$A,'[4]june-2025'!$H:$H,0,0)</f>
        <v>2000</v>
      </c>
      <c r="AU5">
        <f>_xlfn.XLOOKUP(B5,'[4]june-2025'!$A:$A,'[4]june-2025'!$I:$I,0,0)</f>
        <v>0</v>
      </c>
      <c r="AV5">
        <f>IF($F5="YES",0,IF(AS5&gt;40000,200,IF(AS5&gt;25000,150,IF(AS5&gt;15000,130,IF(AS5&gt;10000,110,0)))))</f>
        <v>150</v>
      </c>
      <c r="AW5">
        <f>AS5-AT5-AU5-AV5</f>
        <v>31370</v>
      </c>
      <c r="AX5">
        <f>_xlfn.XLOOKUP(B5,'[5]july-2025'!$A:$A,'[5]july-2025'!$C:$C,0,0)</f>
        <v>26200</v>
      </c>
      <c r="AY5">
        <f>AX5*0.18</f>
        <v>4716</v>
      </c>
      <c r="AZ5">
        <v>0</v>
      </c>
      <c r="BA5">
        <f>AX5*0.12</f>
        <v>3144</v>
      </c>
      <c r="BB5">
        <f>_xlfn.XLOOKUP(B5,'[5]july-2025'!$A:$A,'[5]july-2025'!$D:$D,0,0)</f>
        <v>0</v>
      </c>
      <c r="BC5">
        <f>_xlfn.XLOOKUP(B5,'[5]july-2025'!$A:$A,'[5]july-2025'!$G:$G,0,0)</f>
        <v>500</v>
      </c>
      <c r="BD5">
        <f>IF(AX5&gt;0,SUM(AX5:BC5),0)</f>
        <v>34560</v>
      </c>
      <c r="BE5">
        <f>_xlfn.XLOOKUP(B5,'[5]july-2025'!$A:$A,'[5]july-2025'!$H:$H,0,0)</f>
        <v>2000</v>
      </c>
      <c r="BF5">
        <f>_xlfn.XLOOKUP(B5,'[5]july-2025'!$A:$A,'[5]july-2025'!$I:$I,0,0)</f>
        <v>0</v>
      </c>
      <c r="BG5">
        <f>IF($F5="YES",0,IF(BD5&gt;40000,200,IF(BD5&gt;25000,150,IF(BD5&gt;15000,130,IF(BD5&gt;10000,110,0)))))</f>
        <v>150</v>
      </c>
      <c r="BH5">
        <f>BD5-BE5-BF5-BG5</f>
        <v>32410</v>
      </c>
      <c r="BI5">
        <f>_xlfn.XLOOKUP(B5,'[6]august-2025'!$A:$A,'[6]august-2025'!$C:$C,0,0)</f>
        <v>26200</v>
      </c>
      <c r="BJ5">
        <f>BI5*0.18</f>
        <v>4716</v>
      </c>
      <c r="BK5">
        <f>BI5*0.12</f>
        <v>3144</v>
      </c>
      <c r="BL5">
        <f>_xlfn.XLOOKUP(B5,'[6]august-2025'!$A:$A,'[6]august-2025'!$D:$D,0,0)</f>
        <v>0</v>
      </c>
      <c r="BM5">
        <f>_xlfn.XLOOKUP(B5,'[6]august-2025'!$A:$A,'[6]august-2025'!$G:$G,0,0)</f>
        <v>500</v>
      </c>
      <c r="BN5">
        <f>IF(BI5&gt;0,SUM(BI5:BM5),0)</f>
        <v>34560</v>
      </c>
      <c r="BO5">
        <f>_xlfn.XLOOKUP(B5,'[6]august-2025'!$A:$A,'[6]august-2025'!$H:$H,0,0)</f>
        <v>2000</v>
      </c>
      <c r="BP5">
        <f>_xlfn.XLOOKUP(B5,'[6]august-2025'!$A:$A,'[6]august-2025'!$I:$I,0,0)</f>
        <v>0</v>
      </c>
      <c r="BQ5">
        <f>IF($F5="YES",0,IF(BN5&gt;40000,200,IF(BN5&gt;25000,150,IF(BN5&gt;15000,130,IF(BN5&gt;10000,110,0)))))</f>
        <v>150</v>
      </c>
      <c r="BR5">
        <f>BN5-BO5-BP5-BQ5</f>
        <v>32410</v>
      </c>
      <c r="BS5">
        <f>_xlfn.XLOOKUP(B5,'[7]september-2025'!$A:$A,'[7]september-2025'!$C:$C,0,0)</f>
        <v>26200</v>
      </c>
      <c r="BT5">
        <f>BS5*0.18</f>
        <v>4716</v>
      </c>
      <c r="BU5">
        <f>BS5*0.12</f>
        <v>3144</v>
      </c>
      <c r="BV5">
        <f>_xlfn.XLOOKUP(B5,'[7]september-2025'!$A:$A,'[7]september-2025'!$D:$D,0,0)</f>
        <v>0</v>
      </c>
      <c r="BW5">
        <f>_xlfn.XLOOKUP(B5,'[7]september-2025'!$A:$A,'[7]september-2025'!$G:$G,0,0)</f>
        <v>500</v>
      </c>
      <c r="BX5">
        <f>IF(BS5&gt;0,SUM(BS5:BW5),0)</f>
        <v>34560</v>
      </c>
      <c r="BY5">
        <f>_xlfn.XLOOKUP(B5,'[7]september-2025'!$A:$A,'[7]september-2025'!$H:$H,0,0)</f>
        <v>2000</v>
      </c>
      <c r="BZ5">
        <f>_xlfn.XLOOKUP(B5,'[7]september-2025'!$A:$A,'[7]september-2025'!$I:$I,0,0)</f>
        <v>0</v>
      </c>
      <c r="CA5">
        <f>IF($F5="YES",0,IF(BX5&gt;40000,200,IF(BX5&gt;25000,150,IF(BX5&gt;15000,130,IF(BX5&gt;10000,110,0)))))</f>
        <v>150</v>
      </c>
      <c r="CB5">
        <f>BX5-BY5-BZ5-CA5</f>
        <v>32410</v>
      </c>
      <c r="CC5">
        <f>_xlfn.XLOOKUP(B5,'[8]october-2025'!$A:$A,'[8]october-2025'!$C:$C,0,0)</f>
        <v>26200</v>
      </c>
      <c r="CD5">
        <f>CC5*0.18</f>
        <v>4716</v>
      </c>
      <c r="CE5">
        <f>CC5*0.12</f>
        <v>3144</v>
      </c>
      <c r="CF5">
        <f>_xlfn.XLOOKUP(B5,'[8]october-2025'!$A:$A,'[8]october-2025'!$D:$D,0,0)</f>
        <v>0</v>
      </c>
      <c r="CG5">
        <f>_xlfn.XLOOKUP(B5,'[8]october-2025'!$A:$A,'[8]october-2025'!$G:$G,0,0)</f>
        <v>500</v>
      </c>
      <c r="CH5">
        <f>IF(CC5&gt;0,SUM(CC5:CG5),0)</f>
        <v>34560</v>
      </c>
      <c r="CI5">
        <f>_xlfn.XLOOKUP(B5,'[8]october-2025'!$A:$A,'[8]october-2025'!$H:$H,0,0)</f>
        <v>2000</v>
      </c>
      <c r="CJ5">
        <f>_xlfn.XLOOKUP(B5,'[8]october-2025'!$A:$A,'[8]october-2025'!$I:$I,0,0)</f>
        <v>0</v>
      </c>
      <c r="CK5">
        <f>IF($F5="YES",0,IF(CH5&gt;40000,200,IF(CH5&gt;25000,150,IF(CH5&gt;15000,130,IF(CH5&gt;10000,110,0)))))</f>
        <v>150</v>
      </c>
      <c r="CL5">
        <f>CH5-CI5-CJ5-CK5</f>
        <v>32410</v>
      </c>
      <c r="CM5">
        <f>_xlfn.XLOOKUP(B5,'[9]november-2025'!$A:$A,'[9]november-2025'!$C:$C,0,0)</f>
        <v>26200</v>
      </c>
      <c r="CN5">
        <f>CM5*0.18</f>
        <v>4716</v>
      </c>
      <c r="CO5">
        <f>CM5*0.12</f>
        <v>3144</v>
      </c>
      <c r="CP5">
        <f>_xlfn.XLOOKUP(B5,'[9]november-2025'!$A:$A,'[9]november-2025'!$D:$D,0,0)</f>
        <v>0</v>
      </c>
      <c r="CQ5">
        <f>_xlfn.XLOOKUP(B5,'[9]november-2025'!$A:$A,'[9]november-2025'!$G:$G,0,0)</f>
        <v>500</v>
      </c>
      <c r="CR5">
        <f>IF(CM5&gt;0,SUM(CM5:CQ5),0)</f>
        <v>34560</v>
      </c>
      <c r="CS5">
        <f>_xlfn.XLOOKUP(B5,'[9]november-2025'!$A:$A,'[9]november-2025'!$H:$H,0,0)</f>
        <v>2000</v>
      </c>
      <c r="CT5">
        <f>_xlfn.XLOOKUP(B5,'[9]november-2025'!$A:$A,'[9]november-2025'!$I:$I,0,0)</f>
        <v>0</v>
      </c>
      <c r="CU5">
        <f>IF($F5="YES",0,IF(CR5&gt;40000,200,IF(CR5&gt;25000,150,IF(CR5&gt;15000,130,IF(CR5&gt;10000,110,0)))))</f>
        <v>150</v>
      </c>
      <c r="CV5">
        <f>CR5-CS5-CT5-CU5</f>
        <v>32410</v>
      </c>
      <c r="CW5">
        <f>_xlfn.XLOOKUP(B5,'[10]december-2025'!$A:$A,'[10]december-2025'!$C:$C,0,0)</f>
        <v>26200</v>
      </c>
      <c r="CX5">
        <f>ROUND(CW5*0.18,0)</f>
        <v>4716</v>
      </c>
      <c r="CY5">
        <f>ROUND(CW5*0.12,0)</f>
        <v>3144</v>
      </c>
      <c r="CZ5">
        <f>_xlfn.XLOOKUP(B5,'[10]december-2025'!$A:$A,'[10]december-2025'!$D:$D,0,0)</f>
        <v>0</v>
      </c>
      <c r="DA5">
        <f>_xlfn.XLOOKUP(B5,'[10]december-2025'!$A:$A,'[10]december-2025'!$G:$G,0,0)</f>
        <v>500</v>
      </c>
      <c r="DB5">
        <f>IF(CW5&gt;0,SUM(CW5:DA5),0)</f>
        <v>34560</v>
      </c>
      <c r="DC5">
        <f>_xlfn.XLOOKUP(B5,'[10]december-2025'!$A:$A,'[10]december-2025'!$H:$H,0,0)</f>
        <v>2000</v>
      </c>
      <c r="DD5">
        <f>_xlfn.XLOOKUP(B5,'[10]december-2025'!$A:$A,'[10]december-2025'!$I:$I,0,0)</f>
        <v>0</v>
      </c>
      <c r="DE5">
        <f>IF($F5="YES",0,IF(DB5&gt;40000,200,IF(DB5&gt;25000,150,IF(DB5&gt;15000,130,IF(DB5&gt;10000,110,0)))))</f>
        <v>150</v>
      </c>
      <c r="DF5">
        <f>DB5-DC5-DD5-DE5</f>
        <v>32410</v>
      </c>
      <c r="DG5">
        <f>_xlfn.XLOOKUP(B5,'[11]january-2026'!$A:$A,'[11]january-2026'!$C:$C,0,0)</f>
        <v>26200</v>
      </c>
      <c r="DH5">
        <f>DG5*0.18</f>
        <v>4716</v>
      </c>
      <c r="DI5">
        <f>DG5*0.12</f>
        <v>3144</v>
      </c>
      <c r="DJ5">
        <f>_xlfn.XLOOKUP(B5,'[11]january-2026'!$A:$A,'[11]january-2026'!$D:$D,0,0)</f>
        <v>0</v>
      </c>
      <c r="DK5">
        <f>_xlfn.XLOOKUP(B5,'[11]january-2026'!$A:$A,'[11]january-2026'!$G:$G,0,0)</f>
        <v>500</v>
      </c>
      <c r="DL5">
        <f>IF(DG5&gt;0,SUM(DG5:DK5),0)</f>
        <v>34560</v>
      </c>
      <c r="DM5">
        <f>_xlfn.XLOOKUP(B5,'[11]january-2026'!$A:$A,'[11]january-2026'!$H:$H,0,0)</f>
        <v>2000</v>
      </c>
      <c r="DN5">
        <f>_xlfn.XLOOKUP(B5,'[11]january-2026'!$A:$A,'[11]january-2026'!$I:$I,0,0)</f>
        <v>0</v>
      </c>
      <c r="DO5">
        <f>IF($F5="YES",0,IF(DL5&gt;40000,200,IF(DL5&gt;25000,150,IF(DL5&gt;15000,130,IF(DL5&gt;10000,110,0)))))</f>
        <v>150</v>
      </c>
      <c r="DP5">
        <f>DL5-DM5-DN5-DO5</f>
        <v>32410</v>
      </c>
      <c r="DQ5">
        <f>_xlfn.XLOOKUP(B5,'[12]february-2026'!$A:$A,'[12]february-2026'!$C:$C,0,0)</f>
        <v>26200</v>
      </c>
      <c r="DR5">
        <f>DQ5*0.18</f>
        <v>4716</v>
      </c>
      <c r="DS5">
        <f>DQ5*0.12</f>
        <v>3144</v>
      </c>
      <c r="DT5">
        <f>_xlfn.XLOOKUP(B5,'[12]february-2026'!$A:$A,'[12]february-2026'!$D:$D,0,0)</f>
        <v>0</v>
      </c>
      <c r="DU5">
        <f>_xlfn.XLOOKUP(B5,'[12]february-2026'!$A:$A,'[12]february-2026'!$G:$G,0,0)</f>
        <v>500</v>
      </c>
      <c r="DV5">
        <f>IF(DQ5&gt;0,SUM(DQ5:DU5),0)</f>
        <v>34560</v>
      </c>
      <c r="DW5">
        <f>_xlfn.XLOOKUP(B5,'[12]february-2026'!$A:$A,'[12]february-2026'!$H:$H,0,0)</f>
        <v>2000</v>
      </c>
      <c r="DX5">
        <f>_xlfn.XLOOKUP(B5,'[12]february-2026'!$A:$A,'[12]february-2026'!$I:$I,0,0)</f>
        <v>0</v>
      </c>
      <c r="DY5">
        <f>IF($F5="YES",0,IF(DV5&gt;40000,200,IF(DV5&gt;25000,150,IF(DV5&gt;15000,130,IF(DV5&gt;10000,110,0)))))</f>
        <v>150</v>
      </c>
      <c r="DZ5">
        <f>DV5-DW5-DX5-DY5</f>
        <v>32410</v>
      </c>
      <c r="EA5">
        <f>DV5+DL5+DB5+CR5+CH5+BX5+BN5+BD5+AS5+AI5+Y5+O5+H5+I5</f>
        <v>416344</v>
      </c>
      <c r="EB5">
        <f>DY5+DO5+DE5+CU5+CK5+CA5+BQ5+BG5+AV5+AL5+AB5+R5</f>
        <v>1800</v>
      </c>
      <c r="EC5">
        <f>IF(EA5&gt;0,50000,0)</f>
        <v>50000</v>
      </c>
      <c r="ED5">
        <v>0</v>
      </c>
      <c r="EE5">
        <f>EA5-EB5-EC5</f>
        <v>364544</v>
      </c>
      <c r="EF5">
        <f>DW5+DM5+DC5+CS5+CI5+BY5+BO5+BE5+AT5+AJ5+Z5+P5</f>
        <v>24000</v>
      </c>
      <c r="EG5">
        <f>DX5+DN5+DD5+CT5+CJ5+BZ5+BP5+BF5+AU5+AK5+AA5+Q5</f>
        <v>0</v>
      </c>
      <c r="EH5">
        <v>0</v>
      </c>
      <c r="EI5">
        <v>0</v>
      </c>
      <c r="EJ5">
        <v>0</v>
      </c>
      <c r="EK5">
        <v>0</v>
      </c>
      <c r="EL5">
        <v>0</v>
      </c>
      <c r="EM5">
        <v>0</v>
      </c>
      <c r="EN5">
        <v>0</v>
      </c>
      <c r="EO5">
        <v>0</v>
      </c>
      <c r="EP5">
        <v>0</v>
      </c>
      <c r="EQ5">
        <v>0</v>
      </c>
      <c r="ER5">
        <f>SUM(EF5:EQ5)</f>
        <v>24000</v>
      </c>
      <c r="ES5">
        <f>IF(ER5&gt;=150000,150000,ER5)</f>
        <v>24000</v>
      </c>
      <c r="ET5">
        <f>EE5-ES5</f>
        <v>340544</v>
      </c>
      <c r="EU5">
        <v>0</v>
      </c>
      <c r="EV5">
        <v>0</v>
      </c>
      <c r="EW5">
        <v>0</v>
      </c>
      <c r="EX5">
        <v>0</v>
      </c>
      <c r="EY5">
        <v>0</v>
      </c>
      <c r="EZ5">
        <v>0</v>
      </c>
      <c r="FA5">
        <v>0</v>
      </c>
      <c r="FB5">
        <f>SUM(EU5:FA5)+(IF(F5="YES",50000,0))</f>
        <v>0</v>
      </c>
      <c r="FC5">
        <f>ET5-FB5</f>
        <v>340544</v>
      </c>
      <c r="FD5">
        <f>ROUND(IF(FC5&gt;0,IF(FC5&gt;500000,12500,(FC5-250000)*0.05),0),0)</f>
        <v>4527</v>
      </c>
      <c r="FE5">
        <f>IF(ROUND(IF(FC5&gt;0,IF(FC5&gt;1000000,25000,(FC5-500000)*0.2),0),0)&lt;0,0,ROUND(IF(FC5&gt;0,IF(FC5&gt;1000000,25000,(FC5-500000)*0.2),0),0))</f>
        <v>0</v>
      </c>
      <c r="FF5">
        <f>FD5+FE5</f>
        <v>4527</v>
      </c>
      <c r="FG5">
        <f>IF(FF5&lt;12500,0,FF5)</f>
        <v>0</v>
      </c>
      <c r="FH5">
        <f>FG5*0.04</f>
        <v>0</v>
      </c>
      <c r="FI5">
        <f>ROUND(FH5+FG5,0)</f>
        <v>0</v>
      </c>
      <c r="FJ5">
        <v>0</v>
      </c>
      <c r="FK5">
        <f>FI5-FJ5</f>
        <v>0</v>
      </c>
      <c r="FL5" t="b">
        <f>IF(EA5&gt;500000,TRUE,FALSE)</f>
        <v>0</v>
      </c>
      <c r="FM5">
        <f ca="1">IF(FL5,RANDBETWEEN(500,1000),RANDBETWEEN(1000,3000))</f>
        <v>1477</v>
      </c>
      <c r="FN5">
        <f ca="1">EA5+FM5</f>
        <v>417821</v>
      </c>
      <c r="FO5">
        <f>IF(EA5&gt;0,75000,0)</f>
        <v>75000</v>
      </c>
      <c r="FP5">
        <f ca="1">FN5-FO5</f>
        <v>342821</v>
      </c>
      <c r="FQ5">
        <f ca="1">IF(FP5&gt;2400000,FP5-2400000,0)</f>
        <v>0</v>
      </c>
      <c r="FR5">
        <f ca="1">FQ5*0.3</f>
        <v>0</v>
      </c>
      <c r="FS5">
        <f ca="1">IF(FP5&gt;2000000,FP5-2000000,0)</f>
        <v>0</v>
      </c>
      <c r="FT5">
        <f ca="1">FS5*0.25</f>
        <v>0</v>
      </c>
      <c r="FU5">
        <f ca="1">IF(FP5&gt;1600000,FP5-1600000-FQ5,0)</f>
        <v>0</v>
      </c>
      <c r="FV5">
        <f ca="1">FU5*0.2</f>
        <v>0</v>
      </c>
      <c r="FW5">
        <f ca="1">IF(FP5&gt;1200000,FP5-1200000-IF(F5="YES",50000,0)-FU5,0)</f>
        <v>0</v>
      </c>
      <c r="FX5">
        <f ca="1">FW5*0.15</f>
        <v>0</v>
      </c>
      <c r="FY5">
        <f ca="1">IF(FP5&gt;800000,FP5-800000-FQ5-FU5-FW5,0)</f>
        <v>0</v>
      </c>
      <c r="FZ5">
        <f ca="1">FY5*0.1</f>
        <v>0</v>
      </c>
      <c r="GA5">
        <f ca="1">IF(FP5&gt;400000,FP5-400000-FQ5-FU5-FW5-FY5,0)</f>
        <v>0</v>
      </c>
      <c r="GB5">
        <f ca="1">GA5*0.05</f>
        <v>0</v>
      </c>
      <c r="GC5">
        <f ca="1">ROUND(FR5+FT5+FV5+FX5+FZ5+GB5,0)</f>
        <v>0</v>
      </c>
      <c r="GD5">
        <f ca="1">IF(FP5&gt;1200000,FP5,0)</f>
        <v>0</v>
      </c>
      <c r="GE5">
        <f ca="1">IF(FP5&gt;1200000,GD5-1200000,0)</f>
        <v>0</v>
      </c>
      <c r="GF5">
        <f ca="1">IF(FP5&lt;1200001,MIN(GC5,60000),0)</f>
        <v>0</v>
      </c>
      <c r="GG5">
        <f ca="1">IF(FP5&gt;1200000,GC5-GE5,0)</f>
        <v>0</v>
      </c>
      <c r="GH5" t="b">
        <f ca="1">IF(GG5&gt;0,TRUE,FALSE)</f>
        <v>0</v>
      </c>
      <c r="GI5">
        <f ca="1">IF(GH5,GG5,0)</f>
        <v>0</v>
      </c>
      <c r="GJ5">
        <f ca="1">GF5+GI5</f>
        <v>0</v>
      </c>
      <c r="GK5">
        <f ca="1">ROUND(GC5-GJ5,0)</f>
        <v>0</v>
      </c>
      <c r="GL5">
        <f ca="1">GK5*0.04</f>
        <v>0</v>
      </c>
      <c r="GM5">
        <f ca="1">ROUNDUP(GK5+GL5,0)</f>
        <v>0</v>
      </c>
    </row>
    <row r="6" spans="1:195" x14ac:dyDescent="0.25">
      <c r="A6">
        <f>_xlfn.AGGREGATE(3,5,$B$2:B6)</f>
        <v>5</v>
      </c>
      <c r="B6" t="s">
        <v>132</v>
      </c>
      <c r="C6" t="s">
        <v>133</v>
      </c>
      <c r="D6" t="s">
        <v>751</v>
      </c>
      <c r="E6" t="s">
        <v>834</v>
      </c>
      <c r="F6" t="s">
        <v>959</v>
      </c>
      <c r="G6" t="s">
        <v>880</v>
      </c>
      <c r="H6">
        <f>IF(_xlfn.DAYS("31-03-2025",G6)&gt;=180,6800,0)</f>
        <v>6800</v>
      </c>
      <c r="I6">
        <f>_xlfn.XLOOKUP(B6,'[1]march-2025'!$A:$A,'[1]march-2025'!$J:$J,0,0)</f>
        <v>0</v>
      </c>
      <c r="J6">
        <f>_xlfn.XLOOKUP(B6,'[1]march-2025'!$A:$A,'[1]march-2025'!$C:$C,0,0)</f>
        <v>34500</v>
      </c>
      <c r="K6">
        <f>J6*0.14</f>
        <v>4830.0000000000009</v>
      </c>
      <c r="L6">
        <f>J6*0.12</f>
        <v>4140</v>
      </c>
      <c r="M6">
        <f>_xlfn.XLOOKUP(B6,'[1]march-2025'!$A:$A,'[1]march-2025'!$D:$D,0,0)</f>
        <v>400</v>
      </c>
      <c r="N6">
        <f>_xlfn.XLOOKUP(B6,'[1]march-2025'!$A:$A,'[1]march-2025'!$G:$G,0,0)</f>
        <v>500</v>
      </c>
      <c r="O6">
        <f>IF(J6&gt;0,SUM(J6:N6),0)</f>
        <v>44370</v>
      </c>
      <c r="P6">
        <f>_xlfn.XLOOKUP(B6,'[1]march-2025'!$A:$A,'[1]march-2025'!$H:$H,0,0)</f>
        <v>4000</v>
      </c>
      <c r="Q6">
        <f>_xlfn.XLOOKUP(B6,'[1]march-2025'!$A:$A,'[1]march-2025'!$I:$I,0,0)</f>
        <v>0</v>
      </c>
      <c r="R6">
        <f>IF($F6="YES",0,IF(O6&gt;40000,200,IF(O6&gt;25000,150,IF(O6&gt;15000,130,IF(O6&gt;10000,110,0)))))</f>
        <v>200</v>
      </c>
      <c r="S6">
        <f>O6-P6-Q6-R6</f>
        <v>40170</v>
      </c>
      <c r="T6">
        <f>_xlfn.XLOOKUP(B6,'[2]april-2025'!$A:$A,'[2]april-2025'!$C:$C,0,0)</f>
        <v>34500</v>
      </c>
      <c r="U6">
        <f>T6*0.18</f>
        <v>6210</v>
      </c>
      <c r="V6">
        <f>T6*0.12</f>
        <v>4140</v>
      </c>
      <c r="W6">
        <f>_xlfn.XLOOKUP(B6,'[2]april-2025'!$A:$A,'[2]april-2025'!$D:$D,0,0)</f>
        <v>400</v>
      </c>
      <c r="X6">
        <f>_xlfn.XLOOKUP(B6,'[2]april-2025'!$A:$A,'[2]april-2025'!$G:$G,0,0)</f>
        <v>500</v>
      </c>
      <c r="Y6">
        <f>IF(T6&gt;0,SUM(T6:X6),0)</f>
        <v>45750</v>
      </c>
      <c r="Z6">
        <f>_xlfn.XLOOKUP(B6,'[2]april-2025'!$A:$A,'[2]april-2025'!$H:$H,0,0)</f>
        <v>4000</v>
      </c>
      <c r="AA6">
        <f>_xlfn.XLOOKUP(B6,'[2]april-2025'!$A:$A,'[2]april-2025'!$I:$I,0,0)</f>
        <v>0</v>
      </c>
      <c r="AB6">
        <f>IF($F6="YES",0,IF(Y6&gt;40000,200,IF(Y6&gt;25000,150,IF(Y6&gt;15000,130,IF(Y6&gt;10000,110,0)))))</f>
        <v>200</v>
      </c>
      <c r="AC6">
        <f>Y6-Z6-AA6-AB6</f>
        <v>41550</v>
      </c>
      <c r="AD6">
        <f>_xlfn.XLOOKUP(B6,'[3]may-2025'!$A:$A,'[3]may-2025'!$C:$C,0,0)</f>
        <v>34500</v>
      </c>
      <c r="AE6">
        <f>AD6*0.18</f>
        <v>6210</v>
      </c>
      <c r="AF6">
        <f>AD6*0.12</f>
        <v>4140</v>
      </c>
      <c r="AG6">
        <f>_xlfn.XLOOKUP(B6,'[3]may-2025'!$A:$A,'[3]may-2025'!$D:$D,0,0)</f>
        <v>400</v>
      </c>
      <c r="AH6">
        <f>_xlfn.XLOOKUP(B6,'[3]may-2025'!$A:$A,'[3]may-2025'!$G:$G,0,0)</f>
        <v>500</v>
      </c>
      <c r="AI6">
        <f>IF(AD6&gt;0,SUM(AD6:AH6),0)</f>
        <v>45750</v>
      </c>
      <c r="AJ6">
        <f>_xlfn.XLOOKUP(B6,'[3]may-2025'!$A:$A,'[3]may-2025'!$H:$H,0,0)</f>
        <v>4000</v>
      </c>
      <c r="AK6">
        <f>_xlfn.XLOOKUP(B6,'[3]may-2025'!$A:$A,'[3]may-2025'!$I:$I,0,0)</f>
        <v>0</v>
      </c>
      <c r="AL6">
        <f>IF($F6="YES",0,IF(AI6&gt;40000,200,IF(AI6&gt;25000,150,IF(AI6&gt;15000,130,IF(AI6&gt;10000,110,0)))))</f>
        <v>200</v>
      </c>
      <c r="AM6">
        <f>AI6-AJ6-AK6-AL6</f>
        <v>41550</v>
      </c>
      <c r="AN6">
        <f>_xlfn.XLOOKUP(B6,'[4]june-2025'!$A:$A,'[4]june-2025'!$C:$C,0,0)</f>
        <v>34500</v>
      </c>
      <c r="AO6">
        <f>AN6*0.18</f>
        <v>6210</v>
      </c>
      <c r="AP6">
        <f>AN6*0.12</f>
        <v>4140</v>
      </c>
      <c r="AQ6">
        <f>_xlfn.XLOOKUP(B6,'[4]june-2025'!$A:$A,'[4]june-2025'!$D:$D,0,0)</f>
        <v>400</v>
      </c>
      <c r="AR6">
        <f>_xlfn.XLOOKUP(B6,'[4]june-2025'!$A:$A,'[4]june-2025'!$G:$G,0,0)</f>
        <v>500</v>
      </c>
      <c r="AS6">
        <f>IF(AN6&gt;0,SUM(AN6:AR6),0)</f>
        <v>45750</v>
      </c>
      <c r="AT6">
        <f>_xlfn.XLOOKUP(B6,'[4]june-2025'!$A:$A,'[4]june-2025'!$H:$H,0,0)</f>
        <v>4000</v>
      </c>
      <c r="AU6">
        <f>_xlfn.XLOOKUP(B6,'[4]june-2025'!$A:$A,'[4]june-2025'!$I:$I,0,0)</f>
        <v>0</v>
      </c>
      <c r="AV6">
        <f>IF($F6="YES",0,IF(AS6&gt;40000,200,IF(AS6&gt;25000,150,IF(AS6&gt;15000,130,IF(AS6&gt;10000,110,0)))))</f>
        <v>200</v>
      </c>
      <c r="AW6">
        <f>AS6-AT6-AU6-AV6</f>
        <v>41550</v>
      </c>
      <c r="AX6">
        <f>_xlfn.XLOOKUP(B6,'[5]july-2025'!$A:$A,'[5]july-2025'!$C:$C,0,0)</f>
        <v>35500</v>
      </c>
      <c r="AY6">
        <f>AX6*0.18</f>
        <v>6390</v>
      </c>
      <c r="AZ6">
        <v>0</v>
      </c>
      <c r="BA6">
        <f>AX6*0.12</f>
        <v>4260</v>
      </c>
      <c r="BB6">
        <f>_xlfn.XLOOKUP(B6,'[5]july-2025'!$A:$A,'[5]july-2025'!$D:$D,0,0)</f>
        <v>400</v>
      </c>
      <c r="BC6">
        <f>_xlfn.XLOOKUP(B6,'[5]july-2025'!$A:$A,'[5]july-2025'!$G:$G,0,0)</f>
        <v>500</v>
      </c>
      <c r="BD6">
        <f>IF(AX6&gt;0,SUM(AX6:BC6),0)</f>
        <v>47050</v>
      </c>
      <c r="BE6">
        <f>_xlfn.XLOOKUP(B6,'[5]july-2025'!$A:$A,'[5]july-2025'!$H:$H,0,0)</f>
        <v>4000</v>
      </c>
      <c r="BF6">
        <f>_xlfn.XLOOKUP(B6,'[5]july-2025'!$A:$A,'[5]july-2025'!$I:$I,0,0)</f>
        <v>0</v>
      </c>
      <c r="BG6">
        <f>IF($F6="YES",0,IF(BD6&gt;40000,200,IF(BD6&gt;25000,150,IF(BD6&gt;15000,130,IF(BD6&gt;10000,110,0)))))</f>
        <v>200</v>
      </c>
      <c r="BH6">
        <f>BD6-BE6-BF6-BG6</f>
        <v>42850</v>
      </c>
      <c r="BI6">
        <f>_xlfn.XLOOKUP(B6,'[6]august-2025'!$A:$A,'[6]august-2025'!$C:$C,0,0)</f>
        <v>35500</v>
      </c>
      <c r="BJ6">
        <f>BI6*0.18</f>
        <v>6390</v>
      </c>
      <c r="BK6">
        <f>BI6*0.12</f>
        <v>4260</v>
      </c>
      <c r="BL6">
        <f>_xlfn.XLOOKUP(B6,'[6]august-2025'!$A:$A,'[6]august-2025'!$D:$D,0,0)</f>
        <v>400</v>
      </c>
      <c r="BM6">
        <f>_xlfn.XLOOKUP(B6,'[6]august-2025'!$A:$A,'[6]august-2025'!$G:$G,0,0)</f>
        <v>500</v>
      </c>
      <c r="BN6">
        <f>IF(BI6&gt;0,SUM(BI6:BM6),0)</f>
        <v>47050</v>
      </c>
      <c r="BO6">
        <f>_xlfn.XLOOKUP(B6,'[6]august-2025'!$A:$A,'[6]august-2025'!$H:$H,0,0)</f>
        <v>4000</v>
      </c>
      <c r="BP6">
        <f>_xlfn.XLOOKUP(B6,'[6]august-2025'!$A:$A,'[6]august-2025'!$I:$I,0,0)</f>
        <v>0</v>
      </c>
      <c r="BQ6">
        <f>IF($F6="YES",0,IF(BN6&gt;40000,200,IF(BN6&gt;25000,150,IF(BN6&gt;15000,130,IF(BN6&gt;10000,110,0)))))</f>
        <v>200</v>
      </c>
      <c r="BR6">
        <f>BN6-BO6-BP6-BQ6</f>
        <v>42850</v>
      </c>
      <c r="BS6">
        <f>_xlfn.XLOOKUP(B6,'[7]september-2025'!$A:$A,'[7]september-2025'!$C:$C,0,0)</f>
        <v>35500</v>
      </c>
      <c r="BT6">
        <f>BS6*0.18</f>
        <v>6390</v>
      </c>
      <c r="BU6">
        <f>BS6*0.12</f>
        <v>4260</v>
      </c>
      <c r="BV6">
        <f>_xlfn.XLOOKUP(B6,'[7]september-2025'!$A:$A,'[7]september-2025'!$D:$D,0,0)</f>
        <v>400</v>
      </c>
      <c r="BW6">
        <f>_xlfn.XLOOKUP(B6,'[7]september-2025'!$A:$A,'[7]september-2025'!$G:$G,0,0)</f>
        <v>500</v>
      </c>
      <c r="BX6">
        <f>IF(BS6&gt;0,SUM(BS6:BW6),0)</f>
        <v>47050</v>
      </c>
      <c r="BY6">
        <f>_xlfn.XLOOKUP(B6,'[7]september-2025'!$A:$A,'[7]september-2025'!$H:$H,0,0)</f>
        <v>4000</v>
      </c>
      <c r="BZ6">
        <f>_xlfn.XLOOKUP(B6,'[7]september-2025'!$A:$A,'[7]september-2025'!$I:$I,0,0)</f>
        <v>0</v>
      </c>
      <c r="CA6">
        <f>IF($F6="YES",0,IF(BX6&gt;40000,200,IF(BX6&gt;25000,150,IF(BX6&gt;15000,130,IF(BX6&gt;10000,110,0)))))</f>
        <v>200</v>
      </c>
      <c r="CB6">
        <f>BX6-BY6-BZ6-CA6</f>
        <v>42850</v>
      </c>
      <c r="CC6">
        <f>_xlfn.XLOOKUP(B6,'[8]october-2025'!$A:$A,'[8]october-2025'!$C:$C,0,0)</f>
        <v>35500</v>
      </c>
      <c r="CD6">
        <f>CC6*0.18</f>
        <v>6390</v>
      </c>
      <c r="CE6">
        <f>CC6*0.12</f>
        <v>4260</v>
      </c>
      <c r="CF6">
        <f>_xlfn.XLOOKUP(B6,'[8]october-2025'!$A:$A,'[8]october-2025'!$D:$D,0,0)</f>
        <v>400</v>
      </c>
      <c r="CG6">
        <f>_xlfn.XLOOKUP(B6,'[8]october-2025'!$A:$A,'[8]october-2025'!$G:$G,0,0)</f>
        <v>500</v>
      </c>
      <c r="CH6">
        <f>IF(CC6&gt;0,SUM(CC6:CG6),0)</f>
        <v>47050</v>
      </c>
      <c r="CI6">
        <f>_xlfn.XLOOKUP(B6,'[8]october-2025'!$A:$A,'[8]october-2025'!$H:$H,0,0)</f>
        <v>4000</v>
      </c>
      <c r="CJ6">
        <f>_xlfn.XLOOKUP(B6,'[8]october-2025'!$A:$A,'[8]october-2025'!$I:$I,0,0)</f>
        <v>0</v>
      </c>
      <c r="CK6">
        <f>IF($F6="YES",0,IF(CH6&gt;40000,200,IF(CH6&gt;25000,150,IF(CH6&gt;15000,130,IF(CH6&gt;10000,110,0)))))</f>
        <v>200</v>
      </c>
      <c r="CL6">
        <f>CH6-CI6-CJ6-CK6</f>
        <v>42850</v>
      </c>
      <c r="CM6">
        <f>_xlfn.XLOOKUP(B6,'[9]november-2025'!$A:$A,'[9]november-2025'!$C:$C,0,0)</f>
        <v>35500</v>
      </c>
      <c r="CN6">
        <f>CM6*0.18</f>
        <v>6390</v>
      </c>
      <c r="CO6">
        <f>CM6*0.12</f>
        <v>4260</v>
      </c>
      <c r="CP6">
        <f>_xlfn.XLOOKUP(B6,'[9]november-2025'!$A:$A,'[9]november-2025'!$D:$D,0,0)</f>
        <v>400</v>
      </c>
      <c r="CQ6">
        <f>_xlfn.XLOOKUP(B6,'[9]november-2025'!$A:$A,'[9]november-2025'!$G:$G,0,0)</f>
        <v>500</v>
      </c>
      <c r="CR6">
        <f>IF(CM6&gt;0,SUM(CM6:CQ6),0)</f>
        <v>47050</v>
      </c>
      <c r="CS6">
        <f>_xlfn.XLOOKUP(B6,'[9]november-2025'!$A:$A,'[9]november-2025'!$H:$H,0,0)</f>
        <v>4000</v>
      </c>
      <c r="CT6">
        <f>_xlfn.XLOOKUP(B6,'[9]november-2025'!$A:$A,'[9]november-2025'!$I:$I,0,0)</f>
        <v>0</v>
      </c>
      <c r="CU6">
        <f>IF($F6="YES",0,IF(CR6&gt;40000,200,IF(CR6&gt;25000,150,IF(CR6&gt;15000,130,IF(CR6&gt;10000,110,0)))))</f>
        <v>200</v>
      </c>
      <c r="CV6">
        <f>CR6-CS6-CT6-CU6</f>
        <v>42850</v>
      </c>
      <c r="CW6">
        <f>_xlfn.XLOOKUP(B6,'[10]december-2025'!$A:$A,'[10]december-2025'!$C:$C,0,0)</f>
        <v>35500</v>
      </c>
      <c r="CX6">
        <f>ROUND(CW6*0.18,0)</f>
        <v>6390</v>
      </c>
      <c r="CY6">
        <f>ROUND(CW6*0.12,0)</f>
        <v>4260</v>
      </c>
      <c r="CZ6">
        <f>_xlfn.XLOOKUP(B6,'[10]december-2025'!$A:$A,'[10]december-2025'!$D:$D,0,0)</f>
        <v>400</v>
      </c>
      <c r="DA6">
        <f>_xlfn.XLOOKUP(B6,'[10]december-2025'!$A:$A,'[10]december-2025'!$G:$G,0,0)</f>
        <v>500</v>
      </c>
      <c r="DB6">
        <f>IF(CW6&gt;0,SUM(CW6:DA6),0)</f>
        <v>47050</v>
      </c>
      <c r="DC6">
        <f>_xlfn.XLOOKUP(B6,'[10]december-2025'!$A:$A,'[10]december-2025'!$H:$H,0,0)</f>
        <v>4000</v>
      </c>
      <c r="DD6">
        <f>_xlfn.XLOOKUP(B6,'[10]december-2025'!$A:$A,'[10]december-2025'!$I:$I,0,0)</f>
        <v>0</v>
      </c>
      <c r="DE6">
        <f>IF($F6="YES",0,IF(DB6&gt;40000,200,IF(DB6&gt;25000,150,IF(DB6&gt;15000,130,IF(DB6&gt;10000,110,0)))))</f>
        <v>200</v>
      </c>
      <c r="DF6">
        <f>DB6-DC6-DD6-DE6</f>
        <v>42850</v>
      </c>
      <c r="DG6">
        <f>_xlfn.XLOOKUP(B6,'[11]january-2026'!$A:$A,'[11]january-2026'!$C:$C,0,0)</f>
        <v>35500</v>
      </c>
      <c r="DH6">
        <f>DG6*0.18</f>
        <v>6390</v>
      </c>
      <c r="DI6">
        <f>DG6*0.12</f>
        <v>4260</v>
      </c>
      <c r="DJ6">
        <f>_xlfn.XLOOKUP(B6,'[11]january-2026'!$A:$A,'[11]january-2026'!$D:$D,0,0)</f>
        <v>400</v>
      </c>
      <c r="DK6">
        <f>_xlfn.XLOOKUP(B6,'[11]january-2026'!$A:$A,'[11]january-2026'!$G:$G,0,0)</f>
        <v>500</v>
      </c>
      <c r="DL6">
        <f>IF(DG6&gt;0,SUM(DG6:DK6),0)</f>
        <v>47050</v>
      </c>
      <c r="DM6">
        <f>_xlfn.XLOOKUP(B6,'[11]january-2026'!$A:$A,'[11]january-2026'!$H:$H,0,0)</f>
        <v>4000</v>
      </c>
      <c r="DN6">
        <f>_xlfn.XLOOKUP(B6,'[11]january-2026'!$A:$A,'[11]january-2026'!$I:$I,0,0)</f>
        <v>0</v>
      </c>
      <c r="DO6">
        <f>IF($F6="YES",0,IF(DL6&gt;40000,200,IF(DL6&gt;25000,150,IF(DL6&gt;15000,130,IF(DL6&gt;10000,110,0)))))</f>
        <v>200</v>
      </c>
      <c r="DP6">
        <f>DL6-DM6-DN6-DO6</f>
        <v>42850</v>
      </c>
      <c r="DQ6">
        <f>_xlfn.XLOOKUP(B6,'[12]february-2026'!$A:$A,'[12]february-2026'!$C:$C,0,0)</f>
        <v>35500</v>
      </c>
      <c r="DR6">
        <f>DQ6*0.18</f>
        <v>6390</v>
      </c>
      <c r="DS6">
        <f>DQ6*0.12</f>
        <v>4260</v>
      </c>
      <c r="DT6">
        <f>_xlfn.XLOOKUP(B6,'[12]february-2026'!$A:$A,'[12]february-2026'!$D:$D,0,0)</f>
        <v>400</v>
      </c>
      <c r="DU6">
        <f>_xlfn.XLOOKUP(B6,'[12]february-2026'!$A:$A,'[12]february-2026'!$G:$G,0,0)</f>
        <v>500</v>
      </c>
      <c r="DV6">
        <f>IF(DQ6&gt;0,SUM(DQ6:DU6),0)</f>
        <v>47050</v>
      </c>
      <c r="DW6">
        <f>_xlfn.XLOOKUP(B6,'[12]february-2026'!$A:$A,'[12]february-2026'!$H:$H,0,0)</f>
        <v>4000</v>
      </c>
      <c r="DX6">
        <f>_xlfn.XLOOKUP(B6,'[12]february-2026'!$A:$A,'[12]february-2026'!$I:$I,0,0)</f>
        <v>0</v>
      </c>
      <c r="DY6">
        <f>IF($F6="YES",0,IF(DV6&gt;40000,200,IF(DV6&gt;25000,150,IF(DV6&gt;15000,130,IF(DV6&gt;10000,110,0)))))</f>
        <v>200</v>
      </c>
      <c r="DZ6">
        <f>DV6-DW6-DX6-DY6</f>
        <v>42850</v>
      </c>
      <c r="EA6">
        <f>DV6+DL6+DB6+CR6+CH6+BX6+BN6+BD6+AS6+AI6+Y6+O6+H6+I6</f>
        <v>564820</v>
      </c>
      <c r="EB6">
        <f>DY6+DO6+DE6+CU6+CK6+CA6+BQ6+BG6+AV6+AL6+AB6+R6</f>
        <v>2400</v>
      </c>
      <c r="EC6">
        <f>IF(EA6&gt;0,50000,0)</f>
        <v>50000</v>
      </c>
      <c r="ED6">
        <v>0</v>
      </c>
      <c r="EE6">
        <f>EA6-EB6-EC6</f>
        <v>512420</v>
      </c>
      <c r="EF6">
        <f>DW6+DM6+DC6+CS6+CI6+BY6+BO6+BE6+AT6+AJ6+Z6+P6</f>
        <v>48000</v>
      </c>
      <c r="EG6">
        <f>DX6+DN6+DD6+CT6+CJ6+BZ6+BP6+BF6+AU6+AK6+AA6+Q6</f>
        <v>0</v>
      </c>
      <c r="EH6">
        <v>0</v>
      </c>
      <c r="EI6">
        <v>0</v>
      </c>
      <c r="EJ6">
        <v>0</v>
      </c>
      <c r="EK6">
        <v>0</v>
      </c>
      <c r="EL6">
        <v>0</v>
      </c>
      <c r="EM6">
        <v>0</v>
      </c>
      <c r="EN6">
        <v>0</v>
      </c>
      <c r="EO6">
        <v>0</v>
      </c>
      <c r="EP6">
        <v>0</v>
      </c>
      <c r="EQ6">
        <v>0</v>
      </c>
      <c r="ER6">
        <f>SUM(EF6:EQ6)</f>
        <v>48000</v>
      </c>
      <c r="ES6">
        <f>IF(ER6&gt;=150000,150000,ER6)</f>
        <v>48000</v>
      </c>
      <c r="ET6">
        <f>EE6-ES6</f>
        <v>464420</v>
      </c>
      <c r="EU6">
        <v>0</v>
      </c>
      <c r="EV6">
        <v>0</v>
      </c>
      <c r="EW6">
        <v>0</v>
      </c>
      <c r="EX6">
        <v>0</v>
      </c>
      <c r="EY6">
        <v>0</v>
      </c>
      <c r="EZ6">
        <v>0</v>
      </c>
      <c r="FA6">
        <v>0</v>
      </c>
      <c r="FB6">
        <f>SUM(EU6:FA6)+(IF(F6="YES",50000,0))</f>
        <v>0</v>
      </c>
      <c r="FC6">
        <f>ET6-FB6</f>
        <v>464420</v>
      </c>
      <c r="FD6">
        <f>ROUND(IF(FC6&gt;0,IF(FC6&gt;500000,12500,(FC6-250000)*0.05),0),0)</f>
        <v>10721</v>
      </c>
      <c r="FE6">
        <f>IF(ROUND(IF(FC6&gt;0,IF(FC6&gt;1000000,25000,(FC6-500000)*0.2),0),0)&lt;0,0,ROUND(IF(FC6&gt;0,IF(FC6&gt;1000000,25000,(FC6-500000)*0.2),0),0))</f>
        <v>0</v>
      </c>
      <c r="FF6">
        <f>FD6+FE6</f>
        <v>10721</v>
      </c>
      <c r="FG6">
        <f>IF(FF6&lt;12500,0,FF6)</f>
        <v>0</v>
      </c>
      <c r="FH6">
        <f>FG6*0.04</f>
        <v>0</v>
      </c>
      <c r="FI6">
        <f>ROUND(FH6+FG6,0)</f>
        <v>0</v>
      </c>
      <c r="FJ6">
        <v>0</v>
      </c>
      <c r="FK6">
        <f>FI6-FJ6</f>
        <v>0</v>
      </c>
      <c r="FL6" t="b">
        <f>IF(EA6&gt;500000,TRUE,FALSE)</f>
        <v>1</v>
      </c>
      <c r="FM6">
        <f ca="1">IF(FL6,RANDBETWEEN(500,1000),RANDBETWEEN(1000,3000))</f>
        <v>777</v>
      </c>
      <c r="FN6">
        <f ca="1">EA6+FM6</f>
        <v>565597</v>
      </c>
      <c r="FO6">
        <f>IF(EA6&gt;0,75000,0)</f>
        <v>75000</v>
      </c>
      <c r="FP6">
        <f ca="1">FN6-FO6</f>
        <v>490597</v>
      </c>
      <c r="FQ6">
        <f ca="1">IF(FP6&gt;2400000,FP6-2400000,0)</f>
        <v>0</v>
      </c>
      <c r="FR6">
        <f ca="1">FQ6*0.3</f>
        <v>0</v>
      </c>
      <c r="FS6">
        <f ca="1">IF(FP6&gt;2000000,FP6-2000000,0)</f>
        <v>0</v>
      </c>
      <c r="FT6">
        <f ca="1">FS6*0.25</f>
        <v>0</v>
      </c>
      <c r="FU6">
        <f ca="1">IF(FP6&gt;1600000,FP6-1600000-FQ6,0)</f>
        <v>0</v>
      </c>
      <c r="FV6">
        <f ca="1">FU6*0.2</f>
        <v>0</v>
      </c>
      <c r="FW6">
        <f ca="1">IF(FP6&gt;1200000,FP6-1200000-IF(F6="YES",50000,0)-FU6,0)</f>
        <v>0</v>
      </c>
      <c r="FX6">
        <f ca="1">FW6*0.15</f>
        <v>0</v>
      </c>
      <c r="FY6">
        <f ca="1">IF(FP6&gt;800000,FP6-800000-FQ6-FU6-FW6,0)</f>
        <v>0</v>
      </c>
      <c r="FZ6">
        <f ca="1">FY6*0.1</f>
        <v>0</v>
      </c>
      <c r="GA6">
        <f ca="1">IF(FP6&gt;400000,FP6-400000-FQ6-FU6-FW6-FY6,0)</f>
        <v>90597</v>
      </c>
      <c r="GB6">
        <f ca="1">GA6*0.05</f>
        <v>4529.8500000000004</v>
      </c>
      <c r="GC6">
        <f ca="1">ROUND(FR6+FT6+FV6+FX6+FZ6+GB6,0)</f>
        <v>4530</v>
      </c>
      <c r="GD6">
        <f ca="1">IF(FP6&gt;1200000,FP6,0)</f>
        <v>0</v>
      </c>
      <c r="GE6">
        <f ca="1">IF(FP6&gt;1200000,GD6-1200000,0)</f>
        <v>0</v>
      </c>
      <c r="GF6">
        <f ca="1">IF(FP6&lt;1200001,MIN(GC6,60000),0)</f>
        <v>4530</v>
      </c>
      <c r="GG6">
        <f ca="1">IF(FP6&gt;1200000,GC6-GE6,0)</f>
        <v>0</v>
      </c>
      <c r="GH6" t="b">
        <f ca="1">IF(GG6&gt;0,TRUE,FALSE)</f>
        <v>0</v>
      </c>
      <c r="GI6">
        <f ca="1">IF(GH6,GG6,0)</f>
        <v>0</v>
      </c>
      <c r="GJ6">
        <f ca="1">GF6+GI6</f>
        <v>4530</v>
      </c>
      <c r="GK6">
        <f ca="1">ROUND(GC6-GJ6,0)</f>
        <v>0</v>
      </c>
      <c r="GL6">
        <f ca="1">GK6*0.04</f>
        <v>0</v>
      </c>
      <c r="GM6">
        <f ca="1">ROUNDUP(GK6+GL6,0)</f>
        <v>0</v>
      </c>
    </row>
    <row r="7" spans="1:195" x14ac:dyDescent="0.25">
      <c r="A7">
        <f>_xlfn.AGGREGATE(3,5,$B$2:B7)</f>
        <v>6</v>
      </c>
      <c r="B7" t="s">
        <v>134</v>
      </c>
      <c r="C7" t="s">
        <v>135</v>
      </c>
      <c r="D7" t="s">
        <v>751</v>
      </c>
      <c r="E7" t="s">
        <v>833</v>
      </c>
      <c r="F7" t="s">
        <v>959</v>
      </c>
      <c r="G7" t="s">
        <v>881</v>
      </c>
      <c r="H7">
        <f>IF(_xlfn.DAYS("31-03-2025",G7)&gt;=180,6800,0)</f>
        <v>6800</v>
      </c>
      <c r="I7">
        <f>_xlfn.XLOOKUP(B7,'[1]march-2025'!$A:$A,'[1]march-2025'!$J:$J,0,0)</f>
        <v>0</v>
      </c>
      <c r="J7">
        <f>_xlfn.XLOOKUP(B7,'[1]march-2025'!$A:$A,'[1]march-2025'!$C:$C,0,0)</f>
        <v>31600</v>
      </c>
      <c r="K7">
        <f>J7*0.14</f>
        <v>4424</v>
      </c>
      <c r="L7">
        <f>J7*0.12</f>
        <v>3792</v>
      </c>
      <c r="M7">
        <f>_xlfn.XLOOKUP(B7,'[1]march-2025'!$A:$A,'[1]march-2025'!$D:$D,0,0)</f>
        <v>0</v>
      </c>
      <c r="N7">
        <f>_xlfn.XLOOKUP(B7,'[1]march-2025'!$A:$A,'[1]march-2025'!$G:$G,0,0)</f>
        <v>500</v>
      </c>
      <c r="O7">
        <f>IF(J7&gt;0,SUM(J7:N7),0)</f>
        <v>40316</v>
      </c>
      <c r="P7">
        <f>_xlfn.XLOOKUP(B7,'[1]march-2025'!$A:$A,'[1]march-2025'!$H:$H,0,0)</f>
        <v>2000</v>
      </c>
      <c r="Q7">
        <f>_xlfn.XLOOKUP(B7,'[1]march-2025'!$A:$A,'[1]march-2025'!$I:$I,0,0)</f>
        <v>0</v>
      </c>
      <c r="R7">
        <f>IF($F7="YES",0,IF(O7&gt;40000,200,IF(O7&gt;25000,150,IF(O7&gt;15000,130,IF(O7&gt;10000,110,0)))))</f>
        <v>200</v>
      </c>
      <c r="S7">
        <f>O7-P7-Q7-R7</f>
        <v>38116</v>
      </c>
      <c r="T7">
        <f>_xlfn.XLOOKUP(B7,'[2]april-2025'!$A:$A,'[2]april-2025'!$C:$C,0,0)</f>
        <v>31600</v>
      </c>
      <c r="U7">
        <f>T7*0.18</f>
        <v>5688</v>
      </c>
      <c r="V7">
        <f>T7*0.12</f>
        <v>3792</v>
      </c>
      <c r="W7">
        <f>_xlfn.XLOOKUP(B7,'[2]april-2025'!$A:$A,'[2]april-2025'!$D:$D,0,0)</f>
        <v>0</v>
      </c>
      <c r="X7">
        <f>_xlfn.XLOOKUP(B7,'[2]april-2025'!$A:$A,'[2]april-2025'!$G:$G,0,0)</f>
        <v>500</v>
      </c>
      <c r="Y7">
        <f>IF(T7&gt;0,SUM(T7:X7),0)</f>
        <v>41580</v>
      </c>
      <c r="Z7">
        <f>_xlfn.XLOOKUP(B7,'[2]april-2025'!$A:$A,'[2]april-2025'!$H:$H,0,0)</f>
        <v>2000</v>
      </c>
      <c r="AA7">
        <f>_xlfn.XLOOKUP(B7,'[2]april-2025'!$A:$A,'[2]april-2025'!$I:$I,0,0)</f>
        <v>0</v>
      </c>
      <c r="AB7">
        <f>IF($F7="YES",0,IF(Y7&gt;40000,200,IF(Y7&gt;25000,150,IF(Y7&gt;15000,130,IF(Y7&gt;10000,110,0)))))</f>
        <v>200</v>
      </c>
      <c r="AC7">
        <f>Y7-Z7-AA7-AB7</f>
        <v>39380</v>
      </c>
      <c r="AD7">
        <f>_xlfn.XLOOKUP(B7,'[3]may-2025'!$A:$A,'[3]may-2025'!$C:$C,0,0)</f>
        <v>31600</v>
      </c>
      <c r="AE7">
        <f>AD7*0.18</f>
        <v>5688</v>
      </c>
      <c r="AF7">
        <f>AD7*0.12</f>
        <v>3792</v>
      </c>
      <c r="AG7">
        <f>_xlfn.XLOOKUP(B7,'[3]may-2025'!$A:$A,'[3]may-2025'!$D:$D,0,0)</f>
        <v>0</v>
      </c>
      <c r="AH7">
        <f>_xlfn.XLOOKUP(B7,'[3]may-2025'!$A:$A,'[3]may-2025'!$G:$G,0,0)</f>
        <v>500</v>
      </c>
      <c r="AI7">
        <f>IF(AD7&gt;0,SUM(AD7:AH7),0)</f>
        <v>41580</v>
      </c>
      <c r="AJ7">
        <f>_xlfn.XLOOKUP(B7,'[3]may-2025'!$A:$A,'[3]may-2025'!$H:$H,0,0)</f>
        <v>2000</v>
      </c>
      <c r="AK7">
        <f>_xlfn.XLOOKUP(B7,'[3]may-2025'!$A:$A,'[3]may-2025'!$I:$I,0,0)</f>
        <v>0</v>
      </c>
      <c r="AL7">
        <f>IF($F7="YES",0,IF(AI7&gt;40000,200,IF(AI7&gt;25000,150,IF(AI7&gt;15000,130,IF(AI7&gt;10000,110,0)))))</f>
        <v>200</v>
      </c>
      <c r="AM7">
        <f>AI7-AJ7-AK7-AL7</f>
        <v>39380</v>
      </c>
      <c r="AN7">
        <f>_xlfn.XLOOKUP(B7,'[4]june-2025'!$A:$A,'[4]june-2025'!$C:$C,0,0)</f>
        <v>31600</v>
      </c>
      <c r="AO7">
        <f>AN7*0.18</f>
        <v>5688</v>
      </c>
      <c r="AP7">
        <f>AN7*0.12</f>
        <v>3792</v>
      </c>
      <c r="AQ7">
        <f>_xlfn.XLOOKUP(B7,'[4]june-2025'!$A:$A,'[4]june-2025'!$D:$D,0,0)</f>
        <v>0</v>
      </c>
      <c r="AR7">
        <f>_xlfn.XLOOKUP(B7,'[4]june-2025'!$A:$A,'[4]june-2025'!$G:$G,0,0)</f>
        <v>500</v>
      </c>
      <c r="AS7">
        <f>IF(AN7&gt;0,SUM(AN7:AR7),0)</f>
        <v>41580</v>
      </c>
      <c r="AT7">
        <f>_xlfn.XLOOKUP(B7,'[4]june-2025'!$A:$A,'[4]june-2025'!$H:$H,0,0)</f>
        <v>2000</v>
      </c>
      <c r="AU7">
        <f>_xlfn.XLOOKUP(B7,'[4]june-2025'!$A:$A,'[4]june-2025'!$I:$I,0,0)</f>
        <v>0</v>
      </c>
      <c r="AV7">
        <f>IF($F7="YES",0,IF(AS7&gt;40000,200,IF(AS7&gt;25000,150,IF(AS7&gt;15000,130,IF(AS7&gt;10000,110,0)))))</f>
        <v>200</v>
      </c>
      <c r="AW7">
        <f>AS7-AT7-AU7-AV7</f>
        <v>39380</v>
      </c>
      <c r="AX7">
        <f>_xlfn.XLOOKUP(B7,'[5]july-2025'!$A:$A,'[5]july-2025'!$C:$C,0,0)</f>
        <v>32500</v>
      </c>
      <c r="AY7">
        <f>AX7*0.18</f>
        <v>5850</v>
      </c>
      <c r="AZ7">
        <v>0</v>
      </c>
      <c r="BA7">
        <f>AX7*0.12</f>
        <v>3900</v>
      </c>
      <c r="BB7">
        <f>_xlfn.XLOOKUP(B7,'[5]july-2025'!$A:$A,'[5]july-2025'!$D:$D,0,0)</f>
        <v>0</v>
      </c>
      <c r="BC7">
        <f>_xlfn.XLOOKUP(B7,'[5]july-2025'!$A:$A,'[5]july-2025'!$G:$G,0,0)</f>
        <v>500</v>
      </c>
      <c r="BD7">
        <f>IF(AX7&gt;0,SUM(AX7:BC7),0)</f>
        <v>42750</v>
      </c>
      <c r="BE7">
        <f>_xlfn.XLOOKUP(B7,'[5]july-2025'!$A:$A,'[5]july-2025'!$H:$H,0,0)</f>
        <v>2000</v>
      </c>
      <c r="BF7">
        <f>_xlfn.XLOOKUP(B7,'[5]july-2025'!$A:$A,'[5]july-2025'!$I:$I,0,0)</f>
        <v>0</v>
      </c>
      <c r="BG7">
        <f>IF($F7="YES",0,IF(BD7&gt;40000,200,IF(BD7&gt;25000,150,IF(BD7&gt;15000,130,IF(BD7&gt;10000,110,0)))))</f>
        <v>200</v>
      </c>
      <c r="BH7">
        <f>BD7-BE7-BF7-BG7</f>
        <v>40550</v>
      </c>
      <c r="BI7">
        <f>_xlfn.XLOOKUP(B7,'[6]august-2025'!$A:$A,'[6]august-2025'!$C:$C,0,0)</f>
        <v>32500</v>
      </c>
      <c r="BJ7">
        <f>BI7*0.18</f>
        <v>5850</v>
      </c>
      <c r="BK7">
        <f>BI7*0.12</f>
        <v>3900</v>
      </c>
      <c r="BL7">
        <f>_xlfn.XLOOKUP(B7,'[6]august-2025'!$A:$A,'[6]august-2025'!$D:$D,0,0)</f>
        <v>0</v>
      </c>
      <c r="BM7">
        <f>_xlfn.XLOOKUP(B7,'[6]august-2025'!$A:$A,'[6]august-2025'!$G:$G,0,0)</f>
        <v>500</v>
      </c>
      <c r="BN7">
        <f>IF(BI7&gt;0,SUM(BI7:BM7),0)</f>
        <v>42750</v>
      </c>
      <c r="BO7">
        <f>_xlfn.XLOOKUP(B7,'[6]august-2025'!$A:$A,'[6]august-2025'!$H:$H,0,0)</f>
        <v>2000</v>
      </c>
      <c r="BP7">
        <f>_xlfn.XLOOKUP(B7,'[6]august-2025'!$A:$A,'[6]august-2025'!$I:$I,0,0)</f>
        <v>0</v>
      </c>
      <c r="BQ7">
        <f>IF($F7="YES",0,IF(BN7&gt;40000,200,IF(BN7&gt;25000,150,IF(BN7&gt;15000,130,IF(BN7&gt;10000,110,0)))))</f>
        <v>200</v>
      </c>
      <c r="BR7">
        <f>BN7-BO7-BP7-BQ7</f>
        <v>40550</v>
      </c>
      <c r="BS7">
        <f>_xlfn.XLOOKUP(B7,'[7]september-2025'!$A:$A,'[7]september-2025'!$C:$C,0,0)</f>
        <v>32500</v>
      </c>
      <c r="BT7">
        <f>BS7*0.18</f>
        <v>5850</v>
      </c>
      <c r="BU7">
        <f>BS7*0.12</f>
        <v>3900</v>
      </c>
      <c r="BV7">
        <f>_xlfn.XLOOKUP(B7,'[7]september-2025'!$A:$A,'[7]september-2025'!$D:$D,0,0)</f>
        <v>0</v>
      </c>
      <c r="BW7">
        <f>_xlfn.XLOOKUP(B7,'[7]september-2025'!$A:$A,'[7]september-2025'!$G:$G,0,0)</f>
        <v>500</v>
      </c>
      <c r="BX7">
        <f>IF(BS7&gt;0,SUM(BS7:BW7),0)</f>
        <v>42750</v>
      </c>
      <c r="BY7">
        <f>_xlfn.XLOOKUP(B7,'[7]september-2025'!$A:$A,'[7]september-2025'!$H:$H,0,0)</f>
        <v>2000</v>
      </c>
      <c r="BZ7">
        <f>_xlfn.XLOOKUP(B7,'[7]september-2025'!$A:$A,'[7]september-2025'!$I:$I,0,0)</f>
        <v>0</v>
      </c>
      <c r="CA7">
        <f>IF($F7="YES",0,IF(BX7&gt;40000,200,IF(BX7&gt;25000,150,IF(BX7&gt;15000,130,IF(BX7&gt;10000,110,0)))))</f>
        <v>200</v>
      </c>
      <c r="CB7">
        <f>BX7-BY7-BZ7-CA7</f>
        <v>40550</v>
      </c>
      <c r="CC7">
        <f>_xlfn.XLOOKUP(B7,'[8]october-2025'!$A:$A,'[8]october-2025'!$C:$C,0,0)</f>
        <v>32500</v>
      </c>
      <c r="CD7">
        <f>CC7*0.18</f>
        <v>5850</v>
      </c>
      <c r="CE7">
        <f>CC7*0.12</f>
        <v>3900</v>
      </c>
      <c r="CF7">
        <f>_xlfn.XLOOKUP(B7,'[8]october-2025'!$A:$A,'[8]october-2025'!$D:$D,0,0)</f>
        <v>0</v>
      </c>
      <c r="CG7">
        <f>_xlfn.XLOOKUP(B7,'[8]october-2025'!$A:$A,'[8]october-2025'!$G:$G,0,0)</f>
        <v>500</v>
      </c>
      <c r="CH7">
        <f>IF(CC7&gt;0,SUM(CC7:CG7),0)</f>
        <v>42750</v>
      </c>
      <c r="CI7">
        <f>_xlfn.XLOOKUP(B7,'[8]october-2025'!$A:$A,'[8]october-2025'!$H:$H,0,0)</f>
        <v>2000</v>
      </c>
      <c r="CJ7">
        <f>_xlfn.XLOOKUP(B7,'[8]october-2025'!$A:$A,'[8]october-2025'!$I:$I,0,0)</f>
        <v>0</v>
      </c>
      <c r="CK7">
        <f>IF($F7="YES",0,IF(CH7&gt;40000,200,IF(CH7&gt;25000,150,IF(CH7&gt;15000,130,IF(CH7&gt;10000,110,0)))))</f>
        <v>200</v>
      </c>
      <c r="CL7">
        <f>CH7-CI7-CJ7-CK7</f>
        <v>40550</v>
      </c>
      <c r="CM7">
        <f>_xlfn.XLOOKUP(B7,'[9]november-2025'!$A:$A,'[9]november-2025'!$C:$C,0,0)</f>
        <v>32500</v>
      </c>
      <c r="CN7">
        <f>CM7*0.18</f>
        <v>5850</v>
      </c>
      <c r="CO7">
        <f>CM7*0.12</f>
        <v>3900</v>
      </c>
      <c r="CP7">
        <f>_xlfn.XLOOKUP(B7,'[9]november-2025'!$A:$A,'[9]november-2025'!$D:$D,0,0)</f>
        <v>0</v>
      </c>
      <c r="CQ7">
        <f>_xlfn.XLOOKUP(B7,'[9]november-2025'!$A:$A,'[9]november-2025'!$G:$G,0,0)</f>
        <v>500</v>
      </c>
      <c r="CR7">
        <f>IF(CM7&gt;0,SUM(CM7:CQ7),0)</f>
        <v>42750</v>
      </c>
      <c r="CS7">
        <f>_xlfn.XLOOKUP(B7,'[9]november-2025'!$A:$A,'[9]november-2025'!$H:$H,0,0)</f>
        <v>2000</v>
      </c>
      <c r="CT7">
        <f>_xlfn.XLOOKUP(B7,'[9]november-2025'!$A:$A,'[9]november-2025'!$I:$I,0,0)</f>
        <v>0</v>
      </c>
      <c r="CU7">
        <f>IF($F7="YES",0,IF(CR7&gt;40000,200,IF(CR7&gt;25000,150,IF(CR7&gt;15000,130,IF(CR7&gt;10000,110,0)))))</f>
        <v>200</v>
      </c>
      <c r="CV7">
        <f>CR7-CS7-CT7-CU7</f>
        <v>40550</v>
      </c>
      <c r="CW7">
        <f>_xlfn.XLOOKUP(B7,'[10]december-2025'!$A:$A,'[10]december-2025'!$C:$C,0,0)</f>
        <v>32500</v>
      </c>
      <c r="CX7">
        <f>ROUND(CW7*0.18,0)</f>
        <v>5850</v>
      </c>
      <c r="CY7">
        <f>ROUND(CW7*0.12,0)</f>
        <v>3900</v>
      </c>
      <c r="CZ7">
        <f>_xlfn.XLOOKUP(B7,'[10]december-2025'!$A:$A,'[10]december-2025'!$D:$D,0,0)</f>
        <v>0</v>
      </c>
      <c r="DA7">
        <f>_xlfn.XLOOKUP(B7,'[10]december-2025'!$A:$A,'[10]december-2025'!$G:$G,0,0)</f>
        <v>500</v>
      </c>
      <c r="DB7">
        <f>IF(CW7&gt;0,SUM(CW7:DA7),0)</f>
        <v>42750</v>
      </c>
      <c r="DC7">
        <f>_xlfn.XLOOKUP(B7,'[10]december-2025'!$A:$A,'[10]december-2025'!$H:$H,0,0)</f>
        <v>2000</v>
      </c>
      <c r="DD7">
        <f>_xlfn.XLOOKUP(B7,'[10]december-2025'!$A:$A,'[10]december-2025'!$I:$I,0,0)</f>
        <v>0</v>
      </c>
      <c r="DE7">
        <f>IF($F7="YES",0,IF(DB7&gt;40000,200,IF(DB7&gt;25000,150,IF(DB7&gt;15000,130,IF(DB7&gt;10000,110,0)))))</f>
        <v>200</v>
      </c>
      <c r="DF7">
        <f>DB7-DC7-DD7-DE7</f>
        <v>40550</v>
      </c>
      <c r="DG7">
        <f>_xlfn.XLOOKUP(B7,'[11]january-2026'!$A:$A,'[11]january-2026'!$C:$C,0,0)</f>
        <v>32500</v>
      </c>
      <c r="DH7">
        <f>DG7*0.18</f>
        <v>5850</v>
      </c>
      <c r="DI7">
        <f>DG7*0.12</f>
        <v>3900</v>
      </c>
      <c r="DJ7">
        <f>_xlfn.XLOOKUP(B7,'[11]january-2026'!$A:$A,'[11]january-2026'!$D:$D,0,0)</f>
        <v>0</v>
      </c>
      <c r="DK7">
        <f>_xlfn.XLOOKUP(B7,'[11]january-2026'!$A:$A,'[11]january-2026'!$G:$G,0,0)</f>
        <v>500</v>
      </c>
      <c r="DL7">
        <f>IF(DG7&gt;0,SUM(DG7:DK7),0)</f>
        <v>42750</v>
      </c>
      <c r="DM7">
        <f>_xlfn.XLOOKUP(B7,'[11]january-2026'!$A:$A,'[11]january-2026'!$H:$H,0,0)</f>
        <v>2000</v>
      </c>
      <c r="DN7">
        <f>_xlfn.XLOOKUP(B7,'[11]january-2026'!$A:$A,'[11]january-2026'!$I:$I,0,0)</f>
        <v>0</v>
      </c>
      <c r="DO7">
        <f>IF($F7="YES",0,IF(DL7&gt;40000,200,IF(DL7&gt;25000,150,IF(DL7&gt;15000,130,IF(DL7&gt;10000,110,0)))))</f>
        <v>200</v>
      </c>
      <c r="DP7">
        <f>DL7-DM7-DN7-DO7</f>
        <v>40550</v>
      </c>
      <c r="DQ7">
        <f>_xlfn.XLOOKUP(B7,'[12]february-2026'!$A:$A,'[12]february-2026'!$C:$C,0,0)</f>
        <v>32500</v>
      </c>
      <c r="DR7">
        <f>DQ7*0.18</f>
        <v>5850</v>
      </c>
      <c r="DS7">
        <f>DQ7*0.12</f>
        <v>3900</v>
      </c>
      <c r="DT7">
        <f>_xlfn.XLOOKUP(B7,'[12]february-2026'!$A:$A,'[12]february-2026'!$D:$D,0,0)</f>
        <v>0</v>
      </c>
      <c r="DU7">
        <f>_xlfn.XLOOKUP(B7,'[12]february-2026'!$A:$A,'[12]february-2026'!$G:$G,0,0)</f>
        <v>500</v>
      </c>
      <c r="DV7">
        <f>IF(DQ7&gt;0,SUM(DQ7:DU7),0)</f>
        <v>42750</v>
      </c>
      <c r="DW7">
        <f>_xlfn.XLOOKUP(B7,'[12]february-2026'!$A:$A,'[12]february-2026'!$H:$H,0,0)</f>
        <v>2000</v>
      </c>
      <c r="DX7">
        <f>_xlfn.XLOOKUP(B7,'[12]february-2026'!$A:$A,'[12]february-2026'!$I:$I,0,0)</f>
        <v>0</v>
      </c>
      <c r="DY7">
        <f>IF($F7="YES",0,IF(DV7&gt;40000,200,IF(DV7&gt;25000,150,IF(DV7&gt;15000,130,IF(DV7&gt;10000,110,0)))))</f>
        <v>200</v>
      </c>
      <c r="DZ7">
        <f>DV7-DW7-DX7-DY7</f>
        <v>40550</v>
      </c>
      <c r="EA7">
        <f>DV7+DL7+DB7+CR7+CH7+BX7+BN7+BD7+AS7+AI7+Y7+O7+H7+I7</f>
        <v>513856</v>
      </c>
      <c r="EB7">
        <f>DY7+DO7+DE7+CU7+CK7+CA7+BQ7+BG7+AV7+AL7+AB7+R7</f>
        <v>2400</v>
      </c>
      <c r="EC7">
        <f>IF(EA7&gt;0,50000,0)</f>
        <v>50000</v>
      </c>
      <c r="ED7">
        <v>0</v>
      </c>
      <c r="EE7">
        <f>EA7-EB7-EC7</f>
        <v>461456</v>
      </c>
      <c r="EF7">
        <f>DW7+DM7+DC7+CS7+CI7+BY7+BO7+BE7+AT7+AJ7+Z7+P7</f>
        <v>24000</v>
      </c>
      <c r="EG7">
        <f>DX7+DN7+DD7+CT7+CJ7+BZ7+BP7+BF7+AU7+AK7+AA7+Q7</f>
        <v>0</v>
      </c>
      <c r="EH7">
        <v>0</v>
      </c>
      <c r="EI7">
        <v>0</v>
      </c>
      <c r="EJ7">
        <v>0</v>
      </c>
      <c r="EK7">
        <v>0</v>
      </c>
      <c r="EL7">
        <v>0</v>
      </c>
      <c r="EM7">
        <v>0</v>
      </c>
      <c r="EN7">
        <v>0</v>
      </c>
      <c r="EO7">
        <v>0</v>
      </c>
      <c r="EP7">
        <v>0</v>
      </c>
      <c r="EQ7">
        <v>0</v>
      </c>
      <c r="ER7">
        <f>SUM(EF7:EQ7)</f>
        <v>24000</v>
      </c>
      <c r="ES7">
        <f>IF(ER7&gt;=150000,150000,ER7)</f>
        <v>24000</v>
      </c>
      <c r="ET7">
        <f>EE7-ES7</f>
        <v>437456</v>
      </c>
      <c r="EU7">
        <v>0</v>
      </c>
      <c r="EV7">
        <v>0</v>
      </c>
      <c r="EW7">
        <v>0</v>
      </c>
      <c r="EX7">
        <v>0</v>
      </c>
      <c r="EY7">
        <v>0</v>
      </c>
      <c r="EZ7">
        <v>0</v>
      </c>
      <c r="FA7">
        <v>0</v>
      </c>
      <c r="FB7">
        <f>SUM(EU7:FA7)+(IF(F7="YES",50000,0))</f>
        <v>0</v>
      </c>
      <c r="FC7">
        <f>ET7-FB7</f>
        <v>437456</v>
      </c>
      <c r="FD7">
        <f>ROUND(IF(FC7&gt;0,IF(FC7&gt;500000,12500,(FC7-250000)*0.05),0),0)</f>
        <v>9373</v>
      </c>
      <c r="FE7">
        <f>IF(ROUND(IF(FC7&gt;0,IF(FC7&gt;1000000,25000,(FC7-500000)*0.2),0),0)&lt;0,0,ROUND(IF(FC7&gt;0,IF(FC7&gt;1000000,25000,(FC7-500000)*0.2),0),0))</f>
        <v>0</v>
      </c>
      <c r="FF7">
        <f>FD7+FE7</f>
        <v>9373</v>
      </c>
      <c r="FG7">
        <f>IF(FF7&lt;12500,0,FF7)</f>
        <v>0</v>
      </c>
      <c r="FH7">
        <f>FG7*0.04</f>
        <v>0</v>
      </c>
      <c r="FI7">
        <f>ROUND(FH7+FG7,0)</f>
        <v>0</v>
      </c>
      <c r="FJ7">
        <v>0</v>
      </c>
      <c r="FK7">
        <f>FI7-FJ7</f>
        <v>0</v>
      </c>
      <c r="FL7" t="b">
        <f>IF(EA7&gt;500000,TRUE,FALSE)</f>
        <v>1</v>
      </c>
      <c r="FM7">
        <f ca="1">IF(FL7,RANDBETWEEN(500,1000),RANDBETWEEN(1000,3000))</f>
        <v>600</v>
      </c>
      <c r="FN7">
        <f ca="1">EA7+FM7</f>
        <v>514456</v>
      </c>
      <c r="FO7">
        <f>IF(EA7&gt;0,75000,0)</f>
        <v>75000</v>
      </c>
      <c r="FP7">
        <f ca="1">FN7-FO7</f>
        <v>439456</v>
      </c>
      <c r="FQ7">
        <f ca="1">IF(FP7&gt;2400000,FP7-2400000,0)</f>
        <v>0</v>
      </c>
      <c r="FR7">
        <f ca="1">FQ7*0.3</f>
        <v>0</v>
      </c>
      <c r="FS7">
        <f ca="1">IF(FP7&gt;2000000,FP7-2000000,0)</f>
        <v>0</v>
      </c>
      <c r="FT7">
        <f ca="1">FS7*0.25</f>
        <v>0</v>
      </c>
      <c r="FU7">
        <f ca="1">IF(FP7&gt;1600000,FP7-1600000-FQ7,0)</f>
        <v>0</v>
      </c>
      <c r="FV7">
        <f ca="1">FU7*0.2</f>
        <v>0</v>
      </c>
      <c r="FW7">
        <f ca="1">IF(FP7&gt;1200000,FP7-1200000-IF(F7="YES",50000,0)-FU7,0)</f>
        <v>0</v>
      </c>
      <c r="FX7">
        <f ca="1">FW7*0.15</f>
        <v>0</v>
      </c>
      <c r="FY7">
        <f ca="1">IF(FP7&gt;800000,FP7-800000-FQ7-FU7-FW7,0)</f>
        <v>0</v>
      </c>
      <c r="FZ7">
        <f ca="1">FY7*0.1</f>
        <v>0</v>
      </c>
      <c r="GA7">
        <f ca="1">IF(FP7&gt;400000,FP7-400000-FQ7-FU7-FW7-FY7,0)</f>
        <v>39456</v>
      </c>
      <c r="GB7">
        <f ca="1">GA7*0.05</f>
        <v>1972.8000000000002</v>
      </c>
      <c r="GC7">
        <f ca="1">ROUND(FR7+FT7+FV7+FX7+FZ7+GB7,0)</f>
        <v>1973</v>
      </c>
      <c r="GD7">
        <f ca="1">IF(FP7&gt;1200000,FP7,0)</f>
        <v>0</v>
      </c>
      <c r="GE7">
        <f ca="1">IF(FP7&gt;1200000,GD7-1200000,0)</f>
        <v>0</v>
      </c>
      <c r="GF7">
        <f ca="1">IF(FP7&lt;1200001,MIN(GC7,60000),0)</f>
        <v>1973</v>
      </c>
      <c r="GG7">
        <f ca="1">IF(FP7&gt;1200000,GC7-GE7,0)</f>
        <v>0</v>
      </c>
      <c r="GH7" t="b">
        <f ca="1">IF(GG7&gt;0,TRUE,FALSE)</f>
        <v>0</v>
      </c>
      <c r="GI7">
        <f ca="1">IF(GH7,GG7,0)</f>
        <v>0</v>
      </c>
      <c r="GJ7">
        <f ca="1">GF7+GI7</f>
        <v>1973</v>
      </c>
      <c r="GK7">
        <f ca="1">ROUND(GC7-GJ7,0)</f>
        <v>0</v>
      </c>
      <c r="GL7">
        <f ca="1">GK7*0.04</f>
        <v>0</v>
      </c>
      <c r="GM7">
        <f ca="1">ROUNDUP(GK7+GL7,0)</f>
        <v>0</v>
      </c>
    </row>
    <row r="8" spans="1:195" x14ac:dyDescent="0.25">
      <c r="A8">
        <f>_xlfn.AGGREGATE(3,5,$B$2:B8)</f>
        <v>7</v>
      </c>
      <c r="B8" t="s">
        <v>136</v>
      </c>
      <c r="C8" t="s">
        <v>137</v>
      </c>
      <c r="D8" t="s">
        <v>752</v>
      </c>
      <c r="E8" t="s">
        <v>835</v>
      </c>
      <c r="F8" t="s">
        <v>959</v>
      </c>
      <c r="G8" t="s">
        <v>882</v>
      </c>
      <c r="H8">
        <f>IF(_xlfn.DAYS("31-03-2025",G8)&gt;=180,6800,0)</f>
        <v>6800</v>
      </c>
      <c r="I8">
        <f>_xlfn.XLOOKUP(B8,'[1]march-2025'!$A:$A,'[1]march-2025'!$J:$J,0,0)</f>
        <v>0</v>
      </c>
      <c r="J8">
        <f>_xlfn.XLOOKUP(B8,'[1]march-2025'!$A:$A,'[1]march-2025'!$C:$C,0,0)</f>
        <v>47300</v>
      </c>
      <c r="K8">
        <f>J8*0.14</f>
        <v>6622.0000000000009</v>
      </c>
      <c r="L8">
        <f>J8*0.12</f>
        <v>5676</v>
      </c>
      <c r="M8">
        <f>_xlfn.XLOOKUP(B8,'[1]march-2025'!$A:$A,'[1]march-2025'!$D:$D,0,0)</f>
        <v>400</v>
      </c>
      <c r="N8">
        <f>_xlfn.XLOOKUP(B8,'[1]march-2025'!$A:$A,'[1]march-2025'!$G:$G,0,0)</f>
        <v>500</v>
      </c>
      <c r="O8">
        <f>IF(J8&gt;0,SUM(J8:N8),0)</f>
        <v>60498</v>
      </c>
      <c r="P8">
        <f>_xlfn.XLOOKUP(B8,'[1]march-2025'!$A:$A,'[1]march-2025'!$H:$H,0,0)</f>
        <v>5000</v>
      </c>
      <c r="Q8">
        <f>_xlfn.XLOOKUP(B8,'[1]march-2025'!$A:$A,'[1]march-2025'!$I:$I,0,0)</f>
        <v>0</v>
      </c>
      <c r="R8">
        <f>IF($F8="YES",0,IF(O8&gt;40000,200,IF(O8&gt;25000,150,IF(O8&gt;15000,130,IF(O8&gt;10000,110,0)))))</f>
        <v>200</v>
      </c>
      <c r="S8">
        <f>O8-P8-Q8-R8</f>
        <v>55298</v>
      </c>
      <c r="T8">
        <f>_xlfn.XLOOKUP(B8,'[2]april-2025'!$A:$A,'[2]april-2025'!$C:$C,0,0)</f>
        <v>47300</v>
      </c>
      <c r="U8">
        <f>T8*0.18</f>
        <v>8514</v>
      </c>
      <c r="V8">
        <f>T8*0.12</f>
        <v>5676</v>
      </c>
      <c r="W8">
        <f>_xlfn.XLOOKUP(B8,'[2]april-2025'!$A:$A,'[2]april-2025'!$D:$D,0,0)</f>
        <v>400</v>
      </c>
      <c r="X8">
        <f>_xlfn.XLOOKUP(B8,'[2]april-2025'!$A:$A,'[2]april-2025'!$G:$G,0,0)</f>
        <v>500</v>
      </c>
      <c r="Y8">
        <f>IF(T8&gt;0,SUM(T8:X8),0)</f>
        <v>62390</v>
      </c>
      <c r="Z8">
        <f>_xlfn.XLOOKUP(B8,'[2]april-2025'!$A:$A,'[2]april-2025'!$H:$H,0,0)</f>
        <v>5000</v>
      </c>
      <c r="AA8">
        <f>_xlfn.XLOOKUP(B8,'[2]april-2025'!$A:$A,'[2]april-2025'!$I:$I,0,0)</f>
        <v>0</v>
      </c>
      <c r="AB8">
        <f>IF($F8="YES",0,IF(Y8&gt;40000,200,IF(Y8&gt;25000,150,IF(Y8&gt;15000,130,IF(Y8&gt;10000,110,0)))))</f>
        <v>200</v>
      </c>
      <c r="AC8">
        <f>Y8-Z8-AA8-AB8</f>
        <v>57190</v>
      </c>
      <c r="AD8">
        <f>_xlfn.XLOOKUP(B8,'[3]may-2025'!$A:$A,'[3]may-2025'!$C:$C,0,0)</f>
        <v>47300</v>
      </c>
      <c r="AE8">
        <f>AD8*0.18</f>
        <v>8514</v>
      </c>
      <c r="AF8">
        <f>AD8*0.12</f>
        <v>5676</v>
      </c>
      <c r="AG8">
        <f>_xlfn.XLOOKUP(B8,'[3]may-2025'!$A:$A,'[3]may-2025'!$D:$D,0,0)</f>
        <v>400</v>
      </c>
      <c r="AH8">
        <f>_xlfn.XLOOKUP(B8,'[3]may-2025'!$A:$A,'[3]may-2025'!$G:$G,0,0)</f>
        <v>500</v>
      </c>
      <c r="AI8">
        <f>IF(AD8&gt;0,SUM(AD8:AH8),0)</f>
        <v>62390</v>
      </c>
      <c r="AJ8">
        <f>_xlfn.XLOOKUP(B8,'[3]may-2025'!$A:$A,'[3]may-2025'!$H:$H,0,0)</f>
        <v>5000</v>
      </c>
      <c r="AK8">
        <f>_xlfn.XLOOKUP(B8,'[3]may-2025'!$A:$A,'[3]may-2025'!$I:$I,0,0)</f>
        <v>0</v>
      </c>
      <c r="AL8">
        <f>IF($F8="YES",0,IF(AI8&gt;40000,200,IF(AI8&gt;25000,150,IF(AI8&gt;15000,130,IF(AI8&gt;10000,110,0)))))</f>
        <v>200</v>
      </c>
      <c r="AM8">
        <f>AI8-AJ8-AK8-AL8</f>
        <v>57190</v>
      </c>
      <c r="AN8">
        <f>_xlfn.XLOOKUP(B8,'[4]june-2025'!$A:$A,'[4]june-2025'!$C:$C,0,0)</f>
        <v>47300</v>
      </c>
      <c r="AO8">
        <f>AN8*0.18</f>
        <v>8514</v>
      </c>
      <c r="AP8">
        <f>AN8*0.12</f>
        <v>5676</v>
      </c>
      <c r="AQ8">
        <f>_xlfn.XLOOKUP(B8,'[4]june-2025'!$A:$A,'[4]june-2025'!$D:$D,0,0)</f>
        <v>400</v>
      </c>
      <c r="AR8">
        <f>_xlfn.XLOOKUP(B8,'[4]june-2025'!$A:$A,'[4]june-2025'!$G:$G,0,0)</f>
        <v>500</v>
      </c>
      <c r="AS8">
        <f>IF(AN8&gt;0,SUM(AN8:AR8),0)</f>
        <v>62390</v>
      </c>
      <c r="AT8">
        <f>_xlfn.XLOOKUP(B8,'[4]june-2025'!$A:$A,'[4]june-2025'!$H:$H,0,0)</f>
        <v>5000</v>
      </c>
      <c r="AU8">
        <f>_xlfn.XLOOKUP(B8,'[4]june-2025'!$A:$A,'[4]june-2025'!$I:$I,0,0)</f>
        <v>0</v>
      </c>
      <c r="AV8">
        <f>IF($F8="YES",0,IF(AS8&gt;40000,200,IF(AS8&gt;25000,150,IF(AS8&gt;15000,130,IF(AS8&gt;10000,110,0)))))</f>
        <v>200</v>
      </c>
      <c r="AW8">
        <f>AS8-AT8-AU8-AV8</f>
        <v>57190</v>
      </c>
      <c r="AX8">
        <f>_xlfn.XLOOKUP(B8,'[5]july-2025'!$A:$A,'[5]july-2025'!$C:$C,0,0)</f>
        <v>48700</v>
      </c>
      <c r="AY8">
        <f>AX8*0.18</f>
        <v>8766</v>
      </c>
      <c r="AZ8">
        <v>0</v>
      </c>
      <c r="BA8">
        <f>AX8*0.12</f>
        <v>5844</v>
      </c>
      <c r="BB8">
        <f>_xlfn.XLOOKUP(B8,'[5]july-2025'!$A:$A,'[5]july-2025'!$D:$D,0,0)</f>
        <v>400</v>
      </c>
      <c r="BC8">
        <f>_xlfn.XLOOKUP(B8,'[5]july-2025'!$A:$A,'[5]july-2025'!$G:$G,0,0)</f>
        <v>500</v>
      </c>
      <c r="BD8">
        <f>IF(AX8&gt;0,SUM(AX8:BC8),0)</f>
        <v>64210</v>
      </c>
      <c r="BE8">
        <f>_xlfn.XLOOKUP(B8,'[5]july-2025'!$A:$A,'[5]july-2025'!$H:$H,0,0)</f>
        <v>5000</v>
      </c>
      <c r="BF8">
        <f>_xlfn.XLOOKUP(B8,'[5]july-2025'!$A:$A,'[5]july-2025'!$I:$I,0,0)</f>
        <v>0</v>
      </c>
      <c r="BG8">
        <f>IF($F8="YES",0,IF(BD8&gt;40000,200,IF(BD8&gt;25000,150,IF(BD8&gt;15000,130,IF(BD8&gt;10000,110,0)))))</f>
        <v>200</v>
      </c>
      <c r="BH8">
        <f>BD8-BE8-BF8-BG8</f>
        <v>59010</v>
      </c>
      <c r="BI8">
        <f>_xlfn.XLOOKUP(B8,'[6]august-2025'!$A:$A,'[6]august-2025'!$C:$C,0,0)</f>
        <v>48700</v>
      </c>
      <c r="BJ8">
        <f>BI8*0.18</f>
        <v>8766</v>
      </c>
      <c r="BK8">
        <f>BI8*0.12</f>
        <v>5844</v>
      </c>
      <c r="BL8">
        <f>_xlfn.XLOOKUP(B8,'[6]august-2025'!$A:$A,'[6]august-2025'!$D:$D,0,0)</f>
        <v>400</v>
      </c>
      <c r="BM8">
        <f>_xlfn.XLOOKUP(B8,'[6]august-2025'!$A:$A,'[6]august-2025'!$G:$G,0,0)</f>
        <v>500</v>
      </c>
      <c r="BN8">
        <f>IF(BI8&gt;0,SUM(BI8:BM8),0)</f>
        <v>64210</v>
      </c>
      <c r="BO8">
        <f>_xlfn.XLOOKUP(B8,'[6]august-2025'!$A:$A,'[6]august-2025'!$H:$H,0,0)</f>
        <v>5000</v>
      </c>
      <c r="BP8">
        <f>_xlfn.XLOOKUP(B8,'[6]august-2025'!$A:$A,'[6]august-2025'!$I:$I,0,0)</f>
        <v>0</v>
      </c>
      <c r="BQ8">
        <f>IF($F8="YES",0,IF(BN8&gt;40000,200,IF(BN8&gt;25000,150,IF(BN8&gt;15000,130,IF(BN8&gt;10000,110,0)))))</f>
        <v>200</v>
      </c>
      <c r="BR8">
        <f>BN8-BO8-BP8-BQ8</f>
        <v>59010</v>
      </c>
      <c r="BS8">
        <f>_xlfn.XLOOKUP(B8,'[7]september-2025'!$A:$A,'[7]september-2025'!$C:$C,0,0)</f>
        <v>48700</v>
      </c>
      <c r="BT8">
        <f>BS8*0.18</f>
        <v>8766</v>
      </c>
      <c r="BU8">
        <f>BS8*0.12</f>
        <v>5844</v>
      </c>
      <c r="BV8">
        <f>_xlfn.XLOOKUP(B8,'[7]september-2025'!$A:$A,'[7]september-2025'!$D:$D,0,0)</f>
        <v>400</v>
      </c>
      <c r="BW8">
        <f>_xlfn.XLOOKUP(B8,'[7]september-2025'!$A:$A,'[7]september-2025'!$G:$G,0,0)</f>
        <v>500</v>
      </c>
      <c r="BX8">
        <f>IF(BS8&gt;0,SUM(BS8:BW8),0)</f>
        <v>64210</v>
      </c>
      <c r="BY8">
        <f>_xlfn.XLOOKUP(B8,'[7]september-2025'!$A:$A,'[7]september-2025'!$H:$H,0,0)</f>
        <v>5000</v>
      </c>
      <c r="BZ8">
        <f>_xlfn.XLOOKUP(B8,'[7]september-2025'!$A:$A,'[7]september-2025'!$I:$I,0,0)</f>
        <v>0</v>
      </c>
      <c r="CA8">
        <f>IF($F8="YES",0,IF(BX8&gt;40000,200,IF(BX8&gt;25000,150,IF(BX8&gt;15000,130,IF(BX8&gt;10000,110,0)))))</f>
        <v>200</v>
      </c>
      <c r="CB8">
        <f>BX8-BY8-BZ8-CA8</f>
        <v>59010</v>
      </c>
      <c r="CC8">
        <f>_xlfn.XLOOKUP(B8,'[8]october-2025'!$A:$A,'[8]october-2025'!$C:$C,0,0)</f>
        <v>48700</v>
      </c>
      <c r="CD8">
        <f>CC8*0.18</f>
        <v>8766</v>
      </c>
      <c r="CE8">
        <f>CC8*0.12</f>
        <v>5844</v>
      </c>
      <c r="CF8">
        <f>_xlfn.XLOOKUP(B8,'[8]october-2025'!$A:$A,'[8]october-2025'!$D:$D,0,0)</f>
        <v>400</v>
      </c>
      <c r="CG8">
        <f>_xlfn.XLOOKUP(B8,'[8]october-2025'!$A:$A,'[8]october-2025'!$G:$G,0,0)</f>
        <v>500</v>
      </c>
      <c r="CH8">
        <f>IF(CC8&gt;0,SUM(CC8:CG8),0)</f>
        <v>64210</v>
      </c>
      <c r="CI8">
        <f>_xlfn.XLOOKUP(B8,'[8]october-2025'!$A:$A,'[8]october-2025'!$H:$H,0,0)</f>
        <v>5000</v>
      </c>
      <c r="CJ8">
        <f>_xlfn.XLOOKUP(B8,'[8]october-2025'!$A:$A,'[8]october-2025'!$I:$I,0,0)</f>
        <v>0</v>
      </c>
      <c r="CK8">
        <f>IF($F8="YES",0,IF(CH8&gt;40000,200,IF(CH8&gt;25000,150,IF(CH8&gt;15000,130,IF(CH8&gt;10000,110,0)))))</f>
        <v>200</v>
      </c>
      <c r="CL8">
        <f>CH8-CI8-CJ8-CK8</f>
        <v>59010</v>
      </c>
      <c r="CM8">
        <f>_xlfn.XLOOKUP(B8,'[9]november-2025'!$A:$A,'[9]november-2025'!$C:$C,0,0)</f>
        <v>48700</v>
      </c>
      <c r="CN8">
        <f>CM8*0.18</f>
        <v>8766</v>
      </c>
      <c r="CO8">
        <f>CM8*0.12</f>
        <v>5844</v>
      </c>
      <c r="CP8">
        <f>_xlfn.XLOOKUP(B8,'[9]november-2025'!$A:$A,'[9]november-2025'!$D:$D,0,0)</f>
        <v>400</v>
      </c>
      <c r="CQ8">
        <f>_xlfn.XLOOKUP(B8,'[9]november-2025'!$A:$A,'[9]november-2025'!$G:$G,0,0)</f>
        <v>500</v>
      </c>
      <c r="CR8">
        <f>IF(CM8&gt;0,SUM(CM8:CQ8),0)</f>
        <v>64210</v>
      </c>
      <c r="CS8">
        <f>_xlfn.XLOOKUP(B8,'[9]november-2025'!$A:$A,'[9]november-2025'!$H:$H,0,0)</f>
        <v>5000</v>
      </c>
      <c r="CT8">
        <f>_xlfn.XLOOKUP(B8,'[9]november-2025'!$A:$A,'[9]november-2025'!$I:$I,0,0)</f>
        <v>0</v>
      </c>
      <c r="CU8">
        <f>IF($F8="YES",0,IF(CR8&gt;40000,200,IF(CR8&gt;25000,150,IF(CR8&gt;15000,130,IF(CR8&gt;10000,110,0)))))</f>
        <v>200</v>
      </c>
      <c r="CV8">
        <f>CR8-CS8-CT8-CU8</f>
        <v>59010</v>
      </c>
      <c r="CW8">
        <f>_xlfn.XLOOKUP(B8,'[10]december-2025'!$A:$A,'[10]december-2025'!$C:$C,0,0)</f>
        <v>48700</v>
      </c>
      <c r="CX8">
        <f>ROUND(CW8*0.18,0)</f>
        <v>8766</v>
      </c>
      <c r="CY8">
        <f>ROUND(CW8*0.12,0)</f>
        <v>5844</v>
      </c>
      <c r="CZ8">
        <f>_xlfn.XLOOKUP(B8,'[10]december-2025'!$A:$A,'[10]december-2025'!$D:$D,0,0)</f>
        <v>400</v>
      </c>
      <c r="DA8">
        <f>_xlfn.XLOOKUP(B8,'[10]december-2025'!$A:$A,'[10]december-2025'!$G:$G,0,0)</f>
        <v>500</v>
      </c>
      <c r="DB8">
        <f>IF(CW8&gt;0,SUM(CW8:DA8),0)</f>
        <v>64210</v>
      </c>
      <c r="DC8">
        <f>_xlfn.XLOOKUP(B8,'[10]december-2025'!$A:$A,'[10]december-2025'!$H:$H,0,0)</f>
        <v>5000</v>
      </c>
      <c r="DD8">
        <f>_xlfn.XLOOKUP(B8,'[10]december-2025'!$A:$A,'[10]december-2025'!$I:$I,0,0)</f>
        <v>0</v>
      </c>
      <c r="DE8">
        <f>IF($F8="YES",0,IF(DB8&gt;40000,200,IF(DB8&gt;25000,150,IF(DB8&gt;15000,130,IF(DB8&gt;10000,110,0)))))</f>
        <v>200</v>
      </c>
      <c r="DF8">
        <f>DB8-DC8-DD8-DE8</f>
        <v>59010</v>
      </c>
      <c r="DG8">
        <f>_xlfn.XLOOKUP(B8,'[11]january-2026'!$A:$A,'[11]january-2026'!$C:$C,0,0)</f>
        <v>48700</v>
      </c>
      <c r="DH8">
        <f>DG8*0.18</f>
        <v>8766</v>
      </c>
      <c r="DI8">
        <f>DG8*0.12</f>
        <v>5844</v>
      </c>
      <c r="DJ8">
        <f>_xlfn.XLOOKUP(B8,'[11]january-2026'!$A:$A,'[11]january-2026'!$D:$D,0,0)</f>
        <v>400</v>
      </c>
      <c r="DK8">
        <f>_xlfn.XLOOKUP(B8,'[11]january-2026'!$A:$A,'[11]january-2026'!$G:$G,0,0)</f>
        <v>500</v>
      </c>
      <c r="DL8">
        <f>IF(DG8&gt;0,SUM(DG8:DK8),0)</f>
        <v>64210</v>
      </c>
      <c r="DM8">
        <f>_xlfn.XLOOKUP(B8,'[11]january-2026'!$A:$A,'[11]january-2026'!$H:$H,0,0)</f>
        <v>5000</v>
      </c>
      <c r="DN8">
        <f>_xlfn.XLOOKUP(B8,'[11]january-2026'!$A:$A,'[11]january-2026'!$I:$I,0,0)</f>
        <v>0</v>
      </c>
      <c r="DO8">
        <f>IF($F8="YES",0,IF(DL8&gt;40000,200,IF(DL8&gt;25000,150,IF(DL8&gt;15000,130,IF(DL8&gt;10000,110,0)))))</f>
        <v>200</v>
      </c>
      <c r="DP8">
        <f>DL8-DM8-DN8-DO8</f>
        <v>59010</v>
      </c>
      <c r="DQ8">
        <f>_xlfn.XLOOKUP(B8,'[12]february-2026'!$A:$A,'[12]february-2026'!$C:$C,0,0)</f>
        <v>48700</v>
      </c>
      <c r="DR8">
        <f>DQ8*0.18</f>
        <v>8766</v>
      </c>
      <c r="DS8">
        <f>DQ8*0.12</f>
        <v>5844</v>
      </c>
      <c r="DT8">
        <f>_xlfn.XLOOKUP(B8,'[12]february-2026'!$A:$A,'[12]february-2026'!$D:$D,0,0)</f>
        <v>400</v>
      </c>
      <c r="DU8">
        <f>_xlfn.XLOOKUP(B8,'[12]february-2026'!$A:$A,'[12]february-2026'!$G:$G,0,0)</f>
        <v>500</v>
      </c>
      <c r="DV8">
        <f>IF(DQ8&gt;0,SUM(DQ8:DU8),0)</f>
        <v>64210</v>
      </c>
      <c r="DW8">
        <f>_xlfn.XLOOKUP(B8,'[12]february-2026'!$A:$A,'[12]february-2026'!$H:$H,0,0)</f>
        <v>5000</v>
      </c>
      <c r="DX8">
        <f>_xlfn.XLOOKUP(B8,'[12]february-2026'!$A:$A,'[12]february-2026'!$I:$I,0,0)</f>
        <v>0</v>
      </c>
      <c r="DY8">
        <f>IF($F8="YES",0,IF(DV8&gt;40000,200,IF(DV8&gt;25000,150,IF(DV8&gt;15000,130,IF(DV8&gt;10000,110,0)))))</f>
        <v>200</v>
      </c>
      <c r="DZ8">
        <f>DV8-DW8-DX8-DY8</f>
        <v>59010</v>
      </c>
      <c r="EA8">
        <f>DV8+DL8+DB8+CR8+CH8+BX8+BN8+BD8+AS8+AI8+Y8+O8+H8+I8</f>
        <v>768148</v>
      </c>
      <c r="EB8">
        <f>DY8+DO8+DE8+CU8+CK8+CA8+BQ8+BG8+AV8+AL8+AB8+R8</f>
        <v>2400</v>
      </c>
      <c r="EC8">
        <f>IF(EA8&gt;0,50000,0)</f>
        <v>50000</v>
      </c>
      <c r="ED8">
        <v>0</v>
      </c>
      <c r="EE8">
        <f>EA8-EB8-EC8</f>
        <v>715748</v>
      </c>
      <c r="EF8">
        <f>DW8+DM8+DC8+CS8+CI8+BY8+BO8+BE8+AT8+AJ8+Z8+P8</f>
        <v>60000</v>
      </c>
      <c r="EG8">
        <f>DX8+DN8+DD8+CT8+CJ8+BZ8+BP8+BF8+AU8+AK8+AA8+Q8</f>
        <v>0</v>
      </c>
      <c r="EH8">
        <v>0</v>
      </c>
      <c r="EI8">
        <v>0</v>
      </c>
      <c r="EJ8">
        <v>0</v>
      </c>
      <c r="EK8">
        <v>0</v>
      </c>
      <c r="EL8">
        <v>0</v>
      </c>
      <c r="EM8">
        <v>0</v>
      </c>
      <c r="EN8">
        <v>0</v>
      </c>
      <c r="EO8">
        <v>0</v>
      </c>
      <c r="EP8">
        <v>0</v>
      </c>
      <c r="EQ8">
        <v>0</v>
      </c>
      <c r="ER8">
        <f>SUM(EF8:EQ8)</f>
        <v>60000</v>
      </c>
      <c r="ES8">
        <f>IF(ER8&gt;=150000,150000,ER8)</f>
        <v>60000</v>
      </c>
      <c r="ET8">
        <f>EE8-ES8</f>
        <v>655748</v>
      </c>
      <c r="EU8">
        <v>0</v>
      </c>
      <c r="EV8">
        <v>0</v>
      </c>
      <c r="EW8">
        <v>0</v>
      </c>
      <c r="EX8">
        <v>0</v>
      </c>
      <c r="EY8">
        <v>0</v>
      </c>
      <c r="EZ8">
        <v>0</v>
      </c>
      <c r="FA8">
        <v>0</v>
      </c>
      <c r="FB8">
        <f>SUM(EU8:FA8)+(IF(F8="YES",50000,0))</f>
        <v>0</v>
      </c>
      <c r="FC8">
        <f>ET8-FB8</f>
        <v>655748</v>
      </c>
      <c r="FD8">
        <f>ROUND(IF(FC8&gt;0,IF(FC8&gt;500000,12500,(FC8-250000)*0.05),0),0)</f>
        <v>12500</v>
      </c>
      <c r="FE8">
        <f>IF(ROUND(IF(FC8&gt;0,IF(FC8&gt;1000000,25000,(FC8-500000)*0.2),0),0)&lt;0,0,ROUND(IF(FC8&gt;0,IF(FC8&gt;1000000,25000,(FC8-500000)*0.2),0),0))</f>
        <v>31150</v>
      </c>
      <c r="FF8">
        <f>FD8+FE8</f>
        <v>43650</v>
      </c>
      <c r="FG8">
        <f>IF(FF8&lt;12500,0,FF8)</f>
        <v>43650</v>
      </c>
      <c r="FH8">
        <f>FG8*0.04</f>
        <v>1746</v>
      </c>
      <c r="FI8">
        <f>ROUND(FH8+FG8,0)</f>
        <v>45396</v>
      </c>
      <c r="FJ8">
        <v>0</v>
      </c>
      <c r="FK8">
        <f>FI8-FJ8</f>
        <v>45396</v>
      </c>
      <c r="FL8" t="b">
        <f>IF(EA8&gt;500000,TRUE,FALSE)</f>
        <v>1</v>
      </c>
      <c r="FM8">
        <f ca="1">IF(FL8,RANDBETWEEN(500,1000),RANDBETWEEN(1000,3000))</f>
        <v>508</v>
      </c>
      <c r="FN8">
        <f ca="1">EA8+FM8</f>
        <v>768656</v>
      </c>
      <c r="FO8">
        <f>IF(EA8&gt;0,75000,0)</f>
        <v>75000</v>
      </c>
      <c r="FP8">
        <f ca="1">FN8-FO8</f>
        <v>693656</v>
      </c>
      <c r="FQ8">
        <f ca="1">IF(FP8&gt;2400000,FP8-2400000,0)</f>
        <v>0</v>
      </c>
      <c r="FR8">
        <f ca="1">FQ8*0.3</f>
        <v>0</v>
      </c>
      <c r="FS8">
        <f ca="1">IF(FP8&gt;2000000,FP8-2000000,0)</f>
        <v>0</v>
      </c>
      <c r="FT8">
        <f ca="1">FS8*0.25</f>
        <v>0</v>
      </c>
      <c r="FU8">
        <f ca="1">IF(FP8&gt;1600000,FP8-1600000-FQ8,0)</f>
        <v>0</v>
      </c>
      <c r="FV8">
        <f ca="1">FU8*0.2</f>
        <v>0</v>
      </c>
      <c r="FW8">
        <f ca="1">IF(FP8&gt;1200000,FP8-1200000-IF(F8="YES",50000,0)-FU8,0)</f>
        <v>0</v>
      </c>
      <c r="FX8">
        <f ca="1">FW8*0.15</f>
        <v>0</v>
      </c>
      <c r="FY8">
        <f ca="1">IF(FP8&gt;800000,FP8-800000-FQ8-FU8-FW8,0)</f>
        <v>0</v>
      </c>
      <c r="FZ8">
        <f ca="1">FY8*0.1</f>
        <v>0</v>
      </c>
      <c r="GA8">
        <f ca="1">IF(FP8&gt;400000,FP8-400000-FQ8-FU8-FW8-FY8,0)</f>
        <v>293656</v>
      </c>
      <c r="GB8">
        <f ca="1">GA8*0.05</f>
        <v>14682.800000000001</v>
      </c>
      <c r="GC8">
        <f ca="1">ROUND(FR8+FT8+FV8+FX8+FZ8+GB8,0)</f>
        <v>14683</v>
      </c>
      <c r="GD8">
        <f ca="1">IF(FP8&gt;1200000,FP8,0)</f>
        <v>0</v>
      </c>
      <c r="GE8">
        <f ca="1">IF(FP8&gt;1200000,GD8-1200000,0)</f>
        <v>0</v>
      </c>
      <c r="GF8">
        <f ca="1">IF(FP8&lt;1200001,MIN(GC8,60000),0)</f>
        <v>14683</v>
      </c>
      <c r="GG8">
        <f ca="1">IF(FP8&gt;1200000,GC8-GE8,0)</f>
        <v>0</v>
      </c>
      <c r="GH8" t="b">
        <f ca="1">IF(GG8&gt;0,TRUE,FALSE)</f>
        <v>0</v>
      </c>
      <c r="GI8">
        <f ca="1">IF(GH8,GG8,0)</f>
        <v>0</v>
      </c>
      <c r="GJ8">
        <f ca="1">GF8+GI8</f>
        <v>14683</v>
      </c>
      <c r="GK8">
        <f ca="1">ROUND(GC8-GJ8,0)</f>
        <v>0</v>
      </c>
      <c r="GL8">
        <f ca="1">GK8*0.04</f>
        <v>0</v>
      </c>
      <c r="GM8">
        <f ca="1">ROUNDUP(GK8+GL8,0)</f>
        <v>0</v>
      </c>
    </row>
    <row r="9" spans="1:195" x14ac:dyDescent="0.25">
      <c r="A9">
        <f>_xlfn.AGGREGATE(3,5,$B$2:B9)</f>
        <v>8</v>
      </c>
      <c r="B9" t="s">
        <v>138</v>
      </c>
      <c r="C9" t="s">
        <v>139</v>
      </c>
      <c r="D9" t="s">
        <v>752</v>
      </c>
      <c r="E9" t="s">
        <v>833</v>
      </c>
      <c r="F9" t="s">
        <v>959</v>
      </c>
      <c r="G9" t="s">
        <v>880</v>
      </c>
      <c r="H9">
        <f>IF(_xlfn.DAYS("31-03-2025",G9)&gt;=180,6800,0)</f>
        <v>6800</v>
      </c>
      <c r="I9">
        <f>_xlfn.XLOOKUP(B9,'[1]march-2025'!$A:$A,'[1]march-2025'!$J:$J,0,0)</f>
        <v>0</v>
      </c>
      <c r="J9">
        <f>_xlfn.XLOOKUP(B9,'[1]march-2025'!$A:$A,'[1]march-2025'!$C:$C,0,0)</f>
        <v>34500</v>
      </c>
      <c r="K9">
        <f>J9*0.14</f>
        <v>4830.0000000000009</v>
      </c>
      <c r="L9">
        <f>J9*0.12</f>
        <v>4140</v>
      </c>
      <c r="M9">
        <f>_xlfn.XLOOKUP(B9,'[1]march-2025'!$A:$A,'[1]march-2025'!$D:$D,0,0)</f>
        <v>0</v>
      </c>
      <c r="N9">
        <f>_xlfn.XLOOKUP(B9,'[1]march-2025'!$A:$A,'[1]march-2025'!$G:$G,0,0)</f>
        <v>500</v>
      </c>
      <c r="O9">
        <f>IF(J9&gt;0,SUM(J9:N9),0)</f>
        <v>43970</v>
      </c>
      <c r="P9">
        <f>_xlfn.XLOOKUP(B9,'[1]march-2025'!$A:$A,'[1]march-2025'!$H:$H,0,0)</f>
        <v>5000</v>
      </c>
      <c r="Q9">
        <f>_xlfn.XLOOKUP(B9,'[1]march-2025'!$A:$A,'[1]march-2025'!$I:$I,0,0)</f>
        <v>0</v>
      </c>
      <c r="R9">
        <f>IF($F9="YES",0,IF(O9&gt;40000,200,IF(O9&gt;25000,150,IF(O9&gt;15000,130,IF(O9&gt;10000,110,0)))))</f>
        <v>200</v>
      </c>
      <c r="S9">
        <f>O9-P9-Q9-R9</f>
        <v>38770</v>
      </c>
      <c r="T9">
        <f>_xlfn.XLOOKUP(B9,'[2]april-2025'!$A:$A,'[2]april-2025'!$C:$C,0,0)</f>
        <v>34500</v>
      </c>
      <c r="U9">
        <f>T9*0.18</f>
        <v>6210</v>
      </c>
      <c r="V9">
        <f>T9*0.12</f>
        <v>4140</v>
      </c>
      <c r="W9">
        <f>_xlfn.XLOOKUP(B9,'[2]april-2025'!$A:$A,'[2]april-2025'!$D:$D,0,0)</f>
        <v>0</v>
      </c>
      <c r="X9">
        <f>_xlfn.XLOOKUP(B9,'[2]april-2025'!$A:$A,'[2]april-2025'!$G:$G,0,0)</f>
        <v>500</v>
      </c>
      <c r="Y9">
        <f>IF(T9&gt;0,SUM(T9:X9),0)</f>
        <v>45350</v>
      </c>
      <c r="Z9">
        <f>_xlfn.XLOOKUP(B9,'[2]april-2025'!$A:$A,'[2]april-2025'!$H:$H,0,0)</f>
        <v>5000</v>
      </c>
      <c r="AA9">
        <f>_xlfn.XLOOKUP(B9,'[2]april-2025'!$A:$A,'[2]april-2025'!$I:$I,0,0)</f>
        <v>0</v>
      </c>
      <c r="AB9">
        <f>IF($F9="YES",0,IF(Y9&gt;40000,200,IF(Y9&gt;25000,150,IF(Y9&gt;15000,130,IF(Y9&gt;10000,110,0)))))</f>
        <v>200</v>
      </c>
      <c r="AC9">
        <f>Y9-Z9-AA9-AB9</f>
        <v>40150</v>
      </c>
      <c r="AD9">
        <f>_xlfn.XLOOKUP(B9,'[3]may-2025'!$A:$A,'[3]may-2025'!$C:$C,0,0)</f>
        <v>34500</v>
      </c>
      <c r="AE9">
        <f>AD9*0.18</f>
        <v>6210</v>
      </c>
      <c r="AF9">
        <f>AD9*0.12</f>
        <v>4140</v>
      </c>
      <c r="AG9">
        <f>_xlfn.XLOOKUP(B9,'[3]may-2025'!$A:$A,'[3]may-2025'!$D:$D,0,0)</f>
        <v>0</v>
      </c>
      <c r="AH9">
        <f>_xlfn.XLOOKUP(B9,'[3]may-2025'!$A:$A,'[3]may-2025'!$G:$G,0,0)</f>
        <v>500</v>
      </c>
      <c r="AI9">
        <f>IF(AD9&gt;0,SUM(AD9:AH9),0)</f>
        <v>45350</v>
      </c>
      <c r="AJ9">
        <f>_xlfn.XLOOKUP(B9,'[3]may-2025'!$A:$A,'[3]may-2025'!$H:$H,0,0)</f>
        <v>5000</v>
      </c>
      <c r="AK9">
        <f>_xlfn.XLOOKUP(B9,'[3]may-2025'!$A:$A,'[3]may-2025'!$I:$I,0,0)</f>
        <v>0</v>
      </c>
      <c r="AL9">
        <f>IF($F9="YES",0,IF(AI9&gt;40000,200,IF(AI9&gt;25000,150,IF(AI9&gt;15000,130,IF(AI9&gt;10000,110,0)))))</f>
        <v>200</v>
      </c>
      <c r="AM9">
        <f>AI9-AJ9-AK9-AL9</f>
        <v>40150</v>
      </c>
      <c r="AN9">
        <f>_xlfn.XLOOKUP(B9,'[4]june-2025'!$A:$A,'[4]june-2025'!$C:$C,0,0)</f>
        <v>34500</v>
      </c>
      <c r="AO9">
        <f>AN9*0.18</f>
        <v>6210</v>
      </c>
      <c r="AP9">
        <f>AN9*0.12</f>
        <v>4140</v>
      </c>
      <c r="AQ9">
        <f>_xlfn.XLOOKUP(B9,'[4]june-2025'!$A:$A,'[4]june-2025'!$D:$D,0,0)</f>
        <v>0</v>
      </c>
      <c r="AR9">
        <f>_xlfn.XLOOKUP(B9,'[4]june-2025'!$A:$A,'[4]june-2025'!$G:$G,0,0)</f>
        <v>500</v>
      </c>
      <c r="AS9">
        <f>IF(AN9&gt;0,SUM(AN9:AR9),0)</f>
        <v>45350</v>
      </c>
      <c r="AT9">
        <f>_xlfn.XLOOKUP(B9,'[4]june-2025'!$A:$A,'[4]june-2025'!$H:$H,0,0)</f>
        <v>5000</v>
      </c>
      <c r="AU9">
        <f>_xlfn.XLOOKUP(B9,'[4]june-2025'!$A:$A,'[4]june-2025'!$I:$I,0,0)</f>
        <v>0</v>
      </c>
      <c r="AV9">
        <f>IF($F9="YES",0,IF(AS9&gt;40000,200,IF(AS9&gt;25000,150,IF(AS9&gt;15000,130,IF(AS9&gt;10000,110,0)))))</f>
        <v>200</v>
      </c>
      <c r="AW9">
        <f>AS9-AT9-AU9-AV9</f>
        <v>40150</v>
      </c>
      <c r="AX9">
        <f>_xlfn.XLOOKUP(B9,'[5]july-2025'!$A:$A,'[5]july-2025'!$C:$C,0,0)</f>
        <v>35500</v>
      </c>
      <c r="AY9">
        <f>AX9*0.18</f>
        <v>6390</v>
      </c>
      <c r="AZ9">
        <v>0</v>
      </c>
      <c r="BA9">
        <f>AX9*0.12</f>
        <v>4260</v>
      </c>
      <c r="BB9">
        <f>_xlfn.XLOOKUP(B9,'[5]july-2025'!$A:$A,'[5]july-2025'!$D:$D,0,0)</f>
        <v>0</v>
      </c>
      <c r="BC9">
        <f>_xlfn.XLOOKUP(B9,'[5]july-2025'!$A:$A,'[5]july-2025'!$G:$G,0,0)</f>
        <v>500</v>
      </c>
      <c r="BD9">
        <f>IF(AX9&gt;0,SUM(AX9:BC9),0)</f>
        <v>46650</v>
      </c>
      <c r="BE9">
        <f>_xlfn.XLOOKUP(B9,'[5]july-2025'!$A:$A,'[5]july-2025'!$H:$H,0,0)</f>
        <v>5000</v>
      </c>
      <c r="BF9">
        <f>_xlfn.XLOOKUP(B9,'[5]july-2025'!$A:$A,'[5]july-2025'!$I:$I,0,0)</f>
        <v>0</v>
      </c>
      <c r="BG9">
        <f>IF($F9="YES",0,IF(BD9&gt;40000,200,IF(BD9&gt;25000,150,IF(BD9&gt;15000,130,IF(BD9&gt;10000,110,0)))))</f>
        <v>200</v>
      </c>
      <c r="BH9">
        <f>BD9-BE9-BF9-BG9</f>
        <v>41450</v>
      </c>
      <c r="BI9">
        <f>_xlfn.XLOOKUP(B9,'[6]august-2025'!$A:$A,'[6]august-2025'!$C:$C,0,0)</f>
        <v>35500</v>
      </c>
      <c r="BJ9">
        <f>BI9*0.18</f>
        <v>6390</v>
      </c>
      <c r="BK9">
        <f>BI9*0.12</f>
        <v>4260</v>
      </c>
      <c r="BL9">
        <f>_xlfn.XLOOKUP(B9,'[6]august-2025'!$A:$A,'[6]august-2025'!$D:$D,0,0)</f>
        <v>0</v>
      </c>
      <c r="BM9">
        <f>_xlfn.XLOOKUP(B9,'[6]august-2025'!$A:$A,'[6]august-2025'!$G:$G,0,0)</f>
        <v>500</v>
      </c>
      <c r="BN9">
        <f>IF(BI9&gt;0,SUM(BI9:BM9),0)</f>
        <v>46650</v>
      </c>
      <c r="BO9">
        <f>_xlfn.XLOOKUP(B9,'[6]august-2025'!$A:$A,'[6]august-2025'!$H:$H,0,0)</f>
        <v>5000</v>
      </c>
      <c r="BP9">
        <f>_xlfn.XLOOKUP(B9,'[6]august-2025'!$A:$A,'[6]august-2025'!$I:$I,0,0)</f>
        <v>0</v>
      </c>
      <c r="BQ9">
        <f>IF($F9="YES",0,IF(BN9&gt;40000,200,IF(BN9&gt;25000,150,IF(BN9&gt;15000,130,IF(BN9&gt;10000,110,0)))))</f>
        <v>200</v>
      </c>
      <c r="BR9">
        <f>BN9-BO9-BP9-BQ9</f>
        <v>41450</v>
      </c>
      <c r="BS9">
        <f>_xlfn.XLOOKUP(B9,'[7]september-2025'!$A:$A,'[7]september-2025'!$C:$C,0,0)</f>
        <v>35500</v>
      </c>
      <c r="BT9">
        <f>BS9*0.18</f>
        <v>6390</v>
      </c>
      <c r="BU9">
        <f>BS9*0.12</f>
        <v>4260</v>
      </c>
      <c r="BV9">
        <f>_xlfn.XLOOKUP(B9,'[7]september-2025'!$A:$A,'[7]september-2025'!$D:$D,0,0)</f>
        <v>0</v>
      </c>
      <c r="BW9">
        <f>_xlfn.XLOOKUP(B9,'[7]september-2025'!$A:$A,'[7]september-2025'!$G:$G,0,0)</f>
        <v>500</v>
      </c>
      <c r="BX9">
        <f>IF(BS9&gt;0,SUM(BS9:BW9),0)</f>
        <v>46650</v>
      </c>
      <c r="BY9">
        <f>_xlfn.XLOOKUP(B9,'[7]september-2025'!$A:$A,'[7]september-2025'!$H:$H,0,0)</f>
        <v>5000</v>
      </c>
      <c r="BZ9">
        <f>_xlfn.XLOOKUP(B9,'[7]september-2025'!$A:$A,'[7]september-2025'!$I:$I,0,0)</f>
        <v>0</v>
      </c>
      <c r="CA9">
        <f>IF($F9="YES",0,IF(BX9&gt;40000,200,IF(BX9&gt;25000,150,IF(BX9&gt;15000,130,IF(BX9&gt;10000,110,0)))))</f>
        <v>200</v>
      </c>
      <c r="CB9">
        <f>BX9-BY9-BZ9-CA9</f>
        <v>41450</v>
      </c>
      <c r="CC9">
        <f>_xlfn.XLOOKUP(B9,'[8]october-2025'!$A:$A,'[8]october-2025'!$C:$C,0,0)</f>
        <v>35500</v>
      </c>
      <c r="CD9">
        <f>CC9*0.18</f>
        <v>6390</v>
      </c>
      <c r="CE9">
        <f>CC9*0.12</f>
        <v>4260</v>
      </c>
      <c r="CF9">
        <f>_xlfn.XLOOKUP(B9,'[8]october-2025'!$A:$A,'[8]october-2025'!$D:$D,0,0)</f>
        <v>0</v>
      </c>
      <c r="CG9">
        <f>_xlfn.XLOOKUP(B9,'[8]october-2025'!$A:$A,'[8]october-2025'!$G:$G,0,0)</f>
        <v>500</v>
      </c>
      <c r="CH9">
        <f>IF(CC9&gt;0,SUM(CC9:CG9),0)</f>
        <v>46650</v>
      </c>
      <c r="CI9">
        <f>_xlfn.XLOOKUP(B9,'[8]october-2025'!$A:$A,'[8]october-2025'!$H:$H,0,0)</f>
        <v>5000</v>
      </c>
      <c r="CJ9">
        <f>_xlfn.XLOOKUP(B9,'[8]october-2025'!$A:$A,'[8]october-2025'!$I:$I,0,0)</f>
        <v>0</v>
      </c>
      <c r="CK9">
        <f>IF($F9="YES",0,IF(CH9&gt;40000,200,IF(CH9&gt;25000,150,IF(CH9&gt;15000,130,IF(CH9&gt;10000,110,0)))))</f>
        <v>200</v>
      </c>
      <c r="CL9">
        <f>CH9-CI9-CJ9-CK9</f>
        <v>41450</v>
      </c>
      <c r="CM9">
        <f>_xlfn.XLOOKUP(B9,'[9]november-2025'!$A:$A,'[9]november-2025'!$C:$C,0,0)</f>
        <v>35500</v>
      </c>
      <c r="CN9">
        <f>CM9*0.18</f>
        <v>6390</v>
      </c>
      <c r="CO9">
        <f>CM9*0.12</f>
        <v>4260</v>
      </c>
      <c r="CP9">
        <f>_xlfn.XLOOKUP(B9,'[9]november-2025'!$A:$A,'[9]november-2025'!$D:$D,0,0)</f>
        <v>0</v>
      </c>
      <c r="CQ9">
        <f>_xlfn.XLOOKUP(B9,'[9]november-2025'!$A:$A,'[9]november-2025'!$G:$G,0,0)</f>
        <v>500</v>
      </c>
      <c r="CR9">
        <f>IF(CM9&gt;0,SUM(CM9:CQ9),0)</f>
        <v>46650</v>
      </c>
      <c r="CS9">
        <f>_xlfn.XLOOKUP(B9,'[9]november-2025'!$A:$A,'[9]november-2025'!$H:$H,0,0)</f>
        <v>5000</v>
      </c>
      <c r="CT9">
        <f>_xlfn.XLOOKUP(B9,'[9]november-2025'!$A:$A,'[9]november-2025'!$I:$I,0,0)</f>
        <v>0</v>
      </c>
      <c r="CU9">
        <f>IF($F9="YES",0,IF(CR9&gt;40000,200,IF(CR9&gt;25000,150,IF(CR9&gt;15000,130,IF(CR9&gt;10000,110,0)))))</f>
        <v>200</v>
      </c>
      <c r="CV9">
        <f>CR9-CS9-CT9-CU9</f>
        <v>41450</v>
      </c>
      <c r="CW9">
        <f>_xlfn.XLOOKUP(B9,'[10]december-2025'!$A:$A,'[10]december-2025'!$C:$C,0,0)</f>
        <v>35500</v>
      </c>
      <c r="CX9">
        <f>ROUND(CW9*0.18,0)</f>
        <v>6390</v>
      </c>
      <c r="CY9">
        <f>ROUND(CW9*0.12,0)</f>
        <v>4260</v>
      </c>
      <c r="CZ9">
        <f>_xlfn.XLOOKUP(B9,'[10]december-2025'!$A:$A,'[10]december-2025'!$D:$D,0,0)</f>
        <v>0</v>
      </c>
      <c r="DA9">
        <f>_xlfn.XLOOKUP(B9,'[10]december-2025'!$A:$A,'[10]december-2025'!$G:$G,0,0)</f>
        <v>500</v>
      </c>
      <c r="DB9">
        <f>IF(CW9&gt;0,SUM(CW9:DA9),0)</f>
        <v>46650</v>
      </c>
      <c r="DC9">
        <f>_xlfn.XLOOKUP(B9,'[10]december-2025'!$A:$A,'[10]december-2025'!$H:$H,0,0)</f>
        <v>5000</v>
      </c>
      <c r="DD9">
        <f>_xlfn.XLOOKUP(B9,'[10]december-2025'!$A:$A,'[10]december-2025'!$I:$I,0,0)</f>
        <v>0</v>
      </c>
      <c r="DE9">
        <f>IF($F9="YES",0,IF(DB9&gt;40000,200,IF(DB9&gt;25000,150,IF(DB9&gt;15000,130,IF(DB9&gt;10000,110,0)))))</f>
        <v>200</v>
      </c>
      <c r="DF9">
        <f>DB9-DC9-DD9-DE9</f>
        <v>41450</v>
      </c>
      <c r="DG9">
        <f>_xlfn.XLOOKUP(B9,'[11]january-2026'!$A:$A,'[11]january-2026'!$C:$C,0,0)</f>
        <v>35500</v>
      </c>
      <c r="DH9">
        <f>DG9*0.18</f>
        <v>6390</v>
      </c>
      <c r="DI9">
        <f>DG9*0.12</f>
        <v>4260</v>
      </c>
      <c r="DJ9">
        <f>_xlfn.XLOOKUP(B9,'[11]january-2026'!$A:$A,'[11]january-2026'!$D:$D,0,0)</f>
        <v>0</v>
      </c>
      <c r="DK9">
        <f>_xlfn.XLOOKUP(B9,'[11]january-2026'!$A:$A,'[11]january-2026'!$G:$G,0,0)</f>
        <v>500</v>
      </c>
      <c r="DL9">
        <f>IF(DG9&gt;0,SUM(DG9:DK9),0)</f>
        <v>46650</v>
      </c>
      <c r="DM9">
        <f>_xlfn.XLOOKUP(B9,'[11]january-2026'!$A:$A,'[11]january-2026'!$H:$H,0,0)</f>
        <v>5000</v>
      </c>
      <c r="DN9">
        <f>_xlfn.XLOOKUP(B9,'[11]january-2026'!$A:$A,'[11]january-2026'!$I:$I,0,0)</f>
        <v>0</v>
      </c>
      <c r="DO9">
        <f>IF($F9="YES",0,IF(DL9&gt;40000,200,IF(DL9&gt;25000,150,IF(DL9&gt;15000,130,IF(DL9&gt;10000,110,0)))))</f>
        <v>200</v>
      </c>
      <c r="DP9">
        <f>DL9-DM9-DN9-DO9</f>
        <v>41450</v>
      </c>
      <c r="DQ9">
        <f>_xlfn.XLOOKUP(B9,'[12]february-2026'!$A:$A,'[12]february-2026'!$C:$C,0,0)</f>
        <v>35500</v>
      </c>
      <c r="DR9">
        <f>DQ9*0.18</f>
        <v>6390</v>
      </c>
      <c r="DS9">
        <f>DQ9*0.12</f>
        <v>4260</v>
      </c>
      <c r="DT9">
        <f>_xlfn.XLOOKUP(B9,'[12]february-2026'!$A:$A,'[12]february-2026'!$D:$D,0,0)</f>
        <v>0</v>
      </c>
      <c r="DU9">
        <f>_xlfn.XLOOKUP(B9,'[12]february-2026'!$A:$A,'[12]february-2026'!$G:$G,0,0)</f>
        <v>500</v>
      </c>
      <c r="DV9">
        <f>IF(DQ9&gt;0,SUM(DQ9:DU9),0)</f>
        <v>46650</v>
      </c>
      <c r="DW9">
        <f>_xlfn.XLOOKUP(B9,'[12]february-2026'!$A:$A,'[12]february-2026'!$H:$H,0,0)</f>
        <v>5000</v>
      </c>
      <c r="DX9">
        <f>_xlfn.XLOOKUP(B9,'[12]february-2026'!$A:$A,'[12]february-2026'!$I:$I,0,0)</f>
        <v>0</v>
      </c>
      <c r="DY9">
        <f>IF($F9="YES",0,IF(DV9&gt;40000,200,IF(DV9&gt;25000,150,IF(DV9&gt;15000,130,IF(DV9&gt;10000,110,0)))))</f>
        <v>200</v>
      </c>
      <c r="DZ9">
        <f>DV9-DW9-DX9-DY9</f>
        <v>41450</v>
      </c>
      <c r="EA9">
        <f>DV9+DL9+DB9+CR9+CH9+BX9+BN9+BD9+AS9+AI9+Y9+O9+H9+I9</f>
        <v>560020</v>
      </c>
      <c r="EB9">
        <f>DY9+DO9+DE9+CU9+CK9+CA9+BQ9+BG9+AV9+AL9+AB9+R9</f>
        <v>2400</v>
      </c>
      <c r="EC9">
        <f>IF(EA9&gt;0,50000,0)</f>
        <v>50000</v>
      </c>
      <c r="ED9">
        <v>0</v>
      </c>
      <c r="EE9">
        <f>EA9-EB9-EC9</f>
        <v>507620</v>
      </c>
      <c r="EF9">
        <f>DW9+DM9+DC9+CS9+CI9+BY9+BO9+BE9+AT9+AJ9+Z9+P9</f>
        <v>60000</v>
      </c>
      <c r="EG9">
        <f>DX9+DN9+DD9+CT9+CJ9+BZ9+BP9+BF9+AU9+AK9+AA9+Q9</f>
        <v>0</v>
      </c>
      <c r="EH9">
        <v>0</v>
      </c>
      <c r="EI9">
        <v>0</v>
      </c>
      <c r="EJ9">
        <v>0</v>
      </c>
      <c r="EK9">
        <v>0</v>
      </c>
      <c r="EL9">
        <v>0</v>
      </c>
      <c r="EM9">
        <v>0</v>
      </c>
      <c r="EN9">
        <v>0</v>
      </c>
      <c r="EO9">
        <v>0</v>
      </c>
      <c r="EP9">
        <v>0</v>
      </c>
      <c r="EQ9">
        <v>0</v>
      </c>
      <c r="ER9">
        <f>SUM(EF9:EQ9)</f>
        <v>60000</v>
      </c>
      <c r="ES9">
        <f>IF(ER9&gt;=150000,150000,ER9)</f>
        <v>60000</v>
      </c>
      <c r="ET9">
        <f>EE9-ES9</f>
        <v>447620</v>
      </c>
      <c r="EU9">
        <v>0</v>
      </c>
      <c r="EV9">
        <v>0</v>
      </c>
      <c r="EW9">
        <v>0</v>
      </c>
      <c r="EX9">
        <v>0</v>
      </c>
      <c r="EY9">
        <v>0</v>
      </c>
      <c r="EZ9">
        <v>0</v>
      </c>
      <c r="FA9">
        <v>0</v>
      </c>
      <c r="FB9">
        <f>SUM(EU9:FA9)+(IF(F9="YES",50000,0))</f>
        <v>0</v>
      </c>
      <c r="FC9">
        <f>ET9-FB9</f>
        <v>447620</v>
      </c>
      <c r="FD9">
        <f>ROUND(IF(FC9&gt;0,IF(FC9&gt;500000,12500,(FC9-250000)*0.05),0),0)</f>
        <v>9881</v>
      </c>
      <c r="FE9">
        <f>IF(ROUND(IF(FC9&gt;0,IF(FC9&gt;1000000,25000,(FC9-500000)*0.2),0),0)&lt;0,0,ROUND(IF(FC9&gt;0,IF(FC9&gt;1000000,25000,(FC9-500000)*0.2),0),0))</f>
        <v>0</v>
      </c>
      <c r="FF9">
        <f>FD9+FE9</f>
        <v>9881</v>
      </c>
      <c r="FG9">
        <f>IF(FF9&lt;12500,0,FF9)</f>
        <v>0</v>
      </c>
      <c r="FH9">
        <f>FG9*0.04</f>
        <v>0</v>
      </c>
      <c r="FI9">
        <f>ROUND(FH9+FG9,0)</f>
        <v>0</v>
      </c>
      <c r="FJ9">
        <v>0</v>
      </c>
      <c r="FK9">
        <f>FI9-FJ9</f>
        <v>0</v>
      </c>
      <c r="FL9" t="b">
        <f>IF(EA9&gt;500000,TRUE,FALSE)</f>
        <v>1</v>
      </c>
      <c r="FM9">
        <f ca="1">IF(FL9,RANDBETWEEN(500,1000),RANDBETWEEN(1000,3000))</f>
        <v>674</v>
      </c>
      <c r="FN9">
        <f ca="1">EA9+FM9</f>
        <v>560694</v>
      </c>
      <c r="FO9">
        <f>IF(EA9&gt;0,75000,0)</f>
        <v>75000</v>
      </c>
      <c r="FP9">
        <f ca="1">FN9-FO9</f>
        <v>485694</v>
      </c>
      <c r="FQ9">
        <f ca="1">IF(FP9&gt;2400000,FP9-2400000,0)</f>
        <v>0</v>
      </c>
      <c r="FR9">
        <f ca="1">FQ9*0.3</f>
        <v>0</v>
      </c>
      <c r="FS9">
        <f ca="1">IF(FP9&gt;2000000,FP9-2000000,0)</f>
        <v>0</v>
      </c>
      <c r="FT9">
        <f ca="1">FS9*0.25</f>
        <v>0</v>
      </c>
      <c r="FU9">
        <f ca="1">IF(FP9&gt;1600000,FP9-1600000-FQ9,0)</f>
        <v>0</v>
      </c>
      <c r="FV9">
        <f ca="1">FU9*0.2</f>
        <v>0</v>
      </c>
      <c r="FW9">
        <f ca="1">IF(FP9&gt;1200000,FP9-1200000-IF(F9="YES",50000,0)-FU9,0)</f>
        <v>0</v>
      </c>
      <c r="FX9">
        <f ca="1">FW9*0.15</f>
        <v>0</v>
      </c>
      <c r="FY9">
        <f ca="1">IF(FP9&gt;800000,FP9-800000-FQ9-FU9-FW9,0)</f>
        <v>0</v>
      </c>
      <c r="FZ9">
        <f ca="1">FY9*0.1</f>
        <v>0</v>
      </c>
      <c r="GA9">
        <f ca="1">IF(FP9&gt;400000,FP9-400000-FQ9-FU9-FW9-FY9,0)</f>
        <v>85694</v>
      </c>
      <c r="GB9">
        <f ca="1">GA9*0.05</f>
        <v>4284.7</v>
      </c>
      <c r="GC9">
        <f ca="1">ROUND(FR9+FT9+FV9+FX9+FZ9+GB9,0)</f>
        <v>4285</v>
      </c>
      <c r="GD9">
        <f ca="1">IF(FP9&gt;1200000,FP9,0)</f>
        <v>0</v>
      </c>
      <c r="GE9">
        <f ca="1">IF(FP9&gt;1200000,GD9-1200000,0)</f>
        <v>0</v>
      </c>
      <c r="GF9">
        <f ca="1">IF(FP9&lt;1200001,MIN(GC9,60000),0)</f>
        <v>4285</v>
      </c>
      <c r="GG9">
        <f ca="1">IF(FP9&gt;1200000,GC9-GE9,0)</f>
        <v>0</v>
      </c>
      <c r="GH9" t="b">
        <f ca="1">IF(GG9&gt;0,TRUE,FALSE)</f>
        <v>0</v>
      </c>
      <c r="GI9">
        <f ca="1">IF(GH9,GG9,0)</f>
        <v>0</v>
      </c>
      <c r="GJ9">
        <f ca="1">GF9+GI9</f>
        <v>4285</v>
      </c>
      <c r="GK9">
        <f ca="1">ROUND(GC9-GJ9,0)</f>
        <v>0</v>
      </c>
      <c r="GL9">
        <f ca="1">GK9*0.04</f>
        <v>0</v>
      </c>
      <c r="GM9">
        <f ca="1">ROUNDUP(GK9+GL9,0)</f>
        <v>0</v>
      </c>
    </row>
    <row r="10" spans="1:195" x14ac:dyDescent="0.25">
      <c r="A10">
        <f>_xlfn.AGGREGATE(3,5,$B$2:B10)</f>
        <v>9</v>
      </c>
      <c r="B10" t="s">
        <v>140</v>
      </c>
      <c r="C10" t="s">
        <v>141</v>
      </c>
      <c r="D10" t="s">
        <v>752</v>
      </c>
      <c r="E10" t="s">
        <v>833</v>
      </c>
      <c r="F10" t="s">
        <v>959</v>
      </c>
      <c r="G10" t="s">
        <v>881</v>
      </c>
      <c r="H10">
        <f>IF(_xlfn.DAYS("31-03-2025",G10)&gt;=180,6800,0)</f>
        <v>6800</v>
      </c>
      <c r="I10">
        <f>_xlfn.XLOOKUP(B10,'[1]march-2025'!$A:$A,'[1]march-2025'!$J:$J,0,0)</f>
        <v>0</v>
      </c>
      <c r="J10">
        <f>_xlfn.XLOOKUP(B10,'[1]march-2025'!$A:$A,'[1]march-2025'!$C:$C,0,0)</f>
        <v>31600</v>
      </c>
      <c r="K10">
        <f>J10*0.14</f>
        <v>4424</v>
      </c>
      <c r="L10">
        <f>J10*0.12</f>
        <v>3792</v>
      </c>
      <c r="M10">
        <f>_xlfn.XLOOKUP(B10,'[1]march-2025'!$A:$A,'[1]march-2025'!$D:$D,0,0)</f>
        <v>0</v>
      </c>
      <c r="N10">
        <f>_xlfn.XLOOKUP(B10,'[1]march-2025'!$A:$A,'[1]march-2025'!$G:$G,0,0)</f>
        <v>500</v>
      </c>
      <c r="O10">
        <f>IF(J10&gt;0,SUM(J10:N10),0)</f>
        <v>40316</v>
      </c>
      <c r="P10">
        <f>_xlfn.XLOOKUP(B10,'[1]march-2025'!$A:$A,'[1]march-2025'!$H:$H,0,0)</f>
        <v>2000</v>
      </c>
      <c r="Q10">
        <f>_xlfn.XLOOKUP(B10,'[1]march-2025'!$A:$A,'[1]march-2025'!$I:$I,0,0)</f>
        <v>0</v>
      </c>
      <c r="R10">
        <f>IF($F10="YES",0,IF(O10&gt;40000,200,IF(O10&gt;25000,150,IF(O10&gt;15000,130,IF(O10&gt;10000,110,0)))))</f>
        <v>200</v>
      </c>
      <c r="S10">
        <f>O10-P10-Q10-R10</f>
        <v>38116</v>
      </c>
      <c r="T10">
        <f>_xlfn.XLOOKUP(B10,'[2]april-2025'!$A:$A,'[2]april-2025'!$C:$C,0,0)</f>
        <v>31600</v>
      </c>
      <c r="U10">
        <f>T10*0.18</f>
        <v>5688</v>
      </c>
      <c r="V10">
        <f>T10*0.12</f>
        <v>3792</v>
      </c>
      <c r="W10">
        <f>_xlfn.XLOOKUP(B10,'[2]april-2025'!$A:$A,'[2]april-2025'!$D:$D,0,0)</f>
        <v>0</v>
      </c>
      <c r="X10">
        <f>_xlfn.XLOOKUP(B10,'[2]april-2025'!$A:$A,'[2]april-2025'!$G:$G,0,0)</f>
        <v>500</v>
      </c>
      <c r="Y10">
        <f>IF(T10&gt;0,SUM(T10:X10),0)</f>
        <v>41580</v>
      </c>
      <c r="Z10">
        <f>_xlfn.XLOOKUP(B10,'[2]april-2025'!$A:$A,'[2]april-2025'!$H:$H,0,0)</f>
        <v>2000</v>
      </c>
      <c r="AA10">
        <f>_xlfn.XLOOKUP(B10,'[2]april-2025'!$A:$A,'[2]april-2025'!$I:$I,0,0)</f>
        <v>0</v>
      </c>
      <c r="AB10">
        <f>IF($F10="YES",0,IF(Y10&gt;40000,200,IF(Y10&gt;25000,150,IF(Y10&gt;15000,130,IF(Y10&gt;10000,110,0)))))</f>
        <v>200</v>
      </c>
      <c r="AC10">
        <f>Y10-Z10-AA10-AB10</f>
        <v>39380</v>
      </c>
      <c r="AD10">
        <f>_xlfn.XLOOKUP(B10,'[3]may-2025'!$A:$A,'[3]may-2025'!$C:$C,0,0)</f>
        <v>31600</v>
      </c>
      <c r="AE10">
        <f>AD10*0.18</f>
        <v>5688</v>
      </c>
      <c r="AF10">
        <f>AD10*0.12</f>
        <v>3792</v>
      </c>
      <c r="AG10">
        <f>_xlfn.XLOOKUP(B10,'[3]may-2025'!$A:$A,'[3]may-2025'!$D:$D,0,0)</f>
        <v>0</v>
      </c>
      <c r="AH10">
        <f>_xlfn.XLOOKUP(B10,'[3]may-2025'!$A:$A,'[3]may-2025'!$G:$G,0,0)</f>
        <v>500</v>
      </c>
      <c r="AI10">
        <f>IF(AD10&gt;0,SUM(AD10:AH10),0)</f>
        <v>41580</v>
      </c>
      <c r="AJ10">
        <f>_xlfn.XLOOKUP(B10,'[3]may-2025'!$A:$A,'[3]may-2025'!$H:$H,0,0)</f>
        <v>2000</v>
      </c>
      <c r="AK10">
        <f>_xlfn.XLOOKUP(B10,'[3]may-2025'!$A:$A,'[3]may-2025'!$I:$I,0,0)</f>
        <v>0</v>
      </c>
      <c r="AL10">
        <f>IF($F10="YES",0,IF(AI10&gt;40000,200,IF(AI10&gt;25000,150,IF(AI10&gt;15000,130,IF(AI10&gt;10000,110,0)))))</f>
        <v>200</v>
      </c>
      <c r="AM10">
        <f>AI10-AJ10-AK10-AL10</f>
        <v>39380</v>
      </c>
      <c r="AN10">
        <f>_xlfn.XLOOKUP(B10,'[4]june-2025'!$A:$A,'[4]june-2025'!$C:$C,0,0)</f>
        <v>31600</v>
      </c>
      <c r="AO10">
        <f>AN10*0.18</f>
        <v>5688</v>
      </c>
      <c r="AP10">
        <f>AN10*0.12</f>
        <v>3792</v>
      </c>
      <c r="AQ10">
        <f>_xlfn.XLOOKUP(B10,'[4]june-2025'!$A:$A,'[4]june-2025'!$D:$D,0,0)</f>
        <v>0</v>
      </c>
      <c r="AR10">
        <f>_xlfn.XLOOKUP(B10,'[4]june-2025'!$A:$A,'[4]june-2025'!$G:$G,0,0)</f>
        <v>500</v>
      </c>
      <c r="AS10">
        <f>IF(AN10&gt;0,SUM(AN10:AR10),0)</f>
        <v>41580</v>
      </c>
      <c r="AT10">
        <f>_xlfn.XLOOKUP(B10,'[4]june-2025'!$A:$A,'[4]june-2025'!$H:$H,0,0)</f>
        <v>2000</v>
      </c>
      <c r="AU10">
        <f>_xlfn.XLOOKUP(B10,'[4]june-2025'!$A:$A,'[4]june-2025'!$I:$I,0,0)</f>
        <v>0</v>
      </c>
      <c r="AV10">
        <f>IF($F10="YES",0,IF(AS10&gt;40000,200,IF(AS10&gt;25000,150,IF(AS10&gt;15000,130,IF(AS10&gt;10000,110,0)))))</f>
        <v>200</v>
      </c>
      <c r="AW10">
        <f>AS10-AT10-AU10-AV10</f>
        <v>39380</v>
      </c>
      <c r="AX10">
        <f>_xlfn.XLOOKUP(B10,'[5]july-2025'!$A:$A,'[5]july-2025'!$C:$C,0,0)</f>
        <v>32500</v>
      </c>
      <c r="AY10">
        <f>AX10*0.18</f>
        <v>5850</v>
      </c>
      <c r="AZ10">
        <v>0</v>
      </c>
      <c r="BA10">
        <f>AX10*0.12</f>
        <v>3900</v>
      </c>
      <c r="BB10">
        <f>_xlfn.XLOOKUP(B10,'[5]july-2025'!$A:$A,'[5]july-2025'!$D:$D,0,0)</f>
        <v>0</v>
      </c>
      <c r="BC10">
        <f>_xlfn.XLOOKUP(B10,'[5]july-2025'!$A:$A,'[5]july-2025'!$G:$G,0,0)</f>
        <v>500</v>
      </c>
      <c r="BD10">
        <f>IF(AX10&gt;0,SUM(AX10:BC10),0)</f>
        <v>42750</v>
      </c>
      <c r="BE10">
        <f>_xlfn.XLOOKUP(B10,'[5]july-2025'!$A:$A,'[5]july-2025'!$H:$H,0,0)</f>
        <v>2000</v>
      </c>
      <c r="BF10">
        <f>_xlfn.XLOOKUP(B10,'[5]july-2025'!$A:$A,'[5]july-2025'!$I:$I,0,0)</f>
        <v>0</v>
      </c>
      <c r="BG10">
        <f>IF($F10="YES",0,IF(BD10&gt;40000,200,IF(BD10&gt;25000,150,IF(BD10&gt;15000,130,IF(BD10&gt;10000,110,0)))))</f>
        <v>200</v>
      </c>
      <c r="BH10">
        <f>BD10-BE10-BF10-BG10</f>
        <v>40550</v>
      </c>
      <c r="BI10">
        <f>_xlfn.XLOOKUP(B10,'[6]august-2025'!$A:$A,'[6]august-2025'!$C:$C,0,0)</f>
        <v>32500</v>
      </c>
      <c r="BJ10">
        <f>BI10*0.18</f>
        <v>5850</v>
      </c>
      <c r="BK10">
        <f>BI10*0.12</f>
        <v>3900</v>
      </c>
      <c r="BL10">
        <f>_xlfn.XLOOKUP(B10,'[6]august-2025'!$A:$A,'[6]august-2025'!$D:$D,0,0)</f>
        <v>0</v>
      </c>
      <c r="BM10">
        <f>_xlfn.XLOOKUP(B10,'[6]august-2025'!$A:$A,'[6]august-2025'!$G:$G,0,0)</f>
        <v>500</v>
      </c>
      <c r="BN10">
        <f>IF(BI10&gt;0,SUM(BI10:BM10),0)</f>
        <v>42750</v>
      </c>
      <c r="BO10">
        <f>_xlfn.XLOOKUP(B10,'[6]august-2025'!$A:$A,'[6]august-2025'!$H:$H,0,0)</f>
        <v>2000</v>
      </c>
      <c r="BP10">
        <f>_xlfn.XLOOKUP(B10,'[6]august-2025'!$A:$A,'[6]august-2025'!$I:$I,0,0)</f>
        <v>0</v>
      </c>
      <c r="BQ10">
        <f>IF($F10="YES",0,IF(BN10&gt;40000,200,IF(BN10&gt;25000,150,IF(BN10&gt;15000,130,IF(BN10&gt;10000,110,0)))))</f>
        <v>200</v>
      </c>
      <c r="BR10">
        <f>BN10-BO10-BP10-BQ10</f>
        <v>40550</v>
      </c>
      <c r="BS10">
        <f>_xlfn.XLOOKUP(B10,'[7]september-2025'!$A:$A,'[7]september-2025'!$C:$C,0,0)</f>
        <v>32500</v>
      </c>
      <c r="BT10">
        <f>BS10*0.18</f>
        <v>5850</v>
      </c>
      <c r="BU10">
        <f>BS10*0.12</f>
        <v>3900</v>
      </c>
      <c r="BV10">
        <f>_xlfn.XLOOKUP(B10,'[7]september-2025'!$A:$A,'[7]september-2025'!$D:$D,0,0)</f>
        <v>0</v>
      </c>
      <c r="BW10">
        <f>_xlfn.XLOOKUP(B10,'[7]september-2025'!$A:$A,'[7]september-2025'!$G:$G,0,0)</f>
        <v>500</v>
      </c>
      <c r="BX10">
        <f>IF(BS10&gt;0,SUM(BS10:BW10),0)</f>
        <v>42750</v>
      </c>
      <c r="BY10">
        <f>_xlfn.XLOOKUP(B10,'[7]september-2025'!$A:$A,'[7]september-2025'!$H:$H,0,0)</f>
        <v>2000</v>
      </c>
      <c r="BZ10">
        <f>_xlfn.XLOOKUP(B10,'[7]september-2025'!$A:$A,'[7]september-2025'!$I:$I,0,0)</f>
        <v>0</v>
      </c>
      <c r="CA10">
        <f>IF($F10="YES",0,IF(BX10&gt;40000,200,IF(BX10&gt;25000,150,IF(BX10&gt;15000,130,IF(BX10&gt;10000,110,0)))))</f>
        <v>200</v>
      </c>
      <c r="CB10">
        <f>BX10-BY10-BZ10-CA10</f>
        <v>40550</v>
      </c>
      <c r="CC10">
        <f>_xlfn.XLOOKUP(B10,'[8]october-2025'!$A:$A,'[8]october-2025'!$C:$C,0,0)</f>
        <v>32500</v>
      </c>
      <c r="CD10">
        <f>CC10*0.18</f>
        <v>5850</v>
      </c>
      <c r="CE10">
        <f>CC10*0.12</f>
        <v>3900</v>
      </c>
      <c r="CF10">
        <f>_xlfn.XLOOKUP(B10,'[8]october-2025'!$A:$A,'[8]october-2025'!$D:$D,0,0)</f>
        <v>0</v>
      </c>
      <c r="CG10">
        <f>_xlfn.XLOOKUP(B10,'[8]october-2025'!$A:$A,'[8]october-2025'!$G:$G,0,0)</f>
        <v>500</v>
      </c>
      <c r="CH10">
        <f>IF(CC10&gt;0,SUM(CC10:CG10),0)</f>
        <v>42750</v>
      </c>
      <c r="CI10">
        <f>_xlfn.XLOOKUP(B10,'[8]october-2025'!$A:$A,'[8]october-2025'!$H:$H,0,0)</f>
        <v>2000</v>
      </c>
      <c r="CJ10">
        <f>_xlfn.XLOOKUP(B10,'[8]october-2025'!$A:$A,'[8]october-2025'!$I:$I,0,0)</f>
        <v>0</v>
      </c>
      <c r="CK10">
        <f>IF($F10="YES",0,IF(CH10&gt;40000,200,IF(CH10&gt;25000,150,IF(CH10&gt;15000,130,IF(CH10&gt;10000,110,0)))))</f>
        <v>200</v>
      </c>
      <c r="CL10">
        <f>CH10-CI10-CJ10-CK10</f>
        <v>40550</v>
      </c>
      <c r="CM10">
        <f>_xlfn.XLOOKUP(B10,'[9]november-2025'!$A:$A,'[9]november-2025'!$C:$C,0,0)</f>
        <v>32500</v>
      </c>
      <c r="CN10">
        <f>CM10*0.18</f>
        <v>5850</v>
      </c>
      <c r="CO10">
        <f>CM10*0.12</f>
        <v>3900</v>
      </c>
      <c r="CP10">
        <f>_xlfn.XLOOKUP(B10,'[9]november-2025'!$A:$A,'[9]november-2025'!$D:$D,0,0)</f>
        <v>0</v>
      </c>
      <c r="CQ10">
        <f>_xlfn.XLOOKUP(B10,'[9]november-2025'!$A:$A,'[9]november-2025'!$G:$G,0,0)</f>
        <v>500</v>
      </c>
      <c r="CR10">
        <f>IF(CM10&gt;0,SUM(CM10:CQ10),0)</f>
        <v>42750</v>
      </c>
      <c r="CS10">
        <f>_xlfn.XLOOKUP(B10,'[9]november-2025'!$A:$A,'[9]november-2025'!$H:$H,0,0)</f>
        <v>2000</v>
      </c>
      <c r="CT10">
        <f>_xlfn.XLOOKUP(B10,'[9]november-2025'!$A:$A,'[9]november-2025'!$I:$I,0,0)</f>
        <v>0</v>
      </c>
      <c r="CU10">
        <f>IF($F10="YES",0,IF(CR10&gt;40000,200,IF(CR10&gt;25000,150,IF(CR10&gt;15000,130,IF(CR10&gt;10000,110,0)))))</f>
        <v>200</v>
      </c>
      <c r="CV10">
        <f>CR10-CS10-CT10-CU10</f>
        <v>40550</v>
      </c>
      <c r="CW10">
        <f>_xlfn.XLOOKUP(B10,'[10]december-2025'!$A:$A,'[10]december-2025'!$C:$C,0,0)</f>
        <v>32500</v>
      </c>
      <c r="CX10">
        <f>ROUND(CW10*0.18,0)</f>
        <v>5850</v>
      </c>
      <c r="CY10">
        <f>ROUND(CW10*0.12,0)</f>
        <v>3900</v>
      </c>
      <c r="CZ10">
        <f>_xlfn.XLOOKUP(B10,'[10]december-2025'!$A:$A,'[10]december-2025'!$D:$D,0,0)</f>
        <v>0</v>
      </c>
      <c r="DA10">
        <f>_xlfn.XLOOKUP(B10,'[10]december-2025'!$A:$A,'[10]december-2025'!$G:$G,0,0)</f>
        <v>500</v>
      </c>
      <c r="DB10">
        <f>IF(CW10&gt;0,SUM(CW10:DA10),0)</f>
        <v>42750</v>
      </c>
      <c r="DC10">
        <f>_xlfn.XLOOKUP(B10,'[10]december-2025'!$A:$A,'[10]december-2025'!$H:$H,0,0)</f>
        <v>2000</v>
      </c>
      <c r="DD10">
        <f>_xlfn.XLOOKUP(B10,'[10]december-2025'!$A:$A,'[10]december-2025'!$I:$I,0,0)</f>
        <v>0</v>
      </c>
      <c r="DE10">
        <f>IF($F10="YES",0,IF(DB10&gt;40000,200,IF(DB10&gt;25000,150,IF(DB10&gt;15000,130,IF(DB10&gt;10000,110,0)))))</f>
        <v>200</v>
      </c>
      <c r="DF10">
        <f>DB10-DC10-DD10-DE10</f>
        <v>40550</v>
      </c>
      <c r="DG10">
        <f>_xlfn.XLOOKUP(B10,'[11]january-2026'!$A:$A,'[11]january-2026'!$C:$C,0,0)</f>
        <v>32500</v>
      </c>
      <c r="DH10">
        <f>DG10*0.18</f>
        <v>5850</v>
      </c>
      <c r="DI10">
        <f>DG10*0.12</f>
        <v>3900</v>
      </c>
      <c r="DJ10">
        <f>_xlfn.XLOOKUP(B10,'[11]january-2026'!$A:$A,'[11]january-2026'!$D:$D,0,0)</f>
        <v>0</v>
      </c>
      <c r="DK10">
        <f>_xlfn.XLOOKUP(B10,'[11]january-2026'!$A:$A,'[11]january-2026'!$G:$G,0,0)</f>
        <v>500</v>
      </c>
      <c r="DL10">
        <f>IF(DG10&gt;0,SUM(DG10:DK10),0)</f>
        <v>42750</v>
      </c>
      <c r="DM10">
        <f>_xlfn.XLOOKUP(B10,'[11]january-2026'!$A:$A,'[11]january-2026'!$H:$H,0,0)</f>
        <v>2000</v>
      </c>
      <c r="DN10">
        <f>_xlfn.XLOOKUP(B10,'[11]january-2026'!$A:$A,'[11]january-2026'!$I:$I,0,0)</f>
        <v>0</v>
      </c>
      <c r="DO10">
        <f>IF($F10="YES",0,IF(DL10&gt;40000,200,IF(DL10&gt;25000,150,IF(DL10&gt;15000,130,IF(DL10&gt;10000,110,0)))))</f>
        <v>200</v>
      </c>
      <c r="DP10">
        <f>DL10-DM10-DN10-DO10</f>
        <v>40550</v>
      </c>
      <c r="DQ10">
        <f>_xlfn.XLOOKUP(B10,'[12]february-2026'!$A:$A,'[12]february-2026'!$C:$C,0,0)</f>
        <v>32500</v>
      </c>
      <c r="DR10">
        <f>DQ10*0.18</f>
        <v>5850</v>
      </c>
      <c r="DS10">
        <f>DQ10*0.12</f>
        <v>3900</v>
      </c>
      <c r="DT10">
        <f>_xlfn.XLOOKUP(B10,'[12]february-2026'!$A:$A,'[12]february-2026'!$D:$D,0,0)</f>
        <v>0</v>
      </c>
      <c r="DU10">
        <f>_xlfn.XLOOKUP(B10,'[12]february-2026'!$A:$A,'[12]february-2026'!$G:$G,0,0)</f>
        <v>500</v>
      </c>
      <c r="DV10">
        <f>IF(DQ10&gt;0,SUM(DQ10:DU10),0)</f>
        <v>42750</v>
      </c>
      <c r="DW10">
        <f>_xlfn.XLOOKUP(B10,'[12]february-2026'!$A:$A,'[12]february-2026'!$H:$H,0,0)</f>
        <v>2000</v>
      </c>
      <c r="DX10">
        <f>_xlfn.XLOOKUP(B10,'[12]february-2026'!$A:$A,'[12]february-2026'!$I:$I,0,0)</f>
        <v>0</v>
      </c>
      <c r="DY10">
        <f>IF($F10="YES",0,IF(DV10&gt;40000,200,IF(DV10&gt;25000,150,IF(DV10&gt;15000,130,IF(DV10&gt;10000,110,0)))))</f>
        <v>200</v>
      </c>
      <c r="DZ10">
        <f>DV10-DW10-DX10-DY10</f>
        <v>40550</v>
      </c>
      <c r="EA10">
        <f>DV10+DL10+DB10+CR10+CH10+BX10+BN10+BD10+AS10+AI10+Y10+O10+H10+I10</f>
        <v>513856</v>
      </c>
      <c r="EB10">
        <f>DY10+DO10+DE10+CU10+CK10+CA10+BQ10+BG10+AV10+AL10+AB10+R10</f>
        <v>2400</v>
      </c>
      <c r="EC10">
        <f>IF(EA10&gt;0,50000,0)</f>
        <v>50000</v>
      </c>
      <c r="ED10">
        <v>0</v>
      </c>
      <c r="EE10">
        <f>EA10-EB10-EC10</f>
        <v>461456</v>
      </c>
      <c r="EF10">
        <f>DW10+DM10+DC10+CS10+CI10+BY10+BO10+BE10+AT10+AJ10+Z10+P10</f>
        <v>24000</v>
      </c>
      <c r="EG10">
        <f>DX10+DN10+DD10+CT10+CJ10+BZ10+BP10+BF10+AU10+AK10+AA10+Q10</f>
        <v>0</v>
      </c>
      <c r="EH10">
        <v>0</v>
      </c>
      <c r="EI10">
        <v>0</v>
      </c>
      <c r="EJ10">
        <v>0</v>
      </c>
      <c r="EK10">
        <v>0</v>
      </c>
      <c r="EL10">
        <v>0</v>
      </c>
      <c r="EM10">
        <v>0</v>
      </c>
      <c r="EN10">
        <v>0</v>
      </c>
      <c r="EO10">
        <v>0</v>
      </c>
      <c r="EP10">
        <v>0</v>
      </c>
      <c r="EQ10">
        <v>0</v>
      </c>
      <c r="ER10">
        <f>SUM(EF10:EQ10)</f>
        <v>24000</v>
      </c>
      <c r="ES10">
        <f>IF(ER10&gt;=150000,150000,ER10)</f>
        <v>24000</v>
      </c>
      <c r="ET10">
        <f>EE10-ES10</f>
        <v>437456</v>
      </c>
      <c r="EU10">
        <v>0</v>
      </c>
      <c r="EV10">
        <v>0</v>
      </c>
      <c r="EW10">
        <v>0</v>
      </c>
      <c r="EX10">
        <v>0</v>
      </c>
      <c r="EY10">
        <v>0</v>
      </c>
      <c r="EZ10">
        <v>0</v>
      </c>
      <c r="FA10">
        <v>0</v>
      </c>
      <c r="FB10">
        <f>SUM(EU10:FA10)+(IF(F10="YES",50000,0))</f>
        <v>0</v>
      </c>
      <c r="FC10">
        <f>ET10-FB10</f>
        <v>437456</v>
      </c>
      <c r="FD10">
        <f>ROUND(IF(FC10&gt;0,IF(FC10&gt;500000,12500,(FC10-250000)*0.05),0),0)</f>
        <v>9373</v>
      </c>
      <c r="FE10">
        <f>IF(ROUND(IF(FC10&gt;0,IF(FC10&gt;1000000,25000,(FC10-500000)*0.2),0),0)&lt;0,0,ROUND(IF(FC10&gt;0,IF(FC10&gt;1000000,25000,(FC10-500000)*0.2),0),0))</f>
        <v>0</v>
      </c>
      <c r="FF10">
        <f>FD10+FE10</f>
        <v>9373</v>
      </c>
      <c r="FG10">
        <f>IF(FF10&lt;12500,0,FF10)</f>
        <v>0</v>
      </c>
      <c r="FH10">
        <f>FG10*0.04</f>
        <v>0</v>
      </c>
      <c r="FI10">
        <f>ROUND(FH10+FG10,0)</f>
        <v>0</v>
      </c>
      <c r="FJ10">
        <v>0</v>
      </c>
      <c r="FK10">
        <f>FI10-FJ10</f>
        <v>0</v>
      </c>
      <c r="FL10" t="b">
        <f>IF(EA10&gt;500000,TRUE,FALSE)</f>
        <v>1</v>
      </c>
      <c r="FM10">
        <f ca="1">IF(FL10,RANDBETWEEN(500,1000),RANDBETWEEN(1000,3000))</f>
        <v>570</v>
      </c>
      <c r="FN10">
        <f ca="1">EA10+FM10</f>
        <v>514426</v>
      </c>
      <c r="FO10">
        <f>IF(EA10&gt;0,75000,0)</f>
        <v>75000</v>
      </c>
      <c r="FP10">
        <f ca="1">FN10-FO10</f>
        <v>439426</v>
      </c>
      <c r="FQ10">
        <f ca="1">IF(FP10&gt;2400000,FP10-2400000,0)</f>
        <v>0</v>
      </c>
      <c r="FR10">
        <f ca="1">FQ10*0.3</f>
        <v>0</v>
      </c>
      <c r="FS10">
        <f ca="1">IF(FP10&gt;2000000,FP10-2000000,0)</f>
        <v>0</v>
      </c>
      <c r="FT10">
        <f ca="1">FS10*0.25</f>
        <v>0</v>
      </c>
      <c r="FU10">
        <f ca="1">IF(FP10&gt;1600000,FP10-1600000-FQ10,0)</f>
        <v>0</v>
      </c>
      <c r="FV10">
        <f ca="1">FU10*0.2</f>
        <v>0</v>
      </c>
      <c r="FW10">
        <f ca="1">IF(FP10&gt;1200000,FP10-1200000-IF(F10="YES",50000,0)-FU10,0)</f>
        <v>0</v>
      </c>
      <c r="FX10">
        <f ca="1">FW10*0.15</f>
        <v>0</v>
      </c>
      <c r="FY10">
        <f ca="1">IF(FP10&gt;800000,FP10-800000-FQ10-FU10-FW10,0)</f>
        <v>0</v>
      </c>
      <c r="FZ10">
        <f ca="1">FY10*0.1</f>
        <v>0</v>
      </c>
      <c r="GA10">
        <f ca="1">IF(FP10&gt;400000,FP10-400000-FQ10-FU10-FW10-FY10,0)</f>
        <v>39426</v>
      </c>
      <c r="GB10">
        <f ca="1">GA10*0.05</f>
        <v>1971.3000000000002</v>
      </c>
      <c r="GC10">
        <f ca="1">ROUND(FR10+FT10+FV10+FX10+FZ10+GB10,0)</f>
        <v>1971</v>
      </c>
      <c r="GD10">
        <f ca="1">IF(FP10&gt;1200000,FP10,0)</f>
        <v>0</v>
      </c>
      <c r="GE10">
        <f ca="1">IF(FP10&gt;1200000,GD10-1200000,0)</f>
        <v>0</v>
      </c>
      <c r="GF10">
        <f ca="1">IF(FP10&lt;1200001,MIN(GC10,60000),0)</f>
        <v>1971</v>
      </c>
      <c r="GG10">
        <f ca="1">IF(FP10&gt;1200000,GC10-GE10,0)</f>
        <v>0</v>
      </c>
      <c r="GH10" t="b">
        <f ca="1">IF(GG10&gt;0,TRUE,FALSE)</f>
        <v>0</v>
      </c>
      <c r="GI10">
        <f ca="1">IF(GH10,GG10,0)</f>
        <v>0</v>
      </c>
      <c r="GJ10">
        <f ca="1">GF10+GI10</f>
        <v>1971</v>
      </c>
      <c r="GK10">
        <f ca="1">ROUND(GC10-GJ10,0)</f>
        <v>0</v>
      </c>
      <c r="GL10">
        <f ca="1">GK10*0.04</f>
        <v>0</v>
      </c>
      <c r="GM10">
        <f ca="1">ROUNDUP(GK10+GL10,0)</f>
        <v>0</v>
      </c>
    </row>
    <row r="11" spans="1:195" x14ac:dyDescent="0.25">
      <c r="A11">
        <f>_xlfn.AGGREGATE(3,5,$B$2:B11)</f>
        <v>10</v>
      </c>
      <c r="B11" t="s">
        <v>142</v>
      </c>
      <c r="C11" t="s">
        <v>143</v>
      </c>
      <c r="D11" t="s">
        <v>752</v>
      </c>
      <c r="E11" t="s">
        <v>833</v>
      </c>
      <c r="F11" t="s">
        <v>959</v>
      </c>
      <c r="G11" t="s">
        <v>883</v>
      </c>
      <c r="H11">
        <f>IF(_xlfn.DAYS("31-03-2025",G11)&gt;=180,6800,0)</f>
        <v>6800</v>
      </c>
      <c r="I11">
        <f>_xlfn.XLOOKUP(B11,'[1]march-2025'!$A:$A,'[1]march-2025'!$J:$J,0,0)</f>
        <v>0</v>
      </c>
      <c r="J11">
        <f>_xlfn.XLOOKUP(B11,'[1]march-2025'!$A:$A,'[1]march-2025'!$C:$C,0,0)</f>
        <v>28900</v>
      </c>
      <c r="K11">
        <f>J11*0.14</f>
        <v>4046.0000000000005</v>
      </c>
      <c r="L11">
        <f>J11*0.12</f>
        <v>3468</v>
      </c>
      <c r="M11">
        <f>_xlfn.XLOOKUP(B11,'[1]march-2025'!$A:$A,'[1]march-2025'!$D:$D,0,0)</f>
        <v>0</v>
      </c>
      <c r="N11">
        <f>_xlfn.XLOOKUP(B11,'[1]march-2025'!$A:$A,'[1]march-2025'!$G:$G,0,0)</f>
        <v>500</v>
      </c>
      <c r="O11">
        <f>IF(J11&gt;0,SUM(J11:N11),0)</f>
        <v>36914</v>
      </c>
      <c r="P11">
        <f>_xlfn.XLOOKUP(B11,'[1]march-2025'!$A:$A,'[1]march-2025'!$H:$H,0,0)</f>
        <v>2000</v>
      </c>
      <c r="Q11">
        <f>_xlfn.XLOOKUP(B11,'[1]march-2025'!$A:$A,'[1]march-2025'!$I:$I,0,0)</f>
        <v>0</v>
      </c>
      <c r="R11">
        <f>IF($F11="YES",0,IF(O11&gt;40000,200,IF(O11&gt;25000,150,IF(O11&gt;15000,130,IF(O11&gt;10000,110,0)))))</f>
        <v>150</v>
      </c>
      <c r="S11">
        <f>O11-P11-Q11-R11</f>
        <v>34764</v>
      </c>
      <c r="T11">
        <f>_xlfn.XLOOKUP(B11,'[2]april-2025'!$A:$A,'[2]april-2025'!$C:$C,0,0)</f>
        <v>28900</v>
      </c>
      <c r="U11">
        <f>T11*0.18</f>
        <v>5202</v>
      </c>
      <c r="V11">
        <f>T11*0.12</f>
        <v>3468</v>
      </c>
      <c r="W11">
        <f>_xlfn.XLOOKUP(B11,'[2]april-2025'!$A:$A,'[2]april-2025'!$D:$D,0,0)</f>
        <v>0</v>
      </c>
      <c r="X11">
        <f>_xlfn.XLOOKUP(B11,'[2]april-2025'!$A:$A,'[2]april-2025'!$G:$G,0,0)</f>
        <v>500</v>
      </c>
      <c r="Y11">
        <f>IF(T11&gt;0,SUM(T11:X11),0)</f>
        <v>38070</v>
      </c>
      <c r="Z11">
        <f>_xlfn.XLOOKUP(B11,'[2]april-2025'!$A:$A,'[2]april-2025'!$H:$H,0,0)</f>
        <v>2000</v>
      </c>
      <c r="AA11">
        <f>_xlfn.XLOOKUP(B11,'[2]april-2025'!$A:$A,'[2]april-2025'!$I:$I,0,0)</f>
        <v>0</v>
      </c>
      <c r="AB11">
        <f>IF($F11="YES",0,IF(Y11&gt;40000,200,IF(Y11&gt;25000,150,IF(Y11&gt;15000,130,IF(Y11&gt;10000,110,0)))))</f>
        <v>150</v>
      </c>
      <c r="AC11">
        <f>Y11-Z11-AA11-AB11</f>
        <v>35920</v>
      </c>
      <c r="AD11">
        <f>_xlfn.XLOOKUP(B11,'[3]may-2025'!$A:$A,'[3]may-2025'!$C:$C,0,0)</f>
        <v>28900</v>
      </c>
      <c r="AE11">
        <f>AD11*0.18</f>
        <v>5202</v>
      </c>
      <c r="AF11">
        <f>AD11*0.12</f>
        <v>3468</v>
      </c>
      <c r="AG11">
        <f>_xlfn.XLOOKUP(B11,'[3]may-2025'!$A:$A,'[3]may-2025'!$D:$D,0,0)</f>
        <v>0</v>
      </c>
      <c r="AH11">
        <f>_xlfn.XLOOKUP(B11,'[3]may-2025'!$A:$A,'[3]may-2025'!$G:$G,0,0)</f>
        <v>500</v>
      </c>
      <c r="AI11">
        <f>IF(AD11&gt;0,SUM(AD11:AH11),0)</f>
        <v>38070</v>
      </c>
      <c r="AJ11">
        <f>_xlfn.XLOOKUP(B11,'[3]may-2025'!$A:$A,'[3]may-2025'!$H:$H,0,0)</f>
        <v>2000</v>
      </c>
      <c r="AK11">
        <f>_xlfn.XLOOKUP(B11,'[3]may-2025'!$A:$A,'[3]may-2025'!$I:$I,0,0)</f>
        <v>0</v>
      </c>
      <c r="AL11">
        <f>IF($F11="YES",0,IF(AI11&gt;40000,200,IF(AI11&gt;25000,150,IF(AI11&gt;15000,130,IF(AI11&gt;10000,110,0)))))</f>
        <v>150</v>
      </c>
      <c r="AM11">
        <f>AI11-AJ11-AK11-AL11</f>
        <v>35920</v>
      </c>
      <c r="AN11">
        <f>_xlfn.XLOOKUP(B11,'[4]june-2025'!$A:$A,'[4]june-2025'!$C:$C,0,0)</f>
        <v>28900</v>
      </c>
      <c r="AO11">
        <f>AN11*0.18</f>
        <v>5202</v>
      </c>
      <c r="AP11">
        <f>AN11*0.12</f>
        <v>3468</v>
      </c>
      <c r="AQ11">
        <f>_xlfn.XLOOKUP(B11,'[4]june-2025'!$A:$A,'[4]june-2025'!$D:$D,0,0)</f>
        <v>0</v>
      </c>
      <c r="AR11">
        <f>_xlfn.XLOOKUP(B11,'[4]june-2025'!$A:$A,'[4]june-2025'!$G:$G,0,0)</f>
        <v>500</v>
      </c>
      <c r="AS11">
        <f>IF(AN11&gt;0,SUM(AN11:AR11),0)</f>
        <v>38070</v>
      </c>
      <c r="AT11">
        <f>_xlfn.XLOOKUP(B11,'[4]june-2025'!$A:$A,'[4]june-2025'!$H:$H,0,0)</f>
        <v>2000</v>
      </c>
      <c r="AU11">
        <f>_xlfn.XLOOKUP(B11,'[4]june-2025'!$A:$A,'[4]june-2025'!$I:$I,0,0)</f>
        <v>0</v>
      </c>
      <c r="AV11">
        <f>IF($F11="YES",0,IF(AS11&gt;40000,200,IF(AS11&gt;25000,150,IF(AS11&gt;15000,130,IF(AS11&gt;10000,110,0)))))</f>
        <v>150</v>
      </c>
      <c r="AW11">
        <f>AS11-AT11-AU11-AV11</f>
        <v>35920</v>
      </c>
      <c r="AX11">
        <f>_xlfn.XLOOKUP(B11,'[5]july-2025'!$A:$A,'[5]july-2025'!$C:$C,0,0)</f>
        <v>29800</v>
      </c>
      <c r="AY11">
        <f>AX11*0.18</f>
        <v>5364</v>
      </c>
      <c r="AZ11">
        <v>0</v>
      </c>
      <c r="BA11">
        <f>AX11*0.12</f>
        <v>3576</v>
      </c>
      <c r="BB11">
        <f>_xlfn.XLOOKUP(B11,'[5]july-2025'!$A:$A,'[5]july-2025'!$D:$D,0,0)</f>
        <v>0</v>
      </c>
      <c r="BC11">
        <f>_xlfn.XLOOKUP(B11,'[5]july-2025'!$A:$A,'[5]july-2025'!$G:$G,0,0)</f>
        <v>500</v>
      </c>
      <c r="BD11">
        <f>IF(AX11&gt;0,SUM(AX11:BC11),0)</f>
        <v>39240</v>
      </c>
      <c r="BE11">
        <f>_xlfn.XLOOKUP(B11,'[5]july-2025'!$A:$A,'[5]july-2025'!$H:$H,0,0)</f>
        <v>2000</v>
      </c>
      <c r="BF11">
        <f>_xlfn.XLOOKUP(B11,'[5]july-2025'!$A:$A,'[5]july-2025'!$I:$I,0,0)</f>
        <v>0</v>
      </c>
      <c r="BG11">
        <f>IF($F11="YES",0,IF(BD11&gt;40000,200,IF(BD11&gt;25000,150,IF(BD11&gt;15000,130,IF(BD11&gt;10000,110,0)))))</f>
        <v>150</v>
      </c>
      <c r="BH11">
        <f>BD11-BE11-BF11-BG11</f>
        <v>37090</v>
      </c>
      <c r="BI11">
        <f>_xlfn.XLOOKUP(B11,'[6]august-2025'!$A:$A,'[6]august-2025'!$C:$C,0,0)</f>
        <v>29800</v>
      </c>
      <c r="BJ11">
        <f>BI11*0.18</f>
        <v>5364</v>
      </c>
      <c r="BK11">
        <f>BI11*0.12</f>
        <v>3576</v>
      </c>
      <c r="BL11">
        <f>_xlfn.XLOOKUP(B11,'[6]august-2025'!$A:$A,'[6]august-2025'!$D:$D,0,0)</f>
        <v>0</v>
      </c>
      <c r="BM11">
        <f>_xlfn.XLOOKUP(B11,'[6]august-2025'!$A:$A,'[6]august-2025'!$G:$G,0,0)</f>
        <v>500</v>
      </c>
      <c r="BN11">
        <f>IF(BI11&gt;0,SUM(BI11:BM11),0)</f>
        <v>39240</v>
      </c>
      <c r="BO11">
        <f>_xlfn.XLOOKUP(B11,'[6]august-2025'!$A:$A,'[6]august-2025'!$H:$H,0,0)</f>
        <v>2000</v>
      </c>
      <c r="BP11">
        <f>_xlfn.XLOOKUP(B11,'[6]august-2025'!$A:$A,'[6]august-2025'!$I:$I,0,0)</f>
        <v>0</v>
      </c>
      <c r="BQ11">
        <f>IF($F11="YES",0,IF(BN11&gt;40000,200,IF(BN11&gt;25000,150,IF(BN11&gt;15000,130,IF(BN11&gt;10000,110,0)))))</f>
        <v>150</v>
      </c>
      <c r="BR11">
        <f>BN11-BO11-BP11-BQ11</f>
        <v>37090</v>
      </c>
      <c r="BS11">
        <f>_xlfn.XLOOKUP(B11,'[7]september-2025'!$A:$A,'[7]september-2025'!$C:$C,0,0)</f>
        <v>29800</v>
      </c>
      <c r="BT11">
        <f>BS11*0.18</f>
        <v>5364</v>
      </c>
      <c r="BU11">
        <f>BS11*0.12</f>
        <v>3576</v>
      </c>
      <c r="BV11">
        <f>_xlfn.XLOOKUP(B11,'[7]september-2025'!$A:$A,'[7]september-2025'!$D:$D,0,0)</f>
        <v>0</v>
      </c>
      <c r="BW11">
        <f>_xlfn.XLOOKUP(B11,'[7]september-2025'!$A:$A,'[7]september-2025'!$G:$G,0,0)</f>
        <v>500</v>
      </c>
      <c r="BX11">
        <f>IF(BS11&gt;0,SUM(BS11:BW11),0)</f>
        <v>39240</v>
      </c>
      <c r="BY11">
        <f>_xlfn.XLOOKUP(B11,'[7]september-2025'!$A:$A,'[7]september-2025'!$H:$H,0,0)</f>
        <v>2000</v>
      </c>
      <c r="BZ11">
        <f>_xlfn.XLOOKUP(B11,'[7]september-2025'!$A:$A,'[7]september-2025'!$I:$I,0,0)</f>
        <v>0</v>
      </c>
      <c r="CA11">
        <f>IF($F11="YES",0,IF(BX11&gt;40000,200,IF(BX11&gt;25000,150,IF(BX11&gt;15000,130,IF(BX11&gt;10000,110,0)))))</f>
        <v>150</v>
      </c>
      <c r="CB11">
        <f>BX11-BY11-BZ11-CA11</f>
        <v>37090</v>
      </c>
      <c r="CC11">
        <f>_xlfn.XLOOKUP(B11,'[8]october-2025'!$A:$A,'[8]october-2025'!$C:$C,0,0)</f>
        <v>29800</v>
      </c>
      <c r="CD11">
        <f>CC11*0.18</f>
        <v>5364</v>
      </c>
      <c r="CE11">
        <f>CC11*0.12</f>
        <v>3576</v>
      </c>
      <c r="CF11">
        <f>_xlfn.XLOOKUP(B11,'[8]october-2025'!$A:$A,'[8]october-2025'!$D:$D,0,0)</f>
        <v>0</v>
      </c>
      <c r="CG11">
        <f>_xlfn.XLOOKUP(B11,'[8]october-2025'!$A:$A,'[8]october-2025'!$G:$G,0,0)</f>
        <v>500</v>
      </c>
      <c r="CH11">
        <f>IF(CC11&gt;0,SUM(CC11:CG11),0)</f>
        <v>39240</v>
      </c>
      <c r="CI11">
        <f>_xlfn.XLOOKUP(B11,'[8]october-2025'!$A:$A,'[8]october-2025'!$H:$H,0,0)</f>
        <v>2000</v>
      </c>
      <c r="CJ11">
        <f>_xlfn.XLOOKUP(B11,'[8]october-2025'!$A:$A,'[8]october-2025'!$I:$I,0,0)</f>
        <v>0</v>
      </c>
      <c r="CK11">
        <f>IF($F11="YES",0,IF(CH11&gt;40000,200,IF(CH11&gt;25000,150,IF(CH11&gt;15000,130,IF(CH11&gt;10000,110,0)))))</f>
        <v>150</v>
      </c>
      <c r="CL11">
        <f>CH11-CI11-CJ11-CK11</f>
        <v>37090</v>
      </c>
      <c r="CM11">
        <f>_xlfn.XLOOKUP(B11,'[9]november-2025'!$A:$A,'[9]november-2025'!$C:$C,0,0)</f>
        <v>29800</v>
      </c>
      <c r="CN11">
        <f>CM11*0.18</f>
        <v>5364</v>
      </c>
      <c r="CO11">
        <f>CM11*0.12</f>
        <v>3576</v>
      </c>
      <c r="CP11">
        <f>_xlfn.XLOOKUP(B11,'[9]november-2025'!$A:$A,'[9]november-2025'!$D:$D,0,0)</f>
        <v>0</v>
      </c>
      <c r="CQ11">
        <f>_xlfn.XLOOKUP(B11,'[9]november-2025'!$A:$A,'[9]november-2025'!$G:$G,0,0)</f>
        <v>500</v>
      </c>
      <c r="CR11">
        <f>IF(CM11&gt;0,SUM(CM11:CQ11),0)</f>
        <v>39240</v>
      </c>
      <c r="CS11">
        <f>_xlfn.XLOOKUP(B11,'[9]november-2025'!$A:$A,'[9]november-2025'!$H:$H,0,0)</f>
        <v>2000</v>
      </c>
      <c r="CT11">
        <f>_xlfn.XLOOKUP(B11,'[9]november-2025'!$A:$A,'[9]november-2025'!$I:$I,0,0)</f>
        <v>0</v>
      </c>
      <c r="CU11">
        <f>IF($F11="YES",0,IF(CR11&gt;40000,200,IF(CR11&gt;25000,150,IF(CR11&gt;15000,130,IF(CR11&gt;10000,110,0)))))</f>
        <v>150</v>
      </c>
      <c r="CV11">
        <f>CR11-CS11-CT11-CU11</f>
        <v>37090</v>
      </c>
      <c r="CW11">
        <f>_xlfn.XLOOKUP(B11,'[10]december-2025'!$A:$A,'[10]december-2025'!$C:$C,0,0)</f>
        <v>29800</v>
      </c>
      <c r="CX11">
        <f>ROUND(CW11*0.18,0)</f>
        <v>5364</v>
      </c>
      <c r="CY11">
        <f>ROUND(CW11*0.12,0)</f>
        <v>3576</v>
      </c>
      <c r="CZ11">
        <f>_xlfn.XLOOKUP(B11,'[10]december-2025'!$A:$A,'[10]december-2025'!$D:$D,0,0)</f>
        <v>0</v>
      </c>
      <c r="DA11">
        <f>_xlfn.XLOOKUP(B11,'[10]december-2025'!$A:$A,'[10]december-2025'!$G:$G,0,0)</f>
        <v>500</v>
      </c>
      <c r="DB11">
        <f>IF(CW11&gt;0,SUM(CW11:DA11),0)</f>
        <v>39240</v>
      </c>
      <c r="DC11">
        <f>_xlfn.XLOOKUP(B11,'[10]december-2025'!$A:$A,'[10]december-2025'!$H:$H,0,0)</f>
        <v>2000</v>
      </c>
      <c r="DD11">
        <f>_xlfn.XLOOKUP(B11,'[10]december-2025'!$A:$A,'[10]december-2025'!$I:$I,0,0)</f>
        <v>0</v>
      </c>
      <c r="DE11">
        <f>IF($F11="YES",0,IF(DB11&gt;40000,200,IF(DB11&gt;25000,150,IF(DB11&gt;15000,130,IF(DB11&gt;10000,110,0)))))</f>
        <v>150</v>
      </c>
      <c r="DF11">
        <f>DB11-DC11-DD11-DE11</f>
        <v>37090</v>
      </c>
      <c r="DG11">
        <f>_xlfn.XLOOKUP(B11,'[11]january-2026'!$A:$A,'[11]january-2026'!$C:$C,0,0)</f>
        <v>29800</v>
      </c>
      <c r="DH11">
        <f>DG11*0.18</f>
        <v>5364</v>
      </c>
      <c r="DI11">
        <f>DG11*0.12</f>
        <v>3576</v>
      </c>
      <c r="DJ11">
        <f>_xlfn.XLOOKUP(B11,'[11]january-2026'!$A:$A,'[11]january-2026'!$D:$D,0,0)</f>
        <v>0</v>
      </c>
      <c r="DK11">
        <f>_xlfn.XLOOKUP(B11,'[11]january-2026'!$A:$A,'[11]january-2026'!$G:$G,0,0)</f>
        <v>500</v>
      </c>
      <c r="DL11">
        <f>IF(DG11&gt;0,SUM(DG11:DK11),0)</f>
        <v>39240</v>
      </c>
      <c r="DM11">
        <f>_xlfn.XLOOKUP(B11,'[11]january-2026'!$A:$A,'[11]january-2026'!$H:$H,0,0)</f>
        <v>2000</v>
      </c>
      <c r="DN11">
        <f>_xlfn.XLOOKUP(B11,'[11]january-2026'!$A:$A,'[11]january-2026'!$I:$I,0,0)</f>
        <v>0</v>
      </c>
      <c r="DO11">
        <f>IF($F11="YES",0,IF(DL11&gt;40000,200,IF(DL11&gt;25000,150,IF(DL11&gt;15000,130,IF(DL11&gt;10000,110,0)))))</f>
        <v>150</v>
      </c>
      <c r="DP11">
        <f>DL11-DM11-DN11-DO11</f>
        <v>37090</v>
      </c>
      <c r="DQ11">
        <f>_xlfn.XLOOKUP(B11,'[12]february-2026'!$A:$A,'[12]february-2026'!$C:$C,0,0)</f>
        <v>29800</v>
      </c>
      <c r="DR11">
        <f>DQ11*0.18</f>
        <v>5364</v>
      </c>
      <c r="DS11">
        <f>DQ11*0.12</f>
        <v>3576</v>
      </c>
      <c r="DT11">
        <f>_xlfn.XLOOKUP(B11,'[12]february-2026'!$A:$A,'[12]february-2026'!$D:$D,0,0)</f>
        <v>0</v>
      </c>
      <c r="DU11">
        <f>_xlfn.XLOOKUP(B11,'[12]february-2026'!$A:$A,'[12]february-2026'!$G:$G,0,0)</f>
        <v>500</v>
      </c>
      <c r="DV11">
        <f>IF(DQ11&gt;0,SUM(DQ11:DU11),0)</f>
        <v>39240</v>
      </c>
      <c r="DW11">
        <f>_xlfn.XLOOKUP(B11,'[12]february-2026'!$A:$A,'[12]february-2026'!$H:$H,0,0)</f>
        <v>2000</v>
      </c>
      <c r="DX11">
        <f>_xlfn.XLOOKUP(B11,'[12]february-2026'!$A:$A,'[12]february-2026'!$I:$I,0,0)</f>
        <v>0</v>
      </c>
      <c r="DY11">
        <f>IF($F11="YES",0,IF(DV11&gt;40000,200,IF(DV11&gt;25000,150,IF(DV11&gt;15000,130,IF(DV11&gt;10000,110,0)))))</f>
        <v>150</v>
      </c>
      <c r="DZ11">
        <f>DV11-DW11-DX11-DY11</f>
        <v>37090</v>
      </c>
      <c r="EA11">
        <f>DV11+DL11+DB11+CR11+CH11+BX11+BN11+BD11+AS11+AI11+Y11+O11+H11+I11</f>
        <v>471844</v>
      </c>
      <c r="EB11">
        <f>DY11+DO11+DE11+CU11+CK11+CA11+BQ11+BG11+AV11+AL11+AB11+R11</f>
        <v>1800</v>
      </c>
      <c r="EC11">
        <f>IF(EA11&gt;0,50000,0)</f>
        <v>50000</v>
      </c>
      <c r="ED11">
        <v>0</v>
      </c>
      <c r="EE11">
        <f>EA11-EB11-EC11</f>
        <v>420044</v>
      </c>
      <c r="EF11">
        <f>DW11+DM11+DC11+CS11+CI11+BY11+BO11+BE11+AT11+AJ11+Z11+P11</f>
        <v>24000</v>
      </c>
      <c r="EG11">
        <f>DX11+DN11+DD11+CT11+CJ11+BZ11+BP11+BF11+AU11+AK11+AA11+Q11</f>
        <v>0</v>
      </c>
      <c r="EH11">
        <v>0</v>
      </c>
      <c r="EI11">
        <v>0</v>
      </c>
      <c r="EJ11">
        <v>0</v>
      </c>
      <c r="EK11">
        <v>0</v>
      </c>
      <c r="EL11">
        <v>0</v>
      </c>
      <c r="EM11">
        <v>0</v>
      </c>
      <c r="EN11">
        <v>0</v>
      </c>
      <c r="EO11">
        <v>0</v>
      </c>
      <c r="EP11">
        <v>0</v>
      </c>
      <c r="EQ11">
        <v>0</v>
      </c>
      <c r="ER11">
        <f>SUM(EF11:EQ11)</f>
        <v>24000</v>
      </c>
      <c r="ES11">
        <f>IF(ER11&gt;=150000,150000,ER11)</f>
        <v>24000</v>
      </c>
      <c r="ET11">
        <f>EE11-ES11</f>
        <v>396044</v>
      </c>
      <c r="EU11">
        <v>0</v>
      </c>
      <c r="EV11">
        <v>0</v>
      </c>
      <c r="EW11">
        <v>0</v>
      </c>
      <c r="EX11">
        <v>0</v>
      </c>
      <c r="EY11">
        <v>0</v>
      </c>
      <c r="EZ11">
        <v>0</v>
      </c>
      <c r="FA11">
        <v>0</v>
      </c>
      <c r="FB11">
        <f>SUM(EU11:FA11)+(IF(F11="YES",50000,0))</f>
        <v>0</v>
      </c>
      <c r="FC11">
        <f>ET11-FB11</f>
        <v>396044</v>
      </c>
      <c r="FD11">
        <f>ROUND(IF(FC11&gt;0,IF(FC11&gt;500000,12500,(FC11-250000)*0.05),0),0)</f>
        <v>7302</v>
      </c>
      <c r="FE11">
        <f>IF(ROUND(IF(FC11&gt;0,IF(FC11&gt;1000000,25000,(FC11-500000)*0.2),0),0)&lt;0,0,ROUND(IF(FC11&gt;0,IF(FC11&gt;1000000,25000,(FC11-500000)*0.2),0),0))</f>
        <v>0</v>
      </c>
      <c r="FF11">
        <f>FD11+FE11</f>
        <v>7302</v>
      </c>
      <c r="FG11">
        <f>IF(FF11&lt;12500,0,FF11)</f>
        <v>0</v>
      </c>
      <c r="FH11">
        <f>FG11*0.04</f>
        <v>0</v>
      </c>
      <c r="FI11">
        <f>ROUND(FH11+FG11,0)</f>
        <v>0</v>
      </c>
      <c r="FJ11">
        <v>0</v>
      </c>
      <c r="FK11">
        <f>FI11-FJ11</f>
        <v>0</v>
      </c>
      <c r="FL11" t="b">
        <f>IF(EA11&gt;500000,TRUE,FALSE)</f>
        <v>0</v>
      </c>
      <c r="FM11">
        <f ca="1">IF(FL11,RANDBETWEEN(500,1000),RANDBETWEEN(1000,3000))</f>
        <v>1050</v>
      </c>
      <c r="FN11">
        <f ca="1">EA11+FM11</f>
        <v>472894</v>
      </c>
      <c r="FO11">
        <f>IF(EA11&gt;0,75000,0)</f>
        <v>75000</v>
      </c>
      <c r="FP11">
        <f ca="1">FN11-FO11</f>
        <v>397894</v>
      </c>
      <c r="FQ11">
        <f ca="1">IF(FP11&gt;2400000,FP11-2400000,0)</f>
        <v>0</v>
      </c>
      <c r="FR11">
        <f ca="1">FQ11*0.3</f>
        <v>0</v>
      </c>
      <c r="FS11">
        <f ca="1">IF(FP11&gt;2000000,FP11-2000000,0)</f>
        <v>0</v>
      </c>
      <c r="FT11">
        <f ca="1">FS11*0.25</f>
        <v>0</v>
      </c>
      <c r="FU11">
        <f ca="1">IF(FP11&gt;1600000,FP11-1600000-FQ11,0)</f>
        <v>0</v>
      </c>
      <c r="FV11">
        <f ca="1">FU11*0.2</f>
        <v>0</v>
      </c>
      <c r="FW11">
        <f ca="1">IF(FP11&gt;1200000,FP11-1200000-IF(F11="YES",50000,0)-FU11,0)</f>
        <v>0</v>
      </c>
      <c r="FX11">
        <f ca="1">FW11*0.15</f>
        <v>0</v>
      </c>
      <c r="FY11">
        <f ca="1">IF(FP11&gt;800000,FP11-800000-FQ11-FU11-FW11,0)</f>
        <v>0</v>
      </c>
      <c r="FZ11">
        <f ca="1">FY11*0.1</f>
        <v>0</v>
      </c>
      <c r="GA11">
        <f ca="1">IF(FP11&gt;400000,FP11-400000-FQ11-FU11-FW11-FY11,0)</f>
        <v>0</v>
      </c>
      <c r="GB11">
        <f ca="1">GA11*0.05</f>
        <v>0</v>
      </c>
      <c r="GC11">
        <f ca="1">ROUND(FR11+FT11+FV11+FX11+FZ11+GB11,0)</f>
        <v>0</v>
      </c>
      <c r="GD11">
        <f ca="1">IF(FP11&gt;1200000,FP11,0)</f>
        <v>0</v>
      </c>
      <c r="GE11">
        <f ca="1">IF(FP11&gt;1200000,GD11-1200000,0)</f>
        <v>0</v>
      </c>
      <c r="GF11">
        <f ca="1">IF(FP11&lt;1200001,MIN(GC11,60000),0)</f>
        <v>0</v>
      </c>
      <c r="GG11">
        <f ca="1">IF(FP11&gt;1200000,GC11-GE11,0)</f>
        <v>0</v>
      </c>
      <c r="GH11" t="b">
        <f ca="1">IF(GG11&gt;0,TRUE,FALSE)</f>
        <v>0</v>
      </c>
      <c r="GI11">
        <f ca="1">IF(GH11,GG11,0)</f>
        <v>0</v>
      </c>
      <c r="GJ11">
        <f ca="1">GF11+GI11</f>
        <v>0</v>
      </c>
      <c r="GK11">
        <f ca="1">ROUND(GC11-GJ11,0)</f>
        <v>0</v>
      </c>
      <c r="GL11">
        <f ca="1">GK11*0.04</f>
        <v>0</v>
      </c>
      <c r="GM11">
        <f ca="1">ROUNDUP(GK11+GL11,0)</f>
        <v>0</v>
      </c>
    </row>
    <row r="12" spans="1:195" x14ac:dyDescent="0.25">
      <c r="A12">
        <f>_xlfn.AGGREGATE(3,5,$B$2:B12)</f>
        <v>11</v>
      </c>
      <c r="B12" t="s">
        <v>144</v>
      </c>
      <c r="C12" t="s">
        <v>145</v>
      </c>
      <c r="D12" t="s">
        <v>753</v>
      </c>
      <c r="E12" t="s">
        <v>833</v>
      </c>
      <c r="F12" t="s">
        <v>959</v>
      </c>
      <c r="G12" t="s">
        <v>882</v>
      </c>
      <c r="H12">
        <f>IF(_xlfn.DAYS("31-03-2025",G12)&gt;=180,6800,0)</f>
        <v>6800</v>
      </c>
      <c r="I12">
        <f>_xlfn.XLOOKUP(B12,'[1]march-2025'!$A:$A,'[1]march-2025'!$J:$J,0,0)</f>
        <v>0</v>
      </c>
      <c r="J12">
        <f>_xlfn.XLOOKUP(B12,'[1]march-2025'!$A:$A,'[1]march-2025'!$C:$C,0,0)</f>
        <v>47300</v>
      </c>
      <c r="K12">
        <f>J12*0.14</f>
        <v>6622.0000000000009</v>
      </c>
      <c r="L12">
        <f>J12*0.12</f>
        <v>5676</v>
      </c>
      <c r="M12">
        <f>_xlfn.XLOOKUP(B12,'[1]march-2025'!$A:$A,'[1]march-2025'!$D:$D,0,0)</f>
        <v>400</v>
      </c>
      <c r="N12">
        <f>_xlfn.XLOOKUP(B12,'[1]march-2025'!$A:$A,'[1]march-2025'!$G:$G,0,0)</f>
        <v>0</v>
      </c>
      <c r="O12">
        <f>IF(J12&gt;0,SUM(J12:N12),0)</f>
        <v>59998</v>
      </c>
      <c r="P12">
        <f>_xlfn.XLOOKUP(B12,'[1]march-2025'!$A:$A,'[1]march-2025'!$H:$H,0,0)</f>
        <v>3000</v>
      </c>
      <c r="Q12">
        <f>_xlfn.XLOOKUP(B12,'[1]march-2025'!$A:$A,'[1]march-2025'!$I:$I,0,0)</f>
        <v>0</v>
      </c>
      <c r="R12">
        <f>IF($F12="YES",0,IF(O12&gt;40000,200,IF(O12&gt;25000,150,IF(O12&gt;15000,130,IF(O12&gt;10000,110,0)))))</f>
        <v>200</v>
      </c>
      <c r="S12">
        <f>O12-P12-Q12-R12</f>
        <v>56798</v>
      </c>
      <c r="T12">
        <f>_xlfn.XLOOKUP(B12,'[2]april-2025'!$A:$A,'[2]april-2025'!$C:$C,0,0)</f>
        <v>47300</v>
      </c>
      <c r="U12">
        <f>T12*0.18</f>
        <v>8514</v>
      </c>
      <c r="V12">
        <f>T12*0.12</f>
        <v>5676</v>
      </c>
      <c r="W12">
        <f>_xlfn.XLOOKUP(B12,'[2]april-2025'!$A:$A,'[2]april-2025'!$D:$D,0,0)</f>
        <v>400</v>
      </c>
      <c r="X12">
        <f>_xlfn.XLOOKUP(B12,'[2]april-2025'!$A:$A,'[2]april-2025'!$G:$G,0,0)</f>
        <v>0</v>
      </c>
      <c r="Y12">
        <f>IF(T12&gt;0,SUM(T12:X12),0)</f>
        <v>61890</v>
      </c>
      <c r="Z12">
        <f>_xlfn.XLOOKUP(B12,'[2]april-2025'!$A:$A,'[2]april-2025'!$H:$H,0,0)</f>
        <v>3000</v>
      </c>
      <c r="AA12">
        <f>_xlfn.XLOOKUP(B12,'[2]april-2025'!$A:$A,'[2]april-2025'!$I:$I,0,0)</f>
        <v>0</v>
      </c>
      <c r="AB12">
        <f>IF($F12="YES",0,IF(Y12&gt;40000,200,IF(Y12&gt;25000,150,IF(Y12&gt;15000,130,IF(Y12&gt;10000,110,0)))))</f>
        <v>200</v>
      </c>
      <c r="AC12">
        <f>Y12-Z12-AA12-AB12</f>
        <v>58690</v>
      </c>
      <c r="AD12">
        <f>_xlfn.XLOOKUP(B12,'[3]may-2025'!$A:$A,'[3]may-2025'!$C:$C,0,0)</f>
        <v>47300</v>
      </c>
      <c r="AE12">
        <f>AD12*0.18</f>
        <v>8514</v>
      </c>
      <c r="AF12">
        <f>AD12*0.12</f>
        <v>5676</v>
      </c>
      <c r="AG12">
        <f>_xlfn.XLOOKUP(B12,'[3]may-2025'!$A:$A,'[3]may-2025'!$D:$D,0,0)</f>
        <v>400</v>
      </c>
      <c r="AH12">
        <f>_xlfn.XLOOKUP(B12,'[3]may-2025'!$A:$A,'[3]may-2025'!$G:$G,0,0)</f>
        <v>0</v>
      </c>
      <c r="AI12">
        <f>IF(AD12&gt;0,SUM(AD12:AH12),0)</f>
        <v>61890</v>
      </c>
      <c r="AJ12">
        <f>_xlfn.XLOOKUP(B12,'[3]may-2025'!$A:$A,'[3]may-2025'!$H:$H,0,0)</f>
        <v>3000</v>
      </c>
      <c r="AK12">
        <f>_xlfn.XLOOKUP(B12,'[3]may-2025'!$A:$A,'[3]may-2025'!$I:$I,0,0)</f>
        <v>0</v>
      </c>
      <c r="AL12">
        <f>IF($F12="YES",0,IF(AI12&gt;40000,200,IF(AI12&gt;25000,150,IF(AI12&gt;15000,130,IF(AI12&gt;10000,110,0)))))</f>
        <v>200</v>
      </c>
      <c r="AM12">
        <f>AI12-AJ12-AK12-AL12</f>
        <v>58690</v>
      </c>
      <c r="AN12">
        <f>_xlfn.XLOOKUP(B12,'[4]june-2025'!$A:$A,'[4]june-2025'!$C:$C,0,0)</f>
        <v>47300</v>
      </c>
      <c r="AO12">
        <f>AN12*0.18</f>
        <v>8514</v>
      </c>
      <c r="AP12">
        <f>AN12*0.12</f>
        <v>5676</v>
      </c>
      <c r="AQ12">
        <f>_xlfn.XLOOKUP(B12,'[4]june-2025'!$A:$A,'[4]june-2025'!$D:$D,0,0)</f>
        <v>400</v>
      </c>
      <c r="AR12">
        <f>_xlfn.XLOOKUP(B12,'[4]june-2025'!$A:$A,'[4]june-2025'!$G:$G,0,0)</f>
        <v>0</v>
      </c>
      <c r="AS12">
        <f>IF(AN12&gt;0,SUM(AN12:AR12),0)</f>
        <v>61890</v>
      </c>
      <c r="AT12">
        <f>_xlfn.XLOOKUP(B12,'[4]june-2025'!$A:$A,'[4]june-2025'!$H:$H,0,0)</f>
        <v>3000</v>
      </c>
      <c r="AU12">
        <f>_xlfn.XLOOKUP(B12,'[4]june-2025'!$A:$A,'[4]june-2025'!$I:$I,0,0)</f>
        <v>0</v>
      </c>
      <c r="AV12">
        <f>IF($F12="YES",0,IF(AS12&gt;40000,200,IF(AS12&gt;25000,150,IF(AS12&gt;15000,130,IF(AS12&gt;10000,110,0)))))</f>
        <v>200</v>
      </c>
      <c r="AW12">
        <f>AS12-AT12-AU12-AV12</f>
        <v>58690</v>
      </c>
      <c r="AX12">
        <f>_xlfn.XLOOKUP(B12,'[5]july-2025'!$A:$A,'[5]july-2025'!$C:$C,0,0)</f>
        <v>48700</v>
      </c>
      <c r="AY12">
        <f>AX12*0.18</f>
        <v>8766</v>
      </c>
      <c r="AZ12">
        <v>0</v>
      </c>
      <c r="BA12">
        <f>AX12*0.12</f>
        <v>5844</v>
      </c>
      <c r="BB12">
        <f>_xlfn.XLOOKUP(B12,'[5]july-2025'!$A:$A,'[5]july-2025'!$D:$D,0,0)</f>
        <v>400</v>
      </c>
      <c r="BC12">
        <f>_xlfn.XLOOKUP(B12,'[5]july-2025'!$A:$A,'[5]july-2025'!$G:$G,0,0)</f>
        <v>0</v>
      </c>
      <c r="BD12">
        <f>IF(AX12&gt;0,SUM(AX12:BC12),0)</f>
        <v>63710</v>
      </c>
      <c r="BE12">
        <f>_xlfn.XLOOKUP(B12,'[5]july-2025'!$A:$A,'[5]july-2025'!$H:$H,0,0)</f>
        <v>3000</v>
      </c>
      <c r="BF12">
        <f>_xlfn.XLOOKUP(B12,'[5]july-2025'!$A:$A,'[5]july-2025'!$I:$I,0,0)</f>
        <v>0</v>
      </c>
      <c r="BG12">
        <f>IF($F12="YES",0,IF(BD12&gt;40000,200,IF(BD12&gt;25000,150,IF(BD12&gt;15000,130,IF(BD12&gt;10000,110,0)))))</f>
        <v>200</v>
      </c>
      <c r="BH12">
        <f>BD12-BE12-BF12-BG12</f>
        <v>60510</v>
      </c>
      <c r="BI12">
        <f>_xlfn.XLOOKUP(B12,'[6]august-2025'!$A:$A,'[6]august-2025'!$C:$C,0,0)</f>
        <v>48700</v>
      </c>
      <c r="BJ12">
        <f>BI12*0.18</f>
        <v>8766</v>
      </c>
      <c r="BK12">
        <f>BI12*0.12</f>
        <v>5844</v>
      </c>
      <c r="BL12">
        <f>_xlfn.XLOOKUP(B12,'[6]august-2025'!$A:$A,'[6]august-2025'!$D:$D,0,0)</f>
        <v>400</v>
      </c>
      <c r="BM12">
        <f>_xlfn.XLOOKUP(B12,'[6]august-2025'!$A:$A,'[6]august-2025'!$G:$G,0,0)</f>
        <v>0</v>
      </c>
      <c r="BN12">
        <f>IF(BI12&gt;0,SUM(BI12:BM12),0)</f>
        <v>63710</v>
      </c>
      <c r="BO12">
        <f>_xlfn.XLOOKUP(B12,'[6]august-2025'!$A:$A,'[6]august-2025'!$H:$H,0,0)</f>
        <v>3000</v>
      </c>
      <c r="BP12">
        <f>_xlfn.XLOOKUP(B12,'[6]august-2025'!$A:$A,'[6]august-2025'!$I:$I,0,0)</f>
        <v>0</v>
      </c>
      <c r="BQ12">
        <f>IF($F12="YES",0,IF(BN12&gt;40000,200,IF(BN12&gt;25000,150,IF(BN12&gt;15000,130,IF(BN12&gt;10000,110,0)))))</f>
        <v>200</v>
      </c>
      <c r="BR12">
        <f>BN12-BO12-BP12-BQ12</f>
        <v>60510</v>
      </c>
      <c r="BS12">
        <f>_xlfn.XLOOKUP(B12,'[7]september-2025'!$A:$A,'[7]september-2025'!$C:$C,0,0)</f>
        <v>48700</v>
      </c>
      <c r="BT12">
        <f>BS12*0.18</f>
        <v>8766</v>
      </c>
      <c r="BU12">
        <f>BS12*0.12</f>
        <v>5844</v>
      </c>
      <c r="BV12">
        <f>_xlfn.XLOOKUP(B12,'[7]september-2025'!$A:$A,'[7]september-2025'!$D:$D,0,0)</f>
        <v>400</v>
      </c>
      <c r="BW12">
        <f>_xlfn.XLOOKUP(B12,'[7]september-2025'!$A:$A,'[7]september-2025'!$G:$G,0,0)</f>
        <v>0</v>
      </c>
      <c r="BX12">
        <f>IF(BS12&gt;0,SUM(BS12:BW12),0)</f>
        <v>63710</v>
      </c>
      <c r="BY12">
        <f>_xlfn.XLOOKUP(B12,'[7]september-2025'!$A:$A,'[7]september-2025'!$H:$H,0,0)</f>
        <v>3000</v>
      </c>
      <c r="BZ12">
        <f>_xlfn.XLOOKUP(B12,'[7]september-2025'!$A:$A,'[7]september-2025'!$I:$I,0,0)</f>
        <v>0</v>
      </c>
      <c r="CA12">
        <f>IF($F12="YES",0,IF(BX12&gt;40000,200,IF(BX12&gt;25000,150,IF(BX12&gt;15000,130,IF(BX12&gt;10000,110,0)))))</f>
        <v>200</v>
      </c>
      <c r="CB12">
        <f>BX12-BY12-BZ12-CA12</f>
        <v>60510</v>
      </c>
      <c r="CC12">
        <f>_xlfn.XLOOKUP(B12,'[8]october-2025'!$A:$A,'[8]october-2025'!$C:$C,0,0)</f>
        <v>48700</v>
      </c>
      <c r="CD12">
        <f>CC12*0.18</f>
        <v>8766</v>
      </c>
      <c r="CE12">
        <f>CC12*0.12</f>
        <v>5844</v>
      </c>
      <c r="CF12">
        <f>_xlfn.XLOOKUP(B12,'[8]october-2025'!$A:$A,'[8]october-2025'!$D:$D,0,0)</f>
        <v>400</v>
      </c>
      <c r="CG12">
        <f>_xlfn.XLOOKUP(B12,'[8]october-2025'!$A:$A,'[8]october-2025'!$G:$G,0,0)</f>
        <v>0</v>
      </c>
      <c r="CH12">
        <f>IF(CC12&gt;0,SUM(CC12:CG12),0)</f>
        <v>63710</v>
      </c>
      <c r="CI12">
        <f>_xlfn.XLOOKUP(B12,'[8]october-2025'!$A:$A,'[8]october-2025'!$H:$H,0,0)</f>
        <v>3000</v>
      </c>
      <c r="CJ12">
        <f>_xlfn.XLOOKUP(B12,'[8]october-2025'!$A:$A,'[8]october-2025'!$I:$I,0,0)</f>
        <v>0</v>
      </c>
      <c r="CK12">
        <f>IF($F12="YES",0,IF(CH12&gt;40000,200,IF(CH12&gt;25000,150,IF(CH12&gt;15000,130,IF(CH12&gt;10000,110,0)))))</f>
        <v>200</v>
      </c>
      <c r="CL12">
        <f>CH12-CI12-CJ12-CK12</f>
        <v>60510</v>
      </c>
      <c r="CM12">
        <f>_xlfn.XLOOKUP(B12,'[9]november-2025'!$A:$A,'[9]november-2025'!$C:$C,0,0)</f>
        <v>48700</v>
      </c>
      <c r="CN12">
        <f>CM12*0.18</f>
        <v>8766</v>
      </c>
      <c r="CO12">
        <f>CM12*0.12</f>
        <v>5844</v>
      </c>
      <c r="CP12">
        <f>_xlfn.XLOOKUP(B12,'[9]november-2025'!$A:$A,'[9]november-2025'!$D:$D,0,0)</f>
        <v>400</v>
      </c>
      <c r="CQ12">
        <f>_xlfn.XLOOKUP(B12,'[9]november-2025'!$A:$A,'[9]november-2025'!$G:$G,0,0)</f>
        <v>0</v>
      </c>
      <c r="CR12">
        <f>IF(CM12&gt;0,SUM(CM12:CQ12),0)</f>
        <v>63710</v>
      </c>
      <c r="CS12">
        <f>_xlfn.XLOOKUP(B12,'[9]november-2025'!$A:$A,'[9]november-2025'!$H:$H,0,0)</f>
        <v>3000</v>
      </c>
      <c r="CT12">
        <f>_xlfn.XLOOKUP(B12,'[9]november-2025'!$A:$A,'[9]november-2025'!$I:$I,0,0)</f>
        <v>0</v>
      </c>
      <c r="CU12">
        <f>IF($F12="YES",0,IF(CR12&gt;40000,200,IF(CR12&gt;25000,150,IF(CR12&gt;15000,130,IF(CR12&gt;10000,110,0)))))</f>
        <v>200</v>
      </c>
      <c r="CV12">
        <f>CR12-CS12-CT12-CU12</f>
        <v>60510</v>
      </c>
      <c r="CW12">
        <f>_xlfn.XLOOKUP(B12,'[10]december-2025'!$A:$A,'[10]december-2025'!$C:$C,0,0)</f>
        <v>48700</v>
      </c>
      <c r="CX12">
        <f>ROUND(CW12*0.18,0)</f>
        <v>8766</v>
      </c>
      <c r="CY12">
        <f>ROUND(CW12*0.12,0)</f>
        <v>5844</v>
      </c>
      <c r="CZ12">
        <f>_xlfn.XLOOKUP(B12,'[10]december-2025'!$A:$A,'[10]december-2025'!$D:$D,0,0)</f>
        <v>400</v>
      </c>
      <c r="DA12">
        <f>_xlfn.XLOOKUP(B12,'[10]december-2025'!$A:$A,'[10]december-2025'!$G:$G,0,0)</f>
        <v>0</v>
      </c>
      <c r="DB12">
        <f>IF(CW12&gt;0,SUM(CW12:DA12),0)</f>
        <v>63710</v>
      </c>
      <c r="DC12">
        <f>_xlfn.XLOOKUP(B12,'[10]december-2025'!$A:$A,'[10]december-2025'!$H:$H,0,0)</f>
        <v>3000</v>
      </c>
      <c r="DD12">
        <f>_xlfn.XLOOKUP(B12,'[10]december-2025'!$A:$A,'[10]december-2025'!$I:$I,0,0)</f>
        <v>0</v>
      </c>
      <c r="DE12">
        <f>IF($F12="YES",0,IF(DB12&gt;40000,200,IF(DB12&gt;25000,150,IF(DB12&gt;15000,130,IF(DB12&gt;10000,110,0)))))</f>
        <v>200</v>
      </c>
      <c r="DF12">
        <f>DB12-DC12-DD12-DE12</f>
        <v>60510</v>
      </c>
      <c r="DG12">
        <f>_xlfn.XLOOKUP(B12,'[11]january-2026'!$A:$A,'[11]january-2026'!$C:$C,0,0)</f>
        <v>48700</v>
      </c>
      <c r="DH12">
        <f>DG12*0.18</f>
        <v>8766</v>
      </c>
      <c r="DI12">
        <f>DG12*0.12</f>
        <v>5844</v>
      </c>
      <c r="DJ12">
        <f>_xlfn.XLOOKUP(B12,'[11]january-2026'!$A:$A,'[11]january-2026'!$D:$D,0,0)</f>
        <v>400</v>
      </c>
      <c r="DK12">
        <f>_xlfn.XLOOKUP(B12,'[11]january-2026'!$A:$A,'[11]january-2026'!$G:$G,0,0)</f>
        <v>0</v>
      </c>
      <c r="DL12">
        <f>IF(DG12&gt;0,SUM(DG12:DK12),0)</f>
        <v>63710</v>
      </c>
      <c r="DM12">
        <f>_xlfn.XLOOKUP(B12,'[11]january-2026'!$A:$A,'[11]january-2026'!$H:$H,0,0)</f>
        <v>3000</v>
      </c>
      <c r="DN12">
        <f>_xlfn.XLOOKUP(B12,'[11]january-2026'!$A:$A,'[11]january-2026'!$I:$I,0,0)</f>
        <v>0</v>
      </c>
      <c r="DO12">
        <f>IF($F12="YES",0,IF(DL12&gt;40000,200,IF(DL12&gt;25000,150,IF(DL12&gt;15000,130,IF(DL12&gt;10000,110,0)))))</f>
        <v>200</v>
      </c>
      <c r="DP12">
        <f>DL12-DM12-DN12-DO12</f>
        <v>60510</v>
      </c>
      <c r="DQ12">
        <f>_xlfn.XLOOKUP(B12,'[12]february-2026'!$A:$A,'[12]february-2026'!$C:$C,0,0)</f>
        <v>48700</v>
      </c>
      <c r="DR12">
        <f>DQ12*0.18</f>
        <v>8766</v>
      </c>
      <c r="DS12">
        <f>DQ12*0.12</f>
        <v>5844</v>
      </c>
      <c r="DT12">
        <f>_xlfn.XLOOKUP(B12,'[12]february-2026'!$A:$A,'[12]february-2026'!$D:$D,0,0)</f>
        <v>400</v>
      </c>
      <c r="DU12">
        <f>_xlfn.XLOOKUP(B12,'[12]february-2026'!$A:$A,'[12]february-2026'!$G:$G,0,0)</f>
        <v>0</v>
      </c>
      <c r="DV12">
        <f>IF(DQ12&gt;0,SUM(DQ12:DU12),0)</f>
        <v>63710</v>
      </c>
      <c r="DW12">
        <f>_xlfn.XLOOKUP(B12,'[12]february-2026'!$A:$A,'[12]february-2026'!$H:$H,0,0)</f>
        <v>3000</v>
      </c>
      <c r="DX12">
        <f>_xlfn.XLOOKUP(B12,'[12]february-2026'!$A:$A,'[12]february-2026'!$I:$I,0,0)</f>
        <v>0</v>
      </c>
      <c r="DY12">
        <f>IF($F12="YES",0,IF(DV12&gt;40000,200,IF(DV12&gt;25000,150,IF(DV12&gt;15000,130,IF(DV12&gt;10000,110,0)))))</f>
        <v>200</v>
      </c>
      <c r="DZ12">
        <f>DV12-DW12-DX12-DY12</f>
        <v>60510</v>
      </c>
      <c r="EA12">
        <f>DV12+DL12+DB12+CR12+CH12+BX12+BN12+BD12+AS12+AI12+Y12+O12+H12+I12</f>
        <v>762148</v>
      </c>
      <c r="EB12">
        <f>DY12+DO12+DE12+CU12+CK12+CA12+BQ12+BG12+AV12+AL12+AB12+R12</f>
        <v>2400</v>
      </c>
      <c r="EC12">
        <f>IF(EA12&gt;0,50000,0)</f>
        <v>50000</v>
      </c>
      <c r="ED12">
        <v>0</v>
      </c>
      <c r="EE12">
        <f>EA12-EB12-EC12</f>
        <v>709748</v>
      </c>
      <c r="EF12">
        <f>DW12+DM12+DC12+CS12+CI12+BY12+BO12+BE12+AT12+AJ12+Z12+P12</f>
        <v>36000</v>
      </c>
      <c r="EG12">
        <f>DX12+DN12+DD12+CT12+CJ12+BZ12+BP12+BF12+AU12+AK12+AA12+Q12</f>
        <v>0</v>
      </c>
      <c r="EH12">
        <v>0</v>
      </c>
      <c r="EI12">
        <v>0</v>
      </c>
      <c r="EJ12">
        <v>0</v>
      </c>
      <c r="EK12">
        <v>0</v>
      </c>
      <c r="EL12">
        <v>0</v>
      </c>
      <c r="EM12">
        <v>0</v>
      </c>
      <c r="EN12">
        <v>0</v>
      </c>
      <c r="EO12">
        <v>0</v>
      </c>
      <c r="EP12">
        <v>0</v>
      </c>
      <c r="EQ12">
        <v>0</v>
      </c>
      <c r="ER12">
        <f>SUM(EF12:EQ12)</f>
        <v>36000</v>
      </c>
      <c r="ES12">
        <f>IF(ER12&gt;=150000,150000,ER12)</f>
        <v>36000</v>
      </c>
      <c r="ET12">
        <f>EE12-ES12</f>
        <v>673748</v>
      </c>
      <c r="EU12">
        <v>0</v>
      </c>
      <c r="EV12">
        <v>0</v>
      </c>
      <c r="EW12">
        <v>0</v>
      </c>
      <c r="EX12">
        <v>0</v>
      </c>
      <c r="EY12">
        <v>0</v>
      </c>
      <c r="EZ12">
        <v>0</v>
      </c>
      <c r="FA12">
        <v>0</v>
      </c>
      <c r="FB12">
        <f>SUM(EU12:FA12)+(IF(F12="YES",50000,0))</f>
        <v>0</v>
      </c>
      <c r="FC12">
        <f>ET12-FB12</f>
        <v>673748</v>
      </c>
      <c r="FD12">
        <f>ROUND(IF(FC12&gt;0,IF(FC12&gt;500000,12500,(FC12-250000)*0.05),0),0)</f>
        <v>12500</v>
      </c>
      <c r="FE12">
        <f>IF(ROUND(IF(FC12&gt;0,IF(FC12&gt;1000000,25000,(FC12-500000)*0.2),0),0)&lt;0,0,ROUND(IF(FC12&gt;0,IF(FC12&gt;1000000,25000,(FC12-500000)*0.2),0),0))</f>
        <v>34750</v>
      </c>
      <c r="FF12">
        <f>FD12+FE12</f>
        <v>47250</v>
      </c>
      <c r="FG12">
        <f>IF(FF12&lt;12500,0,FF12)</f>
        <v>47250</v>
      </c>
      <c r="FH12">
        <f>FG12*0.04</f>
        <v>1890</v>
      </c>
      <c r="FI12">
        <f>ROUND(FH12+FG12,0)</f>
        <v>49140</v>
      </c>
      <c r="FJ12">
        <v>0</v>
      </c>
      <c r="FK12">
        <f>FI12-FJ12</f>
        <v>49140</v>
      </c>
      <c r="FL12" t="b">
        <f>IF(EA12&gt;500000,TRUE,FALSE)</f>
        <v>1</v>
      </c>
      <c r="FM12">
        <f ca="1">IF(FL12,RANDBETWEEN(500,1000),RANDBETWEEN(1000,3000))</f>
        <v>687</v>
      </c>
      <c r="FN12">
        <f ca="1">EA12+FM12</f>
        <v>762835</v>
      </c>
      <c r="FO12">
        <f>IF(EA12&gt;0,75000,0)</f>
        <v>75000</v>
      </c>
      <c r="FP12">
        <f ca="1">FN12-FO12</f>
        <v>687835</v>
      </c>
      <c r="FQ12">
        <f ca="1">IF(FP12&gt;2400000,FP12-2400000,0)</f>
        <v>0</v>
      </c>
      <c r="FR12">
        <f ca="1">FQ12*0.3</f>
        <v>0</v>
      </c>
      <c r="FS12">
        <f ca="1">IF(FP12&gt;2000000,FP12-2000000,0)</f>
        <v>0</v>
      </c>
      <c r="FT12">
        <f ca="1">FS12*0.25</f>
        <v>0</v>
      </c>
      <c r="FU12">
        <f ca="1">IF(FP12&gt;1600000,FP12-1600000-FQ12,0)</f>
        <v>0</v>
      </c>
      <c r="FV12">
        <f ca="1">FU12*0.2</f>
        <v>0</v>
      </c>
      <c r="FW12">
        <f ca="1">IF(FP12&gt;1200000,FP12-1200000-IF(F12="YES",50000,0)-FU12,0)</f>
        <v>0</v>
      </c>
      <c r="FX12">
        <f ca="1">FW12*0.15</f>
        <v>0</v>
      </c>
      <c r="FY12">
        <f ca="1">IF(FP12&gt;800000,FP12-800000-FQ12-FU12-FW12,0)</f>
        <v>0</v>
      </c>
      <c r="FZ12">
        <f ca="1">FY12*0.1</f>
        <v>0</v>
      </c>
      <c r="GA12">
        <f ca="1">IF(FP12&gt;400000,FP12-400000-FQ12-FU12-FW12-FY12,0)</f>
        <v>287835</v>
      </c>
      <c r="GB12">
        <f ca="1">GA12*0.05</f>
        <v>14391.75</v>
      </c>
      <c r="GC12">
        <f ca="1">ROUND(FR12+FT12+FV12+FX12+FZ12+GB12,0)</f>
        <v>14392</v>
      </c>
      <c r="GD12">
        <f ca="1">IF(FP12&gt;1200000,FP12,0)</f>
        <v>0</v>
      </c>
      <c r="GE12">
        <f ca="1">IF(FP12&gt;1200000,GD12-1200000,0)</f>
        <v>0</v>
      </c>
      <c r="GF12">
        <f ca="1">IF(FP12&lt;1200001,MIN(GC12,60000),0)</f>
        <v>14392</v>
      </c>
      <c r="GG12">
        <f ca="1">IF(FP12&gt;1200000,GC12-GE12,0)</f>
        <v>0</v>
      </c>
      <c r="GH12" t="b">
        <f ca="1">IF(GG12&gt;0,TRUE,FALSE)</f>
        <v>0</v>
      </c>
      <c r="GI12">
        <f ca="1">IF(GH12,GG12,0)</f>
        <v>0</v>
      </c>
      <c r="GJ12">
        <f ca="1">GF12+GI12</f>
        <v>14392</v>
      </c>
      <c r="GK12">
        <f ca="1">ROUND(GC12-GJ12,0)</f>
        <v>0</v>
      </c>
      <c r="GL12">
        <f ca="1">GK12*0.04</f>
        <v>0</v>
      </c>
      <c r="GM12">
        <f ca="1">ROUNDUP(GK12+GL12,0)</f>
        <v>0</v>
      </c>
    </row>
    <row r="13" spans="1:195" x14ac:dyDescent="0.25">
      <c r="A13">
        <f>_xlfn.AGGREGATE(3,5,$B$2:B13)</f>
        <v>12</v>
      </c>
      <c r="B13" t="s">
        <v>146</v>
      </c>
      <c r="C13" t="s">
        <v>147</v>
      </c>
      <c r="D13" t="s">
        <v>753</v>
      </c>
      <c r="E13" t="s">
        <v>833</v>
      </c>
      <c r="F13" t="s">
        <v>959</v>
      </c>
      <c r="G13" t="s">
        <v>884</v>
      </c>
      <c r="H13">
        <f>IF(_xlfn.DAYS("31-03-2025",G13)&gt;=180,6800,0)</f>
        <v>6800</v>
      </c>
      <c r="I13">
        <f>_xlfn.XLOOKUP(B13,'[1]march-2025'!$A:$A,'[1]march-2025'!$J:$J,0,0)</f>
        <v>0</v>
      </c>
      <c r="J13">
        <f>_xlfn.XLOOKUP(B13,'[1]march-2025'!$A:$A,'[1]march-2025'!$C:$C,0,0)</f>
        <v>27000</v>
      </c>
      <c r="K13">
        <f>J13*0.14</f>
        <v>3780.0000000000005</v>
      </c>
      <c r="L13">
        <f>J13*0.12</f>
        <v>3240</v>
      </c>
      <c r="M13">
        <f>_xlfn.XLOOKUP(B13,'[1]march-2025'!$A:$A,'[1]march-2025'!$D:$D,0,0)</f>
        <v>0</v>
      </c>
      <c r="N13">
        <f>_xlfn.XLOOKUP(B13,'[1]march-2025'!$A:$A,'[1]march-2025'!$G:$G,0,0)</f>
        <v>500</v>
      </c>
      <c r="O13">
        <f>IF(J13&gt;0,SUM(J13:N13),0)</f>
        <v>34520</v>
      </c>
      <c r="P13">
        <f>_xlfn.XLOOKUP(B13,'[1]march-2025'!$A:$A,'[1]march-2025'!$H:$H,0,0)</f>
        <v>2000</v>
      </c>
      <c r="Q13">
        <f>_xlfn.XLOOKUP(B13,'[1]march-2025'!$A:$A,'[1]march-2025'!$I:$I,0,0)</f>
        <v>0</v>
      </c>
      <c r="R13">
        <f>IF($F13="YES",0,IF(O13&gt;40000,200,IF(O13&gt;25000,150,IF(O13&gt;15000,130,IF(O13&gt;10000,110,0)))))</f>
        <v>150</v>
      </c>
      <c r="S13">
        <f>O13-P13-Q13-R13</f>
        <v>32370</v>
      </c>
      <c r="T13">
        <f>_xlfn.XLOOKUP(B13,'[2]april-2025'!$A:$A,'[2]april-2025'!$C:$C,0,0)</f>
        <v>27000</v>
      </c>
      <c r="U13">
        <f>T13*0.18</f>
        <v>4860</v>
      </c>
      <c r="V13">
        <f>T13*0.12</f>
        <v>3240</v>
      </c>
      <c r="W13">
        <f>_xlfn.XLOOKUP(B13,'[2]april-2025'!$A:$A,'[2]april-2025'!$D:$D,0,0)</f>
        <v>0</v>
      </c>
      <c r="X13">
        <f>_xlfn.XLOOKUP(B13,'[2]april-2025'!$A:$A,'[2]april-2025'!$G:$G,0,0)</f>
        <v>500</v>
      </c>
      <c r="Y13">
        <f>IF(T13&gt;0,SUM(T13:X13),0)</f>
        <v>35600</v>
      </c>
      <c r="Z13">
        <f>_xlfn.XLOOKUP(B13,'[2]april-2025'!$A:$A,'[2]april-2025'!$H:$H,0,0)</f>
        <v>2000</v>
      </c>
      <c r="AA13">
        <f>_xlfn.XLOOKUP(B13,'[2]april-2025'!$A:$A,'[2]april-2025'!$I:$I,0,0)</f>
        <v>0</v>
      </c>
      <c r="AB13">
        <f>IF($F13="YES",0,IF(Y13&gt;40000,200,IF(Y13&gt;25000,150,IF(Y13&gt;15000,130,IF(Y13&gt;10000,110,0)))))</f>
        <v>150</v>
      </c>
      <c r="AC13">
        <f>Y13-Z13-AA13-AB13</f>
        <v>33450</v>
      </c>
      <c r="AD13">
        <f>_xlfn.XLOOKUP(B13,'[3]may-2025'!$A:$A,'[3]may-2025'!$C:$C,0,0)</f>
        <v>31600</v>
      </c>
      <c r="AE13">
        <f>AD13*0.18</f>
        <v>5688</v>
      </c>
      <c r="AF13">
        <f>AD13*0.12</f>
        <v>3792</v>
      </c>
      <c r="AG13">
        <f>_xlfn.XLOOKUP(B13,'[3]may-2025'!$A:$A,'[3]may-2025'!$D:$D,0,0)</f>
        <v>0</v>
      </c>
      <c r="AH13">
        <f>_xlfn.XLOOKUP(B13,'[3]may-2025'!$A:$A,'[3]may-2025'!$G:$G,0,0)</f>
        <v>500</v>
      </c>
      <c r="AI13">
        <f>IF(AD13&gt;0,SUM(AD13:AH13),0)</f>
        <v>41580</v>
      </c>
      <c r="AJ13">
        <f>_xlfn.XLOOKUP(B13,'[3]may-2025'!$A:$A,'[3]may-2025'!$H:$H,0,0)</f>
        <v>2000</v>
      </c>
      <c r="AK13">
        <f>_xlfn.XLOOKUP(B13,'[3]may-2025'!$A:$A,'[3]may-2025'!$I:$I,0,0)</f>
        <v>0</v>
      </c>
      <c r="AL13">
        <f>IF($F13="YES",0,IF(AI13&gt;40000,200,IF(AI13&gt;25000,150,IF(AI13&gt;15000,130,IF(AI13&gt;10000,110,0)))))</f>
        <v>200</v>
      </c>
      <c r="AM13">
        <f>AI13-AJ13-AK13-AL13</f>
        <v>39380</v>
      </c>
      <c r="AN13">
        <f>_xlfn.XLOOKUP(B13,'[4]june-2025'!$A:$A,'[4]june-2025'!$C:$C,0,0)</f>
        <v>31600</v>
      </c>
      <c r="AO13">
        <f>AN13*0.18</f>
        <v>5688</v>
      </c>
      <c r="AP13">
        <f>AN13*0.12</f>
        <v>3792</v>
      </c>
      <c r="AQ13">
        <f>_xlfn.XLOOKUP(B13,'[4]june-2025'!$A:$A,'[4]june-2025'!$D:$D,0,0)</f>
        <v>0</v>
      </c>
      <c r="AR13">
        <f>_xlfn.XLOOKUP(B13,'[4]june-2025'!$A:$A,'[4]june-2025'!$G:$G,0,0)</f>
        <v>500</v>
      </c>
      <c r="AS13">
        <f>IF(AN13&gt;0,SUM(AN13:AR13),0)</f>
        <v>41580</v>
      </c>
      <c r="AT13">
        <f>_xlfn.XLOOKUP(B13,'[4]june-2025'!$A:$A,'[4]june-2025'!$H:$H,0,0)</f>
        <v>2000</v>
      </c>
      <c r="AU13">
        <f>_xlfn.XLOOKUP(B13,'[4]june-2025'!$A:$A,'[4]june-2025'!$I:$I,0,0)</f>
        <v>0</v>
      </c>
      <c r="AV13">
        <f>IF($F13="YES",0,IF(AS13&gt;40000,200,IF(AS13&gt;25000,150,IF(AS13&gt;15000,130,IF(AS13&gt;10000,110,0)))))</f>
        <v>200</v>
      </c>
      <c r="AW13">
        <f>AS13-AT13-AU13-AV13</f>
        <v>39380</v>
      </c>
      <c r="AX13">
        <f>_xlfn.XLOOKUP(B13,'[5]july-2025'!$A:$A,'[5]july-2025'!$C:$C,0,0)</f>
        <v>32500</v>
      </c>
      <c r="AY13">
        <f>AX13*0.18</f>
        <v>5850</v>
      </c>
      <c r="AZ13">
        <v>0</v>
      </c>
      <c r="BA13">
        <f>AX13*0.12</f>
        <v>3900</v>
      </c>
      <c r="BB13">
        <f>_xlfn.XLOOKUP(B13,'[5]july-2025'!$A:$A,'[5]july-2025'!$D:$D,0,0)</f>
        <v>0</v>
      </c>
      <c r="BC13">
        <f>_xlfn.XLOOKUP(B13,'[5]july-2025'!$A:$A,'[5]july-2025'!$G:$G,0,0)</f>
        <v>500</v>
      </c>
      <c r="BD13">
        <f>IF(AX13&gt;0,SUM(AX13:BC13),0)</f>
        <v>42750</v>
      </c>
      <c r="BE13">
        <f>_xlfn.XLOOKUP(B13,'[5]july-2025'!$A:$A,'[5]july-2025'!$H:$H,0,0)</f>
        <v>2000</v>
      </c>
      <c r="BF13">
        <f>_xlfn.XLOOKUP(B13,'[5]july-2025'!$A:$A,'[5]july-2025'!$I:$I,0,0)</f>
        <v>0</v>
      </c>
      <c r="BG13">
        <f>IF($F13="YES",0,IF(BD13&gt;40000,200,IF(BD13&gt;25000,150,IF(BD13&gt;15000,130,IF(BD13&gt;10000,110,0)))))</f>
        <v>200</v>
      </c>
      <c r="BH13">
        <f>BD13-BE13-BF13-BG13</f>
        <v>40550</v>
      </c>
      <c r="BI13">
        <f>_xlfn.XLOOKUP(B13,'[6]august-2025'!$A:$A,'[6]august-2025'!$C:$C,0,0)</f>
        <v>32500</v>
      </c>
      <c r="BJ13">
        <f>BI13*0.18</f>
        <v>5850</v>
      </c>
      <c r="BK13">
        <f>BI13*0.12</f>
        <v>3900</v>
      </c>
      <c r="BL13">
        <f>_xlfn.XLOOKUP(B13,'[6]august-2025'!$A:$A,'[6]august-2025'!$D:$D,0,0)</f>
        <v>0</v>
      </c>
      <c r="BM13">
        <f>_xlfn.XLOOKUP(B13,'[6]august-2025'!$A:$A,'[6]august-2025'!$G:$G,0,0)</f>
        <v>500</v>
      </c>
      <c r="BN13">
        <f>IF(BI13&gt;0,SUM(BI13:BM13),0)</f>
        <v>42750</v>
      </c>
      <c r="BO13">
        <f>_xlfn.XLOOKUP(B13,'[6]august-2025'!$A:$A,'[6]august-2025'!$H:$H,0,0)</f>
        <v>2000</v>
      </c>
      <c r="BP13">
        <f>_xlfn.XLOOKUP(B13,'[6]august-2025'!$A:$A,'[6]august-2025'!$I:$I,0,0)</f>
        <v>0</v>
      </c>
      <c r="BQ13">
        <f>IF($F13="YES",0,IF(BN13&gt;40000,200,IF(BN13&gt;25000,150,IF(BN13&gt;15000,130,IF(BN13&gt;10000,110,0)))))</f>
        <v>200</v>
      </c>
      <c r="BR13">
        <f>BN13-BO13-BP13-BQ13</f>
        <v>40550</v>
      </c>
      <c r="BS13">
        <f>_xlfn.XLOOKUP(B13,'[7]september-2025'!$A:$A,'[7]september-2025'!$C:$C,0,0)</f>
        <v>32500</v>
      </c>
      <c r="BT13">
        <f>BS13*0.18</f>
        <v>5850</v>
      </c>
      <c r="BU13">
        <f>BS13*0.12</f>
        <v>3900</v>
      </c>
      <c r="BV13">
        <f>_xlfn.XLOOKUP(B13,'[7]september-2025'!$A:$A,'[7]september-2025'!$D:$D,0,0)</f>
        <v>0</v>
      </c>
      <c r="BW13">
        <f>_xlfn.XLOOKUP(B13,'[7]september-2025'!$A:$A,'[7]september-2025'!$G:$G,0,0)</f>
        <v>500</v>
      </c>
      <c r="BX13">
        <f>IF(BS13&gt;0,SUM(BS13:BW13),0)</f>
        <v>42750</v>
      </c>
      <c r="BY13">
        <f>_xlfn.XLOOKUP(B13,'[7]september-2025'!$A:$A,'[7]september-2025'!$H:$H,0,0)</f>
        <v>2000</v>
      </c>
      <c r="BZ13">
        <f>_xlfn.XLOOKUP(B13,'[7]september-2025'!$A:$A,'[7]september-2025'!$I:$I,0,0)</f>
        <v>0</v>
      </c>
      <c r="CA13">
        <f>IF($F13="YES",0,IF(BX13&gt;40000,200,IF(BX13&gt;25000,150,IF(BX13&gt;15000,130,IF(BX13&gt;10000,110,0)))))</f>
        <v>200</v>
      </c>
      <c r="CB13">
        <f>BX13-BY13-BZ13-CA13</f>
        <v>40550</v>
      </c>
      <c r="CC13">
        <f>_xlfn.XLOOKUP(B13,'[8]october-2025'!$A:$A,'[8]october-2025'!$C:$C,0,0)</f>
        <v>32500</v>
      </c>
      <c r="CD13">
        <f>CC13*0.18</f>
        <v>5850</v>
      </c>
      <c r="CE13">
        <f>CC13*0.12</f>
        <v>3900</v>
      </c>
      <c r="CF13">
        <f>_xlfn.XLOOKUP(B13,'[8]october-2025'!$A:$A,'[8]october-2025'!$D:$D,0,0)</f>
        <v>0</v>
      </c>
      <c r="CG13">
        <f>_xlfn.XLOOKUP(B13,'[8]october-2025'!$A:$A,'[8]october-2025'!$G:$G,0,0)</f>
        <v>500</v>
      </c>
      <c r="CH13">
        <f>IF(CC13&gt;0,SUM(CC13:CG13),0)</f>
        <v>42750</v>
      </c>
      <c r="CI13">
        <f>_xlfn.XLOOKUP(B13,'[8]october-2025'!$A:$A,'[8]october-2025'!$H:$H,0,0)</f>
        <v>2000</v>
      </c>
      <c r="CJ13">
        <f>_xlfn.XLOOKUP(B13,'[8]october-2025'!$A:$A,'[8]october-2025'!$I:$I,0,0)</f>
        <v>0</v>
      </c>
      <c r="CK13">
        <f>IF($F13="YES",0,IF(CH13&gt;40000,200,IF(CH13&gt;25000,150,IF(CH13&gt;15000,130,IF(CH13&gt;10000,110,0)))))</f>
        <v>200</v>
      </c>
      <c r="CL13">
        <f>CH13-CI13-CJ13-CK13</f>
        <v>40550</v>
      </c>
      <c r="CM13">
        <f>_xlfn.XLOOKUP(B13,'[9]november-2025'!$A:$A,'[9]november-2025'!$C:$C,0,0)</f>
        <v>32500</v>
      </c>
      <c r="CN13">
        <f>CM13*0.18</f>
        <v>5850</v>
      </c>
      <c r="CO13">
        <f>CM13*0.12</f>
        <v>3900</v>
      </c>
      <c r="CP13">
        <f>_xlfn.XLOOKUP(B13,'[9]november-2025'!$A:$A,'[9]november-2025'!$D:$D,0,0)</f>
        <v>0</v>
      </c>
      <c r="CQ13">
        <f>_xlfn.XLOOKUP(B13,'[9]november-2025'!$A:$A,'[9]november-2025'!$G:$G,0,0)</f>
        <v>500</v>
      </c>
      <c r="CR13">
        <f>IF(CM13&gt;0,SUM(CM13:CQ13),0)</f>
        <v>42750</v>
      </c>
      <c r="CS13">
        <f>_xlfn.XLOOKUP(B13,'[9]november-2025'!$A:$A,'[9]november-2025'!$H:$H,0,0)</f>
        <v>2000</v>
      </c>
      <c r="CT13">
        <f>_xlfn.XLOOKUP(B13,'[9]november-2025'!$A:$A,'[9]november-2025'!$I:$I,0,0)</f>
        <v>0</v>
      </c>
      <c r="CU13">
        <f>IF($F13="YES",0,IF(CR13&gt;40000,200,IF(CR13&gt;25000,150,IF(CR13&gt;15000,130,IF(CR13&gt;10000,110,0)))))</f>
        <v>200</v>
      </c>
      <c r="CV13">
        <f>CR13-CS13-CT13-CU13</f>
        <v>40550</v>
      </c>
      <c r="CW13">
        <f>_xlfn.XLOOKUP(B13,'[10]december-2025'!$A:$A,'[10]december-2025'!$C:$C,0,0)</f>
        <v>32500</v>
      </c>
      <c r="CX13">
        <f>ROUND(CW13*0.18,0)</f>
        <v>5850</v>
      </c>
      <c r="CY13">
        <f>ROUND(CW13*0.12,0)</f>
        <v>3900</v>
      </c>
      <c r="CZ13">
        <f>_xlfn.XLOOKUP(B13,'[10]december-2025'!$A:$A,'[10]december-2025'!$D:$D,0,0)</f>
        <v>0</v>
      </c>
      <c r="DA13">
        <f>_xlfn.XLOOKUP(B13,'[10]december-2025'!$A:$A,'[10]december-2025'!$G:$G,0,0)</f>
        <v>500</v>
      </c>
      <c r="DB13">
        <f>IF(CW13&gt;0,SUM(CW13:DA13),0)</f>
        <v>42750</v>
      </c>
      <c r="DC13">
        <f>_xlfn.XLOOKUP(B13,'[10]december-2025'!$A:$A,'[10]december-2025'!$H:$H,0,0)</f>
        <v>2000</v>
      </c>
      <c r="DD13">
        <f>_xlfn.XLOOKUP(B13,'[10]december-2025'!$A:$A,'[10]december-2025'!$I:$I,0,0)</f>
        <v>0</v>
      </c>
      <c r="DE13">
        <f>IF($F13="YES",0,IF(DB13&gt;40000,200,IF(DB13&gt;25000,150,IF(DB13&gt;15000,130,IF(DB13&gt;10000,110,0)))))</f>
        <v>200</v>
      </c>
      <c r="DF13">
        <f>DB13-DC13-DD13-DE13</f>
        <v>40550</v>
      </c>
      <c r="DG13">
        <f>_xlfn.XLOOKUP(B13,'[11]january-2026'!$A:$A,'[11]january-2026'!$C:$C,0,0)</f>
        <v>32500</v>
      </c>
      <c r="DH13">
        <f>DG13*0.18</f>
        <v>5850</v>
      </c>
      <c r="DI13">
        <f>DG13*0.12</f>
        <v>3900</v>
      </c>
      <c r="DJ13">
        <f>_xlfn.XLOOKUP(B13,'[11]january-2026'!$A:$A,'[11]january-2026'!$D:$D,0,0)</f>
        <v>0</v>
      </c>
      <c r="DK13">
        <f>_xlfn.XLOOKUP(B13,'[11]january-2026'!$A:$A,'[11]january-2026'!$G:$G,0,0)</f>
        <v>500</v>
      </c>
      <c r="DL13">
        <f>IF(DG13&gt;0,SUM(DG13:DK13),0)</f>
        <v>42750</v>
      </c>
      <c r="DM13">
        <f>_xlfn.XLOOKUP(B13,'[11]january-2026'!$A:$A,'[11]january-2026'!$H:$H,0,0)</f>
        <v>2000</v>
      </c>
      <c r="DN13">
        <f>_xlfn.XLOOKUP(B13,'[11]january-2026'!$A:$A,'[11]january-2026'!$I:$I,0,0)</f>
        <v>0</v>
      </c>
      <c r="DO13">
        <f>IF($F13="YES",0,IF(DL13&gt;40000,200,IF(DL13&gt;25000,150,IF(DL13&gt;15000,130,IF(DL13&gt;10000,110,0)))))</f>
        <v>200</v>
      </c>
      <c r="DP13">
        <f>DL13-DM13-DN13-DO13</f>
        <v>40550</v>
      </c>
      <c r="DQ13">
        <f>_xlfn.XLOOKUP(B13,'[12]february-2026'!$A:$A,'[12]february-2026'!$C:$C,0,0)</f>
        <v>32500</v>
      </c>
      <c r="DR13">
        <f>DQ13*0.18</f>
        <v>5850</v>
      </c>
      <c r="DS13">
        <f>DQ13*0.12</f>
        <v>3900</v>
      </c>
      <c r="DT13">
        <f>_xlfn.XLOOKUP(B13,'[12]february-2026'!$A:$A,'[12]february-2026'!$D:$D,0,0)</f>
        <v>0</v>
      </c>
      <c r="DU13">
        <f>_xlfn.XLOOKUP(B13,'[12]february-2026'!$A:$A,'[12]february-2026'!$G:$G,0,0)</f>
        <v>500</v>
      </c>
      <c r="DV13">
        <f>IF(DQ13&gt;0,SUM(DQ13:DU13),0)</f>
        <v>42750</v>
      </c>
      <c r="DW13">
        <f>_xlfn.XLOOKUP(B13,'[12]february-2026'!$A:$A,'[12]february-2026'!$H:$H,0,0)</f>
        <v>2000</v>
      </c>
      <c r="DX13">
        <f>_xlfn.XLOOKUP(B13,'[12]february-2026'!$A:$A,'[12]february-2026'!$I:$I,0,0)</f>
        <v>0</v>
      </c>
      <c r="DY13">
        <f>IF($F13="YES",0,IF(DV13&gt;40000,200,IF(DV13&gt;25000,150,IF(DV13&gt;15000,130,IF(DV13&gt;10000,110,0)))))</f>
        <v>200</v>
      </c>
      <c r="DZ13">
        <f>DV13-DW13-DX13-DY13</f>
        <v>40550</v>
      </c>
      <c r="EA13">
        <f>DV13+DL13+DB13+CR13+CH13+BX13+BN13+BD13+AS13+AI13+Y13+O13+H13+I13</f>
        <v>502080</v>
      </c>
      <c r="EB13">
        <f>DY13+DO13+DE13+CU13+CK13+CA13+BQ13+BG13+AV13+AL13+AB13+R13</f>
        <v>2300</v>
      </c>
      <c r="EC13">
        <f>IF(EA13&gt;0,50000,0)</f>
        <v>50000</v>
      </c>
      <c r="ED13">
        <v>0</v>
      </c>
      <c r="EE13">
        <f>EA13-EB13-EC13</f>
        <v>449780</v>
      </c>
      <c r="EF13">
        <f>DW13+DM13+DC13+CS13+CI13+BY13+BO13+BE13+AT13+AJ13+Z13+P13</f>
        <v>24000</v>
      </c>
      <c r="EG13">
        <f>DX13+DN13+DD13+CT13+CJ13+BZ13+BP13+BF13+AU13+AK13+AA13+Q13</f>
        <v>0</v>
      </c>
      <c r="EH13">
        <v>0</v>
      </c>
      <c r="EI13">
        <v>0</v>
      </c>
      <c r="EJ13">
        <v>0</v>
      </c>
      <c r="EK13">
        <v>0</v>
      </c>
      <c r="EL13">
        <v>0</v>
      </c>
      <c r="EM13">
        <v>0</v>
      </c>
      <c r="EN13">
        <v>0</v>
      </c>
      <c r="EO13">
        <v>0</v>
      </c>
      <c r="EP13">
        <v>0</v>
      </c>
      <c r="EQ13">
        <v>0</v>
      </c>
      <c r="ER13">
        <f>SUM(EF13:EQ13)</f>
        <v>24000</v>
      </c>
      <c r="ES13">
        <f>IF(ER13&gt;=150000,150000,ER13)</f>
        <v>24000</v>
      </c>
      <c r="ET13">
        <f>EE13-ES13</f>
        <v>425780</v>
      </c>
      <c r="EU13">
        <v>0</v>
      </c>
      <c r="EV13">
        <v>0</v>
      </c>
      <c r="EW13">
        <v>0</v>
      </c>
      <c r="EX13">
        <v>0</v>
      </c>
      <c r="EY13">
        <v>0</v>
      </c>
      <c r="EZ13">
        <v>0</v>
      </c>
      <c r="FA13">
        <v>0</v>
      </c>
      <c r="FB13">
        <f>SUM(EU13:FA13)+(IF(F13="YES",50000,0))</f>
        <v>0</v>
      </c>
      <c r="FC13">
        <f>ET13-FB13</f>
        <v>425780</v>
      </c>
      <c r="FD13">
        <f>ROUND(IF(FC13&gt;0,IF(FC13&gt;500000,12500,(FC13-250000)*0.05),0),0)</f>
        <v>8789</v>
      </c>
      <c r="FE13">
        <f>IF(ROUND(IF(FC13&gt;0,IF(FC13&gt;1000000,25000,(FC13-500000)*0.2),0),0)&lt;0,0,ROUND(IF(FC13&gt;0,IF(FC13&gt;1000000,25000,(FC13-500000)*0.2),0),0))</f>
        <v>0</v>
      </c>
      <c r="FF13">
        <f>FD13+FE13</f>
        <v>8789</v>
      </c>
      <c r="FG13">
        <f>IF(FF13&lt;12500,0,FF13)</f>
        <v>0</v>
      </c>
      <c r="FH13">
        <f>FG13*0.04</f>
        <v>0</v>
      </c>
      <c r="FI13">
        <f>ROUND(FH13+FG13,0)</f>
        <v>0</v>
      </c>
      <c r="FJ13">
        <v>0</v>
      </c>
      <c r="FK13">
        <f>FI13-FJ13</f>
        <v>0</v>
      </c>
      <c r="FL13" t="b">
        <f>IF(EA13&gt;500000,TRUE,FALSE)</f>
        <v>1</v>
      </c>
      <c r="FM13">
        <f ca="1">IF(FL13,RANDBETWEEN(500,1000),RANDBETWEEN(1000,3000))</f>
        <v>638</v>
      </c>
      <c r="FN13">
        <f ca="1">EA13+FM13</f>
        <v>502718</v>
      </c>
      <c r="FO13">
        <f>IF(EA13&gt;0,75000,0)</f>
        <v>75000</v>
      </c>
      <c r="FP13">
        <f ca="1">FN13-FO13</f>
        <v>427718</v>
      </c>
      <c r="FQ13">
        <f ca="1">IF(FP13&gt;2400000,FP13-2400000,0)</f>
        <v>0</v>
      </c>
      <c r="FR13">
        <f ca="1">FQ13*0.3</f>
        <v>0</v>
      </c>
      <c r="FS13">
        <f ca="1">IF(FP13&gt;2000000,FP13-2000000,0)</f>
        <v>0</v>
      </c>
      <c r="FT13">
        <f ca="1">FS13*0.25</f>
        <v>0</v>
      </c>
      <c r="FU13">
        <f ca="1">IF(FP13&gt;1600000,FP13-1600000-FQ13,0)</f>
        <v>0</v>
      </c>
      <c r="FV13">
        <f ca="1">FU13*0.2</f>
        <v>0</v>
      </c>
      <c r="FW13">
        <f ca="1">IF(FP13&gt;1200000,FP13-1200000-IF(F13="YES",50000,0)-FU13,0)</f>
        <v>0</v>
      </c>
      <c r="FX13">
        <f ca="1">FW13*0.15</f>
        <v>0</v>
      </c>
      <c r="FY13">
        <f ca="1">IF(FP13&gt;800000,FP13-800000-FQ13-FU13-FW13,0)</f>
        <v>0</v>
      </c>
      <c r="FZ13">
        <f ca="1">FY13*0.1</f>
        <v>0</v>
      </c>
      <c r="GA13">
        <f ca="1">IF(FP13&gt;400000,FP13-400000-FQ13-FU13-FW13-FY13,0)</f>
        <v>27718</v>
      </c>
      <c r="GB13">
        <f ca="1">GA13*0.05</f>
        <v>1385.9</v>
      </c>
      <c r="GC13">
        <f ca="1">ROUND(FR13+FT13+FV13+FX13+FZ13+GB13,0)</f>
        <v>1386</v>
      </c>
      <c r="GD13">
        <f ca="1">IF(FP13&gt;1200000,FP13,0)</f>
        <v>0</v>
      </c>
      <c r="GE13">
        <f ca="1">IF(FP13&gt;1200000,GD13-1200000,0)</f>
        <v>0</v>
      </c>
      <c r="GF13">
        <f ca="1">IF(FP13&lt;1200001,MIN(GC13,60000),0)</f>
        <v>1386</v>
      </c>
      <c r="GG13">
        <f ca="1">IF(FP13&gt;1200000,GC13-GE13,0)</f>
        <v>0</v>
      </c>
      <c r="GH13" t="b">
        <f ca="1">IF(GG13&gt;0,TRUE,FALSE)</f>
        <v>0</v>
      </c>
      <c r="GI13">
        <f ca="1">IF(GH13,GG13,0)</f>
        <v>0</v>
      </c>
      <c r="GJ13">
        <f ca="1">GF13+GI13</f>
        <v>1386</v>
      </c>
      <c r="GK13">
        <f ca="1">ROUND(GC13-GJ13,0)</f>
        <v>0</v>
      </c>
      <c r="GL13">
        <f ca="1">GK13*0.04</f>
        <v>0</v>
      </c>
      <c r="GM13">
        <f ca="1">ROUNDUP(GK13+GL13,0)</f>
        <v>0</v>
      </c>
    </row>
    <row r="14" spans="1:195" x14ac:dyDescent="0.25">
      <c r="A14">
        <f>_xlfn.AGGREGATE(3,5,$B$2:B14)</f>
        <v>13</v>
      </c>
      <c r="B14" t="s">
        <v>148</v>
      </c>
      <c r="C14" t="s">
        <v>149</v>
      </c>
      <c r="D14" t="s">
        <v>753</v>
      </c>
      <c r="E14" t="s">
        <v>833</v>
      </c>
      <c r="F14" t="s">
        <v>959</v>
      </c>
      <c r="G14" t="s">
        <v>885</v>
      </c>
      <c r="H14">
        <f>IF(_xlfn.DAYS("31-03-2025",G14)&gt;=180,6800,0)</f>
        <v>6800</v>
      </c>
      <c r="I14">
        <f>_xlfn.XLOOKUP(B14,'[1]march-2025'!$A:$A,'[1]march-2025'!$J:$J,0,0)</f>
        <v>0</v>
      </c>
      <c r="J14">
        <f>_xlfn.XLOOKUP(B14,'[1]march-2025'!$A:$A,'[1]march-2025'!$C:$C,0,0)</f>
        <v>28900</v>
      </c>
      <c r="K14">
        <f>J14*0.14</f>
        <v>4046.0000000000005</v>
      </c>
      <c r="L14">
        <f>J14*0.12</f>
        <v>3468</v>
      </c>
      <c r="M14">
        <f>_xlfn.XLOOKUP(B14,'[1]march-2025'!$A:$A,'[1]march-2025'!$D:$D,0,0)</f>
        <v>0</v>
      </c>
      <c r="N14">
        <f>_xlfn.XLOOKUP(B14,'[1]march-2025'!$A:$A,'[1]march-2025'!$G:$G,0,0)</f>
        <v>500</v>
      </c>
      <c r="O14">
        <f>IF(J14&gt;0,SUM(J14:N14),0)</f>
        <v>36914</v>
      </c>
      <c r="P14">
        <f>_xlfn.XLOOKUP(B14,'[1]march-2025'!$A:$A,'[1]march-2025'!$H:$H,0,0)</f>
        <v>0</v>
      </c>
      <c r="Q14">
        <f>_xlfn.XLOOKUP(B14,'[1]march-2025'!$A:$A,'[1]march-2025'!$I:$I,0,0)</f>
        <v>0</v>
      </c>
      <c r="R14">
        <f>IF($F14="YES",0,IF(O14&gt;40000,200,IF(O14&gt;25000,150,IF(O14&gt;15000,130,IF(O14&gt;10000,110,0)))))</f>
        <v>150</v>
      </c>
      <c r="S14">
        <f>O14-P14-Q14-R14</f>
        <v>36764</v>
      </c>
      <c r="T14">
        <f>_xlfn.XLOOKUP(B14,'[2]april-2025'!$A:$A,'[2]april-2025'!$C:$C,0,0)</f>
        <v>28900</v>
      </c>
      <c r="U14">
        <f>T14*0.18</f>
        <v>5202</v>
      </c>
      <c r="V14">
        <f>T14*0.12</f>
        <v>3468</v>
      </c>
      <c r="W14">
        <f>_xlfn.XLOOKUP(B14,'[2]april-2025'!$A:$A,'[2]april-2025'!$D:$D,0,0)</f>
        <v>0</v>
      </c>
      <c r="X14">
        <f>_xlfn.XLOOKUP(B14,'[2]april-2025'!$A:$A,'[2]april-2025'!$G:$G,0,0)</f>
        <v>500</v>
      </c>
      <c r="Y14">
        <f>IF(T14&gt;0,SUM(T14:X14),0)</f>
        <v>38070</v>
      </c>
      <c r="Z14">
        <f>_xlfn.XLOOKUP(B14,'[2]april-2025'!$A:$A,'[2]april-2025'!$H:$H,0,0)</f>
        <v>0</v>
      </c>
      <c r="AA14">
        <f>_xlfn.XLOOKUP(B14,'[2]april-2025'!$A:$A,'[2]april-2025'!$I:$I,0,0)</f>
        <v>0</v>
      </c>
      <c r="AB14">
        <f>IF($F14="YES",0,IF(Y14&gt;40000,200,IF(Y14&gt;25000,150,IF(Y14&gt;15000,130,IF(Y14&gt;10000,110,0)))))</f>
        <v>150</v>
      </c>
      <c r="AC14">
        <f>Y14-Z14-AA14-AB14</f>
        <v>37920</v>
      </c>
      <c r="AD14">
        <f>_xlfn.XLOOKUP(B14,'[3]may-2025'!$A:$A,'[3]may-2025'!$C:$C,0,0)</f>
        <v>28900</v>
      </c>
      <c r="AE14">
        <f>AD14*0.18</f>
        <v>5202</v>
      </c>
      <c r="AF14">
        <f>AD14*0.12</f>
        <v>3468</v>
      </c>
      <c r="AG14">
        <f>_xlfn.XLOOKUP(B14,'[3]may-2025'!$A:$A,'[3]may-2025'!$D:$D,0,0)</f>
        <v>0</v>
      </c>
      <c r="AH14">
        <f>_xlfn.XLOOKUP(B14,'[3]may-2025'!$A:$A,'[3]may-2025'!$G:$G,0,0)</f>
        <v>500</v>
      </c>
      <c r="AI14">
        <f>IF(AD14&gt;0,SUM(AD14:AH14),0)</f>
        <v>38070</v>
      </c>
      <c r="AJ14">
        <f>_xlfn.XLOOKUP(B14,'[3]may-2025'!$A:$A,'[3]may-2025'!$H:$H,0,0)</f>
        <v>0</v>
      </c>
      <c r="AK14">
        <f>_xlfn.XLOOKUP(B14,'[3]may-2025'!$A:$A,'[3]may-2025'!$I:$I,0,0)</f>
        <v>0</v>
      </c>
      <c r="AL14">
        <f>IF($F14="YES",0,IF(AI14&gt;40000,200,IF(AI14&gt;25000,150,IF(AI14&gt;15000,130,IF(AI14&gt;10000,110,0)))))</f>
        <v>150</v>
      </c>
      <c r="AM14">
        <f>AI14-AJ14-AK14-AL14</f>
        <v>37920</v>
      </c>
      <c r="AN14">
        <f>_xlfn.XLOOKUP(B14,'[4]june-2025'!$A:$A,'[4]june-2025'!$C:$C,0,0)</f>
        <v>28900</v>
      </c>
      <c r="AO14">
        <f>AN14*0.18</f>
        <v>5202</v>
      </c>
      <c r="AP14">
        <f>AN14*0.12</f>
        <v>3468</v>
      </c>
      <c r="AQ14">
        <f>_xlfn.XLOOKUP(B14,'[4]june-2025'!$A:$A,'[4]june-2025'!$D:$D,0,0)</f>
        <v>0</v>
      </c>
      <c r="AR14">
        <f>_xlfn.XLOOKUP(B14,'[4]june-2025'!$A:$A,'[4]june-2025'!$G:$G,0,0)</f>
        <v>500</v>
      </c>
      <c r="AS14">
        <f>IF(AN14&gt;0,SUM(AN14:AR14),0)</f>
        <v>38070</v>
      </c>
      <c r="AT14">
        <f>_xlfn.XLOOKUP(B14,'[4]june-2025'!$A:$A,'[4]june-2025'!$H:$H,0,0)</f>
        <v>0</v>
      </c>
      <c r="AU14">
        <f>_xlfn.XLOOKUP(B14,'[4]june-2025'!$A:$A,'[4]june-2025'!$I:$I,0,0)</f>
        <v>0</v>
      </c>
      <c r="AV14">
        <f>IF($F14="YES",0,IF(AS14&gt;40000,200,IF(AS14&gt;25000,150,IF(AS14&gt;15000,130,IF(AS14&gt;10000,110,0)))))</f>
        <v>150</v>
      </c>
      <c r="AW14">
        <f>AS14-AT14-AU14-AV14</f>
        <v>37920</v>
      </c>
      <c r="AX14">
        <f>_xlfn.XLOOKUP(B14,'[5]july-2025'!$A:$A,'[5]july-2025'!$C:$C,0,0)</f>
        <v>29800</v>
      </c>
      <c r="AY14">
        <f>AX14*0.18</f>
        <v>5364</v>
      </c>
      <c r="AZ14">
        <v>0</v>
      </c>
      <c r="BA14">
        <f>AX14*0.12</f>
        <v>3576</v>
      </c>
      <c r="BB14">
        <f>_xlfn.XLOOKUP(B14,'[5]july-2025'!$A:$A,'[5]july-2025'!$D:$D,0,0)</f>
        <v>0</v>
      </c>
      <c r="BC14">
        <f>_xlfn.XLOOKUP(B14,'[5]july-2025'!$A:$A,'[5]july-2025'!$G:$G,0,0)</f>
        <v>500</v>
      </c>
      <c r="BD14">
        <f>IF(AX14&gt;0,SUM(AX14:BC14),0)</f>
        <v>39240</v>
      </c>
      <c r="BE14">
        <f>_xlfn.XLOOKUP(B14,'[5]july-2025'!$A:$A,'[5]july-2025'!$H:$H,0,0)</f>
        <v>0</v>
      </c>
      <c r="BF14">
        <f>_xlfn.XLOOKUP(B14,'[5]july-2025'!$A:$A,'[5]july-2025'!$I:$I,0,0)</f>
        <v>0</v>
      </c>
      <c r="BG14">
        <f>IF($F14="YES",0,IF(BD14&gt;40000,200,IF(BD14&gt;25000,150,IF(BD14&gt;15000,130,IF(BD14&gt;10000,110,0)))))</f>
        <v>150</v>
      </c>
      <c r="BH14">
        <f>BD14-BE14-BF14-BG14</f>
        <v>39090</v>
      </c>
      <c r="BI14">
        <f>_xlfn.XLOOKUP(B14,'[6]august-2025'!$A:$A,'[6]august-2025'!$C:$C,0,0)</f>
        <v>29800</v>
      </c>
      <c r="BJ14">
        <f>BI14*0.18</f>
        <v>5364</v>
      </c>
      <c r="BK14">
        <f>BI14*0.12</f>
        <v>3576</v>
      </c>
      <c r="BL14">
        <f>_xlfn.XLOOKUP(B14,'[6]august-2025'!$A:$A,'[6]august-2025'!$D:$D,0,0)</f>
        <v>0</v>
      </c>
      <c r="BM14">
        <f>_xlfn.XLOOKUP(B14,'[6]august-2025'!$A:$A,'[6]august-2025'!$G:$G,0,0)</f>
        <v>500</v>
      </c>
      <c r="BN14">
        <f>IF(BI14&gt;0,SUM(BI14:BM14),0)</f>
        <v>39240</v>
      </c>
      <c r="BO14">
        <f>_xlfn.XLOOKUP(B14,'[6]august-2025'!$A:$A,'[6]august-2025'!$H:$H,0,0)</f>
        <v>0</v>
      </c>
      <c r="BP14">
        <f>_xlfn.XLOOKUP(B14,'[6]august-2025'!$A:$A,'[6]august-2025'!$I:$I,0,0)</f>
        <v>0</v>
      </c>
      <c r="BQ14">
        <f>IF($F14="YES",0,IF(BN14&gt;40000,200,IF(BN14&gt;25000,150,IF(BN14&gt;15000,130,IF(BN14&gt;10000,110,0)))))</f>
        <v>150</v>
      </c>
      <c r="BR14">
        <f>BN14-BO14-BP14-BQ14</f>
        <v>39090</v>
      </c>
      <c r="BS14">
        <f>_xlfn.XLOOKUP(B14,'[7]september-2025'!$A:$A,'[7]september-2025'!$C:$C,0,0)</f>
        <v>29800</v>
      </c>
      <c r="BT14">
        <f>BS14*0.18</f>
        <v>5364</v>
      </c>
      <c r="BU14">
        <f>BS14*0.12</f>
        <v>3576</v>
      </c>
      <c r="BV14">
        <f>_xlfn.XLOOKUP(B14,'[7]september-2025'!$A:$A,'[7]september-2025'!$D:$D,0,0)</f>
        <v>0</v>
      </c>
      <c r="BW14">
        <f>_xlfn.XLOOKUP(B14,'[7]september-2025'!$A:$A,'[7]september-2025'!$G:$G,0,0)</f>
        <v>500</v>
      </c>
      <c r="BX14">
        <f>IF(BS14&gt;0,SUM(BS14:BW14),0)</f>
        <v>39240</v>
      </c>
      <c r="BY14">
        <f>_xlfn.XLOOKUP(B14,'[7]september-2025'!$A:$A,'[7]september-2025'!$H:$H,0,0)</f>
        <v>2000</v>
      </c>
      <c r="BZ14">
        <f>_xlfn.XLOOKUP(B14,'[7]september-2025'!$A:$A,'[7]september-2025'!$I:$I,0,0)</f>
        <v>0</v>
      </c>
      <c r="CA14">
        <f>IF($F14="YES",0,IF(BX14&gt;40000,200,IF(BX14&gt;25000,150,IF(BX14&gt;15000,130,IF(BX14&gt;10000,110,0)))))</f>
        <v>150</v>
      </c>
      <c r="CB14">
        <f>BX14-BY14-BZ14-CA14</f>
        <v>37090</v>
      </c>
      <c r="CC14">
        <f>_xlfn.XLOOKUP(B14,'[8]october-2025'!$A:$A,'[8]october-2025'!$C:$C,0,0)</f>
        <v>29800</v>
      </c>
      <c r="CD14">
        <f>CC14*0.18</f>
        <v>5364</v>
      </c>
      <c r="CE14">
        <f>CC14*0.12</f>
        <v>3576</v>
      </c>
      <c r="CF14">
        <f>_xlfn.XLOOKUP(B14,'[8]october-2025'!$A:$A,'[8]october-2025'!$D:$D,0,0)</f>
        <v>0</v>
      </c>
      <c r="CG14">
        <f>_xlfn.XLOOKUP(B14,'[8]october-2025'!$A:$A,'[8]october-2025'!$G:$G,0,0)</f>
        <v>500</v>
      </c>
      <c r="CH14">
        <f>IF(CC14&gt;0,SUM(CC14:CG14),0)</f>
        <v>39240</v>
      </c>
      <c r="CI14">
        <f>_xlfn.XLOOKUP(B14,'[8]october-2025'!$A:$A,'[8]october-2025'!$H:$H,0,0)</f>
        <v>2000</v>
      </c>
      <c r="CJ14">
        <f>_xlfn.XLOOKUP(B14,'[8]october-2025'!$A:$A,'[8]october-2025'!$I:$I,0,0)</f>
        <v>0</v>
      </c>
      <c r="CK14">
        <f>IF($F14="YES",0,IF(CH14&gt;40000,200,IF(CH14&gt;25000,150,IF(CH14&gt;15000,130,IF(CH14&gt;10000,110,0)))))</f>
        <v>150</v>
      </c>
      <c r="CL14">
        <f>CH14-CI14-CJ14-CK14</f>
        <v>37090</v>
      </c>
      <c r="CM14">
        <f>_xlfn.XLOOKUP(B14,'[9]november-2025'!$A:$A,'[9]november-2025'!$C:$C,0,0)</f>
        <v>29800</v>
      </c>
      <c r="CN14">
        <f>CM14*0.18</f>
        <v>5364</v>
      </c>
      <c r="CO14">
        <f>CM14*0.12</f>
        <v>3576</v>
      </c>
      <c r="CP14">
        <f>_xlfn.XLOOKUP(B14,'[9]november-2025'!$A:$A,'[9]november-2025'!$D:$D,0,0)</f>
        <v>0</v>
      </c>
      <c r="CQ14">
        <f>_xlfn.XLOOKUP(B14,'[9]november-2025'!$A:$A,'[9]november-2025'!$G:$G,0,0)</f>
        <v>500</v>
      </c>
      <c r="CR14">
        <f>IF(CM14&gt;0,SUM(CM14:CQ14),0)</f>
        <v>39240</v>
      </c>
      <c r="CS14">
        <f>_xlfn.XLOOKUP(B14,'[9]november-2025'!$A:$A,'[9]november-2025'!$H:$H,0,0)</f>
        <v>2000</v>
      </c>
      <c r="CT14">
        <f>_xlfn.XLOOKUP(B14,'[9]november-2025'!$A:$A,'[9]november-2025'!$I:$I,0,0)</f>
        <v>0</v>
      </c>
      <c r="CU14">
        <f>IF($F14="YES",0,IF(CR14&gt;40000,200,IF(CR14&gt;25000,150,IF(CR14&gt;15000,130,IF(CR14&gt;10000,110,0)))))</f>
        <v>150</v>
      </c>
      <c r="CV14">
        <f>CR14-CS14-CT14-CU14</f>
        <v>37090</v>
      </c>
      <c r="CW14">
        <f>_xlfn.XLOOKUP(B14,'[10]december-2025'!$A:$A,'[10]december-2025'!$C:$C,0,0)</f>
        <v>29800</v>
      </c>
      <c r="CX14">
        <f>ROUND(CW14*0.18,0)</f>
        <v>5364</v>
      </c>
      <c r="CY14">
        <f>ROUND(CW14*0.12,0)</f>
        <v>3576</v>
      </c>
      <c r="CZ14">
        <f>_xlfn.XLOOKUP(B14,'[10]december-2025'!$A:$A,'[10]december-2025'!$D:$D,0,0)</f>
        <v>0</v>
      </c>
      <c r="DA14">
        <f>_xlfn.XLOOKUP(B14,'[10]december-2025'!$A:$A,'[10]december-2025'!$G:$G,0,0)</f>
        <v>500</v>
      </c>
      <c r="DB14">
        <f>IF(CW14&gt;0,SUM(CW14:DA14),0)</f>
        <v>39240</v>
      </c>
      <c r="DC14">
        <f>_xlfn.XLOOKUP(B14,'[10]december-2025'!$A:$A,'[10]december-2025'!$H:$H,0,0)</f>
        <v>2000</v>
      </c>
      <c r="DD14">
        <f>_xlfn.XLOOKUP(B14,'[10]december-2025'!$A:$A,'[10]december-2025'!$I:$I,0,0)</f>
        <v>0</v>
      </c>
      <c r="DE14">
        <f>IF($F14="YES",0,IF(DB14&gt;40000,200,IF(DB14&gt;25000,150,IF(DB14&gt;15000,130,IF(DB14&gt;10000,110,0)))))</f>
        <v>150</v>
      </c>
      <c r="DF14">
        <f>DB14-DC14-DD14-DE14</f>
        <v>37090</v>
      </c>
      <c r="DG14">
        <f>_xlfn.XLOOKUP(B14,'[11]january-2026'!$A:$A,'[11]january-2026'!$C:$C,0,0)</f>
        <v>29800</v>
      </c>
      <c r="DH14">
        <f>DG14*0.18</f>
        <v>5364</v>
      </c>
      <c r="DI14">
        <f>DG14*0.12</f>
        <v>3576</v>
      </c>
      <c r="DJ14">
        <f>_xlfn.XLOOKUP(B14,'[11]january-2026'!$A:$A,'[11]january-2026'!$D:$D,0,0)</f>
        <v>0</v>
      </c>
      <c r="DK14">
        <f>_xlfn.XLOOKUP(B14,'[11]january-2026'!$A:$A,'[11]january-2026'!$G:$G,0,0)</f>
        <v>500</v>
      </c>
      <c r="DL14">
        <f>IF(DG14&gt;0,SUM(DG14:DK14),0)</f>
        <v>39240</v>
      </c>
      <c r="DM14">
        <f>_xlfn.XLOOKUP(B14,'[11]january-2026'!$A:$A,'[11]january-2026'!$H:$H,0,0)</f>
        <v>2000</v>
      </c>
      <c r="DN14">
        <f>_xlfn.XLOOKUP(B14,'[11]january-2026'!$A:$A,'[11]january-2026'!$I:$I,0,0)</f>
        <v>0</v>
      </c>
      <c r="DO14">
        <f>IF($F14="YES",0,IF(DL14&gt;40000,200,IF(DL14&gt;25000,150,IF(DL14&gt;15000,130,IF(DL14&gt;10000,110,0)))))</f>
        <v>150</v>
      </c>
      <c r="DP14">
        <f>DL14-DM14-DN14-DO14</f>
        <v>37090</v>
      </c>
      <c r="DQ14">
        <f>_xlfn.XLOOKUP(B14,'[12]february-2026'!$A:$A,'[12]february-2026'!$C:$C,0,0)</f>
        <v>29800</v>
      </c>
      <c r="DR14">
        <f>DQ14*0.18</f>
        <v>5364</v>
      </c>
      <c r="DS14">
        <f>DQ14*0.12</f>
        <v>3576</v>
      </c>
      <c r="DT14">
        <f>_xlfn.XLOOKUP(B14,'[12]february-2026'!$A:$A,'[12]february-2026'!$D:$D,0,0)</f>
        <v>0</v>
      </c>
      <c r="DU14">
        <f>_xlfn.XLOOKUP(B14,'[12]february-2026'!$A:$A,'[12]february-2026'!$G:$G,0,0)</f>
        <v>500</v>
      </c>
      <c r="DV14">
        <f>IF(DQ14&gt;0,SUM(DQ14:DU14),0)</f>
        <v>39240</v>
      </c>
      <c r="DW14">
        <f>_xlfn.XLOOKUP(B14,'[12]february-2026'!$A:$A,'[12]february-2026'!$H:$H,0,0)</f>
        <v>2000</v>
      </c>
      <c r="DX14">
        <f>_xlfn.XLOOKUP(B14,'[12]february-2026'!$A:$A,'[12]february-2026'!$I:$I,0,0)</f>
        <v>0</v>
      </c>
      <c r="DY14">
        <f>IF($F14="YES",0,IF(DV14&gt;40000,200,IF(DV14&gt;25000,150,IF(DV14&gt;15000,130,IF(DV14&gt;10000,110,0)))))</f>
        <v>150</v>
      </c>
      <c r="DZ14">
        <f>DV14-DW14-DX14-DY14</f>
        <v>37090</v>
      </c>
      <c r="EA14">
        <f>DV14+DL14+DB14+CR14+CH14+BX14+BN14+BD14+AS14+AI14+Y14+O14+H14+I14</f>
        <v>471844</v>
      </c>
      <c r="EB14">
        <f>DY14+DO14+DE14+CU14+CK14+CA14+BQ14+BG14+AV14+AL14+AB14+R14</f>
        <v>1800</v>
      </c>
      <c r="EC14">
        <f>IF(EA14&gt;0,50000,0)</f>
        <v>50000</v>
      </c>
      <c r="ED14">
        <v>0</v>
      </c>
      <c r="EE14">
        <f>EA14-EB14-EC14</f>
        <v>420044</v>
      </c>
      <c r="EF14">
        <f>DW14+DM14+DC14+CS14+CI14+BY14+BO14+BE14+AT14+AJ14+Z14+P14</f>
        <v>12000</v>
      </c>
      <c r="EG14">
        <f>DX14+DN14+DD14+CT14+CJ14+BZ14+BP14+BF14+AU14+AK14+AA14+Q14</f>
        <v>0</v>
      </c>
      <c r="EH14">
        <v>0</v>
      </c>
      <c r="EI14">
        <v>0</v>
      </c>
      <c r="EJ14">
        <v>0</v>
      </c>
      <c r="EK14">
        <v>0</v>
      </c>
      <c r="EL14">
        <v>0</v>
      </c>
      <c r="EM14">
        <v>0</v>
      </c>
      <c r="EN14">
        <v>0</v>
      </c>
      <c r="EO14">
        <v>0</v>
      </c>
      <c r="EP14">
        <v>0</v>
      </c>
      <c r="EQ14">
        <v>0</v>
      </c>
      <c r="ER14">
        <f>SUM(EF14:EQ14)</f>
        <v>12000</v>
      </c>
      <c r="ES14">
        <f>IF(ER14&gt;=150000,150000,ER14)</f>
        <v>12000</v>
      </c>
      <c r="ET14">
        <f>EE14-ES14</f>
        <v>408044</v>
      </c>
      <c r="EU14">
        <v>0</v>
      </c>
      <c r="EV14">
        <v>0</v>
      </c>
      <c r="EW14">
        <v>0</v>
      </c>
      <c r="EX14">
        <v>0</v>
      </c>
      <c r="EY14">
        <v>0</v>
      </c>
      <c r="EZ14">
        <v>0</v>
      </c>
      <c r="FA14">
        <v>0</v>
      </c>
      <c r="FB14">
        <f>SUM(EU14:FA14)+(IF(F14="YES",50000,0))</f>
        <v>0</v>
      </c>
      <c r="FC14">
        <f>ET14-FB14</f>
        <v>408044</v>
      </c>
      <c r="FD14">
        <f>ROUND(IF(FC14&gt;0,IF(FC14&gt;500000,12500,(FC14-250000)*0.05),0),0)</f>
        <v>7902</v>
      </c>
      <c r="FE14">
        <f>IF(ROUND(IF(FC14&gt;0,IF(FC14&gt;1000000,25000,(FC14-500000)*0.2),0),0)&lt;0,0,ROUND(IF(FC14&gt;0,IF(FC14&gt;1000000,25000,(FC14-500000)*0.2),0),0))</f>
        <v>0</v>
      </c>
      <c r="FF14">
        <f>FD14+FE14</f>
        <v>7902</v>
      </c>
      <c r="FG14">
        <f>IF(FF14&lt;12500,0,FF14)</f>
        <v>0</v>
      </c>
      <c r="FH14">
        <f>FG14*0.04</f>
        <v>0</v>
      </c>
      <c r="FI14">
        <f>ROUND(FH14+FG14,0)</f>
        <v>0</v>
      </c>
      <c r="FJ14">
        <v>0</v>
      </c>
      <c r="FK14">
        <f>FI14-FJ14</f>
        <v>0</v>
      </c>
      <c r="FL14" t="b">
        <f>IF(EA14&gt;500000,TRUE,FALSE)</f>
        <v>0</v>
      </c>
      <c r="FM14">
        <f ca="1">IF(FL14,RANDBETWEEN(500,1000),RANDBETWEEN(1000,3000))</f>
        <v>2604</v>
      </c>
      <c r="FN14">
        <f ca="1">EA14+FM14</f>
        <v>474448</v>
      </c>
      <c r="FO14">
        <f>IF(EA14&gt;0,75000,0)</f>
        <v>75000</v>
      </c>
      <c r="FP14">
        <f ca="1">FN14-FO14</f>
        <v>399448</v>
      </c>
      <c r="FQ14">
        <f ca="1">IF(FP14&gt;2400000,FP14-2400000,0)</f>
        <v>0</v>
      </c>
      <c r="FR14">
        <f ca="1">FQ14*0.3</f>
        <v>0</v>
      </c>
      <c r="FS14">
        <f ca="1">IF(FP14&gt;2000000,FP14-2000000,0)</f>
        <v>0</v>
      </c>
      <c r="FT14">
        <f ca="1">FS14*0.25</f>
        <v>0</v>
      </c>
      <c r="FU14">
        <f ca="1">IF(FP14&gt;1600000,FP14-1600000-FQ14,0)</f>
        <v>0</v>
      </c>
      <c r="FV14">
        <f ca="1">FU14*0.2</f>
        <v>0</v>
      </c>
      <c r="FW14">
        <f ca="1">IF(FP14&gt;1200000,FP14-1200000-IF(F14="YES",50000,0)-FU14,0)</f>
        <v>0</v>
      </c>
      <c r="FX14">
        <f ca="1">FW14*0.15</f>
        <v>0</v>
      </c>
      <c r="FY14">
        <f ca="1">IF(FP14&gt;800000,FP14-800000-FQ14-FU14-FW14,0)</f>
        <v>0</v>
      </c>
      <c r="FZ14">
        <f ca="1">FY14*0.1</f>
        <v>0</v>
      </c>
      <c r="GA14">
        <f ca="1">IF(FP14&gt;400000,FP14-400000-FQ14-FU14-FW14-FY14,0)</f>
        <v>0</v>
      </c>
      <c r="GB14">
        <f ca="1">GA14*0.05</f>
        <v>0</v>
      </c>
      <c r="GC14">
        <f ca="1">ROUND(FR14+FT14+FV14+FX14+FZ14+GB14,0)</f>
        <v>0</v>
      </c>
      <c r="GD14">
        <f ca="1">IF(FP14&gt;1200000,FP14,0)</f>
        <v>0</v>
      </c>
      <c r="GE14">
        <f ca="1">IF(FP14&gt;1200000,GD14-1200000,0)</f>
        <v>0</v>
      </c>
      <c r="GF14">
        <f ca="1">IF(FP14&lt;1200001,MIN(GC14,60000),0)</f>
        <v>0</v>
      </c>
      <c r="GG14">
        <f ca="1">IF(FP14&gt;1200000,GC14-GE14,0)</f>
        <v>0</v>
      </c>
      <c r="GH14" t="b">
        <f ca="1">IF(GG14&gt;0,TRUE,FALSE)</f>
        <v>0</v>
      </c>
      <c r="GI14">
        <f ca="1">IF(GH14,GG14,0)</f>
        <v>0</v>
      </c>
      <c r="GJ14">
        <f ca="1">GF14+GI14</f>
        <v>0</v>
      </c>
      <c r="GK14">
        <f ca="1">ROUND(GC14-GJ14,0)</f>
        <v>0</v>
      </c>
      <c r="GL14">
        <f ca="1">GK14*0.04</f>
        <v>0</v>
      </c>
      <c r="GM14">
        <f ca="1">ROUNDUP(GK14+GL14,0)</f>
        <v>0</v>
      </c>
    </row>
    <row r="15" spans="1:195" x14ac:dyDescent="0.25">
      <c r="A15">
        <f>_xlfn.AGGREGATE(3,5,$B$2:B15)</f>
        <v>14</v>
      </c>
      <c r="B15" t="s">
        <v>150</v>
      </c>
      <c r="C15" t="s">
        <v>151</v>
      </c>
      <c r="D15" t="s">
        <v>754</v>
      </c>
      <c r="E15" t="s">
        <v>833</v>
      </c>
      <c r="F15" t="s">
        <v>959</v>
      </c>
      <c r="G15" t="s">
        <v>886</v>
      </c>
      <c r="H15">
        <f>IF(_xlfn.DAYS("31-03-2025",G15)&gt;=180,6800,0)</f>
        <v>6800</v>
      </c>
      <c r="I15">
        <f>_xlfn.XLOOKUP(B15,'[1]march-2025'!$A:$A,'[1]march-2025'!$J:$J,0,0)</f>
        <v>0</v>
      </c>
      <c r="J15">
        <f>_xlfn.XLOOKUP(B15,'[1]march-2025'!$A:$A,'[1]march-2025'!$C:$C,0,0)</f>
        <v>31600</v>
      </c>
      <c r="K15">
        <f>J15*0.14</f>
        <v>4424</v>
      </c>
      <c r="L15">
        <f>J15*0.12</f>
        <v>3792</v>
      </c>
      <c r="M15">
        <f>_xlfn.XLOOKUP(B15,'[1]march-2025'!$A:$A,'[1]march-2025'!$D:$D,0,0)</f>
        <v>0</v>
      </c>
      <c r="N15">
        <f>_xlfn.XLOOKUP(B15,'[1]march-2025'!$A:$A,'[1]march-2025'!$G:$G,0,0)</f>
        <v>500</v>
      </c>
      <c r="O15">
        <f>IF(J15&gt;0,SUM(J15:N15),0)</f>
        <v>40316</v>
      </c>
      <c r="P15">
        <f>_xlfn.XLOOKUP(B15,'[1]march-2025'!$A:$A,'[1]march-2025'!$H:$H,0,0)</f>
        <v>2000</v>
      </c>
      <c r="Q15">
        <f>_xlfn.XLOOKUP(B15,'[1]march-2025'!$A:$A,'[1]march-2025'!$I:$I,0,0)</f>
        <v>0</v>
      </c>
      <c r="R15">
        <f>IF($F15="YES",0,IF(O15&gt;40000,200,IF(O15&gt;25000,150,IF(O15&gt;15000,130,IF(O15&gt;10000,110,0)))))</f>
        <v>200</v>
      </c>
      <c r="S15">
        <f>O15-P15-Q15-R15</f>
        <v>38116</v>
      </c>
      <c r="T15">
        <f>_xlfn.XLOOKUP(B15,'[2]april-2025'!$A:$A,'[2]april-2025'!$C:$C,0,0)</f>
        <v>31600</v>
      </c>
      <c r="U15">
        <f>T15*0.18</f>
        <v>5688</v>
      </c>
      <c r="V15">
        <f>T15*0.12</f>
        <v>3792</v>
      </c>
      <c r="W15">
        <f>_xlfn.XLOOKUP(B15,'[2]april-2025'!$A:$A,'[2]april-2025'!$D:$D,0,0)</f>
        <v>0</v>
      </c>
      <c r="X15">
        <f>_xlfn.XLOOKUP(B15,'[2]april-2025'!$A:$A,'[2]april-2025'!$G:$G,0,0)</f>
        <v>500</v>
      </c>
      <c r="Y15">
        <f>IF(T15&gt;0,SUM(T15:X15),0)</f>
        <v>41580</v>
      </c>
      <c r="Z15">
        <f>_xlfn.XLOOKUP(B15,'[2]april-2025'!$A:$A,'[2]april-2025'!$H:$H,0,0)</f>
        <v>2000</v>
      </c>
      <c r="AA15">
        <f>_xlfn.XLOOKUP(B15,'[2]april-2025'!$A:$A,'[2]april-2025'!$I:$I,0,0)</f>
        <v>0</v>
      </c>
      <c r="AB15">
        <f>IF($F15="YES",0,IF(Y15&gt;40000,200,IF(Y15&gt;25000,150,IF(Y15&gt;15000,130,IF(Y15&gt;10000,110,0)))))</f>
        <v>200</v>
      </c>
      <c r="AC15">
        <f>Y15-Z15-AA15-AB15</f>
        <v>39380</v>
      </c>
      <c r="AD15">
        <f>_xlfn.XLOOKUP(B15,'[3]may-2025'!$A:$A,'[3]may-2025'!$C:$C,0,0)</f>
        <v>31600</v>
      </c>
      <c r="AE15">
        <f>AD15*0.18</f>
        <v>5688</v>
      </c>
      <c r="AF15">
        <f>AD15*0.12</f>
        <v>3792</v>
      </c>
      <c r="AG15">
        <f>_xlfn.XLOOKUP(B15,'[3]may-2025'!$A:$A,'[3]may-2025'!$D:$D,0,0)</f>
        <v>0</v>
      </c>
      <c r="AH15">
        <f>_xlfn.XLOOKUP(B15,'[3]may-2025'!$A:$A,'[3]may-2025'!$G:$G,0,0)</f>
        <v>500</v>
      </c>
      <c r="AI15">
        <f>IF(AD15&gt;0,SUM(AD15:AH15),0)</f>
        <v>41580</v>
      </c>
      <c r="AJ15">
        <f>_xlfn.XLOOKUP(B15,'[3]may-2025'!$A:$A,'[3]may-2025'!$H:$H,0,0)</f>
        <v>2000</v>
      </c>
      <c r="AK15">
        <f>_xlfn.XLOOKUP(B15,'[3]may-2025'!$A:$A,'[3]may-2025'!$I:$I,0,0)</f>
        <v>0</v>
      </c>
      <c r="AL15">
        <f>IF($F15="YES",0,IF(AI15&gt;40000,200,IF(AI15&gt;25000,150,IF(AI15&gt;15000,130,IF(AI15&gt;10000,110,0)))))</f>
        <v>200</v>
      </c>
      <c r="AM15">
        <f>AI15-AJ15-AK15-AL15</f>
        <v>39380</v>
      </c>
      <c r="AN15">
        <f>_xlfn.XLOOKUP(B15,'[4]june-2025'!$A:$A,'[4]june-2025'!$C:$C,0,0)</f>
        <v>31600</v>
      </c>
      <c r="AO15">
        <f>AN15*0.18</f>
        <v>5688</v>
      </c>
      <c r="AP15">
        <f>AN15*0.12</f>
        <v>3792</v>
      </c>
      <c r="AQ15">
        <f>_xlfn.XLOOKUP(B15,'[4]june-2025'!$A:$A,'[4]june-2025'!$D:$D,0,0)</f>
        <v>0</v>
      </c>
      <c r="AR15">
        <f>_xlfn.XLOOKUP(B15,'[4]june-2025'!$A:$A,'[4]june-2025'!$G:$G,0,0)</f>
        <v>500</v>
      </c>
      <c r="AS15">
        <f>IF(AN15&gt;0,SUM(AN15:AR15),0)</f>
        <v>41580</v>
      </c>
      <c r="AT15">
        <f>_xlfn.XLOOKUP(B15,'[4]june-2025'!$A:$A,'[4]june-2025'!$H:$H,0,0)</f>
        <v>2000</v>
      </c>
      <c r="AU15">
        <f>_xlfn.XLOOKUP(B15,'[4]june-2025'!$A:$A,'[4]june-2025'!$I:$I,0,0)</f>
        <v>0</v>
      </c>
      <c r="AV15">
        <f>IF($F15="YES",0,IF(AS15&gt;40000,200,IF(AS15&gt;25000,150,IF(AS15&gt;15000,130,IF(AS15&gt;10000,110,0)))))</f>
        <v>200</v>
      </c>
      <c r="AW15">
        <f>AS15-AT15-AU15-AV15</f>
        <v>39380</v>
      </c>
      <c r="AX15">
        <f>_xlfn.XLOOKUP(B15,'[5]july-2025'!$A:$A,'[5]july-2025'!$C:$C,0,0)</f>
        <v>32500</v>
      </c>
      <c r="AY15">
        <f>AX15*0.18</f>
        <v>5850</v>
      </c>
      <c r="AZ15">
        <v>0</v>
      </c>
      <c r="BA15">
        <f>AX15*0.12</f>
        <v>3900</v>
      </c>
      <c r="BB15">
        <f>_xlfn.XLOOKUP(B15,'[5]july-2025'!$A:$A,'[5]july-2025'!$D:$D,0,0)</f>
        <v>0</v>
      </c>
      <c r="BC15">
        <f>_xlfn.XLOOKUP(B15,'[5]july-2025'!$A:$A,'[5]july-2025'!$G:$G,0,0)</f>
        <v>500</v>
      </c>
      <c r="BD15">
        <f>IF(AX15&gt;0,SUM(AX15:BC15),0)</f>
        <v>42750</v>
      </c>
      <c r="BE15">
        <f>_xlfn.XLOOKUP(B15,'[5]july-2025'!$A:$A,'[5]july-2025'!$H:$H,0,0)</f>
        <v>2000</v>
      </c>
      <c r="BF15">
        <f>_xlfn.XLOOKUP(B15,'[5]july-2025'!$A:$A,'[5]july-2025'!$I:$I,0,0)</f>
        <v>0</v>
      </c>
      <c r="BG15">
        <f>IF($F15="YES",0,IF(BD15&gt;40000,200,IF(BD15&gt;25000,150,IF(BD15&gt;15000,130,IF(BD15&gt;10000,110,0)))))</f>
        <v>200</v>
      </c>
      <c r="BH15">
        <f>BD15-BE15-BF15-BG15</f>
        <v>40550</v>
      </c>
      <c r="BI15">
        <f>_xlfn.XLOOKUP(B15,'[6]august-2025'!$A:$A,'[6]august-2025'!$C:$C,0,0)</f>
        <v>32500</v>
      </c>
      <c r="BJ15">
        <f>BI15*0.18</f>
        <v>5850</v>
      </c>
      <c r="BK15">
        <f>BI15*0.12</f>
        <v>3900</v>
      </c>
      <c r="BL15">
        <f>_xlfn.XLOOKUP(B15,'[6]august-2025'!$A:$A,'[6]august-2025'!$D:$D,0,0)</f>
        <v>0</v>
      </c>
      <c r="BM15">
        <f>_xlfn.XLOOKUP(B15,'[6]august-2025'!$A:$A,'[6]august-2025'!$G:$G,0,0)</f>
        <v>500</v>
      </c>
      <c r="BN15">
        <f>IF(BI15&gt;0,SUM(BI15:BM15),0)</f>
        <v>42750</v>
      </c>
      <c r="BO15">
        <f>_xlfn.XLOOKUP(B15,'[6]august-2025'!$A:$A,'[6]august-2025'!$H:$H,0,0)</f>
        <v>2000</v>
      </c>
      <c r="BP15">
        <f>_xlfn.XLOOKUP(B15,'[6]august-2025'!$A:$A,'[6]august-2025'!$I:$I,0,0)</f>
        <v>0</v>
      </c>
      <c r="BQ15">
        <f>IF($F15="YES",0,IF(BN15&gt;40000,200,IF(BN15&gt;25000,150,IF(BN15&gt;15000,130,IF(BN15&gt;10000,110,0)))))</f>
        <v>200</v>
      </c>
      <c r="BR15">
        <f>BN15-BO15-BP15-BQ15</f>
        <v>40550</v>
      </c>
      <c r="BS15">
        <f>_xlfn.XLOOKUP(B15,'[7]september-2025'!$A:$A,'[7]september-2025'!$C:$C,0,0)</f>
        <v>32500</v>
      </c>
      <c r="BT15">
        <f>BS15*0.18</f>
        <v>5850</v>
      </c>
      <c r="BU15">
        <f>BS15*0.12</f>
        <v>3900</v>
      </c>
      <c r="BV15">
        <f>_xlfn.XLOOKUP(B15,'[7]september-2025'!$A:$A,'[7]september-2025'!$D:$D,0,0)</f>
        <v>0</v>
      </c>
      <c r="BW15">
        <f>_xlfn.XLOOKUP(B15,'[7]september-2025'!$A:$A,'[7]september-2025'!$G:$G,0,0)</f>
        <v>500</v>
      </c>
      <c r="BX15">
        <f>IF(BS15&gt;0,SUM(BS15:BW15),0)</f>
        <v>42750</v>
      </c>
      <c r="BY15">
        <f>_xlfn.XLOOKUP(B15,'[7]september-2025'!$A:$A,'[7]september-2025'!$H:$H,0,0)</f>
        <v>2000</v>
      </c>
      <c r="BZ15">
        <f>_xlfn.XLOOKUP(B15,'[7]september-2025'!$A:$A,'[7]september-2025'!$I:$I,0,0)</f>
        <v>0</v>
      </c>
      <c r="CA15">
        <f>IF($F15="YES",0,IF(BX15&gt;40000,200,IF(BX15&gt;25000,150,IF(BX15&gt;15000,130,IF(BX15&gt;10000,110,0)))))</f>
        <v>200</v>
      </c>
      <c r="CB15">
        <f>BX15-BY15-BZ15-CA15</f>
        <v>40550</v>
      </c>
      <c r="CC15">
        <f>_xlfn.XLOOKUP(B15,'[8]october-2025'!$A:$A,'[8]october-2025'!$C:$C,0,0)</f>
        <v>32500</v>
      </c>
      <c r="CD15">
        <f>CC15*0.18</f>
        <v>5850</v>
      </c>
      <c r="CE15">
        <f>CC15*0.12</f>
        <v>3900</v>
      </c>
      <c r="CF15">
        <f>_xlfn.XLOOKUP(B15,'[8]october-2025'!$A:$A,'[8]october-2025'!$D:$D,0,0)</f>
        <v>0</v>
      </c>
      <c r="CG15">
        <f>_xlfn.XLOOKUP(B15,'[8]october-2025'!$A:$A,'[8]october-2025'!$G:$G,0,0)</f>
        <v>500</v>
      </c>
      <c r="CH15">
        <f>IF(CC15&gt;0,SUM(CC15:CG15),0)</f>
        <v>42750</v>
      </c>
      <c r="CI15">
        <f>_xlfn.XLOOKUP(B15,'[8]october-2025'!$A:$A,'[8]october-2025'!$H:$H,0,0)</f>
        <v>2000</v>
      </c>
      <c r="CJ15">
        <f>_xlfn.XLOOKUP(B15,'[8]october-2025'!$A:$A,'[8]october-2025'!$I:$I,0,0)</f>
        <v>0</v>
      </c>
      <c r="CK15">
        <f>IF($F15="YES",0,IF(CH15&gt;40000,200,IF(CH15&gt;25000,150,IF(CH15&gt;15000,130,IF(CH15&gt;10000,110,0)))))</f>
        <v>200</v>
      </c>
      <c r="CL15">
        <f>CH15-CI15-CJ15-CK15</f>
        <v>40550</v>
      </c>
      <c r="CM15">
        <f>_xlfn.XLOOKUP(B15,'[9]november-2025'!$A:$A,'[9]november-2025'!$C:$C,0,0)</f>
        <v>32500</v>
      </c>
      <c r="CN15">
        <f>CM15*0.18</f>
        <v>5850</v>
      </c>
      <c r="CO15">
        <f>CM15*0.12</f>
        <v>3900</v>
      </c>
      <c r="CP15">
        <f>_xlfn.XLOOKUP(B15,'[9]november-2025'!$A:$A,'[9]november-2025'!$D:$D,0,0)</f>
        <v>0</v>
      </c>
      <c r="CQ15">
        <f>_xlfn.XLOOKUP(B15,'[9]november-2025'!$A:$A,'[9]november-2025'!$G:$G,0,0)</f>
        <v>500</v>
      </c>
      <c r="CR15">
        <f>IF(CM15&gt;0,SUM(CM15:CQ15),0)</f>
        <v>42750</v>
      </c>
      <c r="CS15">
        <f>_xlfn.XLOOKUP(B15,'[9]november-2025'!$A:$A,'[9]november-2025'!$H:$H,0,0)</f>
        <v>2000</v>
      </c>
      <c r="CT15">
        <f>_xlfn.XLOOKUP(B15,'[9]november-2025'!$A:$A,'[9]november-2025'!$I:$I,0,0)</f>
        <v>0</v>
      </c>
      <c r="CU15">
        <f>IF($F15="YES",0,IF(CR15&gt;40000,200,IF(CR15&gt;25000,150,IF(CR15&gt;15000,130,IF(CR15&gt;10000,110,0)))))</f>
        <v>200</v>
      </c>
      <c r="CV15">
        <f>CR15-CS15-CT15-CU15</f>
        <v>40550</v>
      </c>
      <c r="CW15">
        <f>_xlfn.XLOOKUP(B15,'[10]december-2025'!$A:$A,'[10]december-2025'!$C:$C,0,0)</f>
        <v>32500</v>
      </c>
      <c r="CX15">
        <f>ROUND(CW15*0.18,0)</f>
        <v>5850</v>
      </c>
      <c r="CY15">
        <f>ROUND(CW15*0.12,0)</f>
        <v>3900</v>
      </c>
      <c r="CZ15">
        <f>_xlfn.XLOOKUP(B15,'[10]december-2025'!$A:$A,'[10]december-2025'!$D:$D,0,0)</f>
        <v>0</v>
      </c>
      <c r="DA15">
        <f>_xlfn.XLOOKUP(B15,'[10]december-2025'!$A:$A,'[10]december-2025'!$G:$G,0,0)</f>
        <v>500</v>
      </c>
      <c r="DB15">
        <f>IF(CW15&gt;0,SUM(CW15:DA15),0)</f>
        <v>42750</v>
      </c>
      <c r="DC15">
        <f>_xlfn.XLOOKUP(B15,'[10]december-2025'!$A:$A,'[10]december-2025'!$H:$H,0,0)</f>
        <v>2000</v>
      </c>
      <c r="DD15">
        <f>_xlfn.XLOOKUP(B15,'[10]december-2025'!$A:$A,'[10]december-2025'!$I:$I,0,0)</f>
        <v>0</v>
      </c>
      <c r="DE15">
        <f>IF($F15="YES",0,IF(DB15&gt;40000,200,IF(DB15&gt;25000,150,IF(DB15&gt;15000,130,IF(DB15&gt;10000,110,0)))))</f>
        <v>200</v>
      </c>
      <c r="DF15">
        <f>DB15-DC15-DD15-DE15</f>
        <v>40550</v>
      </c>
      <c r="DG15">
        <f>_xlfn.XLOOKUP(B15,'[11]january-2026'!$A:$A,'[11]january-2026'!$C:$C,0,0)</f>
        <v>32500</v>
      </c>
      <c r="DH15">
        <f>DG15*0.18</f>
        <v>5850</v>
      </c>
      <c r="DI15">
        <f>DG15*0.12</f>
        <v>3900</v>
      </c>
      <c r="DJ15">
        <f>_xlfn.XLOOKUP(B15,'[11]january-2026'!$A:$A,'[11]january-2026'!$D:$D,0,0)</f>
        <v>0</v>
      </c>
      <c r="DK15">
        <f>_xlfn.XLOOKUP(B15,'[11]january-2026'!$A:$A,'[11]january-2026'!$G:$G,0,0)</f>
        <v>500</v>
      </c>
      <c r="DL15">
        <f>IF(DG15&gt;0,SUM(DG15:DK15),0)</f>
        <v>42750</v>
      </c>
      <c r="DM15">
        <f>_xlfn.XLOOKUP(B15,'[11]january-2026'!$A:$A,'[11]january-2026'!$H:$H,0,0)</f>
        <v>2000</v>
      </c>
      <c r="DN15">
        <f>_xlfn.XLOOKUP(B15,'[11]january-2026'!$A:$A,'[11]january-2026'!$I:$I,0,0)</f>
        <v>0</v>
      </c>
      <c r="DO15">
        <f>IF($F15="YES",0,IF(DL15&gt;40000,200,IF(DL15&gt;25000,150,IF(DL15&gt;15000,130,IF(DL15&gt;10000,110,0)))))</f>
        <v>200</v>
      </c>
      <c r="DP15">
        <f>DL15-DM15-DN15-DO15</f>
        <v>40550</v>
      </c>
      <c r="DQ15">
        <f>_xlfn.XLOOKUP(B15,'[12]february-2026'!$A:$A,'[12]february-2026'!$C:$C,0,0)</f>
        <v>32500</v>
      </c>
      <c r="DR15">
        <f>DQ15*0.18</f>
        <v>5850</v>
      </c>
      <c r="DS15">
        <f>DQ15*0.12</f>
        <v>3900</v>
      </c>
      <c r="DT15">
        <f>_xlfn.XLOOKUP(B15,'[12]february-2026'!$A:$A,'[12]february-2026'!$D:$D,0,0)</f>
        <v>0</v>
      </c>
      <c r="DU15">
        <f>_xlfn.XLOOKUP(B15,'[12]february-2026'!$A:$A,'[12]february-2026'!$G:$G,0,0)</f>
        <v>500</v>
      </c>
      <c r="DV15">
        <f>IF(DQ15&gt;0,SUM(DQ15:DU15),0)</f>
        <v>42750</v>
      </c>
      <c r="DW15">
        <f>_xlfn.XLOOKUP(B15,'[12]february-2026'!$A:$A,'[12]february-2026'!$H:$H,0,0)</f>
        <v>2000</v>
      </c>
      <c r="DX15">
        <f>_xlfn.XLOOKUP(B15,'[12]february-2026'!$A:$A,'[12]february-2026'!$I:$I,0,0)</f>
        <v>0</v>
      </c>
      <c r="DY15">
        <f>IF($F15="YES",0,IF(DV15&gt;40000,200,IF(DV15&gt;25000,150,IF(DV15&gt;15000,130,IF(DV15&gt;10000,110,0)))))</f>
        <v>200</v>
      </c>
      <c r="DZ15">
        <f>DV15-DW15-DX15-DY15</f>
        <v>40550</v>
      </c>
      <c r="EA15">
        <f>DV15+DL15+DB15+CR15+CH15+BX15+BN15+BD15+AS15+AI15+Y15+O15+H15+I15</f>
        <v>513856</v>
      </c>
      <c r="EB15">
        <f>DY15+DO15+DE15+CU15+CK15+CA15+BQ15+BG15+AV15+AL15+AB15+R15</f>
        <v>2400</v>
      </c>
      <c r="EC15">
        <f>IF(EA15&gt;0,50000,0)</f>
        <v>50000</v>
      </c>
      <c r="ED15">
        <v>0</v>
      </c>
      <c r="EE15">
        <f>EA15-EB15-EC15</f>
        <v>461456</v>
      </c>
      <c r="EF15">
        <f>DW15+DM15+DC15+CS15+CI15+BY15+BO15+BE15+AT15+AJ15+Z15+P15</f>
        <v>24000</v>
      </c>
      <c r="EG15">
        <f>DX15+DN15+DD15+CT15+CJ15+BZ15+BP15+BF15+AU15+AK15+AA15+Q15</f>
        <v>0</v>
      </c>
      <c r="EH15">
        <v>0</v>
      </c>
      <c r="EI15">
        <v>0</v>
      </c>
      <c r="EJ15">
        <v>0</v>
      </c>
      <c r="EK15">
        <v>0</v>
      </c>
      <c r="EL15">
        <v>0</v>
      </c>
      <c r="EM15">
        <v>0</v>
      </c>
      <c r="EN15">
        <v>0</v>
      </c>
      <c r="EO15">
        <v>0</v>
      </c>
      <c r="EP15">
        <v>0</v>
      </c>
      <c r="EQ15">
        <v>0</v>
      </c>
      <c r="ER15">
        <f>SUM(EF15:EQ15)</f>
        <v>24000</v>
      </c>
      <c r="ES15">
        <f>IF(ER15&gt;=150000,150000,ER15)</f>
        <v>24000</v>
      </c>
      <c r="ET15">
        <f>EE15-ES15</f>
        <v>437456</v>
      </c>
      <c r="EU15">
        <v>0</v>
      </c>
      <c r="EV15">
        <v>0</v>
      </c>
      <c r="EW15">
        <v>0</v>
      </c>
      <c r="EX15">
        <v>0</v>
      </c>
      <c r="EY15">
        <v>0</v>
      </c>
      <c r="EZ15">
        <v>0</v>
      </c>
      <c r="FA15">
        <v>0</v>
      </c>
      <c r="FB15">
        <f>SUM(EU15:FA15)+(IF(F15="YES",50000,0))</f>
        <v>0</v>
      </c>
      <c r="FC15">
        <f>ET15-FB15</f>
        <v>437456</v>
      </c>
      <c r="FD15">
        <f>ROUND(IF(FC15&gt;0,IF(FC15&gt;500000,12500,(FC15-250000)*0.05),0),0)</f>
        <v>9373</v>
      </c>
      <c r="FE15">
        <f>IF(ROUND(IF(FC15&gt;0,IF(FC15&gt;1000000,25000,(FC15-500000)*0.2),0),0)&lt;0,0,ROUND(IF(FC15&gt;0,IF(FC15&gt;1000000,25000,(FC15-500000)*0.2),0),0))</f>
        <v>0</v>
      </c>
      <c r="FF15">
        <f>FD15+FE15</f>
        <v>9373</v>
      </c>
      <c r="FG15">
        <f>IF(FF15&lt;12500,0,FF15)</f>
        <v>0</v>
      </c>
      <c r="FH15">
        <f>FG15*0.04</f>
        <v>0</v>
      </c>
      <c r="FI15">
        <f>ROUND(FH15+FG15,0)</f>
        <v>0</v>
      </c>
      <c r="FJ15">
        <v>0</v>
      </c>
      <c r="FK15">
        <f>FI15-FJ15</f>
        <v>0</v>
      </c>
      <c r="FL15" t="b">
        <f>IF(EA15&gt;500000,TRUE,FALSE)</f>
        <v>1</v>
      </c>
      <c r="FM15">
        <f ca="1">IF(FL15,RANDBETWEEN(500,1000),RANDBETWEEN(1000,3000))</f>
        <v>797</v>
      </c>
      <c r="FN15">
        <f ca="1">EA15+FM15</f>
        <v>514653</v>
      </c>
      <c r="FO15">
        <f>IF(EA15&gt;0,75000,0)</f>
        <v>75000</v>
      </c>
      <c r="FP15">
        <f ca="1">FN15-FO15</f>
        <v>439653</v>
      </c>
      <c r="FQ15">
        <f ca="1">IF(FP15&gt;2400000,FP15-2400000,0)</f>
        <v>0</v>
      </c>
      <c r="FR15">
        <f ca="1">FQ15*0.3</f>
        <v>0</v>
      </c>
      <c r="FS15">
        <f ca="1">IF(FP15&gt;2000000,FP15-2000000,0)</f>
        <v>0</v>
      </c>
      <c r="FT15">
        <f ca="1">FS15*0.25</f>
        <v>0</v>
      </c>
      <c r="FU15">
        <f ca="1">IF(FP15&gt;1600000,FP15-1600000-FQ15,0)</f>
        <v>0</v>
      </c>
      <c r="FV15">
        <f ca="1">FU15*0.2</f>
        <v>0</v>
      </c>
      <c r="FW15">
        <f ca="1">IF(FP15&gt;1200000,FP15-1200000-IF(F15="YES",50000,0)-FU15,0)</f>
        <v>0</v>
      </c>
      <c r="FX15">
        <f ca="1">FW15*0.15</f>
        <v>0</v>
      </c>
      <c r="FY15">
        <f ca="1">IF(FP15&gt;800000,FP15-800000-FQ15-FU15-FW15,0)</f>
        <v>0</v>
      </c>
      <c r="FZ15">
        <f ca="1">FY15*0.1</f>
        <v>0</v>
      </c>
      <c r="GA15">
        <f ca="1">IF(FP15&gt;400000,FP15-400000-FQ15-FU15-FW15-FY15,0)</f>
        <v>39653</v>
      </c>
      <c r="GB15">
        <f ca="1">GA15*0.05</f>
        <v>1982.65</v>
      </c>
      <c r="GC15">
        <f ca="1">ROUND(FR15+FT15+FV15+FX15+FZ15+GB15,0)</f>
        <v>1983</v>
      </c>
      <c r="GD15">
        <f ca="1">IF(FP15&gt;1200000,FP15,0)</f>
        <v>0</v>
      </c>
      <c r="GE15">
        <f ca="1">IF(FP15&gt;1200000,GD15-1200000,0)</f>
        <v>0</v>
      </c>
      <c r="GF15">
        <f ca="1">IF(FP15&lt;1200001,MIN(GC15,60000),0)</f>
        <v>1983</v>
      </c>
      <c r="GG15">
        <f ca="1">IF(FP15&gt;1200000,GC15-GE15,0)</f>
        <v>0</v>
      </c>
      <c r="GH15" t="b">
        <f ca="1">IF(GG15&gt;0,TRUE,FALSE)</f>
        <v>0</v>
      </c>
      <c r="GI15">
        <f ca="1">IF(GH15,GG15,0)</f>
        <v>0</v>
      </c>
      <c r="GJ15">
        <f ca="1">GF15+GI15</f>
        <v>1983</v>
      </c>
      <c r="GK15">
        <f ca="1">ROUND(GC15-GJ15,0)</f>
        <v>0</v>
      </c>
      <c r="GL15">
        <f ca="1">GK15*0.04</f>
        <v>0</v>
      </c>
      <c r="GM15">
        <f ca="1">ROUNDUP(GK15+GL15,0)</f>
        <v>0</v>
      </c>
    </row>
    <row r="16" spans="1:195" x14ac:dyDescent="0.25">
      <c r="A16">
        <f>_xlfn.AGGREGATE(3,5,$B$2:B16)</f>
        <v>15</v>
      </c>
      <c r="B16" t="s">
        <v>152</v>
      </c>
      <c r="C16" t="s">
        <v>153</v>
      </c>
      <c r="D16" t="s">
        <v>754</v>
      </c>
      <c r="E16" t="s">
        <v>833</v>
      </c>
      <c r="F16" t="s">
        <v>959</v>
      </c>
      <c r="G16" t="s">
        <v>881</v>
      </c>
      <c r="H16">
        <f>IF(_xlfn.DAYS("31-03-2025",G16)&gt;=180,6800,0)</f>
        <v>6800</v>
      </c>
      <c r="I16">
        <f>_xlfn.XLOOKUP(B16,'[1]march-2025'!$A:$A,'[1]march-2025'!$J:$J,0,0)</f>
        <v>0</v>
      </c>
      <c r="J16">
        <f>_xlfn.XLOOKUP(B16,'[1]march-2025'!$A:$A,'[1]march-2025'!$C:$C,0,0)</f>
        <v>31600</v>
      </c>
      <c r="K16">
        <f>J16*0.14</f>
        <v>4424</v>
      </c>
      <c r="L16">
        <f>J16*0.12</f>
        <v>3792</v>
      </c>
      <c r="M16">
        <f>_xlfn.XLOOKUP(B16,'[1]march-2025'!$A:$A,'[1]march-2025'!$D:$D,0,0)</f>
        <v>0</v>
      </c>
      <c r="N16">
        <f>_xlfn.XLOOKUP(B16,'[1]march-2025'!$A:$A,'[1]march-2025'!$G:$G,0,0)</f>
        <v>500</v>
      </c>
      <c r="O16">
        <f>IF(J16&gt;0,SUM(J16:N16),0)</f>
        <v>40316</v>
      </c>
      <c r="P16">
        <f>_xlfn.XLOOKUP(B16,'[1]march-2025'!$A:$A,'[1]march-2025'!$H:$H,0,0)</f>
        <v>2000</v>
      </c>
      <c r="Q16">
        <f>_xlfn.XLOOKUP(B16,'[1]march-2025'!$A:$A,'[1]march-2025'!$I:$I,0,0)</f>
        <v>0</v>
      </c>
      <c r="R16">
        <f>IF($F16="YES",0,IF(O16&gt;40000,200,IF(O16&gt;25000,150,IF(O16&gt;15000,130,IF(O16&gt;10000,110,0)))))</f>
        <v>200</v>
      </c>
      <c r="S16">
        <f>O16-P16-Q16-R16</f>
        <v>38116</v>
      </c>
      <c r="T16">
        <f>_xlfn.XLOOKUP(B16,'[2]april-2025'!$A:$A,'[2]april-2025'!$C:$C,0,0)</f>
        <v>31600</v>
      </c>
      <c r="U16">
        <f>T16*0.18</f>
        <v>5688</v>
      </c>
      <c r="V16">
        <f>T16*0.12</f>
        <v>3792</v>
      </c>
      <c r="W16">
        <f>_xlfn.XLOOKUP(B16,'[2]april-2025'!$A:$A,'[2]april-2025'!$D:$D,0,0)</f>
        <v>0</v>
      </c>
      <c r="X16">
        <f>_xlfn.XLOOKUP(B16,'[2]april-2025'!$A:$A,'[2]april-2025'!$G:$G,0,0)</f>
        <v>500</v>
      </c>
      <c r="Y16">
        <f>IF(T16&gt;0,SUM(T16:X16),0)</f>
        <v>41580</v>
      </c>
      <c r="Z16">
        <f>_xlfn.XLOOKUP(B16,'[2]april-2025'!$A:$A,'[2]april-2025'!$H:$H,0,0)</f>
        <v>2000</v>
      </c>
      <c r="AA16">
        <f>_xlfn.XLOOKUP(B16,'[2]april-2025'!$A:$A,'[2]april-2025'!$I:$I,0,0)</f>
        <v>0</v>
      </c>
      <c r="AB16">
        <f>IF($F16="YES",0,IF(Y16&gt;40000,200,IF(Y16&gt;25000,150,IF(Y16&gt;15000,130,IF(Y16&gt;10000,110,0)))))</f>
        <v>200</v>
      </c>
      <c r="AC16">
        <f>Y16-Z16-AA16-AB16</f>
        <v>39380</v>
      </c>
      <c r="AD16">
        <f>_xlfn.XLOOKUP(B16,'[3]may-2025'!$A:$A,'[3]may-2025'!$C:$C,0,0)</f>
        <v>31600</v>
      </c>
      <c r="AE16">
        <f>AD16*0.18</f>
        <v>5688</v>
      </c>
      <c r="AF16">
        <f>AD16*0.12</f>
        <v>3792</v>
      </c>
      <c r="AG16">
        <f>_xlfn.XLOOKUP(B16,'[3]may-2025'!$A:$A,'[3]may-2025'!$D:$D,0,0)</f>
        <v>0</v>
      </c>
      <c r="AH16">
        <f>_xlfn.XLOOKUP(B16,'[3]may-2025'!$A:$A,'[3]may-2025'!$G:$G,0,0)</f>
        <v>500</v>
      </c>
      <c r="AI16">
        <f>IF(AD16&gt;0,SUM(AD16:AH16),0)</f>
        <v>41580</v>
      </c>
      <c r="AJ16">
        <f>_xlfn.XLOOKUP(B16,'[3]may-2025'!$A:$A,'[3]may-2025'!$H:$H,0,0)</f>
        <v>2000</v>
      </c>
      <c r="AK16">
        <f>_xlfn.XLOOKUP(B16,'[3]may-2025'!$A:$A,'[3]may-2025'!$I:$I,0,0)</f>
        <v>0</v>
      </c>
      <c r="AL16">
        <f>IF($F16="YES",0,IF(AI16&gt;40000,200,IF(AI16&gt;25000,150,IF(AI16&gt;15000,130,IF(AI16&gt;10000,110,0)))))</f>
        <v>200</v>
      </c>
      <c r="AM16">
        <f>AI16-AJ16-AK16-AL16</f>
        <v>39380</v>
      </c>
      <c r="AN16">
        <f>_xlfn.XLOOKUP(B16,'[4]june-2025'!$A:$A,'[4]june-2025'!$C:$C,0,0)</f>
        <v>31600</v>
      </c>
      <c r="AO16">
        <f>AN16*0.18</f>
        <v>5688</v>
      </c>
      <c r="AP16">
        <f>AN16*0.12</f>
        <v>3792</v>
      </c>
      <c r="AQ16">
        <f>_xlfn.XLOOKUP(B16,'[4]june-2025'!$A:$A,'[4]june-2025'!$D:$D,0,0)</f>
        <v>0</v>
      </c>
      <c r="AR16">
        <f>_xlfn.XLOOKUP(B16,'[4]june-2025'!$A:$A,'[4]june-2025'!$G:$G,0,0)</f>
        <v>500</v>
      </c>
      <c r="AS16">
        <f>IF(AN16&gt;0,SUM(AN16:AR16),0)</f>
        <v>41580</v>
      </c>
      <c r="AT16">
        <f>_xlfn.XLOOKUP(B16,'[4]june-2025'!$A:$A,'[4]june-2025'!$H:$H,0,0)</f>
        <v>2000</v>
      </c>
      <c r="AU16">
        <f>_xlfn.XLOOKUP(B16,'[4]june-2025'!$A:$A,'[4]june-2025'!$I:$I,0,0)</f>
        <v>0</v>
      </c>
      <c r="AV16">
        <f>IF($F16="YES",0,IF(AS16&gt;40000,200,IF(AS16&gt;25000,150,IF(AS16&gt;15000,130,IF(AS16&gt;10000,110,0)))))</f>
        <v>200</v>
      </c>
      <c r="AW16">
        <f>AS16-AT16-AU16-AV16</f>
        <v>39380</v>
      </c>
      <c r="AX16">
        <f>_xlfn.XLOOKUP(B16,'[5]july-2025'!$A:$A,'[5]july-2025'!$C:$C,0,0)</f>
        <v>32500</v>
      </c>
      <c r="AY16">
        <f>AX16*0.18</f>
        <v>5850</v>
      </c>
      <c r="AZ16">
        <v>0</v>
      </c>
      <c r="BA16">
        <f>AX16*0.12</f>
        <v>3900</v>
      </c>
      <c r="BB16">
        <f>_xlfn.XLOOKUP(B16,'[5]july-2025'!$A:$A,'[5]july-2025'!$D:$D,0,0)</f>
        <v>0</v>
      </c>
      <c r="BC16">
        <f>_xlfn.XLOOKUP(B16,'[5]july-2025'!$A:$A,'[5]july-2025'!$G:$G,0,0)</f>
        <v>500</v>
      </c>
      <c r="BD16">
        <f>IF(AX16&gt;0,SUM(AX16:BC16),0)</f>
        <v>42750</v>
      </c>
      <c r="BE16">
        <f>_xlfn.XLOOKUP(B16,'[5]july-2025'!$A:$A,'[5]july-2025'!$H:$H,0,0)</f>
        <v>2000</v>
      </c>
      <c r="BF16">
        <f>_xlfn.XLOOKUP(B16,'[5]july-2025'!$A:$A,'[5]july-2025'!$I:$I,0,0)</f>
        <v>0</v>
      </c>
      <c r="BG16">
        <f>IF($F16="YES",0,IF(BD16&gt;40000,200,IF(BD16&gt;25000,150,IF(BD16&gt;15000,130,IF(BD16&gt;10000,110,0)))))</f>
        <v>200</v>
      </c>
      <c r="BH16">
        <f>BD16-BE16-BF16-BG16</f>
        <v>40550</v>
      </c>
      <c r="BI16">
        <f>_xlfn.XLOOKUP(B16,'[6]august-2025'!$A:$A,'[6]august-2025'!$C:$C,0,0)</f>
        <v>32500</v>
      </c>
      <c r="BJ16">
        <f>BI16*0.18</f>
        <v>5850</v>
      </c>
      <c r="BK16">
        <f>BI16*0.12</f>
        <v>3900</v>
      </c>
      <c r="BL16">
        <f>_xlfn.XLOOKUP(B16,'[6]august-2025'!$A:$A,'[6]august-2025'!$D:$D,0,0)</f>
        <v>0</v>
      </c>
      <c r="BM16">
        <f>_xlfn.XLOOKUP(B16,'[6]august-2025'!$A:$A,'[6]august-2025'!$G:$G,0,0)</f>
        <v>500</v>
      </c>
      <c r="BN16">
        <f>IF(BI16&gt;0,SUM(BI16:BM16),0)</f>
        <v>42750</v>
      </c>
      <c r="BO16">
        <f>_xlfn.XLOOKUP(B16,'[6]august-2025'!$A:$A,'[6]august-2025'!$H:$H,0,0)</f>
        <v>2000</v>
      </c>
      <c r="BP16">
        <f>_xlfn.XLOOKUP(B16,'[6]august-2025'!$A:$A,'[6]august-2025'!$I:$I,0,0)</f>
        <v>0</v>
      </c>
      <c r="BQ16">
        <f>IF($F16="YES",0,IF(BN16&gt;40000,200,IF(BN16&gt;25000,150,IF(BN16&gt;15000,130,IF(BN16&gt;10000,110,0)))))</f>
        <v>200</v>
      </c>
      <c r="BR16">
        <f>BN16-BO16-BP16-BQ16</f>
        <v>40550</v>
      </c>
      <c r="BS16">
        <f>_xlfn.XLOOKUP(B16,'[7]september-2025'!$A:$A,'[7]september-2025'!$C:$C,0,0)</f>
        <v>32500</v>
      </c>
      <c r="BT16">
        <f>BS16*0.18</f>
        <v>5850</v>
      </c>
      <c r="BU16">
        <f>BS16*0.12</f>
        <v>3900</v>
      </c>
      <c r="BV16">
        <f>_xlfn.XLOOKUP(B16,'[7]september-2025'!$A:$A,'[7]september-2025'!$D:$D,0,0)</f>
        <v>0</v>
      </c>
      <c r="BW16">
        <f>_xlfn.XLOOKUP(B16,'[7]september-2025'!$A:$A,'[7]september-2025'!$G:$G,0,0)</f>
        <v>500</v>
      </c>
      <c r="BX16">
        <f>IF(BS16&gt;0,SUM(BS16:BW16),0)</f>
        <v>42750</v>
      </c>
      <c r="BY16">
        <f>_xlfn.XLOOKUP(B16,'[7]september-2025'!$A:$A,'[7]september-2025'!$H:$H,0,0)</f>
        <v>2000</v>
      </c>
      <c r="BZ16">
        <f>_xlfn.XLOOKUP(B16,'[7]september-2025'!$A:$A,'[7]september-2025'!$I:$I,0,0)</f>
        <v>0</v>
      </c>
      <c r="CA16">
        <f>IF($F16="YES",0,IF(BX16&gt;40000,200,IF(BX16&gt;25000,150,IF(BX16&gt;15000,130,IF(BX16&gt;10000,110,0)))))</f>
        <v>200</v>
      </c>
      <c r="CB16">
        <f>BX16-BY16-BZ16-CA16</f>
        <v>40550</v>
      </c>
      <c r="CC16">
        <f>_xlfn.XLOOKUP(B16,'[8]october-2025'!$A:$A,'[8]october-2025'!$C:$C,0,0)</f>
        <v>32500</v>
      </c>
      <c r="CD16">
        <f>CC16*0.18</f>
        <v>5850</v>
      </c>
      <c r="CE16">
        <f>CC16*0.12</f>
        <v>3900</v>
      </c>
      <c r="CF16">
        <f>_xlfn.XLOOKUP(B16,'[8]october-2025'!$A:$A,'[8]october-2025'!$D:$D,0,0)</f>
        <v>0</v>
      </c>
      <c r="CG16">
        <f>_xlfn.XLOOKUP(B16,'[8]october-2025'!$A:$A,'[8]october-2025'!$G:$G,0,0)</f>
        <v>500</v>
      </c>
      <c r="CH16">
        <f>IF(CC16&gt;0,SUM(CC16:CG16),0)</f>
        <v>42750</v>
      </c>
      <c r="CI16">
        <f>_xlfn.XLOOKUP(B16,'[8]october-2025'!$A:$A,'[8]october-2025'!$H:$H,0,0)</f>
        <v>2000</v>
      </c>
      <c r="CJ16">
        <f>_xlfn.XLOOKUP(B16,'[8]october-2025'!$A:$A,'[8]october-2025'!$I:$I,0,0)</f>
        <v>0</v>
      </c>
      <c r="CK16">
        <f>IF($F16="YES",0,IF(CH16&gt;40000,200,IF(CH16&gt;25000,150,IF(CH16&gt;15000,130,IF(CH16&gt;10000,110,0)))))</f>
        <v>200</v>
      </c>
      <c r="CL16">
        <f>CH16-CI16-CJ16-CK16</f>
        <v>40550</v>
      </c>
      <c r="CM16">
        <f>_xlfn.XLOOKUP(B16,'[9]november-2025'!$A:$A,'[9]november-2025'!$C:$C,0,0)</f>
        <v>32500</v>
      </c>
      <c r="CN16">
        <f>CM16*0.18</f>
        <v>5850</v>
      </c>
      <c r="CO16">
        <f>CM16*0.12</f>
        <v>3900</v>
      </c>
      <c r="CP16">
        <f>_xlfn.XLOOKUP(B16,'[9]november-2025'!$A:$A,'[9]november-2025'!$D:$D,0,0)</f>
        <v>0</v>
      </c>
      <c r="CQ16">
        <f>_xlfn.XLOOKUP(B16,'[9]november-2025'!$A:$A,'[9]november-2025'!$G:$G,0,0)</f>
        <v>500</v>
      </c>
      <c r="CR16">
        <f>IF(CM16&gt;0,SUM(CM16:CQ16),0)</f>
        <v>42750</v>
      </c>
      <c r="CS16">
        <f>_xlfn.XLOOKUP(B16,'[9]november-2025'!$A:$A,'[9]november-2025'!$H:$H,0,0)</f>
        <v>2000</v>
      </c>
      <c r="CT16">
        <f>_xlfn.XLOOKUP(B16,'[9]november-2025'!$A:$A,'[9]november-2025'!$I:$I,0,0)</f>
        <v>0</v>
      </c>
      <c r="CU16">
        <f>IF($F16="YES",0,IF(CR16&gt;40000,200,IF(CR16&gt;25000,150,IF(CR16&gt;15000,130,IF(CR16&gt;10000,110,0)))))</f>
        <v>200</v>
      </c>
      <c r="CV16">
        <f>CR16-CS16-CT16-CU16</f>
        <v>40550</v>
      </c>
      <c r="CW16">
        <f>_xlfn.XLOOKUP(B16,'[10]december-2025'!$A:$A,'[10]december-2025'!$C:$C,0,0)</f>
        <v>32500</v>
      </c>
      <c r="CX16">
        <f>ROUND(CW16*0.18,0)</f>
        <v>5850</v>
      </c>
      <c r="CY16">
        <f>ROUND(CW16*0.12,0)</f>
        <v>3900</v>
      </c>
      <c r="CZ16">
        <f>_xlfn.XLOOKUP(B16,'[10]december-2025'!$A:$A,'[10]december-2025'!$D:$D,0,0)</f>
        <v>0</v>
      </c>
      <c r="DA16">
        <f>_xlfn.XLOOKUP(B16,'[10]december-2025'!$A:$A,'[10]december-2025'!$G:$G,0,0)</f>
        <v>500</v>
      </c>
      <c r="DB16">
        <f>IF(CW16&gt;0,SUM(CW16:DA16),0)</f>
        <v>42750</v>
      </c>
      <c r="DC16">
        <f>_xlfn.XLOOKUP(B16,'[10]december-2025'!$A:$A,'[10]december-2025'!$H:$H,0,0)</f>
        <v>2000</v>
      </c>
      <c r="DD16">
        <f>_xlfn.XLOOKUP(B16,'[10]december-2025'!$A:$A,'[10]december-2025'!$I:$I,0,0)</f>
        <v>0</v>
      </c>
      <c r="DE16">
        <f>IF($F16="YES",0,IF(DB16&gt;40000,200,IF(DB16&gt;25000,150,IF(DB16&gt;15000,130,IF(DB16&gt;10000,110,0)))))</f>
        <v>200</v>
      </c>
      <c r="DF16">
        <f>DB16-DC16-DD16-DE16</f>
        <v>40550</v>
      </c>
      <c r="DG16">
        <f>_xlfn.XLOOKUP(B16,'[11]january-2026'!$A:$A,'[11]january-2026'!$C:$C,0,0)</f>
        <v>32500</v>
      </c>
      <c r="DH16">
        <f>DG16*0.18</f>
        <v>5850</v>
      </c>
      <c r="DI16">
        <f>DG16*0.12</f>
        <v>3900</v>
      </c>
      <c r="DJ16">
        <f>_xlfn.XLOOKUP(B16,'[11]january-2026'!$A:$A,'[11]january-2026'!$D:$D,0,0)</f>
        <v>0</v>
      </c>
      <c r="DK16">
        <f>_xlfn.XLOOKUP(B16,'[11]january-2026'!$A:$A,'[11]january-2026'!$G:$G,0,0)</f>
        <v>500</v>
      </c>
      <c r="DL16">
        <f>IF(DG16&gt;0,SUM(DG16:DK16),0)</f>
        <v>42750</v>
      </c>
      <c r="DM16">
        <f>_xlfn.XLOOKUP(B16,'[11]january-2026'!$A:$A,'[11]january-2026'!$H:$H,0,0)</f>
        <v>2000</v>
      </c>
      <c r="DN16">
        <f>_xlfn.XLOOKUP(B16,'[11]january-2026'!$A:$A,'[11]january-2026'!$I:$I,0,0)</f>
        <v>0</v>
      </c>
      <c r="DO16">
        <f>IF($F16="YES",0,IF(DL16&gt;40000,200,IF(DL16&gt;25000,150,IF(DL16&gt;15000,130,IF(DL16&gt;10000,110,0)))))</f>
        <v>200</v>
      </c>
      <c r="DP16">
        <f>DL16-DM16-DN16-DO16</f>
        <v>40550</v>
      </c>
      <c r="DQ16">
        <f>_xlfn.XLOOKUP(B16,'[12]february-2026'!$A:$A,'[12]february-2026'!$C:$C,0,0)</f>
        <v>32500</v>
      </c>
      <c r="DR16">
        <f>DQ16*0.18</f>
        <v>5850</v>
      </c>
      <c r="DS16">
        <f>DQ16*0.12</f>
        <v>3900</v>
      </c>
      <c r="DT16">
        <f>_xlfn.XLOOKUP(B16,'[12]february-2026'!$A:$A,'[12]february-2026'!$D:$D,0,0)</f>
        <v>0</v>
      </c>
      <c r="DU16">
        <f>_xlfn.XLOOKUP(B16,'[12]february-2026'!$A:$A,'[12]february-2026'!$G:$G,0,0)</f>
        <v>500</v>
      </c>
      <c r="DV16">
        <f>IF(DQ16&gt;0,SUM(DQ16:DU16),0)</f>
        <v>42750</v>
      </c>
      <c r="DW16">
        <f>_xlfn.XLOOKUP(B16,'[12]february-2026'!$A:$A,'[12]february-2026'!$H:$H,0,0)</f>
        <v>2000</v>
      </c>
      <c r="DX16">
        <f>_xlfn.XLOOKUP(B16,'[12]february-2026'!$A:$A,'[12]february-2026'!$I:$I,0,0)</f>
        <v>0</v>
      </c>
      <c r="DY16">
        <f>IF($F16="YES",0,IF(DV16&gt;40000,200,IF(DV16&gt;25000,150,IF(DV16&gt;15000,130,IF(DV16&gt;10000,110,0)))))</f>
        <v>200</v>
      </c>
      <c r="DZ16">
        <f>DV16-DW16-DX16-DY16</f>
        <v>40550</v>
      </c>
      <c r="EA16">
        <f>DV16+DL16+DB16+CR16+CH16+BX16+BN16+BD16+AS16+AI16+Y16+O16+H16+I16</f>
        <v>513856</v>
      </c>
      <c r="EB16">
        <f>DY16+DO16+DE16+CU16+CK16+CA16+BQ16+BG16+AV16+AL16+AB16+R16</f>
        <v>2400</v>
      </c>
      <c r="EC16">
        <f>IF(EA16&gt;0,50000,0)</f>
        <v>50000</v>
      </c>
      <c r="ED16">
        <v>0</v>
      </c>
      <c r="EE16">
        <f>EA16-EB16-EC16</f>
        <v>461456</v>
      </c>
      <c r="EF16">
        <f>DW16+DM16+DC16+CS16+CI16+BY16+BO16+BE16+AT16+AJ16+Z16+P16</f>
        <v>24000</v>
      </c>
      <c r="EG16">
        <f>DX16+DN16+DD16+CT16+CJ16+BZ16+BP16+BF16+AU16+AK16+AA16+Q16</f>
        <v>0</v>
      </c>
      <c r="EH16">
        <v>0</v>
      </c>
      <c r="EI16">
        <v>0</v>
      </c>
      <c r="EJ16">
        <v>0</v>
      </c>
      <c r="EK16">
        <v>0</v>
      </c>
      <c r="EL16">
        <v>0</v>
      </c>
      <c r="EM16">
        <v>0</v>
      </c>
      <c r="EN16">
        <v>0</v>
      </c>
      <c r="EO16">
        <v>0</v>
      </c>
      <c r="EP16">
        <v>0</v>
      </c>
      <c r="EQ16">
        <v>0</v>
      </c>
      <c r="ER16">
        <f>SUM(EF16:EQ16)</f>
        <v>24000</v>
      </c>
      <c r="ES16">
        <f>IF(ER16&gt;=150000,150000,ER16)</f>
        <v>24000</v>
      </c>
      <c r="ET16">
        <f>EE16-ES16</f>
        <v>437456</v>
      </c>
      <c r="EU16">
        <v>0</v>
      </c>
      <c r="EV16">
        <v>0</v>
      </c>
      <c r="EW16">
        <v>0</v>
      </c>
      <c r="EX16">
        <v>0</v>
      </c>
      <c r="EY16">
        <v>0</v>
      </c>
      <c r="EZ16">
        <v>0</v>
      </c>
      <c r="FA16">
        <v>0</v>
      </c>
      <c r="FB16">
        <f>SUM(EU16:FA16)+(IF(F16="YES",50000,0))</f>
        <v>0</v>
      </c>
      <c r="FC16">
        <f>ET16-FB16</f>
        <v>437456</v>
      </c>
      <c r="FD16">
        <f>ROUND(IF(FC16&gt;0,IF(FC16&gt;500000,12500,(FC16-250000)*0.05),0),0)</f>
        <v>9373</v>
      </c>
      <c r="FE16">
        <f>IF(ROUND(IF(FC16&gt;0,IF(FC16&gt;1000000,25000,(FC16-500000)*0.2),0),0)&lt;0,0,ROUND(IF(FC16&gt;0,IF(FC16&gt;1000000,25000,(FC16-500000)*0.2),0),0))</f>
        <v>0</v>
      </c>
      <c r="FF16">
        <f>FD16+FE16</f>
        <v>9373</v>
      </c>
      <c r="FG16">
        <f>IF(FF16&lt;12500,0,FF16)</f>
        <v>0</v>
      </c>
      <c r="FH16">
        <f>FG16*0.04</f>
        <v>0</v>
      </c>
      <c r="FI16">
        <f>ROUND(FH16+FG16,0)</f>
        <v>0</v>
      </c>
      <c r="FJ16">
        <v>0</v>
      </c>
      <c r="FK16">
        <f>FI16-FJ16</f>
        <v>0</v>
      </c>
      <c r="FL16" t="b">
        <f>IF(EA16&gt;500000,TRUE,FALSE)</f>
        <v>1</v>
      </c>
      <c r="FM16">
        <f ca="1">IF(FL16,RANDBETWEEN(500,1000),RANDBETWEEN(1000,3000))</f>
        <v>550</v>
      </c>
      <c r="FN16">
        <f ca="1">EA16+FM16</f>
        <v>514406</v>
      </c>
      <c r="FO16">
        <f>IF(EA16&gt;0,75000,0)</f>
        <v>75000</v>
      </c>
      <c r="FP16">
        <f ca="1">FN16-FO16</f>
        <v>439406</v>
      </c>
      <c r="FQ16">
        <f ca="1">IF(FP16&gt;2400000,FP16-2400000,0)</f>
        <v>0</v>
      </c>
      <c r="FR16">
        <f ca="1">FQ16*0.3</f>
        <v>0</v>
      </c>
      <c r="FS16">
        <f ca="1">IF(FP16&gt;2000000,FP16-2000000,0)</f>
        <v>0</v>
      </c>
      <c r="FT16">
        <f ca="1">FS16*0.25</f>
        <v>0</v>
      </c>
      <c r="FU16">
        <f ca="1">IF(FP16&gt;1600000,FP16-1600000-FQ16,0)</f>
        <v>0</v>
      </c>
      <c r="FV16">
        <f ca="1">FU16*0.2</f>
        <v>0</v>
      </c>
      <c r="FW16">
        <f ca="1">IF(FP16&gt;1200000,FP16-1200000-IF(F16="YES",50000,0)-FU16,0)</f>
        <v>0</v>
      </c>
      <c r="FX16">
        <f ca="1">FW16*0.15</f>
        <v>0</v>
      </c>
      <c r="FY16">
        <f ca="1">IF(FP16&gt;800000,FP16-800000-FQ16-FU16-FW16,0)</f>
        <v>0</v>
      </c>
      <c r="FZ16">
        <f ca="1">FY16*0.1</f>
        <v>0</v>
      </c>
      <c r="GA16">
        <f ca="1">IF(FP16&gt;400000,FP16-400000-FQ16-FU16-FW16-FY16,0)</f>
        <v>39406</v>
      </c>
      <c r="GB16">
        <f ca="1">GA16*0.05</f>
        <v>1970.3000000000002</v>
      </c>
      <c r="GC16">
        <f ca="1">ROUND(FR16+FT16+FV16+FX16+FZ16+GB16,0)</f>
        <v>1970</v>
      </c>
      <c r="GD16">
        <f ca="1">IF(FP16&gt;1200000,FP16,0)</f>
        <v>0</v>
      </c>
      <c r="GE16">
        <f ca="1">IF(FP16&gt;1200000,GD16-1200000,0)</f>
        <v>0</v>
      </c>
      <c r="GF16">
        <f ca="1">IF(FP16&lt;1200001,MIN(GC16,60000),0)</f>
        <v>1970</v>
      </c>
      <c r="GG16">
        <f ca="1">IF(FP16&gt;1200000,GC16-GE16,0)</f>
        <v>0</v>
      </c>
      <c r="GH16" t="b">
        <f ca="1">IF(GG16&gt;0,TRUE,FALSE)</f>
        <v>0</v>
      </c>
      <c r="GI16">
        <f ca="1">IF(GH16,GG16,0)</f>
        <v>0</v>
      </c>
      <c r="GJ16">
        <f ca="1">GF16+GI16</f>
        <v>1970</v>
      </c>
      <c r="GK16">
        <f ca="1">ROUND(GC16-GJ16,0)</f>
        <v>0</v>
      </c>
      <c r="GL16">
        <f ca="1">GK16*0.04</f>
        <v>0</v>
      </c>
      <c r="GM16">
        <f ca="1">ROUNDUP(GK16+GL16,0)</f>
        <v>0</v>
      </c>
    </row>
    <row r="17" spans="1:195" x14ac:dyDescent="0.25">
      <c r="A17">
        <f>_xlfn.AGGREGATE(3,5,$B$2:B17)</f>
        <v>16</v>
      </c>
      <c r="B17" t="s">
        <v>154</v>
      </c>
      <c r="C17" t="s">
        <v>155</v>
      </c>
      <c r="D17" t="s">
        <v>754</v>
      </c>
      <c r="E17" t="s">
        <v>833</v>
      </c>
      <c r="F17" t="s">
        <v>959</v>
      </c>
      <c r="G17" t="s">
        <v>883</v>
      </c>
      <c r="H17">
        <f>IF(_xlfn.DAYS("31-03-2025",G17)&gt;=180,6800,0)</f>
        <v>6800</v>
      </c>
      <c r="I17">
        <f>_xlfn.XLOOKUP(B17,'[1]march-2025'!$A:$A,'[1]march-2025'!$J:$J,0,0)</f>
        <v>0</v>
      </c>
      <c r="J17">
        <f>_xlfn.XLOOKUP(B17,'[1]march-2025'!$A:$A,'[1]march-2025'!$C:$C,0,0)</f>
        <v>28900</v>
      </c>
      <c r="K17">
        <f>J17*0.14</f>
        <v>4046.0000000000005</v>
      </c>
      <c r="L17">
        <f>J17*0.12</f>
        <v>3468</v>
      </c>
      <c r="M17">
        <f>_xlfn.XLOOKUP(B17,'[1]march-2025'!$A:$A,'[1]march-2025'!$D:$D,0,0)</f>
        <v>0</v>
      </c>
      <c r="N17">
        <f>_xlfn.XLOOKUP(B17,'[1]march-2025'!$A:$A,'[1]march-2025'!$G:$G,0,0)</f>
        <v>500</v>
      </c>
      <c r="O17">
        <f>IF(J17&gt;0,SUM(J17:N17),0)</f>
        <v>36914</v>
      </c>
      <c r="P17">
        <f>_xlfn.XLOOKUP(B17,'[1]march-2025'!$A:$A,'[1]march-2025'!$H:$H,0,0)</f>
        <v>2000</v>
      </c>
      <c r="Q17">
        <f>_xlfn.XLOOKUP(B17,'[1]march-2025'!$A:$A,'[1]march-2025'!$I:$I,0,0)</f>
        <v>0</v>
      </c>
      <c r="R17">
        <f>IF($F17="YES",0,IF(O17&gt;40000,200,IF(O17&gt;25000,150,IF(O17&gt;15000,130,IF(O17&gt;10000,110,0)))))</f>
        <v>150</v>
      </c>
      <c r="S17">
        <f>O17-P17-Q17-R17</f>
        <v>34764</v>
      </c>
      <c r="T17">
        <f>_xlfn.XLOOKUP(B17,'[2]april-2025'!$A:$A,'[2]april-2025'!$C:$C,0,0)</f>
        <v>28900</v>
      </c>
      <c r="U17">
        <f>T17*0.18</f>
        <v>5202</v>
      </c>
      <c r="V17">
        <f>T17*0.12</f>
        <v>3468</v>
      </c>
      <c r="W17">
        <f>_xlfn.XLOOKUP(B17,'[2]april-2025'!$A:$A,'[2]april-2025'!$D:$D,0,0)</f>
        <v>0</v>
      </c>
      <c r="X17">
        <f>_xlfn.XLOOKUP(B17,'[2]april-2025'!$A:$A,'[2]april-2025'!$G:$G,0,0)</f>
        <v>500</v>
      </c>
      <c r="Y17">
        <f>IF(T17&gt;0,SUM(T17:X17),0)</f>
        <v>38070</v>
      </c>
      <c r="Z17">
        <f>_xlfn.XLOOKUP(B17,'[2]april-2025'!$A:$A,'[2]april-2025'!$H:$H,0,0)</f>
        <v>2000</v>
      </c>
      <c r="AA17">
        <f>_xlfn.XLOOKUP(B17,'[2]april-2025'!$A:$A,'[2]april-2025'!$I:$I,0,0)</f>
        <v>0</v>
      </c>
      <c r="AB17">
        <f>IF($F17="YES",0,IF(Y17&gt;40000,200,IF(Y17&gt;25000,150,IF(Y17&gt;15000,130,IF(Y17&gt;10000,110,0)))))</f>
        <v>150</v>
      </c>
      <c r="AC17">
        <f>Y17-Z17-AA17-AB17</f>
        <v>35920</v>
      </c>
      <c r="AD17">
        <f>_xlfn.XLOOKUP(B17,'[3]may-2025'!$A:$A,'[3]may-2025'!$C:$C,0,0)</f>
        <v>28900</v>
      </c>
      <c r="AE17">
        <f>AD17*0.18</f>
        <v>5202</v>
      </c>
      <c r="AF17">
        <f>AD17*0.12</f>
        <v>3468</v>
      </c>
      <c r="AG17">
        <f>_xlfn.XLOOKUP(B17,'[3]may-2025'!$A:$A,'[3]may-2025'!$D:$D,0,0)</f>
        <v>0</v>
      </c>
      <c r="AH17">
        <f>_xlfn.XLOOKUP(B17,'[3]may-2025'!$A:$A,'[3]may-2025'!$G:$G,0,0)</f>
        <v>500</v>
      </c>
      <c r="AI17">
        <f>IF(AD17&gt;0,SUM(AD17:AH17),0)</f>
        <v>38070</v>
      </c>
      <c r="AJ17">
        <f>_xlfn.XLOOKUP(B17,'[3]may-2025'!$A:$A,'[3]may-2025'!$H:$H,0,0)</f>
        <v>2000</v>
      </c>
      <c r="AK17">
        <f>_xlfn.XLOOKUP(B17,'[3]may-2025'!$A:$A,'[3]may-2025'!$I:$I,0,0)</f>
        <v>0</v>
      </c>
      <c r="AL17">
        <f>IF($F17="YES",0,IF(AI17&gt;40000,200,IF(AI17&gt;25000,150,IF(AI17&gt;15000,130,IF(AI17&gt;10000,110,0)))))</f>
        <v>150</v>
      </c>
      <c r="AM17">
        <f>AI17-AJ17-AK17-AL17</f>
        <v>35920</v>
      </c>
      <c r="AN17">
        <f>_xlfn.XLOOKUP(B17,'[4]june-2025'!$A:$A,'[4]june-2025'!$C:$C,0,0)</f>
        <v>28900</v>
      </c>
      <c r="AO17">
        <f>AN17*0.18</f>
        <v>5202</v>
      </c>
      <c r="AP17">
        <f>AN17*0.12</f>
        <v>3468</v>
      </c>
      <c r="AQ17">
        <f>_xlfn.XLOOKUP(B17,'[4]june-2025'!$A:$A,'[4]june-2025'!$D:$D,0,0)</f>
        <v>0</v>
      </c>
      <c r="AR17">
        <f>_xlfn.XLOOKUP(B17,'[4]june-2025'!$A:$A,'[4]june-2025'!$G:$G,0,0)</f>
        <v>500</v>
      </c>
      <c r="AS17">
        <f>IF(AN17&gt;0,SUM(AN17:AR17),0)</f>
        <v>38070</v>
      </c>
      <c r="AT17">
        <f>_xlfn.XLOOKUP(B17,'[4]june-2025'!$A:$A,'[4]june-2025'!$H:$H,0,0)</f>
        <v>2000</v>
      </c>
      <c r="AU17">
        <f>_xlfn.XLOOKUP(B17,'[4]june-2025'!$A:$A,'[4]june-2025'!$I:$I,0,0)</f>
        <v>0</v>
      </c>
      <c r="AV17">
        <f>IF($F17="YES",0,IF(AS17&gt;40000,200,IF(AS17&gt;25000,150,IF(AS17&gt;15000,130,IF(AS17&gt;10000,110,0)))))</f>
        <v>150</v>
      </c>
      <c r="AW17">
        <f>AS17-AT17-AU17-AV17</f>
        <v>35920</v>
      </c>
      <c r="AX17">
        <f>_xlfn.XLOOKUP(B17,'[5]july-2025'!$A:$A,'[5]july-2025'!$C:$C,0,0)</f>
        <v>29800</v>
      </c>
      <c r="AY17">
        <f>AX17*0.18</f>
        <v>5364</v>
      </c>
      <c r="AZ17">
        <v>0</v>
      </c>
      <c r="BA17">
        <f>AX17*0.12</f>
        <v>3576</v>
      </c>
      <c r="BB17">
        <f>_xlfn.XLOOKUP(B17,'[5]july-2025'!$A:$A,'[5]july-2025'!$D:$D,0,0)</f>
        <v>0</v>
      </c>
      <c r="BC17">
        <f>_xlfn.XLOOKUP(B17,'[5]july-2025'!$A:$A,'[5]july-2025'!$G:$G,0,0)</f>
        <v>500</v>
      </c>
      <c r="BD17">
        <f>IF(AX17&gt;0,SUM(AX17:BC17),0)</f>
        <v>39240</v>
      </c>
      <c r="BE17">
        <f>_xlfn.XLOOKUP(B17,'[5]july-2025'!$A:$A,'[5]july-2025'!$H:$H,0,0)</f>
        <v>2000</v>
      </c>
      <c r="BF17">
        <f>_xlfn.XLOOKUP(B17,'[5]july-2025'!$A:$A,'[5]july-2025'!$I:$I,0,0)</f>
        <v>0</v>
      </c>
      <c r="BG17">
        <f>IF($F17="YES",0,IF(BD17&gt;40000,200,IF(BD17&gt;25000,150,IF(BD17&gt;15000,130,IF(BD17&gt;10000,110,0)))))</f>
        <v>150</v>
      </c>
      <c r="BH17">
        <f>BD17-BE17-BF17-BG17</f>
        <v>37090</v>
      </c>
      <c r="BI17">
        <f>_xlfn.XLOOKUP(B17,'[6]august-2025'!$A:$A,'[6]august-2025'!$C:$C,0,0)</f>
        <v>29800</v>
      </c>
      <c r="BJ17">
        <f>BI17*0.18</f>
        <v>5364</v>
      </c>
      <c r="BK17">
        <f>BI17*0.12</f>
        <v>3576</v>
      </c>
      <c r="BL17">
        <f>_xlfn.XLOOKUP(B17,'[6]august-2025'!$A:$A,'[6]august-2025'!$D:$D,0,0)</f>
        <v>0</v>
      </c>
      <c r="BM17">
        <f>_xlfn.XLOOKUP(B17,'[6]august-2025'!$A:$A,'[6]august-2025'!$G:$G,0,0)</f>
        <v>500</v>
      </c>
      <c r="BN17">
        <f>IF(BI17&gt;0,SUM(BI17:BM17),0)</f>
        <v>39240</v>
      </c>
      <c r="BO17">
        <f>_xlfn.XLOOKUP(B17,'[6]august-2025'!$A:$A,'[6]august-2025'!$H:$H,0,0)</f>
        <v>2000</v>
      </c>
      <c r="BP17">
        <f>_xlfn.XLOOKUP(B17,'[6]august-2025'!$A:$A,'[6]august-2025'!$I:$I,0,0)</f>
        <v>0</v>
      </c>
      <c r="BQ17">
        <f>IF($F17="YES",0,IF(BN17&gt;40000,200,IF(BN17&gt;25000,150,IF(BN17&gt;15000,130,IF(BN17&gt;10000,110,0)))))</f>
        <v>150</v>
      </c>
      <c r="BR17">
        <f>BN17-BO17-BP17-BQ17</f>
        <v>37090</v>
      </c>
      <c r="BS17">
        <f>_xlfn.XLOOKUP(B17,'[7]september-2025'!$A:$A,'[7]september-2025'!$C:$C,0,0)</f>
        <v>29800</v>
      </c>
      <c r="BT17">
        <f>BS17*0.18</f>
        <v>5364</v>
      </c>
      <c r="BU17">
        <f>BS17*0.12</f>
        <v>3576</v>
      </c>
      <c r="BV17">
        <f>_xlfn.XLOOKUP(B17,'[7]september-2025'!$A:$A,'[7]september-2025'!$D:$D,0,0)</f>
        <v>0</v>
      </c>
      <c r="BW17">
        <f>_xlfn.XLOOKUP(B17,'[7]september-2025'!$A:$A,'[7]september-2025'!$G:$G,0,0)</f>
        <v>500</v>
      </c>
      <c r="BX17">
        <f>IF(BS17&gt;0,SUM(BS17:BW17),0)</f>
        <v>39240</v>
      </c>
      <c r="BY17">
        <f>_xlfn.XLOOKUP(B17,'[7]september-2025'!$A:$A,'[7]september-2025'!$H:$H,0,0)</f>
        <v>2000</v>
      </c>
      <c r="BZ17">
        <f>_xlfn.XLOOKUP(B17,'[7]september-2025'!$A:$A,'[7]september-2025'!$I:$I,0,0)</f>
        <v>0</v>
      </c>
      <c r="CA17">
        <f>IF($F17="YES",0,IF(BX17&gt;40000,200,IF(BX17&gt;25000,150,IF(BX17&gt;15000,130,IF(BX17&gt;10000,110,0)))))</f>
        <v>150</v>
      </c>
      <c r="CB17">
        <f>BX17-BY17-BZ17-CA17</f>
        <v>37090</v>
      </c>
      <c r="CC17">
        <f>_xlfn.XLOOKUP(B17,'[8]october-2025'!$A:$A,'[8]october-2025'!$C:$C,0,0)</f>
        <v>29800</v>
      </c>
      <c r="CD17">
        <f>CC17*0.18</f>
        <v>5364</v>
      </c>
      <c r="CE17">
        <f>CC17*0.12</f>
        <v>3576</v>
      </c>
      <c r="CF17">
        <f>_xlfn.XLOOKUP(B17,'[8]october-2025'!$A:$A,'[8]october-2025'!$D:$D,0,0)</f>
        <v>0</v>
      </c>
      <c r="CG17">
        <f>_xlfn.XLOOKUP(B17,'[8]october-2025'!$A:$A,'[8]october-2025'!$G:$G,0,0)</f>
        <v>500</v>
      </c>
      <c r="CH17">
        <f>IF(CC17&gt;0,SUM(CC17:CG17),0)</f>
        <v>39240</v>
      </c>
      <c r="CI17">
        <f>_xlfn.XLOOKUP(B17,'[8]october-2025'!$A:$A,'[8]october-2025'!$H:$H,0,0)</f>
        <v>2000</v>
      </c>
      <c r="CJ17">
        <f>_xlfn.XLOOKUP(B17,'[8]october-2025'!$A:$A,'[8]october-2025'!$I:$I,0,0)</f>
        <v>0</v>
      </c>
      <c r="CK17">
        <f>IF($F17="YES",0,IF(CH17&gt;40000,200,IF(CH17&gt;25000,150,IF(CH17&gt;15000,130,IF(CH17&gt;10000,110,0)))))</f>
        <v>150</v>
      </c>
      <c r="CL17">
        <f>CH17-CI17-CJ17-CK17</f>
        <v>37090</v>
      </c>
      <c r="CM17">
        <f>_xlfn.XLOOKUP(B17,'[9]november-2025'!$A:$A,'[9]november-2025'!$C:$C,0,0)</f>
        <v>29800</v>
      </c>
      <c r="CN17">
        <f>CM17*0.18</f>
        <v>5364</v>
      </c>
      <c r="CO17">
        <f>CM17*0.12</f>
        <v>3576</v>
      </c>
      <c r="CP17">
        <f>_xlfn.XLOOKUP(B17,'[9]november-2025'!$A:$A,'[9]november-2025'!$D:$D,0,0)</f>
        <v>0</v>
      </c>
      <c r="CQ17">
        <f>_xlfn.XLOOKUP(B17,'[9]november-2025'!$A:$A,'[9]november-2025'!$G:$G,0,0)</f>
        <v>500</v>
      </c>
      <c r="CR17">
        <f>IF(CM17&gt;0,SUM(CM17:CQ17),0)</f>
        <v>39240</v>
      </c>
      <c r="CS17">
        <f>_xlfn.XLOOKUP(B17,'[9]november-2025'!$A:$A,'[9]november-2025'!$H:$H,0,0)</f>
        <v>2000</v>
      </c>
      <c r="CT17">
        <f>_xlfn.XLOOKUP(B17,'[9]november-2025'!$A:$A,'[9]november-2025'!$I:$I,0,0)</f>
        <v>0</v>
      </c>
      <c r="CU17">
        <f>IF($F17="YES",0,IF(CR17&gt;40000,200,IF(CR17&gt;25000,150,IF(CR17&gt;15000,130,IF(CR17&gt;10000,110,0)))))</f>
        <v>150</v>
      </c>
      <c r="CV17">
        <f>CR17-CS17-CT17-CU17</f>
        <v>37090</v>
      </c>
      <c r="CW17">
        <f>_xlfn.XLOOKUP(B17,'[10]december-2025'!$A:$A,'[10]december-2025'!$C:$C,0,0)</f>
        <v>29800</v>
      </c>
      <c r="CX17">
        <f>ROUND(CW17*0.18,0)</f>
        <v>5364</v>
      </c>
      <c r="CY17">
        <f>ROUND(CW17*0.12,0)</f>
        <v>3576</v>
      </c>
      <c r="CZ17">
        <f>_xlfn.XLOOKUP(B17,'[10]december-2025'!$A:$A,'[10]december-2025'!$D:$D,0,0)</f>
        <v>0</v>
      </c>
      <c r="DA17">
        <f>_xlfn.XLOOKUP(B17,'[10]december-2025'!$A:$A,'[10]december-2025'!$G:$G,0,0)</f>
        <v>500</v>
      </c>
      <c r="DB17">
        <f>IF(CW17&gt;0,SUM(CW17:DA17),0)</f>
        <v>39240</v>
      </c>
      <c r="DC17">
        <f>_xlfn.XLOOKUP(B17,'[10]december-2025'!$A:$A,'[10]december-2025'!$H:$H,0,0)</f>
        <v>2000</v>
      </c>
      <c r="DD17">
        <f>_xlfn.XLOOKUP(B17,'[10]december-2025'!$A:$A,'[10]december-2025'!$I:$I,0,0)</f>
        <v>0</v>
      </c>
      <c r="DE17">
        <f>IF($F17="YES",0,IF(DB17&gt;40000,200,IF(DB17&gt;25000,150,IF(DB17&gt;15000,130,IF(DB17&gt;10000,110,0)))))</f>
        <v>150</v>
      </c>
      <c r="DF17">
        <f>DB17-DC17-DD17-DE17</f>
        <v>37090</v>
      </c>
      <c r="DG17">
        <f>_xlfn.XLOOKUP(B17,'[11]january-2026'!$A:$A,'[11]january-2026'!$C:$C,0,0)</f>
        <v>29800</v>
      </c>
      <c r="DH17">
        <f>DG17*0.18</f>
        <v>5364</v>
      </c>
      <c r="DI17">
        <f>DG17*0.12</f>
        <v>3576</v>
      </c>
      <c r="DJ17">
        <f>_xlfn.XLOOKUP(B17,'[11]january-2026'!$A:$A,'[11]january-2026'!$D:$D,0,0)</f>
        <v>0</v>
      </c>
      <c r="DK17">
        <f>_xlfn.XLOOKUP(B17,'[11]january-2026'!$A:$A,'[11]january-2026'!$G:$G,0,0)</f>
        <v>500</v>
      </c>
      <c r="DL17">
        <f>IF(DG17&gt;0,SUM(DG17:DK17),0)</f>
        <v>39240</v>
      </c>
      <c r="DM17">
        <f>_xlfn.XLOOKUP(B17,'[11]january-2026'!$A:$A,'[11]january-2026'!$H:$H,0,0)</f>
        <v>2000</v>
      </c>
      <c r="DN17">
        <f>_xlfn.XLOOKUP(B17,'[11]january-2026'!$A:$A,'[11]january-2026'!$I:$I,0,0)</f>
        <v>0</v>
      </c>
      <c r="DO17">
        <f>IF($F17="YES",0,IF(DL17&gt;40000,200,IF(DL17&gt;25000,150,IF(DL17&gt;15000,130,IF(DL17&gt;10000,110,0)))))</f>
        <v>150</v>
      </c>
      <c r="DP17">
        <f>DL17-DM17-DN17-DO17</f>
        <v>37090</v>
      </c>
      <c r="DQ17">
        <f>_xlfn.XLOOKUP(B17,'[12]february-2026'!$A:$A,'[12]february-2026'!$C:$C,0,0)</f>
        <v>29800</v>
      </c>
      <c r="DR17">
        <f>DQ17*0.18</f>
        <v>5364</v>
      </c>
      <c r="DS17">
        <f>DQ17*0.12</f>
        <v>3576</v>
      </c>
      <c r="DT17">
        <f>_xlfn.XLOOKUP(B17,'[12]february-2026'!$A:$A,'[12]february-2026'!$D:$D,0,0)</f>
        <v>0</v>
      </c>
      <c r="DU17">
        <f>_xlfn.XLOOKUP(B17,'[12]february-2026'!$A:$A,'[12]february-2026'!$G:$G,0,0)</f>
        <v>500</v>
      </c>
      <c r="DV17">
        <f>IF(DQ17&gt;0,SUM(DQ17:DU17),0)</f>
        <v>39240</v>
      </c>
      <c r="DW17">
        <f>_xlfn.XLOOKUP(B17,'[12]february-2026'!$A:$A,'[12]february-2026'!$H:$H,0,0)</f>
        <v>2000</v>
      </c>
      <c r="DX17">
        <f>_xlfn.XLOOKUP(B17,'[12]february-2026'!$A:$A,'[12]february-2026'!$I:$I,0,0)</f>
        <v>0</v>
      </c>
      <c r="DY17">
        <f>IF($F17="YES",0,IF(DV17&gt;40000,200,IF(DV17&gt;25000,150,IF(DV17&gt;15000,130,IF(DV17&gt;10000,110,0)))))</f>
        <v>150</v>
      </c>
      <c r="DZ17">
        <f>DV17-DW17-DX17-DY17</f>
        <v>37090</v>
      </c>
      <c r="EA17">
        <f>DV17+DL17+DB17+CR17+CH17+BX17+BN17+BD17+AS17+AI17+Y17+O17+H17+I17</f>
        <v>471844</v>
      </c>
      <c r="EB17">
        <f>DY17+DO17+DE17+CU17+CK17+CA17+BQ17+BG17+AV17+AL17+AB17+R17</f>
        <v>1800</v>
      </c>
      <c r="EC17">
        <f>IF(EA17&gt;0,50000,0)</f>
        <v>50000</v>
      </c>
      <c r="ED17">
        <v>0</v>
      </c>
      <c r="EE17">
        <f>EA17-EB17-EC17</f>
        <v>420044</v>
      </c>
      <c r="EF17">
        <f>DW17+DM17+DC17+CS17+CI17+BY17+BO17+BE17+AT17+AJ17+Z17+P17</f>
        <v>24000</v>
      </c>
      <c r="EG17">
        <f>DX17+DN17+DD17+CT17+CJ17+BZ17+BP17+BF17+AU17+AK17+AA17+Q17</f>
        <v>0</v>
      </c>
      <c r="EH17">
        <v>0</v>
      </c>
      <c r="EI17">
        <v>0</v>
      </c>
      <c r="EJ17">
        <v>0</v>
      </c>
      <c r="EK17">
        <v>0</v>
      </c>
      <c r="EL17">
        <v>0</v>
      </c>
      <c r="EM17">
        <v>0</v>
      </c>
      <c r="EN17">
        <v>0</v>
      </c>
      <c r="EO17">
        <v>0</v>
      </c>
      <c r="EP17">
        <v>0</v>
      </c>
      <c r="EQ17">
        <v>0</v>
      </c>
      <c r="ER17">
        <f>SUM(EF17:EQ17)</f>
        <v>24000</v>
      </c>
      <c r="ES17">
        <f>IF(ER17&gt;=150000,150000,ER17)</f>
        <v>24000</v>
      </c>
      <c r="ET17">
        <f>EE17-ES17</f>
        <v>396044</v>
      </c>
      <c r="EU17">
        <v>0</v>
      </c>
      <c r="EV17">
        <v>0</v>
      </c>
      <c r="EW17">
        <v>0</v>
      </c>
      <c r="EX17">
        <v>0</v>
      </c>
      <c r="EY17">
        <v>0</v>
      </c>
      <c r="EZ17">
        <v>0</v>
      </c>
      <c r="FA17">
        <v>0</v>
      </c>
      <c r="FB17">
        <f>SUM(EU17:FA17)+(IF(F17="YES",50000,0))</f>
        <v>0</v>
      </c>
      <c r="FC17">
        <f>ET17-FB17</f>
        <v>396044</v>
      </c>
      <c r="FD17">
        <f>ROUND(IF(FC17&gt;0,IF(FC17&gt;500000,12500,(FC17-250000)*0.05),0),0)</f>
        <v>7302</v>
      </c>
      <c r="FE17">
        <f>IF(ROUND(IF(FC17&gt;0,IF(FC17&gt;1000000,25000,(FC17-500000)*0.2),0),0)&lt;0,0,ROUND(IF(FC17&gt;0,IF(FC17&gt;1000000,25000,(FC17-500000)*0.2),0),0))</f>
        <v>0</v>
      </c>
      <c r="FF17">
        <f>FD17+FE17</f>
        <v>7302</v>
      </c>
      <c r="FG17">
        <f>IF(FF17&lt;12500,0,FF17)</f>
        <v>0</v>
      </c>
      <c r="FH17">
        <f>FG17*0.04</f>
        <v>0</v>
      </c>
      <c r="FI17">
        <f>ROUND(FH17+FG17,0)</f>
        <v>0</v>
      </c>
      <c r="FJ17">
        <v>0</v>
      </c>
      <c r="FK17">
        <f>FI17-FJ17</f>
        <v>0</v>
      </c>
      <c r="FL17" t="b">
        <f>IF(EA17&gt;500000,TRUE,FALSE)</f>
        <v>0</v>
      </c>
      <c r="FM17">
        <f ca="1">IF(FL17,RANDBETWEEN(500,1000),RANDBETWEEN(1000,3000))</f>
        <v>1589</v>
      </c>
      <c r="FN17">
        <f ca="1">EA17+FM17</f>
        <v>473433</v>
      </c>
      <c r="FO17">
        <f>IF(EA17&gt;0,75000,0)</f>
        <v>75000</v>
      </c>
      <c r="FP17">
        <f ca="1">FN17-FO17</f>
        <v>398433</v>
      </c>
      <c r="FQ17">
        <f ca="1">IF(FP17&gt;2400000,FP17-2400000,0)</f>
        <v>0</v>
      </c>
      <c r="FR17">
        <f ca="1">FQ17*0.3</f>
        <v>0</v>
      </c>
      <c r="FS17">
        <f ca="1">IF(FP17&gt;2000000,FP17-2000000,0)</f>
        <v>0</v>
      </c>
      <c r="FT17">
        <f ca="1">FS17*0.25</f>
        <v>0</v>
      </c>
      <c r="FU17">
        <f ca="1">IF(FP17&gt;1600000,FP17-1600000-FQ17,0)</f>
        <v>0</v>
      </c>
      <c r="FV17">
        <f ca="1">FU17*0.2</f>
        <v>0</v>
      </c>
      <c r="FW17">
        <f ca="1">IF(FP17&gt;1200000,FP17-1200000-IF(F17="YES",50000,0)-FU17,0)</f>
        <v>0</v>
      </c>
      <c r="FX17">
        <f ca="1">FW17*0.15</f>
        <v>0</v>
      </c>
      <c r="FY17">
        <f ca="1">IF(FP17&gt;800000,FP17-800000-FQ17-FU17-FW17,0)</f>
        <v>0</v>
      </c>
      <c r="FZ17">
        <f ca="1">FY17*0.1</f>
        <v>0</v>
      </c>
      <c r="GA17">
        <f ca="1">IF(FP17&gt;400000,FP17-400000-FQ17-FU17-FW17-FY17,0)</f>
        <v>0</v>
      </c>
      <c r="GB17">
        <f ca="1">GA17*0.05</f>
        <v>0</v>
      </c>
      <c r="GC17">
        <f ca="1">ROUND(FR17+FT17+FV17+FX17+FZ17+GB17,0)</f>
        <v>0</v>
      </c>
      <c r="GD17">
        <f ca="1">IF(FP17&gt;1200000,FP17,0)</f>
        <v>0</v>
      </c>
      <c r="GE17">
        <f ca="1">IF(FP17&gt;1200000,GD17-1200000,0)</f>
        <v>0</v>
      </c>
      <c r="GF17">
        <f ca="1">IF(FP17&lt;1200001,MIN(GC17,60000),0)</f>
        <v>0</v>
      </c>
      <c r="GG17">
        <f ca="1">IF(FP17&gt;1200000,GC17-GE17,0)</f>
        <v>0</v>
      </c>
      <c r="GH17" t="b">
        <f ca="1">IF(GG17&gt;0,TRUE,FALSE)</f>
        <v>0</v>
      </c>
      <c r="GI17">
        <f ca="1">IF(GH17,GG17,0)</f>
        <v>0</v>
      </c>
      <c r="GJ17">
        <f ca="1">GF17+GI17</f>
        <v>0</v>
      </c>
      <c r="GK17">
        <f ca="1">ROUND(GC17-GJ17,0)</f>
        <v>0</v>
      </c>
      <c r="GL17">
        <f ca="1">GK17*0.04</f>
        <v>0</v>
      </c>
      <c r="GM17">
        <f ca="1">ROUNDUP(GK17+GL17,0)</f>
        <v>0</v>
      </c>
    </row>
    <row r="18" spans="1:195" x14ac:dyDescent="0.25">
      <c r="A18">
        <f>_xlfn.AGGREGATE(3,5,$B$2:B18)</f>
        <v>17</v>
      </c>
      <c r="B18" t="s">
        <v>156</v>
      </c>
      <c r="C18" t="s">
        <v>157</v>
      </c>
      <c r="D18" t="s">
        <v>755</v>
      </c>
      <c r="E18" t="s">
        <v>833</v>
      </c>
      <c r="F18" t="s">
        <v>959</v>
      </c>
      <c r="G18" t="s">
        <v>887</v>
      </c>
      <c r="H18">
        <f>IF(_xlfn.DAYS("31-03-2025",G18)&gt;=180,6800,0)</f>
        <v>6800</v>
      </c>
      <c r="I18">
        <f>_xlfn.XLOOKUP(B18,'[1]march-2025'!$A:$A,'[1]march-2025'!$J:$J,0,0)</f>
        <v>0</v>
      </c>
      <c r="J18">
        <f>_xlfn.XLOOKUP(B18,'[1]march-2025'!$A:$A,'[1]march-2025'!$C:$C,0,0)</f>
        <v>51700</v>
      </c>
      <c r="K18">
        <f>J18*0.14</f>
        <v>7238.0000000000009</v>
      </c>
      <c r="L18">
        <f>J18*0.12</f>
        <v>6204</v>
      </c>
      <c r="M18">
        <f>_xlfn.XLOOKUP(B18,'[1]march-2025'!$A:$A,'[1]march-2025'!$D:$D,0,0)</f>
        <v>400</v>
      </c>
      <c r="N18">
        <f>_xlfn.XLOOKUP(B18,'[1]march-2025'!$A:$A,'[1]march-2025'!$G:$G,0,0)</f>
        <v>500</v>
      </c>
      <c r="O18">
        <f>IF(J18&gt;0,SUM(J18:N18),0)</f>
        <v>66042</v>
      </c>
      <c r="P18">
        <f>_xlfn.XLOOKUP(B18,'[1]march-2025'!$A:$A,'[1]march-2025'!$H:$H,0,0)</f>
        <v>5000</v>
      </c>
      <c r="Q18">
        <f>_xlfn.XLOOKUP(B18,'[1]march-2025'!$A:$A,'[1]march-2025'!$I:$I,0,0)</f>
        <v>60</v>
      </c>
      <c r="R18">
        <f>IF($F18="YES",0,IF(O18&gt;40000,200,IF(O18&gt;25000,150,IF(O18&gt;15000,130,IF(O18&gt;10000,110,0)))))</f>
        <v>200</v>
      </c>
      <c r="S18">
        <f>O18-P18-Q18-R18</f>
        <v>60782</v>
      </c>
      <c r="T18">
        <f>_xlfn.XLOOKUP(B18,'[2]april-2025'!$A:$A,'[2]april-2025'!$C:$C,0,0)</f>
        <v>51700</v>
      </c>
      <c r="U18">
        <f>T18*0.18</f>
        <v>9306</v>
      </c>
      <c r="V18">
        <f>T18*0.12</f>
        <v>6204</v>
      </c>
      <c r="W18">
        <f>_xlfn.XLOOKUP(B18,'[2]april-2025'!$A:$A,'[2]april-2025'!$D:$D,0,0)</f>
        <v>400</v>
      </c>
      <c r="X18">
        <f>_xlfn.XLOOKUP(B18,'[2]april-2025'!$A:$A,'[2]april-2025'!$G:$G,0,0)</f>
        <v>500</v>
      </c>
      <c r="Y18">
        <f>IF(T18&gt;0,SUM(T18:X18),0)</f>
        <v>68110</v>
      </c>
      <c r="Z18">
        <f>_xlfn.XLOOKUP(B18,'[2]april-2025'!$A:$A,'[2]april-2025'!$H:$H,0,0)</f>
        <v>5000</v>
      </c>
      <c r="AA18">
        <f>_xlfn.XLOOKUP(B18,'[2]april-2025'!$A:$A,'[2]april-2025'!$I:$I,0,0)</f>
        <v>60</v>
      </c>
      <c r="AB18">
        <f>IF($F18="YES",0,IF(Y18&gt;40000,200,IF(Y18&gt;25000,150,IF(Y18&gt;15000,130,IF(Y18&gt;10000,110,0)))))</f>
        <v>200</v>
      </c>
      <c r="AC18">
        <f>Y18-Z18-AA18-AB18</f>
        <v>62850</v>
      </c>
      <c r="AD18">
        <f>_xlfn.XLOOKUP(B18,'[3]may-2025'!$A:$A,'[3]may-2025'!$C:$C,0,0)</f>
        <v>51700</v>
      </c>
      <c r="AE18">
        <f>AD18*0.18</f>
        <v>9306</v>
      </c>
      <c r="AF18">
        <f>AD18*0.12</f>
        <v>6204</v>
      </c>
      <c r="AG18">
        <f>_xlfn.XLOOKUP(B18,'[3]may-2025'!$A:$A,'[3]may-2025'!$D:$D,0,0)</f>
        <v>400</v>
      </c>
      <c r="AH18">
        <f>_xlfn.XLOOKUP(B18,'[3]may-2025'!$A:$A,'[3]may-2025'!$G:$G,0,0)</f>
        <v>500</v>
      </c>
      <c r="AI18">
        <f>IF(AD18&gt;0,SUM(AD18:AH18),0)</f>
        <v>68110</v>
      </c>
      <c r="AJ18">
        <f>_xlfn.XLOOKUP(B18,'[3]may-2025'!$A:$A,'[3]may-2025'!$H:$H,0,0)</f>
        <v>5000</v>
      </c>
      <c r="AK18">
        <f>_xlfn.XLOOKUP(B18,'[3]may-2025'!$A:$A,'[3]may-2025'!$I:$I,0,0)</f>
        <v>60</v>
      </c>
      <c r="AL18">
        <f>IF($F18="YES",0,IF(AI18&gt;40000,200,IF(AI18&gt;25000,150,IF(AI18&gt;15000,130,IF(AI18&gt;10000,110,0)))))</f>
        <v>200</v>
      </c>
      <c r="AM18">
        <f>AI18-AJ18-AK18-AL18</f>
        <v>62850</v>
      </c>
      <c r="AN18">
        <f>_xlfn.XLOOKUP(B18,'[4]june-2025'!$A:$A,'[4]june-2025'!$C:$C,0,0)</f>
        <v>51700</v>
      </c>
      <c r="AO18">
        <f>AN18*0.18</f>
        <v>9306</v>
      </c>
      <c r="AP18">
        <f>AN18*0.12</f>
        <v>6204</v>
      </c>
      <c r="AQ18">
        <f>_xlfn.XLOOKUP(B18,'[4]june-2025'!$A:$A,'[4]june-2025'!$D:$D,0,0)</f>
        <v>400</v>
      </c>
      <c r="AR18">
        <f>_xlfn.XLOOKUP(B18,'[4]june-2025'!$A:$A,'[4]june-2025'!$G:$G,0,0)</f>
        <v>500</v>
      </c>
      <c r="AS18">
        <f>IF(AN18&gt;0,SUM(AN18:AR18),0)</f>
        <v>68110</v>
      </c>
      <c r="AT18">
        <f>_xlfn.XLOOKUP(B18,'[4]june-2025'!$A:$A,'[4]june-2025'!$H:$H,0,0)</f>
        <v>5000</v>
      </c>
      <c r="AU18">
        <f>_xlfn.XLOOKUP(B18,'[4]june-2025'!$A:$A,'[4]june-2025'!$I:$I,0,0)</f>
        <v>60</v>
      </c>
      <c r="AV18">
        <f>IF($F18="YES",0,IF(AS18&gt;40000,200,IF(AS18&gt;25000,150,IF(AS18&gt;15000,130,IF(AS18&gt;10000,110,0)))))</f>
        <v>200</v>
      </c>
      <c r="AW18">
        <f>AS18-AT18-AU18-AV18</f>
        <v>62850</v>
      </c>
      <c r="AX18">
        <f>_xlfn.XLOOKUP(B18,'[5]july-2025'!$A:$A,'[5]july-2025'!$C:$C,0,0)</f>
        <v>53300</v>
      </c>
      <c r="AY18">
        <f>AX18*0.18</f>
        <v>9594</v>
      </c>
      <c r="AZ18">
        <v>0</v>
      </c>
      <c r="BA18">
        <f>AX18*0.12</f>
        <v>6396</v>
      </c>
      <c r="BB18">
        <f>_xlfn.XLOOKUP(B18,'[5]july-2025'!$A:$A,'[5]july-2025'!$D:$D,0,0)</f>
        <v>400</v>
      </c>
      <c r="BC18">
        <f>_xlfn.XLOOKUP(B18,'[5]july-2025'!$A:$A,'[5]july-2025'!$G:$G,0,0)</f>
        <v>500</v>
      </c>
      <c r="BD18">
        <f>IF(AX18&gt;0,SUM(AX18:BC18),0)</f>
        <v>70190</v>
      </c>
      <c r="BE18">
        <f>_xlfn.XLOOKUP(B18,'[5]july-2025'!$A:$A,'[5]july-2025'!$H:$H,0,0)</f>
        <v>5000</v>
      </c>
      <c r="BF18">
        <f>_xlfn.XLOOKUP(B18,'[5]july-2025'!$A:$A,'[5]july-2025'!$I:$I,0,0)</f>
        <v>60</v>
      </c>
      <c r="BG18">
        <f>IF($F18="YES",0,IF(BD18&gt;40000,200,IF(BD18&gt;25000,150,IF(BD18&gt;15000,130,IF(BD18&gt;10000,110,0)))))</f>
        <v>200</v>
      </c>
      <c r="BH18">
        <f>BD18-BE18-BF18-BG18</f>
        <v>64930</v>
      </c>
      <c r="BI18">
        <f>_xlfn.XLOOKUP(B18,'[6]august-2025'!$A:$A,'[6]august-2025'!$C:$C,0,0)</f>
        <v>53300</v>
      </c>
      <c r="BJ18">
        <f>BI18*0.18</f>
        <v>9594</v>
      </c>
      <c r="BK18">
        <f>BI18*0.12</f>
        <v>6396</v>
      </c>
      <c r="BL18">
        <f>_xlfn.XLOOKUP(B18,'[6]august-2025'!$A:$A,'[6]august-2025'!$D:$D,0,0)</f>
        <v>400</v>
      </c>
      <c r="BM18">
        <f>_xlfn.XLOOKUP(B18,'[6]august-2025'!$A:$A,'[6]august-2025'!$G:$G,0,0)</f>
        <v>500</v>
      </c>
      <c r="BN18">
        <f>IF(BI18&gt;0,SUM(BI18:BM18),0)</f>
        <v>70190</v>
      </c>
      <c r="BO18">
        <f>_xlfn.XLOOKUP(B18,'[6]august-2025'!$A:$A,'[6]august-2025'!$H:$H,0,0)</f>
        <v>5000</v>
      </c>
      <c r="BP18">
        <f>_xlfn.XLOOKUP(B18,'[6]august-2025'!$A:$A,'[6]august-2025'!$I:$I,0,0)</f>
        <v>60</v>
      </c>
      <c r="BQ18">
        <f>IF($F18="YES",0,IF(BN18&gt;40000,200,IF(BN18&gt;25000,150,IF(BN18&gt;15000,130,IF(BN18&gt;10000,110,0)))))</f>
        <v>200</v>
      </c>
      <c r="BR18">
        <f>BN18-BO18-BP18-BQ18</f>
        <v>64930</v>
      </c>
      <c r="BS18">
        <f>_xlfn.XLOOKUP(B18,'[7]september-2025'!$A:$A,'[7]september-2025'!$C:$C,0,0)</f>
        <v>53300</v>
      </c>
      <c r="BT18">
        <f>BS18*0.18</f>
        <v>9594</v>
      </c>
      <c r="BU18">
        <f>BS18*0.12</f>
        <v>6396</v>
      </c>
      <c r="BV18">
        <f>_xlfn.XLOOKUP(B18,'[7]september-2025'!$A:$A,'[7]september-2025'!$D:$D,0,0)</f>
        <v>400</v>
      </c>
      <c r="BW18">
        <f>_xlfn.XLOOKUP(B18,'[7]september-2025'!$A:$A,'[7]september-2025'!$G:$G,0,0)</f>
        <v>500</v>
      </c>
      <c r="BX18">
        <f>IF(BS18&gt;0,SUM(BS18:BW18),0)</f>
        <v>70190</v>
      </c>
      <c r="BY18">
        <f>_xlfn.XLOOKUP(B18,'[7]september-2025'!$A:$A,'[7]september-2025'!$H:$H,0,0)</f>
        <v>5000</v>
      </c>
      <c r="BZ18">
        <f>_xlfn.XLOOKUP(B18,'[7]september-2025'!$A:$A,'[7]september-2025'!$I:$I,0,0)</f>
        <v>60</v>
      </c>
      <c r="CA18">
        <f>IF($F18="YES",0,IF(BX18&gt;40000,200,IF(BX18&gt;25000,150,IF(BX18&gt;15000,130,IF(BX18&gt;10000,110,0)))))</f>
        <v>200</v>
      </c>
      <c r="CB18">
        <f>BX18-BY18-BZ18-CA18</f>
        <v>64930</v>
      </c>
      <c r="CC18">
        <f>_xlfn.XLOOKUP(B18,'[8]october-2025'!$A:$A,'[8]october-2025'!$C:$C,0,0)</f>
        <v>53300</v>
      </c>
      <c r="CD18">
        <f>CC18*0.18</f>
        <v>9594</v>
      </c>
      <c r="CE18">
        <f>CC18*0.12</f>
        <v>6396</v>
      </c>
      <c r="CF18">
        <f>_xlfn.XLOOKUP(B18,'[8]october-2025'!$A:$A,'[8]october-2025'!$D:$D,0,0)</f>
        <v>400</v>
      </c>
      <c r="CG18">
        <f>_xlfn.XLOOKUP(B18,'[8]october-2025'!$A:$A,'[8]october-2025'!$G:$G,0,0)</f>
        <v>500</v>
      </c>
      <c r="CH18">
        <f>IF(CC18&gt;0,SUM(CC18:CG18),0)</f>
        <v>70190</v>
      </c>
      <c r="CI18">
        <f>_xlfn.XLOOKUP(B18,'[8]october-2025'!$A:$A,'[8]october-2025'!$H:$H,0,0)</f>
        <v>5000</v>
      </c>
      <c r="CJ18">
        <f>_xlfn.XLOOKUP(B18,'[8]october-2025'!$A:$A,'[8]october-2025'!$I:$I,0,0)</f>
        <v>60</v>
      </c>
      <c r="CK18">
        <f>IF($F18="YES",0,IF(CH18&gt;40000,200,IF(CH18&gt;25000,150,IF(CH18&gt;15000,130,IF(CH18&gt;10000,110,0)))))</f>
        <v>200</v>
      </c>
      <c r="CL18">
        <f>CH18-CI18-CJ18-CK18</f>
        <v>64930</v>
      </c>
      <c r="CM18">
        <f>_xlfn.XLOOKUP(B18,'[9]november-2025'!$A:$A,'[9]november-2025'!$C:$C,0,0)</f>
        <v>53300</v>
      </c>
      <c r="CN18">
        <f>CM18*0.18</f>
        <v>9594</v>
      </c>
      <c r="CO18">
        <f>CM18*0.12</f>
        <v>6396</v>
      </c>
      <c r="CP18">
        <f>_xlfn.XLOOKUP(B18,'[9]november-2025'!$A:$A,'[9]november-2025'!$D:$D,0,0)</f>
        <v>400</v>
      </c>
      <c r="CQ18">
        <f>_xlfn.XLOOKUP(B18,'[9]november-2025'!$A:$A,'[9]november-2025'!$G:$G,0,0)</f>
        <v>500</v>
      </c>
      <c r="CR18">
        <f>IF(CM18&gt;0,SUM(CM18:CQ18),0)</f>
        <v>70190</v>
      </c>
      <c r="CS18">
        <f>_xlfn.XLOOKUP(B18,'[9]november-2025'!$A:$A,'[9]november-2025'!$H:$H,0,0)</f>
        <v>5000</v>
      </c>
      <c r="CT18">
        <f>_xlfn.XLOOKUP(B18,'[9]november-2025'!$A:$A,'[9]november-2025'!$I:$I,0,0)</f>
        <v>60</v>
      </c>
      <c r="CU18">
        <f>IF($F18="YES",0,IF(CR18&gt;40000,200,IF(CR18&gt;25000,150,IF(CR18&gt;15000,130,IF(CR18&gt;10000,110,0)))))</f>
        <v>200</v>
      </c>
      <c r="CV18">
        <f>CR18-CS18-CT18-CU18</f>
        <v>64930</v>
      </c>
      <c r="CW18">
        <f>_xlfn.XLOOKUP(B18,'[10]december-2025'!$A:$A,'[10]december-2025'!$C:$C,0,0)</f>
        <v>53300</v>
      </c>
      <c r="CX18">
        <f>ROUND(CW18*0.18,0)</f>
        <v>9594</v>
      </c>
      <c r="CY18">
        <f>ROUND(CW18*0.12,0)</f>
        <v>6396</v>
      </c>
      <c r="CZ18">
        <f>_xlfn.XLOOKUP(B18,'[10]december-2025'!$A:$A,'[10]december-2025'!$D:$D,0,0)</f>
        <v>400</v>
      </c>
      <c r="DA18">
        <f>_xlfn.XLOOKUP(B18,'[10]december-2025'!$A:$A,'[10]december-2025'!$G:$G,0,0)</f>
        <v>500</v>
      </c>
      <c r="DB18">
        <f>IF(CW18&gt;0,SUM(CW18:DA18),0)</f>
        <v>70190</v>
      </c>
      <c r="DC18">
        <f>_xlfn.XLOOKUP(B18,'[10]december-2025'!$A:$A,'[10]december-2025'!$H:$H,0,0)</f>
        <v>5000</v>
      </c>
      <c r="DD18">
        <f>_xlfn.XLOOKUP(B18,'[10]december-2025'!$A:$A,'[10]december-2025'!$I:$I,0,0)</f>
        <v>60</v>
      </c>
      <c r="DE18">
        <f>IF($F18="YES",0,IF(DB18&gt;40000,200,IF(DB18&gt;25000,150,IF(DB18&gt;15000,130,IF(DB18&gt;10000,110,0)))))</f>
        <v>200</v>
      </c>
      <c r="DF18">
        <f>DB18-DC18-DD18-DE18</f>
        <v>64930</v>
      </c>
      <c r="DG18">
        <f>_xlfn.XLOOKUP(B18,'[11]january-2026'!$A:$A,'[11]january-2026'!$C:$C,0,0)</f>
        <v>53300</v>
      </c>
      <c r="DH18">
        <f>DG18*0.18</f>
        <v>9594</v>
      </c>
      <c r="DI18">
        <f>DG18*0.12</f>
        <v>6396</v>
      </c>
      <c r="DJ18">
        <f>_xlfn.XLOOKUP(B18,'[11]january-2026'!$A:$A,'[11]january-2026'!$D:$D,0,0)</f>
        <v>400</v>
      </c>
      <c r="DK18">
        <f>_xlfn.XLOOKUP(B18,'[11]january-2026'!$A:$A,'[11]january-2026'!$G:$G,0,0)</f>
        <v>500</v>
      </c>
      <c r="DL18">
        <f>IF(DG18&gt;0,SUM(DG18:DK18),0)</f>
        <v>70190</v>
      </c>
      <c r="DM18">
        <f>_xlfn.XLOOKUP(B18,'[11]january-2026'!$A:$A,'[11]january-2026'!$H:$H,0,0)</f>
        <v>5000</v>
      </c>
      <c r="DN18">
        <f>_xlfn.XLOOKUP(B18,'[11]january-2026'!$A:$A,'[11]january-2026'!$I:$I,0,0)</f>
        <v>60</v>
      </c>
      <c r="DO18">
        <f>IF($F18="YES",0,IF(DL18&gt;40000,200,IF(DL18&gt;25000,150,IF(DL18&gt;15000,130,IF(DL18&gt;10000,110,0)))))</f>
        <v>200</v>
      </c>
      <c r="DP18">
        <f>DL18-DM18-DN18-DO18</f>
        <v>64930</v>
      </c>
      <c r="DQ18">
        <f>_xlfn.XLOOKUP(B18,'[12]february-2026'!$A:$A,'[12]february-2026'!$C:$C,0,0)</f>
        <v>53300</v>
      </c>
      <c r="DR18">
        <f>DQ18*0.18</f>
        <v>9594</v>
      </c>
      <c r="DS18">
        <f>DQ18*0.12</f>
        <v>6396</v>
      </c>
      <c r="DT18">
        <f>_xlfn.XLOOKUP(B18,'[12]february-2026'!$A:$A,'[12]february-2026'!$D:$D,0,0)</f>
        <v>400</v>
      </c>
      <c r="DU18">
        <f>_xlfn.XLOOKUP(B18,'[12]february-2026'!$A:$A,'[12]february-2026'!$G:$G,0,0)</f>
        <v>500</v>
      </c>
      <c r="DV18">
        <f>IF(DQ18&gt;0,SUM(DQ18:DU18),0)</f>
        <v>70190</v>
      </c>
      <c r="DW18">
        <f>_xlfn.XLOOKUP(B18,'[12]february-2026'!$A:$A,'[12]february-2026'!$H:$H,0,0)</f>
        <v>5000</v>
      </c>
      <c r="DX18">
        <f>_xlfn.XLOOKUP(B18,'[12]february-2026'!$A:$A,'[12]february-2026'!$I:$I,0,0)</f>
        <v>60</v>
      </c>
      <c r="DY18">
        <f>IF($F18="YES",0,IF(DV18&gt;40000,200,IF(DV18&gt;25000,150,IF(DV18&gt;15000,130,IF(DV18&gt;10000,110,0)))))</f>
        <v>200</v>
      </c>
      <c r="DZ18">
        <f>DV18-DW18-DX18-DY18</f>
        <v>64930</v>
      </c>
      <c r="EA18">
        <f>DV18+DL18+DB18+CR18+CH18+BX18+BN18+BD18+AS18+AI18+Y18+O18+H18+I18</f>
        <v>838692</v>
      </c>
      <c r="EB18">
        <f>DY18+DO18+DE18+CU18+CK18+CA18+BQ18+BG18+AV18+AL18+AB18+R18</f>
        <v>2400</v>
      </c>
      <c r="EC18">
        <f>IF(EA18&gt;0,50000,0)</f>
        <v>50000</v>
      </c>
      <c r="ED18">
        <v>0</v>
      </c>
      <c r="EE18">
        <f>EA18-EB18-EC18</f>
        <v>786292</v>
      </c>
      <c r="EF18">
        <f>DW18+DM18+DC18+CS18+CI18+BY18+BO18+BE18+AT18+AJ18+Z18+P18</f>
        <v>60000</v>
      </c>
      <c r="EG18">
        <f>DX18+DN18+DD18+CT18+CJ18+BZ18+BP18+BF18+AU18+AK18+AA18+Q18</f>
        <v>720</v>
      </c>
      <c r="EH18">
        <v>0</v>
      </c>
      <c r="EI18">
        <v>0</v>
      </c>
      <c r="EJ18">
        <v>0</v>
      </c>
      <c r="EK18">
        <v>0</v>
      </c>
      <c r="EL18">
        <v>0</v>
      </c>
      <c r="EM18">
        <v>0</v>
      </c>
      <c r="EN18">
        <v>0</v>
      </c>
      <c r="EO18">
        <v>0</v>
      </c>
      <c r="EP18">
        <v>0</v>
      </c>
      <c r="EQ18">
        <v>0</v>
      </c>
      <c r="ER18">
        <f>SUM(EF18:EQ18)</f>
        <v>60720</v>
      </c>
      <c r="ES18">
        <f>IF(ER18&gt;=150000,150000,ER18)</f>
        <v>60720</v>
      </c>
      <c r="ET18">
        <f>EE18-ES18</f>
        <v>725572</v>
      </c>
      <c r="EU18">
        <v>0</v>
      </c>
      <c r="EV18">
        <v>0</v>
      </c>
      <c r="EW18">
        <v>0</v>
      </c>
      <c r="EX18">
        <v>0</v>
      </c>
      <c r="EY18">
        <v>0</v>
      </c>
      <c r="EZ18">
        <v>0</v>
      </c>
      <c r="FA18">
        <v>0</v>
      </c>
      <c r="FB18">
        <f>SUM(EU18:FA18)+(IF(F18="YES",50000,0))</f>
        <v>0</v>
      </c>
      <c r="FC18">
        <f>ET18-FB18</f>
        <v>725572</v>
      </c>
      <c r="FD18">
        <f>ROUND(IF(FC18&gt;0,IF(FC18&gt;500000,12500,(FC18-250000)*0.05),0),0)</f>
        <v>12500</v>
      </c>
      <c r="FE18">
        <f>IF(ROUND(IF(FC18&gt;0,IF(FC18&gt;1000000,25000,(FC18-500000)*0.2),0),0)&lt;0,0,ROUND(IF(FC18&gt;0,IF(FC18&gt;1000000,25000,(FC18-500000)*0.2),0),0))</f>
        <v>45114</v>
      </c>
      <c r="FF18">
        <f>FD18+FE18</f>
        <v>57614</v>
      </c>
      <c r="FG18">
        <f>IF(FF18&lt;12500,0,FF18)</f>
        <v>57614</v>
      </c>
      <c r="FH18">
        <f>FG18*0.04</f>
        <v>2304.56</v>
      </c>
      <c r="FI18">
        <f>ROUND(FH18+FG18,0)</f>
        <v>59919</v>
      </c>
      <c r="FJ18">
        <v>0</v>
      </c>
      <c r="FK18">
        <f>FI18-FJ18</f>
        <v>59919</v>
      </c>
      <c r="FL18" t="b">
        <f>IF(EA18&gt;500000,TRUE,FALSE)</f>
        <v>1</v>
      </c>
      <c r="FM18">
        <f ca="1">IF(FL18,RANDBETWEEN(500,1000),RANDBETWEEN(1000,3000))</f>
        <v>877</v>
      </c>
      <c r="FN18">
        <f ca="1">EA18+FM18</f>
        <v>839569</v>
      </c>
      <c r="FO18">
        <f>IF(EA18&gt;0,75000,0)</f>
        <v>75000</v>
      </c>
      <c r="FP18">
        <f ca="1">FN18-FO18</f>
        <v>764569</v>
      </c>
      <c r="FQ18">
        <f ca="1">IF(FP18&gt;2400000,FP18-2400000,0)</f>
        <v>0</v>
      </c>
      <c r="FR18">
        <f ca="1">FQ18*0.3</f>
        <v>0</v>
      </c>
      <c r="FS18">
        <f ca="1">IF(FP18&gt;2000000,FP18-2000000,0)</f>
        <v>0</v>
      </c>
      <c r="FT18">
        <f ca="1">FS18*0.25</f>
        <v>0</v>
      </c>
      <c r="FU18">
        <f ca="1">IF(FP18&gt;1600000,FP18-1600000-FQ18,0)</f>
        <v>0</v>
      </c>
      <c r="FV18">
        <f ca="1">FU18*0.2</f>
        <v>0</v>
      </c>
      <c r="FW18">
        <f ca="1">IF(FP18&gt;1200000,FP18-1200000-IF(F18="YES",50000,0)-FU18,0)</f>
        <v>0</v>
      </c>
      <c r="FX18">
        <f ca="1">FW18*0.15</f>
        <v>0</v>
      </c>
      <c r="FY18">
        <f ca="1">IF(FP18&gt;800000,FP18-800000-FQ18-FU18-FW18,0)</f>
        <v>0</v>
      </c>
      <c r="FZ18">
        <f ca="1">FY18*0.1</f>
        <v>0</v>
      </c>
      <c r="GA18">
        <f ca="1">IF(FP18&gt;400000,FP18-400000-FQ18-FU18-FW18-FY18,0)</f>
        <v>364569</v>
      </c>
      <c r="GB18">
        <f ca="1">GA18*0.05</f>
        <v>18228.45</v>
      </c>
      <c r="GC18">
        <f ca="1">ROUND(FR18+FT18+FV18+FX18+FZ18+GB18,0)</f>
        <v>18228</v>
      </c>
      <c r="GD18">
        <f ca="1">IF(FP18&gt;1200000,FP18,0)</f>
        <v>0</v>
      </c>
      <c r="GE18">
        <f ca="1">IF(FP18&gt;1200000,GD18-1200000,0)</f>
        <v>0</v>
      </c>
      <c r="GF18">
        <f ca="1">IF(FP18&lt;1200001,MIN(GC18,60000),0)</f>
        <v>18228</v>
      </c>
      <c r="GG18">
        <f ca="1">IF(FP18&gt;1200000,GC18-GE18,0)</f>
        <v>0</v>
      </c>
      <c r="GH18" t="b">
        <f ca="1">IF(GG18&gt;0,TRUE,FALSE)</f>
        <v>0</v>
      </c>
      <c r="GI18">
        <f ca="1">IF(GH18,GG18,0)</f>
        <v>0</v>
      </c>
      <c r="GJ18">
        <f ca="1">GF18+GI18</f>
        <v>18228</v>
      </c>
      <c r="GK18">
        <f ca="1">ROUND(GC18-GJ18,0)</f>
        <v>0</v>
      </c>
      <c r="GL18">
        <f ca="1">GK18*0.04</f>
        <v>0</v>
      </c>
      <c r="GM18">
        <f ca="1">ROUNDUP(GK18+GL18,0)</f>
        <v>0</v>
      </c>
    </row>
    <row r="19" spans="1:195" x14ac:dyDescent="0.25">
      <c r="A19">
        <f>_xlfn.AGGREGATE(3,5,$B$2:B19)</f>
        <v>18</v>
      </c>
      <c r="B19" t="s">
        <v>158</v>
      </c>
      <c r="C19" t="s">
        <v>159</v>
      </c>
      <c r="D19" t="s">
        <v>755</v>
      </c>
      <c r="E19" t="s">
        <v>833</v>
      </c>
      <c r="F19" t="s">
        <v>959</v>
      </c>
      <c r="G19" t="s">
        <v>888</v>
      </c>
      <c r="H19">
        <f>IF(_xlfn.DAYS("31-03-2025",G19)&gt;=180,6800,0)</f>
        <v>6800</v>
      </c>
      <c r="I19">
        <f>_xlfn.XLOOKUP(B19,'[1]march-2025'!$A:$A,'[1]march-2025'!$J:$J,0,0)</f>
        <v>0</v>
      </c>
      <c r="J19">
        <f>_xlfn.XLOOKUP(B19,'[1]march-2025'!$A:$A,'[1]march-2025'!$C:$C,0,0)</f>
        <v>33500</v>
      </c>
      <c r="K19">
        <f>J19*0.14</f>
        <v>4690</v>
      </c>
      <c r="L19">
        <f>J19*0.12</f>
        <v>4020</v>
      </c>
      <c r="M19">
        <f>_xlfn.XLOOKUP(B19,'[1]march-2025'!$A:$A,'[1]march-2025'!$D:$D,0,0)</f>
        <v>0</v>
      </c>
      <c r="N19">
        <f>_xlfn.XLOOKUP(B19,'[1]march-2025'!$A:$A,'[1]march-2025'!$G:$G,0,0)</f>
        <v>500</v>
      </c>
      <c r="O19">
        <f>IF(J19&gt;0,SUM(J19:N19),0)</f>
        <v>42710</v>
      </c>
      <c r="P19">
        <f>_xlfn.XLOOKUP(B19,'[1]march-2025'!$A:$A,'[1]march-2025'!$H:$H,0,0)</f>
        <v>5000</v>
      </c>
      <c r="Q19">
        <f>_xlfn.XLOOKUP(B19,'[1]march-2025'!$A:$A,'[1]march-2025'!$I:$I,0,0)</f>
        <v>0</v>
      </c>
      <c r="R19">
        <f>IF($F19="YES",0,IF(O19&gt;40000,200,IF(O19&gt;25000,150,IF(O19&gt;15000,130,IF(O19&gt;10000,110,0)))))</f>
        <v>200</v>
      </c>
      <c r="S19">
        <f>O19-P19-Q19-R19</f>
        <v>37510</v>
      </c>
      <c r="T19">
        <f>_xlfn.XLOOKUP(B19,'[2]april-2025'!$A:$A,'[2]april-2025'!$C:$C,0,0)</f>
        <v>33500</v>
      </c>
      <c r="U19">
        <f>T19*0.18</f>
        <v>6030</v>
      </c>
      <c r="V19">
        <f>T19*0.12</f>
        <v>4020</v>
      </c>
      <c r="W19">
        <f>_xlfn.XLOOKUP(B19,'[2]april-2025'!$A:$A,'[2]april-2025'!$D:$D,0,0)</f>
        <v>0</v>
      </c>
      <c r="X19">
        <f>_xlfn.XLOOKUP(B19,'[2]april-2025'!$A:$A,'[2]april-2025'!$G:$G,0,0)</f>
        <v>500</v>
      </c>
      <c r="Y19">
        <f>IF(T19&gt;0,SUM(T19:X19),0)</f>
        <v>44050</v>
      </c>
      <c r="Z19">
        <f>_xlfn.XLOOKUP(B19,'[2]april-2025'!$A:$A,'[2]april-2025'!$H:$H,0,0)</f>
        <v>5000</v>
      </c>
      <c r="AA19">
        <f>_xlfn.XLOOKUP(B19,'[2]april-2025'!$A:$A,'[2]april-2025'!$I:$I,0,0)</f>
        <v>0</v>
      </c>
      <c r="AB19">
        <f>IF($F19="YES",0,IF(Y19&gt;40000,200,IF(Y19&gt;25000,150,IF(Y19&gt;15000,130,IF(Y19&gt;10000,110,0)))))</f>
        <v>200</v>
      </c>
      <c r="AC19">
        <f>Y19-Z19-AA19-AB19</f>
        <v>38850</v>
      </c>
      <c r="AD19">
        <f>_xlfn.XLOOKUP(B19,'[3]may-2025'!$A:$A,'[3]may-2025'!$C:$C,0,0)</f>
        <v>33500</v>
      </c>
      <c r="AE19">
        <f>AD19*0.18</f>
        <v>6030</v>
      </c>
      <c r="AF19">
        <f>AD19*0.12</f>
        <v>4020</v>
      </c>
      <c r="AG19">
        <f>_xlfn.XLOOKUP(B19,'[3]may-2025'!$A:$A,'[3]may-2025'!$D:$D,0,0)</f>
        <v>0</v>
      </c>
      <c r="AH19">
        <f>_xlfn.XLOOKUP(B19,'[3]may-2025'!$A:$A,'[3]may-2025'!$G:$G,0,0)</f>
        <v>500</v>
      </c>
      <c r="AI19">
        <f>IF(AD19&gt;0,SUM(AD19:AH19),0)</f>
        <v>44050</v>
      </c>
      <c r="AJ19">
        <f>_xlfn.XLOOKUP(B19,'[3]may-2025'!$A:$A,'[3]may-2025'!$H:$H,0,0)</f>
        <v>5000</v>
      </c>
      <c r="AK19">
        <f>_xlfn.XLOOKUP(B19,'[3]may-2025'!$A:$A,'[3]may-2025'!$I:$I,0,0)</f>
        <v>0</v>
      </c>
      <c r="AL19">
        <f>IF($F19="YES",0,IF(AI19&gt;40000,200,IF(AI19&gt;25000,150,IF(AI19&gt;15000,130,IF(AI19&gt;10000,110,0)))))</f>
        <v>200</v>
      </c>
      <c r="AM19">
        <f>AI19-AJ19-AK19-AL19</f>
        <v>38850</v>
      </c>
      <c r="AN19">
        <f>_xlfn.XLOOKUP(B19,'[4]june-2025'!$A:$A,'[4]june-2025'!$C:$C,0,0)</f>
        <v>33500</v>
      </c>
      <c r="AO19">
        <f>AN19*0.18</f>
        <v>6030</v>
      </c>
      <c r="AP19">
        <f>AN19*0.12</f>
        <v>4020</v>
      </c>
      <c r="AQ19">
        <f>_xlfn.XLOOKUP(B19,'[4]june-2025'!$A:$A,'[4]june-2025'!$D:$D,0,0)</f>
        <v>0</v>
      </c>
      <c r="AR19">
        <f>_xlfn.XLOOKUP(B19,'[4]june-2025'!$A:$A,'[4]june-2025'!$G:$G,0,0)</f>
        <v>500</v>
      </c>
      <c r="AS19">
        <f>IF(AN19&gt;0,SUM(AN19:AR19),0)</f>
        <v>44050</v>
      </c>
      <c r="AT19">
        <f>_xlfn.XLOOKUP(B19,'[4]june-2025'!$A:$A,'[4]june-2025'!$H:$H,0,0)</f>
        <v>5000</v>
      </c>
      <c r="AU19">
        <f>_xlfn.XLOOKUP(B19,'[4]june-2025'!$A:$A,'[4]june-2025'!$I:$I,0,0)</f>
        <v>0</v>
      </c>
      <c r="AV19">
        <f>IF($F19="YES",0,IF(AS19&gt;40000,200,IF(AS19&gt;25000,150,IF(AS19&gt;15000,130,IF(AS19&gt;10000,110,0)))))</f>
        <v>200</v>
      </c>
      <c r="AW19">
        <f>AS19-AT19-AU19-AV19</f>
        <v>38850</v>
      </c>
      <c r="AX19">
        <f>_xlfn.XLOOKUP(B19,'[5]july-2025'!$A:$A,'[5]july-2025'!$C:$C,0,0)</f>
        <v>34500</v>
      </c>
      <c r="AY19">
        <f>AX19*0.18</f>
        <v>6210</v>
      </c>
      <c r="AZ19">
        <v>0</v>
      </c>
      <c r="BA19">
        <f>AX19*0.12</f>
        <v>4140</v>
      </c>
      <c r="BB19">
        <f>_xlfn.XLOOKUP(B19,'[5]july-2025'!$A:$A,'[5]july-2025'!$D:$D,0,0)</f>
        <v>0</v>
      </c>
      <c r="BC19">
        <f>_xlfn.XLOOKUP(B19,'[5]july-2025'!$A:$A,'[5]july-2025'!$G:$G,0,0)</f>
        <v>500</v>
      </c>
      <c r="BD19">
        <f>IF(AX19&gt;0,SUM(AX19:BC19),0)</f>
        <v>45350</v>
      </c>
      <c r="BE19">
        <f>_xlfn.XLOOKUP(B19,'[5]july-2025'!$A:$A,'[5]july-2025'!$H:$H,0,0)</f>
        <v>5000</v>
      </c>
      <c r="BF19">
        <f>_xlfn.XLOOKUP(B19,'[5]july-2025'!$A:$A,'[5]july-2025'!$I:$I,0,0)</f>
        <v>0</v>
      </c>
      <c r="BG19">
        <f>IF($F19="YES",0,IF(BD19&gt;40000,200,IF(BD19&gt;25000,150,IF(BD19&gt;15000,130,IF(BD19&gt;10000,110,0)))))</f>
        <v>200</v>
      </c>
      <c r="BH19">
        <f>BD19-BE19-BF19-BG19</f>
        <v>40150</v>
      </c>
      <c r="BI19">
        <f>_xlfn.XLOOKUP(B19,'[6]august-2025'!$A:$A,'[6]august-2025'!$C:$C,0,0)</f>
        <v>34500</v>
      </c>
      <c r="BJ19">
        <f>BI19*0.18</f>
        <v>6210</v>
      </c>
      <c r="BK19">
        <f>BI19*0.12</f>
        <v>4140</v>
      </c>
      <c r="BL19">
        <f>_xlfn.XLOOKUP(B19,'[6]august-2025'!$A:$A,'[6]august-2025'!$D:$D,0,0)</f>
        <v>0</v>
      </c>
      <c r="BM19">
        <f>_xlfn.XLOOKUP(B19,'[6]august-2025'!$A:$A,'[6]august-2025'!$G:$G,0,0)</f>
        <v>500</v>
      </c>
      <c r="BN19">
        <f>IF(BI19&gt;0,SUM(BI19:BM19),0)</f>
        <v>45350</v>
      </c>
      <c r="BO19">
        <f>_xlfn.XLOOKUP(B19,'[6]august-2025'!$A:$A,'[6]august-2025'!$H:$H,0,0)</f>
        <v>5000</v>
      </c>
      <c r="BP19">
        <f>_xlfn.XLOOKUP(B19,'[6]august-2025'!$A:$A,'[6]august-2025'!$I:$I,0,0)</f>
        <v>0</v>
      </c>
      <c r="BQ19">
        <f>IF($F19="YES",0,IF(BN19&gt;40000,200,IF(BN19&gt;25000,150,IF(BN19&gt;15000,130,IF(BN19&gt;10000,110,0)))))</f>
        <v>200</v>
      </c>
      <c r="BR19">
        <f>BN19-BO19-BP19-BQ19</f>
        <v>40150</v>
      </c>
      <c r="BS19">
        <f>_xlfn.XLOOKUP(B19,'[7]september-2025'!$A:$A,'[7]september-2025'!$C:$C,0,0)</f>
        <v>34500</v>
      </c>
      <c r="BT19">
        <f>BS19*0.18</f>
        <v>6210</v>
      </c>
      <c r="BU19">
        <f>BS19*0.12</f>
        <v>4140</v>
      </c>
      <c r="BV19">
        <f>_xlfn.XLOOKUP(B19,'[7]september-2025'!$A:$A,'[7]september-2025'!$D:$D,0,0)</f>
        <v>0</v>
      </c>
      <c r="BW19">
        <f>_xlfn.XLOOKUP(B19,'[7]september-2025'!$A:$A,'[7]september-2025'!$G:$G,0,0)</f>
        <v>500</v>
      </c>
      <c r="BX19">
        <f>IF(BS19&gt;0,SUM(BS19:BW19),0)</f>
        <v>45350</v>
      </c>
      <c r="BY19">
        <f>_xlfn.XLOOKUP(B19,'[7]september-2025'!$A:$A,'[7]september-2025'!$H:$H,0,0)</f>
        <v>5000</v>
      </c>
      <c r="BZ19">
        <f>_xlfn.XLOOKUP(B19,'[7]september-2025'!$A:$A,'[7]september-2025'!$I:$I,0,0)</f>
        <v>0</v>
      </c>
      <c r="CA19">
        <f>IF($F19="YES",0,IF(BX19&gt;40000,200,IF(BX19&gt;25000,150,IF(BX19&gt;15000,130,IF(BX19&gt;10000,110,0)))))</f>
        <v>200</v>
      </c>
      <c r="CB19">
        <f>BX19-BY19-BZ19-CA19</f>
        <v>40150</v>
      </c>
      <c r="CC19">
        <f>_xlfn.XLOOKUP(B19,'[8]october-2025'!$A:$A,'[8]october-2025'!$C:$C,0,0)</f>
        <v>34500</v>
      </c>
      <c r="CD19">
        <f>CC19*0.18</f>
        <v>6210</v>
      </c>
      <c r="CE19">
        <f>CC19*0.12</f>
        <v>4140</v>
      </c>
      <c r="CF19">
        <f>_xlfn.XLOOKUP(B19,'[8]october-2025'!$A:$A,'[8]october-2025'!$D:$D,0,0)</f>
        <v>0</v>
      </c>
      <c r="CG19">
        <f>_xlfn.XLOOKUP(B19,'[8]october-2025'!$A:$A,'[8]october-2025'!$G:$G,0,0)</f>
        <v>500</v>
      </c>
      <c r="CH19">
        <f>IF(CC19&gt;0,SUM(CC19:CG19),0)</f>
        <v>45350</v>
      </c>
      <c r="CI19">
        <f>_xlfn.XLOOKUP(B19,'[8]october-2025'!$A:$A,'[8]october-2025'!$H:$H,0,0)</f>
        <v>5000</v>
      </c>
      <c r="CJ19">
        <f>_xlfn.XLOOKUP(B19,'[8]october-2025'!$A:$A,'[8]october-2025'!$I:$I,0,0)</f>
        <v>0</v>
      </c>
      <c r="CK19">
        <f>IF($F19="YES",0,IF(CH19&gt;40000,200,IF(CH19&gt;25000,150,IF(CH19&gt;15000,130,IF(CH19&gt;10000,110,0)))))</f>
        <v>200</v>
      </c>
      <c r="CL19">
        <f>CH19-CI19-CJ19-CK19</f>
        <v>40150</v>
      </c>
      <c r="CM19">
        <f>_xlfn.XLOOKUP(B19,'[9]november-2025'!$A:$A,'[9]november-2025'!$C:$C,0,0)</f>
        <v>34500</v>
      </c>
      <c r="CN19">
        <f>CM19*0.18</f>
        <v>6210</v>
      </c>
      <c r="CO19">
        <f>CM19*0.12</f>
        <v>4140</v>
      </c>
      <c r="CP19">
        <f>_xlfn.XLOOKUP(B19,'[9]november-2025'!$A:$A,'[9]november-2025'!$D:$D,0,0)</f>
        <v>0</v>
      </c>
      <c r="CQ19">
        <f>_xlfn.XLOOKUP(B19,'[9]november-2025'!$A:$A,'[9]november-2025'!$G:$G,0,0)</f>
        <v>500</v>
      </c>
      <c r="CR19">
        <f>IF(CM19&gt;0,SUM(CM19:CQ19),0)</f>
        <v>45350</v>
      </c>
      <c r="CS19">
        <f>_xlfn.XLOOKUP(B19,'[9]november-2025'!$A:$A,'[9]november-2025'!$H:$H,0,0)</f>
        <v>5000</v>
      </c>
      <c r="CT19">
        <f>_xlfn.XLOOKUP(B19,'[9]november-2025'!$A:$A,'[9]november-2025'!$I:$I,0,0)</f>
        <v>0</v>
      </c>
      <c r="CU19">
        <f>IF($F19="YES",0,IF(CR19&gt;40000,200,IF(CR19&gt;25000,150,IF(CR19&gt;15000,130,IF(CR19&gt;10000,110,0)))))</f>
        <v>200</v>
      </c>
      <c r="CV19">
        <f>CR19-CS19-CT19-CU19</f>
        <v>40150</v>
      </c>
      <c r="CW19">
        <f>_xlfn.XLOOKUP(B19,'[10]december-2025'!$A:$A,'[10]december-2025'!$C:$C,0,0)</f>
        <v>34500</v>
      </c>
      <c r="CX19">
        <f>ROUND(CW19*0.18,0)</f>
        <v>6210</v>
      </c>
      <c r="CY19">
        <f>ROUND(CW19*0.12,0)</f>
        <v>4140</v>
      </c>
      <c r="CZ19">
        <f>_xlfn.XLOOKUP(B19,'[10]december-2025'!$A:$A,'[10]december-2025'!$D:$D,0,0)</f>
        <v>0</v>
      </c>
      <c r="DA19">
        <f>_xlfn.XLOOKUP(B19,'[10]december-2025'!$A:$A,'[10]december-2025'!$G:$G,0,0)</f>
        <v>500</v>
      </c>
      <c r="DB19">
        <f>IF(CW19&gt;0,SUM(CW19:DA19),0)</f>
        <v>45350</v>
      </c>
      <c r="DC19">
        <f>_xlfn.XLOOKUP(B19,'[10]december-2025'!$A:$A,'[10]december-2025'!$H:$H,0,0)</f>
        <v>5000</v>
      </c>
      <c r="DD19">
        <f>_xlfn.XLOOKUP(B19,'[10]december-2025'!$A:$A,'[10]december-2025'!$I:$I,0,0)</f>
        <v>0</v>
      </c>
      <c r="DE19">
        <f>IF($F19="YES",0,IF(DB19&gt;40000,200,IF(DB19&gt;25000,150,IF(DB19&gt;15000,130,IF(DB19&gt;10000,110,0)))))</f>
        <v>200</v>
      </c>
      <c r="DF19">
        <f>DB19-DC19-DD19-DE19</f>
        <v>40150</v>
      </c>
      <c r="DG19">
        <f>_xlfn.XLOOKUP(B19,'[11]january-2026'!$A:$A,'[11]january-2026'!$C:$C,0,0)</f>
        <v>34500</v>
      </c>
      <c r="DH19">
        <f>DG19*0.18</f>
        <v>6210</v>
      </c>
      <c r="DI19">
        <f>DG19*0.12</f>
        <v>4140</v>
      </c>
      <c r="DJ19">
        <f>_xlfn.XLOOKUP(B19,'[11]january-2026'!$A:$A,'[11]january-2026'!$D:$D,0,0)</f>
        <v>0</v>
      </c>
      <c r="DK19">
        <f>_xlfn.XLOOKUP(B19,'[11]january-2026'!$A:$A,'[11]january-2026'!$G:$G,0,0)</f>
        <v>500</v>
      </c>
      <c r="DL19">
        <f>IF(DG19&gt;0,SUM(DG19:DK19),0)</f>
        <v>45350</v>
      </c>
      <c r="DM19">
        <f>_xlfn.XLOOKUP(B19,'[11]january-2026'!$A:$A,'[11]january-2026'!$H:$H,0,0)</f>
        <v>5000</v>
      </c>
      <c r="DN19">
        <f>_xlfn.XLOOKUP(B19,'[11]january-2026'!$A:$A,'[11]january-2026'!$I:$I,0,0)</f>
        <v>0</v>
      </c>
      <c r="DO19">
        <f>IF($F19="YES",0,IF(DL19&gt;40000,200,IF(DL19&gt;25000,150,IF(DL19&gt;15000,130,IF(DL19&gt;10000,110,0)))))</f>
        <v>200</v>
      </c>
      <c r="DP19">
        <f>DL19-DM19-DN19-DO19</f>
        <v>40150</v>
      </c>
      <c r="DQ19">
        <f>_xlfn.XLOOKUP(B19,'[12]february-2026'!$A:$A,'[12]february-2026'!$C:$C,0,0)</f>
        <v>34500</v>
      </c>
      <c r="DR19">
        <f>DQ19*0.18</f>
        <v>6210</v>
      </c>
      <c r="DS19">
        <f>DQ19*0.12</f>
        <v>4140</v>
      </c>
      <c r="DT19">
        <f>_xlfn.XLOOKUP(B19,'[12]february-2026'!$A:$A,'[12]february-2026'!$D:$D,0,0)</f>
        <v>0</v>
      </c>
      <c r="DU19">
        <f>_xlfn.XLOOKUP(B19,'[12]february-2026'!$A:$A,'[12]february-2026'!$G:$G,0,0)</f>
        <v>500</v>
      </c>
      <c r="DV19">
        <f>IF(DQ19&gt;0,SUM(DQ19:DU19),0)</f>
        <v>45350</v>
      </c>
      <c r="DW19">
        <f>_xlfn.XLOOKUP(B19,'[12]february-2026'!$A:$A,'[12]february-2026'!$H:$H,0,0)</f>
        <v>5000</v>
      </c>
      <c r="DX19">
        <f>_xlfn.XLOOKUP(B19,'[12]february-2026'!$A:$A,'[12]february-2026'!$I:$I,0,0)</f>
        <v>0</v>
      </c>
      <c r="DY19">
        <f>IF($F19="YES",0,IF(DV19&gt;40000,200,IF(DV19&gt;25000,150,IF(DV19&gt;15000,130,IF(DV19&gt;10000,110,0)))))</f>
        <v>200</v>
      </c>
      <c r="DZ19">
        <f>DV19-DW19-DX19-DY19</f>
        <v>40150</v>
      </c>
      <c r="EA19">
        <f>DV19+DL19+DB19+CR19+CH19+BX19+BN19+BD19+AS19+AI19+Y19+O19+H19+I19</f>
        <v>544460</v>
      </c>
      <c r="EB19">
        <f>DY19+DO19+DE19+CU19+CK19+CA19+BQ19+BG19+AV19+AL19+AB19+R19</f>
        <v>2400</v>
      </c>
      <c r="EC19">
        <f>IF(EA19&gt;0,50000,0)</f>
        <v>50000</v>
      </c>
      <c r="ED19">
        <v>0</v>
      </c>
      <c r="EE19">
        <f>EA19-EB19-EC19</f>
        <v>492060</v>
      </c>
      <c r="EF19">
        <f>DW19+DM19+DC19+CS19+CI19+BY19+BO19+BE19+AT19+AJ19+Z19+P19</f>
        <v>60000</v>
      </c>
      <c r="EG19">
        <f>DX19+DN19+DD19+CT19+CJ19+BZ19+BP19+BF19+AU19+AK19+AA19+Q19</f>
        <v>0</v>
      </c>
      <c r="EH19">
        <v>0</v>
      </c>
      <c r="EI19">
        <v>0</v>
      </c>
      <c r="EJ19">
        <v>0</v>
      </c>
      <c r="EK19">
        <v>0</v>
      </c>
      <c r="EL19">
        <v>0</v>
      </c>
      <c r="EM19">
        <v>0</v>
      </c>
      <c r="EN19">
        <v>0</v>
      </c>
      <c r="EO19">
        <v>0</v>
      </c>
      <c r="EP19">
        <v>0</v>
      </c>
      <c r="EQ19">
        <v>0</v>
      </c>
      <c r="ER19">
        <f>SUM(EF19:EQ19)</f>
        <v>60000</v>
      </c>
      <c r="ES19">
        <f>IF(ER19&gt;=150000,150000,ER19)</f>
        <v>60000</v>
      </c>
      <c r="ET19">
        <f>EE19-ES19</f>
        <v>432060</v>
      </c>
      <c r="EU19">
        <v>0</v>
      </c>
      <c r="EV19">
        <v>0</v>
      </c>
      <c r="EW19">
        <v>0</v>
      </c>
      <c r="EX19">
        <v>0</v>
      </c>
      <c r="EY19">
        <v>0</v>
      </c>
      <c r="EZ19">
        <v>0</v>
      </c>
      <c r="FA19">
        <v>0</v>
      </c>
      <c r="FB19">
        <f>SUM(EU19:FA19)+(IF(F19="YES",50000,0))</f>
        <v>0</v>
      </c>
      <c r="FC19">
        <f>ET19-FB19</f>
        <v>432060</v>
      </c>
      <c r="FD19">
        <f>ROUND(IF(FC19&gt;0,IF(FC19&gt;500000,12500,(FC19-250000)*0.05),0),0)</f>
        <v>9103</v>
      </c>
      <c r="FE19">
        <f>IF(ROUND(IF(FC19&gt;0,IF(FC19&gt;1000000,25000,(FC19-500000)*0.2),0),0)&lt;0,0,ROUND(IF(FC19&gt;0,IF(FC19&gt;1000000,25000,(FC19-500000)*0.2),0),0))</f>
        <v>0</v>
      </c>
      <c r="FF19">
        <f>FD19+FE19</f>
        <v>9103</v>
      </c>
      <c r="FG19">
        <f>IF(FF19&lt;12500,0,FF19)</f>
        <v>0</v>
      </c>
      <c r="FH19">
        <f>FG19*0.04</f>
        <v>0</v>
      </c>
      <c r="FI19">
        <f>ROUND(FH19+FG19,0)</f>
        <v>0</v>
      </c>
      <c r="FJ19">
        <v>0</v>
      </c>
      <c r="FK19">
        <f>FI19-FJ19</f>
        <v>0</v>
      </c>
      <c r="FL19" t="b">
        <f>IF(EA19&gt;500000,TRUE,FALSE)</f>
        <v>1</v>
      </c>
      <c r="FM19">
        <f ca="1">IF(FL19,RANDBETWEEN(500,1000),RANDBETWEEN(1000,3000))</f>
        <v>762</v>
      </c>
      <c r="FN19">
        <f ca="1">EA19+FM19</f>
        <v>545222</v>
      </c>
      <c r="FO19">
        <f>IF(EA19&gt;0,75000,0)</f>
        <v>75000</v>
      </c>
      <c r="FP19">
        <f ca="1">FN19-FO19</f>
        <v>470222</v>
      </c>
      <c r="FQ19">
        <f ca="1">IF(FP19&gt;2400000,FP19-2400000,0)</f>
        <v>0</v>
      </c>
      <c r="FR19">
        <f ca="1">FQ19*0.3</f>
        <v>0</v>
      </c>
      <c r="FS19">
        <f ca="1">IF(FP19&gt;2000000,FP19-2000000,0)</f>
        <v>0</v>
      </c>
      <c r="FT19">
        <f ca="1">FS19*0.25</f>
        <v>0</v>
      </c>
      <c r="FU19">
        <f ca="1">IF(FP19&gt;1600000,FP19-1600000-FQ19,0)</f>
        <v>0</v>
      </c>
      <c r="FV19">
        <f ca="1">FU19*0.2</f>
        <v>0</v>
      </c>
      <c r="FW19">
        <f ca="1">IF(FP19&gt;1200000,FP19-1200000-IF(F19="YES",50000,0)-FU19,0)</f>
        <v>0</v>
      </c>
      <c r="FX19">
        <f ca="1">FW19*0.15</f>
        <v>0</v>
      </c>
      <c r="FY19">
        <f ca="1">IF(FP19&gt;800000,FP19-800000-FQ19-FU19-FW19,0)</f>
        <v>0</v>
      </c>
      <c r="FZ19">
        <f ca="1">FY19*0.1</f>
        <v>0</v>
      </c>
      <c r="GA19">
        <f ca="1">IF(FP19&gt;400000,FP19-400000-FQ19-FU19-FW19-FY19,0)</f>
        <v>70222</v>
      </c>
      <c r="GB19">
        <f ca="1">GA19*0.05</f>
        <v>3511.1000000000004</v>
      </c>
      <c r="GC19">
        <f ca="1">ROUND(FR19+FT19+FV19+FX19+FZ19+GB19,0)</f>
        <v>3511</v>
      </c>
      <c r="GD19">
        <f ca="1">IF(FP19&gt;1200000,FP19,0)</f>
        <v>0</v>
      </c>
      <c r="GE19">
        <f ca="1">IF(FP19&gt;1200000,GD19-1200000,0)</f>
        <v>0</v>
      </c>
      <c r="GF19">
        <f ca="1">IF(FP19&lt;1200001,MIN(GC19,60000),0)</f>
        <v>3511</v>
      </c>
      <c r="GG19">
        <f ca="1">IF(FP19&gt;1200000,GC19-GE19,0)</f>
        <v>0</v>
      </c>
      <c r="GH19" t="b">
        <f ca="1">IF(GG19&gt;0,TRUE,FALSE)</f>
        <v>0</v>
      </c>
      <c r="GI19">
        <f ca="1">IF(GH19,GG19,0)</f>
        <v>0</v>
      </c>
      <c r="GJ19">
        <f ca="1">GF19+GI19</f>
        <v>3511</v>
      </c>
      <c r="GK19">
        <f ca="1">ROUND(GC19-GJ19,0)</f>
        <v>0</v>
      </c>
      <c r="GL19">
        <f ca="1">GK19*0.04</f>
        <v>0</v>
      </c>
      <c r="GM19">
        <f ca="1">ROUNDUP(GK19+GL19,0)</f>
        <v>0</v>
      </c>
    </row>
    <row r="20" spans="1:195" x14ac:dyDescent="0.25">
      <c r="A20">
        <f>_xlfn.AGGREGATE(3,5,$B$2:B20)</f>
        <v>19</v>
      </c>
      <c r="B20" t="s">
        <v>160</v>
      </c>
      <c r="C20" t="s">
        <v>161</v>
      </c>
      <c r="D20" t="s">
        <v>755</v>
      </c>
      <c r="E20" t="s">
        <v>833</v>
      </c>
      <c r="F20" t="s">
        <v>959</v>
      </c>
      <c r="G20" t="s">
        <v>883</v>
      </c>
      <c r="H20">
        <f>IF(_xlfn.DAYS("31-03-2025",G20)&gt;=180,6800,0)</f>
        <v>6800</v>
      </c>
      <c r="I20">
        <f>_xlfn.XLOOKUP(B20,'[1]march-2025'!$A:$A,'[1]march-2025'!$J:$J,0,0)</f>
        <v>0</v>
      </c>
      <c r="J20">
        <f>_xlfn.XLOOKUP(B20,'[1]march-2025'!$A:$A,'[1]march-2025'!$C:$C,0,0)</f>
        <v>28900</v>
      </c>
      <c r="K20">
        <f>J20*0.14</f>
        <v>4046.0000000000005</v>
      </c>
      <c r="L20">
        <f>J20*0.12</f>
        <v>3468</v>
      </c>
      <c r="M20">
        <f>_xlfn.XLOOKUP(B20,'[1]march-2025'!$A:$A,'[1]march-2025'!$D:$D,0,0)</f>
        <v>0</v>
      </c>
      <c r="N20">
        <f>_xlfn.XLOOKUP(B20,'[1]march-2025'!$A:$A,'[1]march-2025'!$G:$G,0,0)</f>
        <v>500</v>
      </c>
      <c r="O20">
        <f>IF(J20&gt;0,SUM(J20:N20),0)</f>
        <v>36914</v>
      </c>
      <c r="P20">
        <f>_xlfn.XLOOKUP(B20,'[1]march-2025'!$A:$A,'[1]march-2025'!$H:$H,0,0)</f>
        <v>2000</v>
      </c>
      <c r="Q20">
        <f>_xlfn.XLOOKUP(B20,'[1]march-2025'!$A:$A,'[1]march-2025'!$I:$I,0,0)</f>
        <v>0</v>
      </c>
      <c r="R20">
        <f>IF($F20="YES",0,IF(O20&gt;40000,200,IF(O20&gt;25000,150,IF(O20&gt;15000,130,IF(O20&gt;10000,110,0)))))</f>
        <v>150</v>
      </c>
      <c r="S20">
        <f>O20-P20-Q20-R20</f>
        <v>34764</v>
      </c>
      <c r="T20">
        <f>_xlfn.XLOOKUP(B20,'[2]april-2025'!$A:$A,'[2]april-2025'!$C:$C,0,0)</f>
        <v>28900</v>
      </c>
      <c r="U20">
        <f>T20*0.18</f>
        <v>5202</v>
      </c>
      <c r="V20">
        <f>T20*0.12</f>
        <v>3468</v>
      </c>
      <c r="W20">
        <f>_xlfn.XLOOKUP(B20,'[2]april-2025'!$A:$A,'[2]april-2025'!$D:$D,0,0)</f>
        <v>0</v>
      </c>
      <c r="X20">
        <f>_xlfn.XLOOKUP(B20,'[2]april-2025'!$A:$A,'[2]april-2025'!$G:$G,0,0)</f>
        <v>500</v>
      </c>
      <c r="Y20">
        <f>IF(T20&gt;0,SUM(T20:X20),0)</f>
        <v>38070</v>
      </c>
      <c r="Z20">
        <f>_xlfn.XLOOKUP(B20,'[2]april-2025'!$A:$A,'[2]april-2025'!$H:$H,0,0)</f>
        <v>2000</v>
      </c>
      <c r="AA20">
        <f>_xlfn.XLOOKUP(B20,'[2]april-2025'!$A:$A,'[2]april-2025'!$I:$I,0,0)</f>
        <v>0</v>
      </c>
      <c r="AB20">
        <f>IF($F20="YES",0,IF(Y20&gt;40000,200,IF(Y20&gt;25000,150,IF(Y20&gt;15000,130,IF(Y20&gt;10000,110,0)))))</f>
        <v>150</v>
      </c>
      <c r="AC20">
        <f>Y20-Z20-AA20-AB20</f>
        <v>35920</v>
      </c>
      <c r="AD20">
        <f>_xlfn.XLOOKUP(B20,'[3]may-2025'!$A:$A,'[3]may-2025'!$C:$C,0,0)</f>
        <v>28900</v>
      </c>
      <c r="AE20">
        <f>AD20*0.18</f>
        <v>5202</v>
      </c>
      <c r="AF20">
        <f>AD20*0.12</f>
        <v>3468</v>
      </c>
      <c r="AG20">
        <f>_xlfn.XLOOKUP(B20,'[3]may-2025'!$A:$A,'[3]may-2025'!$D:$D,0,0)</f>
        <v>0</v>
      </c>
      <c r="AH20">
        <f>_xlfn.XLOOKUP(B20,'[3]may-2025'!$A:$A,'[3]may-2025'!$G:$G,0,0)</f>
        <v>500</v>
      </c>
      <c r="AI20">
        <f>IF(AD20&gt;0,SUM(AD20:AH20),0)</f>
        <v>38070</v>
      </c>
      <c r="AJ20">
        <f>_xlfn.XLOOKUP(B20,'[3]may-2025'!$A:$A,'[3]may-2025'!$H:$H,0,0)</f>
        <v>2000</v>
      </c>
      <c r="AK20">
        <f>_xlfn.XLOOKUP(B20,'[3]may-2025'!$A:$A,'[3]may-2025'!$I:$I,0,0)</f>
        <v>0</v>
      </c>
      <c r="AL20">
        <f>IF($F20="YES",0,IF(AI20&gt;40000,200,IF(AI20&gt;25000,150,IF(AI20&gt;15000,130,IF(AI20&gt;10000,110,0)))))</f>
        <v>150</v>
      </c>
      <c r="AM20">
        <f>AI20-AJ20-AK20-AL20</f>
        <v>35920</v>
      </c>
      <c r="AN20">
        <f>_xlfn.XLOOKUP(B20,'[4]june-2025'!$A:$A,'[4]june-2025'!$C:$C,0,0)</f>
        <v>28900</v>
      </c>
      <c r="AO20">
        <f>AN20*0.18</f>
        <v>5202</v>
      </c>
      <c r="AP20">
        <f>AN20*0.12</f>
        <v>3468</v>
      </c>
      <c r="AQ20">
        <f>_xlfn.XLOOKUP(B20,'[4]june-2025'!$A:$A,'[4]june-2025'!$D:$D,0,0)</f>
        <v>0</v>
      </c>
      <c r="AR20">
        <f>_xlfn.XLOOKUP(B20,'[4]june-2025'!$A:$A,'[4]june-2025'!$G:$G,0,0)</f>
        <v>500</v>
      </c>
      <c r="AS20">
        <f>IF(AN20&gt;0,SUM(AN20:AR20),0)</f>
        <v>38070</v>
      </c>
      <c r="AT20">
        <f>_xlfn.XLOOKUP(B20,'[4]june-2025'!$A:$A,'[4]june-2025'!$H:$H,0,0)</f>
        <v>2000</v>
      </c>
      <c r="AU20">
        <f>_xlfn.XLOOKUP(B20,'[4]june-2025'!$A:$A,'[4]june-2025'!$I:$I,0,0)</f>
        <v>0</v>
      </c>
      <c r="AV20">
        <f>IF($F20="YES",0,IF(AS20&gt;40000,200,IF(AS20&gt;25000,150,IF(AS20&gt;15000,130,IF(AS20&gt;10000,110,0)))))</f>
        <v>150</v>
      </c>
      <c r="AW20">
        <f>AS20-AT20-AU20-AV20</f>
        <v>35920</v>
      </c>
      <c r="AX20">
        <f>_xlfn.XLOOKUP(B20,'[5]july-2025'!$A:$A,'[5]july-2025'!$C:$C,0,0)</f>
        <v>29800</v>
      </c>
      <c r="AY20">
        <f>AX20*0.18</f>
        <v>5364</v>
      </c>
      <c r="AZ20">
        <v>0</v>
      </c>
      <c r="BA20">
        <f>AX20*0.12</f>
        <v>3576</v>
      </c>
      <c r="BB20">
        <f>_xlfn.XLOOKUP(B20,'[5]july-2025'!$A:$A,'[5]july-2025'!$D:$D,0,0)</f>
        <v>0</v>
      </c>
      <c r="BC20">
        <f>_xlfn.XLOOKUP(B20,'[5]july-2025'!$A:$A,'[5]july-2025'!$G:$G,0,0)</f>
        <v>500</v>
      </c>
      <c r="BD20">
        <f>IF(AX20&gt;0,SUM(AX20:BC20),0)</f>
        <v>39240</v>
      </c>
      <c r="BE20">
        <f>_xlfn.XLOOKUP(B20,'[5]july-2025'!$A:$A,'[5]july-2025'!$H:$H,0,0)</f>
        <v>2000</v>
      </c>
      <c r="BF20">
        <f>_xlfn.XLOOKUP(B20,'[5]july-2025'!$A:$A,'[5]july-2025'!$I:$I,0,0)</f>
        <v>0</v>
      </c>
      <c r="BG20">
        <f>IF($F20="YES",0,IF(BD20&gt;40000,200,IF(BD20&gt;25000,150,IF(BD20&gt;15000,130,IF(BD20&gt;10000,110,0)))))</f>
        <v>150</v>
      </c>
      <c r="BH20">
        <f>BD20-BE20-BF20-BG20</f>
        <v>37090</v>
      </c>
      <c r="BI20">
        <f>_xlfn.XLOOKUP(B20,'[6]august-2025'!$A:$A,'[6]august-2025'!$C:$C,0,0)</f>
        <v>29800</v>
      </c>
      <c r="BJ20">
        <f>BI20*0.18</f>
        <v>5364</v>
      </c>
      <c r="BK20">
        <f>BI20*0.12</f>
        <v>3576</v>
      </c>
      <c r="BL20">
        <f>_xlfn.XLOOKUP(B20,'[6]august-2025'!$A:$A,'[6]august-2025'!$D:$D,0,0)</f>
        <v>0</v>
      </c>
      <c r="BM20">
        <f>_xlfn.XLOOKUP(B20,'[6]august-2025'!$A:$A,'[6]august-2025'!$G:$G,0,0)</f>
        <v>500</v>
      </c>
      <c r="BN20">
        <f>IF(BI20&gt;0,SUM(BI20:BM20),0)</f>
        <v>39240</v>
      </c>
      <c r="BO20">
        <f>_xlfn.XLOOKUP(B20,'[6]august-2025'!$A:$A,'[6]august-2025'!$H:$H,0,0)</f>
        <v>2000</v>
      </c>
      <c r="BP20">
        <f>_xlfn.XLOOKUP(B20,'[6]august-2025'!$A:$A,'[6]august-2025'!$I:$I,0,0)</f>
        <v>0</v>
      </c>
      <c r="BQ20">
        <f>IF($F20="YES",0,IF(BN20&gt;40000,200,IF(BN20&gt;25000,150,IF(BN20&gt;15000,130,IF(BN20&gt;10000,110,0)))))</f>
        <v>150</v>
      </c>
      <c r="BR20">
        <f>BN20-BO20-BP20-BQ20</f>
        <v>37090</v>
      </c>
      <c r="BS20">
        <f>_xlfn.XLOOKUP(B20,'[7]september-2025'!$A:$A,'[7]september-2025'!$C:$C,0,0)</f>
        <v>29800</v>
      </c>
      <c r="BT20">
        <f>BS20*0.18</f>
        <v>5364</v>
      </c>
      <c r="BU20">
        <f>BS20*0.12</f>
        <v>3576</v>
      </c>
      <c r="BV20">
        <f>_xlfn.XLOOKUP(B20,'[7]september-2025'!$A:$A,'[7]september-2025'!$D:$D,0,0)</f>
        <v>0</v>
      </c>
      <c r="BW20">
        <f>_xlfn.XLOOKUP(B20,'[7]september-2025'!$A:$A,'[7]september-2025'!$G:$G,0,0)</f>
        <v>500</v>
      </c>
      <c r="BX20">
        <f>IF(BS20&gt;0,SUM(BS20:BW20),0)</f>
        <v>39240</v>
      </c>
      <c r="BY20">
        <f>_xlfn.XLOOKUP(B20,'[7]september-2025'!$A:$A,'[7]september-2025'!$H:$H,0,0)</f>
        <v>2000</v>
      </c>
      <c r="BZ20">
        <f>_xlfn.XLOOKUP(B20,'[7]september-2025'!$A:$A,'[7]september-2025'!$I:$I,0,0)</f>
        <v>0</v>
      </c>
      <c r="CA20">
        <f>IF($F20="YES",0,IF(BX20&gt;40000,200,IF(BX20&gt;25000,150,IF(BX20&gt;15000,130,IF(BX20&gt;10000,110,0)))))</f>
        <v>150</v>
      </c>
      <c r="CB20">
        <f>BX20-BY20-BZ20-CA20</f>
        <v>37090</v>
      </c>
      <c r="CC20">
        <f>_xlfn.XLOOKUP(B20,'[8]october-2025'!$A:$A,'[8]october-2025'!$C:$C,0,0)</f>
        <v>29800</v>
      </c>
      <c r="CD20">
        <f>CC20*0.18</f>
        <v>5364</v>
      </c>
      <c r="CE20">
        <f>CC20*0.12</f>
        <v>3576</v>
      </c>
      <c r="CF20">
        <f>_xlfn.XLOOKUP(B20,'[8]october-2025'!$A:$A,'[8]october-2025'!$D:$D,0,0)</f>
        <v>0</v>
      </c>
      <c r="CG20">
        <f>_xlfn.XLOOKUP(B20,'[8]october-2025'!$A:$A,'[8]october-2025'!$G:$G,0,0)</f>
        <v>500</v>
      </c>
      <c r="CH20">
        <f>IF(CC20&gt;0,SUM(CC20:CG20),0)</f>
        <v>39240</v>
      </c>
      <c r="CI20">
        <f>_xlfn.XLOOKUP(B20,'[8]october-2025'!$A:$A,'[8]october-2025'!$H:$H,0,0)</f>
        <v>2000</v>
      </c>
      <c r="CJ20">
        <f>_xlfn.XLOOKUP(B20,'[8]october-2025'!$A:$A,'[8]october-2025'!$I:$I,0,0)</f>
        <v>0</v>
      </c>
      <c r="CK20">
        <f>IF($F20="YES",0,IF(CH20&gt;40000,200,IF(CH20&gt;25000,150,IF(CH20&gt;15000,130,IF(CH20&gt;10000,110,0)))))</f>
        <v>150</v>
      </c>
      <c r="CL20">
        <f>CH20-CI20-CJ20-CK20</f>
        <v>37090</v>
      </c>
      <c r="CM20">
        <f>_xlfn.XLOOKUP(B20,'[9]november-2025'!$A:$A,'[9]november-2025'!$C:$C,0,0)</f>
        <v>29800</v>
      </c>
      <c r="CN20">
        <f>CM20*0.18</f>
        <v>5364</v>
      </c>
      <c r="CO20">
        <f>CM20*0.12</f>
        <v>3576</v>
      </c>
      <c r="CP20">
        <f>_xlfn.XLOOKUP(B20,'[9]november-2025'!$A:$A,'[9]november-2025'!$D:$D,0,0)</f>
        <v>0</v>
      </c>
      <c r="CQ20">
        <f>_xlfn.XLOOKUP(B20,'[9]november-2025'!$A:$A,'[9]november-2025'!$G:$G,0,0)</f>
        <v>500</v>
      </c>
      <c r="CR20">
        <f>IF(CM20&gt;0,SUM(CM20:CQ20),0)</f>
        <v>39240</v>
      </c>
      <c r="CS20">
        <f>_xlfn.XLOOKUP(B20,'[9]november-2025'!$A:$A,'[9]november-2025'!$H:$H,0,0)</f>
        <v>2000</v>
      </c>
      <c r="CT20">
        <f>_xlfn.XLOOKUP(B20,'[9]november-2025'!$A:$A,'[9]november-2025'!$I:$I,0,0)</f>
        <v>0</v>
      </c>
      <c r="CU20">
        <f>IF($F20="YES",0,IF(CR20&gt;40000,200,IF(CR20&gt;25000,150,IF(CR20&gt;15000,130,IF(CR20&gt;10000,110,0)))))</f>
        <v>150</v>
      </c>
      <c r="CV20">
        <f>CR20-CS20-CT20-CU20</f>
        <v>37090</v>
      </c>
      <c r="CW20">
        <f>_xlfn.XLOOKUP(B20,'[10]december-2025'!$A:$A,'[10]december-2025'!$C:$C,0,0)</f>
        <v>29800</v>
      </c>
      <c r="CX20">
        <f>ROUND(CW20*0.18,0)</f>
        <v>5364</v>
      </c>
      <c r="CY20">
        <f>ROUND(CW20*0.12,0)</f>
        <v>3576</v>
      </c>
      <c r="CZ20">
        <f>_xlfn.XLOOKUP(B20,'[10]december-2025'!$A:$A,'[10]december-2025'!$D:$D,0,0)</f>
        <v>0</v>
      </c>
      <c r="DA20">
        <f>_xlfn.XLOOKUP(B20,'[10]december-2025'!$A:$A,'[10]december-2025'!$G:$G,0,0)</f>
        <v>500</v>
      </c>
      <c r="DB20">
        <f>IF(CW20&gt;0,SUM(CW20:DA20),0)</f>
        <v>39240</v>
      </c>
      <c r="DC20">
        <f>_xlfn.XLOOKUP(B20,'[10]december-2025'!$A:$A,'[10]december-2025'!$H:$H,0,0)</f>
        <v>2000</v>
      </c>
      <c r="DD20">
        <f>_xlfn.XLOOKUP(B20,'[10]december-2025'!$A:$A,'[10]december-2025'!$I:$I,0,0)</f>
        <v>0</v>
      </c>
      <c r="DE20">
        <f>IF($F20="YES",0,IF(DB20&gt;40000,200,IF(DB20&gt;25000,150,IF(DB20&gt;15000,130,IF(DB20&gt;10000,110,0)))))</f>
        <v>150</v>
      </c>
      <c r="DF20">
        <f>DB20-DC20-DD20-DE20</f>
        <v>37090</v>
      </c>
      <c r="DG20">
        <f>_xlfn.XLOOKUP(B20,'[11]january-2026'!$A:$A,'[11]january-2026'!$C:$C,0,0)</f>
        <v>29800</v>
      </c>
      <c r="DH20">
        <f>DG20*0.18</f>
        <v>5364</v>
      </c>
      <c r="DI20">
        <f>DG20*0.12</f>
        <v>3576</v>
      </c>
      <c r="DJ20">
        <f>_xlfn.XLOOKUP(B20,'[11]january-2026'!$A:$A,'[11]january-2026'!$D:$D,0,0)</f>
        <v>0</v>
      </c>
      <c r="DK20">
        <f>_xlfn.XLOOKUP(B20,'[11]january-2026'!$A:$A,'[11]january-2026'!$G:$G,0,0)</f>
        <v>500</v>
      </c>
      <c r="DL20">
        <f>IF(DG20&gt;0,SUM(DG20:DK20),0)</f>
        <v>39240</v>
      </c>
      <c r="DM20">
        <f>_xlfn.XLOOKUP(B20,'[11]january-2026'!$A:$A,'[11]january-2026'!$H:$H,0,0)</f>
        <v>2000</v>
      </c>
      <c r="DN20">
        <f>_xlfn.XLOOKUP(B20,'[11]january-2026'!$A:$A,'[11]january-2026'!$I:$I,0,0)</f>
        <v>0</v>
      </c>
      <c r="DO20">
        <f>IF($F20="YES",0,IF(DL20&gt;40000,200,IF(DL20&gt;25000,150,IF(DL20&gt;15000,130,IF(DL20&gt;10000,110,0)))))</f>
        <v>150</v>
      </c>
      <c r="DP20">
        <f>DL20-DM20-DN20-DO20</f>
        <v>37090</v>
      </c>
      <c r="DQ20">
        <f>_xlfn.XLOOKUP(B20,'[12]february-2026'!$A:$A,'[12]february-2026'!$C:$C,0,0)</f>
        <v>29800</v>
      </c>
      <c r="DR20">
        <f>DQ20*0.18</f>
        <v>5364</v>
      </c>
      <c r="DS20">
        <f>DQ20*0.12</f>
        <v>3576</v>
      </c>
      <c r="DT20">
        <f>_xlfn.XLOOKUP(B20,'[12]february-2026'!$A:$A,'[12]february-2026'!$D:$D,0,0)</f>
        <v>0</v>
      </c>
      <c r="DU20">
        <f>_xlfn.XLOOKUP(B20,'[12]february-2026'!$A:$A,'[12]february-2026'!$G:$G,0,0)</f>
        <v>500</v>
      </c>
      <c r="DV20">
        <f>IF(DQ20&gt;0,SUM(DQ20:DU20),0)</f>
        <v>39240</v>
      </c>
      <c r="DW20">
        <f>_xlfn.XLOOKUP(B20,'[12]february-2026'!$A:$A,'[12]february-2026'!$H:$H,0,0)</f>
        <v>2000</v>
      </c>
      <c r="DX20">
        <f>_xlfn.XLOOKUP(B20,'[12]february-2026'!$A:$A,'[12]february-2026'!$I:$I,0,0)</f>
        <v>0</v>
      </c>
      <c r="DY20">
        <f>IF($F20="YES",0,IF(DV20&gt;40000,200,IF(DV20&gt;25000,150,IF(DV20&gt;15000,130,IF(DV20&gt;10000,110,0)))))</f>
        <v>150</v>
      </c>
      <c r="DZ20">
        <f>DV20-DW20-DX20-DY20</f>
        <v>37090</v>
      </c>
      <c r="EA20">
        <f>DV20+DL20+DB20+CR20+CH20+BX20+BN20+BD20+AS20+AI20+Y20+O20+H20+I20</f>
        <v>471844</v>
      </c>
      <c r="EB20">
        <f>DY20+DO20+DE20+CU20+CK20+CA20+BQ20+BG20+AV20+AL20+AB20+R20</f>
        <v>1800</v>
      </c>
      <c r="EC20">
        <f>IF(EA20&gt;0,50000,0)</f>
        <v>50000</v>
      </c>
      <c r="ED20">
        <v>0</v>
      </c>
      <c r="EE20">
        <f>EA20-EB20-EC20</f>
        <v>420044</v>
      </c>
      <c r="EF20">
        <f>DW20+DM20+DC20+CS20+CI20+BY20+BO20+BE20+AT20+AJ20+Z20+P20</f>
        <v>24000</v>
      </c>
      <c r="EG20">
        <f>DX20+DN20+DD20+CT20+CJ20+BZ20+BP20+BF20+AU20+AK20+AA20+Q20</f>
        <v>0</v>
      </c>
      <c r="EH20">
        <v>0</v>
      </c>
      <c r="EI20">
        <v>0</v>
      </c>
      <c r="EJ20">
        <v>0</v>
      </c>
      <c r="EK20">
        <v>0</v>
      </c>
      <c r="EL20">
        <v>0</v>
      </c>
      <c r="EM20">
        <v>0</v>
      </c>
      <c r="EN20">
        <v>0</v>
      </c>
      <c r="EO20">
        <v>0</v>
      </c>
      <c r="EP20">
        <v>0</v>
      </c>
      <c r="EQ20">
        <v>0</v>
      </c>
      <c r="ER20">
        <f>SUM(EF20:EQ20)</f>
        <v>24000</v>
      </c>
      <c r="ES20">
        <f>IF(ER20&gt;=150000,150000,ER20)</f>
        <v>24000</v>
      </c>
      <c r="ET20">
        <f>EE20-ES20</f>
        <v>396044</v>
      </c>
      <c r="EU20">
        <v>0</v>
      </c>
      <c r="EV20">
        <v>0</v>
      </c>
      <c r="EW20">
        <v>0</v>
      </c>
      <c r="EX20">
        <v>0</v>
      </c>
      <c r="EY20">
        <v>0</v>
      </c>
      <c r="EZ20">
        <v>0</v>
      </c>
      <c r="FA20">
        <v>0</v>
      </c>
      <c r="FB20">
        <f>SUM(EU20:FA20)+(IF(F20="YES",50000,0))</f>
        <v>0</v>
      </c>
      <c r="FC20">
        <f>ET20-FB20</f>
        <v>396044</v>
      </c>
      <c r="FD20">
        <f>ROUND(IF(FC20&gt;0,IF(FC20&gt;500000,12500,(FC20-250000)*0.05),0),0)</f>
        <v>7302</v>
      </c>
      <c r="FE20">
        <f>IF(ROUND(IF(FC20&gt;0,IF(FC20&gt;1000000,25000,(FC20-500000)*0.2),0),0)&lt;0,0,ROUND(IF(FC20&gt;0,IF(FC20&gt;1000000,25000,(FC20-500000)*0.2),0),0))</f>
        <v>0</v>
      </c>
      <c r="FF20">
        <f>FD20+FE20</f>
        <v>7302</v>
      </c>
      <c r="FG20">
        <f>IF(FF20&lt;12500,0,FF20)</f>
        <v>0</v>
      </c>
      <c r="FH20">
        <f>FG20*0.04</f>
        <v>0</v>
      </c>
      <c r="FI20">
        <f>ROUND(FH20+FG20,0)</f>
        <v>0</v>
      </c>
      <c r="FJ20">
        <v>0</v>
      </c>
      <c r="FK20">
        <f>FI20-FJ20</f>
        <v>0</v>
      </c>
      <c r="FL20" t="b">
        <f>IF(EA20&gt;500000,TRUE,FALSE)</f>
        <v>0</v>
      </c>
      <c r="FM20">
        <f ca="1">IF(FL20,RANDBETWEEN(500,1000),RANDBETWEEN(1000,3000))</f>
        <v>2372</v>
      </c>
      <c r="FN20">
        <f ca="1">EA20+FM20</f>
        <v>474216</v>
      </c>
      <c r="FO20">
        <f>IF(EA20&gt;0,75000,0)</f>
        <v>75000</v>
      </c>
      <c r="FP20">
        <f ca="1">FN20-FO20</f>
        <v>399216</v>
      </c>
      <c r="FQ20">
        <f ca="1">IF(FP20&gt;2400000,FP20-2400000,0)</f>
        <v>0</v>
      </c>
      <c r="FR20">
        <f ca="1">FQ20*0.3</f>
        <v>0</v>
      </c>
      <c r="FS20">
        <f ca="1">IF(FP20&gt;2000000,FP20-2000000,0)</f>
        <v>0</v>
      </c>
      <c r="FT20">
        <f ca="1">FS20*0.25</f>
        <v>0</v>
      </c>
      <c r="FU20">
        <f ca="1">IF(FP20&gt;1600000,FP20-1600000-FQ20,0)</f>
        <v>0</v>
      </c>
      <c r="FV20">
        <f ca="1">FU20*0.2</f>
        <v>0</v>
      </c>
      <c r="FW20">
        <f ca="1">IF(FP20&gt;1200000,FP20-1200000-IF(F20="YES",50000,0)-FU20,0)</f>
        <v>0</v>
      </c>
      <c r="FX20">
        <f ca="1">FW20*0.15</f>
        <v>0</v>
      </c>
      <c r="FY20">
        <f ca="1">IF(FP20&gt;800000,FP20-800000-FQ20-FU20-FW20,0)</f>
        <v>0</v>
      </c>
      <c r="FZ20">
        <f ca="1">FY20*0.1</f>
        <v>0</v>
      </c>
      <c r="GA20">
        <f ca="1">IF(FP20&gt;400000,FP20-400000-FQ20-FU20-FW20-FY20,0)</f>
        <v>0</v>
      </c>
      <c r="GB20">
        <f ca="1">GA20*0.05</f>
        <v>0</v>
      </c>
      <c r="GC20">
        <f ca="1">ROUND(FR20+FT20+FV20+FX20+FZ20+GB20,0)</f>
        <v>0</v>
      </c>
      <c r="GD20">
        <f ca="1">IF(FP20&gt;1200000,FP20,0)</f>
        <v>0</v>
      </c>
      <c r="GE20">
        <f ca="1">IF(FP20&gt;1200000,GD20-1200000,0)</f>
        <v>0</v>
      </c>
      <c r="GF20">
        <f ca="1">IF(FP20&lt;1200001,MIN(GC20,60000),0)</f>
        <v>0</v>
      </c>
      <c r="GG20">
        <f ca="1">IF(FP20&gt;1200000,GC20-GE20,0)</f>
        <v>0</v>
      </c>
      <c r="GH20" t="b">
        <f ca="1">IF(GG20&gt;0,TRUE,FALSE)</f>
        <v>0</v>
      </c>
      <c r="GI20">
        <f ca="1">IF(GH20,GG20,0)</f>
        <v>0</v>
      </c>
      <c r="GJ20">
        <f ca="1">GF20+GI20</f>
        <v>0</v>
      </c>
      <c r="GK20">
        <f ca="1">ROUND(GC20-GJ20,0)</f>
        <v>0</v>
      </c>
      <c r="GL20">
        <f ca="1">GK20*0.04</f>
        <v>0</v>
      </c>
      <c r="GM20">
        <f ca="1">ROUNDUP(GK20+GL20,0)</f>
        <v>0</v>
      </c>
    </row>
    <row r="21" spans="1:195" x14ac:dyDescent="0.25">
      <c r="A21">
        <f>_xlfn.AGGREGATE(3,5,$B$2:B21)</f>
        <v>20</v>
      </c>
      <c r="B21" t="s">
        <v>162</v>
      </c>
      <c r="C21" t="s">
        <v>163</v>
      </c>
      <c r="D21" t="s">
        <v>756</v>
      </c>
      <c r="E21" t="s">
        <v>833</v>
      </c>
      <c r="F21" t="s">
        <v>959</v>
      </c>
      <c r="G21" t="s">
        <v>889</v>
      </c>
      <c r="H21">
        <f>IF(_xlfn.DAYS("31-03-2025",G21)&gt;=180,6800,0)</f>
        <v>6800</v>
      </c>
      <c r="I21">
        <f>_xlfn.XLOOKUP(B21,'[1]march-2025'!$A:$A,'[1]march-2025'!$J:$J,0,0)</f>
        <v>0</v>
      </c>
      <c r="J21">
        <f>_xlfn.XLOOKUP(B21,'[1]march-2025'!$A:$A,'[1]march-2025'!$C:$C,0,0)</f>
        <v>48800</v>
      </c>
      <c r="K21">
        <f>J21*0.14</f>
        <v>6832.0000000000009</v>
      </c>
      <c r="L21">
        <f>J21*0.12</f>
        <v>5856</v>
      </c>
      <c r="M21">
        <f>_xlfn.XLOOKUP(B21,'[1]march-2025'!$A:$A,'[1]march-2025'!$D:$D,0,0)</f>
        <v>0</v>
      </c>
      <c r="N21">
        <f>_xlfn.XLOOKUP(B21,'[1]march-2025'!$A:$A,'[1]march-2025'!$G:$G,0,0)</f>
        <v>0</v>
      </c>
      <c r="O21">
        <f>IF(J21&gt;0,SUM(J21:N21),0)</f>
        <v>61488</v>
      </c>
      <c r="P21">
        <f>_xlfn.XLOOKUP(B21,'[1]march-2025'!$A:$A,'[1]march-2025'!$H:$H,0,0)</f>
        <v>4000</v>
      </c>
      <c r="Q21">
        <f>_xlfn.XLOOKUP(B21,'[1]march-2025'!$A:$A,'[1]march-2025'!$I:$I,0,0)</f>
        <v>0</v>
      </c>
      <c r="R21">
        <f>IF($F21="YES",0,IF(O21&gt;40000,200,IF(O21&gt;25000,150,IF(O21&gt;15000,130,IF(O21&gt;10000,110,0)))))</f>
        <v>200</v>
      </c>
      <c r="S21">
        <f>O21-P21-Q21-R21</f>
        <v>57288</v>
      </c>
      <c r="T21">
        <f>_xlfn.XLOOKUP(B21,'[2]april-2025'!$A:$A,'[2]april-2025'!$C:$C,0,0)</f>
        <v>48800</v>
      </c>
      <c r="U21">
        <f>T21*0.18</f>
        <v>8784</v>
      </c>
      <c r="V21">
        <f>T21*0.12</f>
        <v>5856</v>
      </c>
      <c r="W21">
        <f>_xlfn.XLOOKUP(B21,'[2]april-2025'!$A:$A,'[2]april-2025'!$D:$D,0,0)</f>
        <v>0</v>
      </c>
      <c r="X21">
        <f>_xlfn.XLOOKUP(B21,'[2]april-2025'!$A:$A,'[2]april-2025'!$G:$G,0,0)</f>
        <v>0</v>
      </c>
      <c r="Y21">
        <f>IF(T21&gt;0,SUM(T21:X21),0)</f>
        <v>63440</v>
      </c>
      <c r="Z21">
        <f>_xlfn.XLOOKUP(B21,'[2]april-2025'!$A:$A,'[2]april-2025'!$H:$H,0,0)</f>
        <v>4000</v>
      </c>
      <c r="AA21">
        <f>_xlfn.XLOOKUP(B21,'[2]april-2025'!$A:$A,'[2]april-2025'!$I:$I,0,0)</f>
        <v>0</v>
      </c>
      <c r="AB21">
        <f>IF($F21="YES",0,IF(Y21&gt;40000,200,IF(Y21&gt;25000,150,IF(Y21&gt;15000,130,IF(Y21&gt;10000,110,0)))))</f>
        <v>200</v>
      </c>
      <c r="AC21">
        <f>Y21-Z21-AA21-AB21</f>
        <v>59240</v>
      </c>
      <c r="AD21">
        <f>_xlfn.XLOOKUP(B21,'[3]may-2025'!$A:$A,'[3]may-2025'!$C:$C,0,0)</f>
        <v>48800</v>
      </c>
      <c r="AE21">
        <f>AD21*0.18</f>
        <v>8784</v>
      </c>
      <c r="AF21">
        <f>AD21*0.12</f>
        <v>5856</v>
      </c>
      <c r="AG21">
        <f>_xlfn.XLOOKUP(B21,'[3]may-2025'!$A:$A,'[3]may-2025'!$D:$D,0,0)</f>
        <v>0</v>
      </c>
      <c r="AH21">
        <f>_xlfn.XLOOKUP(B21,'[3]may-2025'!$A:$A,'[3]may-2025'!$G:$G,0,0)</f>
        <v>0</v>
      </c>
      <c r="AI21">
        <f>IF(AD21&gt;0,SUM(AD21:AH21),0)</f>
        <v>63440</v>
      </c>
      <c r="AJ21">
        <f>_xlfn.XLOOKUP(B21,'[3]may-2025'!$A:$A,'[3]may-2025'!$H:$H,0,0)</f>
        <v>4000</v>
      </c>
      <c r="AK21">
        <f>_xlfn.XLOOKUP(B21,'[3]may-2025'!$A:$A,'[3]may-2025'!$I:$I,0,0)</f>
        <v>0</v>
      </c>
      <c r="AL21">
        <f>IF($F21="YES",0,IF(AI21&gt;40000,200,IF(AI21&gt;25000,150,IF(AI21&gt;15000,130,IF(AI21&gt;10000,110,0)))))</f>
        <v>200</v>
      </c>
      <c r="AM21">
        <f>AI21-AJ21-AK21-AL21</f>
        <v>59240</v>
      </c>
      <c r="AN21">
        <f>_xlfn.XLOOKUP(B21,'[4]june-2025'!$A:$A,'[4]june-2025'!$C:$C,0,0)</f>
        <v>48800</v>
      </c>
      <c r="AO21">
        <f>AN21*0.18</f>
        <v>8784</v>
      </c>
      <c r="AP21">
        <f>AN21*0.12</f>
        <v>5856</v>
      </c>
      <c r="AQ21">
        <f>_xlfn.XLOOKUP(B21,'[4]june-2025'!$A:$A,'[4]june-2025'!$D:$D,0,0)</f>
        <v>0</v>
      </c>
      <c r="AR21">
        <f>_xlfn.XLOOKUP(B21,'[4]june-2025'!$A:$A,'[4]june-2025'!$G:$G,0,0)</f>
        <v>0</v>
      </c>
      <c r="AS21">
        <f>IF(AN21&gt;0,SUM(AN21:AR21),0)</f>
        <v>63440</v>
      </c>
      <c r="AT21">
        <f>_xlfn.XLOOKUP(B21,'[4]june-2025'!$A:$A,'[4]june-2025'!$H:$H,0,0)</f>
        <v>4000</v>
      </c>
      <c r="AU21">
        <f>_xlfn.XLOOKUP(B21,'[4]june-2025'!$A:$A,'[4]june-2025'!$I:$I,0,0)</f>
        <v>0</v>
      </c>
      <c r="AV21">
        <f>IF($F21="YES",0,IF(AS21&gt;40000,200,IF(AS21&gt;25000,150,IF(AS21&gt;15000,130,IF(AS21&gt;10000,110,0)))))</f>
        <v>200</v>
      </c>
      <c r="AW21">
        <f>AS21-AT21-AU21-AV21</f>
        <v>59240</v>
      </c>
      <c r="AX21">
        <f>_xlfn.XLOOKUP(B21,'[5]july-2025'!$A:$A,'[5]july-2025'!$C:$C,0,0)</f>
        <v>50300</v>
      </c>
      <c r="AY21">
        <f>AX21*0.18</f>
        <v>9054</v>
      </c>
      <c r="AZ21">
        <v>0</v>
      </c>
      <c r="BA21">
        <f>AX21*0.12</f>
        <v>6036</v>
      </c>
      <c r="BB21">
        <f>_xlfn.XLOOKUP(B21,'[5]july-2025'!$A:$A,'[5]july-2025'!$D:$D,0,0)</f>
        <v>0</v>
      </c>
      <c r="BC21">
        <f>_xlfn.XLOOKUP(B21,'[5]july-2025'!$A:$A,'[5]july-2025'!$G:$G,0,0)</f>
        <v>0</v>
      </c>
      <c r="BD21">
        <f>IF(AX21&gt;0,SUM(AX21:BC21),0)</f>
        <v>65390</v>
      </c>
      <c r="BE21">
        <f>_xlfn.XLOOKUP(B21,'[5]july-2025'!$A:$A,'[5]july-2025'!$H:$H,0,0)</f>
        <v>4000</v>
      </c>
      <c r="BF21">
        <f>_xlfn.XLOOKUP(B21,'[5]july-2025'!$A:$A,'[5]july-2025'!$I:$I,0,0)</f>
        <v>0</v>
      </c>
      <c r="BG21">
        <f>IF($F21="YES",0,IF(BD21&gt;40000,200,IF(BD21&gt;25000,150,IF(BD21&gt;15000,130,IF(BD21&gt;10000,110,0)))))</f>
        <v>200</v>
      </c>
      <c r="BH21">
        <f>BD21-BE21-BF21-BG21</f>
        <v>61190</v>
      </c>
      <c r="BI21">
        <f>_xlfn.XLOOKUP(B21,'[6]august-2025'!$A:$A,'[6]august-2025'!$C:$C,0,0)</f>
        <v>50300</v>
      </c>
      <c r="BJ21">
        <f>BI21*0.18</f>
        <v>9054</v>
      </c>
      <c r="BK21">
        <f>BI21*0.12</f>
        <v>6036</v>
      </c>
      <c r="BL21">
        <f>_xlfn.XLOOKUP(B21,'[6]august-2025'!$A:$A,'[6]august-2025'!$D:$D,0,0)</f>
        <v>0</v>
      </c>
      <c r="BM21">
        <f>_xlfn.XLOOKUP(B21,'[6]august-2025'!$A:$A,'[6]august-2025'!$G:$G,0,0)</f>
        <v>0</v>
      </c>
      <c r="BN21">
        <f>IF(BI21&gt;0,SUM(BI21:BM21),0)</f>
        <v>65390</v>
      </c>
      <c r="BO21">
        <f>_xlfn.XLOOKUP(B21,'[6]august-2025'!$A:$A,'[6]august-2025'!$H:$H,0,0)</f>
        <v>4000</v>
      </c>
      <c r="BP21">
        <f>_xlfn.XLOOKUP(B21,'[6]august-2025'!$A:$A,'[6]august-2025'!$I:$I,0,0)</f>
        <v>0</v>
      </c>
      <c r="BQ21">
        <f>IF($F21="YES",0,IF(BN21&gt;40000,200,IF(BN21&gt;25000,150,IF(BN21&gt;15000,130,IF(BN21&gt;10000,110,0)))))</f>
        <v>200</v>
      </c>
      <c r="BR21">
        <f>BN21-BO21-BP21-BQ21</f>
        <v>61190</v>
      </c>
      <c r="BS21">
        <f>_xlfn.XLOOKUP(B21,'[7]september-2025'!$A:$A,'[7]september-2025'!$C:$C,0,0)</f>
        <v>50300</v>
      </c>
      <c r="BT21">
        <f>BS21*0.18</f>
        <v>9054</v>
      </c>
      <c r="BU21">
        <f>BS21*0.12</f>
        <v>6036</v>
      </c>
      <c r="BV21">
        <f>_xlfn.XLOOKUP(B21,'[7]september-2025'!$A:$A,'[7]september-2025'!$D:$D,0,0)</f>
        <v>0</v>
      </c>
      <c r="BW21">
        <f>_xlfn.XLOOKUP(B21,'[7]september-2025'!$A:$A,'[7]september-2025'!$G:$G,0,0)</f>
        <v>0</v>
      </c>
      <c r="BX21">
        <f>IF(BS21&gt;0,SUM(BS21:BW21),0)</f>
        <v>65390</v>
      </c>
      <c r="BY21">
        <f>_xlfn.XLOOKUP(B21,'[7]september-2025'!$A:$A,'[7]september-2025'!$H:$H,0,0)</f>
        <v>4000</v>
      </c>
      <c r="BZ21">
        <f>_xlfn.XLOOKUP(B21,'[7]september-2025'!$A:$A,'[7]september-2025'!$I:$I,0,0)</f>
        <v>0</v>
      </c>
      <c r="CA21">
        <f>IF($F21="YES",0,IF(BX21&gt;40000,200,IF(BX21&gt;25000,150,IF(BX21&gt;15000,130,IF(BX21&gt;10000,110,0)))))</f>
        <v>200</v>
      </c>
      <c r="CB21">
        <f>BX21-BY21-BZ21-CA21</f>
        <v>61190</v>
      </c>
      <c r="CC21">
        <f>_xlfn.XLOOKUP(B21,'[8]october-2025'!$A:$A,'[8]october-2025'!$C:$C,0,0)</f>
        <v>50300</v>
      </c>
      <c r="CD21">
        <f>CC21*0.18</f>
        <v>9054</v>
      </c>
      <c r="CE21">
        <f>CC21*0.12</f>
        <v>6036</v>
      </c>
      <c r="CF21">
        <f>_xlfn.XLOOKUP(B21,'[8]october-2025'!$A:$A,'[8]october-2025'!$D:$D,0,0)</f>
        <v>0</v>
      </c>
      <c r="CG21">
        <f>_xlfn.XLOOKUP(B21,'[8]october-2025'!$A:$A,'[8]october-2025'!$G:$G,0,0)</f>
        <v>0</v>
      </c>
      <c r="CH21">
        <f>IF(CC21&gt;0,SUM(CC21:CG21),0)</f>
        <v>65390</v>
      </c>
      <c r="CI21">
        <f>_xlfn.XLOOKUP(B21,'[8]october-2025'!$A:$A,'[8]october-2025'!$H:$H,0,0)</f>
        <v>4000</v>
      </c>
      <c r="CJ21">
        <f>_xlfn.XLOOKUP(B21,'[8]october-2025'!$A:$A,'[8]october-2025'!$I:$I,0,0)</f>
        <v>0</v>
      </c>
      <c r="CK21">
        <f>IF($F21="YES",0,IF(CH21&gt;40000,200,IF(CH21&gt;25000,150,IF(CH21&gt;15000,130,IF(CH21&gt;10000,110,0)))))</f>
        <v>200</v>
      </c>
      <c r="CL21">
        <f>CH21-CI21-CJ21-CK21</f>
        <v>61190</v>
      </c>
      <c r="CM21">
        <f>_xlfn.XLOOKUP(B21,'[9]november-2025'!$A:$A,'[9]november-2025'!$C:$C,0,0)</f>
        <v>50300</v>
      </c>
      <c r="CN21">
        <f>CM21*0.18</f>
        <v>9054</v>
      </c>
      <c r="CO21">
        <f>CM21*0.12</f>
        <v>6036</v>
      </c>
      <c r="CP21">
        <f>_xlfn.XLOOKUP(B21,'[9]november-2025'!$A:$A,'[9]november-2025'!$D:$D,0,0)</f>
        <v>0</v>
      </c>
      <c r="CQ21">
        <f>_xlfn.XLOOKUP(B21,'[9]november-2025'!$A:$A,'[9]november-2025'!$G:$G,0,0)</f>
        <v>500</v>
      </c>
      <c r="CR21">
        <f>IF(CM21&gt;0,SUM(CM21:CQ21),0)</f>
        <v>65890</v>
      </c>
      <c r="CS21">
        <f>_xlfn.XLOOKUP(B21,'[9]november-2025'!$A:$A,'[9]november-2025'!$H:$H,0,0)</f>
        <v>4000</v>
      </c>
      <c r="CT21">
        <f>_xlfn.XLOOKUP(B21,'[9]november-2025'!$A:$A,'[9]november-2025'!$I:$I,0,0)</f>
        <v>0</v>
      </c>
      <c r="CU21">
        <f>IF($F21="YES",0,IF(CR21&gt;40000,200,IF(CR21&gt;25000,150,IF(CR21&gt;15000,130,IF(CR21&gt;10000,110,0)))))</f>
        <v>200</v>
      </c>
      <c r="CV21">
        <f>CR21-CS21-CT21-CU21</f>
        <v>61690</v>
      </c>
      <c r="CW21">
        <f>_xlfn.XLOOKUP(B21,'[10]december-2025'!$A:$A,'[10]december-2025'!$C:$C,0,0)</f>
        <v>50300</v>
      </c>
      <c r="CX21">
        <f>ROUND(CW21*0.18,0)</f>
        <v>9054</v>
      </c>
      <c r="CY21">
        <f>ROUND(CW21*0.12,0)</f>
        <v>6036</v>
      </c>
      <c r="CZ21">
        <f>_xlfn.XLOOKUP(B21,'[10]december-2025'!$A:$A,'[10]december-2025'!$D:$D,0,0)</f>
        <v>0</v>
      </c>
      <c r="DA21">
        <f>_xlfn.XLOOKUP(B21,'[10]december-2025'!$A:$A,'[10]december-2025'!$G:$G,0,0)</f>
        <v>500</v>
      </c>
      <c r="DB21">
        <f>IF(CW21&gt;0,SUM(CW21:DA21),0)</f>
        <v>65890</v>
      </c>
      <c r="DC21">
        <f>_xlfn.XLOOKUP(B21,'[10]december-2025'!$A:$A,'[10]december-2025'!$H:$H,0,0)</f>
        <v>4000</v>
      </c>
      <c r="DD21">
        <f>_xlfn.XLOOKUP(B21,'[10]december-2025'!$A:$A,'[10]december-2025'!$I:$I,0,0)</f>
        <v>0</v>
      </c>
      <c r="DE21">
        <f>IF($F21="YES",0,IF(DB21&gt;40000,200,IF(DB21&gt;25000,150,IF(DB21&gt;15000,130,IF(DB21&gt;10000,110,0)))))</f>
        <v>200</v>
      </c>
      <c r="DF21">
        <f>DB21-DC21-DD21-DE21</f>
        <v>61690</v>
      </c>
      <c r="DG21">
        <f>_xlfn.XLOOKUP(B21,'[11]january-2026'!$A:$A,'[11]january-2026'!$C:$C,0,0)</f>
        <v>50300</v>
      </c>
      <c r="DH21">
        <f>DG21*0.18</f>
        <v>9054</v>
      </c>
      <c r="DI21">
        <f>DG21*0.12</f>
        <v>6036</v>
      </c>
      <c r="DJ21">
        <f>_xlfn.XLOOKUP(B21,'[11]january-2026'!$A:$A,'[11]january-2026'!$D:$D,0,0)</f>
        <v>0</v>
      </c>
      <c r="DK21">
        <f>_xlfn.XLOOKUP(B21,'[11]january-2026'!$A:$A,'[11]january-2026'!$G:$G,0,0)</f>
        <v>500</v>
      </c>
      <c r="DL21">
        <f>IF(DG21&gt;0,SUM(DG21:DK21),0)</f>
        <v>65890</v>
      </c>
      <c r="DM21">
        <f>_xlfn.XLOOKUP(B21,'[11]january-2026'!$A:$A,'[11]january-2026'!$H:$H,0,0)</f>
        <v>4000</v>
      </c>
      <c r="DN21">
        <f>_xlfn.XLOOKUP(B21,'[11]january-2026'!$A:$A,'[11]january-2026'!$I:$I,0,0)</f>
        <v>0</v>
      </c>
      <c r="DO21">
        <f>IF($F21="YES",0,IF(DL21&gt;40000,200,IF(DL21&gt;25000,150,IF(DL21&gt;15000,130,IF(DL21&gt;10000,110,0)))))</f>
        <v>200</v>
      </c>
      <c r="DP21">
        <f>DL21-DM21-DN21-DO21</f>
        <v>61690</v>
      </c>
      <c r="DQ21">
        <f>_xlfn.XLOOKUP(B21,'[12]february-2026'!$A:$A,'[12]february-2026'!$C:$C,0,0)</f>
        <v>50300</v>
      </c>
      <c r="DR21">
        <f>DQ21*0.18</f>
        <v>9054</v>
      </c>
      <c r="DS21">
        <f>DQ21*0.12</f>
        <v>6036</v>
      </c>
      <c r="DT21">
        <f>_xlfn.XLOOKUP(B21,'[12]february-2026'!$A:$A,'[12]february-2026'!$D:$D,0,0)</f>
        <v>0</v>
      </c>
      <c r="DU21">
        <f>_xlfn.XLOOKUP(B21,'[12]february-2026'!$A:$A,'[12]february-2026'!$G:$G,0,0)</f>
        <v>500</v>
      </c>
      <c r="DV21">
        <f>IF(DQ21&gt;0,SUM(DQ21:DU21),0)</f>
        <v>65890</v>
      </c>
      <c r="DW21">
        <f>_xlfn.XLOOKUP(B21,'[12]february-2026'!$A:$A,'[12]february-2026'!$H:$H,0,0)</f>
        <v>4000</v>
      </c>
      <c r="DX21">
        <f>_xlfn.XLOOKUP(B21,'[12]february-2026'!$A:$A,'[12]february-2026'!$I:$I,0,0)</f>
        <v>0</v>
      </c>
      <c r="DY21">
        <f>IF($F21="YES",0,IF(DV21&gt;40000,200,IF(DV21&gt;25000,150,IF(DV21&gt;15000,130,IF(DV21&gt;10000,110,0)))))</f>
        <v>200</v>
      </c>
      <c r="DZ21">
        <f>DV21-DW21-DX21-DY21</f>
        <v>61690</v>
      </c>
      <c r="EA21">
        <f>DV21+DL21+DB21+CR21+CH21+BX21+BN21+BD21+AS21+AI21+Y21+O21+H21+I21</f>
        <v>783728</v>
      </c>
      <c r="EB21">
        <f>DY21+DO21+DE21+CU21+CK21+CA21+BQ21+BG21+AV21+AL21+AB21+R21</f>
        <v>2400</v>
      </c>
      <c r="EC21">
        <f>IF(EA21&gt;0,50000,0)</f>
        <v>50000</v>
      </c>
      <c r="ED21">
        <v>0</v>
      </c>
      <c r="EE21">
        <f>EA21-EB21-EC21</f>
        <v>731328</v>
      </c>
      <c r="EF21">
        <f>DW21+DM21+DC21+CS21+CI21+BY21+BO21+BE21+AT21+AJ21+Z21+P21</f>
        <v>48000</v>
      </c>
      <c r="EG21">
        <f>DX21+DN21+DD21+CT21+CJ21+BZ21+BP21+BF21+AU21+AK21+AA21+Q21</f>
        <v>0</v>
      </c>
      <c r="EH21">
        <v>0</v>
      </c>
      <c r="EI21">
        <v>0</v>
      </c>
      <c r="EJ21">
        <v>0</v>
      </c>
      <c r="EK21">
        <v>0</v>
      </c>
      <c r="EL21">
        <v>0</v>
      </c>
      <c r="EM21">
        <v>0</v>
      </c>
      <c r="EN21">
        <v>0</v>
      </c>
      <c r="EO21">
        <v>0</v>
      </c>
      <c r="EP21">
        <v>0</v>
      </c>
      <c r="EQ21">
        <v>0</v>
      </c>
      <c r="ER21">
        <f>SUM(EF21:EQ21)</f>
        <v>48000</v>
      </c>
      <c r="ES21">
        <f>IF(ER21&gt;=150000,150000,ER21)</f>
        <v>48000</v>
      </c>
      <c r="ET21">
        <f>EE21-ES21</f>
        <v>683328</v>
      </c>
      <c r="EU21">
        <v>0</v>
      </c>
      <c r="EV21">
        <v>0</v>
      </c>
      <c r="EW21">
        <v>0</v>
      </c>
      <c r="EX21">
        <v>0</v>
      </c>
      <c r="EY21">
        <v>0</v>
      </c>
      <c r="EZ21">
        <v>0</v>
      </c>
      <c r="FA21">
        <v>0</v>
      </c>
      <c r="FB21">
        <f>SUM(EU21:FA21)+(IF(F21="YES",50000,0))</f>
        <v>0</v>
      </c>
      <c r="FC21">
        <f>ET21-FB21</f>
        <v>683328</v>
      </c>
      <c r="FD21">
        <f>ROUND(IF(FC21&gt;0,IF(FC21&gt;500000,12500,(FC21-250000)*0.05),0),0)</f>
        <v>12500</v>
      </c>
      <c r="FE21">
        <f>IF(ROUND(IF(FC21&gt;0,IF(FC21&gt;1000000,25000,(FC21-500000)*0.2),0),0)&lt;0,0,ROUND(IF(FC21&gt;0,IF(FC21&gt;1000000,25000,(FC21-500000)*0.2),0),0))</f>
        <v>36666</v>
      </c>
      <c r="FF21">
        <f>FD21+FE21</f>
        <v>49166</v>
      </c>
      <c r="FG21">
        <f>IF(FF21&lt;12500,0,FF21)</f>
        <v>49166</v>
      </c>
      <c r="FH21">
        <f>FG21*0.04</f>
        <v>1966.64</v>
      </c>
      <c r="FI21">
        <f>ROUND(FH21+FG21,0)</f>
        <v>51133</v>
      </c>
      <c r="FJ21">
        <v>0</v>
      </c>
      <c r="FK21">
        <f>FI21-FJ21</f>
        <v>51133</v>
      </c>
      <c r="FL21" t="b">
        <f>IF(EA21&gt;500000,TRUE,FALSE)</f>
        <v>1</v>
      </c>
      <c r="FM21">
        <f ca="1">IF(FL21,RANDBETWEEN(500,1000),RANDBETWEEN(1000,3000))</f>
        <v>729</v>
      </c>
      <c r="FN21">
        <f ca="1">EA21+FM21</f>
        <v>784457</v>
      </c>
      <c r="FO21">
        <f>IF(EA21&gt;0,75000,0)</f>
        <v>75000</v>
      </c>
      <c r="FP21">
        <f ca="1">FN21-FO21</f>
        <v>709457</v>
      </c>
      <c r="FQ21">
        <f ca="1">IF(FP21&gt;2400000,FP21-2400000,0)</f>
        <v>0</v>
      </c>
      <c r="FR21">
        <f ca="1">FQ21*0.3</f>
        <v>0</v>
      </c>
      <c r="FS21">
        <f ca="1">IF(FP21&gt;2000000,FP21-2000000,0)</f>
        <v>0</v>
      </c>
      <c r="FT21">
        <f ca="1">FS21*0.25</f>
        <v>0</v>
      </c>
      <c r="FU21">
        <f ca="1">IF(FP21&gt;1600000,FP21-1600000-FQ21,0)</f>
        <v>0</v>
      </c>
      <c r="FV21">
        <f ca="1">FU21*0.2</f>
        <v>0</v>
      </c>
      <c r="FW21">
        <f ca="1">IF(FP21&gt;1200000,FP21-1200000-IF(F21="YES",50000,0)-FU21,0)</f>
        <v>0</v>
      </c>
      <c r="FX21">
        <f ca="1">FW21*0.15</f>
        <v>0</v>
      </c>
      <c r="FY21">
        <f ca="1">IF(FP21&gt;800000,FP21-800000-FQ21-FU21-FW21,0)</f>
        <v>0</v>
      </c>
      <c r="FZ21">
        <f ca="1">FY21*0.1</f>
        <v>0</v>
      </c>
      <c r="GA21">
        <f ca="1">IF(FP21&gt;400000,FP21-400000-FQ21-FU21-FW21-FY21,0)</f>
        <v>309457</v>
      </c>
      <c r="GB21">
        <f ca="1">GA21*0.05</f>
        <v>15472.85</v>
      </c>
      <c r="GC21">
        <f ca="1">ROUND(FR21+FT21+FV21+FX21+FZ21+GB21,0)</f>
        <v>15473</v>
      </c>
      <c r="GD21">
        <f ca="1">IF(FP21&gt;1200000,FP21,0)</f>
        <v>0</v>
      </c>
      <c r="GE21">
        <f ca="1">IF(FP21&gt;1200000,GD21-1200000,0)</f>
        <v>0</v>
      </c>
      <c r="GF21">
        <f ca="1">IF(FP21&lt;1200001,MIN(GC21,60000),0)</f>
        <v>15473</v>
      </c>
      <c r="GG21">
        <f ca="1">IF(FP21&gt;1200000,GC21-GE21,0)</f>
        <v>0</v>
      </c>
      <c r="GH21" t="b">
        <f ca="1">IF(GG21&gt;0,TRUE,FALSE)</f>
        <v>0</v>
      </c>
      <c r="GI21">
        <f ca="1">IF(GH21,GG21,0)</f>
        <v>0</v>
      </c>
      <c r="GJ21">
        <f ca="1">GF21+GI21</f>
        <v>15473</v>
      </c>
      <c r="GK21">
        <f ca="1">ROUND(GC21-GJ21,0)</f>
        <v>0</v>
      </c>
      <c r="GL21">
        <f ca="1">GK21*0.04</f>
        <v>0</v>
      </c>
      <c r="GM21">
        <f ca="1">ROUNDUP(GK21+GL21,0)</f>
        <v>0</v>
      </c>
    </row>
    <row r="22" spans="1:195" x14ac:dyDescent="0.25">
      <c r="A22">
        <f>_xlfn.AGGREGATE(3,5,$B$2:B22)</f>
        <v>21</v>
      </c>
      <c r="B22" t="s">
        <v>164</v>
      </c>
      <c r="C22" t="s">
        <v>165</v>
      </c>
      <c r="D22" t="s">
        <v>756</v>
      </c>
      <c r="E22" t="s">
        <v>834</v>
      </c>
      <c r="F22" t="s">
        <v>959</v>
      </c>
      <c r="G22" t="s">
        <v>890</v>
      </c>
      <c r="H22">
        <f>IF(_xlfn.DAYS("31-03-2025",G22)&gt;=180,6800,0)</f>
        <v>6800</v>
      </c>
      <c r="I22">
        <f>_xlfn.XLOOKUP(B22,'[1]march-2025'!$A:$A,'[1]march-2025'!$J:$J,0,0)</f>
        <v>0</v>
      </c>
      <c r="J22">
        <f>_xlfn.XLOOKUP(B22,'[1]march-2025'!$A:$A,'[1]march-2025'!$C:$C,0,0)</f>
        <v>37700</v>
      </c>
      <c r="K22">
        <f>J22*0.14</f>
        <v>5278.0000000000009</v>
      </c>
      <c r="L22">
        <f>J22*0.12</f>
        <v>4524</v>
      </c>
      <c r="M22">
        <f>_xlfn.XLOOKUP(B22,'[1]march-2025'!$A:$A,'[1]march-2025'!$D:$D,0,0)</f>
        <v>0</v>
      </c>
      <c r="N22">
        <f>_xlfn.XLOOKUP(B22,'[1]march-2025'!$A:$A,'[1]march-2025'!$G:$G,0,0)</f>
        <v>500</v>
      </c>
      <c r="O22">
        <f>IF(J22&gt;0,SUM(J22:N22),0)</f>
        <v>48002</v>
      </c>
      <c r="P22">
        <f>_xlfn.XLOOKUP(B22,'[1]march-2025'!$A:$A,'[1]march-2025'!$H:$H,0,0)</f>
        <v>2500</v>
      </c>
      <c r="Q22">
        <f>_xlfn.XLOOKUP(B22,'[1]march-2025'!$A:$A,'[1]march-2025'!$I:$I,0,0)</f>
        <v>0</v>
      </c>
      <c r="R22">
        <f>IF($F22="YES",0,IF(O22&gt;40000,200,IF(O22&gt;25000,150,IF(O22&gt;15000,130,IF(O22&gt;10000,110,0)))))</f>
        <v>200</v>
      </c>
      <c r="S22">
        <f>O22-P22-Q22-R22</f>
        <v>45302</v>
      </c>
      <c r="T22">
        <f>_xlfn.XLOOKUP(B22,'[2]april-2025'!$A:$A,'[2]april-2025'!$C:$C,0,0)</f>
        <v>37700</v>
      </c>
      <c r="U22">
        <f>T22*0.18</f>
        <v>6786</v>
      </c>
      <c r="V22">
        <f>T22*0.12</f>
        <v>4524</v>
      </c>
      <c r="W22">
        <f>_xlfn.XLOOKUP(B22,'[2]april-2025'!$A:$A,'[2]april-2025'!$D:$D,0,0)</f>
        <v>0</v>
      </c>
      <c r="X22">
        <f>_xlfn.XLOOKUP(B22,'[2]april-2025'!$A:$A,'[2]april-2025'!$G:$G,0,0)</f>
        <v>500</v>
      </c>
      <c r="Y22">
        <f>IF(T22&gt;0,SUM(T22:X22),0)</f>
        <v>49510</v>
      </c>
      <c r="Z22">
        <f>_xlfn.XLOOKUP(B22,'[2]april-2025'!$A:$A,'[2]april-2025'!$H:$H,0,0)</f>
        <v>2500</v>
      </c>
      <c r="AA22">
        <f>_xlfn.XLOOKUP(B22,'[2]april-2025'!$A:$A,'[2]april-2025'!$I:$I,0,0)</f>
        <v>0</v>
      </c>
      <c r="AB22">
        <f>IF($F22="YES",0,IF(Y22&gt;40000,200,IF(Y22&gt;25000,150,IF(Y22&gt;15000,130,IF(Y22&gt;10000,110,0)))))</f>
        <v>200</v>
      </c>
      <c r="AC22">
        <f>Y22-Z22-AA22-AB22</f>
        <v>46810</v>
      </c>
      <c r="AD22">
        <f>_xlfn.XLOOKUP(B22,'[3]may-2025'!$A:$A,'[3]may-2025'!$C:$C,0,0)</f>
        <v>37700</v>
      </c>
      <c r="AE22">
        <f>AD22*0.18</f>
        <v>6786</v>
      </c>
      <c r="AF22">
        <f>AD22*0.12</f>
        <v>4524</v>
      </c>
      <c r="AG22">
        <f>_xlfn.XLOOKUP(B22,'[3]may-2025'!$A:$A,'[3]may-2025'!$D:$D,0,0)</f>
        <v>0</v>
      </c>
      <c r="AH22">
        <f>_xlfn.XLOOKUP(B22,'[3]may-2025'!$A:$A,'[3]may-2025'!$G:$G,0,0)</f>
        <v>500</v>
      </c>
      <c r="AI22">
        <f>IF(AD22&gt;0,SUM(AD22:AH22),0)</f>
        <v>49510</v>
      </c>
      <c r="AJ22">
        <f>_xlfn.XLOOKUP(B22,'[3]may-2025'!$A:$A,'[3]may-2025'!$H:$H,0,0)</f>
        <v>2500</v>
      </c>
      <c r="AK22">
        <f>_xlfn.XLOOKUP(B22,'[3]may-2025'!$A:$A,'[3]may-2025'!$I:$I,0,0)</f>
        <v>0</v>
      </c>
      <c r="AL22">
        <f>IF($F22="YES",0,IF(AI22&gt;40000,200,IF(AI22&gt;25000,150,IF(AI22&gt;15000,130,IF(AI22&gt;10000,110,0)))))</f>
        <v>200</v>
      </c>
      <c r="AM22">
        <f>AI22-AJ22-AK22-AL22</f>
        <v>46810</v>
      </c>
      <c r="AN22">
        <f>_xlfn.XLOOKUP(B22,'[4]june-2025'!$A:$A,'[4]june-2025'!$C:$C,0,0)</f>
        <v>37700</v>
      </c>
      <c r="AO22">
        <f>AN22*0.18</f>
        <v>6786</v>
      </c>
      <c r="AP22">
        <f>AN22*0.12</f>
        <v>4524</v>
      </c>
      <c r="AQ22">
        <f>_xlfn.XLOOKUP(B22,'[4]june-2025'!$A:$A,'[4]june-2025'!$D:$D,0,0)</f>
        <v>0</v>
      </c>
      <c r="AR22">
        <f>_xlfn.XLOOKUP(B22,'[4]june-2025'!$A:$A,'[4]june-2025'!$G:$G,0,0)</f>
        <v>500</v>
      </c>
      <c r="AS22">
        <f>IF(AN22&gt;0,SUM(AN22:AR22),0)</f>
        <v>49510</v>
      </c>
      <c r="AT22">
        <f>_xlfn.XLOOKUP(B22,'[4]june-2025'!$A:$A,'[4]june-2025'!$H:$H,0,0)</f>
        <v>2500</v>
      </c>
      <c r="AU22">
        <f>_xlfn.XLOOKUP(B22,'[4]june-2025'!$A:$A,'[4]june-2025'!$I:$I,0,0)</f>
        <v>0</v>
      </c>
      <c r="AV22">
        <f>IF($F22="YES",0,IF(AS22&gt;40000,200,IF(AS22&gt;25000,150,IF(AS22&gt;15000,130,IF(AS22&gt;10000,110,0)))))</f>
        <v>200</v>
      </c>
      <c r="AW22">
        <f>AS22-AT22-AU22-AV22</f>
        <v>46810</v>
      </c>
      <c r="AX22">
        <f>_xlfn.XLOOKUP(B22,'[5]july-2025'!$A:$A,'[5]july-2025'!$C:$C,0,0)</f>
        <v>38800</v>
      </c>
      <c r="AY22">
        <f>AX22*0.18</f>
        <v>6984</v>
      </c>
      <c r="AZ22">
        <v>0</v>
      </c>
      <c r="BA22">
        <f>AX22*0.12</f>
        <v>4656</v>
      </c>
      <c r="BB22">
        <f>_xlfn.XLOOKUP(B22,'[5]july-2025'!$A:$A,'[5]july-2025'!$D:$D,0,0)</f>
        <v>0</v>
      </c>
      <c r="BC22">
        <f>_xlfn.XLOOKUP(B22,'[5]july-2025'!$A:$A,'[5]july-2025'!$G:$G,0,0)</f>
        <v>500</v>
      </c>
      <c r="BD22">
        <f>IF(AX22&gt;0,SUM(AX22:BC22),0)</f>
        <v>50940</v>
      </c>
      <c r="BE22">
        <f>_xlfn.XLOOKUP(B22,'[5]july-2025'!$A:$A,'[5]july-2025'!$H:$H,0,0)</f>
        <v>2500</v>
      </c>
      <c r="BF22">
        <f>_xlfn.XLOOKUP(B22,'[5]july-2025'!$A:$A,'[5]july-2025'!$I:$I,0,0)</f>
        <v>0</v>
      </c>
      <c r="BG22">
        <f>IF($F22="YES",0,IF(BD22&gt;40000,200,IF(BD22&gt;25000,150,IF(BD22&gt;15000,130,IF(BD22&gt;10000,110,0)))))</f>
        <v>200</v>
      </c>
      <c r="BH22">
        <f>BD22-BE22-BF22-BG22</f>
        <v>48240</v>
      </c>
      <c r="BI22">
        <f>_xlfn.XLOOKUP(B22,'[6]august-2025'!$A:$A,'[6]august-2025'!$C:$C,0,0)</f>
        <v>38800</v>
      </c>
      <c r="BJ22">
        <f>BI22*0.18</f>
        <v>6984</v>
      </c>
      <c r="BK22">
        <f>BI22*0.12</f>
        <v>4656</v>
      </c>
      <c r="BL22">
        <f>_xlfn.XLOOKUP(B22,'[6]august-2025'!$A:$A,'[6]august-2025'!$D:$D,0,0)</f>
        <v>0</v>
      </c>
      <c r="BM22">
        <f>_xlfn.XLOOKUP(B22,'[6]august-2025'!$A:$A,'[6]august-2025'!$G:$G,0,0)</f>
        <v>500</v>
      </c>
      <c r="BN22">
        <f>IF(BI22&gt;0,SUM(BI22:BM22),0)</f>
        <v>50940</v>
      </c>
      <c r="BO22">
        <f>_xlfn.XLOOKUP(B22,'[6]august-2025'!$A:$A,'[6]august-2025'!$H:$H,0,0)</f>
        <v>2500</v>
      </c>
      <c r="BP22">
        <f>_xlfn.XLOOKUP(B22,'[6]august-2025'!$A:$A,'[6]august-2025'!$I:$I,0,0)</f>
        <v>0</v>
      </c>
      <c r="BQ22">
        <f>IF($F22="YES",0,IF(BN22&gt;40000,200,IF(BN22&gt;25000,150,IF(BN22&gt;15000,130,IF(BN22&gt;10000,110,0)))))</f>
        <v>200</v>
      </c>
      <c r="BR22">
        <f>BN22-BO22-BP22-BQ22</f>
        <v>48240</v>
      </c>
      <c r="BS22">
        <f>_xlfn.XLOOKUP(B22,'[7]september-2025'!$A:$A,'[7]september-2025'!$C:$C,0,0)</f>
        <v>38800</v>
      </c>
      <c r="BT22">
        <f>BS22*0.18</f>
        <v>6984</v>
      </c>
      <c r="BU22">
        <f>BS22*0.12</f>
        <v>4656</v>
      </c>
      <c r="BV22">
        <f>_xlfn.XLOOKUP(B22,'[7]september-2025'!$A:$A,'[7]september-2025'!$D:$D,0,0)</f>
        <v>0</v>
      </c>
      <c r="BW22">
        <f>_xlfn.XLOOKUP(B22,'[7]september-2025'!$A:$A,'[7]september-2025'!$G:$G,0,0)</f>
        <v>500</v>
      </c>
      <c r="BX22">
        <f>IF(BS22&gt;0,SUM(BS22:BW22),0)</f>
        <v>50940</v>
      </c>
      <c r="BY22">
        <f>_xlfn.XLOOKUP(B22,'[7]september-2025'!$A:$A,'[7]september-2025'!$H:$H,0,0)</f>
        <v>2500</v>
      </c>
      <c r="BZ22">
        <f>_xlfn.XLOOKUP(B22,'[7]september-2025'!$A:$A,'[7]september-2025'!$I:$I,0,0)</f>
        <v>0</v>
      </c>
      <c r="CA22">
        <f>IF($F22="YES",0,IF(BX22&gt;40000,200,IF(BX22&gt;25000,150,IF(BX22&gt;15000,130,IF(BX22&gt;10000,110,0)))))</f>
        <v>200</v>
      </c>
      <c r="CB22">
        <f>BX22-BY22-BZ22-CA22</f>
        <v>48240</v>
      </c>
      <c r="CC22">
        <f>_xlfn.XLOOKUP(B22,'[8]october-2025'!$A:$A,'[8]october-2025'!$C:$C,0,0)</f>
        <v>38800</v>
      </c>
      <c r="CD22">
        <f>CC22*0.18</f>
        <v>6984</v>
      </c>
      <c r="CE22">
        <f>CC22*0.12</f>
        <v>4656</v>
      </c>
      <c r="CF22">
        <f>_xlfn.XLOOKUP(B22,'[8]october-2025'!$A:$A,'[8]october-2025'!$D:$D,0,0)</f>
        <v>0</v>
      </c>
      <c r="CG22">
        <f>_xlfn.XLOOKUP(B22,'[8]october-2025'!$A:$A,'[8]october-2025'!$G:$G,0,0)</f>
        <v>500</v>
      </c>
      <c r="CH22">
        <f>IF(CC22&gt;0,SUM(CC22:CG22),0)</f>
        <v>50940</v>
      </c>
      <c r="CI22">
        <f>_xlfn.XLOOKUP(B22,'[8]october-2025'!$A:$A,'[8]october-2025'!$H:$H,0,0)</f>
        <v>2500</v>
      </c>
      <c r="CJ22">
        <f>_xlfn.XLOOKUP(B22,'[8]october-2025'!$A:$A,'[8]october-2025'!$I:$I,0,0)</f>
        <v>0</v>
      </c>
      <c r="CK22">
        <f>IF($F22="YES",0,IF(CH22&gt;40000,200,IF(CH22&gt;25000,150,IF(CH22&gt;15000,130,IF(CH22&gt;10000,110,0)))))</f>
        <v>200</v>
      </c>
      <c r="CL22">
        <f>CH22-CI22-CJ22-CK22</f>
        <v>48240</v>
      </c>
      <c r="CM22">
        <f>_xlfn.XLOOKUP(B22,'[9]november-2025'!$A:$A,'[9]november-2025'!$C:$C,0,0)</f>
        <v>38800</v>
      </c>
      <c r="CN22">
        <f>CM22*0.18</f>
        <v>6984</v>
      </c>
      <c r="CO22">
        <f>CM22*0.12</f>
        <v>4656</v>
      </c>
      <c r="CP22">
        <f>_xlfn.XLOOKUP(B22,'[9]november-2025'!$A:$A,'[9]november-2025'!$D:$D,0,0)</f>
        <v>0</v>
      </c>
      <c r="CQ22">
        <f>_xlfn.XLOOKUP(B22,'[9]november-2025'!$A:$A,'[9]november-2025'!$G:$G,0,0)</f>
        <v>500</v>
      </c>
      <c r="CR22">
        <f>IF(CM22&gt;0,SUM(CM22:CQ22),0)</f>
        <v>50940</v>
      </c>
      <c r="CS22">
        <f>_xlfn.XLOOKUP(B22,'[9]november-2025'!$A:$A,'[9]november-2025'!$H:$H,0,0)</f>
        <v>2500</v>
      </c>
      <c r="CT22">
        <f>_xlfn.XLOOKUP(B22,'[9]november-2025'!$A:$A,'[9]november-2025'!$I:$I,0,0)</f>
        <v>0</v>
      </c>
      <c r="CU22">
        <f>IF($F22="YES",0,IF(CR22&gt;40000,200,IF(CR22&gt;25000,150,IF(CR22&gt;15000,130,IF(CR22&gt;10000,110,0)))))</f>
        <v>200</v>
      </c>
      <c r="CV22">
        <f>CR22-CS22-CT22-CU22</f>
        <v>48240</v>
      </c>
      <c r="CW22">
        <f>_xlfn.XLOOKUP(B22,'[10]december-2025'!$A:$A,'[10]december-2025'!$C:$C,0,0)</f>
        <v>38800</v>
      </c>
      <c r="CX22">
        <f>ROUND(CW22*0.18,0)</f>
        <v>6984</v>
      </c>
      <c r="CY22">
        <f>ROUND(CW22*0.12,0)</f>
        <v>4656</v>
      </c>
      <c r="CZ22">
        <f>_xlfn.XLOOKUP(B22,'[10]december-2025'!$A:$A,'[10]december-2025'!$D:$D,0,0)</f>
        <v>0</v>
      </c>
      <c r="DA22">
        <f>_xlfn.XLOOKUP(B22,'[10]december-2025'!$A:$A,'[10]december-2025'!$G:$G,0,0)</f>
        <v>500</v>
      </c>
      <c r="DB22">
        <f>IF(CW22&gt;0,SUM(CW22:DA22),0)</f>
        <v>50940</v>
      </c>
      <c r="DC22">
        <f>_xlfn.XLOOKUP(B22,'[10]december-2025'!$A:$A,'[10]december-2025'!$H:$H,0,0)</f>
        <v>2500</v>
      </c>
      <c r="DD22">
        <f>_xlfn.XLOOKUP(B22,'[10]december-2025'!$A:$A,'[10]december-2025'!$I:$I,0,0)</f>
        <v>0</v>
      </c>
      <c r="DE22">
        <f>IF($F22="YES",0,IF(DB22&gt;40000,200,IF(DB22&gt;25000,150,IF(DB22&gt;15000,130,IF(DB22&gt;10000,110,0)))))</f>
        <v>200</v>
      </c>
      <c r="DF22">
        <f>DB22-DC22-DD22-DE22</f>
        <v>48240</v>
      </c>
      <c r="DG22">
        <f>_xlfn.XLOOKUP(B22,'[11]january-2026'!$A:$A,'[11]january-2026'!$C:$C,0,0)</f>
        <v>38800</v>
      </c>
      <c r="DH22">
        <f>DG22*0.18</f>
        <v>6984</v>
      </c>
      <c r="DI22">
        <f>DG22*0.12</f>
        <v>4656</v>
      </c>
      <c r="DJ22">
        <f>_xlfn.XLOOKUP(B22,'[11]january-2026'!$A:$A,'[11]january-2026'!$D:$D,0,0)</f>
        <v>0</v>
      </c>
      <c r="DK22">
        <f>_xlfn.XLOOKUP(B22,'[11]january-2026'!$A:$A,'[11]january-2026'!$G:$G,0,0)</f>
        <v>500</v>
      </c>
      <c r="DL22">
        <f>IF(DG22&gt;0,SUM(DG22:DK22),0)</f>
        <v>50940</v>
      </c>
      <c r="DM22">
        <f>_xlfn.XLOOKUP(B22,'[11]january-2026'!$A:$A,'[11]january-2026'!$H:$H,0,0)</f>
        <v>2500</v>
      </c>
      <c r="DN22">
        <f>_xlfn.XLOOKUP(B22,'[11]january-2026'!$A:$A,'[11]january-2026'!$I:$I,0,0)</f>
        <v>0</v>
      </c>
      <c r="DO22">
        <f>IF($F22="YES",0,IF(DL22&gt;40000,200,IF(DL22&gt;25000,150,IF(DL22&gt;15000,130,IF(DL22&gt;10000,110,0)))))</f>
        <v>200</v>
      </c>
      <c r="DP22">
        <f>DL22-DM22-DN22-DO22</f>
        <v>48240</v>
      </c>
      <c r="DQ22">
        <f>_xlfn.XLOOKUP(B22,'[12]february-2026'!$A:$A,'[12]february-2026'!$C:$C,0,0)</f>
        <v>38800</v>
      </c>
      <c r="DR22">
        <f>DQ22*0.18</f>
        <v>6984</v>
      </c>
      <c r="DS22">
        <f>DQ22*0.12</f>
        <v>4656</v>
      </c>
      <c r="DT22">
        <f>_xlfn.XLOOKUP(B22,'[12]february-2026'!$A:$A,'[12]february-2026'!$D:$D,0,0)</f>
        <v>0</v>
      </c>
      <c r="DU22">
        <f>_xlfn.XLOOKUP(B22,'[12]february-2026'!$A:$A,'[12]february-2026'!$G:$G,0,0)</f>
        <v>500</v>
      </c>
      <c r="DV22">
        <f>IF(DQ22&gt;0,SUM(DQ22:DU22),0)</f>
        <v>50940</v>
      </c>
      <c r="DW22">
        <f>_xlfn.XLOOKUP(B22,'[12]february-2026'!$A:$A,'[12]february-2026'!$H:$H,0,0)</f>
        <v>2500</v>
      </c>
      <c r="DX22">
        <f>_xlfn.XLOOKUP(B22,'[12]february-2026'!$A:$A,'[12]february-2026'!$I:$I,0,0)</f>
        <v>0</v>
      </c>
      <c r="DY22">
        <f>IF($F22="YES",0,IF(DV22&gt;40000,200,IF(DV22&gt;25000,150,IF(DV22&gt;15000,130,IF(DV22&gt;10000,110,0)))))</f>
        <v>200</v>
      </c>
      <c r="DZ22">
        <f>DV22-DW22-DX22-DY22</f>
        <v>48240</v>
      </c>
      <c r="EA22">
        <f>DV22+DL22+DB22+CR22+CH22+BX22+BN22+BD22+AS22+AI22+Y22+O22+H22+I22</f>
        <v>610852</v>
      </c>
      <c r="EB22">
        <f>DY22+DO22+DE22+CU22+CK22+CA22+BQ22+BG22+AV22+AL22+AB22+R22</f>
        <v>2400</v>
      </c>
      <c r="EC22">
        <f>IF(EA22&gt;0,50000,0)</f>
        <v>50000</v>
      </c>
      <c r="ED22">
        <v>0</v>
      </c>
      <c r="EE22">
        <f>EA22-EB22-EC22</f>
        <v>558452</v>
      </c>
      <c r="EF22">
        <f>DW22+DM22+DC22+CS22+CI22+BY22+BO22+BE22+AT22+AJ22+Z22+P22</f>
        <v>30000</v>
      </c>
      <c r="EG22">
        <f>DX22+DN22+DD22+CT22+CJ22+BZ22+BP22+BF22+AU22+AK22+AA22+Q22</f>
        <v>0</v>
      </c>
      <c r="EH22">
        <v>0</v>
      </c>
      <c r="EI22">
        <v>0</v>
      </c>
      <c r="EJ22">
        <v>0</v>
      </c>
      <c r="EK22">
        <v>0</v>
      </c>
      <c r="EL22">
        <v>0</v>
      </c>
      <c r="EM22">
        <v>0</v>
      </c>
      <c r="EN22">
        <v>0</v>
      </c>
      <c r="EO22">
        <v>0</v>
      </c>
      <c r="EP22">
        <v>0</v>
      </c>
      <c r="EQ22">
        <v>0</v>
      </c>
      <c r="ER22">
        <f>SUM(EF22:EQ22)</f>
        <v>30000</v>
      </c>
      <c r="ES22">
        <f>IF(ER22&gt;=150000,150000,ER22)</f>
        <v>30000</v>
      </c>
      <c r="ET22">
        <f>EE22-ES22</f>
        <v>528452</v>
      </c>
      <c r="EU22">
        <v>0</v>
      </c>
      <c r="EV22">
        <v>0</v>
      </c>
      <c r="EW22">
        <v>0</v>
      </c>
      <c r="EX22">
        <v>0</v>
      </c>
      <c r="EY22">
        <v>0</v>
      </c>
      <c r="EZ22">
        <v>0</v>
      </c>
      <c r="FA22">
        <v>0</v>
      </c>
      <c r="FB22">
        <f>SUM(EU22:FA22)+(IF(F22="YES",50000,0))</f>
        <v>0</v>
      </c>
      <c r="FC22">
        <f>ET22-FB22</f>
        <v>528452</v>
      </c>
      <c r="FD22">
        <f>ROUND(IF(FC22&gt;0,IF(FC22&gt;500000,12500,(FC22-250000)*0.05),0),0)</f>
        <v>12500</v>
      </c>
      <c r="FE22">
        <f>IF(ROUND(IF(FC22&gt;0,IF(FC22&gt;1000000,25000,(FC22-500000)*0.2),0),0)&lt;0,0,ROUND(IF(FC22&gt;0,IF(FC22&gt;1000000,25000,(FC22-500000)*0.2),0),0))</f>
        <v>5690</v>
      </c>
      <c r="FF22">
        <f>FD22+FE22</f>
        <v>18190</v>
      </c>
      <c r="FG22">
        <f>IF(FF22&lt;12500,0,FF22)</f>
        <v>18190</v>
      </c>
      <c r="FH22">
        <f>FG22*0.04</f>
        <v>727.6</v>
      </c>
      <c r="FI22">
        <f>ROUND(FH22+FG22,0)</f>
        <v>18918</v>
      </c>
      <c r="FJ22">
        <v>0</v>
      </c>
      <c r="FK22">
        <f>FI22-FJ22</f>
        <v>18918</v>
      </c>
      <c r="FL22" t="b">
        <f>IF(EA22&gt;500000,TRUE,FALSE)</f>
        <v>1</v>
      </c>
      <c r="FM22">
        <f ca="1">IF(FL22,RANDBETWEEN(500,1000),RANDBETWEEN(1000,3000))</f>
        <v>678</v>
      </c>
      <c r="FN22">
        <f ca="1">EA22+FM22</f>
        <v>611530</v>
      </c>
      <c r="FO22">
        <f>IF(EA22&gt;0,75000,0)</f>
        <v>75000</v>
      </c>
      <c r="FP22">
        <f ca="1">FN22-FO22</f>
        <v>536530</v>
      </c>
      <c r="FQ22">
        <f ca="1">IF(FP22&gt;2400000,FP22-2400000,0)</f>
        <v>0</v>
      </c>
      <c r="FR22">
        <f ca="1">FQ22*0.3</f>
        <v>0</v>
      </c>
      <c r="FS22">
        <f ca="1">IF(FP22&gt;2000000,FP22-2000000,0)</f>
        <v>0</v>
      </c>
      <c r="FT22">
        <f ca="1">FS22*0.25</f>
        <v>0</v>
      </c>
      <c r="FU22">
        <f ca="1">IF(FP22&gt;1600000,FP22-1600000-FQ22,0)</f>
        <v>0</v>
      </c>
      <c r="FV22">
        <f ca="1">FU22*0.2</f>
        <v>0</v>
      </c>
      <c r="FW22">
        <f ca="1">IF(FP22&gt;1200000,FP22-1200000-IF(F22="YES",50000,0)-FU22,0)</f>
        <v>0</v>
      </c>
      <c r="FX22">
        <f ca="1">FW22*0.15</f>
        <v>0</v>
      </c>
      <c r="FY22">
        <f ca="1">IF(FP22&gt;800000,FP22-800000-FQ22-FU22-FW22,0)</f>
        <v>0</v>
      </c>
      <c r="FZ22">
        <f ca="1">FY22*0.1</f>
        <v>0</v>
      </c>
      <c r="GA22">
        <f ca="1">IF(FP22&gt;400000,FP22-400000-FQ22-FU22-FW22-FY22,0)</f>
        <v>136530</v>
      </c>
      <c r="GB22">
        <f ca="1">GA22*0.05</f>
        <v>6826.5</v>
      </c>
      <c r="GC22">
        <f ca="1">ROUND(FR22+FT22+FV22+FX22+FZ22+GB22,0)</f>
        <v>6827</v>
      </c>
      <c r="GD22">
        <f ca="1">IF(FP22&gt;1200000,FP22,0)</f>
        <v>0</v>
      </c>
      <c r="GE22">
        <f ca="1">IF(FP22&gt;1200000,GD22-1200000,0)</f>
        <v>0</v>
      </c>
      <c r="GF22">
        <f ca="1">IF(FP22&lt;1200001,MIN(GC22,60000),0)</f>
        <v>6827</v>
      </c>
      <c r="GG22">
        <f ca="1">IF(FP22&gt;1200000,GC22-GE22,0)</f>
        <v>0</v>
      </c>
      <c r="GH22" t="b">
        <f ca="1">IF(GG22&gt;0,TRUE,FALSE)</f>
        <v>0</v>
      </c>
      <c r="GI22">
        <f ca="1">IF(GH22,GG22,0)</f>
        <v>0</v>
      </c>
      <c r="GJ22">
        <f ca="1">GF22+GI22</f>
        <v>6827</v>
      </c>
      <c r="GK22">
        <f ca="1">ROUND(GC22-GJ22,0)</f>
        <v>0</v>
      </c>
      <c r="GL22">
        <f ca="1">GK22*0.04</f>
        <v>0</v>
      </c>
      <c r="GM22">
        <f ca="1">ROUNDUP(GK22+GL22,0)</f>
        <v>0</v>
      </c>
    </row>
    <row r="23" spans="1:195" x14ac:dyDescent="0.25">
      <c r="A23">
        <f>_xlfn.AGGREGATE(3,5,$B$2:B23)</f>
        <v>22</v>
      </c>
      <c r="B23" t="s">
        <v>166</v>
      </c>
      <c r="C23" t="s">
        <v>167</v>
      </c>
      <c r="D23" t="s">
        <v>756</v>
      </c>
      <c r="E23" t="s">
        <v>833</v>
      </c>
      <c r="F23" t="s">
        <v>959</v>
      </c>
      <c r="G23" t="s">
        <v>891</v>
      </c>
      <c r="H23">
        <f>IF(_xlfn.DAYS("31-03-2025",G23)&gt;=180,6800,0)</f>
        <v>6800</v>
      </c>
      <c r="I23">
        <f>_xlfn.XLOOKUP(B23,'[1]march-2025'!$A:$A,'[1]march-2025'!$J:$J,0,0)</f>
        <v>0</v>
      </c>
      <c r="J23">
        <f>_xlfn.XLOOKUP(B23,'[1]march-2025'!$A:$A,'[1]march-2025'!$C:$C,0,0)</f>
        <v>28900</v>
      </c>
      <c r="K23">
        <f>J23*0.14</f>
        <v>4046.0000000000005</v>
      </c>
      <c r="L23">
        <f>J23*0.12</f>
        <v>3468</v>
      </c>
      <c r="M23">
        <f>_xlfn.XLOOKUP(B23,'[1]march-2025'!$A:$A,'[1]march-2025'!$D:$D,0,0)</f>
        <v>0</v>
      </c>
      <c r="N23">
        <f>_xlfn.XLOOKUP(B23,'[1]march-2025'!$A:$A,'[1]march-2025'!$G:$G,0,0)</f>
        <v>500</v>
      </c>
      <c r="O23">
        <f>IF(J23&gt;0,SUM(J23:N23),0)</f>
        <v>36914</v>
      </c>
      <c r="P23">
        <f>_xlfn.XLOOKUP(B23,'[1]march-2025'!$A:$A,'[1]march-2025'!$H:$H,0,0)</f>
        <v>2000</v>
      </c>
      <c r="Q23">
        <f>_xlfn.XLOOKUP(B23,'[1]march-2025'!$A:$A,'[1]march-2025'!$I:$I,0,0)</f>
        <v>0</v>
      </c>
      <c r="R23">
        <f>IF($F23="YES",0,IF(O23&gt;40000,200,IF(O23&gt;25000,150,IF(O23&gt;15000,130,IF(O23&gt;10000,110,0)))))</f>
        <v>150</v>
      </c>
      <c r="S23">
        <f>O23-P23-Q23-R23</f>
        <v>34764</v>
      </c>
      <c r="T23">
        <f>_xlfn.XLOOKUP(B23,'[2]april-2025'!$A:$A,'[2]april-2025'!$C:$C,0,0)</f>
        <v>28900</v>
      </c>
      <c r="U23">
        <f>T23*0.18</f>
        <v>5202</v>
      </c>
      <c r="V23">
        <f>T23*0.12</f>
        <v>3468</v>
      </c>
      <c r="W23">
        <f>_xlfn.XLOOKUP(B23,'[2]april-2025'!$A:$A,'[2]april-2025'!$D:$D,0,0)</f>
        <v>0</v>
      </c>
      <c r="X23">
        <f>_xlfn.XLOOKUP(B23,'[2]april-2025'!$A:$A,'[2]april-2025'!$G:$G,0,0)</f>
        <v>500</v>
      </c>
      <c r="Y23">
        <f>IF(T23&gt;0,SUM(T23:X23),0)</f>
        <v>38070</v>
      </c>
      <c r="Z23">
        <f>_xlfn.XLOOKUP(B23,'[2]april-2025'!$A:$A,'[2]april-2025'!$H:$H,0,0)</f>
        <v>2000</v>
      </c>
      <c r="AA23">
        <f>_xlfn.XLOOKUP(B23,'[2]april-2025'!$A:$A,'[2]april-2025'!$I:$I,0,0)</f>
        <v>0</v>
      </c>
      <c r="AB23">
        <f>IF($F23="YES",0,IF(Y23&gt;40000,200,IF(Y23&gt;25000,150,IF(Y23&gt;15000,130,IF(Y23&gt;10000,110,0)))))</f>
        <v>150</v>
      </c>
      <c r="AC23">
        <f>Y23-Z23-AA23-AB23</f>
        <v>35920</v>
      </c>
      <c r="AD23">
        <f>_xlfn.XLOOKUP(B23,'[3]may-2025'!$A:$A,'[3]may-2025'!$C:$C,0,0)</f>
        <v>28900</v>
      </c>
      <c r="AE23">
        <f>AD23*0.18</f>
        <v>5202</v>
      </c>
      <c r="AF23">
        <f>AD23*0.12</f>
        <v>3468</v>
      </c>
      <c r="AG23">
        <f>_xlfn.XLOOKUP(B23,'[3]may-2025'!$A:$A,'[3]may-2025'!$D:$D,0,0)</f>
        <v>0</v>
      </c>
      <c r="AH23">
        <f>_xlfn.XLOOKUP(B23,'[3]may-2025'!$A:$A,'[3]may-2025'!$G:$G,0,0)</f>
        <v>500</v>
      </c>
      <c r="AI23">
        <f>IF(AD23&gt;0,SUM(AD23:AH23),0)</f>
        <v>38070</v>
      </c>
      <c r="AJ23">
        <f>_xlfn.XLOOKUP(B23,'[3]may-2025'!$A:$A,'[3]may-2025'!$H:$H,0,0)</f>
        <v>2000</v>
      </c>
      <c r="AK23">
        <f>_xlfn.XLOOKUP(B23,'[3]may-2025'!$A:$A,'[3]may-2025'!$I:$I,0,0)</f>
        <v>0</v>
      </c>
      <c r="AL23">
        <f>IF($F23="YES",0,IF(AI23&gt;40000,200,IF(AI23&gt;25000,150,IF(AI23&gt;15000,130,IF(AI23&gt;10000,110,0)))))</f>
        <v>150</v>
      </c>
      <c r="AM23">
        <f>AI23-AJ23-AK23-AL23</f>
        <v>35920</v>
      </c>
      <c r="AN23">
        <f>_xlfn.XLOOKUP(B23,'[4]june-2025'!$A:$A,'[4]june-2025'!$C:$C,0,0)</f>
        <v>28900</v>
      </c>
      <c r="AO23">
        <f>AN23*0.18</f>
        <v>5202</v>
      </c>
      <c r="AP23">
        <f>AN23*0.12</f>
        <v>3468</v>
      </c>
      <c r="AQ23">
        <f>_xlfn.XLOOKUP(B23,'[4]june-2025'!$A:$A,'[4]june-2025'!$D:$D,0,0)</f>
        <v>0</v>
      </c>
      <c r="AR23">
        <f>_xlfn.XLOOKUP(B23,'[4]june-2025'!$A:$A,'[4]june-2025'!$G:$G,0,0)</f>
        <v>500</v>
      </c>
      <c r="AS23">
        <f>IF(AN23&gt;0,SUM(AN23:AR23),0)</f>
        <v>38070</v>
      </c>
      <c r="AT23">
        <f>_xlfn.XLOOKUP(B23,'[4]june-2025'!$A:$A,'[4]june-2025'!$H:$H,0,0)</f>
        <v>2000</v>
      </c>
      <c r="AU23">
        <f>_xlfn.XLOOKUP(B23,'[4]june-2025'!$A:$A,'[4]june-2025'!$I:$I,0,0)</f>
        <v>0</v>
      </c>
      <c r="AV23">
        <f>IF($F23="YES",0,IF(AS23&gt;40000,200,IF(AS23&gt;25000,150,IF(AS23&gt;15000,130,IF(AS23&gt;10000,110,0)))))</f>
        <v>150</v>
      </c>
      <c r="AW23">
        <f>AS23-AT23-AU23-AV23</f>
        <v>35920</v>
      </c>
      <c r="AX23">
        <f>_xlfn.XLOOKUP(B23,'[5]july-2025'!$A:$A,'[5]july-2025'!$C:$C,0,0)</f>
        <v>29800</v>
      </c>
      <c r="AY23">
        <f>AX23*0.18</f>
        <v>5364</v>
      </c>
      <c r="AZ23">
        <v>0</v>
      </c>
      <c r="BA23">
        <f>AX23*0.12</f>
        <v>3576</v>
      </c>
      <c r="BB23">
        <f>_xlfn.XLOOKUP(B23,'[5]july-2025'!$A:$A,'[5]july-2025'!$D:$D,0,0)</f>
        <v>0</v>
      </c>
      <c r="BC23">
        <f>_xlfn.XLOOKUP(B23,'[5]july-2025'!$A:$A,'[5]july-2025'!$G:$G,0,0)</f>
        <v>500</v>
      </c>
      <c r="BD23">
        <f>IF(AX23&gt;0,SUM(AX23:BC23),0)</f>
        <v>39240</v>
      </c>
      <c r="BE23">
        <f>_xlfn.XLOOKUP(B23,'[5]july-2025'!$A:$A,'[5]july-2025'!$H:$H,0,0)</f>
        <v>2000</v>
      </c>
      <c r="BF23">
        <f>_xlfn.XLOOKUP(B23,'[5]july-2025'!$A:$A,'[5]july-2025'!$I:$I,0,0)</f>
        <v>0</v>
      </c>
      <c r="BG23">
        <f>IF($F23="YES",0,IF(BD23&gt;40000,200,IF(BD23&gt;25000,150,IF(BD23&gt;15000,130,IF(BD23&gt;10000,110,0)))))</f>
        <v>150</v>
      </c>
      <c r="BH23">
        <f>BD23-BE23-BF23-BG23</f>
        <v>37090</v>
      </c>
      <c r="BI23">
        <f>_xlfn.XLOOKUP(B23,'[6]august-2025'!$A:$A,'[6]august-2025'!$C:$C,0,0)</f>
        <v>29800</v>
      </c>
      <c r="BJ23">
        <f>BI23*0.18</f>
        <v>5364</v>
      </c>
      <c r="BK23">
        <f>BI23*0.12</f>
        <v>3576</v>
      </c>
      <c r="BL23">
        <f>_xlfn.XLOOKUP(B23,'[6]august-2025'!$A:$A,'[6]august-2025'!$D:$D,0,0)</f>
        <v>0</v>
      </c>
      <c r="BM23">
        <f>_xlfn.XLOOKUP(B23,'[6]august-2025'!$A:$A,'[6]august-2025'!$G:$G,0,0)</f>
        <v>500</v>
      </c>
      <c r="BN23">
        <f>IF(BI23&gt;0,SUM(BI23:BM23),0)</f>
        <v>39240</v>
      </c>
      <c r="BO23">
        <f>_xlfn.XLOOKUP(B23,'[6]august-2025'!$A:$A,'[6]august-2025'!$H:$H,0,0)</f>
        <v>2000</v>
      </c>
      <c r="BP23">
        <f>_xlfn.XLOOKUP(B23,'[6]august-2025'!$A:$A,'[6]august-2025'!$I:$I,0,0)</f>
        <v>0</v>
      </c>
      <c r="BQ23">
        <f>IF($F23="YES",0,IF(BN23&gt;40000,200,IF(BN23&gt;25000,150,IF(BN23&gt;15000,130,IF(BN23&gt;10000,110,0)))))</f>
        <v>150</v>
      </c>
      <c r="BR23">
        <f>BN23-BO23-BP23-BQ23</f>
        <v>37090</v>
      </c>
      <c r="BS23">
        <f>_xlfn.XLOOKUP(B23,'[7]september-2025'!$A:$A,'[7]september-2025'!$C:$C,0,0)</f>
        <v>29800</v>
      </c>
      <c r="BT23">
        <f>BS23*0.18</f>
        <v>5364</v>
      </c>
      <c r="BU23">
        <f>BS23*0.12</f>
        <v>3576</v>
      </c>
      <c r="BV23">
        <f>_xlfn.XLOOKUP(B23,'[7]september-2025'!$A:$A,'[7]september-2025'!$D:$D,0,0)</f>
        <v>0</v>
      </c>
      <c r="BW23">
        <f>_xlfn.XLOOKUP(B23,'[7]september-2025'!$A:$A,'[7]september-2025'!$G:$G,0,0)</f>
        <v>500</v>
      </c>
      <c r="BX23">
        <f>IF(BS23&gt;0,SUM(BS23:BW23),0)</f>
        <v>39240</v>
      </c>
      <c r="BY23">
        <f>_xlfn.XLOOKUP(B23,'[7]september-2025'!$A:$A,'[7]september-2025'!$H:$H,0,0)</f>
        <v>2000</v>
      </c>
      <c r="BZ23">
        <f>_xlfn.XLOOKUP(B23,'[7]september-2025'!$A:$A,'[7]september-2025'!$I:$I,0,0)</f>
        <v>0</v>
      </c>
      <c r="CA23">
        <f>IF($F23="YES",0,IF(BX23&gt;40000,200,IF(BX23&gt;25000,150,IF(BX23&gt;15000,130,IF(BX23&gt;10000,110,0)))))</f>
        <v>150</v>
      </c>
      <c r="CB23">
        <f>BX23-BY23-BZ23-CA23</f>
        <v>37090</v>
      </c>
      <c r="CC23">
        <f>_xlfn.XLOOKUP(B23,'[8]october-2025'!$A:$A,'[8]october-2025'!$C:$C,0,0)</f>
        <v>29800</v>
      </c>
      <c r="CD23">
        <f>CC23*0.18</f>
        <v>5364</v>
      </c>
      <c r="CE23">
        <f>CC23*0.12</f>
        <v>3576</v>
      </c>
      <c r="CF23">
        <f>_xlfn.XLOOKUP(B23,'[8]october-2025'!$A:$A,'[8]october-2025'!$D:$D,0,0)</f>
        <v>0</v>
      </c>
      <c r="CG23">
        <f>_xlfn.XLOOKUP(B23,'[8]october-2025'!$A:$A,'[8]october-2025'!$G:$G,0,0)</f>
        <v>500</v>
      </c>
      <c r="CH23">
        <f>IF(CC23&gt;0,SUM(CC23:CG23),0)</f>
        <v>39240</v>
      </c>
      <c r="CI23">
        <f>_xlfn.XLOOKUP(B23,'[8]october-2025'!$A:$A,'[8]october-2025'!$H:$H,0,0)</f>
        <v>2000</v>
      </c>
      <c r="CJ23">
        <f>_xlfn.XLOOKUP(B23,'[8]october-2025'!$A:$A,'[8]october-2025'!$I:$I,0,0)</f>
        <v>0</v>
      </c>
      <c r="CK23">
        <f>IF($F23="YES",0,IF(CH23&gt;40000,200,IF(CH23&gt;25000,150,IF(CH23&gt;15000,130,IF(CH23&gt;10000,110,0)))))</f>
        <v>150</v>
      </c>
      <c r="CL23">
        <f>CH23-CI23-CJ23-CK23</f>
        <v>37090</v>
      </c>
      <c r="CM23">
        <f>_xlfn.XLOOKUP(B23,'[9]november-2025'!$A:$A,'[9]november-2025'!$C:$C,0,0)</f>
        <v>29800</v>
      </c>
      <c r="CN23">
        <f>CM23*0.18</f>
        <v>5364</v>
      </c>
      <c r="CO23">
        <f>CM23*0.12</f>
        <v>3576</v>
      </c>
      <c r="CP23">
        <f>_xlfn.XLOOKUP(B23,'[9]november-2025'!$A:$A,'[9]november-2025'!$D:$D,0,0)</f>
        <v>0</v>
      </c>
      <c r="CQ23">
        <f>_xlfn.XLOOKUP(B23,'[9]november-2025'!$A:$A,'[9]november-2025'!$G:$G,0,0)</f>
        <v>500</v>
      </c>
      <c r="CR23">
        <f>IF(CM23&gt;0,SUM(CM23:CQ23),0)</f>
        <v>39240</v>
      </c>
      <c r="CS23">
        <f>_xlfn.XLOOKUP(B23,'[9]november-2025'!$A:$A,'[9]november-2025'!$H:$H,0,0)</f>
        <v>2000</v>
      </c>
      <c r="CT23">
        <f>_xlfn.XLOOKUP(B23,'[9]november-2025'!$A:$A,'[9]november-2025'!$I:$I,0,0)</f>
        <v>0</v>
      </c>
      <c r="CU23">
        <f>IF($F23="YES",0,IF(CR23&gt;40000,200,IF(CR23&gt;25000,150,IF(CR23&gt;15000,130,IF(CR23&gt;10000,110,0)))))</f>
        <v>150</v>
      </c>
      <c r="CV23">
        <f>CR23-CS23-CT23-CU23</f>
        <v>37090</v>
      </c>
      <c r="CW23">
        <f>_xlfn.XLOOKUP(B23,'[10]december-2025'!$A:$A,'[10]december-2025'!$C:$C,0,0)</f>
        <v>29800</v>
      </c>
      <c r="CX23">
        <f>ROUND(CW23*0.18,0)</f>
        <v>5364</v>
      </c>
      <c r="CY23">
        <f>ROUND(CW23*0.12,0)</f>
        <v>3576</v>
      </c>
      <c r="CZ23">
        <f>_xlfn.XLOOKUP(B23,'[10]december-2025'!$A:$A,'[10]december-2025'!$D:$D,0,0)</f>
        <v>0</v>
      </c>
      <c r="DA23">
        <f>_xlfn.XLOOKUP(B23,'[10]december-2025'!$A:$A,'[10]december-2025'!$G:$G,0,0)</f>
        <v>500</v>
      </c>
      <c r="DB23">
        <f>IF(CW23&gt;0,SUM(CW23:DA23),0)</f>
        <v>39240</v>
      </c>
      <c r="DC23">
        <f>_xlfn.XLOOKUP(B23,'[10]december-2025'!$A:$A,'[10]december-2025'!$H:$H,0,0)</f>
        <v>2000</v>
      </c>
      <c r="DD23">
        <f>_xlfn.XLOOKUP(B23,'[10]december-2025'!$A:$A,'[10]december-2025'!$I:$I,0,0)</f>
        <v>0</v>
      </c>
      <c r="DE23">
        <f>IF($F23="YES",0,IF(DB23&gt;40000,200,IF(DB23&gt;25000,150,IF(DB23&gt;15000,130,IF(DB23&gt;10000,110,0)))))</f>
        <v>150</v>
      </c>
      <c r="DF23">
        <f>DB23-DC23-DD23-DE23</f>
        <v>37090</v>
      </c>
      <c r="DG23">
        <f>_xlfn.XLOOKUP(B23,'[11]january-2026'!$A:$A,'[11]january-2026'!$C:$C,0,0)</f>
        <v>29800</v>
      </c>
      <c r="DH23">
        <f>DG23*0.18</f>
        <v>5364</v>
      </c>
      <c r="DI23">
        <f>DG23*0.12</f>
        <v>3576</v>
      </c>
      <c r="DJ23">
        <f>_xlfn.XLOOKUP(B23,'[11]january-2026'!$A:$A,'[11]january-2026'!$D:$D,0,0)</f>
        <v>0</v>
      </c>
      <c r="DK23">
        <f>_xlfn.XLOOKUP(B23,'[11]january-2026'!$A:$A,'[11]january-2026'!$G:$G,0,0)</f>
        <v>500</v>
      </c>
      <c r="DL23">
        <f>IF(DG23&gt;0,SUM(DG23:DK23),0)</f>
        <v>39240</v>
      </c>
      <c r="DM23">
        <f>_xlfn.XLOOKUP(B23,'[11]january-2026'!$A:$A,'[11]january-2026'!$H:$H,0,0)</f>
        <v>2000</v>
      </c>
      <c r="DN23">
        <f>_xlfn.XLOOKUP(B23,'[11]january-2026'!$A:$A,'[11]january-2026'!$I:$I,0,0)</f>
        <v>0</v>
      </c>
      <c r="DO23">
        <f>IF($F23="YES",0,IF(DL23&gt;40000,200,IF(DL23&gt;25000,150,IF(DL23&gt;15000,130,IF(DL23&gt;10000,110,0)))))</f>
        <v>150</v>
      </c>
      <c r="DP23">
        <f>DL23-DM23-DN23-DO23</f>
        <v>37090</v>
      </c>
      <c r="DQ23">
        <f>_xlfn.XLOOKUP(B23,'[12]february-2026'!$A:$A,'[12]february-2026'!$C:$C,0,0)</f>
        <v>29800</v>
      </c>
      <c r="DR23">
        <f>DQ23*0.18</f>
        <v>5364</v>
      </c>
      <c r="DS23">
        <f>DQ23*0.12</f>
        <v>3576</v>
      </c>
      <c r="DT23">
        <f>_xlfn.XLOOKUP(B23,'[12]february-2026'!$A:$A,'[12]february-2026'!$D:$D,0,0)</f>
        <v>0</v>
      </c>
      <c r="DU23">
        <f>_xlfn.XLOOKUP(B23,'[12]february-2026'!$A:$A,'[12]february-2026'!$G:$G,0,0)</f>
        <v>500</v>
      </c>
      <c r="DV23">
        <f>IF(DQ23&gt;0,SUM(DQ23:DU23),0)</f>
        <v>39240</v>
      </c>
      <c r="DW23">
        <f>_xlfn.XLOOKUP(B23,'[12]february-2026'!$A:$A,'[12]february-2026'!$H:$H,0,0)</f>
        <v>2000</v>
      </c>
      <c r="DX23">
        <f>_xlfn.XLOOKUP(B23,'[12]february-2026'!$A:$A,'[12]february-2026'!$I:$I,0,0)</f>
        <v>0</v>
      </c>
      <c r="DY23">
        <f>IF($F23="YES",0,IF(DV23&gt;40000,200,IF(DV23&gt;25000,150,IF(DV23&gt;15000,130,IF(DV23&gt;10000,110,0)))))</f>
        <v>150</v>
      </c>
      <c r="DZ23">
        <f>DV23-DW23-DX23-DY23</f>
        <v>37090</v>
      </c>
      <c r="EA23">
        <f>DV23+DL23+DB23+CR23+CH23+BX23+BN23+BD23+AS23+AI23+Y23+O23+H23+I23</f>
        <v>471844</v>
      </c>
      <c r="EB23">
        <f>DY23+DO23+DE23+CU23+CK23+CA23+BQ23+BG23+AV23+AL23+AB23+R23</f>
        <v>1800</v>
      </c>
      <c r="EC23">
        <f>IF(EA23&gt;0,50000,0)</f>
        <v>50000</v>
      </c>
      <c r="ED23">
        <v>0</v>
      </c>
      <c r="EE23">
        <f>EA23-EB23-EC23</f>
        <v>420044</v>
      </c>
      <c r="EF23">
        <f>DW23+DM23+DC23+CS23+CI23+BY23+BO23+BE23+AT23+AJ23+Z23+P23</f>
        <v>24000</v>
      </c>
      <c r="EG23">
        <f>DX23+DN23+DD23+CT23+CJ23+BZ23+BP23+BF23+AU23+AK23+AA23+Q23</f>
        <v>0</v>
      </c>
      <c r="EH23">
        <v>0</v>
      </c>
      <c r="EI23">
        <v>0</v>
      </c>
      <c r="EJ23">
        <v>0</v>
      </c>
      <c r="EK23">
        <v>0</v>
      </c>
      <c r="EL23">
        <v>0</v>
      </c>
      <c r="EM23">
        <v>0</v>
      </c>
      <c r="EN23">
        <v>0</v>
      </c>
      <c r="EO23">
        <v>0</v>
      </c>
      <c r="EP23">
        <v>0</v>
      </c>
      <c r="EQ23">
        <v>0</v>
      </c>
      <c r="ER23">
        <f>SUM(EF23:EQ23)</f>
        <v>24000</v>
      </c>
      <c r="ES23">
        <f>IF(ER23&gt;=150000,150000,ER23)</f>
        <v>24000</v>
      </c>
      <c r="ET23">
        <f>EE23-ES23</f>
        <v>396044</v>
      </c>
      <c r="EU23">
        <v>0</v>
      </c>
      <c r="EV23">
        <v>0</v>
      </c>
      <c r="EW23">
        <v>0</v>
      </c>
      <c r="EX23">
        <v>0</v>
      </c>
      <c r="EY23">
        <v>0</v>
      </c>
      <c r="EZ23">
        <v>0</v>
      </c>
      <c r="FA23">
        <v>0</v>
      </c>
      <c r="FB23">
        <f>SUM(EU23:FA23)+(IF(F23="YES",50000,0))</f>
        <v>0</v>
      </c>
      <c r="FC23">
        <f>ET23-FB23</f>
        <v>396044</v>
      </c>
      <c r="FD23">
        <f>ROUND(IF(FC23&gt;0,IF(FC23&gt;500000,12500,(FC23-250000)*0.05),0),0)</f>
        <v>7302</v>
      </c>
      <c r="FE23">
        <f>IF(ROUND(IF(FC23&gt;0,IF(FC23&gt;1000000,25000,(FC23-500000)*0.2),0),0)&lt;0,0,ROUND(IF(FC23&gt;0,IF(FC23&gt;1000000,25000,(FC23-500000)*0.2),0),0))</f>
        <v>0</v>
      </c>
      <c r="FF23">
        <f>FD23+FE23</f>
        <v>7302</v>
      </c>
      <c r="FG23">
        <f>IF(FF23&lt;12500,0,FF23)</f>
        <v>0</v>
      </c>
      <c r="FH23">
        <f>FG23*0.04</f>
        <v>0</v>
      </c>
      <c r="FI23">
        <f>ROUND(FH23+FG23,0)</f>
        <v>0</v>
      </c>
      <c r="FJ23">
        <v>0</v>
      </c>
      <c r="FK23">
        <f>FI23-FJ23</f>
        <v>0</v>
      </c>
      <c r="FL23" t="b">
        <f>IF(EA23&gt;500000,TRUE,FALSE)</f>
        <v>0</v>
      </c>
      <c r="FM23">
        <f ca="1">IF(FL23,RANDBETWEEN(500,1000),RANDBETWEEN(1000,3000))</f>
        <v>2573</v>
      </c>
      <c r="FN23">
        <f ca="1">EA23+FM23</f>
        <v>474417</v>
      </c>
      <c r="FO23">
        <f>IF(EA23&gt;0,75000,0)</f>
        <v>75000</v>
      </c>
      <c r="FP23">
        <f ca="1">FN23-FO23</f>
        <v>399417</v>
      </c>
      <c r="FQ23">
        <f ca="1">IF(FP23&gt;2400000,FP23-2400000,0)</f>
        <v>0</v>
      </c>
      <c r="FR23">
        <f ca="1">FQ23*0.3</f>
        <v>0</v>
      </c>
      <c r="FS23">
        <f ca="1">IF(FP23&gt;2000000,FP23-2000000,0)</f>
        <v>0</v>
      </c>
      <c r="FT23">
        <f ca="1">FS23*0.25</f>
        <v>0</v>
      </c>
      <c r="FU23">
        <f ca="1">IF(FP23&gt;1600000,FP23-1600000-FQ23,0)</f>
        <v>0</v>
      </c>
      <c r="FV23">
        <f ca="1">FU23*0.2</f>
        <v>0</v>
      </c>
      <c r="FW23">
        <f ca="1">IF(FP23&gt;1200000,FP23-1200000-IF(F23="YES",50000,0)-FU23,0)</f>
        <v>0</v>
      </c>
      <c r="FX23">
        <f ca="1">FW23*0.15</f>
        <v>0</v>
      </c>
      <c r="FY23">
        <f ca="1">IF(FP23&gt;800000,FP23-800000-FQ23-FU23-FW23,0)</f>
        <v>0</v>
      </c>
      <c r="FZ23">
        <f ca="1">FY23*0.1</f>
        <v>0</v>
      </c>
      <c r="GA23">
        <f ca="1">IF(FP23&gt;400000,FP23-400000-FQ23-FU23-FW23-FY23,0)</f>
        <v>0</v>
      </c>
      <c r="GB23">
        <f ca="1">GA23*0.05</f>
        <v>0</v>
      </c>
      <c r="GC23">
        <f ca="1">ROUND(FR23+FT23+FV23+FX23+FZ23+GB23,0)</f>
        <v>0</v>
      </c>
      <c r="GD23">
        <f ca="1">IF(FP23&gt;1200000,FP23,0)</f>
        <v>0</v>
      </c>
      <c r="GE23">
        <f ca="1">IF(FP23&gt;1200000,GD23-1200000,0)</f>
        <v>0</v>
      </c>
      <c r="GF23">
        <f ca="1">IF(FP23&lt;1200001,MIN(GC23,60000),0)</f>
        <v>0</v>
      </c>
      <c r="GG23">
        <f ca="1">IF(FP23&gt;1200000,GC23-GE23,0)</f>
        <v>0</v>
      </c>
      <c r="GH23" t="b">
        <f ca="1">IF(GG23&gt;0,TRUE,FALSE)</f>
        <v>0</v>
      </c>
      <c r="GI23">
        <f ca="1">IF(GH23,GG23,0)</f>
        <v>0</v>
      </c>
      <c r="GJ23">
        <f ca="1">GF23+GI23</f>
        <v>0</v>
      </c>
      <c r="GK23">
        <f ca="1">ROUND(GC23-GJ23,0)</f>
        <v>0</v>
      </c>
      <c r="GL23">
        <f ca="1">GK23*0.04</f>
        <v>0</v>
      </c>
      <c r="GM23">
        <f ca="1">ROUNDUP(GK23+GL23,0)</f>
        <v>0</v>
      </c>
    </row>
    <row r="24" spans="1:195" x14ac:dyDescent="0.25">
      <c r="A24">
        <f>_xlfn.AGGREGATE(3,5,$B$2:B24)</f>
        <v>23</v>
      </c>
      <c r="B24" t="s">
        <v>863</v>
      </c>
      <c r="C24" t="s">
        <v>864</v>
      </c>
      <c r="D24" t="s">
        <v>756</v>
      </c>
      <c r="E24" t="s">
        <v>833</v>
      </c>
      <c r="F24" t="s">
        <v>961</v>
      </c>
      <c r="G24" t="s">
        <v>892</v>
      </c>
      <c r="H24">
        <f>IF(_xlfn.DAYS("31-03-2025",G24)&gt;=180,6800,0)</f>
        <v>0</v>
      </c>
      <c r="I24">
        <f>_xlfn.XLOOKUP(B24,'[1]march-2025'!$A:$A,'[1]march-2025'!$J:$J,0,0)</f>
        <v>0</v>
      </c>
      <c r="J24">
        <f>_xlfn.XLOOKUP(B24,'[1]march-2025'!$A:$A,'[1]march-2025'!$C:$C,0,0)</f>
        <v>0</v>
      </c>
      <c r="K24">
        <f>J24*0.14</f>
        <v>0</v>
      </c>
      <c r="L24">
        <f>J24*0.12</f>
        <v>0</v>
      </c>
      <c r="M24">
        <f>_xlfn.XLOOKUP(B24,'[1]march-2025'!$A:$A,'[1]march-2025'!$D:$D,0,0)</f>
        <v>0</v>
      </c>
      <c r="N24">
        <f>_xlfn.XLOOKUP(B24,'[1]march-2025'!$A:$A,'[1]march-2025'!$G:$G,0,0)</f>
        <v>0</v>
      </c>
      <c r="O24">
        <f>IF(J24&gt;0,SUM(J24:N24),0)</f>
        <v>0</v>
      </c>
      <c r="P24">
        <f>_xlfn.XLOOKUP(B24,'[1]march-2025'!$A:$A,'[1]march-2025'!$H:$H,0,0)</f>
        <v>0</v>
      </c>
      <c r="Q24">
        <f>_xlfn.XLOOKUP(B24,'[1]march-2025'!$A:$A,'[1]march-2025'!$I:$I,0,0)</f>
        <v>0</v>
      </c>
      <c r="R24">
        <f>IF($F24="YES",0,IF(O24&gt;40000,200,IF(O24&gt;25000,150,IF(O24&gt;15000,130,IF(O24&gt;10000,110,0)))))</f>
        <v>0</v>
      </c>
      <c r="S24">
        <f>O24-P24-Q24-R24</f>
        <v>0</v>
      </c>
      <c r="T24">
        <f>_xlfn.XLOOKUP(B24,'[2]april-2025'!$A:$A,'[2]april-2025'!$C:$C,0,0)</f>
        <v>0</v>
      </c>
      <c r="U24">
        <f>T24*0.18</f>
        <v>0</v>
      </c>
      <c r="V24">
        <f>T24*0.12</f>
        <v>0</v>
      </c>
      <c r="W24">
        <f>_xlfn.XLOOKUP(B24,'[2]april-2025'!$A:$A,'[2]april-2025'!$D:$D,0,0)</f>
        <v>0</v>
      </c>
      <c r="X24">
        <f>_xlfn.XLOOKUP(B24,'[2]april-2025'!$A:$A,'[2]april-2025'!$G:$G,0,0)</f>
        <v>0</v>
      </c>
      <c r="Y24">
        <f>IF(T24&gt;0,SUM(T24:X24),0)</f>
        <v>0</v>
      </c>
      <c r="Z24">
        <f>_xlfn.XLOOKUP(B24,'[2]april-2025'!$A:$A,'[2]april-2025'!$H:$H,0,0)</f>
        <v>0</v>
      </c>
      <c r="AA24">
        <f>_xlfn.XLOOKUP(B24,'[2]april-2025'!$A:$A,'[2]april-2025'!$I:$I,0,0)</f>
        <v>0</v>
      </c>
      <c r="AB24">
        <f>IF($F24="YES",0,IF(Y24&gt;40000,200,IF(Y24&gt;25000,150,IF(Y24&gt;15000,130,IF(Y24&gt;10000,110,0)))))</f>
        <v>0</v>
      </c>
      <c r="AC24">
        <f>Y24-Z24-AA24-AB24</f>
        <v>0</v>
      </c>
      <c r="AD24">
        <f>_xlfn.XLOOKUP(B24,'[3]may-2025'!$A:$A,'[3]may-2025'!$C:$C,0,0)</f>
        <v>24700</v>
      </c>
      <c r="AE24">
        <f>AD24*0.18</f>
        <v>4446</v>
      </c>
      <c r="AF24">
        <f>AD24*0.12</f>
        <v>2964</v>
      </c>
      <c r="AG24">
        <f>_xlfn.XLOOKUP(B24,'[3]may-2025'!$A:$A,'[3]may-2025'!$D:$D,0,0)</f>
        <v>0</v>
      </c>
      <c r="AH24">
        <f>_xlfn.XLOOKUP(B24,'[3]may-2025'!$A:$A,'[3]may-2025'!$G:$G,0,0)</f>
        <v>500</v>
      </c>
      <c r="AI24">
        <f>IF(AD24&gt;0,SUM(AD24:AH24),0)</f>
        <v>32610</v>
      </c>
      <c r="AJ24">
        <f>_xlfn.XLOOKUP(B24,'[3]may-2025'!$A:$A,'[3]may-2025'!$H:$H,0,0)</f>
        <v>0</v>
      </c>
      <c r="AK24">
        <f>_xlfn.XLOOKUP(B24,'[3]may-2025'!$A:$A,'[3]may-2025'!$I:$I,0,0)</f>
        <v>0</v>
      </c>
      <c r="AL24">
        <f>IF($F24="YES",0,IF(AI24&gt;40000,200,IF(AI24&gt;25000,150,IF(AI24&gt;15000,130,IF(AI24&gt;10000,110,0)))))</f>
        <v>150</v>
      </c>
      <c r="AM24">
        <f>AI24-AJ24-AK24-AL24</f>
        <v>32460</v>
      </c>
      <c r="AN24">
        <f>_xlfn.XLOOKUP(B24,'[4]june-2025'!$A:$A,'[4]june-2025'!$C:$C,0,0)</f>
        <v>24700</v>
      </c>
      <c r="AO24">
        <f>AN24*0.18</f>
        <v>4446</v>
      </c>
      <c r="AP24">
        <f>AN24*0.12</f>
        <v>2964</v>
      </c>
      <c r="AQ24">
        <f>_xlfn.XLOOKUP(B24,'[4]june-2025'!$A:$A,'[4]june-2025'!$D:$D,0,0)</f>
        <v>0</v>
      </c>
      <c r="AR24">
        <f>_xlfn.XLOOKUP(B24,'[4]june-2025'!$A:$A,'[4]june-2025'!$G:$G,0,0)</f>
        <v>500</v>
      </c>
      <c r="AS24">
        <f>IF(AN24&gt;0,SUM(AN24:AR24),0)</f>
        <v>32610</v>
      </c>
      <c r="AT24">
        <f>_xlfn.XLOOKUP(B24,'[4]june-2025'!$A:$A,'[4]june-2025'!$H:$H,0,0)</f>
        <v>0</v>
      </c>
      <c r="AU24">
        <f>_xlfn.XLOOKUP(B24,'[4]june-2025'!$A:$A,'[4]june-2025'!$I:$I,0,0)</f>
        <v>0</v>
      </c>
      <c r="AV24">
        <f>IF($F24="YES",0,IF(AS24&gt;40000,200,IF(AS24&gt;25000,150,IF(AS24&gt;15000,130,IF(AS24&gt;10000,110,0)))))</f>
        <v>150</v>
      </c>
      <c r="AW24">
        <f>AS24-AT24-AU24-AV24</f>
        <v>32460</v>
      </c>
      <c r="AX24">
        <f>_xlfn.XLOOKUP(B24,'[5]july-2025'!$A:$A,'[5]july-2025'!$C:$C,0,0)</f>
        <v>24700</v>
      </c>
      <c r="AY24">
        <f>AX24*0.18</f>
        <v>4446</v>
      </c>
      <c r="AZ24">
        <v>0</v>
      </c>
      <c r="BA24">
        <f>AX24*0.12</f>
        <v>2964</v>
      </c>
      <c r="BB24">
        <f>_xlfn.XLOOKUP(B24,'[5]july-2025'!$A:$A,'[5]july-2025'!$D:$D,0,0)</f>
        <v>0</v>
      </c>
      <c r="BC24">
        <f>_xlfn.XLOOKUP(B24,'[5]july-2025'!$A:$A,'[5]july-2025'!$G:$G,0,0)</f>
        <v>500</v>
      </c>
      <c r="BD24">
        <f>IF(AX24&gt;0,SUM(AX24:BC24),0)</f>
        <v>32610</v>
      </c>
      <c r="BE24">
        <f>_xlfn.XLOOKUP(B24,'[5]july-2025'!$A:$A,'[5]july-2025'!$H:$H,0,0)</f>
        <v>0</v>
      </c>
      <c r="BF24">
        <f>_xlfn.XLOOKUP(B24,'[5]july-2025'!$A:$A,'[5]july-2025'!$I:$I,0,0)</f>
        <v>0</v>
      </c>
      <c r="BG24">
        <f>IF($F24="YES",0,IF(BD24&gt;40000,200,IF(BD24&gt;25000,150,IF(BD24&gt;15000,130,IF(BD24&gt;10000,110,0)))))</f>
        <v>150</v>
      </c>
      <c r="BH24">
        <f>BD24-BE24-BF24-BG24</f>
        <v>32460</v>
      </c>
      <c r="BI24">
        <f>_xlfn.XLOOKUP(B24,'[6]august-2025'!$A:$A,'[6]august-2025'!$C:$C,0,0)</f>
        <v>24700</v>
      </c>
      <c r="BJ24">
        <f>BI24*0.18</f>
        <v>4446</v>
      </c>
      <c r="BK24">
        <f>BI24*0.12</f>
        <v>2964</v>
      </c>
      <c r="BL24">
        <f>_xlfn.XLOOKUP(B24,'[6]august-2025'!$A:$A,'[6]august-2025'!$D:$D,0,0)</f>
        <v>0</v>
      </c>
      <c r="BM24">
        <f>_xlfn.XLOOKUP(B24,'[6]august-2025'!$A:$A,'[6]august-2025'!$G:$G,0,0)</f>
        <v>500</v>
      </c>
      <c r="BN24">
        <f>IF(BI24&gt;0,SUM(BI24:BM24),0)</f>
        <v>32610</v>
      </c>
      <c r="BO24">
        <f>_xlfn.XLOOKUP(B24,'[6]august-2025'!$A:$A,'[6]august-2025'!$H:$H,0,0)</f>
        <v>0</v>
      </c>
      <c r="BP24">
        <f>_xlfn.XLOOKUP(B24,'[6]august-2025'!$A:$A,'[6]august-2025'!$I:$I,0,0)</f>
        <v>0</v>
      </c>
      <c r="BQ24">
        <f>IF($F24="YES",0,IF(BN24&gt;40000,200,IF(BN24&gt;25000,150,IF(BN24&gt;15000,130,IF(BN24&gt;10000,110,0)))))</f>
        <v>150</v>
      </c>
      <c r="BR24">
        <f>BN24-BO24-BP24-BQ24</f>
        <v>32460</v>
      </c>
      <c r="BS24">
        <f>_xlfn.XLOOKUP(B24,'[7]september-2025'!$A:$A,'[7]september-2025'!$C:$C,0,0)</f>
        <v>24700</v>
      </c>
      <c r="BT24">
        <f>BS24*0.18</f>
        <v>4446</v>
      </c>
      <c r="BU24">
        <f>BS24*0.12</f>
        <v>2964</v>
      </c>
      <c r="BV24">
        <f>_xlfn.XLOOKUP(B24,'[7]september-2025'!$A:$A,'[7]september-2025'!$D:$D,0,0)</f>
        <v>0</v>
      </c>
      <c r="BW24">
        <f>_xlfn.XLOOKUP(B24,'[7]september-2025'!$A:$A,'[7]september-2025'!$G:$G,0,0)</f>
        <v>500</v>
      </c>
      <c r="BX24">
        <f>IF(BS24&gt;0,SUM(BS24:BW24),0)</f>
        <v>32610</v>
      </c>
      <c r="BY24">
        <f>_xlfn.XLOOKUP(B24,'[7]september-2025'!$A:$A,'[7]september-2025'!$H:$H,0,0)</f>
        <v>0</v>
      </c>
      <c r="BZ24">
        <f>_xlfn.XLOOKUP(B24,'[7]september-2025'!$A:$A,'[7]september-2025'!$I:$I,0,0)</f>
        <v>0</v>
      </c>
      <c r="CA24">
        <f>IF($F24="YES",0,IF(BX24&gt;40000,200,IF(BX24&gt;25000,150,IF(BX24&gt;15000,130,IF(BX24&gt;10000,110,0)))))</f>
        <v>150</v>
      </c>
      <c r="CB24">
        <f>BX24-BY24-BZ24-CA24</f>
        <v>32460</v>
      </c>
      <c r="CC24">
        <f>_xlfn.XLOOKUP(B24,'[8]october-2025'!$A:$A,'[8]october-2025'!$C:$C,0,0)</f>
        <v>24700</v>
      </c>
      <c r="CD24">
        <f>CC24*0.18</f>
        <v>4446</v>
      </c>
      <c r="CE24">
        <f>CC24*0.12</f>
        <v>2964</v>
      </c>
      <c r="CF24">
        <f>_xlfn.XLOOKUP(B24,'[8]october-2025'!$A:$A,'[8]october-2025'!$D:$D,0,0)</f>
        <v>0</v>
      </c>
      <c r="CG24">
        <f>_xlfn.XLOOKUP(B24,'[8]october-2025'!$A:$A,'[8]october-2025'!$G:$G,0,0)</f>
        <v>500</v>
      </c>
      <c r="CH24">
        <f>IF(CC24&gt;0,SUM(CC24:CG24),0)</f>
        <v>32610</v>
      </c>
      <c r="CI24">
        <f>_xlfn.XLOOKUP(B24,'[8]october-2025'!$A:$A,'[8]october-2025'!$H:$H,0,0)</f>
        <v>0</v>
      </c>
      <c r="CJ24">
        <f>_xlfn.XLOOKUP(B24,'[8]october-2025'!$A:$A,'[8]october-2025'!$I:$I,0,0)</f>
        <v>0</v>
      </c>
      <c r="CK24">
        <f>IF($F24="YES",0,IF(CH24&gt;40000,200,IF(CH24&gt;25000,150,IF(CH24&gt;15000,130,IF(CH24&gt;10000,110,0)))))</f>
        <v>150</v>
      </c>
      <c r="CL24">
        <f>CH24-CI24-CJ24-CK24</f>
        <v>32460</v>
      </c>
      <c r="CM24">
        <f>_xlfn.XLOOKUP(B24,'[9]november-2025'!$A:$A,'[9]november-2025'!$C:$C,0,0)</f>
        <v>24700</v>
      </c>
      <c r="CN24">
        <f>CM24*0.18</f>
        <v>4446</v>
      </c>
      <c r="CO24">
        <f>CM24*0.12</f>
        <v>2964</v>
      </c>
      <c r="CP24">
        <f>_xlfn.XLOOKUP(B24,'[9]november-2025'!$A:$A,'[9]november-2025'!$D:$D,0,0)</f>
        <v>0</v>
      </c>
      <c r="CQ24">
        <f>_xlfn.XLOOKUP(B24,'[9]november-2025'!$A:$A,'[9]november-2025'!$G:$G,0,0)</f>
        <v>500</v>
      </c>
      <c r="CR24">
        <f>IF(CM24&gt;0,SUM(CM24:CQ24),0)</f>
        <v>32610</v>
      </c>
      <c r="CS24">
        <f>_xlfn.XLOOKUP(B24,'[9]november-2025'!$A:$A,'[9]november-2025'!$H:$H,0,0)</f>
        <v>0</v>
      </c>
      <c r="CT24">
        <f>_xlfn.XLOOKUP(B24,'[9]november-2025'!$A:$A,'[9]november-2025'!$I:$I,0,0)</f>
        <v>0</v>
      </c>
      <c r="CU24">
        <f>IF($F24="YES",0,IF(CR24&gt;40000,200,IF(CR24&gt;25000,150,IF(CR24&gt;15000,130,IF(CR24&gt;10000,110,0)))))</f>
        <v>150</v>
      </c>
      <c r="CV24">
        <f>CR24-CS24-CT24-CU24</f>
        <v>32460</v>
      </c>
      <c r="CW24">
        <f>_xlfn.XLOOKUP(B24,'[10]december-2025'!$A:$A,'[10]december-2025'!$C:$C,0,0)</f>
        <v>24700</v>
      </c>
      <c r="CX24">
        <f>ROUND(CW24*0.18,0)</f>
        <v>4446</v>
      </c>
      <c r="CY24">
        <f>ROUND(CW24*0.12,0)</f>
        <v>2964</v>
      </c>
      <c r="CZ24">
        <f>_xlfn.XLOOKUP(B24,'[10]december-2025'!$A:$A,'[10]december-2025'!$D:$D,0,0)</f>
        <v>0</v>
      </c>
      <c r="DA24">
        <f>_xlfn.XLOOKUP(B24,'[10]december-2025'!$A:$A,'[10]december-2025'!$G:$G,0,0)</f>
        <v>500</v>
      </c>
      <c r="DB24">
        <f>IF(CW24&gt;0,SUM(CW24:DA24),0)</f>
        <v>32610</v>
      </c>
      <c r="DC24">
        <f>_xlfn.XLOOKUP(B24,'[10]december-2025'!$A:$A,'[10]december-2025'!$H:$H,0,0)</f>
        <v>0</v>
      </c>
      <c r="DD24">
        <f>_xlfn.XLOOKUP(B24,'[10]december-2025'!$A:$A,'[10]december-2025'!$I:$I,0,0)</f>
        <v>0</v>
      </c>
      <c r="DE24">
        <f>IF($F24="YES",0,IF(DB24&gt;40000,200,IF(DB24&gt;25000,150,IF(DB24&gt;15000,130,IF(DB24&gt;10000,110,0)))))</f>
        <v>150</v>
      </c>
      <c r="DF24">
        <f>DB24-DC24-DD24-DE24</f>
        <v>32460</v>
      </c>
      <c r="DG24">
        <f>_xlfn.XLOOKUP(B24,'[11]january-2026'!$A:$A,'[11]january-2026'!$C:$C,0,0)</f>
        <v>24700</v>
      </c>
      <c r="DH24">
        <f>DG24*0.18</f>
        <v>4446</v>
      </c>
      <c r="DI24">
        <f>DG24*0.12</f>
        <v>2964</v>
      </c>
      <c r="DJ24">
        <f>_xlfn.XLOOKUP(B24,'[11]january-2026'!$A:$A,'[11]january-2026'!$D:$D,0,0)</f>
        <v>0</v>
      </c>
      <c r="DK24">
        <f>_xlfn.XLOOKUP(B24,'[11]january-2026'!$A:$A,'[11]january-2026'!$G:$G,0,0)</f>
        <v>500</v>
      </c>
      <c r="DL24">
        <f>IF(DG24&gt;0,SUM(DG24:DK24),0)</f>
        <v>32610</v>
      </c>
      <c r="DM24">
        <f>_xlfn.XLOOKUP(B24,'[11]january-2026'!$A:$A,'[11]january-2026'!$H:$H,0,0)</f>
        <v>2000</v>
      </c>
      <c r="DN24">
        <f>_xlfn.XLOOKUP(B24,'[11]january-2026'!$A:$A,'[11]january-2026'!$I:$I,0,0)</f>
        <v>0</v>
      </c>
      <c r="DO24">
        <f>IF($F24="YES",0,IF(DL24&gt;40000,200,IF(DL24&gt;25000,150,IF(DL24&gt;15000,130,IF(DL24&gt;10000,110,0)))))</f>
        <v>150</v>
      </c>
      <c r="DP24">
        <f>DL24-DM24-DN24-DO24</f>
        <v>30460</v>
      </c>
      <c r="DQ24">
        <f>_xlfn.XLOOKUP(B24,'[12]february-2026'!$A:$A,'[12]february-2026'!$C:$C,0,0)</f>
        <v>24700</v>
      </c>
      <c r="DR24">
        <f>DQ24*0.18</f>
        <v>4446</v>
      </c>
      <c r="DS24">
        <f>DQ24*0.12</f>
        <v>2964</v>
      </c>
      <c r="DT24">
        <f>_xlfn.XLOOKUP(B24,'[12]february-2026'!$A:$A,'[12]february-2026'!$D:$D,0,0)</f>
        <v>0</v>
      </c>
      <c r="DU24">
        <f>_xlfn.XLOOKUP(B24,'[12]february-2026'!$A:$A,'[12]february-2026'!$G:$G,0,0)</f>
        <v>500</v>
      </c>
      <c r="DV24">
        <f>IF(DQ24&gt;0,SUM(DQ24:DU24),0)</f>
        <v>32610</v>
      </c>
      <c r="DW24">
        <f>_xlfn.XLOOKUP(B24,'[12]february-2026'!$A:$A,'[12]february-2026'!$H:$H,0,0)</f>
        <v>2000</v>
      </c>
      <c r="DX24">
        <f>_xlfn.XLOOKUP(B24,'[12]february-2026'!$A:$A,'[12]february-2026'!$I:$I,0,0)</f>
        <v>0</v>
      </c>
      <c r="DY24">
        <f>IF($F24="YES",0,IF(DV24&gt;40000,200,IF(DV24&gt;25000,150,IF(DV24&gt;15000,130,IF(DV24&gt;10000,110,0)))))</f>
        <v>150</v>
      </c>
      <c r="DZ24">
        <f>DV24-DW24-DX24-DY24</f>
        <v>30460</v>
      </c>
      <c r="EA24">
        <f>DV24+DL24+DB24+CR24+CH24+BX24+BN24+BD24+AS24+AI24+Y24+O24+H24+I24</f>
        <v>326100</v>
      </c>
      <c r="EB24">
        <f>DY24+DO24+DE24+CU24+CK24+CA24+BQ24+BG24+AV24+AL24+AB24+R24</f>
        <v>1500</v>
      </c>
      <c r="EC24">
        <f>IF(EA24&gt;0,50000,0)</f>
        <v>50000</v>
      </c>
      <c r="ED24">
        <v>0</v>
      </c>
      <c r="EE24">
        <f>EA24-EB24-EC24</f>
        <v>274600</v>
      </c>
      <c r="EF24">
        <f>DW24+DM24+DC24+CS24+CI24+BY24+BO24+BE24+AT24+AJ24+Z24+P24</f>
        <v>4000</v>
      </c>
      <c r="EG24">
        <f>DX24+DN24+DD24+CT24+CJ24+BZ24+BP24+BF24+AU24+AK24+AA24+Q24</f>
        <v>0</v>
      </c>
      <c r="EH24">
        <v>0</v>
      </c>
      <c r="EI24">
        <v>0</v>
      </c>
      <c r="EJ24">
        <v>0</v>
      </c>
      <c r="EK24">
        <v>0</v>
      </c>
      <c r="EL24">
        <v>0</v>
      </c>
      <c r="EM24">
        <v>0</v>
      </c>
      <c r="EN24">
        <v>0</v>
      </c>
      <c r="EO24">
        <v>0</v>
      </c>
      <c r="EP24">
        <v>0</v>
      </c>
      <c r="EQ24">
        <v>0</v>
      </c>
      <c r="ER24">
        <f>SUM(EF24:EQ24)</f>
        <v>4000</v>
      </c>
      <c r="ES24">
        <f>IF(ER24&gt;=150000,150000,ER24)</f>
        <v>4000</v>
      </c>
      <c r="ET24">
        <f>EE24-ES24</f>
        <v>270600</v>
      </c>
      <c r="EU24">
        <v>0</v>
      </c>
      <c r="EV24">
        <v>0</v>
      </c>
      <c r="EW24">
        <v>0</v>
      </c>
      <c r="EX24">
        <v>0</v>
      </c>
      <c r="EY24">
        <v>0</v>
      </c>
      <c r="EZ24">
        <v>0</v>
      </c>
      <c r="FA24">
        <v>0</v>
      </c>
      <c r="FB24">
        <f>SUM(EU24:FA24)+(IF(F24="YES",50000,0))</f>
        <v>0</v>
      </c>
      <c r="FC24">
        <f>ET24-FB24</f>
        <v>270600</v>
      </c>
      <c r="FD24">
        <f>ROUND(IF(FC24&gt;0,IF(FC24&gt;500000,12500,(FC24-250000)*0.05),0),0)</f>
        <v>1030</v>
      </c>
      <c r="FE24">
        <f>IF(ROUND(IF(FC24&gt;0,IF(FC24&gt;1000000,25000,(FC24-500000)*0.2),0),0)&lt;0,0,ROUND(IF(FC24&gt;0,IF(FC24&gt;1000000,25000,(FC24-500000)*0.2),0),0))</f>
        <v>0</v>
      </c>
      <c r="FF24">
        <f>FD24+FE24</f>
        <v>1030</v>
      </c>
      <c r="FG24">
        <f>IF(FF24&lt;12500,0,FF24)</f>
        <v>0</v>
      </c>
      <c r="FH24">
        <f>FG24*0.04</f>
        <v>0</v>
      </c>
      <c r="FI24">
        <f>ROUND(FH24+FG24,0)</f>
        <v>0</v>
      </c>
      <c r="FJ24">
        <v>0</v>
      </c>
      <c r="FK24">
        <f>FI24-FJ24</f>
        <v>0</v>
      </c>
      <c r="FL24" t="b">
        <f>IF(EA24&gt;500000,TRUE,FALSE)</f>
        <v>0</v>
      </c>
      <c r="FM24">
        <f ca="1">IF(FL24,RANDBETWEEN(500,1000),RANDBETWEEN(1000,3000))</f>
        <v>2001</v>
      </c>
      <c r="FN24">
        <f ca="1">EA24+FM24</f>
        <v>328101</v>
      </c>
      <c r="FO24">
        <f>IF(EA24&gt;0,75000,0)</f>
        <v>75000</v>
      </c>
      <c r="FP24">
        <f ca="1">FN24-FO24</f>
        <v>253101</v>
      </c>
      <c r="FQ24">
        <f ca="1">IF(FP24&gt;2400000,FP24-2400000,0)</f>
        <v>0</v>
      </c>
      <c r="FR24">
        <f ca="1">FQ24*0.3</f>
        <v>0</v>
      </c>
      <c r="FS24">
        <f ca="1">IF(FP24&gt;2000000,FP24-2000000,0)</f>
        <v>0</v>
      </c>
      <c r="FT24">
        <f ca="1">FS24*0.25</f>
        <v>0</v>
      </c>
      <c r="FU24">
        <f ca="1">IF(FP24&gt;1600000,FP24-1600000-FQ24,0)</f>
        <v>0</v>
      </c>
      <c r="FV24">
        <f ca="1">FU24*0.2</f>
        <v>0</v>
      </c>
      <c r="FW24">
        <f ca="1">IF(FP24&gt;1200000,FP24-1200000-IF(F24="YES",50000,0)-FU24,0)</f>
        <v>0</v>
      </c>
      <c r="FX24">
        <f ca="1">FW24*0.15</f>
        <v>0</v>
      </c>
      <c r="FY24">
        <f ca="1">IF(FP24&gt;800000,FP24-800000-FQ24-FU24-FW24,0)</f>
        <v>0</v>
      </c>
      <c r="FZ24">
        <f ca="1">FY24*0.1</f>
        <v>0</v>
      </c>
      <c r="GA24">
        <f ca="1">IF(FP24&gt;400000,FP24-400000-FQ24-FU24-FW24-FY24,0)</f>
        <v>0</v>
      </c>
      <c r="GB24">
        <f ca="1">GA24*0.05</f>
        <v>0</v>
      </c>
      <c r="GC24">
        <f ca="1">ROUND(FR24+FT24+FV24+FX24+FZ24+GB24,0)</f>
        <v>0</v>
      </c>
      <c r="GD24">
        <f ca="1">IF(FP24&gt;1200000,FP24,0)</f>
        <v>0</v>
      </c>
      <c r="GE24">
        <f ca="1">IF(FP24&gt;1200000,GD24-1200000,0)</f>
        <v>0</v>
      </c>
      <c r="GF24">
        <f ca="1">IF(FP24&lt;1200001,MIN(GC24,60000),0)</f>
        <v>0</v>
      </c>
      <c r="GG24">
        <f ca="1">IF(FP24&gt;1200000,GC24-GE24,0)</f>
        <v>0</v>
      </c>
      <c r="GH24" t="b">
        <f ca="1">IF(GG24&gt;0,TRUE,FALSE)</f>
        <v>0</v>
      </c>
      <c r="GI24">
        <f ca="1">IF(GH24,GG24,0)</f>
        <v>0</v>
      </c>
      <c r="GJ24">
        <f ca="1">GF24+GI24</f>
        <v>0</v>
      </c>
      <c r="GK24">
        <f ca="1">ROUND(GC24-GJ24,0)</f>
        <v>0</v>
      </c>
      <c r="GL24">
        <f ca="1">GK24*0.04</f>
        <v>0</v>
      </c>
      <c r="GM24">
        <f ca="1">ROUNDUP(GK24+GL24,0)</f>
        <v>0</v>
      </c>
    </row>
    <row r="25" spans="1:195" x14ac:dyDescent="0.25">
      <c r="A25">
        <f>_xlfn.AGGREGATE(3,5,$B$2:B25)</f>
        <v>24</v>
      </c>
      <c r="B25" t="s">
        <v>168</v>
      </c>
      <c r="C25" t="s">
        <v>169</v>
      </c>
      <c r="D25" t="s">
        <v>757</v>
      </c>
      <c r="E25" t="s">
        <v>834</v>
      </c>
      <c r="F25" t="s">
        <v>959</v>
      </c>
      <c r="G25" t="s">
        <v>887</v>
      </c>
      <c r="H25">
        <f>IF(_xlfn.DAYS("31-03-2025",G25)&gt;=180,6800,0)</f>
        <v>6800</v>
      </c>
      <c r="I25">
        <f>_xlfn.XLOOKUP(B25,'[1]march-2025'!$A:$A,'[1]march-2025'!$J:$J,0,0)</f>
        <v>0</v>
      </c>
      <c r="J25">
        <f>_xlfn.XLOOKUP(B25,'[1]march-2025'!$A:$A,'[1]march-2025'!$C:$C,0,0)</f>
        <v>51700</v>
      </c>
      <c r="K25">
        <f>J25*0.14</f>
        <v>7238.0000000000009</v>
      </c>
      <c r="L25">
        <f>J25*0.12</f>
        <v>6204</v>
      </c>
      <c r="M25">
        <f>_xlfn.XLOOKUP(B25,'[1]march-2025'!$A:$A,'[1]march-2025'!$D:$D,0,0)</f>
        <v>400</v>
      </c>
      <c r="N25">
        <f>_xlfn.XLOOKUP(B25,'[1]march-2025'!$A:$A,'[1]march-2025'!$G:$G,0,0)</f>
        <v>500</v>
      </c>
      <c r="O25">
        <f>IF(J25&gt;0,SUM(J25:N25),0)</f>
        <v>66042</v>
      </c>
      <c r="P25">
        <f>_xlfn.XLOOKUP(B25,'[1]march-2025'!$A:$A,'[1]march-2025'!$H:$H,0,0)</f>
        <v>5000</v>
      </c>
      <c r="Q25">
        <f>_xlfn.XLOOKUP(B25,'[1]march-2025'!$A:$A,'[1]march-2025'!$I:$I,0,0)</f>
        <v>0</v>
      </c>
      <c r="R25">
        <f>IF($F25="YES",0,IF(O25&gt;40000,200,IF(O25&gt;25000,150,IF(O25&gt;15000,130,IF(O25&gt;10000,110,0)))))</f>
        <v>200</v>
      </c>
      <c r="S25">
        <f>O25-P25-Q25-R25</f>
        <v>60842</v>
      </c>
      <c r="T25">
        <f>_xlfn.XLOOKUP(B25,'[2]april-2025'!$A:$A,'[2]april-2025'!$C:$C,0,0)</f>
        <v>51700</v>
      </c>
      <c r="U25">
        <f>T25*0.18</f>
        <v>9306</v>
      </c>
      <c r="V25">
        <f>T25*0.12</f>
        <v>6204</v>
      </c>
      <c r="W25">
        <f>_xlfn.XLOOKUP(B25,'[2]april-2025'!$A:$A,'[2]april-2025'!$D:$D,0,0)</f>
        <v>400</v>
      </c>
      <c r="X25">
        <f>_xlfn.XLOOKUP(B25,'[2]april-2025'!$A:$A,'[2]april-2025'!$G:$G,0,0)</f>
        <v>500</v>
      </c>
      <c r="Y25">
        <f>IF(T25&gt;0,SUM(T25:X25),0)</f>
        <v>68110</v>
      </c>
      <c r="Z25">
        <f>_xlfn.XLOOKUP(B25,'[2]april-2025'!$A:$A,'[2]april-2025'!$H:$H,0,0)</f>
        <v>5000</v>
      </c>
      <c r="AA25">
        <f>_xlfn.XLOOKUP(B25,'[2]april-2025'!$A:$A,'[2]april-2025'!$I:$I,0,0)</f>
        <v>60</v>
      </c>
      <c r="AB25">
        <f>IF($F25="YES",0,IF(Y25&gt;40000,200,IF(Y25&gt;25000,150,IF(Y25&gt;15000,130,IF(Y25&gt;10000,110,0)))))</f>
        <v>200</v>
      </c>
      <c r="AC25">
        <f>Y25-Z25-AA25-AB25</f>
        <v>62850</v>
      </c>
      <c r="AD25">
        <f>_xlfn.XLOOKUP(B25,'[3]may-2025'!$A:$A,'[3]may-2025'!$C:$C,0,0)</f>
        <v>51700</v>
      </c>
      <c r="AE25">
        <f>AD25*0.18</f>
        <v>9306</v>
      </c>
      <c r="AF25">
        <f>AD25*0.12</f>
        <v>6204</v>
      </c>
      <c r="AG25">
        <f>_xlfn.XLOOKUP(B25,'[3]may-2025'!$A:$A,'[3]may-2025'!$D:$D,0,0)</f>
        <v>400</v>
      </c>
      <c r="AH25">
        <f>_xlfn.XLOOKUP(B25,'[3]may-2025'!$A:$A,'[3]may-2025'!$G:$G,0,0)</f>
        <v>500</v>
      </c>
      <c r="AI25">
        <f>IF(AD25&gt;0,SUM(AD25:AH25),0)</f>
        <v>68110</v>
      </c>
      <c r="AJ25">
        <f>_xlfn.XLOOKUP(B25,'[3]may-2025'!$A:$A,'[3]may-2025'!$H:$H,0,0)</f>
        <v>5000</v>
      </c>
      <c r="AK25">
        <f>_xlfn.XLOOKUP(B25,'[3]may-2025'!$A:$A,'[3]may-2025'!$I:$I,0,0)</f>
        <v>60</v>
      </c>
      <c r="AL25">
        <f>IF($F25="YES",0,IF(AI25&gt;40000,200,IF(AI25&gt;25000,150,IF(AI25&gt;15000,130,IF(AI25&gt;10000,110,0)))))</f>
        <v>200</v>
      </c>
      <c r="AM25">
        <f>AI25-AJ25-AK25-AL25</f>
        <v>62850</v>
      </c>
      <c r="AN25">
        <f>_xlfn.XLOOKUP(B25,'[4]june-2025'!$A:$A,'[4]june-2025'!$C:$C,0,0)</f>
        <v>51700</v>
      </c>
      <c r="AO25">
        <f>AN25*0.18</f>
        <v>9306</v>
      </c>
      <c r="AP25">
        <f>AN25*0.12</f>
        <v>6204</v>
      </c>
      <c r="AQ25">
        <f>_xlfn.XLOOKUP(B25,'[4]june-2025'!$A:$A,'[4]june-2025'!$D:$D,0,0)</f>
        <v>400</v>
      </c>
      <c r="AR25">
        <f>_xlfn.XLOOKUP(B25,'[4]june-2025'!$A:$A,'[4]june-2025'!$G:$G,0,0)</f>
        <v>500</v>
      </c>
      <c r="AS25">
        <f>IF(AN25&gt;0,SUM(AN25:AR25),0)</f>
        <v>68110</v>
      </c>
      <c r="AT25">
        <f>_xlfn.XLOOKUP(B25,'[4]june-2025'!$A:$A,'[4]june-2025'!$H:$H,0,0)</f>
        <v>5000</v>
      </c>
      <c r="AU25">
        <f>_xlfn.XLOOKUP(B25,'[4]june-2025'!$A:$A,'[4]june-2025'!$I:$I,0,0)</f>
        <v>60</v>
      </c>
      <c r="AV25">
        <f>IF($F25="YES",0,IF(AS25&gt;40000,200,IF(AS25&gt;25000,150,IF(AS25&gt;15000,130,IF(AS25&gt;10000,110,0)))))</f>
        <v>200</v>
      </c>
      <c r="AW25">
        <f>AS25-AT25-AU25-AV25</f>
        <v>62850</v>
      </c>
      <c r="AX25">
        <f>_xlfn.XLOOKUP(B25,'[5]july-2025'!$A:$A,'[5]july-2025'!$C:$C,0,0)</f>
        <v>53300</v>
      </c>
      <c r="AY25">
        <f>AX25*0.18</f>
        <v>9594</v>
      </c>
      <c r="AZ25">
        <v>0</v>
      </c>
      <c r="BA25">
        <f>AX25*0.12</f>
        <v>6396</v>
      </c>
      <c r="BB25">
        <f>_xlfn.XLOOKUP(B25,'[5]july-2025'!$A:$A,'[5]july-2025'!$D:$D,0,0)</f>
        <v>400</v>
      </c>
      <c r="BC25">
        <f>_xlfn.XLOOKUP(B25,'[5]july-2025'!$A:$A,'[5]july-2025'!$G:$G,0,0)</f>
        <v>500</v>
      </c>
      <c r="BD25">
        <f>IF(AX25&gt;0,SUM(AX25:BC25),0)</f>
        <v>70190</v>
      </c>
      <c r="BE25">
        <f>_xlfn.XLOOKUP(B25,'[5]july-2025'!$A:$A,'[5]july-2025'!$H:$H,0,0)</f>
        <v>5000</v>
      </c>
      <c r="BF25">
        <f>_xlfn.XLOOKUP(B25,'[5]july-2025'!$A:$A,'[5]july-2025'!$I:$I,0,0)</f>
        <v>60</v>
      </c>
      <c r="BG25">
        <f>IF($F25="YES",0,IF(BD25&gt;40000,200,IF(BD25&gt;25000,150,IF(BD25&gt;15000,130,IF(BD25&gt;10000,110,0)))))</f>
        <v>200</v>
      </c>
      <c r="BH25">
        <f>BD25-BE25-BF25-BG25</f>
        <v>64930</v>
      </c>
      <c r="BI25">
        <f>_xlfn.XLOOKUP(B25,'[6]august-2025'!$A:$A,'[6]august-2025'!$C:$C,0,0)</f>
        <v>53300</v>
      </c>
      <c r="BJ25">
        <f>BI25*0.18</f>
        <v>9594</v>
      </c>
      <c r="BK25">
        <f>BI25*0.12</f>
        <v>6396</v>
      </c>
      <c r="BL25">
        <f>_xlfn.XLOOKUP(B25,'[6]august-2025'!$A:$A,'[6]august-2025'!$D:$D,0,0)</f>
        <v>400</v>
      </c>
      <c r="BM25">
        <f>_xlfn.XLOOKUP(B25,'[6]august-2025'!$A:$A,'[6]august-2025'!$G:$G,0,0)</f>
        <v>500</v>
      </c>
      <c r="BN25">
        <f>IF(BI25&gt;0,SUM(BI25:BM25),0)</f>
        <v>70190</v>
      </c>
      <c r="BO25">
        <f>_xlfn.XLOOKUP(B25,'[6]august-2025'!$A:$A,'[6]august-2025'!$H:$H,0,0)</f>
        <v>5000</v>
      </c>
      <c r="BP25">
        <f>_xlfn.XLOOKUP(B25,'[6]august-2025'!$A:$A,'[6]august-2025'!$I:$I,0,0)</f>
        <v>60</v>
      </c>
      <c r="BQ25">
        <f>IF($F25="YES",0,IF(BN25&gt;40000,200,IF(BN25&gt;25000,150,IF(BN25&gt;15000,130,IF(BN25&gt;10000,110,0)))))</f>
        <v>200</v>
      </c>
      <c r="BR25">
        <f>BN25-BO25-BP25-BQ25</f>
        <v>64930</v>
      </c>
      <c r="BS25">
        <f>_xlfn.XLOOKUP(B25,'[7]september-2025'!$A:$A,'[7]september-2025'!$C:$C,0,0)</f>
        <v>53300</v>
      </c>
      <c r="BT25">
        <f>BS25*0.18</f>
        <v>9594</v>
      </c>
      <c r="BU25">
        <f>BS25*0.12</f>
        <v>6396</v>
      </c>
      <c r="BV25">
        <f>_xlfn.XLOOKUP(B25,'[7]september-2025'!$A:$A,'[7]september-2025'!$D:$D,0,0)</f>
        <v>400</v>
      </c>
      <c r="BW25">
        <f>_xlfn.XLOOKUP(B25,'[7]september-2025'!$A:$A,'[7]september-2025'!$G:$G,0,0)</f>
        <v>500</v>
      </c>
      <c r="BX25">
        <f>IF(BS25&gt;0,SUM(BS25:BW25),0)</f>
        <v>70190</v>
      </c>
      <c r="BY25">
        <f>_xlfn.XLOOKUP(B25,'[7]september-2025'!$A:$A,'[7]september-2025'!$H:$H,0,0)</f>
        <v>5000</v>
      </c>
      <c r="BZ25">
        <f>_xlfn.XLOOKUP(B25,'[7]september-2025'!$A:$A,'[7]september-2025'!$I:$I,0,0)</f>
        <v>60</v>
      </c>
      <c r="CA25">
        <f>IF($F25="YES",0,IF(BX25&gt;40000,200,IF(BX25&gt;25000,150,IF(BX25&gt;15000,130,IF(BX25&gt;10000,110,0)))))</f>
        <v>200</v>
      </c>
      <c r="CB25">
        <f>BX25-BY25-BZ25-CA25</f>
        <v>64930</v>
      </c>
      <c r="CC25">
        <f>_xlfn.XLOOKUP(B25,'[8]october-2025'!$A:$A,'[8]october-2025'!$C:$C,0,0)</f>
        <v>53300</v>
      </c>
      <c r="CD25">
        <f>CC25*0.18</f>
        <v>9594</v>
      </c>
      <c r="CE25">
        <f>CC25*0.12</f>
        <v>6396</v>
      </c>
      <c r="CF25">
        <f>_xlfn.XLOOKUP(B25,'[8]october-2025'!$A:$A,'[8]october-2025'!$D:$D,0,0)</f>
        <v>400</v>
      </c>
      <c r="CG25">
        <f>_xlfn.XLOOKUP(B25,'[8]october-2025'!$A:$A,'[8]october-2025'!$G:$G,0,0)</f>
        <v>500</v>
      </c>
      <c r="CH25">
        <f>IF(CC25&gt;0,SUM(CC25:CG25),0)</f>
        <v>70190</v>
      </c>
      <c r="CI25">
        <f>_xlfn.XLOOKUP(B25,'[8]october-2025'!$A:$A,'[8]october-2025'!$H:$H,0,0)</f>
        <v>5000</v>
      </c>
      <c r="CJ25">
        <f>_xlfn.XLOOKUP(B25,'[8]october-2025'!$A:$A,'[8]october-2025'!$I:$I,0,0)</f>
        <v>60</v>
      </c>
      <c r="CK25">
        <f>IF($F25="YES",0,IF(CH25&gt;40000,200,IF(CH25&gt;25000,150,IF(CH25&gt;15000,130,IF(CH25&gt;10000,110,0)))))</f>
        <v>200</v>
      </c>
      <c r="CL25">
        <f>CH25-CI25-CJ25-CK25</f>
        <v>64930</v>
      </c>
      <c r="CM25">
        <f>_xlfn.XLOOKUP(B25,'[9]november-2025'!$A:$A,'[9]november-2025'!$C:$C,0,0)</f>
        <v>53300</v>
      </c>
      <c r="CN25">
        <f>CM25*0.18</f>
        <v>9594</v>
      </c>
      <c r="CO25">
        <f>CM25*0.12</f>
        <v>6396</v>
      </c>
      <c r="CP25">
        <f>_xlfn.XLOOKUP(B25,'[9]november-2025'!$A:$A,'[9]november-2025'!$D:$D,0,0)</f>
        <v>400</v>
      </c>
      <c r="CQ25">
        <f>_xlfn.XLOOKUP(B25,'[9]november-2025'!$A:$A,'[9]november-2025'!$G:$G,0,0)</f>
        <v>500</v>
      </c>
      <c r="CR25">
        <f>IF(CM25&gt;0,SUM(CM25:CQ25),0)</f>
        <v>70190</v>
      </c>
      <c r="CS25">
        <f>_xlfn.XLOOKUP(B25,'[9]november-2025'!$A:$A,'[9]november-2025'!$H:$H,0,0)</f>
        <v>5000</v>
      </c>
      <c r="CT25">
        <f>_xlfn.XLOOKUP(B25,'[9]november-2025'!$A:$A,'[9]november-2025'!$I:$I,0,0)</f>
        <v>60</v>
      </c>
      <c r="CU25">
        <f>IF($F25="YES",0,IF(CR25&gt;40000,200,IF(CR25&gt;25000,150,IF(CR25&gt;15000,130,IF(CR25&gt;10000,110,0)))))</f>
        <v>200</v>
      </c>
      <c r="CV25">
        <f>CR25-CS25-CT25-CU25</f>
        <v>64930</v>
      </c>
      <c r="CW25">
        <f>_xlfn.XLOOKUP(B25,'[10]december-2025'!$A:$A,'[10]december-2025'!$C:$C,0,0)</f>
        <v>53300</v>
      </c>
      <c r="CX25">
        <f>ROUND(CW25*0.18,0)</f>
        <v>9594</v>
      </c>
      <c r="CY25">
        <f>ROUND(CW25*0.12,0)</f>
        <v>6396</v>
      </c>
      <c r="CZ25">
        <f>_xlfn.XLOOKUP(B25,'[10]december-2025'!$A:$A,'[10]december-2025'!$D:$D,0,0)</f>
        <v>400</v>
      </c>
      <c r="DA25">
        <f>_xlfn.XLOOKUP(B25,'[10]december-2025'!$A:$A,'[10]december-2025'!$G:$G,0,0)</f>
        <v>500</v>
      </c>
      <c r="DB25">
        <f>IF(CW25&gt;0,SUM(CW25:DA25),0)</f>
        <v>70190</v>
      </c>
      <c r="DC25">
        <f>_xlfn.XLOOKUP(B25,'[10]december-2025'!$A:$A,'[10]december-2025'!$H:$H,0,0)</f>
        <v>5000</v>
      </c>
      <c r="DD25">
        <f>_xlfn.XLOOKUP(B25,'[10]december-2025'!$A:$A,'[10]december-2025'!$I:$I,0,0)</f>
        <v>60</v>
      </c>
      <c r="DE25">
        <f>IF($F25="YES",0,IF(DB25&gt;40000,200,IF(DB25&gt;25000,150,IF(DB25&gt;15000,130,IF(DB25&gt;10000,110,0)))))</f>
        <v>200</v>
      </c>
      <c r="DF25">
        <f>DB25-DC25-DD25-DE25</f>
        <v>64930</v>
      </c>
      <c r="DG25">
        <f>_xlfn.XLOOKUP(B25,'[11]january-2026'!$A:$A,'[11]january-2026'!$C:$C,0,0)</f>
        <v>53300</v>
      </c>
      <c r="DH25">
        <f>DG25*0.18</f>
        <v>9594</v>
      </c>
      <c r="DI25">
        <f>DG25*0.12</f>
        <v>6396</v>
      </c>
      <c r="DJ25">
        <f>_xlfn.XLOOKUP(B25,'[11]january-2026'!$A:$A,'[11]january-2026'!$D:$D,0,0)</f>
        <v>400</v>
      </c>
      <c r="DK25">
        <f>_xlfn.XLOOKUP(B25,'[11]january-2026'!$A:$A,'[11]january-2026'!$G:$G,0,0)</f>
        <v>500</v>
      </c>
      <c r="DL25">
        <f>IF(DG25&gt;0,SUM(DG25:DK25),0)</f>
        <v>70190</v>
      </c>
      <c r="DM25">
        <f>_xlfn.XLOOKUP(B25,'[11]january-2026'!$A:$A,'[11]january-2026'!$H:$H,0,0)</f>
        <v>0</v>
      </c>
      <c r="DN25">
        <f>_xlfn.XLOOKUP(B25,'[11]january-2026'!$A:$A,'[11]january-2026'!$I:$I,0,0)</f>
        <v>60</v>
      </c>
      <c r="DO25">
        <f>IF($F25="YES",0,IF(DL25&gt;40000,200,IF(DL25&gt;25000,150,IF(DL25&gt;15000,130,IF(DL25&gt;10000,110,0)))))</f>
        <v>200</v>
      </c>
      <c r="DP25">
        <f>DL25-DM25-DN25-DO25</f>
        <v>69930</v>
      </c>
      <c r="DQ25">
        <f>_xlfn.XLOOKUP(B25,'[12]february-2026'!$A:$A,'[12]february-2026'!$C:$C,0,0)</f>
        <v>53300</v>
      </c>
      <c r="DR25">
        <f>DQ25*0.18</f>
        <v>9594</v>
      </c>
      <c r="DS25">
        <f>DQ25*0.12</f>
        <v>6396</v>
      </c>
      <c r="DT25">
        <f>_xlfn.XLOOKUP(B25,'[12]february-2026'!$A:$A,'[12]february-2026'!$D:$D,0,0)</f>
        <v>400</v>
      </c>
      <c r="DU25">
        <f>_xlfn.XLOOKUP(B25,'[12]february-2026'!$A:$A,'[12]february-2026'!$G:$G,0,0)</f>
        <v>500</v>
      </c>
      <c r="DV25">
        <f>IF(DQ25&gt;0,SUM(DQ25:DU25),0)</f>
        <v>70190</v>
      </c>
      <c r="DW25">
        <f>_xlfn.XLOOKUP(B25,'[12]february-2026'!$A:$A,'[12]february-2026'!$H:$H,0,0)</f>
        <v>0</v>
      </c>
      <c r="DX25">
        <f>_xlfn.XLOOKUP(B25,'[12]february-2026'!$A:$A,'[12]february-2026'!$I:$I,0,0)</f>
        <v>60</v>
      </c>
      <c r="DY25">
        <f>IF($F25="YES",0,IF(DV25&gt;40000,200,IF(DV25&gt;25000,150,IF(DV25&gt;15000,130,IF(DV25&gt;10000,110,0)))))</f>
        <v>200</v>
      </c>
      <c r="DZ25">
        <f>DV25-DW25-DX25-DY25</f>
        <v>69930</v>
      </c>
      <c r="EA25">
        <f>DV25+DL25+DB25+CR25+CH25+BX25+BN25+BD25+AS25+AI25+Y25+O25+H25+I25</f>
        <v>838692</v>
      </c>
      <c r="EB25">
        <f>DY25+DO25+DE25+CU25+CK25+CA25+BQ25+BG25+AV25+AL25+AB25+R25</f>
        <v>2400</v>
      </c>
      <c r="EC25">
        <f>IF(EA25&gt;0,50000,0)</f>
        <v>50000</v>
      </c>
      <c r="ED25">
        <v>0</v>
      </c>
      <c r="EE25">
        <f>EA25-EB25-EC25</f>
        <v>786292</v>
      </c>
      <c r="EF25">
        <f>DW25+DM25+DC25+CS25+CI25+BY25+BO25+BE25+AT25+AJ25+Z25+P25</f>
        <v>50000</v>
      </c>
      <c r="EG25">
        <f>DX25+DN25+DD25+CT25+CJ25+BZ25+BP25+BF25+AU25+AK25+AA25+Q25</f>
        <v>660</v>
      </c>
      <c r="EH25">
        <v>0</v>
      </c>
      <c r="EI25">
        <v>0</v>
      </c>
      <c r="EJ25">
        <v>0</v>
      </c>
      <c r="EK25">
        <v>0</v>
      </c>
      <c r="EL25">
        <v>0</v>
      </c>
      <c r="EM25">
        <v>0</v>
      </c>
      <c r="EN25">
        <v>0</v>
      </c>
      <c r="EO25">
        <v>0</v>
      </c>
      <c r="EP25">
        <v>0</v>
      </c>
      <c r="EQ25">
        <v>0</v>
      </c>
      <c r="ER25">
        <f>SUM(EF25:EQ25)</f>
        <v>50660</v>
      </c>
      <c r="ES25">
        <f>IF(ER25&gt;=150000,150000,ER25)</f>
        <v>50660</v>
      </c>
      <c r="ET25">
        <f>EE25-ES25</f>
        <v>735632</v>
      </c>
      <c r="EU25">
        <v>0</v>
      </c>
      <c r="EV25">
        <v>0</v>
      </c>
      <c r="EW25">
        <v>0</v>
      </c>
      <c r="EX25">
        <v>0</v>
      </c>
      <c r="EY25">
        <v>0</v>
      </c>
      <c r="EZ25">
        <v>0</v>
      </c>
      <c r="FA25">
        <v>0</v>
      </c>
      <c r="FB25">
        <f>SUM(EU25:FA25)+(IF(F25="YES",50000,0))</f>
        <v>0</v>
      </c>
      <c r="FC25">
        <f>ET25-FB25</f>
        <v>735632</v>
      </c>
      <c r="FD25">
        <f>ROUND(IF(FC25&gt;0,IF(FC25&gt;500000,12500,(FC25-250000)*0.05),0),0)</f>
        <v>12500</v>
      </c>
      <c r="FE25">
        <f>IF(ROUND(IF(FC25&gt;0,IF(FC25&gt;1000000,25000,(FC25-500000)*0.2),0),0)&lt;0,0,ROUND(IF(FC25&gt;0,IF(FC25&gt;1000000,25000,(FC25-500000)*0.2),0),0))</f>
        <v>47126</v>
      </c>
      <c r="FF25">
        <f>FD25+FE25</f>
        <v>59626</v>
      </c>
      <c r="FG25">
        <f>IF(FF25&lt;12500,0,FF25)</f>
        <v>59626</v>
      </c>
      <c r="FH25">
        <f>FG25*0.04</f>
        <v>2385.04</v>
      </c>
      <c r="FI25">
        <f>ROUND(FH25+FG25,0)</f>
        <v>62011</v>
      </c>
      <c r="FJ25">
        <v>0</v>
      </c>
      <c r="FK25">
        <f>FI25-FJ25</f>
        <v>62011</v>
      </c>
      <c r="FL25" t="b">
        <f>IF(EA25&gt;500000,TRUE,FALSE)</f>
        <v>1</v>
      </c>
      <c r="FM25">
        <f ca="1">IF(FL25,RANDBETWEEN(500,1000),RANDBETWEEN(1000,3000))</f>
        <v>705</v>
      </c>
      <c r="FN25">
        <f ca="1">EA25+FM25</f>
        <v>839397</v>
      </c>
      <c r="FO25">
        <f>IF(EA25&gt;0,75000,0)</f>
        <v>75000</v>
      </c>
      <c r="FP25">
        <f ca="1">FN25-FO25</f>
        <v>764397</v>
      </c>
      <c r="FQ25">
        <f ca="1">IF(FP25&gt;2400000,FP25-2400000,0)</f>
        <v>0</v>
      </c>
      <c r="FR25">
        <f ca="1">FQ25*0.3</f>
        <v>0</v>
      </c>
      <c r="FS25">
        <f ca="1">IF(FP25&gt;2000000,FP25-2000000,0)</f>
        <v>0</v>
      </c>
      <c r="FT25">
        <f ca="1">FS25*0.25</f>
        <v>0</v>
      </c>
      <c r="FU25">
        <f ca="1">IF(FP25&gt;1600000,FP25-1600000-FQ25,0)</f>
        <v>0</v>
      </c>
      <c r="FV25">
        <f ca="1">FU25*0.2</f>
        <v>0</v>
      </c>
      <c r="FW25">
        <f ca="1">IF(FP25&gt;1200000,FP25-1200000-IF(F25="YES",50000,0)-FU25,0)</f>
        <v>0</v>
      </c>
      <c r="FX25">
        <f ca="1">FW25*0.15</f>
        <v>0</v>
      </c>
      <c r="FY25">
        <f ca="1">IF(FP25&gt;800000,FP25-800000-FQ25-FU25-FW25,0)</f>
        <v>0</v>
      </c>
      <c r="FZ25">
        <f ca="1">FY25*0.1</f>
        <v>0</v>
      </c>
      <c r="GA25">
        <f ca="1">IF(FP25&gt;400000,FP25-400000-FQ25-FU25-FW25-FY25,0)</f>
        <v>364397</v>
      </c>
      <c r="GB25">
        <f ca="1">GA25*0.05</f>
        <v>18219.850000000002</v>
      </c>
      <c r="GC25">
        <f ca="1">ROUND(FR25+FT25+FV25+FX25+FZ25+GB25,0)</f>
        <v>18220</v>
      </c>
      <c r="GD25">
        <f ca="1">IF(FP25&gt;1200000,FP25,0)</f>
        <v>0</v>
      </c>
      <c r="GE25">
        <f ca="1">IF(FP25&gt;1200000,GD25-1200000,0)</f>
        <v>0</v>
      </c>
      <c r="GF25">
        <f ca="1">IF(FP25&lt;1200001,MIN(GC25,60000),0)</f>
        <v>18220</v>
      </c>
      <c r="GG25">
        <f ca="1">IF(FP25&gt;1200000,GC25-GE25,0)</f>
        <v>0</v>
      </c>
      <c r="GH25" t="b">
        <f ca="1">IF(GG25&gt;0,TRUE,FALSE)</f>
        <v>0</v>
      </c>
      <c r="GI25">
        <f ca="1">IF(GH25,GG25,0)</f>
        <v>0</v>
      </c>
      <c r="GJ25">
        <f ca="1">GF25+GI25</f>
        <v>18220</v>
      </c>
      <c r="GK25">
        <f ca="1">ROUND(GC25-GJ25,0)</f>
        <v>0</v>
      </c>
      <c r="GL25">
        <f ca="1">GK25*0.04</f>
        <v>0</v>
      </c>
      <c r="GM25">
        <f ca="1">ROUNDUP(GK25+GL25,0)</f>
        <v>0</v>
      </c>
    </row>
    <row r="26" spans="1:195" x14ac:dyDescent="0.25">
      <c r="A26">
        <f>_xlfn.AGGREGATE(3,5,$B$2:B26)</f>
        <v>25</v>
      </c>
      <c r="B26" t="s">
        <v>170</v>
      </c>
      <c r="C26" t="s">
        <v>171</v>
      </c>
      <c r="D26" t="s">
        <v>757</v>
      </c>
      <c r="E26" t="s">
        <v>833</v>
      </c>
      <c r="F26" t="s">
        <v>959</v>
      </c>
      <c r="G26" t="s">
        <v>880</v>
      </c>
      <c r="H26">
        <f>IF(_xlfn.DAYS("31-03-2025",G26)&gt;=180,6800,0)</f>
        <v>6800</v>
      </c>
      <c r="I26">
        <f>_xlfn.XLOOKUP(B26,'[1]march-2025'!$A:$A,'[1]march-2025'!$J:$J,0,0)</f>
        <v>0</v>
      </c>
      <c r="J26">
        <f>_xlfn.XLOOKUP(B26,'[1]march-2025'!$A:$A,'[1]march-2025'!$C:$C,0,0)</f>
        <v>34500</v>
      </c>
      <c r="K26">
        <f>J26*0.14</f>
        <v>4830.0000000000009</v>
      </c>
      <c r="L26">
        <f>J26*0.12</f>
        <v>4140</v>
      </c>
      <c r="M26">
        <f>_xlfn.XLOOKUP(B26,'[1]march-2025'!$A:$A,'[1]march-2025'!$D:$D,0,0)</f>
        <v>0</v>
      </c>
      <c r="N26">
        <f>_xlfn.XLOOKUP(B26,'[1]march-2025'!$A:$A,'[1]march-2025'!$G:$G,0,0)</f>
        <v>500</v>
      </c>
      <c r="O26">
        <f>IF(J26&gt;0,SUM(J26:N26),0)</f>
        <v>43970</v>
      </c>
      <c r="P26">
        <f>_xlfn.XLOOKUP(B26,'[1]march-2025'!$A:$A,'[1]march-2025'!$H:$H,0,0)</f>
        <v>3000</v>
      </c>
      <c r="Q26">
        <f>_xlfn.XLOOKUP(B26,'[1]march-2025'!$A:$A,'[1]march-2025'!$I:$I,0,0)</f>
        <v>0</v>
      </c>
      <c r="R26">
        <f>IF($F26="YES",0,IF(O26&gt;40000,200,IF(O26&gt;25000,150,IF(O26&gt;15000,130,IF(O26&gt;10000,110,0)))))</f>
        <v>200</v>
      </c>
      <c r="S26">
        <f>O26-P26-Q26-R26</f>
        <v>40770</v>
      </c>
      <c r="T26">
        <f>_xlfn.XLOOKUP(B26,'[2]april-2025'!$A:$A,'[2]april-2025'!$C:$C,0,0)</f>
        <v>34500</v>
      </c>
      <c r="U26">
        <f>T26*0.18</f>
        <v>6210</v>
      </c>
      <c r="V26">
        <f>T26*0.12</f>
        <v>4140</v>
      </c>
      <c r="W26">
        <f>_xlfn.XLOOKUP(B26,'[2]april-2025'!$A:$A,'[2]april-2025'!$D:$D,0,0)</f>
        <v>0</v>
      </c>
      <c r="X26">
        <f>_xlfn.XLOOKUP(B26,'[2]april-2025'!$A:$A,'[2]april-2025'!$G:$G,0,0)</f>
        <v>500</v>
      </c>
      <c r="Y26">
        <f>IF(T26&gt;0,SUM(T26:X26),0)</f>
        <v>45350</v>
      </c>
      <c r="Z26">
        <f>_xlfn.XLOOKUP(B26,'[2]april-2025'!$A:$A,'[2]april-2025'!$H:$H,0,0)</f>
        <v>3000</v>
      </c>
      <c r="AA26">
        <f>_xlfn.XLOOKUP(B26,'[2]april-2025'!$A:$A,'[2]april-2025'!$I:$I,0,0)</f>
        <v>0</v>
      </c>
      <c r="AB26">
        <f>IF($F26="YES",0,IF(Y26&gt;40000,200,IF(Y26&gt;25000,150,IF(Y26&gt;15000,130,IF(Y26&gt;10000,110,0)))))</f>
        <v>200</v>
      </c>
      <c r="AC26">
        <f>Y26-Z26-AA26-AB26</f>
        <v>42150</v>
      </c>
      <c r="AD26">
        <f>_xlfn.XLOOKUP(B26,'[3]may-2025'!$A:$A,'[3]may-2025'!$C:$C,0,0)</f>
        <v>34500</v>
      </c>
      <c r="AE26">
        <f>AD26*0.18</f>
        <v>6210</v>
      </c>
      <c r="AF26">
        <f>AD26*0.12</f>
        <v>4140</v>
      </c>
      <c r="AG26">
        <f>_xlfn.XLOOKUP(B26,'[3]may-2025'!$A:$A,'[3]may-2025'!$D:$D,0,0)</f>
        <v>0</v>
      </c>
      <c r="AH26">
        <f>_xlfn.XLOOKUP(B26,'[3]may-2025'!$A:$A,'[3]may-2025'!$G:$G,0,0)</f>
        <v>500</v>
      </c>
      <c r="AI26">
        <f>IF(AD26&gt;0,SUM(AD26:AH26),0)</f>
        <v>45350</v>
      </c>
      <c r="AJ26">
        <f>_xlfn.XLOOKUP(B26,'[3]may-2025'!$A:$A,'[3]may-2025'!$H:$H,0,0)</f>
        <v>3000</v>
      </c>
      <c r="AK26">
        <f>_xlfn.XLOOKUP(B26,'[3]may-2025'!$A:$A,'[3]may-2025'!$I:$I,0,0)</f>
        <v>0</v>
      </c>
      <c r="AL26">
        <f>IF($F26="YES",0,IF(AI26&gt;40000,200,IF(AI26&gt;25000,150,IF(AI26&gt;15000,130,IF(AI26&gt;10000,110,0)))))</f>
        <v>200</v>
      </c>
      <c r="AM26">
        <f>AI26-AJ26-AK26-AL26</f>
        <v>42150</v>
      </c>
      <c r="AN26">
        <f>_xlfn.XLOOKUP(B26,'[4]june-2025'!$A:$A,'[4]june-2025'!$C:$C,0,0)</f>
        <v>34500</v>
      </c>
      <c r="AO26">
        <f>AN26*0.18</f>
        <v>6210</v>
      </c>
      <c r="AP26">
        <f>AN26*0.12</f>
        <v>4140</v>
      </c>
      <c r="AQ26">
        <f>_xlfn.XLOOKUP(B26,'[4]june-2025'!$A:$A,'[4]june-2025'!$D:$D,0,0)</f>
        <v>0</v>
      </c>
      <c r="AR26">
        <f>_xlfn.XLOOKUP(B26,'[4]june-2025'!$A:$A,'[4]june-2025'!$G:$G,0,0)</f>
        <v>500</v>
      </c>
      <c r="AS26">
        <f>IF(AN26&gt;0,SUM(AN26:AR26),0)</f>
        <v>45350</v>
      </c>
      <c r="AT26">
        <f>_xlfn.XLOOKUP(B26,'[4]june-2025'!$A:$A,'[4]june-2025'!$H:$H,0,0)</f>
        <v>3000</v>
      </c>
      <c r="AU26">
        <f>_xlfn.XLOOKUP(B26,'[4]june-2025'!$A:$A,'[4]june-2025'!$I:$I,0,0)</f>
        <v>0</v>
      </c>
      <c r="AV26">
        <f>IF($F26="YES",0,IF(AS26&gt;40000,200,IF(AS26&gt;25000,150,IF(AS26&gt;15000,130,IF(AS26&gt;10000,110,0)))))</f>
        <v>200</v>
      </c>
      <c r="AW26">
        <f>AS26-AT26-AU26-AV26</f>
        <v>42150</v>
      </c>
      <c r="AX26">
        <f>_xlfn.XLOOKUP(B26,'[5]july-2025'!$A:$A,'[5]july-2025'!$C:$C,0,0)</f>
        <v>35500</v>
      </c>
      <c r="AY26">
        <f>AX26*0.18</f>
        <v>6390</v>
      </c>
      <c r="AZ26">
        <v>0</v>
      </c>
      <c r="BA26">
        <f>AX26*0.12</f>
        <v>4260</v>
      </c>
      <c r="BB26">
        <f>_xlfn.XLOOKUP(B26,'[5]july-2025'!$A:$A,'[5]july-2025'!$D:$D,0,0)</f>
        <v>0</v>
      </c>
      <c r="BC26">
        <f>_xlfn.XLOOKUP(B26,'[5]july-2025'!$A:$A,'[5]july-2025'!$G:$G,0,0)</f>
        <v>500</v>
      </c>
      <c r="BD26">
        <f>IF(AX26&gt;0,SUM(AX26:BC26),0)</f>
        <v>46650</v>
      </c>
      <c r="BE26">
        <f>_xlfn.XLOOKUP(B26,'[5]july-2025'!$A:$A,'[5]july-2025'!$H:$H,0,0)</f>
        <v>3000</v>
      </c>
      <c r="BF26">
        <f>_xlfn.XLOOKUP(B26,'[5]july-2025'!$A:$A,'[5]july-2025'!$I:$I,0,0)</f>
        <v>0</v>
      </c>
      <c r="BG26">
        <f>IF($F26="YES",0,IF(BD26&gt;40000,200,IF(BD26&gt;25000,150,IF(BD26&gt;15000,130,IF(BD26&gt;10000,110,0)))))</f>
        <v>200</v>
      </c>
      <c r="BH26">
        <f>BD26-BE26-BF26-BG26</f>
        <v>43450</v>
      </c>
      <c r="BI26">
        <f>_xlfn.XLOOKUP(B26,'[6]august-2025'!$A:$A,'[6]august-2025'!$C:$C,0,0)</f>
        <v>35500</v>
      </c>
      <c r="BJ26">
        <f>BI26*0.18</f>
        <v>6390</v>
      </c>
      <c r="BK26">
        <f>BI26*0.12</f>
        <v>4260</v>
      </c>
      <c r="BL26">
        <f>_xlfn.XLOOKUP(B26,'[6]august-2025'!$A:$A,'[6]august-2025'!$D:$D,0,0)</f>
        <v>0</v>
      </c>
      <c r="BM26">
        <f>_xlfn.XLOOKUP(B26,'[6]august-2025'!$A:$A,'[6]august-2025'!$G:$G,0,0)</f>
        <v>500</v>
      </c>
      <c r="BN26">
        <f>IF(BI26&gt;0,SUM(BI26:BM26),0)</f>
        <v>46650</v>
      </c>
      <c r="BO26">
        <f>_xlfn.XLOOKUP(B26,'[6]august-2025'!$A:$A,'[6]august-2025'!$H:$H,0,0)</f>
        <v>3000</v>
      </c>
      <c r="BP26">
        <f>_xlfn.XLOOKUP(B26,'[6]august-2025'!$A:$A,'[6]august-2025'!$I:$I,0,0)</f>
        <v>0</v>
      </c>
      <c r="BQ26">
        <f>IF($F26="YES",0,IF(BN26&gt;40000,200,IF(BN26&gt;25000,150,IF(BN26&gt;15000,130,IF(BN26&gt;10000,110,0)))))</f>
        <v>200</v>
      </c>
      <c r="BR26">
        <f>BN26-BO26-BP26-BQ26</f>
        <v>43450</v>
      </c>
      <c r="BS26">
        <f>_xlfn.XLOOKUP(B26,'[7]september-2025'!$A:$A,'[7]september-2025'!$C:$C,0,0)</f>
        <v>35500</v>
      </c>
      <c r="BT26">
        <f>BS26*0.18</f>
        <v>6390</v>
      </c>
      <c r="BU26">
        <f>BS26*0.12</f>
        <v>4260</v>
      </c>
      <c r="BV26">
        <f>_xlfn.XLOOKUP(B26,'[7]september-2025'!$A:$A,'[7]september-2025'!$D:$D,0,0)</f>
        <v>0</v>
      </c>
      <c r="BW26">
        <f>_xlfn.XLOOKUP(B26,'[7]september-2025'!$A:$A,'[7]september-2025'!$G:$G,0,0)</f>
        <v>500</v>
      </c>
      <c r="BX26">
        <f>IF(BS26&gt;0,SUM(BS26:BW26),0)</f>
        <v>46650</v>
      </c>
      <c r="BY26">
        <f>_xlfn.XLOOKUP(B26,'[7]september-2025'!$A:$A,'[7]september-2025'!$H:$H,0,0)</f>
        <v>3000</v>
      </c>
      <c r="BZ26">
        <f>_xlfn.XLOOKUP(B26,'[7]september-2025'!$A:$A,'[7]september-2025'!$I:$I,0,0)</f>
        <v>0</v>
      </c>
      <c r="CA26">
        <f>IF($F26="YES",0,IF(BX26&gt;40000,200,IF(BX26&gt;25000,150,IF(BX26&gt;15000,130,IF(BX26&gt;10000,110,0)))))</f>
        <v>200</v>
      </c>
      <c r="CB26">
        <f>BX26-BY26-BZ26-CA26</f>
        <v>43450</v>
      </c>
      <c r="CC26">
        <f>_xlfn.XLOOKUP(B26,'[8]october-2025'!$A:$A,'[8]october-2025'!$C:$C,0,0)</f>
        <v>35500</v>
      </c>
      <c r="CD26">
        <f>CC26*0.18</f>
        <v>6390</v>
      </c>
      <c r="CE26">
        <f>CC26*0.12</f>
        <v>4260</v>
      </c>
      <c r="CF26">
        <f>_xlfn.XLOOKUP(B26,'[8]october-2025'!$A:$A,'[8]october-2025'!$D:$D,0,0)</f>
        <v>0</v>
      </c>
      <c r="CG26">
        <f>_xlfn.XLOOKUP(B26,'[8]october-2025'!$A:$A,'[8]october-2025'!$G:$G,0,0)</f>
        <v>500</v>
      </c>
      <c r="CH26">
        <f>IF(CC26&gt;0,SUM(CC26:CG26),0)</f>
        <v>46650</v>
      </c>
      <c r="CI26">
        <f>_xlfn.XLOOKUP(B26,'[8]october-2025'!$A:$A,'[8]october-2025'!$H:$H,0,0)</f>
        <v>3000</v>
      </c>
      <c r="CJ26">
        <f>_xlfn.XLOOKUP(B26,'[8]october-2025'!$A:$A,'[8]october-2025'!$I:$I,0,0)</f>
        <v>0</v>
      </c>
      <c r="CK26">
        <f>IF($F26="YES",0,IF(CH26&gt;40000,200,IF(CH26&gt;25000,150,IF(CH26&gt;15000,130,IF(CH26&gt;10000,110,0)))))</f>
        <v>200</v>
      </c>
      <c r="CL26">
        <f>CH26-CI26-CJ26-CK26</f>
        <v>43450</v>
      </c>
      <c r="CM26">
        <f>_xlfn.XLOOKUP(B26,'[9]november-2025'!$A:$A,'[9]november-2025'!$C:$C,0,0)</f>
        <v>35500</v>
      </c>
      <c r="CN26">
        <f>CM26*0.18</f>
        <v>6390</v>
      </c>
      <c r="CO26">
        <f>CM26*0.12</f>
        <v>4260</v>
      </c>
      <c r="CP26">
        <f>_xlfn.XLOOKUP(B26,'[9]november-2025'!$A:$A,'[9]november-2025'!$D:$D,0,0)</f>
        <v>0</v>
      </c>
      <c r="CQ26">
        <f>_xlfn.XLOOKUP(B26,'[9]november-2025'!$A:$A,'[9]november-2025'!$G:$G,0,0)</f>
        <v>500</v>
      </c>
      <c r="CR26">
        <f>IF(CM26&gt;0,SUM(CM26:CQ26),0)</f>
        <v>46650</v>
      </c>
      <c r="CS26">
        <f>_xlfn.XLOOKUP(B26,'[9]november-2025'!$A:$A,'[9]november-2025'!$H:$H,0,0)</f>
        <v>3000</v>
      </c>
      <c r="CT26">
        <f>_xlfn.XLOOKUP(B26,'[9]november-2025'!$A:$A,'[9]november-2025'!$I:$I,0,0)</f>
        <v>0</v>
      </c>
      <c r="CU26">
        <f>IF($F26="YES",0,IF(CR26&gt;40000,200,IF(CR26&gt;25000,150,IF(CR26&gt;15000,130,IF(CR26&gt;10000,110,0)))))</f>
        <v>200</v>
      </c>
      <c r="CV26">
        <f>CR26-CS26-CT26-CU26</f>
        <v>43450</v>
      </c>
      <c r="CW26">
        <f>_xlfn.XLOOKUP(B26,'[10]december-2025'!$A:$A,'[10]december-2025'!$C:$C,0,0)</f>
        <v>35500</v>
      </c>
      <c r="CX26">
        <f>ROUND(CW26*0.18,0)</f>
        <v>6390</v>
      </c>
      <c r="CY26">
        <f>ROUND(CW26*0.12,0)</f>
        <v>4260</v>
      </c>
      <c r="CZ26">
        <f>_xlfn.XLOOKUP(B26,'[10]december-2025'!$A:$A,'[10]december-2025'!$D:$D,0,0)</f>
        <v>0</v>
      </c>
      <c r="DA26">
        <f>_xlfn.XLOOKUP(B26,'[10]december-2025'!$A:$A,'[10]december-2025'!$G:$G,0,0)</f>
        <v>500</v>
      </c>
      <c r="DB26">
        <f>IF(CW26&gt;0,SUM(CW26:DA26),0)</f>
        <v>46650</v>
      </c>
      <c r="DC26">
        <f>_xlfn.XLOOKUP(B26,'[10]december-2025'!$A:$A,'[10]december-2025'!$H:$H,0,0)</f>
        <v>3000</v>
      </c>
      <c r="DD26">
        <f>_xlfn.XLOOKUP(B26,'[10]december-2025'!$A:$A,'[10]december-2025'!$I:$I,0,0)</f>
        <v>0</v>
      </c>
      <c r="DE26">
        <f>IF($F26="YES",0,IF(DB26&gt;40000,200,IF(DB26&gt;25000,150,IF(DB26&gt;15000,130,IF(DB26&gt;10000,110,0)))))</f>
        <v>200</v>
      </c>
      <c r="DF26">
        <f>DB26-DC26-DD26-DE26</f>
        <v>43450</v>
      </c>
      <c r="DG26">
        <f>_xlfn.XLOOKUP(B26,'[11]january-2026'!$A:$A,'[11]january-2026'!$C:$C,0,0)</f>
        <v>35500</v>
      </c>
      <c r="DH26">
        <f>DG26*0.18</f>
        <v>6390</v>
      </c>
      <c r="DI26">
        <f>DG26*0.12</f>
        <v>4260</v>
      </c>
      <c r="DJ26">
        <f>_xlfn.XLOOKUP(B26,'[11]january-2026'!$A:$A,'[11]january-2026'!$D:$D,0,0)</f>
        <v>0</v>
      </c>
      <c r="DK26">
        <f>_xlfn.XLOOKUP(B26,'[11]january-2026'!$A:$A,'[11]january-2026'!$G:$G,0,0)</f>
        <v>500</v>
      </c>
      <c r="DL26">
        <f>IF(DG26&gt;0,SUM(DG26:DK26),0)</f>
        <v>46650</v>
      </c>
      <c r="DM26">
        <f>_xlfn.XLOOKUP(B26,'[11]january-2026'!$A:$A,'[11]january-2026'!$H:$H,0,0)</f>
        <v>3000</v>
      </c>
      <c r="DN26">
        <f>_xlfn.XLOOKUP(B26,'[11]january-2026'!$A:$A,'[11]january-2026'!$I:$I,0,0)</f>
        <v>0</v>
      </c>
      <c r="DO26">
        <f>IF($F26="YES",0,IF(DL26&gt;40000,200,IF(DL26&gt;25000,150,IF(DL26&gt;15000,130,IF(DL26&gt;10000,110,0)))))</f>
        <v>200</v>
      </c>
      <c r="DP26">
        <f>DL26-DM26-DN26-DO26</f>
        <v>43450</v>
      </c>
      <c r="DQ26">
        <f>_xlfn.XLOOKUP(B26,'[12]february-2026'!$A:$A,'[12]february-2026'!$C:$C,0,0)</f>
        <v>35500</v>
      </c>
      <c r="DR26">
        <f>DQ26*0.18</f>
        <v>6390</v>
      </c>
      <c r="DS26">
        <f>DQ26*0.12</f>
        <v>4260</v>
      </c>
      <c r="DT26">
        <f>_xlfn.XLOOKUP(B26,'[12]february-2026'!$A:$A,'[12]february-2026'!$D:$D,0,0)</f>
        <v>0</v>
      </c>
      <c r="DU26">
        <f>_xlfn.XLOOKUP(B26,'[12]february-2026'!$A:$A,'[12]february-2026'!$G:$G,0,0)</f>
        <v>500</v>
      </c>
      <c r="DV26">
        <f>IF(DQ26&gt;0,SUM(DQ26:DU26),0)</f>
        <v>46650</v>
      </c>
      <c r="DW26">
        <f>_xlfn.XLOOKUP(B26,'[12]february-2026'!$A:$A,'[12]february-2026'!$H:$H,0,0)</f>
        <v>3000</v>
      </c>
      <c r="DX26">
        <f>_xlfn.XLOOKUP(B26,'[12]february-2026'!$A:$A,'[12]february-2026'!$I:$I,0,0)</f>
        <v>0</v>
      </c>
      <c r="DY26">
        <f>IF($F26="YES",0,IF(DV26&gt;40000,200,IF(DV26&gt;25000,150,IF(DV26&gt;15000,130,IF(DV26&gt;10000,110,0)))))</f>
        <v>200</v>
      </c>
      <c r="DZ26">
        <f>DV26-DW26-DX26-DY26</f>
        <v>43450</v>
      </c>
      <c r="EA26">
        <f>DV26+DL26+DB26+CR26+CH26+BX26+BN26+BD26+AS26+AI26+Y26+O26+H26+I26</f>
        <v>560020</v>
      </c>
      <c r="EB26">
        <f>DY26+DO26+DE26+CU26+CK26+CA26+BQ26+BG26+AV26+AL26+AB26+R26</f>
        <v>2400</v>
      </c>
      <c r="EC26">
        <f>IF(EA26&gt;0,50000,0)</f>
        <v>50000</v>
      </c>
      <c r="ED26">
        <v>0</v>
      </c>
      <c r="EE26">
        <f>EA26-EB26-EC26</f>
        <v>507620</v>
      </c>
      <c r="EF26">
        <f>DW26+DM26+DC26+CS26+CI26+BY26+BO26+BE26+AT26+AJ26+Z26+P26</f>
        <v>36000</v>
      </c>
      <c r="EG26">
        <f>DX26+DN26+DD26+CT26+CJ26+BZ26+BP26+BF26+AU26+AK26+AA26+Q26</f>
        <v>0</v>
      </c>
      <c r="EH26">
        <v>0</v>
      </c>
      <c r="EI26">
        <v>0</v>
      </c>
      <c r="EJ26">
        <v>0</v>
      </c>
      <c r="EK26">
        <v>0</v>
      </c>
      <c r="EL26">
        <v>0</v>
      </c>
      <c r="EM26">
        <v>0</v>
      </c>
      <c r="EN26">
        <v>0</v>
      </c>
      <c r="EO26">
        <v>0</v>
      </c>
      <c r="EP26">
        <v>0</v>
      </c>
      <c r="EQ26">
        <v>0</v>
      </c>
      <c r="ER26">
        <f>SUM(EF26:EQ26)</f>
        <v>36000</v>
      </c>
      <c r="ES26">
        <f>IF(ER26&gt;=150000,150000,ER26)</f>
        <v>36000</v>
      </c>
      <c r="ET26">
        <f>EE26-ES26</f>
        <v>471620</v>
      </c>
      <c r="EU26">
        <v>0</v>
      </c>
      <c r="EV26">
        <v>0</v>
      </c>
      <c r="EW26">
        <v>0</v>
      </c>
      <c r="EX26">
        <v>0</v>
      </c>
      <c r="EY26">
        <v>0</v>
      </c>
      <c r="EZ26">
        <v>0</v>
      </c>
      <c r="FA26">
        <v>0</v>
      </c>
      <c r="FB26">
        <f>SUM(EU26:FA26)+(IF(F26="YES",50000,0))</f>
        <v>0</v>
      </c>
      <c r="FC26">
        <f>ET26-FB26</f>
        <v>471620</v>
      </c>
      <c r="FD26">
        <f>ROUND(IF(FC26&gt;0,IF(FC26&gt;500000,12500,(FC26-250000)*0.05),0),0)</f>
        <v>11081</v>
      </c>
      <c r="FE26">
        <f>IF(ROUND(IF(FC26&gt;0,IF(FC26&gt;1000000,25000,(FC26-500000)*0.2),0),0)&lt;0,0,ROUND(IF(FC26&gt;0,IF(FC26&gt;1000000,25000,(FC26-500000)*0.2),0),0))</f>
        <v>0</v>
      </c>
      <c r="FF26">
        <f>FD26+FE26</f>
        <v>11081</v>
      </c>
      <c r="FG26">
        <f>IF(FF26&lt;12500,0,FF26)</f>
        <v>0</v>
      </c>
      <c r="FH26">
        <f>FG26*0.04</f>
        <v>0</v>
      </c>
      <c r="FI26">
        <f>ROUND(FH26+FG26,0)</f>
        <v>0</v>
      </c>
      <c r="FJ26">
        <v>0</v>
      </c>
      <c r="FK26">
        <f>FI26-FJ26</f>
        <v>0</v>
      </c>
      <c r="FL26" t="b">
        <f>IF(EA26&gt;500000,TRUE,FALSE)</f>
        <v>1</v>
      </c>
      <c r="FM26">
        <f ca="1">IF(FL26,RANDBETWEEN(500,1000),RANDBETWEEN(1000,3000))</f>
        <v>838</v>
      </c>
      <c r="FN26">
        <f ca="1">EA26+FM26</f>
        <v>560858</v>
      </c>
      <c r="FO26">
        <f>IF(EA26&gt;0,75000,0)</f>
        <v>75000</v>
      </c>
      <c r="FP26">
        <f ca="1">FN26-FO26</f>
        <v>485858</v>
      </c>
      <c r="FQ26">
        <f ca="1">IF(FP26&gt;2400000,FP26-2400000,0)</f>
        <v>0</v>
      </c>
      <c r="FR26">
        <f ca="1">FQ26*0.3</f>
        <v>0</v>
      </c>
      <c r="FS26">
        <f ca="1">IF(FP26&gt;2000000,FP26-2000000,0)</f>
        <v>0</v>
      </c>
      <c r="FT26">
        <f ca="1">FS26*0.25</f>
        <v>0</v>
      </c>
      <c r="FU26">
        <f ca="1">IF(FP26&gt;1600000,FP26-1600000-FQ26,0)</f>
        <v>0</v>
      </c>
      <c r="FV26">
        <f ca="1">FU26*0.2</f>
        <v>0</v>
      </c>
      <c r="FW26">
        <f ca="1">IF(FP26&gt;1200000,FP26-1200000-IF(F26="YES",50000,0)-FU26,0)</f>
        <v>0</v>
      </c>
      <c r="FX26">
        <f ca="1">FW26*0.15</f>
        <v>0</v>
      </c>
      <c r="FY26">
        <f ca="1">IF(FP26&gt;800000,FP26-800000-FQ26-FU26-FW26,0)</f>
        <v>0</v>
      </c>
      <c r="FZ26">
        <f ca="1">FY26*0.1</f>
        <v>0</v>
      </c>
      <c r="GA26">
        <f ca="1">IF(FP26&gt;400000,FP26-400000-FQ26-FU26-FW26-FY26,0)</f>
        <v>85858</v>
      </c>
      <c r="GB26">
        <f ca="1">GA26*0.05</f>
        <v>4292.9000000000005</v>
      </c>
      <c r="GC26">
        <f ca="1">ROUND(FR26+FT26+FV26+FX26+FZ26+GB26,0)</f>
        <v>4293</v>
      </c>
      <c r="GD26">
        <f ca="1">IF(FP26&gt;1200000,FP26,0)</f>
        <v>0</v>
      </c>
      <c r="GE26">
        <f ca="1">IF(FP26&gt;1200000,GD26-1200000,0)</f>
        <v>0</v>
      </c>
      <c r="GF26">
        <f ca="1">IF(FP26&lt;1200001,MIN(GC26,60000),0)</f>
        <v>4293</v>
      </c>
      <c r="GG26">
        <f ca="1">IF(FP26&gt;1200000,GC26-GE26,0)</f>
        <v>0</v>
      </c>
      <c r="GH26" t="b">
        <f ca="1">IF(GG26&gt;0,TRUE,FALSE)</f>
        <v>0</v>
      </c>
      <c r="GI26">
        <f ca="1">IF(GH26,GG26,0)</f>
        <v>0</v>
      </c>
      <c r="GJ26">
        <f ca="1">GF26+GI26</f>
        <v>4293</v>
      </c>
      <c r="GK26">
        <f ca="1">ROUND(GC26-GJ26,0)</f>
        <v>0</v>
      </c>
      <c r="GL26">
        <f ca="1">GK26*0.04</f>
        <v>0</v>
      </c>
      <c r="GM26">
        <f ca="1">ROUNDUP(GK26+GL26,0)</f>
        <v>0</v>
      </c>
    </row>
    <row r="27" spans="1:195" x14ac:dyDescent="0.25">
      <c r="A27">
        <f>_xlfn.AGGREGATE(3,5,$B$2:B27)</f>
        <v>26</v>
      </c>
      <c r="B27" t="s">
        <v>172</v>
      </c>
      <c r="C27" t="s">
        <v>173</v>
      </c>
      <c r="D27" t="s">
        <v>757</v>
      </c>
      <c r="E27" t="s">
        <v>833</v>
      </c>
      <c r="F27" t="s">
        <v>959</v>
      </c>
      <c r="G27" t="s">
        <v>893</v>
      </c>
      <c r="H27">
        <f>IF(_xlfn.DAYS("31-03-2025",G27)&gt;=180,6800,0)</f>
        <v>6800</v>
      </c>
      <c r="I27">
        <f>_xlfn.XLOOKUP(B27,'[1]march-2025'!$A:$A,'[1]march-2025'!$J:$J,0,0)</f>
        <v>0</v>
      </c>
      <c r="J27">
        <f>_xlfn.XLOOKUP(B27,'[1]march-2025'!$A:$A,'[1]march-2025'!$C:$C,0,0)</f>
        <v>34500</v>
      </c>
      <c r="K27">
        <f>J27*0.14</f>
        <v>4830.0000000000009</v>
      </c>
      <c r="L27">
        <f>J27*0.12</f>
        <v>4140</v>
      </c>
      <c r="M27">
        <f>_xlfn.XLOOKUP(B27,'[1]march-2025'!$A:$A,'[1]march-2025'!$D:$D,0,0)</f>
        <v>0</v>
      </c>
      <c r="N27">
        <f>_xlfn.XLOOKUP(B27,'[1]march-2025'!$A:$A,'[1]march-2025'!$G:$G,0,0)</f>
        <v>500</v>
      </c>
      <c r="O27">
        <f>IF(J27&gt;0,SUM(J27:N27),0)</f>
        <v>43970</v>
      </c>
      <c r="P27">
        <f>_xlfn.XLOOKUP(B27,'[1]march-2025'!$A:$A,'[1]march-2025'!$H:$H,0,0)</f>
        <v>2500</v>
      </c>
      <c r="Q27">
        <f>_xlfn.XLOOKUP(B27,'[1]march-2025'!$A:$A,'[1]march-2025'!$I:$I,0,0)</f>
        <v>0</v>
      </c>
      <c r="R27">
        <f>IF($F27="YES",0,IF(O27&gt;40000,200,IF(O27&gt;25000,150,IF(O27&gt;15000,130,IF(O27&gt;10000,110,0)))))</f>
        <v>200</v>
      </c>
      <c r="S27">
        <f>O27-P27-Q27-R27</f>
        <v>41270</v>
      </c>
      <c r="T27">
        <f>_xlfn.XLOOKUP(B27,'[2]april-2025'!$A:$A,'[2]april-2025'!$C:$C,0,0)</f>
        <v>34500</v>
      </c>
      <c r="U27">
        <f>T27*0.18</f>
        <v>6210</v>
      </c>
      <c r="V27">
        <f>T27*0.12</f>
        <v>4140</v>
      </c>
      <c r="W27">
        <f>_xlfn.XLOOKUP(B27,'[2]april-2025'!$A:$A,'[2]april-2025'!$D:$D,0,0)</f>
        <v>0</v>
      </c>
      <c r="X27">
        <f>_xlfn.XLOOKUP(B27,'[2]april-2025'!$A:$A,'[2]april-2025'!$G:$G,0,0)</f>
        <v>500</v>
      </c>
      <c r="Y27">
        <f>IF(T27&gt;0,SUM(T27:X27),0)</f>
        <v>45350</v>
      </c>
      <c r="Z27">
        <f>_xlfn.XLOOKUP(B27,'[2]april-2025'!$A:$A,'[2]april-2025'!$H:$H,0,0)</f>
        <v>2500</v>
      </c>
      <c r="AA27">
        <f>_xlfn.XLOOKUP(B27,'[2]april-2025'!$A:$A,'[2]april-2025'!$I:$I,0,0)</f>
        <v>0</v>
      </c>
      <c r="AB27">
        <f>IF($F27="YES",0,IF(Y27&gt;40000,200,IF(Y27&gt;25000,150,IF(Y27&gt;15000,130,IF(Y27&gt;10000,110,0)))))</f>
        <v>200</v>
      </c>
      <c r="AC27">
        <f>Y27-Z27-AA27-AB27</f>
        <v>42650</v>
      </c>
      <c r="AD27">
        <f>_xlfn.XLOOKUP(B27,'[3]may-2025'!$A:$A,'[3]may-2025'!$C:$C,0,0)</f>
        <v>34500</v>
      </c>
      <c r="AE27">
        <f>AD27*0.18</f>
        <v>6210</v>
      </c>
      <c r="AF27">
        <f>AD27*0.12</f>
        <v>4140</v>
      </c>
      <c r="AG27">
        <f>_xlfn.XLOOKUP(B27,'[3]may-2025'!$A:$A,'[3]may-2025'!$D:$D,0,0)</f>
        <v>0</v>
      </c>
      <c r="AH27">
        <f>_xlfn.XLOOKUP(B27,'[3]may-2025'!$A:$A,'[3]may-2025'!$G:$G,0,0)</f>
        <v>500</v>
      </c>
      <c r="AI27">
        <f>IF(AD27&gt;0,SUM(AD27:AH27),0)</f>
        <v>45350</v>
      </c>
      <c r="AJ27">
        <f>_xlfn.XLOOKUP(B27,'[3]may-2025'!$A:$A,'[3]may-2025'!$H:$H,0,0)</f>
        <v>2500</v>
      </c>
      <c r="AK27">
        <f>_xlfn.XLOOKUP(B27,'[3]may-2025'!$A:$A,'[3]may-2025'!$I:$I,0,0)</f>
        <v>0</v>
      </c>
      <c r="AL27">
        <f>IF($F27="YES",0,IF(AI27&gt;40000,200,IF(AI27&gt;25000,150,IF(AI27&gt;15000,130,IF(AI27&gt;10000,110,0)))))</f>
        <v>200</v>
      </c>
      <c r="AM27">
        <f>AI27-AJ27-AK27-AL27</f>
        <v>42650</v>
      </c>
      <c r="AN27">
        <f>_xlfn.XLOOKUP(B27,'[4]june-2025'!$A:$A,'[4]june-2025'!$C:$C,0,0)</f>
        <v>34500</v>
      </c>
      <c r="AO27">
        <f>AN27*0.18</f>
        <v>6210</v>
      </c>
      <c r="AP27">
        <f>AN27*0.12</f>
        <v>4140</v>
      </c>
      <c r="AQ27">
        <f>_xlfn.XLOOKUP(B27,'[4]june-2025'!$A:$A,'[4]june-2025'!$D:$D,0,0)</f>
        <v>0</v>
      </c>
      <c r="AR27">
        <f>_xlfn.XLOOKUP(B27,'[4]june-2025'!$A:$A,'[4]june-2025'!$G:$G,0,0)</f>
        <v>500</v>
      </c>
      <c r="AS27">
        <f>IF(AN27&gt;0,SUM(AN27:AR27),0)</f>
        <v>45350</v>
      </c>
      <c r="AT27">
        <f>_xlfn.XLOOKUP(B27,'[4]june-2025'!$A:$A,'[4]june-2025'!$H:$H,0,0)</f>
        <v>2500</v>
      </c>
      <c r="AU27">
        <f>_xlfn.XLOOKUP(B27,'[4]june-2025'!$A:$A,'[4]june-2025'!$I:$I,0,0)</f>
        <v>0</v>
      </c>
      <c r="AV27">
        <f>IF($F27="YES",0,IF(AS27&gt;40000,200,IF(AS27&gt;25000,150,IF(AS27&gt;15000,130,IF(AS27&gt;10000,110,0)))))</f>
        <v>200</v>
      </c>
      <c r="AW27">
        <f>AS27-AT27-AU27-AV27</f>
        <v>42650</v>
      </c>
      <c r="AX27">
        <f>_xlfn.XLOOKUP(B27,'[5]july-2025'!$A:$A,'[5]july-2025'!$C:$C,0,0)</f>
        <v>35500</v>
      </c>
      <c r="AY27">
        <f>AX27*0.18</f>
        <v>6390</v>
      </c>
      <c r="AZ27">
        <v>0</v>
      </c>
      <c r="BA27">
        <f>AX27*0.12</f>
        <v>4260</v>
      </c>
      <c r="BB27">
        <f>_xlfn.XLOOKUP(B27,'[5]july-2025'!$A:$A,'[5]july-2025'!$D:$D,0,0)</f>
        <v>0</v>
      </c>
      <c r="BC27">
        <f>_xlfn.XLOOKUP(B27,'[5]july-2025'!$A:$A,'[5]july-2025'!$G:$G,0,0)</f>
        <v>500</v>
      </c>
      <c r="BD27">
        <f>IF(AX27&gt;0,SUM(AX27:BC27),0)</f>
        <v>46650</v>
      </c>
      <c r="BE27">
        <f>_xlfn.XLOOKUP(B27,'[5]july-2025'!$A:$A,'[5]july-2025'!$H:$H,0,0)</f>
        <v>2500</v>
      </c>
      <c r="BF27">
        <f>_xlfn.XLOOKUP(B27,'[5]july-2025'!$A:$A,'[5]july-2025'!$I:$I,0,0)</f>
        <v>0</v>
      </c>
      <c r="BG27">
        <f>IF($F27="YES",0,IF(BD27&gt;40000,200,IF(BD27&gt;25000,150,IF(BD27&gt;15000,130,IF(BD27&gt;10000,110,0)))))</f>
        <v>200</v>
      </c>
      <c r="BH27">
        <f>BD27-BE27-BF27-BG27</f>
        <v>43950</v>
      </c>
      <c r="BI27">
        <f>_xlfn.XLOOKUP(B27,'[6]august-2025'!$A:$A,'[6]august-2025'!$C:$C,0,0)</f>
        <v>35500</v>
      </c>
      <c r="BJ27">
        <f>BI27*0.18</f>
        <v>6390</v>
      </c>
      <c r="BK27">
        <f>BI27*0.12</f>
        <v>4260</v>
      </c>
      <c r="BL27">
        <f>_xlfn.XLOOKUP(B27,'[6]august-2025'!$A:$A,'[6]august-2025'!$D:$D,0,0)</f>
        <v>0</v>
      </c>
      <c r="BM27">
        <f>_xlfn.XLOOKUP(B27,'[6]august-2025'!$A:$A,'[6]august-2025'!$G:$G,0,0)</f>
        <v>500</v>
      </c>
      <c r="BN27">
        <f>IF(BI27&gt;0,SUM(BI27:BM27),0)</f>
        <v>46650</v>
      </c>
      <c r="BO27">
        <f>_xlfn.XLOOKUP(B27,'[6]august-2025'!$A:$A,'[6]august-2025'!$H:$H,0,0)</f>
        <v>2500</v>
      </c>
      <c r="BP27">
        <f>_xlfn.XLOOKUP(B27,'[6]august-2025'!$A:$A,'[6]august-2025'!$I:$I,0,0)</f>
        <v>0</v>
      </c>
      <c r="BQ27">
        <f>IF($F27="YES",0,IF(BN27&gt;40000,200,IF(BN27&gt;25000,150,IF(BN27&gt;15000,130,IF(BN27&gt;10000,110,0)))))</f>
        <v>200</v>
      </c>
      <c r="BR27">
        <f>BN27-BO27-BP27-BQ27</f>
        <v>43950</v>
      </c>
      <c r="BS27">
        <f>_xlfn.XLOOKUP(B27,'[7]september-2025'!$A:$A,'[7]september-2025'!$C:$C,0,0)</f>
        <v>35500</v>
      </c>
      <c r="BT27">
        <f>BS27*0.18</f>
        <v>6390</v>
      </c>
      <c r="BU27">
        <f>BS27*0.12</f>
        <v>4260</v>
      </c>
      <c r="BV27">
        <f>_xlfn.XLOOKUP(B27,'[7]september-2025'!$A:$A,'[7]september-2025'!$D:$D,0,0)</f>
        <v>0</v>
      </c>
      <c r="BW27">
        <f>_xlfn.XLOOKUP(B27,'[7]september-2025'!$A:$A,'[7]september-2025'!$G:$G,0,0)</f>
        <v>500</v>
      </c>
      <c r="BX27">
        <f>IF(BS27&gt;0,SUM(BS27:BW27),0)</f>
        <v>46650</v>
      </c>
      <c r="BY27">
        <f>_xlfn.XLOOKUP(B27,'[7]september-2025'!$A:$A,'[7]september-2025'!$H:$H,0,0)</f>
        <v>2500</v>
      </c>
      <c r="BZ27">
        <f>_xlfn.XLOOKUP(B27,'[7]september-2025'!$A:$A,'[7]september-2025'!$I:$I,0,0)</f>
        <v>0</v>
      </c>
      <c r="CA27">
        <f>IF($F27="YES",0,IF(BX27&gt;40000,200,IF(BX27&gt;25000,150,IF(BX27&gt;15000,130,IF(BX27&gt;10000,110,0)))))</f>
        <v>200</v>
      </c>
      <c r="CB27">
        <f>BX27-BY27-BZ27-CA27</f>
        <v>43950</v>
      </c>
      <c r="CC27">
        <f>_xlfn.XLOOKUP(B27,'[8]october-2025'!$A:$A,'[8]october-2025'!$C:$C,0,0)</f>
        <v>35500</v>
      </c>
      <c r="CD27">
        <f>CC27*0.18</f>
        <v>6390</v>
      </c>
      <c r="CE27">
        <f>CC27*0.12</f>
        <v>4260</v>
      </c>
      <c r="CF27">
        <f>_xlfn.XLOOKUP(B27,'[8]october-2025'!$A:$A,'[8]october-2025'!$D:$D,0,0)</f>
        <v>0</v>
      </c>
      <c r="CG27">
        <f>_xlfn.XLOOKUP(B27,'[8]october-2025'!$A:$A,'[8]october-2025'!$G:$G,0,0)</f>
        <v>500</v>
      </c>
      <c r="CH27">
        <f>IF(CC27&gt;0,SUM(CC27:CG27),0)</f>
        <v>46650</v>
      </c>
      <c r="CI27">
        <f>_xlfn.XLOOKUP(B27,'[8]october-2025'!$A:$A,'[8]october-2025'!$H:$H,0,0)</f>
        <v>2500</v>
      </c>
      <c r="CJ27">
        <f>_xlfn.XLOOKUP(B27,'[8]october-2025'!$A:$A,'[8]october-2025'!$I:$I,0,0)</f>
        <v>0</v>
      </c>
      <c r="CK27">
        <f>IF($F27="YES",0,IF(CH27&gt;40000,200,IF(CH27&gt;25000,150,IF(CH27&gt;15000,130,IF(CH27&gt;10000,110,0)))))</f>
        <v>200</v>
      </c>
      <c r="CL27">
        <f>CH27-CI27-CJ27-CK27</f>
        <v>43950</v>
      </c>
      <c r="CM27">
        <f>_xlfn.XLOOKUP(B27,'[9]november-2025'!$A:$A,'[9]november-2025'!$C:$C,0,0)</f>
        <v>35500</v>
      </c>
      <c r="CN27">
        <f>CM27*0.18</f>
        <v>6390</v>
      </c>
      <c r="CO27">
        <f>CM27*0.12</f>
        <v>4260</v>
      </c>
      <c r="CP27">
        <f>_xlfn.XLOOKUP(B27,'[9]november-2025'!$A:$A,'[9]november-2025'!$D:$D,0,0)</f>
        <v>0</v>
      </c>
      <c r="CQ27">
        <f>_xlfn.XLOOKUP(B27,'[9]november-2025'!$A:$A,'[9]november-2025'!$G:$G,0,0)</f>
        <v>500</v>
      </c>
      <c r="CR27">
        <f>IF(CM27&gt;0,SUM(CM27:CQ27),0)</f>
        <v>46650</v>
      </c>
      <c r="CS27">
        <f>_xlfn.XLOOKUP(B27,'[9]november-2025'!$A:$A,'[9]november-2025'!$H:$H,0,0)</f>
        <v>2500</v>
      </c>
      <c r="CT27">
        <f>_xlfn.XLOOKUP(B27,'[9]november-2025'!$A:$A,'[9]november-2025'!$I:$I,0,0)</f>
        <v>0</v>
      </c>
      <c r="CU27">
        <f>IF($F27="YES",0,IF(CR27&gt;40000,200,IF(CR27&gt;25000,150,IF(CR27&gt;15000,130,IF(CR27&gt;10000,110,0)))))</f>
        <v>200</v>
      </c>
      <c r="CV27">
        <f>CR27-CS27-CT27-CU27</f>
        <v>43950</v>
      </c>
      <c r="CW27">
        <f>_xlfn.XLOOKUP(B27,'[10]december-2025'!$A:$A,'[10]december-2025'!$C:$C,0,0)</f>
        <v>35500</v>
      </c>
      <c r="CX27">
        <f>ROUND(CW27*0.18,0)</f>
        <v>6390</v>
      </c>
      <c r="CY27">
        <f>ROUND(CW27*0.12,0)</f>
        <v>4260</v>
      </c>
      <c r="CZ27">
        <f>_xlfn.XLOOKUP(B27,'[10]december-2025'!$A:$A,'[10]december-2025'!$D:$D,0,0)</f>
        <v>0</v>
      </c>
      <c r="DA27">
        <f>_xlfn.XLOOKUP(B27,'[10]december-2025'!$A:$A,'[10]december-2025'!$G:$G,0,0)</f>
        <v>500</v>
      </c>
      <c r="DB27">
        <f>IF(CW27&gt;0,SUM(CW27:DA27),0)</f>
        <v>46650</v>
      </c>
      <c r="DC27">
        <f>_xlfn.XLOOKUP(B27,'[10]december-2025'!$A:$A,'[10]december-2025'!$H:$H,0,0)</f>
        <v>2500</v>
      </c>
      <c r="DD27">
        <f>_xlfn.XLOOKUP(B27,'[10]december-2025'!$A:$A,'[10]december-2025'!$I:$I,0,0)</f>
        <v>0</v>
      </c>
      <c r="DE27">
        <f>IF($F27="YES",0,IF(DB27&gt;40000,200,IF(DB27&gt;25000,150,IF(DB27&gt;15000,130,IF(DB27&gt;10000,110,0)))))</f>
        <v>200</v>
      </c>
      <c r="DF27">
        <f>DB27-DC27-DD27-DE27</f>
        <v>43950</v>
      </c>
      <c r="DG27">
        <f>_xlfn.XLOOKUP(B27,'[11]january-2026'!$A:$A,'[11]january-2026'!$C:$C,0,0)</f>
        <v>35500</v>
      </c>
      <c r="DH27">
        <f>DG27*0.18</f>
        <v>6390</v>
      </c>
      <c r="DI27">
        <f>DG27*0.12</f>
        <v>4260</v>
      </c>
      <c r="DJ27">
        <f>_xlfn.XLOOKUP(B27,'[11]january-2026'!$A:$A,'[11]january-2026'!$D:$D,0,0)</f>
        <v>0</v>
      </c>
      <c r="DK27">
        <f>_xlfn.XLOOKUP(B27,'[11]january-2026'!$A:$A,'[11]january-2026'!$G:$G,0,0)</f>
        <v>500</v>
      </c>
      <c r="DL27">
        <f>IF(DG27&gt;0,SUM(DG27:DK27),0)</f>
        <v>46650</v>
      </c>
      <c r="DM27">
        <f>_xlfn.XLOOKUP(B27,'[11]january-2026'!$A:$A,'[11]january-2026'!$H:$H,0,0)</f>
        <v>2500</v>
      </c>
      <c r="DN27">
        <f>_xlfn.XLOOKUP(B27,'[11]january-2026'!$A:$A,'[11]january-2026'!$I:$I,0,0)</f>
        <v>0</v>
      </c>
      <c r="DO27">
        <f>IF($F27="YES",0,IF(DL27&gt;40000,200,IF(DL27&gt;25000,150,IF(DL27&gt;15000,130,IF(DL27&gt;10000,110,0)))))</f>
        <v>200</v>
      </c>
      <c r="DP27">
        <f>DL27-DM27-DN27-DO27</f>
        <v>43950</v>
      </c>
      <c r="DQ27">
        <f>_xlfn.XLOOKUP(B27,'[12]february-2026'!$A:$A,'[12]february-2026'!$C:$C,0,0)</f>
        <v>35500</v>
      </c>
      <c r="DR27">
        <f>DQ27*0.18</f>
        <v>6390</v>
      </c>
      <c r="DS27">
        <f>DQ27*0.12</f>
        <v>4260</v>
      </c>
      <c r="DT27">
        <f>_xlfn.XLOOKUP(B27,'[12]february-2026'!$A:$A,'[12]february-2026'!$D:$D,0,0)</f>
        <v>0</v>
      </c>
      <c r="DU27">
        <f>_xlfn.XLOOKUP(B27,'[12]february-2026'!$A:$A,'[12]february-2026'!$G:$G,0,0)</f>
        <v>500</v>
      </c>
      <c r="DV27">
        <f>IF(DQ27&gt;0,SUM(DQ27:DU27),0)</f>
        <v>46650</v>
      </c>
      <c r="DW27">
        <f>_xlfn.XLOOKUP(B27,'[12]february-2026'!$A:$A,'[12]february-2026'!$H:$H,0,0)</f>
        <v>2500</v>
      </c>
      <c r="DX27">
        <f>_xlfn.XLOOKUP(B27,'[12]february-2026'!$A:$A,'[12]february-2026'!$I:$I,0,0)</f>
        <v>0</v>
      </c>
      <c r="DY27">
        <f>IF($F27="YES",0,IF(DV27&gt;40000,200,IF(DV27&gt;25000,150,IF(DV27&gt;15000,130,IF(DV27&gt;10000,110,0)))))</f>
        <v>200</v>
      </c>
      <c r="DZ27">
        <f>DV27-DW27-DX27-DY27</f>
        <v>43950</v>
      </c>
      <c r="EA27">
        <f>DV27+DL27+DB27+CR27+CH27+BX27+BN27+BD27+AS27+AI27+Y27+O27+H27+I27</f>
        <v>560020</v>
      </c>
      <c r="EB27">
        <f>DY27+DO27+DE27+CU27+CK27+CA27+BQ27+BG27+AV27+AL27+AB27+R27</f>
        <v>2400</v>
      </c>
      <c r="EC27">
        <f>IF(EA27&gt;0,50000,0)</f>
        <v>50000</v>
      </c>
      <c r="ED27">
        <v>0</v>
      </c>
      <c r="EE27">
        <f>EA27-EB27-EC27</f>
        <v>507620</v>
      </c>
      <c r="EF27">
        <f>DW27+DM27+DC27+CS27+CI27+BY27+BO27+BE27+AT27+AJ27+Z27+P27</f>
        <v>30000</v>
      </c>
      <c r="EG27">
        <f>DX27+DN27+DD27+CT27+CJ27+BZ27+BP27+BF27+AU27+AK27+AA27+Q27</f>
        <v>0</v>
      </c>
      <c r="EH27">
        <v>0</v>
      </c>
      <c r="EI27">
        <v>0</v>
      </c>
      <c r="EJ27">
        <v>0</v>
      </c>
      <c r="EK27">
        <v>0</v>
      </c>
      <c r="EL27">
        <v>0</v>
      </c>
      <c r="EM27">
        <v>0</v>
      </c>
      <c r="EN27">
        <v>0</v>
      </c>
      <c r="EO27">
        <v>0</v>
      </c>
      <c r="EP27">
        <v>0</v>
      </c>
      <c r="EQ27">
        <v>0</v>
      </c>
      <c r="ER27">
        <f>SUM(EF27:EQ27)</f>
        <v>30000</v>
      </c>
      <c r="ES27">
        <f>IF(ER27&gt;=150000,150000,ER27)</f>
        <v>30000</v>
      </c>
      <c r="ET27">
        <f>EE27-ES27</f>
        <v>477620</v>
      </c>
      <c r="EU27">
        <v>0</v>
      </c>
      <c r="EV27">
        <v>0</v>
      </c>
      <c r="EW27">
        <v>0</v>
      </c>
      <c r="EX27">
        <v>0</v>
      </c>
      <c r="EY27">
        <v>0</v>
      </c>
      <c r="EZ27">
        <v>0</v>
      </c>
      <c r="FA27">
        <v>0</v>
      </c>
      <c r="FB27">
        <f>SUM(EU27:FA27)+(IF(F27="YES",50000,0))</f>
        <v>0</v>
      </c>
      <c r="FC27">
        <f>ET27-FB27</f>
        <v>477620</v>
      </c>
      <c r="FD27">
        <f>ROUND(IF(FC27&gt;0,IF(FC27&gt;500000,12500,(FC27-250000)*0.05),0),0)</f>
        <v>11381</v>
      </c>
      <c r="FE27">
        <f>IF(ROUND(IF(FC27&gt;0,IF(FC27&gt;1000000,25000,(FC27-500000)*0.2),0),0)&lt;0,0,ROUND(IF(FC27&gt;0,IF(FC27&gt;1000000,25000,(FC27-500000)*0.2),0),0))</f>
        <v>0</v>
      </c>
      <c r="FF27">
        <f>FD27+FE27</f>
        <v>11381</v>
      </c>
      <c r="FG27">
        <f>IF(FF27&lt;12500,0,FF27)</f>
        <v>0</v>
      </c>
      <c r="FH27">
        <f>FG27*0.04</f>
        <v>0</v>
      </c>
      <c r="FI27">
        <f>ROUND(FH27+FG27,0)</f>
        <v>0</v>
      </c>
      <c r="FJ27">
        <v>0</v>
      </c>
      <c r="FK27">
        <f>FI27-FJ27</f>
        <v>0</v>
      </c>
      <c r="FL27" t="b">
        <f>IF(EA27&gt;500000,TRUE,FALSE)</f>
        <v>1</v>
      </c>
      <c r="FM27">
        <f ca="1">IF(FL27,RANDBETWEEN(500,1000),RANDBETWEEN(1000,3000))</f>
        <v>862</v>
      </c>
      <c r="FN27">
        <f ca="1">EA27+FM27</f>
        <v>560882</v>
      </c>
      <c r="FO27">
        <f>IF(EA27&gt;0,75000,0)</f>
        <v>75000</v>
      </c>
      <c r="FP27">
        <f ca="1">FN27-FO27</f>
        <v>485882</v>
      </c>
      <c r="FQ27">
        <f ca="1">IF(FP27&gt;2400000,FP27-2400000,0)</f>
        <v>0</v>
      </c>
      <c r="FR27">
        <f ca="1">FQ27*0.3</f>
        <v>0</v>
      </c>
      <c r="FS27">
        <f ca="1">IF(FP27&gt;2000000,FP27-2000000,0)</f>
        <v>0</v>
      </c>
      <c r="FT27">
        <f ca="1">FS27*0.25</f>
        <v>0</v>
      </c>
      <c r="FU27">
        <f ca="1">IF(FP27&gt;1600000,FP27-1600000-FQ27,0)</f>
        <v>0</v>
      </c>
      <c r="FV27">
        <f ca="1">FU27*0.2</f>
        <v>0</v>
      </c>
      <c r="FW27">
        <f ca="1">IF(FP27&gt;1200000,FP27-1200000-IF(F27="YES",50000,0)-FU27,0)</f>
        <v>0</v>
      </c>
      <c r="FX27">
        <f ca="1">FW27*0.15</f>
        <v>0</v>
      </c>
      <c r="FY27">
        <f ca="1">IF(FP27&gt;800000,FP27-800000-FQ27-FU27-FW27,0)</f>
        <v>0</v>
      </c>
      <c r="FZ27">
        <f ca="1">FY27*0.1</f>
        <v>0</v>
      </c>
      <c r="GA27">
        <f ca="1">IF(FP27&gt;400000,FP27-400000-FQ27-FU27-FW27-FY27,0)</f>
        <v>85882</v>
      </c>
      <c r="GB27">
        <f ca="1">GA27*0.05</f>
        <v>4294.1000000000004</v>
      </c>
      <c r="GC27">
        <f ca="1">ROUND(FR27+FT27+FV27+FX27+FZ27+GB27,0)</f>
        <v>4294</v>
      </c>
      <c r="GD27">
        <f ca="1">IF(FP27&gt;1200000,FP27,0)</f>
        <v>0</v>
      </c>
      <c r="GE27">
        <f ca="1">IF(FP27&gt;1200000,GD27-1200000,0)</f>
        <v>0</v>
      </c>
      <c r="GF27">
        <f ca="1">IF(FP27&lt;1200001,MIN(GC27,60000),0)</f>
        <v>4294</v>
      </c>
      <c r="GG27">
        <f ca="1">IF(FP27&gt;1200000,GC27-GE27,0)</f>
        <v>0</v>
      </c>
      <c r="GH27" t="b">
        <f ca="1">IF(GG27&gt;0,TRUE,FALSE)</f>
        <v>0</v>
      </c>
      <c r="GI27">
        <f ca="1">IF(GH27,GG27,0)</f>
        <v>0</v>
      </c>
      <c r="GJ27">
        <f ca="1">GF27+GI27</f>
        <v>4294</v>
      </c>
      <c r="GK27">
        <f ca="1">ROUND(GC27-GJ27,0)</f>
        <v>0</v>
      </c>
      <c r="GL27">
        <f ca="1">GK27*0.04</f>
        <v>0</v>
      </c>
      <c r="GM27">
        <f ca="1">ROUNDUP(GK27+GL27,0)</f>
        <v>0</v>
      </c>
    </row>
    <row r="28" spans="1:195" x14ac:dyDescent="0.25">
      <c r="A28">
        <f>_xlfn.AGGREGATE(3,5,$B$2:B28)</f>
        <v>27</v>
      </c>
      <c r="B28" t="s">
        <v>174</v>
      </c>
      <c r="C28" t="s">
        <v>175</v>
      </c>
      <c r="D28" t="s">
        <v>758</v>
      </c>
      <c r="E28" t="s">
        <v>834</v>
      </c>
      <c r="F28" t="s">
        <v>959</v>
      </c>
      <c r="G28" t="s">
        <v>887</v>
      </c>
      <c r="H28">
        <f>IF(_xlfn.DAYS("31-03-2025",G28)&gt;=180,6800,0)</f>
        <v>6800</v>
      </c>
      <c r="I28">
        <f>_xlfn.XLOOKUP(B28,'[1]march-2025'!$A:$A,'[1]march-2025'!$J:$J,0,0)</f>
        <v>0</v>
      </c>
      <c r="J28">
        <f>_xlfn.XLOOKUP(B28,'[1]march-2025'!$A:$A,'[1]march-2025'!$C:$C,0,0)</f>
        <v>51700</v>
      </c>
      <c r="K28">
        <f>J28*0.14</f>
        <v>7238.0000000000009</v>
      </c>
      <c r="L28">
        <f>J28*0.12</f>
        <v>6204</v>
      </c>
      <c r="M28">
        <f>_xlfn.XLOOKUP(B28,'[1]march-2025'!$A:$A,'[1]march-2025'!$D:$D,0,0)</f>
        <v>400</v>
      </c>
      <c r="N28">
        <f>_xlfn.XLOOKUP(B28,'[1]march-2025'!$A:$A,'[1]march-2025'!$G:$G,0,0)</f>
        <v>500</v>
      </c>
      <c r="O28">
        <f>IF(J28&gt;0,SUM(J28:N28),0)</f>
        <v>66042</v>
      </c>
      <c r="P28">
        <f>_xlfn.XLOOKUP(B28,'[1]march-2025'!$A:$A,'[1]march-2025'!$H:$H,0,0)</f>
        <v>15000</v>
      </c>
      <c r="Q28">
        <f>_xlfn.XLOOKUP(B28,'[1]march-2025'!$A:$A,'[1]march-2025'!$I:$I,0,0)</f>
        <v>0</v>
      </c>
      <c r="R28">
        <f>IF($F28="YES",0,IF(O28&gt;40000,200,IF(O28&gt;25000,150,IF(O28&gt;15000,130,IF(O28&gt;10000,110,0)))))</f>
        <v>200</v>
      </c>
      <c r="S28">
        <f>O28-P28-Q28-R28</f>
        <v>50842</v>
      </c>
      <c r="T28">
        <f>_xlfn.XLOOKUP(B28,'[2]april-2025'!$A:$A,'[2]april-2025'!$C:$C,0,0)</f>
        <v>51700</v>
      </c>
      <c r="U28">
        <f>T28*0.18</f>
        <v>9306</v>
      </c>
      <c r="V28">
        <f>T28*0.12</f>
        <v>6204</v>
      </c>
      <c r="W28">
        <f>_xlfn.XLOOKUP(B28,'[2]april-2025'!$A:$A,'[2]april-2025'!$D:$D,0,0)</f>
        <v>400</v>
      </c>
      <c r="X28">
        <f>_xlfn.XLOOKUP(B28,'[2]april-2025'!$A:$A,'[2]april-2025'!$G:$G,0,0)</f>
        <v>500</v>
      </c>
      <c r="Y28">
        <f>IF(T28&gt;0,SUM(T28:X28),0)</f>
        <v>68110</v>
      </c>
      <c r="Z28">
        <f>_xlfn.XLOOKUP(B28,'[2]april-2025'!$A:$A,'[2]april-2025'!$H:$H,0,0)</f>
        <v>15000</v>
      </c>
      <c r="AA28">
        <f>_xlfn.XLOOKUP(B28,'[2]april-2025'!$A:$A,'[2]april-2025'!$I:$I,0,0)</f>
        <v>0</v>
      </c>
      <c r="AB28">
        <f>IF($F28="YES",0,IF(Y28&gt;40000,200,IF(Y28&gt;25000,150,IF(Y28&gt;15000,130,IF(Y28&gt;10000,110,0)))))</f>
        <v>200</v>
      </c>
      <c r="AC28">
        <f>Y28-Z28-AA28-AB28</f>
        <v>52910</v>
      </c>
      <c r="AD28">
        <f>_xlfn.XLOOKUP(B28,'[3]may-2025'!$A:$A,'[3]may-2025'!$C:$C,0,0)</f>
        <v>51700</v>
      </c>
      <c r="AE28">
        <f>AD28*0.18</f>
        <v>9306</v>
      </c>
      <c r="AF28">
        <f>AD28*0.12</f>
        <v>6204</v>
      </c>
      <c r="AG28">
        <f>_xlfn.XLOOKUP(B28,'[3]may-2025'!$A:$A,'[3]may-2025'!$D:$D,0,0)</f>
        <v>400</v>
      </c>
      <c r="AH28">
        <f>_xlfn.XLOOKUP(B28,'[3]may-2025'!$A:$A,'[3]may-2025'!$G:$G,0,0)</f>
        <v>500</v>
      </c>
      <c r="AI28">
        <f>IF(AD28&gt;0,SUM(AD28:AH28),0)</f>
        <v>68110</v>
      </c>
      <c r="AJ28">
        <f>_xlfn.XLOOKUP(B28,'[3]may-2025'!$A:$A,'[3]may-2025'!$H:$H,0,0)</f>
        <v>15000</v>
      </c>
      <c r="AK28">
        <f>_xlfn.XLOOKUP(B28,'[3]may-2025'!$A:$A,'[3]may-2025'!$I:$I,0,0)</f>
        <v>0</v>
      </c>
      <c r="AL28">
        <f>IF($F28="YES",0,IF(AI28&gt;40000,200,IF(AI28&gt;25000,150,IF(AI28&gt;15000,130,IF(AI28&gt;10000,110,0)))))</f>
        <v>200</v>
      </c>
      <c r="AM28">
        <f>AI28-AJ28-AK28-AL28</f>
        <v>52910</v>
      </c>
      <c r="AN28">
        <f>_xlfn.XLOOKUP(B28,'[4]june-2025'!$A:$A,'[4]june-2025'!$C:$C,0,0)</f>
        <v>51700</v>
      </c>
      <c r="AO28">
        <f>AN28*0.18</f>
        <v>9306</v>
      </c>
      <c r="AP28">
        <f>AN28*0.12</f>
        <v>6204</v>
      </c>
      <c r="AQ28">
        <f>_xlfn.XLOOKUP(B28,'[4]june-2025'!$A:$A,'[4]june-2025'!$D:$D,0,0)</f>
        <v>400</v>
      </c>
      <c r="AR28">
        <f>_xlfn.XLOOKUP(B28,'[4]june-2025'!$A:$A,'[4]june-2025'!$G:$G,0,0)</f>
        <v>500</v>
      </c>
      <c r="AS28">
        <f>IF(AN28&gt;0,SUM(AN28:AR28),0)</f>
        <v>68110</v>
      </c>
      <c r="AT28">
        <f>_xlfn.XLOOKUP(B28,'[4]june-2025'!$A:$A,'[4]june-2025'!$H:$H,0,0)</f>
        <v>15000</v>
      </c>
      <c r="AU28">
        <f>_xlfn.XLOOKUP(B28,'[4]june-2025'!$A:$A,'[4]june-2025'!$I:$I,0,0)</f>
        <v>0</v>
      </c>
      <c r="AV28">
        <f>IF($F28="YES",0,IF(AS28&gt;40000,200,IF(AS28&gt;25000,150,IF(AS28&gt;15000,130,IF(AS28&gt;10000,110,0)))))</f>
        <v>200</v>
      </c>
      <c r="AW28">
        <f>AS28-AT28-AU28-AV28</f>
        <v>52910</v>
      </c>
      <c r="AX28">
        <f>_xlfn.XLOOKUP(B28,'[5]july-2025'!$A:$A,'[5]july-2025'!$C:$C,0,0)</f>
        <v>53300</v>
      </c>
      <c r="AY28">
        <f>AX28*0.18</f>
        <v>9594</v>
      </c>
      <c r="AZ28">
        <v>0</v>
      </c>
      <c r="BA28">
        <f>AX28*0.12</f>
        <v>6396</v>
      </c>
      <c r="BB28">
        <f>_xlfn.XLOOKUP(B28,'[5]july-2025'!$A:$A,'[5]july-2025'!$D:$D,0,0)</f>
        <v>400</v>
      </c>
      <c r="BC28">
        <f>_xlfn.XLOOKUP(B28,'[5]july-2025'!$A:$A,'[5]july-2025'!$G:$G,0,0)</f>
        <v>500</v>
      </c>
      <c r="BD28">
        <f>IF(AX28&gt;0,SUM(AX28:BC28),0)</f>
        <v>70190</v>
      </c>
      <c r="BE28">
        <f>_xlfn.XLOOKUP(B28,'[5]july-2025'!$A:$A,'[5]july-2025'!$H:$H,0,0)</f>
        <v>15000</v>
      </c>
      <c r="BF28">
        <f>_xlfn.XLOOKUP(B28,'[5]july-2025'!$A:$A,'[5]july-2025'!$I:$I,0,0)</f>
        <v>0</v>
      </c>
      <c r="BG28">
        <f>IF($F28="YES",0,IF(BD28&gt;40000,200,IF(BD28&gt;25000,150,IF(BD28&gt;15000,130,IF(BD28&gt;10000,110,0)))))</f>
        <v>200</v>
      </c>
      <c r="BH28">
        <f>BD28-BE28-BF28-BG28</f>
        <v>54990</v>
      </c>
      <c r="BI28">
        <f>_xlfn.XLOOKUP(B28,'[6]august-2025'!$A:$A,'[6]august-2025'!$C:$C,0,0)</f>
        <v>53300</v>
      </c>
      <c r="BJ28">
        <f>BI28*0.18</f>
        <v>9594</v>
      </c>
      <c r="BK28">
        <f>BI28*0.12</f>
        <v>6396</v>
      </c>
      <c r="BL28">
        <f>_xlfn.XLOOKUP(B28,'[6]august-2025'!$A:$A,'[6]august-2025'!$D:$D,0,0)</f>
        <v>400</v>
      </c>
      <c r="BM28">
        <f>_xlfn.XLOOKUP(B28,'[6]august-2025'!$A:$A,'[6]august-2025'!$G:$G,0,0)</f>
        <v>500</v>
      </c>
      <c r="BN28">
        <f>IF(BI28&gt;0,SUM(BI28:BM28),0)</f>
        <v>70190</v>
      </c>
      <c r="BO28">
        <f>_xlfn.XLOOKUP(B28,'[6]august-2025'!$A:$A,'[6]august-2025'!$H:$H,0,0)</f>
        <v>15000</v>
      </c>
      <c r="BP28">
        <f>_xlfn.XLOOKUP(B28,'[6]august-2025'!$A:$A,'[6]august-2025'!$I:$I,0,0)</f>
        <v>0</v>
      </c>
      <c r="BQ28">
        <f>IF($F28="YES",0,IF(BN28&gt;40000,200,IF(BN28&gt;25000,150,IF(BN28&gt;15000,130,IF(BN28&gt;10000,110,0)))))</f>
        <v>200</v>
      </c>
      <c r="BR28">
        <f>BN28-BO28-BP28-BQ28</f>
        <v>54990</v>
      </c>
      <c r="BS28">
        <f>_xlfn.XLOOKUP(B28,'[7]september-2025'!$A:$A,'[7]september-2025'!$C:$C,0,0)</f>
        <v>53300</v>
      </c>
      <c r="BT28">
        <f>BS28*0.18</f>
        <v>9594</v>
      </c>
      <c r="BU28">
        <f>BS28*0.12</f>
        <v>6396</v>
      </c>
      <c r="BV28">
        <f>_xlfn.XLOOKUP(B28,'[7]september-2025'!$A:$A,'[7]september-2025'!$D:$D,0,0)</f>
        <v>400</v>
      </c>
      <c r="BW28">
        <f>_xlfn.XLOOKUP(B28,'[7]september-2025'!$A:$A,'[7]september-2025'!$G:$G,0,0)</f>
        <v>500</v>
      </c>
      <c r="BX28">
        <f>IF(BS28&gt;0,SUM(BS28:BW28),0)</f>
        <v>70190</v>
      </c>
      <c r="BY28">
        <f>_xlfn.XLOOKUP(B28,'[7]september-2025'!$A:$A,'[7]september-2025'!$H:$H,0,0)</f>
        <v>15000</v>
      </c>
      <c r="BZ28">
        <f>_xlfn.XLOOKUP(B28,'[7]september-2025'!$A:$A,'[7]september-2025'!$I:$I,0,0)</f>
        <v>0</v>
      </c>
      <c r="CA28">
        <f>IF($F28="YES",0,IF(BX28&gt;40000,200,IF(BX28&gt;25000,150,IF(BX28&gt;15000,130,IF(BX28&gt;10000,110,0)))))</f>
        <v>200</v>
      </c>
      <c r="CB28">
        <f>BX28-BY28-BZ28-CA28</f>
        <v>54990</v>
      </c>
      <c r="CC28">
        <f>_xlfn.XLOOKUP(B28,'[8]october-2025'!$A:$A,'[8]october-2025'!$C:$C,0,0)</f>
        <v>53300</v>
      </c>
      <c r="CD28">
        <f>CC28*0.18</f>
        <v>9594</v>
      </c>
      <c r="CE28">
        <f>CC28*0.12</f>
        <v>6396</v>
      </c>
      <c r="CF28">
        <f>_xlfn.XLOOKUP(B28,'[8]october-2025'!$A:$A,'[8]october-2025'!$D:$D,0,0)</f>
        <v>400</v>
      </c>
      <c r="CG28">
        <f>_xlfn.XLOOKUP(B28,'[8]october-2025'!$A:$A,'[8]october-2025'!$G:$G,0,0)</f>
        <v>500</v>
      </c>
      <c r="CH28">
        <f>IF(CC28&gt;0,SUM(CC28:CG28),0)</f>
        <v>70190</v>
      </c>
      <c r="CI28">
        <f>_xlfn.XLOOKUP(B28,'[8]october-2025'!$A:$A,'[8]october-2025'!$H:$H,0,0)</f>
        <v>15000</v>
      </c>
      <c r="CJ28">
        <f>_xlfn.XLOOKUP(B28,'[8]october-2025'!$A:$A,'[8]october-2025'!$I:$I,0,0)</f>
        <v>0</v>
      </c>
      <c r="CK28">
        <f>IF($F28="YES",0,IF(CH28&gt;40000,200,IF(CH28&gt;25000,150,IF(CH28&gt;15000,130,IF(CH28&gt;10000,110,0)))))</f>
        <v>200</v>
      </c>
      <c r="CL28">
        <f>CH28-CI28-CJ28-CK28</f>
        <v>54990</v>
      </c>
      <c r="CM28">
        <f>_xlfn.XLOOKUP(B28,'[9]november-2025'!$A:$A,'[9]november-2025'!$C:$C,0,0)</f>
        <v>53300</v>
      </c>
      <c r="CN28">
        <f>CM28*0.18</f>
        <v>9594</v>
      </c>
      <c r="CO28">
        <f>CM28*0.12</f>
        <v>6396</v>
      </c>
      <c r="CP28">
        <f>_xlfn.XLOOKUP(B28,'[9]november-2025'!$A:$A,'[9]november-2025'!$D:$D,0,0)</f>
        <v>400</v>
      </c>
      <c r="CQ28">
        <f>_xlfn.XLOOKUP(B28,'[9]november-2025'!$A:$A,'[9]november-2025'!$G:$G,0,0)</f>
        <v>500</v>
      </c>
      <c r="CR28">
        <f>IF(CM28&gt;0,SUM(CM28:CQ28),0)</f>
        <v>70190</v>
      </c>
      <c r="CS28">
        <f>_xlfn.XLOOKUP(B28,'[9]november-2025'!$A:$A,'[9]november-2025'!$H:$H,0,0)</f>
        <v>15000</v>
      </c>
      <c r="CT28">
        <f>_xlfn.XLOOKUP(B28,'[9]november-2025'!$A:$A,'[9]november-2025'!$I:$I,0,0)</f>
        <v>0</v>
      </c>
      <c r="CU28">
        <f>IF($F28="YES",0,IF(CR28&gt;40000,200,IF(CR28&gt;25000,150,IF(CR28&gt;15000,130,IF(CR28&gt;10000,110,0)))))</f>
        <v>200</v>
      </c>
      <c r="CV28">
        <f>CR28-CS28-CT28-CU28</f>
        <v>54990</v>
      </c>
      <c r="CW28">
        <f>_xlfn.XLOOKUP(B28,'[10]december-2025'!$A:$A,'[10]december-2025'!$C:$C,0,0)</f>
        <v>53300</v>
      </c>
      <c r="CX28">
        <f>ROUND(CW28*0.18,0)</f>
        <v>9594</v>
      </c>
      <c r="CY28">
        <f>ROUND(CW28*0.12,0)</f>
        <v>6396</v>
      </c>
      <c r="CZ28">
        <f>_xlfn.XLOOKUP(B28,'[10]december-2025'!$A:$A,'[10]december-2025'!$D:$D,0,0)</f>
        <v>400</v>
      </c>
      <c r="DA28">
        <f>_xlfn.XLOOKUP(B28,'[10]december-2025'!$A:$A,'[10]december-2025'!$G:$G,0,0)</f>
        <v>500</v>
      </c>
      <c r="DB28">
        <f>IF(CW28&gt;0,SUM(CW28:DA28),0)</f>
        <v>70190</v>
      </c>
      <c r="DC28">
        <f>_xlfn.XLOOKUP(B28,'[10]december-2025'!$A:$A,'[10]december-2025'!$H:$H,0,0)</f>
        <v>15000</v>
      </c>
      <c r="DD28">
        <f>_xlfn.XLOOKUP(B28,'[10]december-2025'!$A:$A,'[10]december-2025'!$I:$I,0,0)</f>
        <v>0</v>
      </c>
      <c r="DE28">
        <f>IF($F28="YES",0,IF(DB28&gt;40000,200,IF(DB28&gt;25000,150,IF(DB28&gt;15000,130,IF(DB28&gt;10000,110,0)))))</f>
        <v>200</v>
      </c>
      <c r="DF28">
        <f>DB28-DC28-DD28-DE28</f>
        <v>54990</v>
      </c>
      <c r="DG28">
        <f>_xlfn.XLOOKUP(B28,'[11]january-2026'!$A:$A,'[11]january-2026'!$C:$C,0,0)</f>
        <v>53300</v>
      </c>
      <c r="DH28">
        <f>DG28*0.18</f>
        <v>9594</v>
      </c>
      <c r="DI28">
        <f>DG28*0.12</f>
        <v>6396</v>
      </c>
      <c r="DJ28">
        <f>_xlfn.XLOOKUP(B28,'[11]january-2026'!$A:$A,'[11]january-2026'!$D:$D,0,0)</f>
        <v>400</v>
      </c>
      <c r="DK28">
        <f>_xlfn.XLOOKUP(B28,'[11]january-2026'!$A:$A,'[11]january-2026'!$G:$G,0,0)</f>
        <v>500</v>
      </c>
      <c r="DL28">
        <f>IF(DG28&gt;0,SUM(DG28:DK28),0)</f>
        <v>70190</v>
      </c>
      <c r="DM28">
        <f>_xlfn.XLOOKUP(B28,'[11]january-2026'!$A:$A,'[11]january-2026'!$H:$H,0,0)</f>
        <v>15000</v>
      </c>
      <c r="DN28">
        <f>_xlfn.XLOOKUP(B28,'[11]january-2026'!$A:$A,'[11]january-2026'!$I:$I,0,0)</f>
        <v>0</v>
      </c>
      <c r="DO28">
        <f>IF($F28="YES",0,IF(DL28&gt;40000,200,IF(DL28&gt;25000,150,IF(DL28&gt;15000,130,IF(DL28&gt;10000,110,0)))))</f>
        <v>200</v>
      </c>
      <c r="DP28">
        <f>DL28-DM28-DN28-DO28</f>
        <v>54990</v>
      </c>
      <c r="DQ28">
        <f>_xlfn.XLOOKUP(B28,'[12]february-2026'!$A:$A,'[12]february-2026'!$C:$C,0,0)</f>
        <v>53300</v>
      </c>
      <c r="DR28">
        <f>DQ28*0.18</f>
        <v>9594</v>
      </c>
      <c r="DS28">
        <f>DQ28*0.12</f>
        <v>6396</v>
      </c>
      <c r="DT28">
        <f>_xlfn.XLOOKUP(B28,'[12]february-2026'!$A:$A,'[12]february-2026'!$D:$D,0,0)</f>
        <v>400</v>
      </c>
      <c r="DU28">
        <f>_xlfn.XLOOKUP(B28,'[12]february-2026'!$A:$A,'[12]february-2026'!$G:$G,0,0)</f>
        <v>500</v>
      </c>
      <c r="DV28">
        <f>IF(DQ28&gt;0,SUM(DQ28:DU28),0)</f>
        <v>70190</v>
      </c>
      <c r="DW28">
        <f>_xlfn.XLOOKUP(B28,'[12]february-2026'!$A:$A,'[12]february-2026'!$H:$H,0,0)</f>
        <v>15000</v>
      </c>
      <c r="DX28">
        <f>_xlfn.XLOOKUP(B28,'[12]february-2026'!$A:$A,'[12]february-2026'!$I:$I,0,0)</f>
        <v>0</v>
      </c>
      <c r="DY28">
        <f>IF($F28="YES",0,IF(DV28&gt;40000,200,IF(DV28&gt;25000,150,IF(DV28&gt;15000,130,IF(DV28&gt;10000,110,0)))))</f>
        <v>200</v>
      </c>
      <c r="DZ28">
        <f>DV28-DW28-DX28-DY28</f>
        <v>54990</v>
      </c>
      <c r="EA28">
        <f>DV28+DL28+DB28+CR28+CH28+BX28+BN28+BD28+AS28+AI28+Y28+O28+H28+I28</f>
        <v>838692</v>
      </c>
      <c r="EB28">
        <f>DY28+DO28+DE28+CU28+CK28+CA28+BQ28+BG28+AV28+AL28+AB28+R28</f>
        <v>2400</v>
      </c>
      <c r="EC28">
        <f>IF(EA28&gt;0,50000,0)</f>
        <v>50000</v>
      </c>
      <c r="ED28">
        <v>0</v>
      </c>
      <c r="EE28">
        <f>EA28-EB28-EC28</f>
        <v>786292</v>
      </c>
      <c r="EF28">
        <f>DW28+DM28+DC28+CS28+CI28+BY28+BO28+BE28+AT28+AJ28+Z28+P28</f>
        <v>180000</v>
      </c>
      <c r="EG28">
        <f>DX28+DN28+DD28+CT28+CJ28+BZ28+BP28+BF28+AU28+AK28+AA28+Q28</f>
        <v>0</v>
      </c>
      <c r="EH28">
        <v>0</v>
      </c>
      <c r="EI28">
        <v>0</v>
      </c>
      <c r="EJ28">
        <v>0</v>
      </c>
      <c r="EK28">
        <v>0</v>
      </c>
      <c r="EL28">
        <v>0</v>
      </c>
      <c r="EM28">
        <v>0</v>
      </c>
      <c r="EN28">
        <v>0</v>
      </c>
      <c r="EO28">
        <v>0</v>
      </c>
      <c r="EP28">
        <v>0</v>
      </c>
      <c r="EQ28">
        <v>0</v>
      </c>
      <c r="ER28">
        <f>SUM(EF28:EQ28)</f>
        <v>180000</v>
      </c>
      <c r="ES28">
        <f>IF(ER28&gt;=150000,150000,ER28)</f>
        <v>150000</v>
      </c>
      <c r="ET28">
        <f>EE28-ES28</f>
        <v>636292</v>
      </c>
      <c r="EU28">
        <v>0</v>
      </c>
      <c r="EV28">
        <v>0</v>
      </c>
      <c r="EW28">
        <v>0</v>
      </c>
      <c r="EX28">
        <v>0</v>
      </c>
      <c r="EY28">
        <v>0</v>
      </c>
      <c r="EZ28">
        <v>0</v>
      </c>
      <c r="FA28">
        <v>0</v>
      </c>
      <c r="FB28">
        <f>SUM(EU28:FA28)+(IF(F28="YES",50000,0))</f>
        <v>0</v>
      </c>
      <c r="FC28">
        <f>ET28-FB28</f>
        <v>636292</v>
      </c>
      <c r="FD28">
        <f>ROUND(IF(FC28&gt;0,IF(FC28&gt;500000,12500,(FC28-250000)*0.05),0),0)</f>
        <v>12500</v>
      </c>
      <c r="FE28">
        <f>IF(ROUND(IF(FC28&gt;0,IF(FC28&gt;1000000,25000,(FC28-500000)*0.2),0),0)&lt;0,0,ROUND(IF(FC28&gt;0,IF(FC28&gt;1000000,25000,(FC28-500000)*0.2),0),0))</f>
        <v>27258</v>
      </c>
      <c r="FF28">
        <f>FD28+FE28</f>
        <v>39758</v>
      </c>
      <c r="FG28">
        <f>IF(FF28&lt;12500,0,FF28)</f>
        <v>39758</v>
      </c>
      <c r="FH28">
        <f>FG28*0.04</f>
        <v>1590.32</v>
      </c>
      <c r="FI28">
        <f>ROUND(FH28+FG28,0)</f>
        <v>41348</v>
      </c>
      <c r="FJ28">
        <v>0</v>
      </c>
      <c r="FK28">
        <f>FI28-FJ28</f>
        <v>41348</v>
      </c>
      <c r="FL28" t="b">
        <f>IF(EA28&gt;500000,TRUE,FALSE)</f>
        <v>1</v>
      </c>
      <c r="FM28">
        <f ca="1">IF(FL28,RANDBETWEEN(500,1000),RANDBETWEEN(1000,3000))</f>
        <v>611</v>
      </c>
      <c r="FN28">
        <f ca="1">EA28+FM28</f>
        <v>839303</v>
      </c>
      <c r="FO28">
        <f>IF(EA28&gt;0,75000,0)</f>
        <v>75000</v>
      </c>
      <c r="FP28">
        <f ca="1">FN28-FO28</f>
        <v>764303</v>
      </c>
      <c r="FQ28">
        <f ca="1">IF(FP28&gt;2400000,FP28-2400000,0)</f>
        <v>0</v>
      </c>
      <c r="FR28">
        <f ca="1">FQ28*0.3</f>
        <v>0</v>
      </c>
      <c r="FS28">
        <f ca="1">IF(FP28&gt;2000000,FP28-2000000,0)</f>
        <v>0</v>
      </c>
      <c r="FT28">
        <f ca="1">FS28*0.25</f>
        <v>0</v>
      </c>
      <c r="FU28">
        <f ca="1">IF(FP28&gt;1600000,FP28-1600000-FQ28,0)</f>
        <v>0</v>
      </c>
      <c r="FV28">
        <f ca="1">FU28*0.2</f>
        <v>0</v>
      </c>
      <c r="FW28">
        <f ca="1">IF(FP28&gt;1200000,FP28-1200000-IF(F28="YES",50000,0)-FU28,0)</f>
        <v>0</v>
      </c>
      <c r="FX28">
        <f ca="1">FW28*0.15</f>
        <v>0</v>
      </c>
      <c r="FY28">
        <f ca="1">IF(FP28&gt;800000,FP28-800000-FQ28-FU28-FW28,0)</f>
        <v>0</v>
      </c>
      <c r="FZ28">
        <f ca="1">FY28*0.1</f>
        <v>0</v>
      </c>
      <c r="GA28">
        <f ca="1">IF(FP28&gt;400000,FP28-400000-FQ28-FU28-FW28-FY28,0)</f>
        <v>364303</v>
      </c>
      <c r="GB28">
        <f ca="1">GA28*0.05</f>
        <v>18215.150000000001</v>
      </c>
      <c r="GC28">
        <f ca="1">ROUND(FR28+FT28+FV28+FX28+FZ28+GB28,0)</f>
        <v>18215</v>
      </c>
      <c r="GD28">
        <f ca="1">IF(FP28&gt;1200000,FP28,0)</f>
        <v>0</v>
      </c>
      <c r="GE28">
        <f ca="1">IF(FP28&gt;1200000,GD28-1200000,0)</f>
        <v>0</v>
      </c>
      <c r="GF28">
        <f ca="1">IF(FP28&lt;1200001,MIN(GC28,60000),0)</f>
        <v>18215</v>
      </c>
      <c r="GG28">
        <f ca="1">IF(FP28&gt;1200000,GC28-GE28,0)</f>
        <v>0</v>
      </c>
      <c r="GH28" t="b">
        <f ca="1">IF(GG28&gt;0,TRUE,FALSE)</f>
        <v>0</v>
      </c>
      <c r="GI28">
        <f ca="1">IF(GH28,GG28,0)</f>
        <v>0</v>
      </c>
      <c r="GJ28">
        <f ca="1">GF28+GI28</f>
        <v>18215</v>
      </c>
      <c r="GK28">
        <f ca="1">ROUND(GC28-GJ28,0)</f>
        <v>0</v>
      </c>
      <c r="GL28">
        <f ca="1">GK28*0.04</f>
        <v>0</v>
      </c>
      <c r="GM28">
        <f ca="1">ROUNDUP(GK28+GL28,0)</f>
        <v>0</v>
      </c>
    </row>
    <row r="29" spans="1:195" x14ac:dyDescent="0.25">
      <c r="A29">
        <f>_xlfn.AGGREGATE(3,5,$B$2:B29)</f>
        <v>28</v>
      </c>
      <c r="B29" t="s">
        <v>176</v>
      </c>
      <c r="C29" t="s">
        <v>177</v>
      </c>
      <c r="D29" t="s">
        <v>758</v>
      </c>
      <c r="E29" t="s">
        <v>834</v>
      </c>
      <c r="F29" t="s">
        <v>959</v>
      </c>
      <c r="G29" t="s">
        <v>894</v>
      </c>
      <c r="H29">
        <f>IF(_xlfn.DAYS("31-03-2025",G29)&gt;=180,6800,0)</f>
        <v>6800</v>
      </c>
      <c r="I29">
        <f>_xlfn.XLOOKUP(B29,'[1]march-2025'!$A:$A,'[1]march-2025'!$J:$J,0,0)</f>
        <v>0</v>
      </c>
      <c r="J29">
        <f>_xlfn.XLOOKUP(B29,'[1]march-2025'!$A:$A,'[1]march-2025'!$C:$C,0,0)</f>
        <v>27000</v>
      </c>
      <c r="K29">
        <f>J29*0.14</f>
        <v>3780.0000000000005</v>
      </c>
      <c r="L29">
        <f>J29*0.12</f>
        <v>3240</v>
      </c>
      <c r="M29">
        <f>_xlfn.XLOOKUP(B29,'[1]march-2025'!$A:$A,'[1]march-2025'!$D:$D,0,0)</f>
        <v>0</v>
      </c>
      <c r="N29">
        <f>_xlfn.XLOOKUP(B29,'[1]march-2025'!$A:$A,'[1]march-2025'!$G:$G,0,0)</f>
        <v>500</v>
      </c>
      <c r="O29">
        <f>IF(J29&gt;0,SUM(J29:N29),0)</f>
        <v>34520</v>
      </c>
      <c r="P29">
        <f>_xlfn.XLOOKUP(B29,'[1]march-2025'!$A:$A,'[1]march-2025'!$H:$H,0,0)</f>
        <v>4000</v>
      </c>
      <c r="Q29">
        <f>_xlfn.XLOOKUP(B29,'[1]march-2025'!$A:$A,'[1]march-2025'!$I:$I,0,0)</f>
        <v>0</v>
      </c>
      <c r="R29">
        <f>IF($F29="YES",0,IF(O29&gt;40000,200,IF(O29&gt;25000,150,IF(O29&gt;15000,130,IF(O29&gt;10000,110,0)))))</f>
        <v>150</v>
      </c>
      <c r="S29">
        <f>O29-P29-Q29-R29</f>
        <v>30370</v>
      </c>
      <c r="T29">
        <f>_xlfn.XLOOKUP(B29,'[2]april-2025'!$A:$A,'[2]april-2025'!$C:$C,0,0)</f>
        <v>27000</v>
      </c>
      <c r="U29">
        <f>T29*0.18</f>
        <v>4860</v>
      </c>
      <c r="V29">
        <f>T29*0.12</f>
        <v>3240</v>
      </c>
      <c r="W29">
        <f>_xlfn.XLOOKUP(B29,'[2]april-2025'!$A:$A,'[2]april-2025'!$D:$D,0,0)</f>
        <v>0</v>
      </c>
      <c r="X29">
        <f>_xlfn.XLOOKUP(B29,'[2]april-2025'!$A:$A,'[2]april-2025'!$G:$G,0,0)</f>
        <v>500</v>
      </c>
      <c r="Y29">
        <f>IF(T29&gt;0,SUM(T29:X29),0)</f>
        <v>35600</v>
      </c>
      <c r="Z29">
        <f>_xlfn.XLOOKUP(B29,'[2]april-2025'!$A:$A,'[2]april-2025'!$H:$H,0,0)</f>
        <v>4000</v>
      </c>
      <c r="AA29">
        <f>_xlfn.XLOOKUP(B29,'[2]april-2025'!$A:$A,'[2]april-2025'!$I:$I,0,0)</f>
        <v>0</v>
      </c>
      <c r="AB29">
        <f>IF($F29="YES",0,IF(Y29&gt;40000,200,IF(Y29&gt;25000,150,IF(Y29&gt;15000,130,IF(Y29&gt;10000,110,0)))))</f>
        <v>150</v>
      </c>
      <c r="AC29">
        <f>Y29-Z29-AA29-AB29</f>
        <v>31450</v>
      </c>
      <c r="AD29">
        <f>_xlfn.XLOOKUP(B29,'[3]may-2025'!$A:$A,'[3]may-2025'!$C:$C,0,0)</f>
        <v>31600</v>
      </c>
      <c r="AE29">
        <f>AD29*0.18</f>
        <v>5688</v>
      </c>
      <c r="AF29">
        <f>AD29*0.12</f>
        <v>3792</v>
      </c>
      <c r="AG29">
        <f>_xlfn.XLOOKUP(B29,'[3]may-2025'!$A:$A,'[3]may-2025'!$D:$D,0,0)</f>
        <v>0</v>
      </c>
      <c r="AH29">
        <f>_xlfn.XLOOKUP(B29,'[3]may-2025'!$A:$A,'[3]may-2025'!$G:$G,0,0)</f>
        <v>500</v>
      </c>
      <c r="AI29">
        <f>IF(AD29&gt;0,SUM(AD29:AH29),0)</f>
        <v>41580</v>
      </c>
      <c r="AJ29">
        <f>_xlfn.XLOOKUP(B29,'[3]may-2025'!$A:$A,'[3]may-2025'!$H:$H,0,0)</f>
        <v>4000</v>
      </c>
      <c r="AK29">
        <f>_xlfn.XLOOKUP(B29,'[3]may-2025'!$A:$A,'[3]may-2025'!$I:$I,0,0)</f>
        <v>0</v>
      </c>
      <c r="AL29">
        <f>IF($F29="YES",0,IF(AI29&gt;40000,200,IF(AI29&gt;25000,150,IF(AI29&gt;15000,130,IF(AI29&gt;10000,110,0)))))</f>
        <v>200</v>
      </c>
      <c r="AM29">
        <f>AI29-AJ29-AK29-AL29</f>
        <v>37380</v>
      </c>
      <c r="AN29">
        <f>_xlfn.XLOOKUP(B29,'[4]june-2025'!$A:$A,'[4]june-2025'!$C:$C,0,0)</f>
        <v>31600</v>
      </c>
      <c r="AO29">
        <f>AN29*0.18</f>
        <v>5688</v>
      </c>
      <c r="AP29">
        <f>AN29*0.12</f>
        <v>3792</v>
      </c>
      <c r="AQ29">
        <f>_xlfn.XLOOKUP(B29,'[4]june-2025'!$A:$A,'[4]june-2025'!$D:$D,0,0)</f>
        <v>0</v>
      </c>
      <c r="AR29">
        <f>_xlfn.XLOOKUP(B29,'[4]june-2025'!$A:$A,'[4]june-2025'!$G:$G,0,0)</f>
        <v>500</v>
      </c>
      <c r="AS29">
        <f>IF(AN29&gt;0,SUM(AN29:AR29),0)</f>
        <v>41580</v>
      </c>
      <c r="AT29">
        <f>_xlfn.XLOOKUP(B29,'[4]june-2025'!$A:$A,'[4]june-2025'!$H:$H,0,0)</f>
        <v>4000</v>
      </c>
      <c r="AU29">
        <f>_xlfn.XLOOKUP(B29,'[4]june-2025'!$A:$A,'[4]june-2025'!$I:$I,0,0)</f>
        <v>0</v>
      </c>
      <c r="AV29">
        <f>IF($F29="YES",0,IF(AS29&gt;40000,200,IF(AS29&gt;25000,150,IF(AS29&gt;15000,130,IF(AS29&gt;10000,110,0)))))</f>
        <v>200</v>
      </c>
      <c r="AW29">
        <f>AS29-AT29-AU29-AV29</f>
        <v>37380</v>
      </c>
      <c r="AX29">
        <f>_xlfn.XLOOKUP(B29,'[5]july-2025'!$A:$A,'[5]july-2025'!$C:$C,0,0)</f>
        <v>32500</v>
      </c>
      <c r="AY29">
        <f>AX29*0.18</f>
        <v>5850</v>
      </c>
      <c r="AZ29">
        <v>0</v>
      </c>
      <c r="BA29">
        <f>AX29*0.12</f>
        <v>3900</v>
      </c>
      <c r="BB29">
        <f>_xlfn.XLOOKUP(B29,'[5]july-2025'!$A:$A,'[5]july-2025'!$D:$D,0,0)</f>
        <v>0</v>
      </c>
      <c r="BC29">
        <f>_xlfn.XLOOKUP(B29,'[5]july-2025'!$A:$A,'[5]july-2025'!$G:$G,0,0)</f>
        <v>500</v>
      </c>
      <c r="BD29">
        <f>IF(AX29&gt;0,SUM(AX29:BC29),0)</f>
        <v>42750</v>
      </c>
      <c r="BE29">
        <f>_xlfn.XLOOKUP(B29,'[5]july-2025'!$A:$A,'[5]july-2025'!$H:$H,0,0)</f>
        <v>4000</v>
      </c>
      <c r="BF29">
        <f>_xlfn.XLOOKUP(B29,'[5]july-2025'!$A:$A,'[5]july-2025'!$I:$I,0,0)</f>
        <v>0</v>
      </c>
      <c r="BG29">
        <f>IF($F29="YES",0,IF(BD29&gt;40000,200,IF(BD29&gt;25000,150,IF(BD29&gt;15000,130,IF(BD29&gt;10000,110,0)))))</f>
        <v>200</v>
      </c>
      <c r="BH29">
        <f>BD29-BE29-BF29-BG29</f>
        <v>38550</v>
      </c>
      <c r="BI29">
        <f>_xlfn.XLOOKUP(B29,'[6]august-2025'!$A:$A,'[6]august-2025'!$C:$C,0,0)</f>
        <v>32500</v>
      </c>
      <c r="BJ29">
        <f>BI29*0.18</f>
        <v>5850</v>
      </c>
      <c r="BK29">
        <f>BI29*0.12</f>
        <v>3900</v>
      </c>
      <c r="BL29">
        <f>_xlfn.XLOOKUP(B29,'[6]august-2025'!$A:$A,'[6]august-2025'!$D:$D,0,0)</f>
        <v>0</v>
      </c>
      <c r="BM29">
        <f>_xlfn.XLOOKUP(B29,'[6]august-2025'!$A:$A,'[6]august-2025'!$G:$G,0,0)</f>
        <v>500</v>
      </c>
      <c r="BN29">
        <f>IF(BI29&gt;0,SUM(BI29:BM29),0)</f>
        <v>42750</v>
      </c>
      <c r="BO29">
        <f>_xlfn.XLOOKUP(B29,'[6]august-2025'!$A:$A,'[6]august-2025'!$H:$H,0,0)</f>
        <v>4000</v>
      </c>
      <c r="BP29">
        <f>_xlfn.XLOOKUP(B29,'[6]august-2025'!$A:$A,'[6]august-2025'!$I:$I,0,0)</f>
        <v>0</v>
      </c>
      <c r="BQ29">
        <f>IF($F29="YES",0,IF(BN29&gt;40000,200,IF(BN29&gt;25000,150,IF(BN29&gt;15000,130,IF(BN29&gt;10000,110,0)))))</f>
        <v>200</v>
      </c>
      <c r="BR29">
        <f>BN29-BO29-BP29-BQ29</f>
        <v>38550</v>
      </c>
      <c r="BS29">
        <f>_xlfn.XLOOKUP(B29,'[7]september-2025'!$A:$A,'[7]september-2025'!$C:$C,0,0)</f>
        <v>32500</v>
      </c>
      <c r="BT29">
        <f>BS29*0.18</f>
        <v>5850</v>
      </c>
      <c r="BU29">
        <f>BS29*0.12</f>
        <v>3900</v>
      </c>
      <c r="BV29">
        <f>_xlfn.XLOOKUP(B29,'[7]september-2025'!$A:$A,'[7]september-2025'!$D:$D,0,0)</f>
        <v>0</v>
      </c>
      <c r="BW29">
        <f>_xlfn.XLOOKUP(B29,'[7]september-2025'!$A:$A,'[7]september-2025'!$G:$G,0,0)</f>
        <v>500</v>
      </c>
      <c r="BX29">
        <f>IF(BS29&gt;0,SUM(BS29:BW29),0)</f>
        <v>42750</v>
      </c>
      <c r="BY29">
        <f>_xlfn.XLOOKUP(B29,'[7]september-2025'!$A:$A,'[7]september-2025'!$H:$H,0,0)</f>
        <v>4000</v>
      </c>
      <c r="BZ29">
        <f>_xlfn.XLOOKUP(B29,'[7]september-2025'!$A:$A,'[7]september-2025'!$I:$I,0,0)</f>
        <v>0</v>
      </c>
      <c r="CA29">
        <f>IF($F29="YES",0,IF(BX29&gt;40000,200,IF(BX29&gt;25000,150,IF(BX29&gt;15000,130,IF(BX29&gt;10000,110,0)))))</f>
        <v>200</v>
      </c>
      <c r="CB29">
        <f>BX29-BY29-BZ29-CA29</f>
        <v>38550</v>
      </c>
      <c r="CC29">
        <f>_xlfn.XLOOKUP(B29,'[8]october-2025'!$A:$A,'[8]october-2025'!$C:$C,0,0)</f>
        <v>32500</v>
      </c>
      <c r="CD29">
        <f>CC29*0.18</f>
        <v>5850</v>
      </c>
      <c r="CE29">
        <f>CC29*0.12</f>
        <v>3900</v>
      </c>
      <c r="CF29">
        <f>_xlfn.XLOOKUP(B29,'[8]october-2025'!$A:$A,'[8]october-2025'!$D:$D,0,0)</f>
        <v>0</v>
      </c>
      <c r="CG29">
        <f>_xlfn.XLOOKUP(B29,'[8]october-2025'!$A:$A,'[8]october-2025'!$G:$G,0,0)</f>
        <v>500</v>
      </c>
      <c r="CH29">
        <f>IF(CC29&gt;0,SUM(CC29:CG29),0)</f>
        <v>42750</v>
      </c>
      <c r="CI29">
        <f>_xlfn.XLOOKUP(B29,'[8]october-2025'!$A:$A,'[8]october-2025'!$H:$H,0,0)</f>
        <v>4000</v>
      </c>
      <c r="CJ29">
        <f>_xlfn.XLOOKUP(B29,'[8]october-2025'!$A:$A,'[8]october-2025'!$I:$I,0,0)</f>
        <v>0</v>
      </c>
      <c r="CK29">
        <f>IF($F29="YES",0,IF(CH29&gt;40000,200,IF(CH29&gt;25000,150,IF(CH29&gt;15000,130,IF(CH29&gt;10000,110,0)))))</f>
        <v>200</v>
      </c>
      <c r="CL29">
        <f>CH29-CI29-CJ29-CK29</f>
        <v>38550</v>
      </c>
      <c r="CM29">
        <f>_xlfn.XLOOKUP(B29,'[9]november-2025'!$A:$A,'[9]november-2025'!$C:$C,0,0)</f>
        <v>32500</v>
      </c>
      <c r="CN29">
        <f>CM29*0.18</f>
        <v>5850</v>
      </c>
      <c r="CO29">
        <f>CM29*0.12</f>
        <v>3900</v>
      </c>
      <c r="CP29">
        <f>_xlfn.XLOOKUP(B29,'[9]november-2025'!$A:$A,'[9]november-2025'!$D:$D,0,0)</f>
        <v>0</v>
      </c>
      <c r="CQ29">
        <f>_xlfn.XLOOKUP(B29,'[9]november-2025'!$A:$A,'[9]november-2025'!$G:$G,0,0)</f>
        <v>500</v>
      </c>
      <c r="CR29">
        <f>IF(CM29&gt;0,SUM(CM29:CQ29),0)</f>
        <v>42750</v>
      </c>
      <c r="CS29">
        <f>_xlfn.XLOOKUP(B29,'[9]november-2025'!$A:$A,'[9]november-2025'!$H:$H,0,0)</f>
        <v>4000</v>
      </c>
      <c r="CT29">
        <f>_xlfn.XLOOKUP(B29,'[9]november-2025'!$A:$A,'[9]november-2025'!$I:$I,0,0)</f>
        <v>0</v>
      </c>
      <c r="CU29">
        <f>IF($F29="YES",0,IF(CR29&gt;40000,200,IF(CR29&gt;25000,150,IF(CR29&gt;15000,130,IF(CR29&gt;10000,110,0)))))</f>
        <v>200</v>
      </c>
      <c r="CV29">
        <f>CR29-CS29-CT29-CU29</f>
        <v>38550</v>
      </c>
      <c r="CW29">
        <f>_xlfn.XLOOKUP(B29,'[10]december-2025'!$A:$A,'[10]december-2025'!$C:$C,0,0)</f>
        <v>32500</v>
      </c>
      <c r="CX29">
        <f>ROUND(CW29*0.18,0)</f>
        <v>5850</v>
      </c>
      <c r="CY29">
        <f>ROUND(CW29*0.12,0)</f>
        <v>3900</v>
      </c>
      <c r="CZ29">
        <f>_xlfn.XLOOKUP(B29,'[10]december-2025'!$A:$A,'[10]december-2025'!$D:$D,0,0)</f>
        <v>0</v>
      </c>
      <c r="DA29">
        <f>_xlfn.XLOOKUP(B29,'[10]december-2025'!$A:$A,'[10]december-2025'!$G:$G,0,0)</f>
        <v>500</v>
      </c>
      <c r="DB29">
        <f>IF(CW29&gt;0,SUM(CW29:DA29),0)</f>
        <v>42750</v>
      </c>
      <c r="DC29">
        <f>_xlfn.XLOOKUP(B29,'[10]december-2025'!$A:$A,'[10]december-2025'!$H:$H,0,0)</f>
        <v>4000</v>
      </c>
      <c r="DD29">
        <f>_xlfn.XLOOKUP(B29,'[10]december-2025'!$A:$A,'[10]december-2025'!$I:$I,0,0)</f>
        <v>0</v>
      </c>
      <c r="DE29">
        <f>IF($F29="YES",0,IF(DB29&gt;40000,200,IF(DB29&gt;25000,150,IF(DB29&gt;15000,130,IF(DB29&gt;10000,110,0)))))</f>
        <v>200</v>
      </c>
      <c r="DF29">
        <f>DB29-DC29-DD29-DE29</f>
        <v>38550</v>
      </c>
      <c r="DG29">
        <f>_xlfn.XLOOKUP(B29,'[11]january-2026'!$A:$A,'[11]january-2026'!$C:$C,0,0)</f>
        <v>32500</v>
      </c>
      <c r="DH29">
        <f>DG29*0.18</f>
        <v>5850</v>
      </c>
      <c r="DI29">
        <f>DG29*0.12</f>
        <v>3900</v>
      </c>
      <c r="DJ29">
        <f>_xlfn.XLOOKUP(B29,'[11]january-2026'!$A:$A,'[11]january-2026'!$D:$D,0,0)</f>
        <v>0</v>
      </c>
      <c r="DK29">
        <f>_xlfn.XLOOKUP(B29,'[11]january-2026'!$A:$A,'[11]january-2026'!$G:$G,0,0)</f>
        <v>500</v>
      </c>
      <c r="DL29">
        <f>IF(DG29&gt;0,SUM(DG29:DK29),0)</f>
        <v>42750</v>
      </c>
      <c r="DM29">
        <f>_xlfn.XLOOKUP(B29,'[11]january-2026'!$A:$A,'[11]january-2026'!$H:$H,0,0)</f>
        <v>4000</v>
      </c>
      <c r="DN29">
        <f>_xlfn.XLOOKUP(B29,'[11]january-2026'!$A:$A,'[11]january-2026'!$I:$I,0,0)</f>
        <v>0</v>
      </c>
      <c r="DO29">
        <f>IF($F29="YES",0,IF(DL29&gt;40000,200,IF(DL29&gt;25000,150,IF(DL29&gt;15000,130,IF(DL29&gt;10000,110,0)))))</f>
        <v>200</v>
      </c>
      <c r="DP29">
        <f>DL29-DM29-DN29-DO29</f>
        <v>38550</v>
      </c>
      <c r="DQ29">
        <f>_xlfn.XLOOKUP(B29,'[12]february-2026'!$A:$A,'[12]february-2026'!$C:$C,0,0)</f>
        <v>32500</v>
      </c>
      <c r="DR29">
        <f>DQ29*0.18</f>
        <v>5850</v>
      </c>
      <c r="DS29">
        <f>DQ29*0.12</f>
        <v>3900</v>
      </c>
      <c r="DT29">
        <f>_xlfn.XLOOKUP(B29,'[12]february-2026'!$A:$A,'[12]february-2026'!$D:$D,0,0)</f>
        <v>0</v>
      </c>
      <c r="DU29">
        <f>_xlfn.XLOOKUP(B29,'[12]february-2026'!$A:$A,'[12]february-2026'!$G:$G,0,0)</f>
        <v>500</v>
      </c>
      <c r="DV29">
        <f>IF(DQ29&gt;0,SUM(DQ29:DU29),0)</f>
        <v>42750</v>
      </c>
      <c r="DW29">
        <f>_xlfn.XLOOKUP(B29,'[12]february-2026'!$A:$A,'[12]february-2026'!$H:$H,0,0)</f>
        <v>4000</v>
      </c>
      <c r="DX29">
        <f>_xlfn.XLOOKUP(B29,'[12]february-2026'!$A:$A,'[12]february-2026'!$I:$I,0,0)</f>
        <v>0</v>
      </c>
      <c r="DY29">
        <f>IF($F29="YES",0,IF(DV29&gt;40000,200,IF(DV29&gt;25000,150,IF(DV29&gt;15000,130,IF(DV29&gt;10000,110,0)))))</f>
        <v>200</v>
      </c>
      <c r="DZ29">
        <f>DV29-DW29-DX29-DY29</f>
        <v>38550</v>
      </c>
      <c r="EA29">
        <f>DV29+DL29+DB29+CR29+CH29+BX29+BN29+BD29+AS29+AI29+Y29+O29+H29+I29</f>
        <v>502080</v>
      </c>
      <c r="EB29">
        <f>DY29+DO29+DE29+CU29+CK29+CA29+BQ29+BG29+AV29+AL29+AB29+R29</f>
        <v>2300</v>
      </c>
      <c r="EC29">
        <f>IF(EA29&gt;0,50000,0)</f>
        <v>50000</v>
      </c>
      <c r="ED29">
        <v>0</v>
      </c>
      <c r="EE29">
        <f>EA29-EB29-EC29</f>
        <v>449780</v>
      </c>
      <c r="EF29">
        <f>DW29+DM29+DC29+CS29+CI29+BY29+BO29+BE29+AT29+AJ29+Z29+P29</f>
        <v>48000</v>
      </c>
      <c r="EG29">
        <f>DX29+DN29+DD29+CT29+CJ29+BZ29+BP29+BF29+AU29+AK29+AA29+Q29</f>
        <v>0</v>
      </c>
      <c r="EH29">
        <v>0</v>
      </c>
      <c r="EI29">
        <v>0</v>
      </c>
      <c r="EJ29">
        <v>0</v>
      </c>
      <c r="EK29">
        <v>0</v>
      </c>
      <c r="EL29">
        <v>0</v>
      </c>
      <c r="EM29">
        <v>0</v>
      </c>
      <c r="EN29">
        <v>0</v>
      </c>
      <c r="EO29">
        <v>0</v>
      </c>
      <c r="EP29">
        <v>0</v>
      </c>
      <c r="EQ29">
        <v>0</v>
      </c>
      <c r="ER29">
        <f>SUM(EF29:EQ29)</f>
        <v>48000</v>
      </c>
      <c r="ES29">
        <f>IF(ER29&gt;=150000,150000,ER29)</f>
        <v>48000</v>
      </c>
      <c r="ET29">
        <f>EE29-ES29</f>
        <v>401780</v>
      </c>
      <c r="EU29">
        <v>0</v>
      </c>
      <c r="EV29">
        <v>0</v>
      </c>
      <c r="EW29">
        <v>0</v>
      </c>
      <c r="EX29">
        <v>0</v>
      </c>
      <c r="EY29">
        <v>0</v>
      </c>
      <c r="EZ29">
        <v>0</v>
      </c>
      <c r="FA29">
        <v>0</v>
      </c>
      <c r="FB29">
        <f>SUM(EU29:FA29)+(IF(F29="YES",50000,0))</f>
        <v>0</v>
      </c>
      <c r="FC29">
        <f>ET29-FB29</f>
        <v>401780</v>
      </c>
      <c r="FD29">
        <f>ROUND(IF(FC29&gt;0,IF(FC29&gt;500000,12500,(FC29-250000)*0.05),0),0)</f>
        <v>7589</v>
      </c>
      <c r="FE29">
        <f>IF(ROUND(IF(FC29&gt;0,IF(FC29&gt;1000000,25000,(FC29-500000)*0.2),0),0)&lt;0,0,ROUND(IF(FC29&gt;0,IF(FC29&gt;1000000,25000,(FC29-500000)*0.2),0),0))</f>
        <v>0</v>
      </c>
      <c r="FF29">
        <f>FD29+FE29</f>
        <v>7589</v>
      </c>
      <c r="FG29">
        <f>IF(FF29&lt;12500,0,FF29)</f>
        <v>0</v>
      </c>
      <c r="FH29">
        <f>FG29*0.04</f>
        <v>0</v>
      </c>
      <c r="FI29">
        <f>ROUND(FH29+FG29,0)</f>
        <v>0</v>
      </c>
      <c r="FJ29">
        <v>0</v>
      </c>
      <c r="FK29">
        <f>FI29-FJ29</f>
        <v>0</v>
      </c>
      <c r="FL29" t="b">
        <f>IF(EA29&gt;500000,TRUE,FALSE)</f>
        <v>1</v>
      </c>
      <c r="FM29">
        <f ca="1">IF(FL29,RANDBETWEEN(500,1000),RANDBETWEEN(1000,3000))</f>
        <v>807</v>
      </c>
      <c r="FN29">
        <f ca="1">EA29+FM29</f>
        <v>502887</v>
      </c>
      <c r="FO29">
        <f>IF(EA29&gt;0,75000,0)</f>
        <v>75000</v>
      </c>
      <c r="FP29">
        <f ca="1">FN29-FO29</f>
        <v>427887</v>
      </c>
      <c r="FQ29">
        <f ca="1">IF(FP29&gt;2400000,FP29-2400000,0)</f>
        <v>0</v>
      </c>
      <c r="FR29">
        <f ca="1">FQ29*0.3</f>
        <v>0</v>
      </c>
      <c r="FS29">
        <f ca="1">IF(FP29&gt;2000000,FP29-2000000,0)</f>
        <v>0</v>
      </c>
      <c r="FT29">
        <f ca="1">FS29*0.25</f>
        <v>0</v>
      </c>
      <c r="FU29">
        <f ca="1">IF(FP29&gt;1600000,FP29-1600000-FQ29,0)</f>
        <v>0</v>
      </c>
      <c r="FV29">
        <f ca="1">FU29*0.2</f>
        <v>0</v>
      </c>
      <c r="FW29">
        <f ca="1">IF(FP29&gt;1200000,FP29-1200000-IF(F29="YES",50000,0)-FU29,0)</f>
        <v>0</v>
      </c>
      <c r="FX29">
        <f ca="1">FW29*0.15</f>
        <v>0</v>
      </c>
      <c r="FY29">
        <f ca="1">IF(FP29&gt;800000,FP29-800000-FQ29-FU29-FW29,0)</f>
        <v>0</v>
      </c>
      <c r="FZ29">
        <f ca="1">FY29*0.1</f>
        <v>0</v>
      </c>
      <c r="GA29">
        <f ca="1">IF(FP29&gt;400000,FP29-400000-FQ29-FU29-FW29-FY29,0)</f>
        <v>27887</v>
      </c>
      <c r="GB29">
        <f ca="1">GA29*0.05</f>
        <v>1394.3500000000001</v>
      </c>
      <c r="GC29">
        <f ca="1">ROUND(FR29+FT29+FV29+FX29+FZ29+GB29,0)</f>
        <v>1394</v>
      </c>
      <c r="GD29">
        <f ca="1">IF(FP29&gt;1200000,FP29,0)</f>
        <v>0</v>
      </c>
      <c r="GE29">
        <f ca="1">IF(FP29&gt;1200000,GD29-1200000,0)</f>
        <v>0</v>
      </c>
      <c r="GF29">
        <f ca="1">IF(FP29&lt;1200001,MIN(GC29,60000),0)</f>
        <v>1394</v>
      </c>
      <c r="GG29">
        <f ca="1">IF(FP29&gt;1200000,GC29-GE29,0)</f>
        <v>0</v>
      </c>
      <c r="GH29" t="b">
        <f ca="1">IF(GG29&gt;0,TRUE,FALSE)</f>
        <v>0</v>
      </c>
      <c r="GI29">
        <f ca="1">IF(GH29,GG29,0)</f>
        <v>0</v>
      </c>
      <c r="GJ29">
        <f ca="1">GF29+GI29</f>
        <v>1394</v>
      </c>
      <c r="GK29">
        <f ca="1">ROUND(GC29-GJ29,0)</f>
        <v>0</v>
      </c>
      <c r="GL29">
        <f ca="1">GK29*0.04</f>
        <v>0</v>
      </c>
      <c r="GM29">
        <f ca="1">ROUNDUP(GK29+GL29,0)</f>
        <v>0</v>
      </c>
    </row>
    <row r="30" spans="1:195" x14ac:dyDescent="0.25">
      <c r="A30">
        <f>_xlfn.AGGREGATE(3,5,$B$2:B30)</f>
        <v>29</v>
      </c>
      <c r="B30" t="s">
        <v>178</v>
      </c>
      <c r="C30" t="s">
        <v>179</v>
      </c>
      <c r="D30" t="s">
        <v>759</v>
      </c>
      <c r="E30" t="s">
        <v>834</v>
      </c>
      <c r="F30" t="s">
        <v>959</v>
      </c>
      <c r="G30" t="s">
        <v>887</v>
      </c>
      <c r="H30">
        <f>IF(_xlfn.DAYS("31-03-2025",G30)&gt;=180,6800,0)</f>
        <v>6800</v>
      </c>
      <c r="I30">
        <f>_xlfn.XLOOKUP(B30,'[1]march-2025'!$A:$A,'[1]march-2025'!$J:$J,0,0)</f>
        <v>0</v>
      </c>
      <c r="J30">
        <f>_xlfn.XLOOKUP(B30,'[1]march-2025'!$A:$A,'[1]march-2025'!$C:$C,0,0)</f>
        <v>51700</v>
      </c>
      <c r="K30">
        <f>J30*0.14</f>
        <v>7238.0000000000009</v>
      </c>
      <c r="L30">
        <f>J30*0.12</f>
        <v>6204</v>
      </c>
      <c r="M30">
        <f>_xlfn.XLOOKUP(B30,'[1]march-2025'!$A:$A,'[1]march-2025'!$D:$D,0,0)</f>
        <v>400</v>
      </c>
      <c r="N30">
        <f>_xlfn.XLOOKUP(B30,'[1]march-2025'!$A:$A,'[1]march-2025'!$G:$G,0,0)</f>
        <v>500</v>
      </c>
      <c r="O30">
        <f>IF(J30&gt;0,SUM(J30:N30),0)</f>
        <v>66042</v>
      </c>
      <c r="P30">
        <f>_xlfn.XLOOKUP(B30,'[1]march-2025'!$A:$A,'[1]march-2025'!$H:$H,0,0)</f>
        <v>4000</v>
      </c>
      <c r="Q30">
        <f>_xlfn.XLOOKUP(B30,'[1]march-2025'!$A:$A,'[1]march-2025'!$I:$I,0,0)</f>
        <v>60</v>
      </c>
      <c r="R30">
        <f>IF($F30="YES",0,IF(O30&gt;40000,200,IF(O30&gt;25000,150,IF(O30&gt;15000,130,IF(O30&gt;10000,110,0)))))</f>
        <v>200</v>
      </c>
      <c r="S30">
        <f>O30-P30-Q30-R30</f>
        <v>61782</v>
      </c>
      <c r="T30">
        <f>_xlfn.XLOOKUP(B30,'[2]april-2025'!$A:$A,'[2]april-2025'!$C:$C,0,0)</f>
        <v>51700</v>
      </c>
      <c r="U30">
        <f>T30*0.18</f>
        <v>9306</v>
      </c>
      <c r="V30">
        <f>T30*0.12</f>
        <v>6204</v>
      </c>
      <c r="W30">
        <f>_xlfn.XLOOKUP(B30,'[2]april-2025'!$A:$A,'[2]april-2025'!$D:$D,0,0)</f>
        <v>400</v>
      </c>
      <c r="X30">
        <f>_xlfn.XLOOKUP(B30,'[2]april-2025'!$A:$A,'[2]april-2025'!$G:$G,0,0)</f>
        <v>500</v>
      </c>
      <c r="Y30">
        <f>IF(T30&gt;0,SUM(T30:X30),0)</f>
        <v>68110</v>
      </c>
      <c r="Z30">
        <f>_xlfn.XLOOKUP(B30,'[2]april-2025'!$A:$A,'[2]april-2025'!$H:$H,0,0)</f>
        <v>4000</v>
      </c>
      <c r="AA30">
        <f>_xlfn.XLOOKUP(B30,'[2]april-2025'!$A:$A,'[2]april-2025'!$I:$I,0,0)</f>
        <v>60</v>
      </c>
      <c r="AB30">
        <f>IF($F30="YES",0,IF(Y30&gt;40000,200,IF(Y30&gt;25000,150,IF(Y30&gt;15000,130,IF(Y30&gt;10000,110,0)))))</f>
        <v>200</v>
      </c>
      <c r="AC30">
        <f>Y30-Z30-AA30-AB30</f>
        <v>63850</v>
      </c>
      <c r="AD30">
        <f>_xlfn.XLOOKUP(B30,'[3]may-2025'!$A:$A,'[3]may-2025'!$C:$C,0,0)</f>
        <v>51700</v>
      </c>
      <c r="AE30">
        <f>AD30*0.18</f>
        <v>9306</v>
      </c>
      <c r="AF30">
        <f>AD30*0.12</f>
        <v>6204</v>
      </c>
      <c r="AG30">
        <f>_xlfn.XLOOKUP(B30,'[3]may-2025'!$A:$A,'[3]may-2025'!$D:$D,0,0)</f>
        <v>400</v>
      </c>
      <c r="AH30">
        <f>_xlfn.XLOOKUP(B30,'[3]may-2025'!$A:$A,'[3]may-2025'!$G:$G,0,0)</f>
        <v>500</v>
      </c>
      <c r="AI30">
        <f>IF(AD30&gt;0,SUM(AD30:AH30),0)</f>
        <v>68110</v>
      </c>
      <c r="AJ30">
        <f>_xlfn.XLOOKUP(B30,'[3]may-2025'!$A:$A,'[3]may-2025'!$H:$H,0,0)</f>
        <v>4000</v>
      </c>
      <c r="AK30">
        <f>_xlfn.XLOOKUP(B30,'[3]may-2025'!$A:$A,'[3]may-2025'!$I:$I,0,0)</f>
        <v>60</v>
      </c>
      <c r="AL30">
        <f>IF($F30="YES",0,IF(AI30&gt;40000,200,IF(AI30&gt;25000,150,IF(AI30&gt;15000,130,IF(AI30&gt;10000,110,0)))))</f>
        <v>200</v>
      </c>
      <c r="AM30">
        <f>AI30-AJ30-AK30-AL30</f>
        <v>63850</v>
      </c>
      <c r="AN30">
        <f>_xlfn.XLOOKUP(B30,'[4]june-2025'!$A:$A,'[4]june-2025'!$C:$C,0,0)</f>
        <v>51700</v>
      </c>
      <c r="AO30">
        <f>AN30*0.18</f>
        <v>9306</v>
      </c>
      <c r="AP30">
        <f>AN30*0.12</f>
        <v>6204</v>
      </c>
      <c r="AQ30">
        <f>_xlfn.XLOOKUP(B30,'[4]june-2025'!$A:$A,'[4]june-2025'!$D:$D,0,0)</f>
        <v>400</v>
      </c>
      <c r="AR30">
        <f>_xlfn.XLOOKUP(B30,'[4]june-2025'!$A:$A,'[4]june-2025'!$G:$G,0,0)</f>
        <v>500</v>
      </c>
      <c r="AS30">
        <f>IF(AN30&gt;0,SUM(AN30:AR30),0)</f>
        <v>68110</v>
      </c>
      <c r="AT30">
        <f>_xlfn.XLOOKUP(B30,'[4]june-2025'!$A:$A,'[4]june-2025'!$H:$H,0,0)</f>
        <v>4000</v>
      </c>
      <c r="AU30">
        <f>_xlfn.XLOOKUP(B30,'[4]june-2025'!$A:$A,'[4]june-2025'!$I:$I,0,0)</f>
        <v>60</v>
      </c>
      <c r="AV30">
        <f>IF($F30="YES",0,IF(AS30&gt;40000,200,IF(AS30&gt;25000,150,IF(AS30&gt;15000,130,IF(AS30&gt;10000,110,0)))))</f>
        <v>200</v>
      </c>
      <c r="AW30">
        <f>AS30-AT30-AU30-AV30</f>
        <v>63850</v>
      </c>
      <c r="AX30">
        <f>_xlfn.XLOOKUP(B30,'[5]july-2025'!$A:$A,'[5]july-2025'!$C:$C,0,0)</f>
        <v>53300</v>
      </c>
      <c r="AY30">
        <f>AX30*0.18</f>
        <v>9594</v>
      </c>
      <c r="AZ30">
        <v>0</v>
      </c>
      <c r="BA30">
        <f>AX30*0.12</f>
        <v>6396</v>
      </c>
      <c r="BB30">
        <f>_xlfn.XLOOKUP(B30,'[5]july-2025'!$A:$A,'[5]july-2025'!$D:$D,0,0)</f>
        <v>400</v>
      </c>
      <c r="BC30">
        <f>_xlfn.XLOOKUP(B30,'[5]july-2025'!$A:$A,'[5]july-2025'!$G:$G,0,0)</f>
        <v>500</v>
      </c>
      <c r="BD30">
        <f>IF(AX30&gt;0,SUM(AX30:BC30),0)</f>
        <v>70190</v>
      </c>
      <c r="BE30">
        <f>_xlfn.XLOOKUP(B30,'[5]july-2025'!$A:$A,'[5]july-2025'!$H:$H,0,0)</f>
        <v>4000</v>
      </c>
      <c r="BF30">
        <f>_xlfn.XLOOKUP(B30,'[5]july-2025'!$A:$A,'[5]july-2025'!$I:$I,0,0)</f>
        <v>60</v>
      </c>
      <c r="BG30">
        <f>IF($F30="YES",0,IF(BD30&gt;40000,200,IF(BD30&gt;25000,150,IF(BD30&gt;15000,130,IF(BD30&gt;10000,110,0)))))</f>
        <v>200</v>
      </c>
      <c r="BH30">
        <f>BD30-BE30-BF30-BG30</f>
        <v>65930</v>
      </c>
      <c r="BI30">
        <f>_xlfn.XLOOKUP(B30,'[6]august-2025'!$A:$A,'[6]august-2025'!$C:$C,0,0)</f>
        <v>53300</v>
      </c>
      <c r="BJ30">
        <f>BI30*0.18</f>
        <v>9594</v>
      </c>
      <c r="BK30">
        <f>BI30*0.12</f>
        <v>6396</v>
      </c>
      <c r="BL30">
        <f>_xlfn.XLOOKUP(B30,'[6]august-2025'!$A:$A,'[6]august-2025'!$D:$D,0,0)</f>
        <v>400</v>
      </c>
      <c r="BM30">
        <f>_xlfn.XLOOKUP(B30,'[6]august-2025'!$A:$A,'[6]august-2025'!$G:$G,0,0)</f>
        <v>500</v>
      </c>
      <c r="BN30">
        <f>IF(BI30&gt;0,SUM(BI30:BM30),0)</f>
        <v>70190</v>
      </c>
      <c r="BO30">
        <f>_xlfn.XLOOKUP(B30,'[6]august-2025'!$A:$A,'[6]august-2025'!$H:$H,0,0)</f>
        <v>4000</v>
      </c>
      <c r="BP30">
        <f>_xlfn.XLOOKUP(B30,'[6]august-2025'!$A:$A,'[6]august-2025'!$I:$I,0,0)</f>
        <v>60</v>
      </c>
      <c r="BQ30">
        <f>IF($F30="YES",0,IF(BN30&gt;40000,200,IF(BN30&gt;25000,150,IF(BN30&gt;15000,130,IF(BN30&gt;10000,110,0)))))</f>
        <v>200</v>
      </c>
      <c r="BR30">
        <f>BN30-BO30-BP30-BQ30</f>
        <v>65930</v>
      </c>
      <c r="BS30">
        <f>_xlfn.XLOOKUP(B30,'[7]september-2025'!$A:$A,'[7]september-2025'!$C:$C,0,0)</f>
        <v>53300</v>
      </c>
      <c r="BT30">
        <f>BS30*0.18</f>
        <v>9594</v>
      </c>
      <c r="BU30">
        <f>BS30*0.12</f>
        <v>6396</v>
      </c>
      <c r="BV30">
        <f>_xlfn.XLOOKUP(B30,'[7]september-2025'!$A:$A,'[7]september-2025'!$D:$D,0,0)</f>
        <v>400</v>
      </c>
      <c r="BW30">
        <f>_xlfn.XLOOKUP(B30,'[7]september-2025'!$A:$A,'[7]september-2025'!$G:$G,0,0)</f>
        <v>500</v>
      </c>
      <c r="BX30">
        <f>IF(BS30&gt;0,SUM(BS30:BW30),0)</f>
        <v>70190</v>
      </c>
      <c r="BY30">
        <f>_xlfn.XLOOKUP(B30,'[7]september-2025'!$A:$A,'[7]september-2025'!$H:$H,0,0)</f>
        <v>4000</v>
      </c>
      <c r="BZ30">
        <f>_xlfn.XLOOKUP(B30,'[7]september-2025'!$A:$A,'[7]september-2025'!$I:$I,0,0)</f>
        <v>60</v>
      </c>
      <c r="CA30">
        <f>IF($F30="YES",0,IF(BX30&gt;40000,200,IF(BX30&gt;25000,150,IF(BX30&gt;15000,130,IF(BX30&gt;10000,110,0)))))</f>
        <v>200</v>
      </c>
      <c r="CB30">
        <f>BX30-BY30-BZ30-CA30</f>
        <v>65930</v>
      </c>
      <c r="CC30">
        <f>_xlfn.XLOOKUP(B30,'[8]october-2025'!$A:$A,'[8]october-2025'!$C:$C,0,0)</f>
        <v>53300</v>
      </c>
      <c r="CD30">
        <f>CC30*0.18</f>
        <v>9594</v>
      </c>
      <c r="CE30">
        <f>CC30*0.12</f>
        <v>6396</v>
      </c>
      <c r="CF30">
        <f>_xlfn.XLOOKUP(B30,'[8]october-2025'!$A:$A,'[8]october-2025'!$D:$D,0,0)</f>
        <v>400</v>
      </c>
      <c r="CG30">
        <f>_xlfn.XLOOKUP(B30,'[8]october-2025'!$A:$A,'[8]october-2025'!$G:$G,0,0)</f>
        <v>500</v>
      </c>
      <c r="CH30">
        <f>IF(CC30&gt;0,SUM(CC30:CG30),0)</f>
        <v>70190</v>
      </c>
      <c r="CI30">
        <f>_xlfn.XLOOKUP(B30,'[8]october-2025'!$A:$A,'[8]october-2025'!$H:$H,0,0)</f>
        <v>4000</v>
      </c>
      <c r="CJ30">
        <f>_xlfn.XLOOKUP(B30,'[8]october-2025'!$A:$A,'[8]october-2025'!$I:$I,0,0)</f>
        <v>60</v>
      </c>
      <c r="CK30">
        <f>IF($F30="YES",0,IF(CH30&gt;40000,200,IF(CH30&gt;25000,150,IF(CH30&gt;15000,130,IF(CH30&gt;10000,110,0)))))</f>
        <v>200</v>
      </c>
      <c r="CL30">
        <f>CH30-CI30-CJ30-CK30</f>
        <v>65930</v>
      </c>
      <c r="CM30">
        <f>_xlfn.XLOOKUP(B30,'[9]november-2025'!$A:$A,'[9]november-2025'!$C:$C,0,0)</f>
        <v>53300</v>
      </c>
      <c r="CN30">
        <f>CM30*0.18</f>
        <v>9594</v>
      </c>
      <c r="CO30">
        <f>CM30*0.12</f>
        <v>6396</v>
      </c>
      <c r="CP30">
        <f>_xlfn.XLOOKUP(B30,'[9]november-2025'!$A:$A,'[9]november-2025'!$D:$D,0,0)</f>
        <v>400</v>
      </c>
      <c r="CQ30">
        <f>_xlfn.XLOOKUP(B30,'[9]november-2025'!$A:$A,'[9]november-2025'!$G:$G,0,0)</f>
        <v>500</v>
      </c>
      <c r="CR30">
        <f>IF(CM30&gt;0,SUM(CM30:CQ30),0)</f>
        <v>70190</v>
      </c>
      <c r="CS30">
        <f>_xlfn.XLOOKUP(B30,'[9]november-2025'!$A:$A,'[9]november-2025'!$H:$H,0,0)</f>
        <v>4000</v>
      </c>
      <c r="CT30">
        <f>_xlfn.XLOOKUP(B30,'[9]november-2025'!$A:$A,'[9]november-2025'!$I:$I,0,0)</f>
        <v>60</v>
      </c>
      <c r="CU30">
        <f>IF($F30="YES",0,IF(CR30&gt;40000,200,IF(CR30&gt;25000,150,IF(CR30&gt;15000,130,IF(CR30&gt;10000,110,0)))))</f>
        <v>200</v>
      </c>
      <c r="CV30">
        <f>CR30-CS30-CT30-CU30</f>
        <v>65930</v>
      </c>
      <c r="CW30">
        <f>_xlfn.XLOOKUP(B30,'[10]december-2025'!$A:$A,'[10]december-2025'!$C:$C,0,0)</f>
        <v>53300</v>
      </c>
      <c r="CX30">
        <f>ROUND(CW30*0.18,0)</f>
        <v>9594</v>
      </c>
      <c r="CY30">
        <f>ROUND(CW30*0.12,0)</f>
        <v>6396</v>
      </c>
      <c r="CZ30">
        <f>_xlfn.XLOOKUP(B30,'[10]december-2025'!$A:$A,'[10]december-2025'!$D:$D,0,0)</f>
        <v>400</v>
      </c>
      <c r="DA30">
        <f>_xlfn.XLOOKUP(B30,'[10]december-2025'!$A:$A,'[10]december-2025'!$G:$G,0,0)</f>
        <v>500</v>
      </c>
      <c r="DB30">
        <f>IF(CW30&gt;0,SUM(CW30:DA30),0)</f>
        <v>70190</v>
      </c>
      <c r="DC30">
        <f>_xlfn.XLOOKUP(B30,'[10]december-2025'!$A:$A,'[10]december-2025'!$H:$H,0,0)</f>
        <v>4000</v>
      </c>
      <c r="DD30">
        <f>_xlfn.XLOOKUP(B30,'[10]december-2025'!$A:$A,'[10]december-2025'!$I:$I,0,0)</f>
        <v>60</v>
      </c>
      <c r="DE30">
        <f>IF($F30="YES",0,IF(DB30&gt;40000,200,IF(DB30&gt;25000,150,IF(DB30&gt;15000,130,IF(DB30&gt;10000,110,0)))))</f>
        <v>200</v>
      </c>
      <c r="DF30">
        <f>DB30-DC30-DD30-DE30</f>
        <v>65930</v>
      </c>
      <c r="DG30">
        <f>_xlfn.XLOOKUP(B30,'[11]january-2026'!$A:$A,'[11]january-2026'!$C:$C,0,0)</f>
        <v>53300</v>
      </c>
      <c r="DH30">
        <f>DG30*0.18</f>
        <v>9594</v>
      </c>
      <c r="DI30">
        <f>DG30*0.12</f>
        <v>6396</v>
      </c>
      <c r="DJ30">
        <f>_xlfn.XLOOKUP(B30,'[11]january-2026'!$A:$A,'[11]january-2026'!$D:$D,0,0)</f>
        <v>400</v>
      </c>
      <c r="DK30">
        <f>_xlfn.XLOOKUP(B30,'[11]january-2026'!$A:$A,'[11]january-2026'!$G:$G,0,0)</f>
        <v>500</v>
      </c>
      <c r="DL30">
        <f>IF(DG30&gt;0,SUM(DG30:DK30),0)</f>
        <v>70190</v>
      </c>
      <c r="DM30">
        <f>_xlfn.XLOOKUP(B30,'[11]january-2026'!$A:$A,'[11]january-2026'!$H:$H,0,0)</f>
        <v>4000</v>
      </c>
      <c r="DN30">
        <f>_xlfn.XLOOKUP(B30,'[11]january-2026'!$A:$A,'[11]january-2026'!$I:$I,0,0)</f>
        <v>60</v>
      </c>
      <c r="DO30">
        <f>IF($F30="YES",0,IF(DL30&gt;40000,200,IF(DL30&gt;25000,150,IF(DL30&gt;15000,130,IF(DL30&gt;10000,110,0)))))</f>
        <v>200</v>
      </c>
      <c r="DP30">
        <f>DL30-DM30-DN30-DO30</f>
        <v>65930</v>
      </c>
      <c r="DQ30">
        <f>_xlfn.XLOOKUP(B30,'[12]february-2026'!$A:$A,'[12]february-2026'!$C:$C,0,0)</f>
        <v>53300</v>
      </c>
      <c r="DR30">
        <f>DQ30*0.18</f>
        <v>9594</v>
      </c>
      <c r="DS30">
        <f>DQ30*0.12</f>
        <v>6396</v>
      </c>
      <c r="DT30">
        <f>_xlfn.XLOOKUP(B30,'[12]february-2026'!$A:$A,'[12]february-2026'!$D:$D,0,0)</f>
        <v>400</v>
      </c>
      <c r="DU30">
        <f>_xlfn.XLOOKUP(B30,'[12]february-2026'!$A:$A,'[12]february-2026'!$G:$G,0,0)</f>
        <v>500</v>
      </c>
      <c r="DV30">
        <f>IF(DQ30&gt;0,SUM(DQ30:DU30),0)</f>
        <v>70190</v>
      </c>
      <c r="DW30">
        <f>_xlfn.XLOOKUP(B30,'[12]february-2026'!$A:$A,'[12]february-2026'!$H:$H,0,0)</f>
        <v>4000</v>
      </c>
      <c r="DX30">
        <f>_xlfn.XLOOKUP(B30,'[12]february-2026'!$A:$A,'[12]february-2026'!$I:$I,0,0)</f>
        <v>60</v>
      </c>
      <c r="DY30">
        <f>IF($F30="YES",0,IF(DV30&gt;40000,200,IF(DV30&gt;25000,150,IF(DV30&gt;15000,130,IF(DV30&gt;10000,110,0)))))</f>
        <v>200</v>
      </c>
      <c r="DZ30">
        <f>DV30-DW30-DX30-DY30</f>
        <v>65930</v>
      </c>
      <c r="EA30">
        <f>DV30+DL30+DB30+CR30+CH30+BX30+BN30+BD30+AS30+AI30+Y30+O30+H30+I30</f>
        <v>838692</v>
      </c>
      <c r="EB30">
        <f>DY30+DO30+DE30+CU30+CK30+CA30+BQ30+BG30+AV30+AL30+AB30+R30</f>
        <v>2400</v>
      </c>
      <c r="EC30">
        <f>IF(EA30&gt;0,50000,0)</f>
        <v>50000</v>
      </c>
      <c r="ED30">
        <v>0</v>
      </c>
      <c r="EE30">
        <f>EA30-EB30-EC30</f>
        <v>786292</v>
      </c>
      <c r="EF30">
        <f>DW30+DM30+DC30+CS30+CI30+BY30+BO30+BE30+AT30+AJ30+Z30+P30</f>
        <v>48000</v>
      </c>
      <c r="EG30">
        <f>DX30+DN30+DD30+CT30+CJ30+BZ30+BP30+BF30+AU30+AK30+AA30+Q30</f>
        <v>720</v>
      </c>
      <c r="EH30">
        <v>0</v>
      </c>
      <c r="EI30">
        <v>0</v>
      </c>
      <c r="EJ30">
        <v>0</v>
      </c>
      <c r="EK30">
        <v>0</v>
      </c>
      <c r="EL30">
        <v>0</v>
      </c>
      <c r="EM30">
        <v>0</v>
      </c>
      <c r="EN30">
        <v>0</v>
      </c>
      <c r="EO30">
        <v>0</v>
      </c>
      <c r="EP30">
        <v>0</v>
      </c>
      <c r="EQ30">
        <v>0</v>
      </c>
      <c r="ER30">
        <f>SUM(EF30:EQ30)</f>
        <v>48720</v>
      </c>
      <c r="ES30">
        <f>IF(ER30&gt;=150000,150000,ER30)</f>
        <v>48720</v>
      </c>
      <c r="ET30">
        <f>EE30-ES30</f>
        <v>737572</v>
      </c>
      <c r="EU30">
        <v>0</v>
      </c>
      <c r="EV30">
        <v>0</v>
      </c>
      <c r="EW30">
        <v>0</v>
      </c>
      <c r="EX30">
        <v>0</v>
      </c>
      <c r="EY30">
        <v>0</v>
      </c>
      <c r="EZ30">
        <v>0</v>
      </c>
      <c r="FA30">
        <v>0</v>
      </c>
      <c r="FB30">
        <f>SUM(EU30:FA30)+(IF(F30="YES",50000,0))</f>
        <v>0</v>
      </c>
      <c r="FC30">
        <f>ET30-FB30</f>
        <v>737572</v>
      </c>
      <c r="FD30">
        <f>ROUND(IF(FC30&gt;0,IF(FC30&gt;500000,12500,(FC30-250000)*0.05),0),0)</f>
        <v>12500</v>
      </c>
      <c r="FE30">
        <f>IF(ROUND(IF(FC30&gt;0,IF(FC30&gt;1000000,25000,(FC30-500000)*0.2),0),0)&lt;0,0,ROUND(IF(FC30&gt;0,IF(FC30&gt;1000000,25000,(FC30-500000)*0.2),0),0))</f>
        <v>47514</v>
      </c>
      <c r="FF30">
        <f>FD30+FE30</f>
        <v>60014</v>
      </c>
      <c r="FG30">
        <f>IF(FF30&lt;12500,0,FF30)</f>
        <v>60014</v>
      </c>
      <c r="FH30">
        <f>FG30*0.04</f>
        <v>2400.56</v>
      </c>
      <c r="FI30">
        <f>ROUND(FH30+FG30,0)</f>
        <v>62415</v>
      </c>
      <c r="FJ30">
        <v>0</v>
      </c>
      <c r="FK30">
        <f>FI30-FJ30</f>
        <v>62415</v>
      </c>
      <c r="FL30" t="b">
        <f>IF(EA30&gt;500000,TRUE,FALSE)</f>
        <v>1</v>
      </c>
      <c r="FM30">
        <f ca="1">IF(FL30,RANDBETWEEN(500,1000),RANDBETWEEN(1000,3000))</f>
        <v>990</v>
      </c>
      <c r="FN30">
        <f ca="1">EA30+FM30</f>
        <v>839682</v>
      </c>
      <c r="FO30">
        <f>IF(EA30&gt;0,75000,0)</f>
        <v>75000</v>
      </c>
      <c r="FP30">
        <f ca="1">FN30-FO30</f>
        <v>764682</v>
      </c>
      <c r="FQ30">
        <f ca="1">IF(FP30&gt;2400000,FP30-2400000,0)</f>
        <v>0</v>
      </c>
      <c r="FR30">
        <f ca="1">FQ30*0.3</f>
        <v>0</v>
      </c>
      <c r="FS30">
        <f ca="1">IF(FP30&gt;2000000,FP30-2000000,0)</f>
        <v>0</v>
      </c>
      <c r="FT30">
        <f ca="1">FS30*0.25</f>
        <v>0</v>
      </c>
      <c r="FU30">
        <f ca="1">IF(FP30&gt;1600000,FP30-1600000-FQ30,0)</f>
        <v>0</v>
      </c>
      <c r="FV30">
        <f ca="1">FU30*0.2</f>
        <v>0</v>
      </c>
      <c r="FW30">
        <f ca="1">IF(FP30&gt;1200000,FP30-1200000-IF(F30="YES",50000,0)-FU30,0)</f>
        <v>0</v>
      </c>
      <c r="FX30">
        <f ca="1">FW30*0.15</f>
        <v>0</v>
      </c>
      <c r="FY30">
        <f ca="1">IF(FP30&gt;800000,FP30-800000-FQ30-FU30-FW30,0)</f>
        <v>0</v>
      </c>
      <c r="FZ30">
        <f ca="1">FY30*0.1</f>
        <v>0</v>
      </c>
      <c r="GA30">
        <f ca="1">IF(FP30&gt;400000,FP30-400000-FQ30-FU30-FW30-FY30,0)</f>
        <v>364682</v>
      </c>
      <c r="GB30">
        <f ca="1">GA30*0.05</f>
        <v>18234.100000000002</v>
      </c>
      <c r="GC30">
        <f ca="1">ROUND(FR30+FT30+FV30+FX30+FZ30+GB30,0)</f>
        <v>18234</v>
      </c>
      <c r="GD30">
        <f ca="1">IF(FP30&gt;1200000,FP30,0)</f>
        <v>0</v>
      </c>
      <c r="GE30">
        <f ca="1">IF(FP30&gt;1200000,GD30-1200000,0)</f>
        <v>0</v>
      </c>
      <c r="GF30">
        <f ca="1">IF(FP30&lt;1200001,MIN(GC30,60000),0)</f>
        <v>18234</v>
      </c>
      <c r="GG30">
        <f ca="1">IF(FP30&gt;1200000,GC30-GE30,0)</f>
        <v>0</v>
      </c>
      <c r="GH30" t="b">
        <f ca="1">IF(GG30&gt;0,TRUE,FALSE)</f>
        <v>0</v>
      </c>
      <c r="GI30">
        <f ca="1">IF(GH30,GG30,0)</f>
        <v>0</v>
      </c>
      <c r="GJ30">
        <f ca="1">GF30+GI30</f>
        <v>18234</v>
      </c>
      <c r="GK30">
        <f ca="1">ROUND(GC30-GJ30,0)</f>
        <v>0</v>
      </c>
      <c r="GL30">
        <f ca="1">GK30*0.04</f>
        <v>0</v>
      </c>
      <c r="GM30">
        <f ca="1">ROUNDUP(GK30+GL30,0)</f>
        <v>0</v>
      </c>
    </row>
    <row r="31" spans="1:195" x14ac:dyDescent="0.25">
      <c r="A31">
        <f>_xlfn.AGGREGATE(3,5,$B$2:B31)</f>
        <v>30</v>
      </c>
      <c r="B31" t="s">
        <v>180</v>
      </c>
      <c r="C31" t="s">
        <v>181</v>
      </c>
      <c r="D31" t="s">
        <v>759</v>
      </c>
      <c r="E31" t="s">
        <v>833</v>
      </c>
      <c r="F31" t="s">
        <v>959</v>
      </c>
      <c r="G31" t="s">
        <v>883</v>
      </c>
      <c r="H31">
        <f>IF(_xlfn.DAYS("31-03-2025",G31)&gt;=180,6800,0)</f>
        <v>6800</v>
      </c>
      <c r="I31">
        <f>_xlfn.XLOOKUP(B31,'[1]march-2025'!$A:$A,'[1]march-2025'!$J:$J,0,0)</f>
        <v>0</v>
      </c>
      <c r="J31">
        <f>_xlfn.XLOOKUP(B31,'[1]march-2025'!$A:$A,'[1]march-2025'!$C:$C,0,0)</f>
        <v>28900</v>
      </c>
      <c r="K31">
        <f>J31*0.14</f>
        <v>4046.0000000000005</v>
      </c>
      <c r="L31">
        <f>J31*0.12</f>
        <v>3468</v>
      </c>
      <c r="M31">
        <f>_xlfn.XLOOKUP(B31,'[1]march-2025'!$A:$A,'[1]march-2025'!$D:$D,0,0)</f>
        <v>0</v>
      </c>
      <c r="N31">
        <f>_xlfn.XLOOKUP(B31,'[1]march-2025'!$A:$A,'[1]march-2025'!$G:$G,0,0)</f>
        <v>500</v>
      </c>
      <c r="O31">
        <f>IF(J31&gt;0,SUM(J31:N31),0)</f>
        <v>36914</v>
      </c>
      <c r="P31">
        <f>_xlfn.XLOOKUP(B31,'[1]march-2025'!$A:$A,'[1]march-2025'!$H:$H,0,0)</f>
        <v>2000</v>
      </c>
      <c r="Q31">
        <f>_xlfn.XLOOKUP(B31,'[1]march-2025'!$A:$A,'[1]march-2025'!$I:$I,0,0)</f>
        <v>0</v>
      </c>
      <c r="R31">
        <f>IF($F31="YES",0,IF(O31&gt;40000,200,IF(O31&gt;25000,150,IF(O31&gt;15000,130,IF(O31&gt;10000,110,0)))))</f>
        <v>150</v>
      </c>
      <c r="S31">
        <f>O31-P31-Q31-R31</f>
        <v>34764</v>
      </c>
      <c r="T31">
        <f>_xlfn.XLOOKUP(B31,'[2]april-2025'!$A:$A,'[2]april-2025'!$C:$C,0,0)</f>
        <v>28900</v>
      </c>
      <c r="U31">
        <f>T31*0.18</f>
        <v>5202</v>
      </c>
      <c r="V31">
        <f>T31*0.12</f>
        <v>3468</v>
      </c>
      <c r="W31">
        <f>_xlfn.XLOOKUP(B31,'[2]april-2025'!$A:$A,'[2]april-2025'!$D:$D,0,0)</f>
        <v>0</v>
      </c>
      <c r="X31">
        <f>_xlfn.XLOOKUP(B31,'[2]april-2025'!$A:$A,'[2]april-2025'!$G:$G,0,0)</f>
        <v>500</v>
      </c>
      <c r="Y31">
        <f>IF(T31&gt;0,SUM(T31:X31),0)</f>
        <v>38070</v>
      </c>
      <c r="Z31">
        <f>_xlfn.XLOOKUP(B31,'[2]april-2025'!$A:$A,'[2]april-2025'!$H:$H,0,0)</f>
        <v>2000</v>
      </c>
      <c r="AA31">
        <f>_xlfn.XLOOKUP(B31,'[2]april-2025'!$A:$A,'[2]april-2025'!$I:$I,0,0)</f>
        <v>0</v>
      </c>
      <c r="AB31">
        <f>IF($F31="YES",0,IF(Y31&gt;40000,200,IF(Y31&gt;25000,150,IF(Y31&gt;15000,130,IF(Y31&gt;10000,110,0)))))</f>
        <v>150</v>
      </c>
      <c r="AC31">
        <f>Y31-Z31-AA31-AB31</f>
        <v>35920</v>
      </c>
      <c r="AD31">
        <f>_xlfn.XLOOKUP(B31,'[3]may-2025'!$A:$A,'[3]may-2025'!$C:$C,0,0)</f>
        <v>28900</v>
      </c>
      <c r="AE31">
        <f>AD31*0.18</f>
        <v>5202</v>
      </c>
      <c r="AF31">
        <f>AD31*0.12</f>
        <v>3468</v>
      </c>
      <c r="AG31">
        <f>_xlfn.XLOOKUP(B31,'[3]may-2025'!$A:$A,'[3]may-2025'!$D:$D,0,0)</f>
        <v>0</v>
      </c>
      <c r="AH31">
        <f>_xlfn.XLOOKUP(B31,'[3]may-2025'!$A:$A,'[3]may-2025'!$G:$G,0,0)</f>
        <v>500</v>
      </c>
      <c r="AI31">
        <f>IF(AD31&gt;0,SUM(AD31:AH31),0)</f>
        <v>38070</v>
      </c>
      <c r="AJ31">
        <f>_xlfn.XLOOKUP(B31,'[3]may-2025'!$A:$A,'[3]may-2025'!$H:$H,0,0)</f>
        <v>2000</v>
      </c>
      <c r="AK31">
        <f>_xlfn.XLOOKUP(B31,'[3]may-2025'!$A:$A,'[3]may-2025'!$I:$I,0,0)</f>
        <v>0</v>
      </c>
      <c r="AL31">
        <f>IF($F31="YES",0,IF(AI31&gt;40000,200,IF(AI31&gt;25000,150,IF(AI31&gt;15000,130,IF(AI31&gt;10000,110,0)))))</f>
        <v>150</v>
      </c>
      <c r="AM31">
        <f>AI31-AJ31-AK31-AL31</f>
        <v>35920</v>
      </c>
      <c r="AN31">
        <f>_xlfn.XLOOKUP(B31,'[4]june-2025'!$A:$A,'[4]june-2025'!$C:$C,0,0)</f>
        <v>28900</v>
      </c>
      <c r="AO31">
        <f>AN31*0.18</f>
        <v>5202</v>
      </c>
      <c r="AP31">
        <f>AN31*0.12</f>
        <v>3468</v>
      </c>
      <c r="AQ31">
        <f>_xlfn.XLOOKUP(B31,'[4]june-2025'!$A:$A,'[4]june-2025'!$D:$D,0,0)</f>
        <v>0</v>
      </c>
      <c r="AR31">
        <f>_xlfn.XLOOKUP(B31,'[4]june-2025'!$A:$A,'[4]june-2025'!$G:$G,0,0)</f>
        <v>500</v>
      </c>
      <c r="AS31">
        <f>IF(AN31&gt;0,SUM(AN31:AR31),0)</f>
        <v>38070</v>
      </c>
      <c r="AT31">
        <f>_xlfn.XLOOKUP(B31,'[4]june-2025'!$A:$A,'[4]june-2025'!$H:$H,0,0)</f>
        <v>2000</v>
      </c>
      <c r="AU31">
        <f>_xlfn.XLOOKUP(B31,'[4]june-2025'!$A:$A,'[4]june-2025'!$I:$I,0,0)</f>
        <v>0</v>
      </c>
      <c r="AV31">
        <f>IF($F31="YES",0,IF(AS31&gt;40000,200,IF(AS31&gt;25000,150,IF(AS31&gt;15000,130,IF(AS31&gt;10000,110,0)))))</f>
        <v>150</v>
      </c>
      <c r="AW31">
        <f>AS31-AT31-AU31-AV31</f>
        <v>35920</v>
      </c>
      <c r="AX31">
        <f>_xlfn.XLOOKUP(B31,'[5]july-2025'!$A:$A,'[5]july-2025'!$C:$C,0,0)</f>
        <v>29800</v>
      </c>
      <c r="AY31">
        <f>AX31*0.18</f>
        <v>5364</v>
      </c>
      <c r="AZ31">
        <v>0</v>
      </c>
      <c r="BA31">
        <f>AX31*0.12</f>
        <v>3576</v>
      </c>
      <c r="BB31">
        <f>_xlfn.XLOOKUP(B31,'[5]july-2025'!$A:$A,'[5]july-2025'!$D:$D,0,0)</f>
        <v>0</v>
      </c>
      <c r="BC31">
        <f>_xlfn.XLOOKUP(B31,'[5]july-2025'!$A:$A,'[5]july-2025'!$G:$G,0,0)</f>
        <v>500</v>
      </c>
      <c r="BD31">
        <f>IF(AX31&gt;0,SUM(AX31:BC31),0)</f>
        <v>39240</v>
      </c>
      <c r="BE31">
        <f>_xlfn.XLOOKUP(B31,'[5]july-2025'!$A:$A,'[5]july-2025'!$H:$H,0,0)</f>
        <v>2000</v>
      </c>
      <c r="BF31">
        <f>_xlfn.XLOOKUP(B31,'[5]july-2025'!$A:$A,'[5]july-2025'!$I:$I,0,0)</f>
        <v>0</v>
      </c>
      <c r="BG31">
        <f>IF($F31="YES",0,IF(BD31&gt;40000,200,IF(BD31&gt;25000,150,IF(BD31&gt;15000,130,IF(BD31&gt;10000,110,0)))))</f>
        <v>150</v>
      </c>
      <c r="BH31">
        <f>BD31-BE31-BF31-BG31</f>
        <v>37090</v>
      </c>
      <c r="BI31">
        <f>_xlfn.XLOOKUP(B31,'[6]august-2025'!$A:$A,'[6]august-2025'!$C:$C,0,0)</f>
        <v>29800</v>
      </c>
      <c r="BJ31">
        <f>BI31*0.18</f>
        <v>5364</v>
      </c>
      <c r="BK31">
        <f>BI31*0.12</f>
        <v>3576</v>
      </c>
      <c r="BL31">
        <f>_xlfn.XLOOKUP(B31,'[6]august-2025'!$A:$A,'[6]august-2025'!$D:$D,0,0)</f>
        <v>0</v>
      </c>
      <c r="BM31">
        <f>_xlfn.XLOOKUP(B31,'[6]august-2025'!$A:$A,'[6]august-2025'!$G:$G,0,0)</f>
        <v>500</v>
      </c>
      <c r="BN31">
        <f>IF(BI31&gt;0,SUM(BI31:BM31),0)</f>
        <v>39240</v>
      </c>
      <c r="BO31">
        <f>_xlfn.XLOOKUP(B31,'[6]august-2025'!$A:$A,'[6]august-2025'!$H:$H,0,0)</f>
        <v>2000</v>
      </c>
      <c r="BP31">
        <f>_xlfn.XLOOKUP(B31,'[6]august-2025'!$A:$A,'[6]august-2025'!$I:$I,0,0)</f>
        <v>0</v>
      </c>
      <c r="BQ31">
        <f>IF($F31="YES",0,IF(BN31&gt;40000,200,IF(BN31&gt;25000,150,IF(BN31&gt;15000,130,IF(BN31&gt;10000,110,0)))))</f>
        <v>150</v>
      </c>
      <c r="BR31">
        <f>BN31-BO31-BP31-BQ31</f>
        <v>37090</v>
      </c>
      <c r="BS31">
        <f>_xlfn.XLOOKUP(B31,'[7]september-2025'!$A:$A,'[7]september-2025'!$C:$C,0,0)</f>
        <v>29800</v>
      </c>
      <c r="BT31">
        <f>BS31*0.18</f>
        <v>5364</v>
      </c>
      <c r="BU31">
        <f>BS31*0.12</f>
        <v>3576</v>
      </c>
      <c r="BV31">
        <f>_xlfn.XLOOKUP(B31,'[7]september-2025'!$A:$A,'[7]september-2025'!$D:$D,0,0)</f>
        <v>0</v>
      </c>
      <c r="BW31">
        <f>_xlfn.XLOOKUP(B31,'[7]september-2025'!$A:$A,'[7]september-2025'!$G:$G,0,0)</f>
        <v>500</v>
      </c>
      <c r="BX31">
        <f>IF(BS31&gt;0,SUM(BS31:BW31),0)</f>
        <v>39240</v>
      </c>
      <c r="BY31">
        <f>_xlfn.XLOOKUP(B31,'[7]september-2025'!$A:$A,'[7]september-2025'!$H:$H,0,0)</f>
        <v>2000</v>
      </c>
      <c r="BZ31">
        <f>_xlfn.XLOOKUP(B31,'[7]september-2025'!$A:$A,'[7]september-2025'!$I:$I,0,0)</f>
        <v>0</v>
      </c>
      <c r="CA31">
        <f>IF($F31="YES",0,IF(BX31&gt;40000,200,IF(BX31&gt;25000,150,IF(BX31&gt;15000,130,IF(BX31&gt;10000,110,0)))))</f>
        <v>150</v>
      </c>
      <c r="CB31">
        <f>BX31-BY31-BZ31-CA31</f>
        <v>37090</v>
      </c>
      <c r="CC31">
        <f>_xlfn.XLOOKUP(B31,'[8]october-2025'!$A:$A,'[8]october-2025'!$C:$C,0,0)</f>
        <v>29800</v>
      </c>
      <c r="CD31">
        <f>CC31*0.18</f>
        <v>5364</v>
      </c>
      <c r="CE31">
        <f>CC31*0.12</f>
        <v>3576</v>
      </c>
      <c r="CF31">
        <f>_xlfn.XLOOKUP(B31,'[8]october-2025'!$A:$A,'[8]october-2025'!$D:$D,0,0)</f>
        <v>0</v>
      </c>
      <c r="CG31">
        <f>_xlfn.XLOOKUP(B31,'[8]october-2025'!$A:$A,'[8]october-2025'!$G:$G,0,0)</f>
        <v>500</v>
      </c>
      <c r="CH31">
        <f>IF(CC31&gt;0,SUM(CC31:CG31),0)</f>
        <v>39240</v>
      </c>
      <c r="CI31">
        <f>_xlfn.XLOOKUP(B31,'[8]october-2025'!$A:$A,'[8]october-2025'!$H:$H,0,0)</f>
        <v>2000</v>
      </c>
      <c r="CJ31">
        <f>_xlfn.XLOOKUP(B31,'[8]october-2025'!$A:$A,'[8]october-2025'!$I:$I,0,0)</f>
        <v>0</v>
      </c>
      <c r="CK31">
        <f>IF($F31="YES",0,IF(CH31&gt;40000,200,IF(CH31&gt;25000,150,IF(CH31&gt;15000,130,IF(CH31&gt;10000,110,0)))))</f>
        <v>150</v>
      </c>
      <c r="CL31">
        <f>CH31-CI31-CJ31-CK31</f>
        <v>37090</v>
      </c>
      <c r="CM31">
        <f>_xlfn.XLOOKUP(B31,'[9]november-2025'!$A:$A,'[9]november-2025'!$C:$C,0,0)</f>
        <v>29800</v>
      </c>
      <c r="CN31">
        <f>CM31*0.18</f>
        <v>5364</v>
      </c>
      <c r="CO31">
        <f>CM31*0.12</f>
        <v>3576</v>
      </c>
      <c r="CP31">
        <f>_xlfn.XLOOKUP(B31,'[9]november-2025'!$A:$A,'[9]november-2025'!$D:$D,0,0)</f>
        <v>0</v>
      </c>
      <c r="CQ31">
        <f>_xlfn.XLOOKUP(B31,'[9]november-2025'!$A:$A,'[9]november-2025'!$G:$G,0,0)</f>
        <v>500</v>
      </c>
      <c r="CR31">
        <f>IF(CM31&gt;0,SUM(CM31:CQ31),0)</f>
        <v>39240</v>
      </c>
      <c r="CS31">
        <f>_xlfn.XLOOKUP(B31,'[9]november-2025'!$A:$A,'[9]november-2025'!$H:$H,0,0)</f>
        <v>2000</v>
      </c>
      <c r="CT31">
        <f>_xlfn.XLOOKUP(B31,'[9]november-2025'!$A:$A,'[9]november-2025'!$I:$I,0,0)</f>
        <v>0</v>
      </c>
      <c r="CU31">
        <f>IF($F31="YES",0,IF(CR31&gt;40000,200,IF(CR31&gt;25000,150,IF(CR31&gt;15000,130,IF(CR31&gt;10000,110,0)))))</f>
        <v>150</v>
      </c>
      <c r="CV31">
        <f>CR31-CS31-CT31-CU31</f>
        <v>37090</v>
      </c>
      <c r="CW31">
        <f>_xlfn.XLOOKUP(B31,'[10]december-2025'!$A:$A,'[10]december-2025'!$C:$C,0,0)</f>
        <v>29800</v>
      </c>
      <c r="CX31">
        <f>ROUND(CW31*0.18,0)</f>
        <v>5364</v>
      </c>
      <c r="CY31">
        <f>ROUND(CW31*0.12,0)</f>
        <v>3576</v>
      </c>
      <c r="CZ31">
        <f>_xlfn.XLOOKUP(B31,'[10]december-2025'!$A:$A,'[10]december-2025'!$D:$D,0,0)</f>
        <v>0</v>
      </c>
      <c r="DA31">
        <f>_xlfn.XLOOKUP(B31,'[10]december-2025'!$A:$A,'[10]december-2025'!$G:$G,0,0)</f>
        <v>500</v>
      </c>
      <c r="DB31">
        <f>IF(CW31&gt;0,SUM(CW31:DA31),0)</f>
        <v>39240</v>
      </c>
      <c r="DC31">
        <f>_xlfn.XLOOKUP(B31,'[10]december-2025'!$A:$A,'[10]december-2025'!$H:$H,0,0)</f>
        <v>2000</v>
      </c>
      <c r="DD31">
        <f>_xlfn.XLOOKUP(B31,'[10]december-2025'!$A:$A,'[10]december-2025'!$I:$I,0,0)</f>
        <v>0</v>
      </c>
      <c r="DE31">
        <f>IF($F31="YES",0,IF(DB31&gt;40000,200,IF(DB31&gt;25000,150,IF(DB31&gt;15000,130,IF(DB31&gt;10000,110,0)))))</f>
        <v>150</v>
      </c>
      <c r="DF31">
        <f>DB31-DC31-DD31-DE31</f>
        <v>37090</v>
      </c>
      <c r="DG31">
        <f>_xlfn.XLOOKUP(B31,'[11]january-2026'!$A:$A,'[11]january-2026'!$C:$C,0,0)</f>
        <v>29800</v>
      </c>
      <c r="DH31">
        <f>DG31*0.18</f>
        <v>5364</v>
      </c>
      <c r="DI31">
        <f>DG31*0.12</f>
        <v>3576</v>
      </c>
      <c r="DJ31">
        <f>_xlfn.XLOOKUP(B31,'[11]january-2026'!$A:$A,'[11]january-2026'!$D:$D,0,0)</f>
        <v>0</v>
      </c>
      <c r="DK31">
        <f>_xlfn.XLOOKUP(B31,'[11]january-2026'!$A:$A,'[11]january-2026'!$G:$G,0,0)</f>
        <v>500</v>
      </c>
      <c r="DL31">
        <f>IF(DG31&gt;0,SUM(DG31:DK31),0)</f>
        <v>39240</v>
      </c>
      <c r="DM31">
        <f>_xlfn.XLOOKUP(B31,'[11]january-2026'!$A:$A,'[11]january-2026'!$H:$H,0,0)</f>
        <v>2000</v>
      </c>
      <c r="DN31">
        <f>_xlfn.XLOOKUP(B31,'[11]january-2026'!$A:$A,'[11]january-2026'!$I:$I,0,0)</f>
        <v>0</v>
      </c>
      <c r="DO31">
        <f>IF($F31="YES",0,IF(DL31&gt;40000,200,IF(DL31&gt;25000,150,IF(DL31&gt;15000,130,IF(DL31&gt;10000,110,0)))))</f>
        <v>150</v>
      </c>
      <c r="DP31">
        <f>DL31-DM31-DN31-DO31</f>
        <v>37090</v>
      </c>
      <c r="DQ31">
        <f>_xlfn.XLOOKUP(B31,'[12]february-2026'!$A:$A,'[12]february-2026'!$C:$C,0,0)</f>
        <v>29800</v>
      </c>
      <c r="DR31">
        <f>DQ31*0.18</f>
        <v>5364</v>
      </c>
      <c r="DS31">
        <f>DQ31*0.12</f>
        <v>3576</v>
      </c>
      <c r="DT31">
        <f>_xlfn.XLOOKUP(B31,'[12]february-2026'!$A:$A,'[12]february-2026'!$D:$D,0,0)</f>
        <v>0</v>
      </c>
      <c r="DU31">
        <f>_xlfn.XLOOKUP(B31,'[12]february-2026'!$A:$A,'[12]february-2026'!$G:$G,0,0)</f>
        <v>500</v>
      </c>
      <c r="DV31">
        <f>IF(DQ31&gt;0,SUM(DQ31:DU31),0)</f>
        <v>39240</v>
      </c>
      <c r="DW31">
        <f>_xlfn.XLOOKUP(B31,'[12]february-2026'!$A:$A,'[12]february-2026'!$H:$H,0,0)</f>
        <v>2000</v>
      </c>
      <c r="DX31">
        <f>_xlfn.XLOOKUP(B31,'[12]february-2026'!$A:$A,'[12]february-2026'!$I:$I,0,0)</f>
        <v>0</v>
      </c>
      <c r="DY31">
        <f>IF($F31="YES",0,IF(DV31&gt;40000,200,IF(DV31&gt;25000,150,IF(DV31&gt;15000,130,IF(DV31&gt;10000,110,0)))))</f>
        <v>150</v>
      </c>
      <c r="DZ31">
        <f>DV31-DW31-DX31-DY31</f>
        <v>37090</v>
      </c>
      <c r="EA31">
        <f>DV31+DL31+DB31+CR31+CH31+BX31+BN31+BD31+AS31+AI31+Y31+O31+H31+I31</f>
        <v>471844</v>
      </c>
      <c r="EB31">
        <f>DY31+DO31+DE31+CU31+CK31+CA31+BQ31+BG31+AV31+AL31+AB31+R31</f>
        <v>1800</v>
      </c>
      <c r="EC31">
        <f>IF(EA31&gt;0,50000,0)</f>
        <v>50000</v>
      </c>
      <c r="ED31">
        <v>0</v>
      </c>
      <c r="EE31">
        <f>EA31-EB31-EC31</f>
        <v>420044</v>
      </c>
      <c r="EF31">
        <f>DW31+DM31+DC31+CS31+CI31+BY31+BO31+BE31+AT31+AJ31+Z31+P31</f>
        <v>24000</v>
      </c>
      <c r="EG31">
        <f>DX31+DN31+DD31+CT31+CJ31+BZ31+BP31+BF31+AU31+AK31+AA31+Q31</f>
        <v>0</v>
      </c>
      <c r="EH31">
        <v>0</v>
      </c>
      <c r="EI31">
        <v>0</v>
      </c>
      <c r="EJ31">
        <v>0</v>
      </c>
      <c r="EK31">
        <v>0</v>
      </c>
      <c r="EL31">
        <v>0</v>
      </c>
      <c r="EM31">
        <v>0</v>
      </c>
      <c r="EN31">
        <v>0</v>
      </c>
      <c r="EO31">
        <v>0</v>
      </c>
      <c r="EP31">
        <v>0</v>
      </c>
      <c r="EQ31">
        <v>0</v>
      </c>
      <c r="ER31">
        <f>SUM(EF31:EQ31)</f>
        <v>24000</v>
      </c>
      <c r="ES31">
        <f>IF(ER31&gt;=150000,150000,ER31)</f>
        <v>24000</v>
      </c>
      <c r="ET31">
        <f>EE31-ES31</f>
        <v>396044</v>
      </c>
      <c r="EU31">
        <v>0</v>
      </c>
      <c r="EV31">
        <v>0</v>
      </c>
      <c r="EW31">
        <v>0</v>
      </c>
      <c r="EX31">
        <v>0</v>
      </c>
      <c r="EY31">
        <v>0</v>
      </c>
      <c r="EZ31">
        <v>0</v>
      </c>
      <c r="FA31">
        <v>0</v>
      </c>
      <c r="FB31">
        <f>SUM(EU31:FA31)+(IF(F31="YES",50000,0))</f>
        <v>0</v>
      </c>
      <c r="FC31">
        <f>ET31-FB31</f>
        <v>396044</v>
      </c>
      <c r="FD31">
        <f>ROUND(IF(FC31&gt;0,IF(FC31&gt;500000,12500,(FC31-250000)*0.05),0),0)</f>
        <v>7302</v>
      </c>
      <c r="FE31">
        <f>IF(ROUND(IF(FC31&gt;0,IF(FC31&gt;1000000,25000,(FC31-500000)*0.2),0),0)&lt;0,0,ROUND(IF(FC31&gt;0,IF(FC31&gt;1000000,25000,(FC31-500000)*0.2),0),0))</f>
        <v>0</v>
      </c>
      <c r="FF31">
        <f>FD31+FE31</f>
        <v>7302</v>
      </c>
      <c r="FG31">
        <f>IF(FF31&lt;12500,0,FF31)</f>
        <v>0</v>
      </c>
      <c r="FH31">
        <f>FG31*0.04</f>
        <v>0</v>
      </c>
      <c r="FI31">
        <f>ROUND(FH31+FG31,0)</f>
        <v>0</v>
      </c>
      <c r="FJ31">
        <v>0</v>
      </c>
      <c r="FK31">
        <f>FI31-FJ31</f>
        <v>0</v>
      </c>
      <c r="FL31" t="b">
        <f>IF(EA31&gt;500000,TRUE,FALSE)</f>
        <v>0</v>
      </c>
      <c r="FM31">
        <f ca="1">IF(FL31,RANDBETWEEN(500,1000),RANDBETWEEN(1000,3000))</f>
        <v>1031</v>
      </c>
      <c r="FN31">
        <f ca="1">EA31+FM31</f>
        <v>472875</v>
      </c>
      <c r="FO31">
        <f>IF(EA31&gt;0,75000,0)</f>
        <v>75000</v>
      </c>
      <c r="FP31">
        <f ca="1">FN31-FO31</f>
        <v>397875</v>
      </c>
      <c r="FQ31">
        <f ca="1">IF(FP31&gt;2400000,FP31-2400000,0)</f>
        <v>0</v>
      </c>
      <c r="FR31">
        <f ca="1">FQ31*0.3</f>
        <v>0</v>
      </c>
      <c r="FS31">
        <f ca="1">IF(FP31&gt;2000000,FP31-2000000,0)</f>
        <v>0</v>
      </c>
      <c r="FT31">
        <f ca="1">FS31*0.25</f>
        <v>0</v>
      </c>
      <c r="FU31">
        <f ca="1">IF(FP31&gt;1600000,FP31-1600000-FQ31,0)</f>
        <v>0</v>
      </c>
      <c r="FV31">
        <f ca="1">FU31*0.2</f>
        <v>0</v>
      </c>
      <c r="FW31">
        <f ca="1">IF(FP31&gt;1200000,FP31-1200000-IF(F31="YES",50000,0)-FU31,0)</f>
        <v>0</v>
      </c>
      <c r="FX31">
        <f ca="1">FW31*0.15</f>
        <v>0</v>
      </c>
      <c r="FY31">
        <f ca="1">IF(FP31&gt;800000,FP31-800000-FQ31-FU31-FW31,0)</f>
        <v>0</v>
      </c>
      <c r="FZ31">
        <f ca="1">FY31*0.1</f>
        <v>0</v>
      </c>
      <c r="GA31">
        <f ca="1">IF(FP31&gt;400000,FP31-400000-FQ31-FU31-FW31-FY31,0)</f>
        <v>0</v>
      </c>
      <c r="GB31">
        <f ca="1">GA31*0.05</f>
        <v>0</v>
      </c>
      <c r="GC31">
        <f ca="1">ROUND(FR31+FT31+FV31+FX31+FZ31+GB31,0)</f>
        <v>0</v>
      </c>
      <c r="GD31">
        <f ca="1">IF(FP31&gt;1200000,FP31,0)</f>
        <v>0</v>
      </c>
      <c r="GE31">
        <f ca="1">IF(FP31&gt;1200000,GD31-1200000,0)</f>
        <v>0</v>
      </c>
      <c r="GF31">
        <f ca="1">IF(FP31&lt;1200001,MIN(GC31,60000),0)</f>
        <v>0</v>
      </c>
      <c r="GG31">
        <f ca="1">IF(FP31&gt;1200000,GC31-GE31,0)</f>
        <v>0</v>
      </c>
      <c r="GH31" t="b">
        <f ca="1">IF(GG31&gt;0,TRUE,FALSE)</f>
        <v>0</v>
      </c>
      <c r="GI31">
        <f ca="1">IF(GH31,GG31,0)</f>
        <v>0</v>
      </c>
      <c r="GJ31">
        <f ca="1">GF31+GI31</f>
        <v>0</v>
      </c>
      <c r="GK31">
        <f ca="1">ROUND(GC31-GJ31,0)</f>
        <v>0</v>
      </c>
      <c r="GL31">
        <f ca="1">GK31*0.04</f>
        <v>0</v>
      </c>
      <c r="GM31">
        <f ca="1">ROUNDUP(GK31+GL31,0)</f>
        <v>0</v>
      </c>
    </row>
    <row r="32" spans="1:195" x14ac:dyDescent="0.25">
      <c r="A32">
        <f>_xlfn.AGGREGATE(3,5,$B$2:B32)</f>
        <v>31</v>
      </c>
      <c r="B32" t="s">
        <v>182</v>
      </c>
      <c r="C32" t="s">
        <v>183</v>
      </c>
      <c r="D32" t="s">
        <v>760</v>
      </c>
      <c r="E32" t="s">
        <v>834</v>
      </c>
      <c r="F32" t="s">
        <v>959</v>
      </c>
      <c r="G32" t="s">
        <v>882</v>
      </c>
      <c r="H32">
        <f>IF(_xlfn.DAYS("31-03-2025",G32)&gt;=180,6800,0)</f>
        <v>6800</v>
      </c>
      <c r="I32">
        <f>_xlfn.XLOOKUP(B32,'[1]march-2025'!$A:$A,'[1]march-2025'!$J:$J,0,0)</f>
        <v>0</v>
      </c>
      <c r="J32">
        <f>_xlfn.XLOOKUP(B32,'[1]march-2025'!$A:$A,'[1]march-2025'!$C:$C,0,0)</f>
        <v>51700</v>
      </c>
      <c r="K32">
        <f>J32*0.14</f>
        <v>7238.0000000000009</v>
      </c>
      <c r="L32">
        <f>J32*0.12</f>
        <v>6204</v>
      </c>
      <c r="M32">
        <f>_xlfn.XLOOKUP(B32,'[1]march-2025'!$A:$A,'[1]march-2025'!$D:$D,0,0)</f>
        <v>400</v>
      </c>
      <c r="N32">
        <f>_xlfn.XLOOKUP(B32,'[1]march-2025'!$A:$A,'[1]march-2025'!$G:$G,0,0)</f>
        <v>0</v>
      </c>
      <c r="O32">
        <f>IF(J32&gt;0,SUM(J32:N32),0)</f>
        <v>65542</v>
      </c>
      <c r="P32">
        <f>_xlfn.XLOOKUP(B32,'[1]march-2025'!$A:$A,'[1]march-2025'!$H:$H,0,0)</f>
        <v>4000</v>
      </c>
      <c r="Q32">
        <f>_xlfn.XLOOKUP(B32,'[1]march-2025'!$A:$A,'[1]march-2025'!$I:$I,0,0)</f>
        <v>60</v>
      </c>
      <c r="R32">
        <f>IF($F32="YES",0,IF(O32&gt;40000,200,IF(O32&gt;25000,150,IF(O32&gt;15000,130,IF(O32&gt;10000,110,0)))))</f>
        <v>200</v>
      </c>
      <c r="S32">
        <f>O32-P32-Q32-R32</f>
        <v>61282</v>
      </c>
      <c r="T32">
        <f>_xlfn.XLOOKUP(B32,'[2]april-2025'!$A:$A,'[2]april-2025'!$C:$C,0,0)</f>
        <v>51700</v>
      </c>
      <c r="U32">
        <f>T32*0.18</f>
        <v>9306</v>
      </c>
      <c r="V32">
        <f>T32*0.12</f>
        <v>6204</v>
      </c>
      <c r="W32">
        <f>_xlfn.XLOOKUP(B32,'[2]april-2025'!$A:$A,'[2]april-2025'!$D:$D,0,0)</f>
        <v>400</v>
      </c>
      <c r="X32">
        <f>_xlfn.XLOOKUP(B32,'[2]april-2025'!$A:$A,'[2]april-2025'!$G:$G,0,0)</f>
        <v>0</v>
      </c>
      <c r="Y32">
        <f>IF(T32&gt;0,SUM(T32:X32),0)</f>
        <v>67610</v>
      </c>
      <c r="Z32">
        <f>_xlfn.XLOOKUP(B32,'[2]april-2025'!$A:$A,'[2]april-2025'!$H:$H,0,0)</f>
        <v>4000</v>
      </c>
      <c r="AA32">
        <f>_xlfn.XLOOKUP(B32,'[2]april-2025'!$A:$A,'[2]april-2025'!$I:$I,0,0)</f>
        <v>60</v>
      </c>
      <c r="AB32">
        <f>IF($F32="YES",0,IF(Y32&gt;40000,200,IF(Y32&gt;25000,150,IF(Y32&gt;15000,130,IF(Y32&gt;10000,110,0)))))</f>
        <v>200</v>
      </c>
      <c r="AC32">
        <f>Y32-Z32-AA32-AB32</f>
        <v>63350</v>
      </c>
      <c r="AD32">
        <f>_xlfn.XLOOKUP(B32,'[3]may-2025'!$A:$A,'[3]may-2025'!$C:$C,0,0)</f>
        <v>51700</v>
      </c>
      <c r="AE32">
        <f>AD32*0.18</f>
        <v>9306</v>
      </c>
      <c r="AF32">
        <f>AD32*0.12</f>
        <v>6204</v>
      </c>
      <c r="AG32">
        <f>_xlfn.XLOOKUP(B32,'[3]may-2025'!$A:$A,'[3]may-2025'!$D:$D,0,0)</f>
        <v>400</v>
      </c>
      <c r="AH32">
        <f>_xlfn.XLOOKUP(B32,'[3]may-2025'!$A:$A,'[3]may-2025'!$G:$G,0,0)</f>
        <v>0</v>
      </c>
      <c r="AI32">
        <f>IF(AD32&gt;0,SUM(AD32:AH32),0)</f>
        <v>67610</v>
      </c>
      <c r="AJ32">
        <f>_xlfn.XLOOKUP(B32,'[3]may-2025'!$A:$A,'[3]may-2025'!$H:$H,0,0)</f>
        <v>4000</v>
      </c>
      <c r="AK32">
        <f>_xlfn.XLOOKUP(B32,'[3]may-2025'!$A:$A,'[3]may-2025'!$I:$I,0,0)</f>
        <v>60</v>
      </c>
      <c r="AL32">
        <f>IF($F32="YES",0,IF(AI32&gt;40000,200,IF(AI32&gt;25000,150,IF(AI32&gt;15000,130,IF(AI32&gt;10000,110,0)))))</f>
        <v>200</v>
      </c>
      <c r="AM32">
        <f>AI32-AJ32-AK32-AL32</f>
        <v>63350</v>
      </c>
      <c r="AN32">
        <f>_xlfn.XLOOKUP(B32,'[4]june-2025'!$A:$A,'[4]june-2025'!$C:$C,0,0)</f>
        <v>51700</v>
      </c>
      <c r="AO32">
        <f>AN32*0.18</f>
        <v>9306</v>
      </c>
      <c r="AP32">
        <f>AN32*0.12</f>
        <v>6204</v>
      </c>
      <c r="AQ32">
        <f>_xlfn.XLOOKUP(B32,'[4]june-2025'!$A:$A,'[4]june-2025'!$D:$D,0,0)</f>
        <v>400</v>
      </c>
      <c r="AR32">
        <f>_xlfn.XLOOKUP(B32,'[4]june-2025'!$A:$A,'[4]june-2025'!$G:$G,0,0)</f>
        <v>0</v>
      </c>
      <c r="AS32">
        <f>IF(AN32&gt;0,SUM(AN32:AR32),0)</f>
        <v>67610</v>
      </c>
      <c r="AT32">
        <f>_xlfn.XLOOKUP(B32,'[4]june-2025'!$A:$A,'[4]june-2025'!$H:$H,0,0)</f>
        <v>4000</v>
      </c>
      <c r="AU32">
        <f>_xlfn.XLOOKUP(B32,'[4]june-2025'!$A:$A,'[4]june-2025'!$I:$I,0,0)</f>
        <v>60</v>
      </c>
      <c r="AV32">
        <f>IF($F32="YES",0,IF(AS32&gt;40000,200,IF(AS32&gt;25000,150,IF(AS32&gt;15000,130,IF(AS32&gt;10000,110,0)))))</f>
        <v>200</v>
      </c>
      <c r="AW32">
        <f>AS32-AT32-AU32-AV32</f>
        <v>63350</v>
      </c>
      <c r="AX32">
        <f>_xlfn.XLOOKUP(B32,'[5]july-2025'!$A:$A,'[5]july-2025'!$C:$C,0,0)</f>
        <v>53300</v>
      </c>
      <c r="AY32">
        <f>AX32*0.18</f>
        <v>9594</v>
      </c>
      <c r="AZ32">
        <v>0</v>
      </c>
      <c r="BA32">
        <f>AX32*0.12</f>
        <v>6396</v>
      </c>
      <c r="BB32">
        <f>_xlfn.XLOOKUP(B32,'[5]july-2025'!$A:$A,'[5]july-2025'!$D:$D,0,0)</f>
        <v>400</v>
      </c>
      <c r="BC32">
        <f>_xlfn.XLOOKUP(B32,'[5]july-2025'!$A:$A,'[5]july-2025'!$G:$G,0,0)</f>
        <v>0</v>
      </c>
      <c r="BD32">
        <f>IF(AX32&gt;0,SUM(AX32:BC32),0)</f>
        <v>69690</v>
      </c>
      <c r="BE32">
        <f>_xlfn.XLOOKUP(B32,'[5]july-2025'!$A:$A,'[5]july-2025'!$H:$H,0,0)</f>
        <v>4000</v>
      </c>
      <c r="BF32">
        <f>_xlfn.XLOOKUP(B32,'[5]july-2025'!$A:$A,'[5]july-2025'!$I:$I,0,0)</f>
        <v>60</v>
      </c>
      <c r="BG32">
        <f>IF($F32="YES",0,IF(BD32&gt;40000,200,IF(BD32&gt;25000,150,IF(BD32&gt;15000,130,IF(BD32&gt;10000,110,0)))))</f>
        <v>200</v>
      </c>
      <c r="BH32">
        <f>BD32-BE32-BF32-BG32</f>
        <v>65430</v>
      </c>
      <c r="BI32">
        <f>_xlfn.XLOOKUP(B32,'[6]august-2025'!$A:$A,'[6]august-2025'!$C:$C,0,0)</f>
        <v>53300</v>
      </c>
      <c r="BJ32">
        <f>BI32*0.18</f>
        <v>9594</v>
      </c>
      <c r="BK32">
        <f>BI32*0.12</f>
        <v>6396</v>
      </c>
      <c r="BL32">
        <f>_xlfn.XLOOKUP(B32,'[6]august-2025'!$A:$A,'[6]august-2025'!$D:$D,0,0)</f>
        <v>400</v>
      </c>
      <c r="BM32">
        <f>_xlfn.XLOOKUP(B32,'[6]august-2025'!$A:$A,'[6]august-2025'!$G:$G,0,0)</f>
        <v>0</v>
      </c>
      <c r="BN32">
        <f>IF(BI32&gt;0,SUM(BI32:BM32),0)</f>
        <v>69690</v>
      </c>
      <c r="BO32">
        <f>_xlfn.XLOOKUP(B32,'[6]august-2025'!$A:$A,'[6]august-2025'!$H:$H,0,0)</f>
        <v>4000</v>
      </c>
      <c r="BP32">
        <f>_xlfn.XLOOKUP(B32,'[6]august-2025'!$A:$A,'[6]august-2025'!$I:$I,0,0)</f>
        <v>60</v>
      </c>
      <c r="BQ32">
        <f>IF($F32="YES",0,IF(BN32&gt;40000,200,IF(BN32&gt;25000,150,IF(BN32&gt;15000,130,IF(BN32&gt;10000,110,0)))))</f>
        <v>200</v>
      </c>
      <c r="BR32">
        <f>BN32-BO32-BP32-BQ32</f>
        <v>65430</v>
      </c>
      <c r="BS32">
        <f>_xlfn.XLOOKUP(B32,'[7]september-2025'!$A:$A,'[7]september-2025'!$C:$C,0,0)</f>
        <v>53300</v>
      </c>
      <c r="BT32">
        <f>BS32*0.18</f>
        <v>9594</v>
      </c>
      <c r="BU32">
        <f>BS32*0.12</f>
        <v>6396</v>
      </c>
      <c r="BV32">
        <f>_xlfn.XLOOKUP(B32,'[7]september-2025'!$A:$A,'[7]september-2025'!$D:$D,0,0)</f>
        <v>400</v>
      </c>
      <c r="BW32">
        <f>_xlfn.XLOOKUP(B32,'[7]september-2025'!$A:$A,'[7]september-2025'!$G:$G,0,0)</f>
        <v>0</v>
      </c>
      <c r="BX32">
        <f>IF(BS32&gt;0,SUM(BS32:BW32),0)</f>
        <v>69690</v>
      </c>
      <c r="BY32">
        <f>_xlfn.XLOOKUP(B32,'[7]september-2025'!$A:$A,'[7]september-2025'!$H:$H,0,0)</f>
        <v>4000</v>
      </c>
      <c r="BZ32">
        <f>_xlfn.XLOOKUP(B32,'[7]september-2025'!$A:$A,'[7]september-2025'!$I:$I,0,0)</f>
        <v>60</v>
      </c>
      <c r="CA32">
        <f>IF($F32="YES",0,IF(BX32&gt;40000,200,IF(BX32&gt;25000,150,IF(BX32&gt;15000,130,IF(BX32&gt;10000,110,0)))))</f>
        <v>200</v>
      </c>
      <c r="CB32">
        <f>BX32-BY32-BZ32-CA32</f>
        <v>65430</v>
      </c>
      <c r="CC32">
        <f>_xlfn.XLOOKUP(B32,'[8]october-2025'!$A:$A,'[8]october-2025'!$C:$C,0,0)</f>
        <v>53300</v>
      </c>
      <c r="CD32">
        <f>CC32*0.18</f>
        <v>9594</v>
      </c>
      <c r="CE32">
        <f>CC32*0.12</f>
        <v>6396</v>
      </c>
      <c r="CF32">
        <f>_xlfn.XLOOKUP(B32,'[8]october-2025'!$A:$A,'[8]october-2025'!$D:$D,0,0)</f>
        <v>400</v>
      </c>
      <c r="CG32">
        <f>_xlfn.XLOOKUP(B32,'[8]october-2025'!$A:$A,'[8]october-2025'!$G:$G,0,0)</f>
        <v>0</v>
      </c>
      <c r="CH32">
        <f>IF(CC32&gt;0,SUM(CC32:CG32),0)</f>
        <v>69690</v>
      </c>
      <c r="CI32">
        <f>_xlfn.XLOOKUP(B32,'[8]october-2025'!$A:$A,'[8]october-2025'!$H:$H,0,0)</f>
        <v>4000</v>
      </c>
      <c r="CJ32">
        <f>_xlfn.XLOOKUP(B32,'[8]october-2025'!$A:$A,'[8]october-2025'!$I:$I,0,0)</f>
        <v>60</v>
      </c>
      <c r="CK32">
        <f>IF($F32="YES",0,IF(CH32&gt;40000,200,IF(CH32&gt;25000,150,IF(CH32&gt;15000,130,IF(CH32&gt;10000,110,0)))))</f>
        <v>200</v>
      </c>
      <c r="CL32">
        <f>CH32-CI32-CJ32-CK32</f>
        <v>65430</v>
      </c>
      <c r="CM32">
        <f>_xlfn.XLOOKUP(B32,'[9]november-2025'!$A:$A,'[9]november-2025'!$C:$C,0,0)</f>
        <v>53300</v>
      </c>
      <c r="CN32">
        <f>CM32*0.18</f>
        <v>9594</v>
      </c>
      <c r="CO32">
        <f>CM32*0.12</f>
        <v>6396</v>
      </c>
      <c r="CP32">
        <f>_xlfn.XLOOKUP(B32,'[9]november-2025'!$A:$A,'[9]november-2025'!$D:$D,0,0)</f>
        <v>400</v>
      </c>
      <c r="CQ32">
        <f>_xlfn.XLOOKUP(B32,'[9]november-2025'!$A:$A,'[9]november-2025'!$G:$G,0,0)</f>
        <v>0</v>
      </c>
      <c r="CR32">
        <f>IF(CM32&gt;0,SUM(CM32:CQ32),0)</f>
        <v>69690</v>
      </c>
      <c r="CS32">
        <f>_xlfn.XLOOKUP(B32,'[9]november-2025'!$A:$A,'[9]november-2025'!$H:$H,0,0)</f>
        <v>4000</v>
      </c>
      <c r="CT32">
        <f>_xlfn.XLOOKUP(B32,'[9]november-2025'!$A:$A,'[9]november-2025'!$I:$I,0,0)</f>
        <v>60</v>
      </c>
      <c r="CU32">
        <f>IF($F32="YES",0,IF(CR32&gt;40000,200,IF(CR32&gt;25000,150,IF(CR32&gt;15000,130,IF(CR32&gt;10000,110,0)))))</f>
        <v>200</v>
      </c>
      <c r="CV32">
        <f>CR32-CS32-CT32-CU32</f>
        <v>65430</v>
      </c>
      <c r="CW32">
        <f>_xlfn.XLOOKUP(B32,'[10]december-2025'!$A:$A,'[10]december-2025'!$C:$C,0,0)</f>
        <v>53300</v>
      </c>
      <c r="CX32">
        <f>ROUND(CW32*0.18,0)</f>
        <v>9594</v>
      </c>
      <c r="CY32">
        <f>ROUND(CW32*0.12,0)</f>
        <v>6396</v>
      </c>
      <c r="CZ32">
        <f>_xlfn.XLOOKUP(B32,'[10]december-2025'!$A:$A,'[10]december-2025'!$D:$D,0,0)</f>
        <v>400</v>
      </c>
      <c r="DA32">
        <f>_xlfn.XLOOKUP(B32,'[10]december-2025'!$A:$A,'[10]december-2025'!$G:$G,0,0)</f>
        <v>0</v>
      </c>
      <c r="DB32">
        <f>IF(CW32&gt;0,SUM(CW32:DA32),0)</f>
        <v>69690</v>
      </c>
      <c r="DC32">
        <f>_xlfn.XLOOKUP(B32,'[10]december-2025'!$A:$A,'[10]december-2025'!$H:$H,0,0)</f>
        <v>4000</v>
      </c>
      <c r="DD32">
        <f>_xlfn.XLOOKUP(B32,'[10]december-2025'!$A:$A,'[10]december-2025'!$I:$I,0,0)</f>
        <v>60</v>
      </c>
      <c r="DE32">
        <f>IF($F32="YES",0,IF(DB32&gt;40000,200,IF(DB32&gt;25000,150,IF(DB32&gt;15000,130,IF(DB32&gt;10000,110,0)))))</f>
        <v>200</v>
      </c>
      <c r="DF32">
        <f>DB32-DC32-DD32-DE32</f>
        <v>65430</v>
      </c>
      <c r="DG32">
        <f>_xlfn.XLOOKUP(B32,'[11]january-2026'!$A:$A,'[11]january-2026'!$C:$C,0,0)</f>
        <v>53300</v>
      </c>
      <c r="DH32">
        <f>DG32*0.18</f>
        <v>9594</v>
      </c>
      <c r="DI32">
        <f>DG32*0.12</f>
        <v>6396</v>
      </c>
      <c r="DJ32">
        <f>_xlfn.XLOOKUP(B32,'[11]january-2026'!$A:$A,'[11]january-2026'!$D:$D,0,0)</f>
        <v>400</v>
      </c>
      <c r="DK32">
        <f>_xlfn.XLOOKUP(B32,'[11]january-2026'!$A:$A,'[11]january-2026'!$G:$G,0,0)</f>
        <v>0</v>
      </c>
      <c r="DL32">
        <f>IF(DG32&gt;0,SUM(DG32:DK32),0)</f>
        <v>69690</v>
      </c>
      <c r="DM32">
        <f>_xlfn.XLOOKUP(B32,'[11]january-2026'!$A:$A,'[11]january-2026'!$H:$H,0,0)</f>
        <v>4000</v>
      </c>
      <c r="DN32">
        <f>_xlfn.XLOOKUP(B32,'[11]january-2026'!$A:$A,'[11]january-2026'!$I:$I,0,0)</f>
        <v>60</v>
      </c>
      <c r="DO32">
        <f>IF($F32="YES",0,IF(DL32&gt;40000,200,IF(DL32&gt;25000,150,IF(DL32&gt;15000,130,IF(DL32&gt;10000,110,0)))))</f>
        <v>200</v>
      </c>
      <c r="DP32">
        <f>DL32-DM32-DN32-DO32</f>
        <v>65430</v>
      </c>
      <c r="DQ32">
        <f>_xlfn.XLOOKUP(B32,'[12]february-2026'!$A:$A,'[12]february-2026'!$C:$C,0,0)</f>
        <v>53300</v>
      </c>
      <c r="DR32">
        <f>DQ32*0.18</f>
        <v>9594</v>
      </c>
      <c r="DS32">
        <f>DQ32*0.12</f>
        <v>6396</v>
      </c>
      <c r="DT32">
        <f>_xlfn.XLOOKUP(B32,'[12]february-2026'!$A:$A,'[12]february-2026'!$D:$D,0,0)</f>
        <v>400</v>
      </c>
      <c r="DU32">
        <f>_xlfn.XLOOKUP(B32,'[12]february-2026'!$A:$A,'[12]february-2026'!$G:$G,0,0)</f>
        <v>0</v>
      </c>
      <c r="DV32">
        <f>IF(DQ32&gt;0,SUM(DQ32:DU32),0)</f>
        <v>69690</v>
      </c>
      <c r="DW32">
        <f>_xlfn.XLOOKUP(B32,'[12]february-2026'!$A:$A,'[12]february-2026'!$H:$H,0,0)</f>
        <v>4000</v>
      </c>
      <c r="DX32">
        <f>_xlfn.XLOOKUP(B32,'[12]february-2026'!$A:$A,'[12]february-2026'!$I:$I,0,0)</f>
        <v>60</v>
      </c>
      <c r="DY32">
        <f>IF($F32="YES",0,IF(DV32&gt;40000,200,IF(DV32&gt;25000,150,IF(DV32&gt;15000,130,IF(DV32&gt;10000,110,0)))))</f>
        <v>200</v>
      </c>
      <c r="DZ32">
        <f>DV32-DW32-DX32-DY32</f>
        <v>65430</v>
      </c>
      <c r="EA32">
        <f>DV32+DL32+DB32+CR32+CH32+BX32+BN32+BD32+AS32+AI32+Y32+O32+H32+I32</f>
        <v>832692</v>
      </c>
      <c r="EB32">
        <f>DY32+DO32+DE32+CU32+CK32+CA32+BQ32+BG32+AV32+AL32+AB32+R32</f>
        <v>2400</v>
      </c>
      <c r="EC32">
        <f>IF(EA32&gt;0,50000,0)</f>
        <v>50000</v>
      </c>
      <c r="ED32">
        <v>0</v>
      </c>
      <c r="EE32">
        <f>EA32-EB32-EC32</f>
        <v>780292</v>
      </c>
      <c r="EF32">
        <f>DW32+DM32+DC32+CS32+CI32+BY32+BO32+BE32+AT32+AJ32+Z32+P32</f>
        <v>48000</v>
      </c>
      <c r="EG32">
        <f>DX32+DN32+DD32+CT32+CJ32+BZ32+BP32+BF32+AU32+AK32+AA32+Q32</f>
        <v>720</v>
      </c>
      <c r="EH32">
        <v>0</v>
      </c>
      <c r="EI32">
        <v>0</v>
      </c>
      <c r="EJ32">
        <v>0</v>
      </c>
      <c r="EK32">
        <v>0</v>
      </c>
      <c r="EL32">
        <v>0</v>
      </c>
      <c r="EM32">
        <v>0</v>
      </c>
      <c r="EN32">
        <v>0</v>
      </c>
      <c r="EO32">
        <v>0</v>
      </c>
      <c r="EP32">
        <v>0</v>
      </c>
      <c r="EQ32">
        <v>0</v>
      </c>
      <c r="ER32">
        <f>SUM(EF32:EQ32)</f>
        <v>48720</v>
      </c>
      <c r="ES32">
        <f>IF(ER32&gt;=150000,150000,ER32)</f>
        <v>48720</v>
      </c>
      <c r="ET32">
        <f>EE32-ES32</f>
        <v>731572</v>
      </c>
      <c r="EU32">
        <v>0</v>
      </c>
      <c r="EV32">
        <v>0</v>
      </c>
      <c r="EW32">
        <v>0</v>
      </c>
      <c r="EX32">
        <v>0</v>
      </c>
      <c r="EY32">
        <v>0</v>
      </c>
      <c r="EZ32">
        <v>0</v>
      </c>
      <c r="FA32">
        <v>0</v>
      </c>
      <c r="FB32">
        <f>SUM(EU32:FA32)+(IF(F32="YES",50000,0))</f>
        <v>0</v>
      </c>
      <c r="FC32">
        <f>ET32-FB32</f>
        <v>731572</v>
      </c>
      <c r="FD32">
        <f>ROUND(IF(FC32&gt;0,IF(FC32&gt;500000,12500,(FC32-250000)*0.05),0),0)</f>
        <v>12500</v>
      </c>
      <c r="FE32">
        <f>IF(ROUND(IF(FC32&gt;0,IF(FC32&gt;1000000,25000,(FC32-500000)*0.2),0),0)&lt;0,0,ROUND(IF(FC32&gt;0,IF(FC32&gt;1000000,25000,(FC32-500000)*0.2),0),0))</f>
        <v>46314</v>
      </c>
      <c r="FF32">
        <f>FD32+FE32</f>
        <v>58814</v>
      </c>
      <c r="FG32">
        <f>IF(FF32&lt;12500,0,FF32)</f>
        <v>58814</v>
      </c>
      <c r="FH32">
        <f>FG32*0.04</f>
        <v>2352.56</v>
      </c>
      <c r="FI32">
        <f>ROUND(FH32+FG32,0)</f>
        <v>61167</v>
      </c>
      <c r="FJ32">
        <v>0</v>
      </c>
      <c r="FK32">
        <f>FI32-FJ32</f>
        <v>61167</v>
      </c>
      <c r="FL32" t="b">
        <f>IF(EA32&gt;500000,TRUE,FALSE)</f>
        <v>1</v>
      </c>
      <c r="FM32">
        <f ca="1">IF(FL32,RANDBETWEEN(500,1000),RANDBETWEEN(1000,3000))</f>
        <v>597</v>
      </c>
      <c r="FN32">
        <f ca="1">EA32+FM32</f>
        <v>833289</v>
      </c>
      <c r="FO32">
        <f>IF(EA32&gt;0,75000,0)</f>
        <v>75000</v>
      </c>
      <c r="FP32">
        <f ca="1">FN32-FO32</f>
        <v>758289</v>
      </c>
      <c r="FQ32">
        <f ca="1">IF(FP32&gt;2400000,FP32-2400000,0)</f>
        <v>0</v>
      </c>
      <c r="FR32">
        <f ca="1">FQ32*0.3</f>
        <v>0</v>
      </c>
      <c r="FS32">
        <f ca="1">IF(FP32&gt;2000000,FP32-2000000,0)</f>
        <v>0</v>
      </c>
      <c r="FT32">
        <f ca="1">FS32*0.25</f>
        <v>0</v>
      </c>
      <c r="FU32">
        <f ca="1">IF(FP32&gt;1600000,FP32-1600000-FQ32,0)</f>
        <v>0</v>
      </c>
      <c r="FV32">
        <f ca="1">FU32*0.2</f>
        <v>0</v>
      </c>
      <c r="FW32">
        <f ca="1">IF(FP32&gt;1200000,FP32-1200000-IF(F32="YES",50000,0)-FU32,0)</f>
        <v>0</v>
      </c>
      <c r="FX32">
        <f ca="1">FW32*0.15</f>
        <v>0</v>
      </c>
      <c r="FY32">
        <f ca="1">IF(FP32&gt;800000,FP32-800000-FQ32-FU32-FW32,0)</f>
        <v>0</v>
      </c>
      <c r="FZ32">
        <f ca="1">FY32*0.1</f>
        <v>0</v>
      </c>
      <c r="GA32">
        <f ca="1">IF(FP32&gt;400000,FP32-400000-FQ32-FU32-FW32-FY32,0)</f>
        <v>358289</v>
      </c>
      <c r="GB32">
        <f ca="1">GA32*0.05</f>
        <v>17914.45</v>
      </c>
      <c r="GC32">
        <f ca="1">ROUND(FR32+FT32+FV32+FX32+FZ32+GB32,0)</f>
        <v>17914</v>
      </c>
      <c r="GD32">
        <f ca="1">IF(FP32&gt;1200000,FP32,0)</f>
        <v>0</v>
      </c>
      <c r="GE32">
        <f ca="1">IF(FP32&gt;1200000,GD32-1200000,0)</f>
        <v>0</v>
      </c>
      <c r="GF32">
        <f ca="1">IF(FP32&lt;1200001,MIN(GC32,60000),0)</f>
        <v>17914</v>
      </c>
      <c r="GG32">
        <f ca="1">IF(FP32&gt;1200000,GC32-GE32,0)</f>
        <v>0</v>
      </c>
      <c r="GH32" t="b">
        <f ca="1">IF(GG32&gt;0,TRUE,FALSE)</f>
        <v>0</v>
      </c>
      <c r="GI32">
        <f ca="1">IF(GH32,GG32,0)</f>
        <v>0</v>
      </c>
      <c r="GJ32">
        <f ca="1">GF32+GI32</f>
        <v>17914</v>
      </c>
      <c r="GK32">
        <f ca="1">ROUND(GC32-GJ32,0)</f>
        <v>0</v>
      </c>
      <c r="GL32">
        <f ca="1">GK32*0.04</f>
        <v>0</v>
      </c>
      <c r="GM32">
        <f ca="1">ROUNDUP(GK32+GL32,0)</f>
        <v>0</v>
      </c>
    </row>
    <row r="33" spans="1:195" x14ac:dyDescent="0.25">
      <c r="A33">
        <f>_xlfn.AGGREGATE(3,5,$B$2:B33)</f>
        <v>32</v>
      </c>
      <c r="B33" t="s">
        <v>184</v>
      </c>
      <c r="C33" t="s">
        <v>185</v>
      </c>
      <c r="D33" t="s">
        <v>760</v>
      </c>
      <c r="E33" t="s">
        <v>834</v>
      </c>
      <c r="F33" t="s">
        <v>959</v>
      </c>
      <c r="G33" t="s">
        <v>895</v>
      </c>
      <c r="H33">
        <f>IF(_xlfn.DAYS("31-03-2025",G33)&gt;=180,6800,0)</f>
        <v>6800</v>
      </c>
      <c r="I33">
        <f>_xlfn.XLOOKUP(B33,'[1]march-2025'!$A:$A,'[1]march-2025'!$J:$J,0,0)</f>
        <v>0</v>
      </c>
      <c r="J33">
        <f>_xlfn.XLOOKUP(B33,'[1]march-2025'!$A:$A,'[1]march-2025'!$C:$C,0,0)</f>
        <v>33500</v>
      </c>
      <c r="K33">
        <f>J33*0.14</f>
        <v>4690</v>
      </c>
      <c r="L33">
        <f>J33*0.12</f>
        <v>4020</v>
      </c>
      <c r="M33">
        <f>_xlfn.XLOOKUP(B33,'[1]march-2025'!$A:$A,'[1]march-2025'!$D:$D,0,0)</f>
        <v>0</v>
      </c>
      <c r="N33">
        <f>_xlfn.XLOOKUP(B33,'[1]march-2025'!$A:$A,'[1]march-2025'!$G:$G,0,0)</f>
        <v>500</v>
      </c>
      <c r="O33">
        <f>IF(J33&gt;0,SUM(J33:N33),0)</f>
        <v>42710</v>
      </c>
      <c r="P33">
        <f>_xlfn.XLOOKUP(B33,'[1]march-2025'!$A:$A,'[1]march-2025'!$H:$H,0,0)</f>
        <v>3000</v>
      </c>
      <c r="Q33">
        <f>_xlfn.XLOOKUP(B33,'[1]march-2025'!$A:$A,'[1]march-2025'!$I:$I,0,0)</f>
        <v>0</v>
      </c>
      <c r="R33">
        <f>IF($F33="YES",0,IF(O33&gt;40000,200,IF(O33&gt;25000,150,IF(O33&gt;15000,130,IF(O33&gt;10000,110,0)))))</f>
        <v>200</v>
      </c>
      <c r="S33">
        <f>O33-P33-Q33-R33</f>
        <v>39510</v>
      </c>
      <c r="T33">
        <f>_xlfn.XLOOKUP(B33,'[2]april-2025'!$A:$A,'[2]april-2025'!$C:$C,0,0)</f>
        <v>33500</v>
      </c>
      <c r="U33">
        <f>T33*0.18</f>
        <v>6030</v>
      </c>
      <c r="V33">
        <f>T33*0.12</f>
        <v>4020</v>
      </c>
      <c r="W33">
        <f>_xlfn.XLOOKUP(B33,'[2]april-2025'!$A:$A,'[2]april-2025'!$D:$D,0,0)</f>
        <v>0</v>
      </c>
      <c r="X33">
        <f>_xlfn.XLOOKUP(B33,'[2]april-2025'!$A:$A,'[2]april-2025'!$G:$G,0,0)</f>
        <v>500</v>
      </c>
      <c r="Y33">
        <f>IF(T33&gt;0,SUM(T33:X33),0)</f>
        <v>44050</v>
      </c>
      <c r="Z33">
        <f>_xlfn.XLOOKUP(B33,'[2]april-2025'!$A:$A,'[2]april-2025'!$H:$H,0,0)</f>
        <v>3000</v>
      </c>
      <c r="AA33">
        <f>_xlfn.XLOOKUP(B33,'[2]april-2025'!$A:$A,'[2]april-2025'!$I:$I,0,0)</f>
        <v>0</v>
      </c>
      <c r="AB33">
        <f>IF($F33="YES",0,IF(Y33&gt;40000,200,IF(Y33&gt;25000,150,IF(Y33&gt;15000,130,IF(Y33&gt;10000,110,0)))))</f>
        <v>200</v>
      </c>
      <c r="AC33">
        <f>Y33-Z33-AA33-AB33</f>
        <v>40850</v>
      </c>
      <c r="AD33">
        <f>_xlfn.XLOOKUP(B33,'[3]may-2025'!$A:$A,'[3]may-2025'!$C:$C,0,0)</f>
        <v>33500</v>
      </c>
      <c r="AE33">
        <f>AD33*0.18</f>
        <v>6030</v>
      </c>
      <c r="AF33">
        <f>AD33*0.12</f>
        <v>4020</v>
      </c>
      <c r="AG33">
        <f>_xlfn.XLOOKUP(B33,'[3]may-2025'!$A:$A,'[3]may-2025'!$D:$D,0,0)</f>
        <v>0</v>
      </c>
      <c r="AH33">
        <f>_xlfn.XLOOKUP(B33,'[3]may-2025'!$A:$A,'[3]may-2025'!$G:$G,0,0)</f>
        <v>500</v>
      </c>
      <c r="AI33">
        <f>IF(AD33&gt;0,SUM(AD33:AH33),0)</f>
        <v>44050</v>
      </c>
      <c r="AJ33">
        <f>_xlfn.XLOOKUP(B33,'[3]may-2025'!$A:$A,'[3]may-2025'!$H:$H,0,0)</f>
        <v>3000</v>
      </c>
      <c r="AK33">
        <f>_xlfn.XLOOKUP(B33,'[3]may-2025'!$A:$A,'[3]may-2025'!$I:$I,0,0)</f>
        <v>0</v>
      </c>
      <c r="AL33">
        <f>IF($F33="YES",0,IF(AI33&gt;40000,200,IF(AI33&gt;25000,150,IF(AI33&gt;15000,130,IF(AI33&gt;10000,110,0)))))</f>
        <v>200</v>
      </c>
      <c r="AM33">
        <f>AI33-AJ33-AK33-AL33</f>
        <v>40850</v>
      </c>
      <c r="AN33">
        <f>_xlfn.XLOOKUP(B33,'[4]june-2025'!$A:$A,'[4]june-2025'!$C:$C,0,0)</f>
        <v>33500</v>
      </c>
      <c r="AO33">
        <f>AN33*0.18</f>
        <v>6030</v>
      </c>
      <c r="AP33">
        <f>AN33*0.12</f>
        <v>4020</v>
      </c>
      <c r="AQ33">
        <f>_xlfn.XLOOKUP(B33,'[4]june-2025'!$A:$A,'[4]june-2025'!$D:$D,0,0)</f>
        <v>0</v>
      </c>
      <c r="AR33">
        <f>_xlfn.XLOOKUP(B33,'[4]june-2025'!$A:$A,'[4]june-2025'!$G:$G,0,0)</f>
        <v>500</v>
      </c>
      <c r="AS33">
        <f>IF(AN33&gt;0,SUM(AN33:AR33),0)</f>
        <v>44050</v>
      </c>
      <c r="AT33">
        <f>_xlfn.XLOOKUP(B33,'[4]june-2025'!$A:$A,'[4]june-2025'!$H:$H,0,0)</f>
        <v>3000</v>
      </c>
      <c r="AU33">
        <f>_xlfn.XLOOKUP(B33,'[4]june-2025'!$A:$A,'[4]june-2025'!$I:$I,0,0)</f>
        <v>0</v>
      </c>
      <c r="AV33">
        <f>IF($F33="YES",0,IF(AS33&gt;40000,200,IF(AS33&gt;25000,150,IF(AS33&gt;15000,130,IF(AS33&gt;10000,110,0)))))</f>
        <v>200</v>
      </c>
      <c r="AW33">
        <f>AS33-AT33-AU33-AV33</f>
        <v>40850</v>
      </c>
      <c r="AX33">
        <f>_xlfn.XLOOKUP(B33,'[5]july-2025'!$A:$A,'[5]july-2025'!$C:$C,0,0)</f>
        <v>35500</v>
      </c>
      <c r="AY33">
        <f>AX33*0.18</f>
        <v>6390</v>
      </c>
      <c r="AZ33">
        <v>0</v>
      </c>
      <c r="BA33">
        <f>AX33*0.12</f>
        <v>4260</v>
      </c>
      <c r="BB33">
        <f>_xlfn.XLOOKUP(B33,'[5]july-2025'!$A:$A,'[5]july-2025'!$D:$D,0,0)</f>
        <v>0</v>
      </c>
      <c r="BC33">
        <f>_xlfn.XLOOKUP(B33,'[5]july-2025'!$A:$A,'[5]july-2025'!$G:$G,0,0)</f>
        <v>500</v>
      </c>
      <c r="BD33">
        <f>IF(AX33&gt;0,SUM(AX33:BC33),0)</f>
        <v>46650</v>
      </c>
      <c r="BE33">
        <f>_xlfn.XLOOKUP(B33,'[5]july-2025'!$A:$A,'[5]july-2025'!$H:$H,0,0)</f>
        <v>3000</v>
      </c>
      <c r="BF33">
        <f>_xlfn.XLOOKUP(B33,'[5]july-2025'!$A:$A,'[5]july-2025'!$I:$I,0,0)</f>
        <v>0</v>
      </c>
      <c r="BG33">
        <f>IF($F33="YES",0,IF(BD33&gt;40000,200,IF(BD33&gt;25000,150,IF(BD33&gt;15000,130,IF(BD33&gt;10000,110,0)))))</f>
        <v>200</v>
      </c>
      <c r="BH33">
        <f>BD33-BE33-BF33-BG33</f>
        <v>43450</v>
      </c>
      <c r="BI33">
        <f>_xlfn.XLOOKUP(B33,'[6]august-2025'!$A:$A,'[6]august-2025'!$C:$C,0,0)</f>
        <v>35500</v>
      </c>
      <c r="BJ33">
        <f>BI33*0.18</f>
        <v>6390</v>
      </c>
      <c r="BK33">
        <f>BI33*0.12</f>
        <v>4260</v>
      </c>
      <c r="BL33">
        <f>_xlfn.XLOOKUP(B33,'[6]august-2025'!$A:$A,'[6]august-2025'!$D:$D,0,0)</f>
        <v>0</v>
      </c>
      <c r="BM33">
        <f>_xlfn.XLOOKUP(B33,'[6]august-2025'!$A:$A,'[6]august-2025'!$G:$G,0,0)</f>
        <v>500</v>
      </c>
      <c r="BN33">
        <f>IF(BI33&gt;0,SUM(BI33:BM33),0)</f>
        <v>46650</v>
      </c>
      <c r="BO33">
        <f>_xlfn.XLOOKUP(B33,'[6]august-2025'!$A:$A,'[6]august-2025'!$H:$H,0,0)</f>
        <v>3000</v>
      </c>
      <c r="BP33">
        <f>_xlfn.XLOOKUP(B33,'[6]august-2025'!$A:$A,'[6]august-2025'!$I:$I,0,0)</f>
        <v>0</v>
      </c>
      <c r="BQ33">
        <f>IF($F33="YES",0,IF(BN33&gt;40000,200,IF(BN33&gt;25000,150,IF(BN33&gt;15000,130,IF(BN33&gt;10000,110,0)))))</f>
        <v>200</v>
      </c>
      <c r="BR33">
        <f>BN33-BO33-BP33-BQ33</f>
        <v>43450</v>
      </c>
      <c r="BS33">
        <f>_xlfn.XLOOKUP(B33,'[7]september-2025'!$A:$A,'[7]september-2025'!$C:$C,0,0)</f>
        <v>35500</v>
      </c>
      <c r="BT33">
        <f>BS33*0.18</f>
        <v>6390</v>
      </c>
      <c r="BU33">
        <f>BS33*0.12</f>
        <v>4260</v>
      </c>
      <c r="BV33">
        <f>_xlfn.XLOOKUP(B33,'[7]september-2025'!$A:$A,'[7]september-2025'!$D:$D,0,0)</f>
        <v>0</v>
      </c>
      <c r="BW33">
        <f>_xlfn.XLOOKUP(B33,'[7]september-2025'!$A:$A,'[7]september-2025'!$G:$G,0,0)</f>
        <v>500</v>
      </c>
      <c r="BX33">
        <f>IF(BS33&gt;0,SUM(BS33:BW33),0)</f>
        <v>46650</v>
      </c>
      <c r="BY33">
        <f>_xlfn.XLOOKUP(B33,'[7]september-2025'!$A:$A,'[7]september-2025'!$H:$H,0,0)</f>
        <v>3000</v>
      </c>
      <c r="BZ33">
        <f>_xlfn.XLOOKUP(B33,'[7]september-2025'!$A:$A,'[7]september-2025'!$I:$I,0,0)</f>
        <v>0</v>
      </c>
      <c r="CA33">
        <f>IF($F33="YES",0,IF(BX33&gt;40000,200,IF(BX33&gt;25000,150,IF(BX33&gt;15000,130,IF(BX33&gt;10000,110,0)))))</f>
        <v>200</v>
      </c>
      <c r="CB33">
        <f>BX33-BY33-BZ33-CA33</f>
        <v>43450</v>
      </c>
      <c r="CC33">
        <f>_xlfn.XLOOKUP(B33,'[8]october-2025'!$A:$A,'[8]october-2025'!$C:$C,0,0)</f>
        <v>35500</v>
      </c>
      <c r="CD33">
        <f>CC33*0.18</f>
        <v>6390</v>
      </c>
      <c r="CE33">
        <f>CC33*0.12</f>
        <v>4260</v>
      </c>
      <c r="CF33">
        <f>_xlfn.XLOOKUP(B33,'[8]october-2025'!$A:$A,'[8]october-2025'!$D:$D,0,0)</f>
        <v>0</v>
      </c>
      <c r="CG33">
        <f>_xlfn.XLOOKUP(B33,'[8]october-2025'!$A:$A,'[8]october-2025'!$G:$G,0,0)</f>
        <v>500</v>
      </c>
      <c r="CH33">
        <f>IF(CC33&gt;0,SUM(CC33:CG33),0)</f>
        <v>46650</v>
      </c>
      <c r="CI33">
        <f>_xlfn.XLOOKUP(B33,'[8]october-2025'!$A:$A,'[8]october-2025'!$H:$H,0,0)</f>
        <v>3000</v>
      </c>
      <c r="CJ33">
        <f>_xlfn.XLOOKUP(B33,'[8]october-2025'!$A:$A,'[8]october-2025'!$I:$I,0,0)</f>
        <v>0</v>
      </c>
      <c r="CK33">
        <f>IF($F33="YES",0,IF(CH33&gt;40000,200,IF(CH33&gt;25000,150,IF(CH33&gt;15000,130,IF(CH33&gt;10000,110,0)))))</f>
        <v>200</v>
      </c>
      <c r="CL33">
        <f>CH33-CI33-CJ33-CK33</f>
        <v>43450</v>
      </c>
      <c r="CM33">
        <f>_xlfn.XLOOKUP(B33,'[9]november-2025'!$A:$A,'[9]november-2025'!$C:$C,0,0)</f>
        <v>35500</v>
      </c>
      <c r="CN33">
        <f>CM33*0.18</f>
        <v>6390</v>
      </c>
      <c r="CO33">
        <f>CM33*0.12</f>
        <v>4260</v>
      </c>
      <c r="CP33">
        <f>_xlfn.XLOOKUP(B33,'[9]november-2025'!$A:$A,'[9]november-2025'!$D:$D,0,0)</f>
        <v>0</v>
      </c>
      <c r="CQ33">
        <f>_xlfn.XLOOKUP(B33,'[9]november-2025'!$A:$A,'[9]november-2025'!$G:$G,0,0)</f>
        <v>500</v>
      </c>
      <c r="CR33">
        <f>IF(CM33&gt;0,SUM(CM33:CQ33),0)</f>
        <v>46650</v>
      </c>
      <c r="CS33">
        <f>_xlfn.XLOOKUP(B33,'[9]november-2025'!$A:$A,'[9]november-2025'!$H:$H,0,0)</f>
        <v>3000</v>
      </c>
      <c r="CT33">
        <f>_xlfn.XLOOKUP(B33,'[9]november-2025'!$A:$A,'[9]november-2025'!$I:$I,0,0)</f>
        <v>0</v>
      </c>
      <c r="CU33">
        <f>IF($F33="YES",0,IF(CR33&gt;40000,200,IF(CR33&gt;25000,150,IF(CR33&gt;15000,130,IF(CR33&gt;10000,110,0)))))</f>
        <v>200</v>
      </c>
      <c r="CV33">
        <f>CR33-CS33-CT33-CU33</f>
        <v>43450</v>
      </c>
      <c r="CW33">
        <f>_xlfn.XLOOKUP(B33,'[10]december-2025'!$A:$A,'[10]december-2025'!$C:$C,0,0)</f>
        <v>35500</v>
      </c>
      <c r="CX33">
        <f>ROUND(CW33*0.18,0)</f>
        <v>6390</v>
      </c>
      <c r="CY33">
        <f>ROUND(CW33*0.12,0)</f>
        <v>4260</v>
      </c>
      <c r="CZ33">
        <f>_xlfn.XLOOKUP(B33,'[10]december-2025'!$A:$A,'[10]december-2025'!$D:$D,0,0)</f>
        <v>0</v>
      </c>
      <c r="DA33">
        <f>_xlfn.XLOOKUP(B33,'[10]december-2025'!$A:$A,'[10]december-2025'!$G:$G,0,0)</f>
        <v>500</v>
      </c>
      <c r="DB33">
        <f>IF(CW33&gt;0,SUM(CW33:DA33),0)</f>
        <v>46650</v>
      </c>
      <c r="DC33">
        <f>_xlfn.XLOOKUP(B33,'[10]december-2025'!$A:$A,'[10]december-2025'!$H:$H,0,0)</f>
        <v>3000</v>
      </c>
      <c r="DD33">
        <f>_xlfn.XLOOKUP(B33,'[10]december-2025'!$A:$A,'[10]december-2025'!$I:$I,0,0)</f>
        <v>0</v>
      </c>
      <c r="DE33">
        <f>IF($F33="YES",0,IF(DB33&gt;40000,200,IF(DB33&gt;25000,150,IF(DB33&gt;15000,130,IF(DB33&gt;10000,110,0)))))</f>
        <v>200</v>
      </c>
      <c r="DF33">
        <f>DB33-DC33-DD33-DE33</f>
        <v>43450</v>
      </c>
      <c r="DG33">
        <f>_xlfn.XLOOKUP(B33,'[11]january-2026'!$A:$A,'[11]january-2026'!$C:$C,0,0)</f>
        <v>35500</v>
      </c>
      <c r="DH33">
        <f>DG33*0.18</f>
        <v>6390</v>
      </c>
      <c r="DI33">
        <f>DG33*0.12</f>
        <v>4260</v>
      </c>
      <c r="DJ33">
        <f>_xlfn.XLOOKUP(B33,'[11]january-2026'!$A:$A,'[11]january-2026'!$D:$D,0,0)</f>
        <v>0</v>
      </c>
      <c r="DK33">
        <f>_xlfn.XLOOKUP(B33,'[11]january-2026'!$A:$A,'[11]january-2026'!$G:$G,0,0)</f>
        <v>500</v>
      </c>
      <c r="DL33">
        <f>IF(DG33&gt;0,SUM(DG33:DK33),0)</f>
        <v>46650</v>
      </c>
      <c r="DM33">
        <f>_xlfn.XLOOKUP(B33,'[11]january-2026'!$A:$A,'[11]january-2026'!$H:$H,0,0)</f>
        <v>3000</v>
      </c>
      <c r="DN33">
        <f>_xlfn.XLOOKUP(B33,'[11]january-2026'!$A:$A,'[11]january-2026'!$I:$I,0,0)</f>
        <v>0</v>
      </c>
      <c r="DO33">
        <f>IF($F33="YES",0,IF(DL33&gt;40000,200,IF(DL33&gt;25000,150,IF(DL33&gt;15000,130,IF(DL33&gt;10000,110,0)))))</f>
        <v>200</v>
      </c>
      <c r="DP33">
        <f>DL33-DM33-DN33-DO33</f>
        <v>43450</v>
      </c>
      <c r="DQ33">
        <f>_xlfn.XLOOKUP(B33,'[12]february-2026'!$A:$A,'[12]february-2026'!$C:$C,0,0)</f>
        <v>35500</v>
      </c>
      <c r="DR33">
        <f>DQ33*0.18</f>
        <v>6390</v>
      </c>
      <c r="DS33">
        <f>DQ33*0.12</f>
        <v>4260</v>
      </c>
      <c r="DT33">
        <f>_xlfn.XLOOKUP(B33,'[12]february-2026'!$A:$A,'[12]february-2026'!$D:$D,0,0)</f>
        <v>0</v>
      </c>
      <c r="DU33">
        <f>_xlfn.XLOOKUP(B33,'[12]february-2026'!$A:$A,'[12]february-2026'!$G:$G,0,0)</f>
        <v>500</v>
      </c>
      <c r="DV33">
        <f>IF(DQ33&gt;0,SUM(DQ33:DU33),0)</f>
        <v>46650</v>
      </c>
      <c r="DW33">
        <f>_xlfn.XLOOKUP(B33,'[12]february-2026'!$A:$A,'[12]february-2026'!$H:$H,0,0)</f>
        <v>3000</v>
      </c>
      <c r="DX33">
        <f>_xlfn.XLOOKUP(B33,'[12]february-2026'!$A:$A,'[12]february-2026'!$I:$I,0,0)</f>
        <v>0</v>
      </c>
      <c r="DY33">
        <f>IF($F33="YES",0,IF(DV33&gt;40000,200,IF(DV33&gt;25000,150,IF(DV33&gt;15000,130,IF(DV33&gt;10000,110,0)))))</f>
        <v>200</v>
      </c>
      <c r="DZ33">
        <f>DV33-DW33-DX33-DY33</f>
        <v>43450</v>
      </c>
      <c r="EA33">
        <f>DV33+DL33+DB33+CR33+CH33+BX33+BN33+BD33+AS33+AI33+Y33+O33+H33+I33</f>
        <v>554860</v>
      </c>
      <c r="EB33">
        <f>DY33+DO33+DE33+CU33+CK33+CA33+BQ33+BG33+AV33+AL33+AB33+R33</f>
        <v>2400</v>
      </c>
      <c r="EC33">
        <f>IF(EA33&gt;0,50000,0)</f>
        <v>50000</v>
      </c>
      <c r="ED33">
        <v>0</v>
      </c>
      <c r="EE33">
        <f>EA33-EB33-EC33</f>
        <v>502460</v>
      </c>
      <c r="EF33">
        <f>DW33+DM33+DC33+CS33+CI33+BY33+BO33+BE33+AT33+AJ33+Z33+P33</f>
        <v>36000</v>
      </c>
      <c r="EG33">
        <f>DX33+DN33+DD33+CT33+CJ33+BZ33+BP33+BF33+AU33+AK33+AA33+Q33</f>
        <v>0</v>
      </c>
      <c r="EH33">
        <v>0</v>
      </c>
      <c r="EI33">
        <v>0</v>
      </c>
      <c r="EJ33">
        <v>0</v>
      </c>
      <c r="EK33">
        <v>0</v>
      </c>
      <c r="EL33">
        <v>0</v>
      </c>
      <c r="EM33">
        <v>0</v>
      </c>
      <c r="EN33">
        <v>0</v>
      </c>
      <c r="EO33">
        <v>0</v>
      </c>
      <c r="EP33">
        <v>0</v>
      </c>
      <c r="EQ33">
        <v>0</v>
      </c>
      <c r="ER33">
        <f>SUM(EF33:EQ33)</f>
        <v>36000</v>
      </c>
      <c r="ES33">
        <f>IF(ER33&gt;=150000,150000,ER33)</f>
        <v>36000</v>
      </c>
      <c r="ET33">
        <f>EE33-ES33</f>
        <v>466460</v>
      </c>
      <c r="EU33">
        <v>0</v>
      </c>
      <c r="EV33">
        <v>0</v>
      </c>
      <c r="EW33">
        <v>0</v>
      </c>
      <c r="EX33">
        <v>0</v>
      </c>
      <c r="EY33">
        <v>0</v>
      </c>
      <c r="EZ33">
        <v>0</v>
      </c>
      <c r="FA33">
        <v>0</v>
      </c>
      <c r="FB33">
        <f>SUM(EU33:FA33)+(IF(F33="YES",50000,0))</f>
        <v>0</v>
      </c>
      <c r="FC33">
        <f>ET33-FB33</f>
        <v>466460</v>
      </c>
      <c r="FD33">
        <f>ROUND(IF(FC33&gt;0,IF(FC33&gt;500000,12500,(FC33-250000)*0.05),0),0)</f>
        <v>10823</v>
      </c>
      <c r="FE33">
        <f>IF(ROUND(IF(FC33&gt;0,IF(FC33&gt;1000000,25000,(FC33-500000)*0.2),0),0)&lt;0,0,ROUND(IF(FC33&gt;0,IF(FC33&gt;1000000,25000,(FC33-500000)*0.2),0),0))</f>
        <v>0</v>
      </c>
      <c r="FF33">
        <f>FD33+FE33</f>
        <v>10823</v>
      </c>
      <c r="FG33">
        <f>IF(FF33&lt;12500,0,FF33)</f>
        <v>0</v>
      </c>
      <c r="FH33">
        <f>FG33*0.04</f>
        <v>0</v>
      </c>
      <c r="FI33">
        <f>ROUND(FH33+FG33,0)</f>
        <v>0</v>
      </c>
      <c r="FJ33">
        <v>0</v>
      </c>
      <c r="FK33">
        <f>FI33-FJ33</f>
        <v>0</v>
      </c>
      <c r="FL33" t="b">
        <f>IF(EA33&gt;500000,TRUE,FALSE)</f>
        <v>1</v>
      </c>
      <c r="FM33">
        <f ca="1">IF(FL33,RANDBETWEEN(500,1000),RANDBETWEEN(1000,3000))</f>
        <v>573</v>
      </c>
      <c r="FN33">
        <f ca="1">EA33+FM33</f>
        <v>555433</v>
      </c>
      <c r="FO33">
        <f>IF(EA33&gt;0,75000,0)</f>
        <v>75000</v>
      </c>
      <c r="FP33">
        <f ca="1">FN33-FO33</f>
        <v>480433</v>
      </c>
      <c r="FQ33">
        <f ca="1">IF(FP33&gt;2400000,FP33-2400000,0)</f>
        <v>0</v>
      </c>
      <c r="FR33">
        <f ca="1">FQ33*0.3</f>
        <v>0</v>
      </c>
      <c r="FS33">
        <f ca="1">IF(FP33&gt;2000000,FP33-2000000,0)</f>
        <v>0</v>
      </c>
      <c r="FT33">
        <f ca="1">FS33*0.25</f>
        <v>0</v>
      </c>
      <c r="FU33">
        <f ca="1">IF(FP33&gt;1600000,FP33-1600000-FQ33,0)</f>
        <v>0</v>
      </c>
      <c r="FV33">
        <f ca="1">FU33*0.2</f>
        <v>0</v>
      </c>
      <c r="FW33">
        <f ca="1">IF(FP33&gt;1200000,FP33-1200000-IF(F33="YES",50000,0)-FU33,0)</f>
        <v>0</v>
      </c>
      <c r="FX33">
        <f ca="1">FW33*0.15</f>
        <v>0</v>
      </c>
      <c r="FY33">
        <f ca="1">IF(FP33&gt;800000,FP33-800000-FQ33-FU33-FW33,0)</f>
        <v>0</v>
      </c>
      <c r="FZ33">
        <f ca="1">FY33*0.1</f>
        <v>0</v>
      </c>
      <c r="GA33">
        <f ca="1">IF(FP33&gt;400000,FP33-400000-FQ33-FU33-FW33-FY33,0)</f>
        <v>80433</v>
      </c>
      <c r="GB33">
        <f ca="1">GA33*0.05</f>
        <v>4021.65</v>
      </c>
      <c r="GC33">
        <f ca="1">ROUND(FR33+FT33+FV33+FX33+FZ33+GB33,0)</f>
        <v>4022</v>
      </c>
      <c r="GD33">
        <f ca="1">IF(FP33&gt;1200000,FP33,0)</f>
        <v>0</v>
      </c>
      <c r="GE33">
        <f ca="1">IF(FP33&gt;1200000,GD33-1200000,0)</f>
        <v>0</v>
      </c>
      <c r="GF33">
        <f ca="1">IF(FP33&lt;1200001,MIN(GC33,60000),0)</f>
        <v>4022</v>
      </c>
      <c r="GG33">
        <f ca="1">IF(FP33&gt;1200000,GC33-GE33,0)</f>
        <v>0</v>
      </c>
      <c r="GH33" t="b">
        <f ca="1">IF(GG33&gt;0,TRUE,FALSE)</f>
        <v>0</v>
      </c>
      <c r="GI33">
        <f ca="1">IF(GH33,GG33,0)</f>
        <v>0</v>
      </c>
      <c r="GJ33">
        <f ca="1">GF33+GI33</f>
        <v>4022</v>
      </c>
      <c r="GK33">
        <f ca="1">ROUND(GC33-GJ33,0)</f>
        <v>0</v>
      </c>
      <c r="GL33">
        <f ca="1">GK33*0.04</f>
        <v>0</v>
      </c>
      <c r="GM33">
        <f ca="1">ROUNDUP(GK33+GL33,0)</f>
        <v>0</v>
      </c>
    </row>
    <row r="34" spans="1:195" x14ac:dyDescent="0.25">
      <c r="A34">
        <f>_xlfn.AGGREGATE(3,5,$B$2:B34)</f>
        <v>33</v>
      </c>
      <c r="B34" t="s">
        <v>186</v>
      </c>
      <c r="C34" t="s">
        <v>187</v>
      </c>
      <c r="D34" t="s">
        <v>760</v>
      </c>
      <c r="E34" t="s">
        <v>834</v>
      </c>
      <c r="F34" t="s">
        <v>959</v>
      </c>
      <c r="G34" t="s">
        <v>894</v>
      </c>
      <c r="H34">
        <f>IF(_xlfn.DAYS("31-03-2025",G34)&gt;=180,6800,0)</f>
        <v>6800</v>
      </c>
      <c r="I34">
        <f>_xlfn.XLOOKUP(B34,'[1]march-2025'!$A:$A,'[1]march-2025'!$J:$J,0,0)</f>
        <v>0</v>
      </c>
      <c r="J34">
        <f>_xlfn.XLOOKUP(B34,'[1]march-2025'!$A:$A,'[1]march-2025'!$C:$C,0,0)</f>
        <v>31600</v>
      </c>
      <c r="K34">
        <f>J34*0.14</f>
        <v>4424</v>
      </c>
      <c r="L34">
        <f>J34*0.12</f>
        <v>3792</v>
      </c>
      <c r="M34">
        <f>_xlfn.XLOOKUP(B34,'[1]march-2025'!$A:$A,'[1]march-2025'!$D:$D,0,0)</f>
        <v>0</v>
      </c>
      <c r="N34">
        <f>_xlfn.XLOOKUP(B34,'[1]march-2025'!$A:$A,'[1]march-2025'!$G:$G,0,0)</f>
        <v>0</v>
      </c>
      <c r="O34">
        <f>IF(J34&gt;0,SUM(J34:N34),0)</f>
        <v>39816</v>
      </c>
      <c r="P34">
        <f>_xlfn.XLOOKUP(B34,'[1]march-2025'!$A:$A,'[1]march-2025'!$H:$H,0,0)</f>
        <v>2000</v>
      </c>
      <c r="Q34">
        <f>_xlfn.XLOOKUP(B34,'[1]march-2025'!$A:$A,'[1]march-2025'!$I:$I,0,0)</f>
        <v>0</v>
      </c>
      <c r="R34">
        <f>IF($F34="YES",0,IF(O34&gt;40000,200,IF(O34&gt;25000,150,IF(O34&gt;15000,130,IF(O34&gt;10000,110,0)))))</f>
        <v>150</v>
      </c>
      <c r="S34">
        <f>O34-P34-Q34-R34</f>
        <v>37666</v>
      </c>
      <c r="T34">
        <f>_xlfn.XLOOKUP(B34,'[2]april-2025'!$A:$A,'[2]april-2025'!$C:$C,0,0)</f>
        <v>31600</v>
      </c>
      <c r="U34">
        <f>T34*0.18</f>
        <v>5688</v>
      </c>
      <c r="V34">
        <f>T34*0.12</f>
        <v>3792</v>
      </c>
      <c r="W34">
        <f>_xlfn.XLOOKUP(B34,'[2]april-2025'!$A:$A,'[2]april-2025'!$D:$D,0,0)</f>
        <v>0</v>
      </c>
      <c r="X34">
        <f>_xlfn.XLOOKUP(B34,'[2]april-2025'!$A:$A,'[2]april-2025'!$G:$G,0,0)</f>
        <v>0</v>
      </c>
      <c r="Y34">
        <f>IF(T34&gt;0,SUM(T34:X34),0)</f>
        <v>41080</v>
      </c>
      <c r="Z34">
        <f>_xlfn.XLOOKUP(B34,'[2]april-2025'!$A:$A,'[2]april-2025'!$H:$H,0,0)</f>
        <v>2000</v>
      </c>
      <c r="AA34">
        <f>_xlfn.XLOOKUP(B34,'[2]april-2025'!$A:$A,'[2]april-2025'!$I:$I,0,0)</f>
        <v>0</v>
      </c>
      <c r="AB34">
        <f>IF($F34="YES",0,IF(Y34&gt;40000,200,IF(Y34&gt;25000,150,IF(Y34&gt;15000,130,IF(Y34&gt;10000,110,0)))))</f>
        <v>200</v>
      </c>
      <c r="AC34">
        <f>Y34-Z34-AA34-AB34</f>
        <v>38880</v>
      </c>
      <c r="AD34">
        <f>_xlfn.XLOOKUP(B34,'[3]may-2025'!$A:$A,'[3]may-2025'!$C:$C,0,0)</f>
        <v>31600</v>
      </c>
      <c r="AE34">
        <f>AD34*0.18</f>
        <v>5688</v>
      </c>
      <c r="AF34">
        <f>AD34*0.12</f>
        <v>3792</v>
      </c>
      <c r="AG34">
        <f>_xlfn.XLOOKUP(B34,'[3]may-2025'!$A:$A,'[3]may-2025'!$D:$D,0,0)</f>
        <v>0</v>
      </c>
      <c r="AH34">
        <f>_xlfn.XLOOKUP(B34,'[3]may-2025'!$A:$A,'[3]may-2025'!$G:$G,0,0)</f>
        <v>0</v>
      </c>
      <c r="AI34">
        <f>IF(AD34&gt;0,SUM(AD34:AH34),0)</f>
        <v>41080</v>
      </c>
      <c r="AJ34">
        <f>_xlfn.XLOOKUP(B34,'[3]may-2025'!$A:$A,'[3]may-2025'!$H:$H,0,0)</f>
        <v>2000</v>
      </c>
      <c r="AK34">
        <f>_xlfn.XLOOKUP(B34,'[3]may-2025'!$A:$A,'[3]may-2025'!$I:$I,0,0)</f>
        <v>0</v>
      </c>
      <c r="AL34">
        <f>IF($F34="YES",0,IF(AI34&gt;40000,200,IF(AI34&gt;25000,150,IF(AI34&gt;15000,130,IF(AI34&gt;10000,110,0)))))</f>
        <v>200</v>
      </c>
      <c r="AM34">
        <f>AI34-AJ34-AK34-AL34</f>
        <v>38880</v>
      </c>
      <c r="AN34">
        <f>_xlfn.XLOOKUP(B34,'[4]june-2025'!$A:$A,'[4]june-2025'!$C:$C,0,0)</f>
        <v>31600</v>
      </c>
      <c r="AO34">
        <f>AN34*0.18</f>
        <v>5688</v>
      </c>
      <c r="AP34">
        <f>AN34*0.12</f>
        <v>3792</v>
      </c>
      <c r="AQ34">
        <f>_xlfn.XLOOKUP(B34,'[4]june-2025'!$A:$A,'[4]june-2025'!$D:$D,0,0)</f>
        <v>0</v>
      </c>
      <c r="AR34">
        <f>_xlfn.XLOOKUP(B34,'[4]june-2025'!$A:$A,'[4]june-2025'!$G:$G,0,0)</f>
        <v>0</v>
      </c>
      <c r="AS34">
        <f>IF(AN34&gt;0,SUM(AN34:AR34),0)</f>
        <v>41080</v>
      </c>
      <c r="AT34">
        <f>_xlfn.XLOOKUP(B34,'[4]june-2025'!$A:$A,'[4]june-2025'!$H:$H,0,0)</f>
        <v>2000</v>
      </c>
      <c r="AU34">
        <f>_xlfn.XLOOKUP(B34,'[4]june-2025'!$A:$A,'[4]june-2025'!$I:$I,0,0)</f>
        <v>0</v>
      </c>
      <c r="AV34">
        <f>IF($F34="YES",0,IF(AS34&gt;40000,200,IF(AS34&gt;25000,150,IF(AS34&gt;15000,130,IF(AS34&gt;10000,110,0)))))</f>
        <v>200</v>
      </c>
      <c r="AW34">
        <f>AS34-AT34-AU34-AV34</f>
        <v>38880</v>
      </c>
      <c r="AX34">
        <f>_xlfn.XLOOKUP(B34,'[5]july-2025'!$A:$A,'[5]july-2025'!$C:$C,0,0)</f>
        <v>32500</v>
      </c>
      <c r="AY34">
        <f>AX34*0.18</f>
        <v>5850</v>
      </c>
      <c r="AZ34">
        <v>0</v>
      </c>
      <c r="BA34">
        <f>AX34*0.12</f>
        <v>3900</v>
      </c>
      <c r="BB34">
        <f>_xlfn.XLOOKUP(B34,'[5]july-2025'!$A:$A,'[5]july-2025'!$D:$D,0,0)</f>
        <v>0</v>
      </c>
      <c r="BC34">
        <f>_xlfn.XLOOKUP(B34,'[5]july-2025'!$A:$A,'[5]july-2025'!$G:$G,0,0)</f>
        <v>0</v>
      </c>
      <c r="BD34">
        <f>IF(AX34&gt;0,SUM(AX34:BC34),0)</f>
        <v>42250</v>
      </c>
      <c r="BE34">
        <f>_xlfn.XLOOKUP(B34,'[5]july-2025'!$A:$A,'[5]july-2025'!$H:$H,0,0)</f>
        <v>2000</v>
      </c>
      <c r="BF34">
        <f>_xlfn.XLOOKUP(B34,'[5]july-2025'!$A:$A,'[5]july-2025'!$I:$I,0,0)</f>
        <v>0</v>
      </c>
      <c r="BG34">
        <f>IF($F34="YES",0,IF(BD34&gt;40000,200,IF(BD34&gt;25000,150,IF(BD34&gt;15000,130,IF(BD34&gt;10000,110,0)))))</f>
        <v>200</v>
      </c>
      <c r="BH34">
        <f>BD34-BE34-BF34-BG34</f>
        <v>40050</v>
      </c>
      <c r="BI34">
        <f>_xlfn.XLOOKUP(B34,'[6]august-2025'!$A:$A,'[6]august-2025'!$C:$C,0,0)</f>
        <v>32500</v>
      </c>
      <c r="BJ34">
        <f>BI34*0.18</f>
        <v>5850</v>
      </c>
      <c r="BK34">
        <f>BI34*0.12</f>
        <v>3900</v>
      </c>
      <c r="BL34">
        <f>_xlfn.XLOOKUP(B34,'[6]august-2025'!$A:$A,'[6]august-2025'!$D:$D,0,0)</f>
        <v>0</v>
      </c>
      <c r="BM34">
        <f>_xlfn.XLOOKUP(B34,'[6]august-2025'!$A:$A,'[6]august-2025'!$G:$G,0,0)</f>
        <v>0</v>
      </c>
      <c r="BN34">
        <f>IF(BI34&gt;0,SUM(BI34:BM34),0)</f>
        <v>42250</v>
      </c>
      <c r="BO34">
        <f>_xlfn.XLOOKUP(B34,'[6]august-2025'!$A:$A,'[6]august-2025'!$H:$H,0,0)</f>
        <v>2000</v>
      </c>
      <c r="BP34">
        <f>_xlfn.XLOOKUP(B34,'[6]august-2025'!$A:$A,'[6]august-2025'!$I:$I,0,0)</f>
        <v>0</v>
      </c>
      <c r="BQ34">
        <f>IF($F34="YES",0,IF(BN34&gt;40000,200,IF(BN34&gt;25000,150,IF(BN34&gt;15000,130,IF(BN34&gt;10000,110,0)))))</f>
        <v>200</v>
      </c>
      <c r="BR34">
        <f>BN34-BO34-BP34-BQ34</f>
        <v>40050</v>
      </c>
      <c r="BS34">
        <f>_xlfn.XLOOKUP(B34,'[7]september-2025'!$A:$A,'[7]september-2025'!$C:$C,0,0)</f>
        <v>32500</v>
      </c>
      <c r="BT34">
        <f>BS34*0.18</f>
        <v>5850</v>
      </c>
      <c r="BU34">
        <f>BS34*0.12</f>
        <v>3900</v>
      </c>
      <c r="BV34">
        <f>_xlfn.XLOOKUP(B34,'[7]september-2025'!$A:$A,'[7]september-2025'!$D:$D,0,0)</f>
        <v>0</v>
      </c>
      <c r="BW34">
        <f>_xlfn.XLOOKUP(B34,'[7]september-2025'!$A:$A,'[7]september-2025'!$G:$G,0,0)</f>
        <v>0</v>
      </c>
      <c r="BX34">
        <f>IF(BS34&gt;0,SUM(BS34:BW34),0)</f>
        <v>42250</v>
      </c>
      <c r="BY34">
        <f>_xlfn.XLOOKUP(B34,'[7]september-2025'!$A:$A,'[7]september-2025'!$H:$H,0,0)</f>
        <v>2000</v>
      </c>
      <c r="BZ34">
        <f>_xlfn.XLOOKUP(B34,'[7]september-2025'!$A:$A,'[7]september-2025'!$I:$I,0,0)</f>
        <v>0</v>
      </c>
      <c r="CA34">
        <f>IF($F34="YES",0,IF(BX34&gt;40000,200,IF(BX34&gt;25000,150,IF(BX34&gt;15000,130,IF(BX34&gt;10000,110,0)))))</f>
        <v>200</v>
      </c>
      <c r="CB34">
        <f>BX34-BY34-BZ34-CA34</f>
        <v>40050</v>
      </c>
      <c r="CC34">
        <f>_xlfn.XLOOKUP(B34,'[8]october-2025'!$A:$A,'[8]october-2025'!$C:$C,0,0)</f>
        <v>32500</v>
      </c>
      <c r="CD34">
        <f>CC34*0.18</f>
        <v>5850</v>
      </c>
      <c r="CE34">
        <f>CC34*0.12</f>
        <v>3900</v>
      </c>
      <c r="CF34">
        <f>_xlfn.XLOOKUP(B34,'[8]october-2025'!$A:$A,'[8]october-2025'!$D:$D,0,0)</f>
        <v>0</v>
      </c>
      <c r="CG34">
        <f>_xlfn.XLOOKUP(B34,'[8]october-2025'!$A:$A,'[8]october-2025'!$G:$G,0,0)</f>
        <v>0</v>
      </c>
      <c r="CH34">
        <f>IF(CC34&gt;0,SUM(CC34:CG34),0)</f>
        <v>42250</v>
      </c>
      <c r="CI34">
        <f>_xlfn.XLOOKUP(B34,'[8]october-2025'!$A:$A,'[8]october-2025'!$H:$H,0,0)</f>
        <v>2000</v>
      </c>
      <c r="CJ34">
        <f>_xlfn.XLOOKUP(B34,'[8]october-2025'!$A:$A,'[8]october-2025'!$I:$I,0,0)</f>
        <v>0</v>
      </c>
      <c r="CK34">
        <f>IF($F34="YES",0,IF(CH34&gt;40000,200,IF(CH34&gt;25000,150,IF(CH34&gt;15000,130,IF(CH34&gt;10000,110,0)))))</f>
        <v>200</v>
      </c>
      <c r="CL34">
        <f>CH34-CI34-CJ34-CK34</f>
        <v>40050</v>
      </c>
      <c r="CM34">
        <f>_xlfn.XLOOKUP(B34,'[9]november-2025'!$A:$A,'[9]november-2025'!$C:$C,0,0)</f>
        <v>32500</v>
      </c>
      <c r="CN34">
        <f>CM34*0.18</f>
        <v>5850</v>
      </c>
      <c r="CO34">
        <f>CM34*0.12</f>
        <v>3900</v>
      </c>
      <c r="CP34">
        <f>_xlfn.XLOOKUP(B34,'[9]november-2025'!$A:$A,'[9]november-2025'!$D:$D,0,0)</f>
        <v>0</v>
      </c>
      <c r="CQ34">
        <f>_xlfn.XLOOKUP(B34,'[9]november-2025'!$A:$A,'[9]november-2025'!$G:$G,0,0)</f>
        <v>0</v>
      </c>
      <c r="CR34">
        <f>IF(CM34&gt;0,SUM(CM34:CQ34),0)</f>
        <v>42250</v>
      </c>
      <c r="CS34">
        <f>_xlfn.XLOOKUP(B34,'[9]november-2025'!$A:$A,'[9]november-2025'!$H:$H,0,0)</f>
        <v>2000</v>
      </c>
      <c r="CT34">
        <f>_xlfn.XLOOKUP(B34,'[9]november-2025'!$A:$A,'[9]november-2025'!$I:$I,0,0)</f>
        <v>0</v>
      </c>
      <c r="CU34">
        <f>IF($F34="YES",0,IF(CR34&gt;40000,200,IF(CR34&gt;25000,150,IF(CR34&gt;15000,130,IF(CR34&gt;10000,110,0)))))</f>
        <v>200</v>
      </c>
      <c r="CV34">
        <f>CR34-CS34-CT34-CU34</f>
        <v>40050</v>
      </c>
      <c r="CW34">
        <f>_xlfn.XLOOKUP(B34,'[10]december-2025'!$A:$A,'[10]december-2025'!$C:$C,0,0)</f>
        <v>32500</v>
      </c>
      <c r="CX34">
        <f>ROUND(CW34*0.18,0)</f>
        <v>5850</v>
      </c>
      <c r="CY34">
        <f>ROUND(CW34*0.12,0)</f>
        <v>3900</v>
      </c>
      <c r="CZ34">
        <f>_xlfn.XLOOKUP(B34,'[10]december-2025'!$A:$A,'[10]december-2025'!$D:$D,0,0)</f>
        <v>0</v>
      </c>
      <c r="DA34">
        <f>_xlfn.XLOOKUP(B34,'[10]december-2025'!$A:$A,'[10]december-2025'!$G:$G,0,0)</f>
        <v>0</v>
      </c>
      <c r="DB34">
        <f>IF(CW34&gt;0,SUM(CW34:DA34),0)</f>
        <v>42250</v>
      </c>
      <c r="DC34">
        <f>_xlfn.XLOOKUP(B34,'[10]december-2025'!$A:$A,'[10]december-2025'!$H:$H,0,0)</f>
        <v>2000</v>
      </c>
      <c r="DD34">
        <f>_xlfn.XLOOKUP(B34,'[10]december-2025'!$A:$A,'[10]december-2025'!$I:$I,0,0)</f>
        <v>0</v>
      </c>
      <c r="DE34">
        <f>IF($F34="YES",0,IF(DB34&gt;40000,200,IF(DB34&gt;25000,150,IF(DB34&gt;15000,130,IF(DB34&gt;10000,110,0)))))</f>
        <v>200</v>
      </c>
      <c r="DF34">
        <f>DB34-DC34-DD34-DE34</f>
        <v>40050</v>
      </c>
      <c r="DG34">
        <f>_xlfn.XLOOKUP(B34,'[11]january-2026'!$A:$A,'[11]january-2026'!$C:$C,0,0)</f>
        <v>32500</v>
      </c>
      <c r="DH34">
        <f>DG34*0.18</f>
        <v>5850</v>
      </c>
      <c r="DI34">
        <f>DG34*0.12</f>
        <v>3900</v>
      </c>
      <c r="DJ34">
        <f>_xlfn.XLOOKUP(B34,'[11]january-2026'!$A:$A,'[11]january-2026'!$D:$D,0,0)</f>
        <v>0</v>
      </c>
      <c r="DK34">
        <f>_xlfn.XLOOKUP(B34,'[11]january-2026'!$A:$A,'[11]january-2026'!$G:$G,0,0)</f>
        <v>0</v>
      </c>
      <c r="DL34">
        <f>IF(DG34&gt;0,SUM(DG34:DK34),0)</f>
        <v>42250</v>
      </c>
      <c r="DM34">
        <f>_xlfn.XLOOKUP(B34,'[11]january-2026'!$A:$A,'[11]january-2026'!$H:$H,0,0)</f>
        <v>2000</v>
      </c>
      <c r="DN34">
        <f>_xlfn.XLOOKUP(B34,'[11]january-2026'!$A:$A,'[11]january-2026'!$I:$I,0,0)</f>
        <v>0</v>
      </c>
      <c r="DO34">
        <f>IF($F34="YES",0,IF(DL34&gt;40000,200,IF(DL34&gt;25000,150,IF(DL34&gt;15000,130,IF(DL34&gt;10000,110,0)))))</f>
        <v>200</v>
      </c>
      <c r="DP34">
        <f>DL34-DM34-DN34-DO34</f>
        <v>40050</v>
      </c>
      <c r="DQ34">
        <f>_xlfn.XLOOKUP(B34,'[12]february-2026'!$A:$A,'[12]february-2026'!$C:$C,0,0)</f>
        <v>32500</v>
      </c>
      <c r="DR34">
        <f>DQ34*0.18</f>
        <v>5850</v>
      </c>
      <c r="DS34">
        <f>DQ34*0.12</f>
        <v>3900</v>
      </c>
      <c r="DT34">
        <f>_xlfn.XLOOKUP(B34,'[12]february-2026'!$A:$A,'[12]february-2026'!$D:$D,0,0)</f>
        <v>0</v>
      </c>
      <c r="DU34">
        <f>_xlfn.XLOOKUP(B34,'[12]february-2026'!$A:$A,'[12]february-2026'!$G:$G,0,0)</f>
        <v>0</v>
      </c>
      <c r="DV34">
        <f>IF(DQ34&gt;0,SUM(DQ34:DU34),0)</f>
        <v>42250</v>
      </c>
      <c r="DW34">
        <f>_xlfn.XLOOKUP(B34,'[12]february-2026'!$A:$A,'[12]february-2026'!$H:$H,0,0)</f>
        <v>2000</v>
      </c>
      <c r="DX34">
        <f>_xlfn.XLOOKUP(B34,'[12]february-2026'!$A:$A,'[12]february-2026'!$I:$I,0,0)</f>
        <v>0</v>
      </c>
      <c r="DY34">
        <f>IF($F34="YES",0,IF(DV34&gt;40000,200,IF(DV34&gt;25000,150,IF(DV34&gt;15000,130,IF(DV34&gt;10000,110,0)))))</f>
        <v>200</v>
      </c>
      <c r="DZ34">
        <f>DV34-DW34-DX34-DY34</f>
        <v>40050</v>
      </c>
      <c r="EA34">
        <f>DV34+DL34+DB34+CR34+CH34+BX34+BN34+BD34+AS34+AI34+Y34+O34+H34+I34</f>
        <v>507856</v>
      </c>
      <c r="EB34">
        <f>DY34+DO34+DE34+CU34+CK34+CA34+BQ34+BG34+AV34+AL34+AB34+R34</f>
        <v>2350</v>
      </c>
      <c r="EC34">
        <f>IF(EA34&gt;0,50000,0)</f>
        <v>50000</v>
      </c>
      <c r="ED34">
        <v>0</v>
      </c>
      <c r="EE34">
        <f>EA34-EB34-EC34</f>
        <v>455506</v>
      </c>
      <c r="EF34">
        <f>DW34+DM34+DC34+CS34+CI34+BY34+BO34+BE34+AT34+AJ34+Z34+P34</f>
        <v>24000</v>
      </c>
      <c r="EG34">
        <f>DX34+DN34+DD34+CT34+CJ34+BZ34+BP34+BF34+AU34+AK34+AA34+Q34</f>
        <v>0</v>
      </c>
      <c r="EH34">
        <v>0</v>
      </c>
      <c r="EI34">
        <v>0</v>
      </c>
      <c r="EJ34">
        <v>0</v>
      </c>
      <c r="EK34">
        <v>0</v>
      </c>
      <c r="EL34">
        <v>0</v>
      </c>
      <c r="EM34">
        <v>0</v>
      </c>
      <c r="EN34">
        <v>0</v>
      </c>
      <c r="EO34">
        <v>0</v>
      </c>
      <c r="EP34">
        <v>0</v>
      </c>
      <c r="EQ34">
        <v>0</v>
      </c>
      <c r="ER34">
        <f>SUM(EF34:EQ34)</f>
        <v>24000</v>
      </c>
      <c r="ES34">
        <f>IF(ER34&gt;=150000,150000,ER34)</f>
        <v>24000</v>
      </c>
      <c r="ET34">
        <f>EE34-ES34</f>
        <v>431506</v>
      </c>
      <c r="EU34">
        <v>0</v>
      </c>
      <c r="EV34">
        <v>0</v>
      </c>
      <c r="EW34">
        <v>0</v>
      </c>
      <c r="EX34">
        <v>0</v>
      </c>
      <c r="EY34">
        <v>0</v>
      </c>
      <c r="EZ34">
        <v>0</v>
      </c>
      <c r="FA34">
        <v>0</v>
      </c>
      <c r="FB34">
        <f>SUM(EU34:FA34)+(IF(F34="YES",50000,0))</f>
        <v>0</v>
      </c>
      <c r="FC34">
        <f>ET34-FB34</f>
        <v>431506</v>
      </c>
      <c r="FD34">
        <f>ROUND(IF(FC34&gt;0,IF(FC34&gt;500000,12500,(FC34-250000)*0.05),0),0)</f>
        <v>9075</v>
      </c>
      <c r="FE34">
        <f>IF(ROUND(IF(FC34&gt;0,IF(FC34&gt;1000000,25000,(FC34-500000)*0.2),0),0)&lt;0,0,ROUND(IF(FC34&gt;0,IF(FC34&gt;1000000,25000,(FC34-500000)*0.2),0),0))</f>
        <v>0</v>
      </c>
      <c r="FF34">
        <f>FD34+FE34</f>
        <v>9075</v>
      </c>
      <c r="FG34">
        <f>IF(FF34&lt;12500,0,FF34)</f>
        <v>0</v>
      </c>
      <c r="FH34">
        <f>FG34*0.04</f>
        <v>0</v>
      </c>
      <c r="FI34">
        <f>ROUND(FH34+FG34,0)</f>
        <v>0</v>
      </c>
      <c r="FJ34">
        <v>0</v>
      </c>
      <c r="FK34">
        <f>FI34-FJ34</f>
        <v>0</v>
      </c>
      <c r="FL34" t="b">
        <f>IF(EA34&gt;500000,TRUE,FALSE)</f>
        <v>1</v>
      </c>
      <c r="FM34">
        <f ca="1">IF(FL34,RANDBETWEEN(500,1000),RANDBETWEEN(1000,3000))</f>
        <v>698</v>
      </c>
      <c r="FN34">
        <f ca="1">EA34+FM34</f>
        <v>508554</v>
      </c>
      <c r="FO34">
        <f>IF(EA34&gt;0,75000,0)</f>
        <v>75000</v>
      </c>
      <c r="FP34">
        <f ca="1">FN34-FO34</f>
        <v>433554</v>
      </c>
      <c r="FQ34">
        <f ca="1">IF(FP34&gt;2400000,FP34-2400000,0)</f>
        <v>0</v>
      </c>
      <c r="FR34">
        <f ca="1">FQ34*0.3</f>
        <v>0</v>
      </c>
      <c r="FS34">
        <f ca="1">IF(FP34&gt;2000000,FP34-2000000,0)</f>
        <v>0</v>
      </c>
      <c r="FT34">
        <f ca="1">FS34*0.25</f>
        <v>0</v>
      </c>
      <c r="FU34">
        <f ca="1">IF(FP34&gt;1600000,FP34-1600000-FQ34,0)</f>
        <v>0</v>
      </c>
      <c r="FV34">
        <f ca="1">FU34*0.2</f>
        <v>0</v>
      </c>
      <c r="FW34">
        <f ca="1">IF(FP34&gt;1200000,FP34-1200000-IF(F34="YES",50000,0)-FU34,0)</f>
        <v>0</v>
      </c>
      <c r="FX34">
        <f ca="1">FW34*0.15</f>
        <v>0</v>
      </c>
      <c r="FY34">
        <f ca="1">IF(FP34&gt;800000,FP34-800000-FQ34-FU34-FW34,0)</f>
        <v>0</v>
      </c>
      <c r="FZ34">
        <f ca="1">FY34*0.1</f>
        <v>0</v>
      </c>
      <c r="GA34">
        <f ca="1">IF(FP34&gt;400000,FP34-400000-FQ34-FU34-FW34-FY34,0)</f>
        <v>33554</v>
      </c>
      <c r="GB34">
        <f ca="1">GA34*0.05</f>
        <v>1677.7</v>
      </c>
      <c r="GC34">
        <f ca="1">ROUND(FR34+FT34+FV34+FX34+FZ34+GB34,0)</f>
        <v>1678</v>
      </c>
      <c r="GD34">
        <f ca="1">IF(FP34&gt;1200000,FP34,0)</f>
        <v>0</v>
      </c>
      <c r="GE34">
        <f ca="1">IF(FP34&gt;1200000,GD34-1200000,0)</f>
        <v>0</v>
      </c>
      <c r="GF34">
        <f ca="1">IF(FP34&lt;1200001,MIN(GC34,60000),0)</f>
        <v>1678</v>
      </c>
      <c r="GG34">
        <f ca="1">IF(FP34&gt;1200000,GC34-GE34,0)</f>
        <v>0</v>
      </c>
      <c r="GH34" t="b">
        <f ca="1">IF(GG34&gt;0,TRUE,FALSE)</f>
        <v>0</v>
      </c>
      <c r="GI34">
        <f ca="1">IF(GH34,GG34,0)</f>
        <v>0</v>
      </c>
      <c r="GJ34">
        <f ca="1">GF34+GI34</f>
        <v>1678</v>
      </c>
      <c r="GK34">
        <f ca="1">ROUND(GC34-GJ34,0)</f>
        <v>0</v>
      </c>
      <c r="GL34">
        <f ca="1">GK34*0.04</f>
        <v>0</v>
      </c>
      <c r="GM34">
        <f ca="1">ROUNDUP(GK34+GL34,0)</f>
        <v>0</v>
      </c>
    </row>
    <row r="35" spans="1:195" x14ac:dyDescent="0.25">
      <c r="A35">
        <f>_xlfn.AGGREGATE(3,5,$B$2:B35)</f>
        <v>34</v>
      </c>
      <c r="B35" t="s">
        <v>188</v>
      </c>
      <c r="C35" t="s">
        <v>189</v>
      </c>
      <c r="D35" t="s">
        <v>760</v>
      </c>
      <c r="E35" t="s">
        <v>834</v>
      </c>
      <c r="F35" t="s">
        <v>959</v>
      </c>
      <c r="G35" t="s">
        <v>896</v>
      </c>
      <c r="H35">
        <f>IF(_xlfn.DAYS("31-03-2025",G35)&gt;=180,6800,0)</f>
        <v>6800</v>
      </c>
      <c r="I35">
        <f>_xlfn.XLOOKUP(B35,'[1]march-2025'!$A:$A,'[1]march-2025'!$J:$J,0,0)</f>
        <v>0</v>
      </c>
      <c r="J35">
        <f>_xlfn.XLOOKUP(B35,'[1]march-2025'!$A:$A,'[1]march-2025'!$C:$C,0,0)</f>
        <v>28900</v>
      </c>
      <c r="K35">
        <f>J35*0.14</f>
        <v>4046.0000000000005</v>
      </c>
      <c r="L35">
        <f>J35*0.12</f>
        <v>3468</v>
      </c>
      <c r="M35">
        <f>_xlfn.XLOOKUP(B35,'[1]march-2025'!$A:$A,'[1]march-2025'!$D:$D,0,0)</f>
        <v>0</v>
      </c>
      <c r="N35">
        <f>_xlfn.XLOOKUP(B35,'[1]march-2025'!$A:$A,'[1]march-2025'!$G:$G,0,0)</f>
        <v>500</v>
      </c>
      <c r="O35">
        <f>IF(J35&gt;0,SUM(J35:N35),0)</f>
        <v>36914</v>
      </c>
      <c r="P35">
        <f>_xlfn.XLOOKUP(B35,'[1]march-2025'!$A:$A,'[1]march-2025'!$H:$H,0,0)</f>
        <v>5000</v>
      </c>
      <c r="Q35">
        <f>_xlfn.XLOOKUP(B35,'[1]march-2025'!$A:$A,'[1]march-2025'!$I:$I,0,0)</f>
        <v>0</v>
      </c>
      <c r="R35">
        <f>IF($F35="YES",0,IF(O35&gt;40000,200,IF(O35&gt;25000,150,IF(O35&gt;15000,130,IF(O35&gt;10000,110,0)))))</f>
        <v>150</v>
      </c>
      <c r="S35">
        <f>O35-P35-Q35-R35</f>
        <v>31764</v>
      </c>
      <c r="T35">
        <f>_xlfn.XLOOKUP(B35,'[2]april-2025'!$A:$A,'[2]april-2025'!$C:$C,0,0)</f>
        <v>28900</v>
      </c>
      <c r="U35">
        <f>T35*0.18</f>
        <v>5202</v>
      </c>
      <c r="V35">
        <f>T35*0.12</f>
        <v>3468</v>
      </c>
      <c r="W35">
        <f>_xlfn.XLOOKUP(B35,'[2]april-2025'!$A:$A,'[2]april-2025'!$D:$D,0,0)</f>
        <v>0</v>
      </c>
      <c r="X35">
        <f>_xlfn.XLOOKUP(B35,'[2]april-2025'!$A:$A,'[2]april-2025'!$G:$G,0,0)</f>
        <v>500</v>
      </c>
      <c r="Y35">
        <f>IF(T35&gt;0,SUM(T35:X35),0)</f>
        <v>38070</v>
      </c>
      <c r="Z35">
        <f>_xlfn.XLOOKUP(B35,'[2]april-2025'!$A:$A,'[2]april-2025'!$H:$H,0,0)</f>
        <v>5000</v>
      </c>
      <c r="AA35">
        <f>_xlfn.XLOOKUP(B35,'[2]april-2025'!$A:$A,'[2]april-2025'!$I:$I,0,0)</f>
        <v>0</v>
      </c>
      <c r="AB35">
        <f>IF($F35="YES",0,IF(Y35&gt;40000,200,IF(Y35&gt;25000,150,IF(Y35&gt;15000,130,IF(Y35&gt;10000,110,0)))))</f>
        <v>150</v>
      </c>
      <c r="AC35">
        <f>Y35-Z35-AA35-AB35</f>
        <v>32920</v>
      </c>
      <c r="AD35">
        <f>_xlfn.XLOOKUP(B35,'[3]may-2025'!$A:$A,'[3]may-2025'!$C:$C,0,0)</f>
        <v>28900</v>
      </c>
      <c r="AE35">
        <f>AD35*0.18</f>
        <v>5202</v>
      </c>
      <c r="AF35">
        <f>AD35*0.12</f>
        <v>3468</v>
      </c>
      <c r="AG35">
        <f>_xlfn.XLOOKUP(B35,'[3]may-2025'!$A:$A,'[3]may-2025'!$D:$D,0,0)</f>
        <v>0</v>
      </c>
      <c r="AH35">
        <f>_xlfn.XLOOKUP(B35,'[3]may-2025'!$A:$A,'[3]may-2025'!$G:$G,0,0)</f>
        <v>500</v>
      </c>
      <c r="AI35">
        <f>IF(AD35&gt;0,SUM(AD35:AH35),0)</f>
        <v>38070</v>
      </c>
      <c r="AJ35">
        <f>_xlfn.XLOOKUP(B35,'[3]may-2025'!$A:$A,'[3]may-2025'!$H:$H,0,0)</f>
        <v>5000</v>
      </c>
      <c r="AK35">
        <f>_xlfn.XLOOKUP(B35,'[3]may-2025'!$A:$A,'[3]may-2025'!$I:$I,0,0)</f>
        <v>0</v>
      </c>
      <c r="AL35">
        <f>IF($F35="YES",0,IF(AI35&gt;40000,200,IF(AI35&gt;25000,150,IF(AI35&gt;15000,130,IF(AI35&gt;10000,110,0)))))</f>
        <v>150</v>
      </c>
      <c r="AM35">
        <f>AI35-AJ35-AK35-AL35</f>
        <v>32920</v>
      </c>
      <c r="AN35">
        <f>_xlfn.XLOOKUP(B35,'[4]june-2025'!$A:$A,'[4]june-2025'!$C:$C,0,0)</f>
        <v>28900</v>
      </c>
      <c r="AO35">
        <f>AN35*0.18</f>
        <v>5202</v>
      </c>
      <c r="AP35">
        <f>AN35*0.12</f>
        <v>3468</v>
      </c>
      <c r="AQ35">
        <f>_xlfn.XLOOKUP(B35,'[4]june-2025'!$A:$A,'[4]june-2025'!$D:$D,0,0)</f>
        <v>0</v>
      </c>
      <c r="AR35">
        <f>_xlfn.XLOOKUP(B35,'[4]june-2025'!$A:$A,'[4]june-2025'!$G:$G,0,0)</f>
        <v>500</v>
      </c>
      <c r="AS35">
        <f>IF(AN35&gt;0,SUM(AN35:AR35),0)</f>
        <v>38070</v>
      </c>
      <c r="AT35">
        <f>_xlfn.XLOOKUP(B35,'[4]june-2025'!$A:$A,'[4]june-2025'!$H:$H,0,0)</f>
        <v>5000</v>
      </c>
      <c r="AU35">
        <f>_xlfn.XLOOKUP(B35,'[4]june-2025'!$A:$A,'[4]june-2025'!$I:$I,0,0)</f>
        <v>0</v>
      </c>
      <c r="AV35">
        <f>IF($F35="YES",0,IF(AS35&gt;40000,200,IF(AS35&gt;25000,150,IF(AS35&gt;15000,130,IF(AS35&gt;10000,110,0)))))</f>
        <v>150</v>
      </c>
      <c r="AW35">
        <f>AS35-AT35-AU35-AV35</f>
        <v>32920</v>
      </c>
      <c r="AX35">
        <f>_xlfn.XLOOKUP(B35,'[5]july-2025'!$A:$A,'[5]july-2025'!$C:$C,0,0)</f>
        <v>29800</v>
      </c>
      <c r="AY35">
        <f>AX35*0.18</f>
        <v>5364</v>
      </c>
      <c r="AZ35">
        <v>0</v>
      </c>
      <c r="BA35">
        <f>AX35*0.12</f>
        <v>3576</v>
      </c>
      <c r="BB35">
        <f>_xlfn.XLOOKUP(B35,'[5]july-2025'!$A:$A,'[5]july-2025'!$D:$D,0,0)</f>
        <v>0</v>
      </c>
      <c r="BC35">
        <f>_xlfn.XLOOKUP(B35,'[5]july-2025'!$A:$A,'[5]july-2025'!$G:$G,0,0)</f>
        <v>500</v>
      </c>
      <c r="BD35">
        <f>IF(AX35&gt;0,SUM(AX35:BC35),0)</f>
        <v>39240</v>
      </c>
      <c r="BE35">
        <f>_xlfn.XLOOKUP(B35,'[5]july-2025'!$A:$A,'[5]july-2025'!$H:$H,0,0)</f>
        <v>5000</v>
      </c>
      <c r="BF35">
        <f>_xlfn.XLOOKUP(B35,'[5]july-2025'!$A:$A,'[5]july-2025'!$I:$I,0,0)</f>
        <v>0</v>
      </c>
      <c r="BG35">
        <f>IF($F35="YES",0,IF(BD35&gt;40000,200,IF(BD35&gt;25000,150,IF(BD35&gt;15000,130,IF(BD35&gt;10000,110,0)))))</f>
        <v>150</v>
      </c>
      <c r="BH35">
        <f>BD35-BE35-BF35-BG35</f>
        <v>34090</v>
      </c>
      <c r="BI35">
        <f>_xlfn.XLOOKUP(B35,'[6]august-2025'!$A:$A,'[6]august-2025'!$C:$C,0,0)</f>
        <v>29800</v>
      </c>
      <c r="BJ35">
        <f>BI35*0.18</f>
        <v>5364</v>
      </c>
      <c r="BK35">
        <f>BI35*0.12</f>
        <v>3576</v>
      </c>
      <c r="BL35">
        <f>_xlfn.XLOOKUP(B35,'[6]august-2025'!$A:$A,'[6]august-2025'!$D:$D,0,0)</f>
        <v>0</v>
      </c>
      <c r="BM35">
        <f>_xlfn.XLOOKUP(B35,'[6]august-2025'!$A:$A,'[6]august-2025'!$G:$G,0,0)</f>
        <v>500</v>
      </c>
      <c r="BN35">
        <f>IF(BI35&gt;0,SUM(BI35:BM35),0)</f>
        <v>39240</v>
      </c>
      <c r="BO35">
        <f>_xlfn.XLOOKUP(B35,'[6]august-2025'!$A:$A,'[6]august-2025'!$H:$H,0,0)</f>
        <v>5000</v>
      </c>
      <c r="BP35">
        <f>_xlfn.XLOOKUP(B35,'[6]august-2025'!$A:$A,'[6]august-2025'!$I:$I,0,0)</f>
        <v>0</v>
      </c>
      <c r="BQ35">
        <f>IF($F35="YES",0,IF(BN35&gt;40000,200,IF(BN35&gt;25000,150,IF(BN35&gt;15000,130,IF(BN35&gt;10000,110,0)))))</f>
        <v>150</v>
      </c>
      <c r="BR35">
        <f>BN35-BO35-BP35-BQ35</f>
        <v>34090</v>
      </c>
      <c r="BS35">
        <f>_xlfn.XLOOKUP(B35,'[7]september-2025'!$A:$A,'[7]september-2025'!$C:$C,0,0)</f>
        <v>29800</v>
      </c>
      <c r="BT35">
        <f>BS35*0.18</f>
        <v>5364</v>
      </c>
      <c r="BU35">
        <f>BS35*0.12</f>
        <v>3576</v>
      </c>
      <c r="BV35">
        <f>_xlfn.XLOOKUP(B35,'[7]september-2025'!$A:$A,'[7]september-2025'!$D:$D,0,0)</f>
        <v>0</v>
      </c>
      <c r="BW35">
        <f>_xlfn.XLOOKUP(B35,'[7]september-2025'!$A:$A,'[7]september-2025'!$G:$G,0,0)</f>
        <v>500</v>
      </c>
      <c r="BX35">
        <f>IF(BS35&gt;0,SUM(BS35:BW35),0)</f>
        <v>39240</v>
      </c>
      <c r="BY35">
        <f>_xlfn.XLOOKUP(B35,'[7]september-2025'!$A:$A,'[7]september-2025'!$H:$H,0,0)</f>
        <v>5000</v>
      </c>
      <c r="BZ35">
        <f>_xlfn.XLOOKUP(B35,'[7]september-2025'!$A:$A,'[7]september-2025'!$I:$I,0,0)</f>
        <v>0</v>
      </c>
      <c r="CA35">
        <f>IF($F35="YES",0,IF(BX35&gt;40000,200,IF(BX35&gt;25000,150,IF(BX35&gt;15000,130,IF(BX35&gt;10000,110,0)))))</f>
        <v>150</v>
      </c>
      <c r="CB35">
        <f>BX35-BY35-BZ35-CA35</f>
        <v>34090</v>
      </c>
      <c r="CC35">
        <f>_xlfn.XLOOKUP(B35,'[8]october-2025'!$A:$A,'[8]october-2025'!$C:$C,0,0)</f>
        <v>29800</v>
      </c>
      <c r="CD35">
        <f>CC35*0.18</f>
        <v>5364</v>
      </c>
      <c r="CE35">
        <f>CC35*0.12</f>
        <v>3576</v>
      </c>
      <c r="CF35">
        <f>_xlfn.XLOOKUP(B35,'[8]october-2025'!$A:$A,'[8]october-2025'!$D:$D,0,0)</f>
        <v>0</v>
      </c>
      <c r="CG35">
        <f>_xlfn.XLOOKUP(B35,'[8]october-2025'!$A:$A,'[8]october-2025'!$G:$G,0,0)</f>
        <v>500</v>
      </c>
      <c r="CH35">
        <f>IF(CC35&gt;0,SUM(CC35:CG35),0)</f>
        <v>39240</v>
      </c>
      <c r="CI35">
        <f>_xlfn.XLOOKUP(B35,'[8]october-2025'!$A:$A,'[8]october-2025'!$H:$H,0,0)</f>
        <v>5000</v>
      </c>
      <c r="CJ35">
        <f>_xlfn.XLOOKUP(B35,'[8]october-2025'!$A:$A,'[8]october-2025'!$I:$I,0,0)</f>
        <v>0</v>
      </c>
      <c r="CK35">
        <f>IF($F35="YES",0,IF(CH35&gt;40000,200,IF(CH35&gt;25000,150,IF(CH35&gt;15000,130,IF(CH35&gt;10000,110,0)))))</f>
        <v>150</v>
      </c>
      <c r="CL35">
        <f>CH35-CI35-CJ35-CK35</f>
        <v>34090</v>
      </c>
      <c r="CM35">
        <f>_xlfn.XLOOKUP(B35,'[9]november-2025'!$A:$A,'[9]november-2025'!$C:$C,0,0)</f>
        <v>29800</v>
      </c>
      <c r="CN35">
        <f>CM35*0.18</f>
        <v>5364</v>
      </c>
      <c r="CO35">
        <f>CM35*0.12</f>
        <v>3576</v>
      </c>
      <c r="CP35">
        <f>_xlfn.XLOOKUP(B35,'[9]november-2025'!$A:$A,'[9]november-2025'!$D:$D,0,0)</f>
        <v>0</v>
      </c>
      <c r="CQ35">
        <f>_xlfn.XLOOKUP(B35,'[9]november-2025'!$A:$A,'[9]november-2025'!$G:$G,0,0)</f>
        <v>500</v>
      </c>
      <c r="CR35">
        <f>IF(CM35&gt;0,SUM(CM35:CQ35),0)</f>
        <v>39240</v>
      </c>
      <c r="CS35">
        <f>_xlfn.XLOOKUP(B35,'[9]november-2025'!$A:$A,'[9]november-2025'!$H:$H,0,0)</f>
        <v>5000</v>
      </c>
      <c r="CT35">
        <f>_xlfn.XLOOKUP(B35,'[9]november-2025'!$A:$A,'[9]november-2025'!$I:$I,0,0)</f>
        <v>0</v>
      </c>
      <c r="CU35">
        <f>IF($F35="YES",0,IF(CR35&gt;40000,200,IF(CR35&gt;25000,150,IF(CR35&gt;15000,130,IF(CR35&gt;10000,110,0)))))</f>
        <v>150</v>
      </c>
      <c r="CV35">
        <f>CR35-CS35-CT35-CU35</f>
        <v>34090</v>
      </c>
      <c r="CW35">
        <f>_xlfn.XLOOKUP(B35,'[10]december-2025'!$A:$A,'[10]december-2025'!$C:$C,0,0)</f>
        <v>29800</v>
      </c>
      <c r="CX35">
        <f>ROUND(CW35*0.18,0)</f>
        <v>5364</v>
      </c>
      <c r="CY35">
        <f>ROUND(CW35*0.12,0)</f>
        <v>3576</v>
      </c>
      <c r="CZ35">
        <f>_xlfn.XLOOKUP(B35,'[10]december-2025'!$A:$A,'[10]december-2025'!$D:$D,0,0)</f>
        <v>0</v>
      </c>
      <c r="DA35">
        <f>_xlfn.XLOOKUP(B35,'[10]december-2025'!$A:$A,'[10]december-2025'!$G:$G,0,0)</f>
        <v>500</v>
      </c>
      <c r="DB35">
        <f>IF(CW35&gt;0,SUM(CW35:DA35),0)</f>
        <v>39240</v>
      </c>
      <c r="DC35">
        <f>_xlfn.XLOOKUP(B35,'[10]december-2025'!$A:$A,'[10]december-2025'!$H:$H,0,0)</f>
        <v>5000</v>
      </c>
      <c r="DD35">
        <f>_xlfn.XLOOKUP(B35,'[10]december-2025'!$A:$A,'[10]december-2025'!$I:$I,0,0)</f>
        <v>0</v>
      </c>
      <c r="DE35">
        <f>IF($F35="YES",0,IF(DB35&gt;40000,200,IF(DB35&gt;25000,150,IF(DB35&gt;15000,130,IF(DB35&gt;10000,110,0)))))</f>
        <v>150</v>
      </c>
      <c r="DF35">
        <f>DB35-DC35-DD35-DE35</f>
        <v>34090</v>
      </c>
      <c r="DG35">
        <f>_xlfn.XLOOKUP(B35,'[11]january-2026'!$A:$A,'[11]january-2026'!$C:$C,0,0)</f>
        <v>29800</v>
      </c>
      <c r="DH35">
        <f>DG35*0.18</f>
        <v>5364</v>
      </c>
      <c r="DI35">
        <f>DG35*0.12</f>
        <v>3576</v>
      </c>
      <c r="DJ35">
        <f>_xlfn.XLOOKUP(B35,'[11]january-2026'!$A:$A,'[11]january-2026'!$D:$D,0,0)</f>
        <v>0</v>
      </c>
      <c r="DK35">
        <f>_xlfn.XLOOKUP(B35,'[11]january-2026'!$A:$A,'[11]january-2026'!$G:$G,0,0)</f>
        <v>500</v>
      </c>
      <c r="DL35">
        <f>IF(DG35&gt;0,SUM(DG35:DK35),0)</f>
        <v>39240</v>
      </c>
      <c r="DM35">
        <f>_xlfn.XLOOKUP(B35,'[11]january-2026'!$A:$A,'[11]january-2026'!$H:$H,0,0)</f>
        <v>5000</v>
      </c>
      <c r="DN35">
        <f>_xlfn.XLOOKUP(B35,'[11]january-2026'!$A:$A,'[11]january-2026'!$I:$I,0,0)</f>
        <v>0</v>
      </c>
      <c r="DO35">
        <f>IF($F35="YES",0,IF(DL35&gt;40000,200,IF(DL35&gt;25000,150,IF(DL35&gt;15000,130,IF(DL35&gt;10000,110,0)))))</f>
        <v>150</v>
      </c>
      <c r="DP35">
        <f>DL35-DM35-DN35-DO35</f>
        <v>34090</v>
      </c>
      <c r="DQ35">
        <f>_xlfn.XLOOKUP(B35,'[12]february-2026'!$A:$A,'[12]february-2026'!$C:$C,0,0)</f>
        <v>29800</v>
      </c>
      <c r="DR35">
        <f>DQ35*0.18</f>
        <v>5364</v>
      </c>
      <c r="DS35">
        <f>DQ35*0.12</f>
        <v>3576</v>
      </c>
      <c r="DT35">
        <f>_xlfn.XLOOKUP(B35,'[12]february-2026'!$A:$A,'[12]february-2026'!$D:$D,0,0)</f>
        <v>0</v>
      </c>
      <c r="DU35">
        <f>_xlfn.XLOOKUP(B35,'[12]february-2026'!$A:$A,'[12]february-2026'!$G:$G,0,0)</f>
        <v>500</v>
      </c>
      <c r="DV35">
        <f>IF(DQ35&gt;0,SUM(DQ35:DU35),0)</f>
        <v>39240</v>
      </c>
      <c r="DW35">
        <f>_xlfn.XLOOKUP(B35,'[12]february-2026'!$A:$A,'[12]february-2026'!$H:$H,0,0)</f>
        <v>5000</v>
      </c>
      <c r="DX35">
        <f>_xlfn.XLOOKUP(B35,'[12]february-2026'!$A:$A,'[12]february-2026'!$I:$I,0,0)</f>
        <v>0</v>
      </c>
      <c r="DY35">
        <f>IF($F35="YES",0,IF(DV35&gt;40000,200,IF(DV35&gt;25000,150,IF(DV35&gt;15000,130,IF(DV35&gt;10000,110,0)))))</f>
        <v>150</v>
      </c>
      <c r="DZ35">
        <f>DV35-DW35-DX35-DY35</f>
        <v>34090</v>
      </c>
      <c r="EA35">
        <f>DV35+DL35+DB35+CR35+CH35+BX35+BN35+BD35+AS35+AI35+Y35+O35+H35+I35</f>
        <v>471844</v>
      </c>
      <c r="EB35">
        <f>DY35+DO35+DE35+CU35+CK35+CA35+BQ35+BG35+AV35+AL35+AB35+R35</f>
        <v>1800</v>
      </c>
      <c r="EC35">
        <f>IF(EA35&gt;0,50000,0)</f>
        <v>50000</v>
      </c>
      <c r="ED35">
        <v>0</v>
      </c>
      <c r="EE35">
        <f>EA35-EB35-EC35</f>
        <v>420044</v>
      </c>
      <c r="EF35">
        <f>DW35+DM35+DC35+CS35+CI35+BY35+BO35+BE35+AT35+AJ35+Z35+P35</f>
        <v>60000</v>
      </c>
      <c r="EG35">
        <f>DX35+DN35+DD35+CT35+CJ35+BZ35+BP35+BF35+AU35+AK35+AA35+Q35</f>
        <v>0</v>
      </c>
      <c r="EH35">
        <v>0</v>
      </c>
      <c r="EI35">
        <v>0</v>
      </c>
      <c r="EJ35">
        <v>0</v>
      </c>
      <c r="EK35">
        <v>0</v>
      </c>
      <c r="EL35">
        <v>0</v>
      </c>
      <c r="EM35">
        <v>0</v>
      </c>
      <c r="EN35">
        <v>0</v>
      </c>
      <c r="EO35">
        <v>0</v>
      </c>
      <c r="EP35">
        <v>0</v>
      </c>
      <c r="EQ35">
        <v>0</v>
      </c>
      <c r="ER35">
        <f>SUM(EF35:EQ35)</f>
        <v>60000</v>
      </c>
      <c r="ES35">
        <f>IF(ER35&gt;=150000,150000,ER35)</f>
        <v>60000</v>
      </c>
      <c r="ET35">
        <f>EE35-ES35</f>
        <v>360044</v>
      </c>
      <c r="EU35">
        <v>0</v>
      </c>
      <c r="EV35">
        <v>0</v>
      </c>
      <c r="EW35">
        <v>0</v>
      </c>
      <c r="EX35">
        <v>0</v>
      </c>
      <c r="EY35">
        <v>0</v>
      </c>
      <c r="EZ35">
        <v>0</v>
      </c>
      <c r="FA35">
        <v>0</v>
      </c>
      <c r="FB35">
        <f>SUM(EU35:FA35)+(IF(F35="YES",50000,0))</f>
        <v>0</v>
      </c>
      <c r="FC35">
        <f>ET35-FB35</f>
        <v>360044</v>
      </c>
      <c r="FD35">
        <f>ROUND(IF(FC35&gt;0,IF(FC35&gt;500000,12500,(FC35-250000)*0.05),0),0)</f>
        <v>5502</v>
      </c>
      <c r="FE35">
        <f>IF(ROUND(IF(FC35&gt;0,IF(FC35&gt;1000000,25000,(FC35-500000)*0.2),0),0)&lt;0,0,ROUND(IF(FC35&gt;0,IF(FC35&gt;1000000,25000,(FC35-500000)*0.2),0),0))</f>
        <v>0</v>
      </c>
      <c r="FF35">
        <f>FD35+FE35</f>
        <v>5502</v>
      </c>
      <c r="FG35">
        <f>IF(FF35&lt;12500,0,FF35)</f>
        <v>0</v>
      </c>
      <c r="FH35">
        <f>FG35*0.04</f>
        <v>0</v>
      </c>
      <c r="FI35">
        <f>ROUND(FH35+FG35,0)</f>
        <v>0</v>
      </c>
      <c r="FJ35">
        <v>0</v>
      </c>
      <c r="FK35">
        <f>FI35-FJ35</f>
        <v>0</v>
      </c>
      <c r="FL35" t="b">
        <f>IF(EA35&gt;500000,TRUE,FALSE)</f>
        <v>0</v>
      </c>
      <c r="FM35">
        <f ca="1">IF(FL35,RANDBETWEEN(500,1000),RANDBETWEEN(1000,3000))</f>
        <v>1445</v>
      </c>
      <c r="FN35">
        <f ca="1">EA35+FM35</f>
        <v>473289</v>
      </c>
      <c r="FO35">
        <f>IF(EA35&gt;0,75000,0)</f>
        <v>75000</v>
      </c>
      <c r="FP35">
        <f ca="1">FN35-FO35</f>
        <v>398289</v>
      </c>
      <c r="FQ35">
        <f ca="1">IF(FP35&gt;2400000,FP35-2400000,0)</f>
        <v>0</v>
      </c>
      <c r="FR35">
        <f ca="1">FQ35*0.3</f>
        <v>0</v>
      </c>
      <c r="FS35">
        <f ca="1">IF(FP35&gt;2000000,FP35-2000000,0)</f>
        <v>0</v>
      </c>
      <c r="FT35">
        <f ca="1">FS35*0.25</f>
        <v>0</v>
      </c>
      <c r="FU35">
        <f ca="1">IF(FP35&gt;1600000,FP35-1600000-FQ35,0)</f>
        <v>0</v>
      </c>
      <c r="FV35">
        <f ca="1">FU35*0.2</f>
        <v>0</v>
      </c>
      <c r="FW35">
        <f ca="1">IF(FP35&gt;1200000,FP35-1200000-IF(F35="YES",50000,0)-FU35,0)</f>
        <v>0</v>
      </c>
      <c r="FX35">
        <f ca="1">FW35*0.15</f>
        <v>0</v>
      </c>
      <c r="FY35">
        <f ca="1">IF(FP35&gt;800000,FP35-800000-FQ35-FU35-FW35,0)</f>
        <v>0</v>
      </c>
      <c r="FZ35">
        <f ca="1">FY35*0.1</f>
        <v>0</v>
      </c>
      <c r="GA35">
        <f ca="1">IF(FP35&gt;400000,FP35-400000-FQ35-FU35-FW35-FY35,0)</f>
        <v>0</v>
      </c>
      <c r="GB35">
        <f ca="1">GA35*0.05</f>
        <v>0</v>
      </c>
      <c r="GC35">
        <f ca="1">ROUND(FR35+FT35+FV35+FX35+FZ35+GB35,0)</f>
        <v>0</v>
      </c>
      <c r="GD35">
        <f ca="1">IF(FP35&gt;1200000,FP35,0)</f>
        <v>0</v>
      </c>
      <c r="GE35">
        <f ca="1">IF(FP35&gt;1200000,GD35-1200000,0)</f>
        <v>0</v>
      </c>
      <c r="GF35">
        <f ca="1">IF(FP35&lt;1200001,MIN(GC35,60000),0)</f>
        <v>0</v>
      </c>
      <c r="GG35">
        <f ca="1">IF(FP35&gt;1200000,GC35-GE35,0)</f>
        <v>0</v>
      </c>
      <c r="GH35" t="b">
        <f ca="1">IF(GG35&gt;0,TRUE,FALSE)</f>
        <v>0</v>
      </c>
      <c r="GI35">
        <f ca="1">IF(GH35,GG35,0)</f>
        <v>0</v>
      </c>
      <c r="GJ35">
        <f ca="1">GF35+GI35</f>
        <v>0</v>
      </c>
      <c r="GK35">
        <f ca="1">ROUND(GC35-GJ35,0)</f>
        <v>0</v>
      </c>
      <c r="GL35">
        <f ca="1">GK35*0.04</f>
        <v>0</v>
      </c>
      <c r="GM35">
        <f ca="1">ROUNDUP(GK35+GL35,0)</f>
        <v>0</v>
      </c>
    </row>
    <row r="36" spans="1:195" x14ac:dyDescent="0.25">
      <c r="A36">
        <f>_xlfn.AGGREGATE(3,5,$B$2:B36)</f>
        <v>35</v>
      </c>
      <c r="B36" t="s">
        <v>190</v>
      </c>
      <c r="C36" t="s">
        <v>191</v>
      </c>
      <c r="D36" t="s">
        <v>761</v>
      </c>
      <c r="E36" t="s">
        <v>834</v>
      </c>
      <c r="F36" t="s">
        <v>959</v>
      </c>
      <c r="G36" t="s">
        <v>887</v>
      </c>
      <c r="H36">
        <f>IF(_xlfn.DAYS("31-03-2025",G36)&gt;=180,6800,0)</f>
        <v>6800</v>
      </c>
      <c r="I36">
        <f>_xlfn.XLOOKUP(B36,'[1]march-2025'!$A:$A,'[1]march-2025'!$J:$J,0,0)</f>
        <v>0</v>
      </c>
      <c r="J36">
        <f>_xlfn.XLOOKUP(B36,'[1]march-2025'!$A:$A,'[1]march-2025'!$C:$C,0,0)</f>
        <v>51700</v>
      </c>
      <c r="K36">
        <f>J36*0.14</f>
        <v>7238.0000000000009</v>
      </c>
      <c r="L36">
        <f>J36*0.12</f>
        <v>6204</v>
      </c>
      <c r="M36">
        <f>_xlfn.XLOOKUP(B36,'[1]march-2025'!$A:$A,'[1]march-2025'!$D:$D,0,0)</f>
        <v>400</v>
      </c>
      <c r="N36">
        <f>_xlfn.XLOOKUP(B36,'[1]march-2025'!$A:$A,'[1]march-2025'!$G:$G,0,0)</f>
        <v>500</v>
      </c>
      <c r="O36">
        <f>IF(J36&gt;0,SUM(J36:N36),0)</f>
        <v>66042</v>
      </c>
      <c r="P36">
        <f>_xlfn.XLOOKUP(B36,'[1]march-2025'!$A:$A,'[1]march-2025'!$H:$H,0,0)</f>
        <v>10000</v>
      </c>
      <c r="Q36">
        <f>_xlfn.XLOOKUP(B36,'[1]march-2025'!$A:$A,'[1]march-2025'!$I:$I,0,0)</f>
        <v>60</v>
      </c>
      <c r="R36">
        <f>IF($F36="YES",0,IF(O36&gt;40000,200,IF(O36&gt;25000,150,IF(O36&gt;15000,130,IF(O36&gt;10000,110,0)))))</f>
        <v>200</v>
      </c>
      <c r="S36">
        <f>O36-P36-Q36-R36</f>
        <v>55782</v>
      </c>
      <c r="T36">
        <f>_xlfn.XLOOKUP(B36,'[2]april-2025'!$A:$A,'[2]april-2025'!$C:$C,0,0)</f>
        <v>51700</v>
      </c>
      <c r="U36">
        <f>T36*0.18</f>
        <v>9306</v>
      </c>
      <c r="V36">
        <f>T36*0.12</f>
        <v>6204</v>
      </c>
      <c r="W36">
        <f>_xlfn.XLOOKUP(B36,'[2]april-2025'!$A:$A,'[2]april-2025'!$D:$D,0,0)</f>
        <v>400</v>
      </c>
      <c r="X36">
        <f>_xlfn.XLOOKUP(B36,'[2]april-2025'!$A:$A,'[2]april-2025'!$G:$G,0,0)</f>
        <v>500</v>
      </c>
      <c r="Y36">
        <f>IF(T36&gt;0,SUM(T36:X36),0)</f>
        <v>68110</v>
      </c>
      <c r="Z36">
        <f>_xlfn.XLOOKUP(B36,'[2]april-2025'!$A:$A,'[2]april-2025'!$H:$H,0,0)</f>
        <v>10000</v>
      </c>
      <c r="AA36">
        <f>_xlfn.XLOOKUP(B36,'[2]april-2025'!$A:$A,'[2]april-2025'!$I:$I,0,0)</f>
        <v>60</v>
      </c>
      <c r="AB36">
        <f>IF($F36="YES",0,IF(Y36&gt;40000,200,IF(Y36&gt;25000,150,IF(Y36&gt;15000,130,IF(Y36&gt;10000,110,0)))))</f>
        <v>200</v>
      </c>
      <c r="AC36">
        <f>Y36-Z36-AA36-AB36</f>
        <v>57850</v>
      </c>
      <c r="AD36">
        <f>_xlfn.XLOOKUP(B36,'[3]may-2025'!$A:$A,'[3]may-2025'!$C:$C,0,0)</f>
        <v>51700</v>
      </c>
      <c r="AE36">
        <f>AD36*0.18</f>
        <v>9306</v>
      </c>
      <c r="AF36">
        <f>AD36*0.12</f>
        <v>6204</v>
      </c>
      <c r="AG36">
        <f>_xlfn.XLOOKUP(B36,'[3]may-2025'!$A:$A,'[3]may-2025'!$D:$D,0,0)</f>
        <v>400</v>
      </c>
      <c r="AH36">
        <f>_xlfn.XLOOKUP(B36,'[3]may-2025'!$A:$A,'[3]may-2025'!$G:$G,0,0)</f>
        <v>500</v>
      </c>
      <c r="AI36">
        <f>IF(AD36&gt;0,SUM(AD36:AH36),0)</f>
        <v>68110</v>
      </c>
      <c r="AJ36">
        <f>_xlfn.XLOOKUP(B36,'[3]may-2025'!$A:$A,'[3]may-2025'!$H:$H,0,0)</f>
        <v>10000</v>
      </c>
      <c r="AK36">
        <f>_xlfn.XLOOKUP(B36,'[3]may-2025'!$A:$A,'[3]may-2025'!$I:$I,0,0)</f>
        <v>60</v>
      </c>
      <c r="AL36">
        <f>IF($F36="YES",0,IF(AI36&gt;40000,200,IF(AI36&gt;25000,150,IF(AI36&gt;15000,130,IF(AI36&gt;10000,110,0)))))</f>
        <v>200</v>
      </c>
      <c r="AM36">
        <f>AI36-AJ36-AK36-AL36</f>
        <v>57850</v>
      </c>
      <c r="AN36">
        <f>_xlfn.XLOOKUP(B36,'[4]june-2025'!$A:$A,'[4]june-2025'!$C:$C,0,0)</f>
        <v>51700</v>
      </c>
      <c r="AO36">
        <f>AN36*0.18</f>
        <v>9306</v>
      </c>
      <c r="AP36">
        <f>AN36*0.12</f>
        <v>6204</v>
      </c>
      <c r="AQ36">
        <f>_xlfn.XLOOKUP(B36,'[4]june-2025'!$A:$A,'[4]june-2025'!$D:$D,0,0)</f>
        <v>400</v>
      </c>
      <c r="AR36">
        <f>_xlfn.XLOOKUP(B36,'[4]june-2025'!$A:$A,'[4]june-2025'!$G:$G,0,0)</f>
        <v>500</v>
      </c>
      <c r="AS36">
        <f>IF(AN36&gt;0,SUM(AN36:AR36),0)</f>
        <v>68110</v>
      </c>
      <c r="AT36">
        <f>_xlfn.XLOOKUP(B36,'[4]june-2025'!$A:$A,'[4]june-2025'!$H:$H,0,0)</f>
        <v>10000</v>
      </c>
      <c r="AU36">
        <f>_xlfn.XLOOKUP(B36,'[4]june-2025'!$A:$A,'[4]june-2025'!$I:$I,0,0)</f>
        <v>60</v>
      </c>
      <c r="AV36">
        <f>IF($F36="YES",0,IF(AS36&gt;40000,200,IF(AS36&gt;25000,150,IF(AS36&gt;15000,130,IF(AS36&gt;10000,110,0)))))</f>
        <v>200</v>
      </c>
      <c r="AW36">
        <f>AS36-AT36-AU36-AV36</f>
        <v>57850</v>
      </c>
      <c r="AX36">
        <f>_xlfn.XLOOKUP(B36,'[5]july-2025'!$A:$A,'[5]july-2025'!$C:$C,0,0)</f>
        <v>53300</v>
      </c>
      <c r="AY36">
        <f>AX36*0.18</f>
        <v>9594</v>
      </c>
      <c r="AZ36">
        <v>0</v>
      </c>
      <c r="BA36">
        <f>AX36*0.12</f>
        <v>6396</v>
      </c>
      <c r="BB36">
        <f>_xlfn.XLOOKUP(B36,'[5]july-2025'!$A:$A,'[5]july-2025'!$D:$D,0,0)</f>
        <v>400</v>
      </c>
      <c r="BC36">
        <f>_xlfn.XLOOKUP(B36,'[5]july-2025'!$A:$A,'[5]july-2025'!$G:$G,0,0)</f>
        <v>500</v>
      </c>
      <c r="BD36">
        <f>IF(AX36&gt;0,SUM(AX36:BC36),0)</f>
        <v>70190</v>
      </c>
      <c r="BE36">
        <f>_xlfn.XLOOKUP(B36,'[5]july-2025'!$A:$A,'[5]july-2025'!$H:$H,0,0)</f>
        <v>10000</v>
      </c>
      <c r="BF36">
        <f>_xlfn.XLOOKUP(B36,'[5]july-2025'!$A:$A,'[5]july-2025'!$I:$I,0,0)</f>
        <v>60</v>
      </c>
      <c r="BG36">
        <f>IF($F36="YES",0,IF(BD36&gt;40000,200,IF(BD36&gt;25000,150,IF(BD36&gt;15000,130,IF(BD36&gt;10000,110,0)))))</f>
        <v>200</v>
      </c>
      <c r="BH36">
        <f>BD36-BE36-BF36-BG36</f>
        <v>59930</v>
      </c>
      <c r="BI36">
        <f>_xlfn.XLOOKUP(B36,'[6]august-2025'!$A:$A,'[6]august-2025'!$C:$C,0,0)</f>
        <v>53300</v>
      </c>
      <c r="BJ36">
        <f>BI36*0.18</f>
        <v>9594</v>
      </c>
      <c r="BK36">
        <f>BI36*0.12</f>
        <v>6396</v>
      </c>
      <c r="BL36">
        <f>_xlfn.XLOOKUP(B36,'[6]august-2025'!$A:$A,'[6]august-2025'!$D:$D,0,0)</f>
        <v>400</v>
      </c>
      <c r="BM36">
        <f>_xlfn.XLOOKUP(B36,'[6]august-2025'!$A:$A,'[6]august-2025'!$G:$G,0,0)</f>
        <v>500</v>
      </c>
      <c r="BN36">
        <f>IF(BI36&gt;0,SUM(BI36:BM36),0)</f>
        <v>70190</v>
      </c>
      <c r="BO36">
        <f>_xlfn.XLOOKUP(B36,'[6]august-2025'!$A:$A,'[6]august-2025'!$H:$H,0,0)</f>
        <v>10000</v>
      </c>
      <c r="BP36">
        <f>_xlfn.XLOOKUP(B36,'[6]august-2025'!$A:$A,'[6]august-2025'!$I:$I,0,0)</f>
        <v>60</v>
      </c>
      <c r="BQ36">
        <f>IF($F36="YES",0,IF(BN36&gt;40000,200,IF(BN36&gt;25000,150,IF(BN36&gt;15000,130,IF(BN36&gt;10000,110,0)))))</f>
        <v>200</v>
      </c>
      <c r="BR36">
        <f>BN36-BO36-BP36-BQ36</f>
        <v>59930</v>
      </c>
      <c r="BS36">
        <f>_xlfn.XLOOKUP(B36,'[7]september-2025'!$A:$A,'[7]september-2025'!$C:$C,0,0)</f>
        <v>53300</v>
      </c>
      <c r="BT36">
        <f>BS36*0.18</f>
        <v>9594</v>
      </c>
      <c r="BU36">
        <f>BS36*0.12</f>
        <v>6396</v>
      </c>
      <c r="BV36">
        <f>_xlfn.XLOOKUP(B36,'[7]september-2025'!$A:$A,'[7]september-2025'!$D:$D,0,0)</f>
        <v>400</v>
      </c>
      <c r="BW36">
        <f>_xlfn.XLOOKUP(B36,'[7]september-2025'!$A:$A,'[7]september-2025'!$G:$G,0,0)</f>
        <v>500</v>
      </c>
      <c r="BX36">
        <f>IF(BS36&gt;0,SUM(BS36:BW36),0)</f>
        <v>70190</v>
      </c>
      <c r="BY36">
        <f>_xlfn.XLOOKUP(B36,'[7]september-2025'!$A:$A,'[7]september-2025'!$H:$H,0,0)</f>
        <v>10000</v>
      </c>
      <c r="BZ36">
        <f>_xlfn.XLOOKUP(B36,'[7]september-2025'!$A:$A,'[7]september-2025'!$I:$I,0,0)</f>
        <v>60</v>
      </c>
      <c r="CA36">
        <f>IF($F36="YES",0,IF(BX36&gt;40000,200,IF(BX36&gt;25000,150,IF(BX36&gt;15000,130,IF(BX36&gt;10000,110,0)))))</f>
        <v>200</v>
      </c>
      <c r="CB36">
        <f>BX36-BY36-BZ36-CA36</f>
        <v>59930</v>
      </c>
      <c r="CC36">
        <f>_xlfn.XLOOKUP(B36,'[8]october-2025'!$A:$A,'[8]october-2025'!$C:$C,0,0)</f>
        <v>53300</v>
      </c>
      <c r="CD36">
        <f>CC36*0.18</f>
        <v>9594</v>
      </c>
      <c r="CE36">
        <f>CC36*0.12</f>
        <v>6396</v>
      </c>
      <c r="CF36">
        <f>_xlfn.XLOOKUP(B36,'[8]october-2025'!$A:$A,'[8]october-2025'!$D:$D,0,0)</f>
        <v>400</v>
      </c>
      <c r="CG36">
        <f>_xlfn.XLOOKUP(B36,'[8]october-2025'!$A:$A,'[8]october-2025'!$G:$G,0,0)</f>
        <v>500</v>
      </c>
      <c r="CH36">
        <f>IF(CC36&gt;0,SUM(CC36:CG36),0)</f>
        <v>70190</v>
      </c>
      <c r="CI36">
        <f>_xlfn.XLOOKUP(B36,'[8]october-2025'!$A:$A,'[8]october-2025'!$H:$H,0,0)</f>
        <v>10000</v>
      </c>
      <c r="CJ36">
        <f>_xlfn.XLOOKUP(B36,'[8]october-2025'!$A:$A,'[8]october-2025'!$I:$I,0,0)</f>
        <v>60</v>
      </c>
      <c r="CK36">
        <f>IF($F36="YES",0,IF(CH36&gt;40000,200,IF(CH36&gt;25000,150,IF(CH36&gt;15000,130,IF(CH36&gt;10000,110,0)))))</f>
        <v>200</v>
      </c>
      <c r="CL36">
        <f>CH36-CI36-CJ36-CK36</f>
        <v>59930</v>
      </c>
      <c r="CM36">
        <f>_xlfn.XLOOKUP(B36,'[9]november-2025'!$A:$A,'[9]november-2025'!$C:$C,0,0)</f>
        <v>53300</v>
      </c>
      <c r="CN36">
        <f>CM36*0.18</f>
        <v>9594</v>
      </c>
      <c r="CO36">
        <f>CM36*0.12</f>
        <v>6396</v>
      </c>
      <c r="CP36">
        <f>_xlfn.XLOOKUP(B36,'[9]november-2025'!$A:$A,'[9]november-2025'!$D:$D,0,0)</f>
        <v>400</v>
      </c>
      <c r="CQ36">
        <f>_xlfn.XLOOKUP(B36,'[9]november-2025'!$A:$A,'[9]november-2025'!$G:$G,0,0)</f>
        <v>500</v>
      </c>
      <c r="CR36">
        <f>IF(CM36&gt;0,SUM(CM36:CQ36),0)</f>
        <v>70190</v>
      </c>
      <c r="CS36">
        <f>_xlfn.XLOOKUP(B36,'[9]november-2025'!$A:$A,'[9]november-2025'!$H:$H,0,0)</f>
        <v>10000</v>
      </c>
      <c r="CT36">
        <f>_xlfn.XLOOKUP(B36,'[9]november-2025'!$A:$A,'[9]november-2025'!$I:$I,0,0)</f>
        <v>60</v>
      </c>
      <c r="CU36">
        <f>IF($F36="YES",0,IF(CR36&gt;40000,200,IF(CR36&gt;25000,150,IF(CR36&gt;15000,130,IF(CR36&gt;10000,110,0)))))</f>
        <v>200</v>
      </c>
      <c r="CV36">
        <f>CR36-CS36-CT36-CU36</f>
        <v>59930</v>
      </c>
      <c r="CW36">
        <f>_xlfn.XLOOKUP(B36,'[10]december-2025'!$A:$A,'[10]december-2025'!$C:$C,0,0)</f>
        <v>53300</v>
      </c>
      <c r="CX36">
        <f>ROUND(CW36*0.18,0)</f>
        <v>9594</v>
      </c>
      <c r="CY36">
        <f>ROUND(CW36*0.12,0)</f>
        <v>6396</v>
      </c>
      <c r="CZ36">
        <f>_xlfn.XLOOKUP(B36,'[10]december-2025'!$A:$A,'[10]december-2025'!$D:$D,0,0)</f>
        <v>400</v>
      </c>
      <c r="DA36">
        <f>_xlfn.XLOOKUP(B36,'[10]december-2025'!$A:$A,'[10]december-2025'!$G:$G,0,0)</f>
        <v>500</v>
      </c>
      <c r="DB36">
        <f>IF(CW36&gt;0,SUM(CW36:DA36),0)</f>
        <v>70190</v>
      </c>
      <c r="DC36">
        <f>_xlfn.XLOOKUP(B36,'[10]december-2025'!$A:$A,'[10]december-2025'!$H:$H,0,0)</f>
        <v>10000</v>
      </c>
      <c r="DD36">
        <f>_xlfn.XLOOKUP(B36,'[10]december-2025'!$A:$A,'[10]december-2025'!$I:$I,0,0)</f>
        <v>60</v>
      </c>
      <c r="DE36">
        <f>IF($F36="YES",0,IF(DB36&gt;40000,200,IF(DB36&gt;25000,150,IF(DB36&gt;15000,130,IF(DB36&gt;10000,110,0)))))</f>
        <v>200</v>
      </c>
      <c r="DF36">
        <f>DB36-DC36-DD36-DE36</f>
        <v>59930</v>
      </c>
      <c r="DG36">
        <f>_xlfn.XLOOKUP(B36,'[11]january-2026'!$A:$A,'[11]january-2026'!$C:$C,0,0)</f>
        <v>53300</v>
      </c>
      <c r="DH36">
        <f>DG36*0.18</f>
        <v>9594</v>
      </c>
      <c r="DI36">
        <f>DG36*0.12</f>
        <v>6396</v>
      </c>
      <c r="DJ36">
        <f>_xlfn.XLOOKUP(B36,'[11]january-2026'!$A:$A,'[11]january-2026'!$D:$D,0,0)</f>
        <v>400</v>
      </c>
      <c r="DK36">
        <f>_xlfn.XLOOKUP(B36,'[11]january-2026'!$A:$A,'[11]january-2026'!$G:$G,0,0)</f>
        <v>500</v>
      </c>
      <c r="DL36">
        <f>IF(DG36&gt;0,SUM(DG36:DK36),0)</f>
        <v>70190</v>
      </c>
      <c r="DM36">
        <f>_xlfn.XLOOKUP(B36,'[11]january-2026'!$A:$A,'[11]january-2026'!$H:$H,0,0)</f>
        <v>10000</v>
      </c>
      <c r="DN36">
        <f>_xlfn.XLOOKUP(B36,'[11]january-2026'!$A:$A,'[11]january-2026'!$I:$I,0,0)</f>
        <v>60</v>
      </c>
      <c r="DO36">
        <f>IF($F36="YES",0,IF(DL36&gt;40000,200,IF(DL36&gt;25000,150,IF(DL36&gt;15000,130,IF(DL36&gt;10000,110,0)))))</f>
        <v>200</v>
      </c>
      <c r="DP36">
        <f>DL36-DM36-DN36-DO36</f>
        <v>59930</v>
      </c>
      <c r="DQ36">
        <f>_xlfn.XLOOKUP(B36,'[12]february-2026'!$A:$A,'[12]february-2026'!$C:$C,0,0)</f>
        <v>53300</v>
      </c>
      <c r="DR36">
        <f>DQ36*0.18</f>
        <v>9594</v>
      </c>
      <c r="DS36">
        <f>DQ36*0.12</f>
        <v>6396</v>
      </c>
      <c r="DT36">
        <f>_xlfn.XLOOKUP(B36,'[12]february-2026'!$A:$A,'[12]february-2026'!$D:$D,0,0)</f>
        <v>400</v>
      </c>
      <c r="DU36">
        <f>_xlfn.XLOOKUP(B36,'[12]february-2026'!$A:$A,'[12]february-2026'!$G:$G,0,0)</f>
        <v>500</v>
      </c>
      <c r="DV36">
        <f>IF(DQ36&gt;0,SUM(DQ36:DU36),0)</f>
        <v>70190</v>
      </c>
      <c r="DW36">
        <f>_xlfn.XLOOKUP(B36,'[12]february-2026'!$A:$A,'[12]february-2026'!$H:$H,0,0)</f>
        <v>10000</v>
      </c>
      <c r="DX36">
        <f>_xlfn.XLOOKUP(B36,'[12]february-2026'!$A:$A,'[12]february-2026'!$I:$I,0,0)</f>
        <v>60</v>
      </c>
      <c r="DY36">
        <f>IF($F36="YES",0,IF(DV36&gt;40000,200,IF(DV36&gt;25000,150,IF(DV36&gt;15000,130,IF(DV36&gt;10000,110,0)))))</f>
        <v>200</v>
      </c>
      <c r="DZ36">
        <f>DV36-DW36-DX36-DY36</f>
        <v>59930</v>
      </c>
      <c r="EA36">
        <f>DV36+DL36+DB36+CR36+CH36+BX36+BN36+BD36+AS36+AI36+Y36+O36+H36+I36</f>
        <v>838692</v>
      </c>
      <c r="EB36">
        <f>DY36+DO36+DE36+CU36+CK36+CA36+BQ36+BG36+AV36+AL36+AB36+R36</f>
        <v>2400</v>
      </c>
      <c r="EC36">
        <f>IF(EA36&gt;0,50000,0)</f>
        <v>50000</v>
      </c>
      <c r="ED36">
        <v>0</v>
      </c>
      <c r="EE36">
        <f>EA36-EB36-EC36</f>
        <v>786292</v>
      </c>
      <c r="EF36">
        <f>DW36+DM36+DC36+CS36+CI36+BY36+BO36+BE36+AT36+AJ36+Z36+P36</f>
        <v>120000</v>
      </c>
      <c r="EG36">
        <f>DX36+DN36+DD36+CT36+CJ36+BZ36+BP36+BF36+AU36+AK36+AA36+Q36</f>
        <v>720</v>
      </c>
      <c r="EH36">
        <v>0</v>
      </c>
      <c r="EI36">
        <v>0</v>
      </c>
      <c r="EJ36">
        <v>0</v>
      </c>
      <c r="EK36">
        <v>0</v>
      </c>
      <c r="EL36">
        <v>0</v>
      </c>
      <c r="EM36">
        <v>0</v>
      </c>
      <c r="EN36">
        <v>0</v>
      </c>
      <c r="EO36">
        <v>0</v>
      </c>
      <c r="EP36">
        <v>0</v>
      </c>
      <c r="EQ36">
        <v>0</v>
      </c>
      <c r="ER36">
        <f>SUM(EF36:EQ36)</f>
        <v>120720</v>
      </c>
      <c r="ES36">
        <f>IF(ER36&gt;=150000,150000,ER36)</f>
        <v>120720</v>
      </c>
      <c r="ET36">
        <f>EE36-ES36</f>
        <v>665572</v>
      </c>
      <c r="EU36">
        <v>0</v>
      </c>
      <c r="EV36">
        <v>0</v>
      </c>
      <c r="EW36">
        <v>0</v>
      </c>
      <c r="EX36">
        <v>0</v>
      </c>
      <c r="EY36">
        <v>0</v>
      </c>
      <c r="EZ36">
        <v>0</v>
      </c>
      <c r="FA36">
        <v>0</v>
      </c>
      <c r="FB36">
        <f>SUM(EU36:FA36)+(IF(F36="YES",50000,0))</f>
        <v>0</v>
      </c>
      <c r="FC36">
        <f>ET36-FB36</f>
        <v>665572</v>
      </c>
      <c r="FD36">
        <f>ROUND(IF(FC36&gt;0,IF(FC36&gt;500000,12500,(FC36-250000)*0.05),0),0)</f>
        <v>12500</v>
      </c>
      <c r="FE36">
        <f>IF(ROUND(IF(FC36&gt;0,IF(FC36&gt;1000000,25000,(FC36-500000)*0.2),0),0)&lt;0,0,ROUND(IF(FC36&gt;0,IF(FC36&gt;1000000,25000,(FC36-500000)*0.2),0),0))</f>
        <v>33114</v>
      </c>
      <c r="FF36">
        <f>FD36+FE36</f>
        <v>45614</v>
      </c>
      <c r="FG36">
        <f>IF(FF36&lt;12500,0,FF36)</f>
        <v>45614</v>
      </c>
      <c r="FH36">
        <f>FG36*0.04</f>
        <v>1824.56</v>
      </c>
      <c r="FI36">
        <f>ROUND(FH36+FG36,0)</f>
        <v>47439</v>
      </c>
      <c r="FJ36">
        <v>0</v>
      </c>
      <c r="FK36">
        <f>FI36-FJ36</f>
        <v>47439</v>
      </c>
      <c r="FL36" t="b">
        <f>IF(EA36&gt;500000,TRUE,FALSE)</f>
        <v>1</v>
      </c>
      <c r="FM36">
        <f ca="1">IF(FL36,RANDBETWEEN(500,1000),RANDBETWEEN(1000,3000))</f>
        <v>921</v>
      </c>
      <c r="FN36">
        <f ca="1">EA36+FM36</f>
        <v>839613</v>
      </c>
      <c r="FO36">
        <f>IF(EA36&gt;0,75000,0)</f>
        <v>75000</v>
      </c>
      <c r="FP36">
        <f ca="1">FN36-FO36</f>
        <v>764613</v>
      </c>
      <c r="FQ36">
        <f ca="1">IF(FP36&gt;2400000,FP36-2400000,0)</f>
        <v>0</v>
      </c>
      <c r="FR36">
        <f ca="1">FQ36*0.3</f>
        <v>0</v>
      </c>
      <c r="FS36">
        <f ca="1">IF(FP36&gt;2000000,FP36-2000000,0)</f>
        <v>0</v>
      </c>
      <c r="FT36">
        <f ca="1">FS36*0.25</f>
        <v>0</v>
      </c>
      <c r="FU36">
        <f ca="1">IF(FP36&gt;1600000,FP36-1600000-FQ36,0)</f>
        <v>0</v>
      </c>
      <c r="FV36">
        <f ca="1">FU36*0.2</f>
        <v>0</v>
      </c>
      <c r="FW36">
        <f ca="1">IF(FP36&gt;1200000,FP36-1200000-IF(F36="YES",50000,0)-FU36,0)</f>
        <v>0</v>
      </c>
      <c r="FX36">
        <f ca="1">FW36*0.15</f>
        <v>0</v>
      </c>
      <c r="FY36">
        <f ca="1">IF(FP36&gt;800000,FP36-800000-FQ36-FU36-FW36,0)</f>
        <v>0</v>
      </c>
      <c r="FZ36">
        <f ca="1">FY36*0.1</f>
        <v>0</v>
      </c>
      <c r="GA36">
        <f ca="1">IF(FP36&gt;400000,FP36-400000-FQ36-FU36-FW36-FY36,0)</f>
        <v>364613</v>
      </c>
      <c r="GB36">
        <f ca="1">GA36*0.05</f>
        <v>18230.650000000001</v>
      </c>
      <c r="GC36">
        <f ca="1">ROUND(FR36+FT36+FV36+FX36+FZ36+GB36,0)</f>
        <v>18231</v>
      </c>
      <c r="GD36">
        <f ca="1">IF(FP36&gt;1200000,FP36,0)</f>
        <v>0</v>
      </c>
      <c r="GE36">
        <f ca="1">IF(FP36&gt;1200000,GD36-1200000,0)</f>
        <v>0</v>
      </c>
      <c r="GF36">
        <f ca="1">IF(FP36&lt;1200001,MIN(GC36,60000),0)</f>
        <v>18231</v>
      </c>
      <c r="GG36">
        <f ca="1">IF(FP36&gt;1200000,GC36-GE36,0)</f>
        <v>0</v>
      </c>
      <c r="GH36" t="b">
        <f ca="1">IF(GG36&gt;0,TRUE,FALSE)</f>
        <v>0</v>
      </c>
      <c r="GI36">
        <f ca="1">IF(GH36,GG36,0)</f>
        <v>0</v>
      </c>
      <c r="GJ36">
        <f ca="1">GF36+GI36</f>
        <v>18231</v>
      </c>
      <c r="GK36">
        <f ca="1">ROUND(GC36-GJ36,0)</f>
        <v>0</v>
      </c>
      <c r="GL36">
        <f ca="1">GK36*0.04</f>
        <v>0</v>
      </c>
      <c r="GM36">
        <f ca="1">ROUNDUP(GK36+GL36,0)</f>
        <v>0</v>
      </c>
    </row>
    <row r="37" spans="1:195" x14ac:dyDescent="0.25">
      <c r="A37">
        <f>_xlfn.AGGREGATE(3,5,$B$2:B37)</f>
        <v>36</v>
      </c>
      <c r="B37" t="s">
        <v>192</v>
      </c>
      <c r="C37" t="s">
        <v>193</v>
      </c>
      <c r="D37" t="s">
        <v>761</v>
      </c>
      <c r="E37" t="s">
        <v>833</v>
      </c>
      <c r="F37" t="s">
        <v>959</v>
      </c>
      <c r="G37" t="s">
        <v>879</v>
      </c>
      <c r="H37">
        <f>IF(_xlfn.DAYS("31-03-2025",G37)&gt;=180,6800,0)</f>
        <v>6800</v>
      </c>
      <c r="I37">
        <f>_xlfn.XLOOKUP(B37,'[1]march-2025'!$A:$A,'[1]march-2025'!$J:$J,0,0)</f>
        <v>0</v>
      </c>
      <c r="J37">
        <f>_xlfn.XLOOKUP(B37,'[1]march-2025'!$A:$A,'[1]march-2025'!$C:$C,0,0)</f>
        <v>25400</v>
      </c>
      <c r="K37">
        <f>J37*0.14</f>
        <v>3556.0000000000005</v>
      </c>
      <c r="L37">
        <f>J37*0.12</f>
        <v>3048</v>
      </c>
      <c r="M37">
        <f>_xlfn.XLOOKUP(B37,'[1]march-2025'!$A:$A,'[1]march-2025'!$D:$D,0,0)</f>
        <v>0</v>
      </c>
      <c r="N37">
        <f>_xlfn.XLOOKUP(B37,'[1]march-2025'!$A:$A,'[1]march-2025'!$G:$G,0,0)</f>
        <v>0</v>
      </c>
      <c r="O37">
        <f>IF(J37&gt;0,SUM(J37:N37),0)</f>
        <v>32004</v>
      </c>
      <c r="P37">
        <f>_xlfn.XLOOKUP(B37,'[1]march-2025'!$A:$A,'[1]march-2025'!$H:$H,0,0)</f>
        <v>2000</v>
      </c>
      <c r="Q37">
        <f>_xlfn.XLOOKUP(B37,'[1]march-2025'!$A:$A,'[1]march-2025'!$I:$I,0,0)</f>
        <v>0</v>
      </c>
      <c r="R37">
        <f>IF($F37="YES",0,IF(O37&gt;40000,200,IF(O37&gt;25000,150,IF(O37&gt;15000,130,IF(O37&gt;10000,110,0)))))</f>
        <v>150</v>
      </c>
      <c r="S37">
        <f>O37-P37-Q37-R37</f>
        <v>29854</v>
      </c>
      <c r="T37">
        <f>_xlfn.XLOOKUP(B37,'[2]april-2025'!$A:$A,'[2]april-2025'!$C:$C,0,0)</f>
        <v>25400</v>
      </c>
      <c r="U37">
        <f>T37*0.18</f>
        <v>4572</v>
      </c>
      <c r="V37">
        <f>T37*0.12</f>
        <v>3048</v>
      </c>
      <c r="W37">
        <f>_xlfn.XLOOKUP(B37,'[2]april-2025'!$A:$A,'[2]april-2025'!$D:$D,0,0)</f>
        <v>0</v>
      </c>
      <c r="X37">
        <f>_xlfn.XLOOKUP(B37,'[2]april-2025'!$A:$A,'[2]april-2025'!$G:$G,0,0)</f>
        <v>0</v>
      </c>
      <c r="Y37">
        <f>IF(T37&gt;0,SUM(T37:X37),0)</f>
        <v>33020</v>
      </c>
      <c r="Z37">
        <f>_xlfn.XLOOKUP(B37,'[2]april-2025'!$A:$A,'[2]april-2025'!$H:$H,0,0)</f>
        <v>2000</v>
      </c>
      <c r="AA37">
        <f>_xlfn.XLOOKUP(B37,'[2]april-2025'!$A:$A,'[2]april-2025'!$I:$I,0,0)</f>
        <v>0</v>
      </c>
      <c r="AB37">
        <f>IF($F37="YES",0,IF(Y37&gt;40000,200,IF(Y37&gt;25000,150,IF(Y37&gt;15000,130,IF(Y37&gt;10000,110,0)))))</f>
        <v>150</v>
      </c>
      <c r="AC37">
        <f>Y37-Z37-AA37-AB37</f>
        <v>30870</v>
      </c>
      <c r="AD37">
        <f>_xlfn.XLOOKUP(B37,'[3]may-2025'!$A:$A,'[3]may-2025'!$C:$C,0,0)</f>
        <v>25400</v>
      </c>
      <c r="AE37">
        <f>AD37*0.18</f>
        <v>4572</v>
      </c>
      <c r="AF37">
        <f>AD37*0.12</f>
        <v>3048</v>
      </c>
      <c r="AG37">
        <f>_xlfn.XLOOKUP(B37,'[3]may-2025'!$A:$A,'[3]may-2025'!$D:$D,0,0)</f>
        <v>0</v>
      </c>
      <c r="AH37">
        <f>_xlfn.XLOOKUP(B37,'[3]may-2025'!$A:$A,'[3]may-2025'!$G:$G,0,0)</f>
        <v>0</v>
      </c>
      <c r="AI37">
        <f>IF(AD37&gt;0,SUM(AD37:AH37),0)</f>
        <v>33020</v>
      </c>
      <c r="AJ37">
        <f>_xlfn.XLOOKUP(B37,'[3]may-2025'!$A:$A,'[3]may-2025'!$H:$H,0,0)</f>
        <v>2000</v>
      </c>
      <c r="AK37">
        <f>_xlfn.XLOOKUP(B37,'[3]may-2025'!$A:$A,'[3]may-2025'!$I:$I,0,0)</f>
        <v>0</v>
      </c>
      <c r="AL37">
        <f>IF($F37="YES",0,IF(AI37&gt;40000,200,IF(AI37&gt;25000,150,IF(AI37&gt;15000,130,IF(AI37&gt;10000,110,0)))))</f>
        <v>150</v>
      </c>
      <c r="AM37">
        <f>AI37-AJ37-AK37-AL37</f>
        <v>30870</v>
      </c>
      <c r="AN37">
        <f>_xlfn.XLOOKUP(B37,'[4]june-2025'!$A:$A,'[4]june-2025'!$C:$C,0,0)</f>
        <v>25400</v>
      </c>
      <c r="AO37">
        <f>AN37*0.18</f>
        <v>4572</v>
      </c>
      <c r="AP37">
        <f>AN37*0.12</f>
        <v>3048</v>
      </c>
      <c r="AQ37">
        <f>_xlfn.XLOOKUP(B37,'[4]june-2025'!$A:$A,'[4]june-2025'!$D:$D,0,0)</f>
        <v>0</v>
      </c>
      <c r="AR37">
        <f>_xlfn.XLOOKUP(B37,'[4]june-2025'!$A:$A,'[4]june-2025'!$G:$G,0,0)</f>
        <v>0</v>
      </c>
      <c r="AS37">
        <f>IF(AN37&gt;0,SUM(AN37:AR37),0)</f>
        <v>33020</v>
      </c>
      <c r="AT37">
        <f>_xlfn.XLOOKUP(B37,'[4]june-2025'!$A:$A,'[4]june-2025'!$H:$H,0,0)</f>
        <v>2000</v>
      </c>
      <c r="AU37">
        <f>_xlfn.XLOOKUP(B37,'[4]june-2025'!$A:$A,'[4]june-2025'!$I:$I,0,0)</f>
        <v>0</v>
      </c>
      <c r="AV37">
        <f>IF($F37="YES",0,IF(AS37&gt;40000,200,IF(AS37&gt;25000,150,IF(AS37&gt;15000,130,IF(AS37&gt;10000,110,0)))))</f>
        <v>150</v>
      </c>
      <c r="AW37">
        <f>AS37-AT37-AU37-AV37</f>
        <v>30870</v>
      </c>
      <c r="AX37">
        <f>_xlfn.XLOOKUP(B37,'[5]july-2025'!$A:$A,'[5]july-2025'!$C:$C,0,0)</f>
        <v>26200</v>
      </c>
      <c r="AY37">
        <f>AX37*0.18</f>
        <v>4716</v>
      </c>
      <c r="AZ37">
        <v>0</v>
      </c>
      <c r="BA37">
        <f>AX37*0.12</f>
        <v>3144</v>
      </c>
      <c r="BB37">
        <f>_xlfn.XLOOKUP(B37,'[5]july-2025'!$A:$A,'[5]july-2025'!$D:$D,0,0)</f>
        <v>0</v>
      </c>
      <c r="BC37">
        <f>_xlfn.XLOOKUP(B37,'[5]july-2025'!$A:$A,'[5]july-2025'!$G:$G,0,0)</f>
        <v>0</v>
      </c>
      <c r="BD37">
        <f>IF(AX37&gt;0,SUM(AX37:BC37),0)</f>
        <v>34060</v>
      </c>
      <c r="BE37">
        <f>_xlfn.XLOOKUP(B37,'[5]july-2025'!$A:$A,'[5]july-2025'!$H:$H,0,0)</f>
        <v>2000</v>
      </c>
      <c r="BF37">
        <f>_xlfn.XLOOKUP(B37,'[5]july-2025'!$A:$A,'[5]july-2025'!$I:$I,0,0)</f>
        <v>0</v>
      </c>
      <c r="BG37">
        <f>IF($F37="YES",0,IF(BD37&gt;40000,200,IF(BD37&gt;25000,150,IF(BD37&gt;15000,130,IF(BD37&gt;10000,110,0)))))</f>
        <v>150</v>
      </c>
      <c r="BH37">
        <f>BD37-BE37-BF37-BG37</f>
        <v>31910</v>
      </c>
      <c r="BI37">
        <f>_xlfn.XLOOKUP(B37,'[6]august-2025'!$A:$A,'[6]august-2025'!$C:$C,0,0)</f>
        <v>26200</v>
      </c>
      <c r="BJ37">
        <f>BI37*0.18</f>
        <v>4716</v>
      </c>
      <c r="BK37">
        <f>BI37*0.12</f>
        <v>3144</v>
      </c>
      <c r="BL37">
        <f>_xlfn.XLOOKUP(B37,'[6]august-2025'!$A:$A,'[6]august-2025'!$D:$D,0,0)</f>
        <v>0</v>
      </c>
      <c r="BM37">
        <f>_xlfn.XLOOKUP(B37,'[6]august-2025'!$A:$A,'[6]august-2025'!$G:$G,0,0)</f>
        <v>0</v>
      </c>
      <c r="BN37">
        <f>IF(BI37&gt;0,SUM(BI37:BM37),0)</f>
        <v>34060</v>
      </c>
      <c r="BO37">
        <f>_xlfn.XLOOKUP(B37,'[6]august-2025'!$A:$A,'[6]august-2025'!$H:$H,0,0)</f>
        <v>2000</v>
      </c>
      <c r="BP37">
        <f>_xlfn.XLOOKUP(B37,'[6]august-2025'!$A:$A,'[6]august-2025'!$I:$I,0,0)</f>
        <v>0</v>
      </c>
      <c r="BQ37">
        <f>IF($F37="YES",0,IF(BN37&gt;40000,200,IF(BN37&gt;25000,150,IF(BN37&gt;15000,130,IF(BN37&gt;10000,110,0)))))</f>
        <v>150</v>
      </c>
      <c r="BR37">
        <f>BN37-BO37-BP37-BQ37</f>
        <v>31910</v>
      </c>
      <c r="BS37">
        <f>_xlfn.XLOOKUP(B37,'[7]september-2025'!$A:$A,'[7]september-2025'!$C:$C,0,0)</f>
        <v>26200</v>
      </c>
      <c r="BT37">
        <f>BS37*0.18</f>
        <v>4716</v>
      </c>
      <c r="BU37">
        <f>BS37*0.12</f>
        <v>3144</v>
      </c>
      <c r="BV37">
        <f>_xlfn.XLOOKUP(B37,'[7]september-2025'!$A:$A,'[7]september-2025'!$D:$D,0,0)</f>
        <v>0</v>
      </c>
      <c r="BW37">
        <f>_xlfn.XLOOKUP(B37,'[7]september-2025'!$A:$A,'[7]september-2025'!$G:$G,0,0)</f>
        <v>0</v>
      </c>
      <c r="BX37">
        <f>IF(BS37&gt;0,SUM(BS37:BW37),0)</f>
        <v>34060</v>
      </c>
      <c r="BY37">
        <f>_xlfn.XLOOKUP(B37,'[7]september-2025'!$A:$A,'[7]september-2025'!$H:$H,0,0)</f>
        <v>2000</v>
      </c>
      <c r="BZ37">
        <f>_xlfn.XLOOKUP(B37,'[7]september-2025'!$A:$A,'[7]september-2025'!$I:$I,0,0)</f>
        <v>0</v>
      </c>
      <c r="CA37">
        <f>IF($F37="YES",0,IF(BX37&gt;40000,200,IF(BX37&gt;25000,150,IF(BX37&gt;15000,130,IF(BX37&gt;10000,110,0)))))</f>
        <v>150</v>
      </c>
      <c r="CB37">
        <f>BX37-BY37-BZ37-CA37</f>
        <v>31910</v>
      </c>
      <c r="CC37">
        <f>_xlfn.XLOOKUP(B37,'[8]october-2025'!$A:$A,'[8]october-2025'!$C:$C,0,0)</f>
        <v>26200</v>
      </c>
      <c r="CD37">
        <f>CC37*0.18</f>
        <v>4716</v>
      </c>
      <c r="CE37">
        <f>CC37*0.12</f>
        <v>3144</v>
      </c>
      <c r="CF37">
        <f>_xlfn.XLOOKUP(B37,'[8]october-2025'!$A:$A,'[8]october-2025'!$D:$D,0,0)</f>
        <v>0</v>
      </c>
      <c r="CG37">
        <f>_xlfn.XLOOKUP(B37,'[8]october-2025'!$A:$A,'[8]october-2025'!$G:$G,0,0)</f>
        <v>0</v>
      </c>
      <c r="CH37">
        <f>IF(CC37&gt;0,SUM(CC37:CG37),0)</f>
        <v>34060</v>
      </c>
      <c r="CI37">
        <f>_xlfn.XLOOKUP(B37,'[8]october-2025'!$A:$A,'[8]october-2025'!$H:$H,0,0)</f>
        <v>2000</v>
      </c>
      <c r="CJ37">
        <f>_xlfn.XLOOKUP(B37,'[8]october-2025'!$A:$A,'[8]october-2025'!$I:$I,0,0)</f>
        <v>0</v>
      </c>
      <c r="CK37">
        <f>IF($F37="YES",0,IF(CH37&gt;40000,200,IF(CH37&gt;25000,150,IF(CH37&gt;15000,130,IF(CH37&gt;10000,110,0)))))</f>
        <v>150</v>
      </c>
      <c r="CL37">
        <f>CH37-CI37-CJ37-CK37</f>
        <v>31910</v>
      </c>
      <c r="CM37">
        <f>_xlfn.XLOOKUP(B37,'[9]november-2025'!$A:$A,'[9]november-2025'!$C:$C,0,0)</f>
        <v>26200</v>
      </c>
      <c r="CN37">
        <f>CM37*0.18</f>
        <v>4716</v>
      </c>
      <c r="CO37">
        <f>CM37*0.12</f>
        <v>3144</v>
      </c>
      <c r="CP37">
        <f>_xlfn.XLOOKUP(B37,'[9]november-2025'!$A:$A,'[9]november-2025'!$D:$D,0,0)</f>
        <v>0</v>
      </c>
      <c r="CQ37">
        <f>_xlfn.XLOOKUP(B37,'[9]november-2025'!$A:$A,'[9]november-2025'!$G:$G,0,0)</f>
        <v>0</v>
      </c>
      <c r="CR37">
        <f>IF(CM37&gt;0,SUM(CM37:CQ37),0)</f>
        <v>34060</v>
      </c>
      <c r="CS37">
        <f>_xlfn.XLOOKUP(B37,'[9]november-2025'!$A:$A,'[9]november-2025'!$H:$H,0,0)</f>
        <v>2000</v>
      </c>
      <c r="CT37">
        <f>_xlfn.XLOOKUP(B37,'[9]november-2025'!$A:$A,'[9]november-2025'!$I:$I,0,0)</f>
        <v>0</v>
      </c>
      <c r="CU37">
        <f>IF($F37="YES",0,IF(CR37&gt;40000,200,IF(CR37&gt;25000,150,IF(CR37&gt;15000,130,IF(CR37&gt;10000,110,0)))))</f>
        <v>150</v>
      </c>
      <c r="CV37">
        <f>CR37-CS37-CT37-CU37</f>
        <v>31910</v>
      </c>
      <c r="CW37">
        <f>_xlfn.XLOOKUP(B37,'[10]december-2025'!$A:$A,'[10]december-2025'!$C:$C,0,0)</f>
        <v>26200</v>
      </c>
      <c r="CX37">
        <f>ROUND(CW37*0.18,0)</f>
        <v>4716</v>
      </c>
      <c r="CY37">
        <f>ROUND(CW37*0.12,0)</f>
        <v>3144</v>
      </c>
      <c r="CZ37">
        <f>_xlfn.XLOOKUP(B37,'[10]december-2025'!$A:$A,'[10]december-2025'!$D:$D,0,0)</f>
        <v>0</v>
      </c>
      <c r="DA37">
        <f>_xlfn.XLOOKUP(B37,'[10]december-2025'!$A:$A,'[10]december-2025'!$G:$G,0,0)</f>
        <v>0</v>
      </c>
      <c r="DB37">
        <f>IF(CW37&gt;0,SUM(CW37:DA37),0)</f>
        <v>34060</v>
      </c>
      <c r="DC37">
        <f>_xlfn.XLOOKUP(B37,'[10]december-2025'!$A:$A,'[10]december-2025'!$H:$H,0,0)</f>
        <v>2000</v>
      </c>
      <c r="DD37">
        <f>_xlfn.XLOOKUP(B37,'[10]december-2025'!$A:$A,'[10]december-2025'!$I:$I,0,0)</f>
        <v>0</v>
      </c>
      <c r="DE37">
        <f>IF($F37="YES",0,IF(DB37&gt;40000,200,IF(DB37&gt;25000,150,IF(DB37&gt;15000,130,IF(DB37&gt;10000,110,0)))))</f>
        <v>150</v>
      </c>
      <c r="DF37">
        <f>DB37-DC37-DD37-DE37</f>
        <v>31910</v>
      </c>
      <c r="DG37">
        <f>_xlfn.XLOOKUP(B37,'[11]january-2026'!$A:$A,'[11]january-2026'!$C:$C,0,0)</f>
        <v>26200</v>
      </c>
      <c r="DH37">
        <f>DG37*0.18</f>
        <v>4716</v>
      </c>
      <c r="DI37">
        <f>DG37*0.12</f>
        <v>3144</v>
      </c>
      <c r="DJ37">
        <f>_xlfn.XLOOKUP(B37,'[11]january-2026'!$A:$A,'[11]january-2026'!$D:$D,0,0)</f>
        <v>0</v>
      </c>
      <c r="DK37">
        <f>_xlfn.XLOOKUP(B37,'[11]january-2026'!$A:$A,'[11]january-2026'!$G:$G,0,0)</f>
        <v>0</v>
      </c>
      <c r="DL37">
        <f>IF(DG37&gt;0,SUM(DG37:DK37),0)</f>
        <v>34060</v>
      </c>
      <c r="DM37">
        <f>_xlfn.XLOOKUP(B37,'[11]january-2026'!$A:$A,'[11]january-2026'!$H:$H,0,0)</f>
        <v>2000</v>
      </c>
      <c r="DN37">
        <f>_xlfn.XLOOKUP(B37,'[11]january-2026'!$A:$A,'[11]january-2026'!$I:$I,0,0)</f>
        <v>0</v>
      </c>
      <c r="DO37">
        <f>IF($F37="YES",0,IF(DL37&gt;40000,200,IF(DL37&gt;25000,150,IF(DL37&gt;15000,130,IF(DL37&gt;10000,110,0)))))</f>
        <v>150</v>
      </c>
      <c r="DP37">
        <f>DL37-DM37-DN37-DO37</f>
        <v>31910</v>
      </c>
      <c r="DQ37">
        <f>_xlfn.XLOOKUP(B37,'[12]february-2026'!$A:$A,'[12]february-2026'!$C:$C,0,0)</f>
        <v>26200</v>
      </c>
      <c r="DR37">
        <f>DQ37*0.18</f>
        <v>4716</v>
      </c>
      <c r="DS37">
        <f>DQ37*0.12</f>
        <v>3144</v>
      </c>
      <c r="DT37">
        <f>_xlfn.XLOOKUP(B37,'[12]february-2026'!$A:$A,'[12]february-2026'!$D:$D,0,0)</f>
        <v>0</v>
      </c>
      <c r="DU37">
        <f>_xlfn.XLOOKUP(B37,'[12]february-2026'!$A:$A,'[12]february-2026'!$G:$G,0,0)</f>
        <v>0</v>
      </c>
      <c r="DV37">
        <f>IF(DQ37&gt;0,SUM(DQ37:DU37),0)</f>
        <v>34060</v>
      </c>
      <c r="DW37">
        <f>_xlfn.XLOOKUP(B37,'[12]february-2026'!$A:$A,'[12]february-2026'!$H:$H,0,0)</f>
        <v>2000</v>
      </c>
      <c r="DX37">
        <f>_xlfn.XLOOKUP(B37,'[12]february-2026'!$A:$A,'[12]february-2026'!$I:$I,0,0)</f>
        <v>0</v>
      </c>
      <c r="DY37">
        <f>IF($F37="YES",0,IF(DV37&gt;40000,200,IF(DV37&gt;25000,150,IF(DV37&gt;15000,130,IF(DV37&gt;10000,110,0)))))</f>
        <v>150</v>
      </c>
      <c r="DZ37">
        <f>DV37-DW37-DX37-DY37</f>
        <v>31910</v>
      </c>
      <c r="EA37">
        <f>DV37+DL37+DB37+CR37+CH37+BX37+BN37+BD37+AS37+AI37+Y37+O37+H37+I37</f>
        <v>410344</v>
      </c>
      <c r="EB37">
        <f>DY37+DO37+DE37+CU37+CK37+CA37+BQ37+BG37+AV37+AL37+AB37+R37</f>
        <v>1800</v>
      </c>
      <c r="EC37">
        <f>IF(EA37&gt;0,50000,0)</f>
        <v>50000</v>
      </c>
      <c r="ED37">
        <v>0</v>
      </c>
      <c r="EE37">
        <f>EA37-EB37-EC37</f>
        <v>358544</v>
      </c>
      <c r="EF37">
        <f>DW37+DM37+DC37+CS37+CI37+BY37+BO37+BE37+AT37+AJ37+Z37+P37</f>
        <v>24000</v>
      </c>
      <c r="EG37">
        <f>DX37+DN37+DD37+CT37+CJ37+BZ37+BP37+BF37+AU37+AK37+AA37+Q37</f>
        <v>0</v>
      </c>
      <c r="EH37">
        <v>0</v>
      </c>
      <c r="EI37">
        <v>0</v>
      </c>
      <c r="EJ37">
        <v>0</v>
      </c>
      <c r="EK37">
        <v>0</v>
      </c>
      <c r="EL37">
        <v>0</v>
      </c>
      <c r="EM37">
        <v>0</v>
      </c>
      <c r="EN37">
        <v>0</v>
      </c>
      <c r="EO37">
        <v>0</v>
      </c>
      <c r="EP37">
        <v>0</v>
      </c>
      <c r="EQ37">
        <v>0</v>
      </c>
      <c r="ER37">
        <f>SUM(EF37:EQ37)</f>
        <v>24000</v>
      </c>
      <c r="ES37">
        <f>IF(ER37&gt;=150000,150000,ER37)</f>
        <v>24000</v>
      </c>
      <c r="ET37">
        <f>EE37-ES37</f>
        <v>334544</v>
      </c>
      <c r="EU37">
        <v>0</v>
      </c>
      <c r="EV37">
        <v>0</v>
      </c>
      <c r="EW37">
        <v>0</v>
      </c>
      <c r="EX37">
        <v>0</v>
      </c>
      <c r="EY37">
        <v>0</v>
      </c>
      <c r="EZ37">
        <v>0</v>
      </c>
      <c r="FA37">
        <v>0</v>
      </c>
      <c r="FB37">
        <f>SUM(EU37:FA37)+(IF(F37="YES",50000,0))</f>
        <v>0</v>
      </c>
      <c r="FC37">
        <f>ET37-FB37</f>
        <v>334544</v>
      </c>
      <c r="FD37">
        <f>ROUND(IF(FC37&gt;0,IF(FC37&gt;500000,12500,(FC37-250000)*0.05),0),0)</f>
        <v>4227</v>
      </c>
      <c r="FE37">
        <f>IF(ROUND(IF(FC37&gt;0,IF(FC37&gt;1000000,25000,(FC37-500000)*0.2),0),0)&lt;0,0,ROUND(IF(FC37&gt;0,IF(FC37&gt;1000000,25000,(FC37-500000)*0.2),0),0))</f>
        <v>0</v>
      </c>
      <c r="FF37">
        <f>FD37+FE37</f>
        <v>4227</v>
      </c>
      <c r="FG37">
        <f>IF(FF37&lt;12500,0,FF37)</f>
        <v>0</v>
      </c>
      <c r="FH37">
        <f>FG37*0.04</f>
        <v>0</v>
      </c>
      <c r="FI37">
        <f>ROUND(FH37+FG37,0)</f>
        <v>0</v>
      </c>
      <c r="FJ37">
        <v>0</v>
      </c>
      <c r="FK37">
        <f>FI37-FJ37</f>
        <v>0</v>
      </c>
      <c r="FL37" t="b">
        <f>IF(EA37&gt;500000,TRUE,FALSE)</f>
        <v>0</v>
      </c>
      <c r="FM37">
        <f ca="1">IF(FL37,RANDBETWEEN(500,1000),RANDBETWEEN(1000,3000))</f>
        <v>1117</v>
      </c>
      <c r="FN37">
        <f ca="1">EA37+FM37</f>
        <v>411461</v>
      </c>
      <c r="FO37">
        <f>IF(EA37&gt;0,75000,0)</f>
        <v>75000</v>
      </c>
      <c r="FP37">
        <f ca="1">FN37-FO37</f>
        <v>336461</v>
      </c>
      <c r="FQ37">
        <f ca="1">IF(FP37&gt;2400000,FP37-2400000,0)</f>
        <v>0</v>
      </c>
      <c r="FR37">
        <f ca="1">FQ37*0.3</f>
        <v>0</v>
      </c>
      <c r="FS37">
        <f ca="1">IF(FP37&gt;2000000,FP37-2000000,0)</f>
        <v>0</v>
      </c>
      <c r="FT37">
        <f ca="1">FS37*0.25</f>
        <v>0</v>
      </c>
      <c r="FU37">
        <f ca="1">IF(FP37&gt;1600000,FP37-1600000-FQ37,0)</f>
        <v>0</v>
      </c>
      <c r="FV37">
        <f ca="1">FU37*0.2</f>
        <v>0</v>
      </c>
      <c r="FW37">
        <f ca="1">IF(FP37&gt;1200000,FP37-1200000-IF(F37="YES",50000,0)-FU37,0)</f>
        <v>0</v>
      </c>
      <c r="FX37">
        <f ca="1">FW37*0.15</f>
        <v>0</v>
      </c>
      <c r="FY37">
        <f ca="1">IF(FP37&gt;800000,FP37-800000-FQ37-FU37-FW37,0)</f>
        <v>0</v>
      </c>
      <c r="FZ37">
        <f ca="1">FY37*0.1</f>
        <v>0</v>
      </c>
      <c r="GA37">
        <f ca="1">IF(FP37&gt;400000,FP37-400000-FQ37-FU37-FW37-FY37,0)</f>
        <v>0</v>
      </c>
      <c r="GB37">
        <f ca="1">GA37*0.05</f>
        <v>0</v>
      </c>
      <c r="GC37">
        <f ca="1">ROUND(FR37+FT37+FV37+FX37+FZ37+GB37,0)</f>
        <v>0</v>
      </c>
      <c r="GD37">
        <f ca="1">IF(FP37&gt;1200000,FP37,0)</f>
        <v>0</v>
      </c>
      <c r="GE37">
        <f ca="1">IF(FP37&gt;1200000,GD37-1200000,0)</f>
        <v>0</v>
      </c>
      <c r="GF37">
        <f ca="1">IF(FP37&lt;1200001,MIN(GC37,60000),0)</f>
        <v>0</v>
      </c>
      <c r="GG37">
        <f ca="1">IF(FP37&gt;1200000,GC37-GE37,0)</f>
        <v>0</v>
      </c>
      <c r="GH37" t="b">
        <f ca="1">IF(GG37&gt;0,TRUE,FALSE)</f>
        <v>0</v>
      </c>
      <c r="GI37">
        <f ca="1">IF(GH37,GG37,0)</f>
        <v>0</v>
      </c>
      <c r="GJ37">
        <f ca="1">GF37+GI37</f>
        <v>0</v>
      </c>
      <c r="GK37">
        <f ca="1">ROUND(GC37-GJ37,0)</f>
        <v>0</v>
      </c>
      <c r="GL37">
        <f ca="1">GK37*0.04</f>
        <v>0</v>
      </c>
      <c r="GM37">
        <f ca="1">ROUNDUP(GK37+GL37,0)</f>
        <v>0</v>
      </c>
    </row>
    <row r="38" spans="1:195" x14ac:dyDescent="0.25">
      <c r="A38">
        <f>_xlfn.AGGREGATE(3,5,$B$2:B38)</f>
        <v>37</v>
      </c>
      <c r="B38" t="s">
        <v>194</v>
      </c>
      <c r="C38" t="s">
        <v>195</v>
      </c>
      <c r="D38" t="s">
        <v>761</v>
      </c>
      <c r="E38" t="s">
        <v>833</v>
      </c>
      <c r="F38" t="s">
        <v>959</v>
      </c>
      <c r="G38" t="s">
        <v>885</v>
      </c>
      <c r="H38">
        <f>IF(_xlfn.DAYS("31-03-2025",G38)&gt;=180,6800,0)</f>
        <v>6800</v>
      </c>
      <c r="I38">
        <f>_xlfn.XLOOKUP(B38,'[1]march-2025'!$A:$A,'[1]march-2025'!$J:$J,0,0)</f>
        <v>0</v>
      </c>
      <c r="J38">
        <f>_xlfn.XLOOKUP(B38,'[1]march-2025'!$A:$A,'[1]march-2025'!$C:$C,0,0)</f>
        <v>28900</v>
      </c>
      <c r="K38">
        <f>J38*0.14</f>
        <v>4046.0000000000005</v>
      </c>
      <c r="L38">
        <f>J38*0.12</f>
        <v>3468</v>
      </c>
      <c r="M38">
        <f>_xlfn.XLOOKUP(B38,'[1]march-2025'!$A:$A,'[1]march-2025'!$D:$D,0,0)</f>
        <v>0</v>
      </c>
      <c r="N38">
        <f>_xlfn.XLOOKUP(B38,'[1]march-2025'!$A:$A,'[1]march-2025'!$G:$G,0,0)</f>
        <v>500</v>
      </c>
      <c r="O38">
        <f>IF(J38&gt;0,SUM(J38:N38),0)</f>
        <v>36914</v>
      </c>
      <c r="P38">
        <f>_xlfn.XLOOKUP(B38,'[1]march-2025'!$A:$A,'[1]march-2025'!$H:$H,0,0)</f>
        <v>0</v>
      </c>
      <c r="Q38">
        <f>_xlfn.XLOOKUP(B38,'[1]march-2025'!$A:$A,'[1]march-2025'!$I:$I,0,0)</f>
        <v>0</v>
      </c>
      <c r="R38">
        <f>IF($F38="YES",0,IF(O38&gt;40000,200,IF(O38&gt;25000,150,IF(O38&gt;15000,130,IF(O38&gt;10000,110,0)))))</f>
        <v>150</v>
      </c>
      <c r="S38">
        <f>O38-P38-Q38-R38</f>
        <v>36764</v>
      </c>
      <c r="T38">
        <f>_xlfn.XLOOKUP(B38,'[2]april-2025'!$A:$A,'[2]april-2025'!$C:$C,0,0)</f>
        <v>28900</v>
      </c>
      <c r="U38">
        <f>T38*0.18</f>
        <v>5202</v>
      </c>
      <c r="V38">
        <f>T38*0.12</f>
        <v>3468</v>
      </c>
      <c r="W38">
        <f>_xlfn.XLOOKUP(B38,'[2]april-2025'!$A:$A,'[2]april-2025'!$D:$D,0,0)</f>
        <v>0</v>
      </c>
      <c r="X38">
        <f>_xlfn.XLOOKUP(B38,'[2]april-2025'!$A:$A,'[2]april-2025'!$G:$G,0,0)</f>
        <v>500</v>
      </c>
      <c r="Y38">
        <f>IF(T38&gt;0,SUM(T38:X38),0)</f>
        <v>38070</v>
      </c>
      <c r="Z38">
        <f>_xlfn.XLOOKUP(B38,'[2]april-2025'!$A:$A,'[2]april-2025'!$H:$H,0,0)</f>
        <v>0</v>
      </c>
      <c r="AA38">
        <f>_xlfn.XLOOKUP(B38,'[2]april-2025'!$A:$A,'[2]april-2025'!$I:$I,0,0)</f>
        <v>0</v>
      </c>
      <c r="AB38">
        <f>IF($F38="YES",0,IF(Y38&gt;40000,200,IF(Y38&gt;25000,150,IF(Y38&gt;15000,130,IF(Y38&gt;10000,110,0)))))</f>
        <v>150</v>
      </c>
      <c r="AC38">
        <f>Y38-Z38-AA38-AB38</f>
        <v>37920</v>
      </c>
      <c r="AD38">
        <f>_xlfn.XLOOKUP(B38,'[3]may-2025'!$A:$A,'[3]may-2025'!$C:$C,0,0)</f>
        <v>28900</v>
      </c>
      <c r="AE38">
        <f>AD38*0.18</f>
        <v>5202</v>
      </c>
      <c r="AF38">
        <f>AD38*0.12</f>
        <v>3468</v>
      </c>
      <c r="AG38">
        <f>_xlfn.XLOOKUP(B38,'[3]may-2025'!$A:$A,'[3]may-2025'!$D:$D,0,0)</f>
        <v>0</v>
      </c>
      <c r="AH38">
        <f>_xlfn.XLOOKUP(B38,'[3]may-2025'!$A:$A,'[3]may-2025'!$G:$G,0,0)</f>
        <v>500</v>
      </c>
      <c r="AI38">
        <f>IF(AD38&gt;0,SUM(AD38:AH38),0)</f>
        <v>38070</v>
      </c>
      <c r="AJ38">
        <f>_xlfn.XLOOKUP(B38,'[3]may-2025'!$A:$A,'[3]may-2025'!$H:$H,0,0)</f>
        <v>0</v>
      </c>
      <c r="AK38">
        <f>_xlfn.XLOOKUP(B38,'[3]may-2025'!$A:$A,'[3]may-2025'!$I:$I,0,0)</f>
        <v>0</v>
      </c>
      <c r="AL38">
        <f>IF($F38="YES",0,IF(AI38&gt;40000,200,IF(AI38&gt;25000,150,IF(AI38&gt;15000,130,IF(AI38&gt;10000,110,0)))))</f>
        <v>150</v>
      </c>
      <c r="AM38">
        <f>AI38-AJ38-AK38-AL38</f>
        <v>37920</v>
      </c>
      <c r="AN38">
        <f>_xlfn.XLOOKUP(B38,'[4]june-2025'!$A:$A,'[4]june-2025'!$C:$C,0,0)</f>
        <v>28900</v>
      </c>
      <c r="AO38">
        <f>AN38*0.18</f>
        <v>5202</v>
      </c>
      <c r="AP38">
        <f>AN38*0.12</f>
        <v>3468</v>
      </c>
      <c r="AQ38">
        <f>_xlfn.XLOOKUP(B38,'[4]june-2025'!$A:$A,'[4]june-2025'!$D:$D,0,0)</f>
        <v>0</v>
      </c>
      <c r="AR38">
        <f>_xlfn.XLOOKUP(B38,'[4]june-2025'!$A:$A,'[4]june-2025'!$G:$G,0,0)</f>
        <v>500</v>
      </c>
      <c r="AS38">
        <f>IF(AN38&gt;0,SUM(AN38:AR38),0)</f>
        <v>38070</v>
      </c>
      <c r="AT38">
        <f>_xlfn.XLOOKUP(B38,'[4]june-2025'!$A:$A,'[4]june-2025'!$H:$H,0,0)</f>
        <v>0</v>
      </c>
      <c r="AU38">
        <f>_xlfn.XLOOKUP(B38,'[4]june-2025'!$A:$A,'[4]june-2025'!$I:$I,0,0)</f>
        <v>0</v>
      </c>
      <c r="AV38">
        <f>IF($F38="YES",0,IF(AS38&gt;40000,200,IF(AS38&gt;25000,150,IF(AS38&gt;15000,130,IF(AS38&gt;10000,110,0)))))</f>
        <v>150</v>
      </c>
      <c r="AW38">
        <f>AS38-AT38-AU38-AV38</f>
        <v>37920</v>
      </c>
      <c r="AX38">
        <f>_xlfn.XLOOKUP(B38,'[5]july-2025'!$A:$A,'[5]july-2025'!$C:$C,0,0)</f>
        <v>29800</v>
      </c>
      <c r="AY38">
        <f>AX38*0.18</f>
        <v>5364</v>
      </c>
      <c r="AZ38">
        <v>0</v>
      </c>
      <c r="BA38">
        <f>AX38*0.12</f>
        <v>3576</v>
      </c>
      <c r="BB38">
        <f>_xlfn.XLOOKUP(B38,'[5]july-2025'!$A:$A,'[5]july-2025'!$D:$D,0,0)</f>
        <v>0</v>
      </c>
      <c r="BC38">
        <f>_xlfn.XLOOKUP(B38,'[5]july-2025'!$A:$A,'[5]july-2025'!$G:$G,0,0)</f>
        <v>500</v>
      </c>
      <c r="BD38">
        <f>IF(AX38&gt;0,SUM(AX38:BC38),0)</f>
        <v>39240</v>
      </c>
      <c r="BE38">
        <f>_xlfn.XLOOKUP(B38,'[5]july-2025'!$A:$A,'[5]july-2025'!$H:$H,0,0)</f>
        <v>0</v>
      </c>
      <c r="BF38">
        <f>_xlfn.XLOOKUP(B38,'[5]july-2025'!$A:$A,'[5]july-2025'!$I:$I,0,0)</f>
        <v>0</v>
      </c>
      <c r="BG38">
        <f>IF($F38="YES",0,IF(BD38&gt;40000,200,IF(BD38&gt;25000,150,IF(BD38&gt;15000,130,IF(BD38&gt;10000,110,0)))))</f>
        <v>150</v>
      </c>
      <c r="BH38">
        <f>BD38-BE38-BF38-BG38</f>
        <v>39090</v>
      </c>
      <c r="BI38">
        <f>_xlfn.XLOOKUP(B38,'[6]august-2025'!$A:$A,'[6]august-2025'!$C:$C,0,0)</f>
        <v>29800</v>
      </c>
      <c r="BJ38">
        <f>BI38*0.18</f>
        <v>5364</v>
      </c>
      <c r="BK38">
        <f>BI38*0.12</f>
        <v>3576</v>
      </c>
      <c r="BL38">
        <f>_xlfn.XLOOKUP(B38,'[6]august-2025'!$A:$A,'[6]august-2025'!$D:$D,0,0)</f>
        <v>0</v>
      </c>
      <c r="BM38">
        <f>_xlfn.XLOOKUP(B38,'[6]august-2025'!$A:$A,'[6]august-2025'!$G:$G,0,0)</f>
        <v>500</v>
      </c>
      <c r="BN38">
        <f>IF(BI38&gt;0,SUM(BI38:BM38),0)</f>
        <v>39240</v>
      </c>
      <c r="BO38">
        <f>_xlfn.XLOOKUP(B38,'[6]august-2025'!$A:$A,'[6]august-2025'!$H:$H,0,0)</f>
        <v>0</v>
      </c>
      <c r="BP38">
        <f>_xlfn.XLOOKUP(B38,'[6]august-2025'!$A:$A,'[6]august-2025'!$I:$I,0,0)</f>
        <v>0</v>
      </c>
      <c r="BQ38">
        <f>IF($F38="YES",0,IF(BN38&gt;40000,200,IF(BN38&gt;25000,150,IF(BN38&gt;15000,130,IF(BN38&gt;10000,110,0)))))</f>
        <v>150</v>
      </c>
      <c r="BR38">
        <f>BN38-BO38-BP38-BQ38</f>
        <v>39090</v>
      </c>
      <c r="BS38">
        <f>_xlfn.XLOOKUP(B38,'[7]september-2025'!$A:$A,'[7]september-2025'!$C:$C,0,0)</f>
        <v>29800</v>
      </c>
      <c r="BT38">
        <f>BS38*0.18</f>
        <v>5364</v>
      </c>
      <c r="BU38">
        <f>BS38*0.12</f>
        <v>3576</v>
      </c>
      <c r="BV38">
        <f>_xlfn.XLOOKUP(B38,'[7]september-2025'!$A:$A,'[7]september-2025'!$D:$D,0,0)</f>
        <v>0</v>
      </c>
      <c r="BW38">
        <f>_xlfn.XLOOKUP(B38,'[7]september-2025'!$A:$A,'[7]september-2025'!$G:$G,0,0)</f>
        <v>500</v>
      </c>
      <c r="BX38">
        <f>IF(BS38&gt;0,SUM(BS38:BW38),0)</f>
        <v>39240</v>
      </c>
      <c r="BY38">
        <f>_xlfn.XLOOKUP(B38,'[7]september-2025'!$A:$A,'[7]september-2025'!$H:$H,0,0)</f>
        <v>2000</v>
      </c>
      <c r="BZ38">
        <f>_xlfn.XLOOKUP(B38,'[7]september-2025'!$A:$A,'[7]september-2025'!$I:$I,0,0)</f>
        <v>0</v>
      </c>
      <c r="CA38">
        <f>IF($F38="YES",0,IF(BX38&gt;40000,200,IF(BX38&gt;25000,150,IF(BX38&gt;15000,130,IF(BX38&gt;10000,110,0)))))</f>
        <v>150</v>
      </c>
      <c r="CB38">
        <f>BX38-BY38-BZ38-CA38</f>
        <v>37090</v>
      </c>
      <c r="CC38">
        <f>_xlfn.XLOOKUP(B38,'[8]october-2025'!$A:$A,'[8]october-2025'!$C:$C,0,0)</f>
        <v>29800</v>
      </c>
      <c r="CD38">
        <f>CC38*0.18</f>
        <v>5364</v>
      </c>
      <c r="CE38">
        <f>CC38*0.12</f>
        <v>3576</v>
      </c>
      <c r="CF38">
        <f>_xlfn.XLOOKUP(B38,'[8]october-2025'!$A:$A,'[8]october-2025'!$D:$D,0,0)</f>
        <v>0</v>
      </c>
      <c r="CG38">
        <f>_xlfn.XLOOKUP(B38,'[8]october-2025'!$A:$A,'[8]october-2025'!$G:$G,0,0)</f>
        <v>500</v>
      </c>
      <c r="CH38">
        <f>IF(CC38&gt;0,SUM(CC38:CG38),0)</f>
        <v>39240</v>
      </c>
      <c r="CI38">
        <f>_xlfn.XLOOKUP(B38,'[8]october-2025'!$A:$A,'[8]october-2025'!$H:$H,0,0)</f>
        <v>2000</v>
      </c>
      <c r="CJ38">
        <f>_xlfn.XLOOKUP(B38,'[8]october-2025'!$A:$A,'[8]october-2025'!$I:$I,0,0)</f>
        <v>0</v>
      </c>
      <c r="CK38">
        <f>IF($F38="YES",0,IF(CH38&gt;40000,200,IF(CH38&gt;25000,150,IF(CH38&gt;15000,130,IF(CH38&gt;10000,110,0)))))</f>
        <v>150</v>
      </c>
      <c r="CL38">
        <f>CH38-CI38-CJ38-CK38</f>
        <v>37090</v>
      </c>
      <c r="CM38">
        <f>_xlfn.XLOOKUP(B38,'[9]november-2025'!$A:$A,'[9]november-2025'!$C:$C,0,0)</f>
        <v>29800</v>
      </c>
      <c r="CN38">
        <f>CM38*0.18</f>
        <v>5364</v>
      </c>
      <c r="CO38">
        <f>CM38*0.12</f>
        <v>3576</v>
      </c>
      <c r="CP38">
        <f>_xlfn.XLOOKUP(B38,'[9]november-2025'!$A:$A,'[9]november-2025'!$D:$D,0,0)</f>
        <v>0</v>
      </c>
      <c r="CQ38">
        <f>_xlfn.XLOOKUP(B38,'[9]november-2025'!$A:$A,'[9]november-2025'!$G:$G,0,0)</f>
        <v>500</v>
      </c>
      <c r="CR38">
        <f>IF(CM38&gt;0,SUM(CM38:CQ38),0)</f>
        <v>39240</v>
      </c>
      <c r="CS38">
        <f>_xlfn.XLOOKUP(B38,'[9]november-2025'!$A:$A,'[9]november-2025'!$H:$H,0,0)</f>
        <v>2000</v>
      </c>
      <c r="CT38">
        <f>_xlfn.XLOOKUP(B38,'[9]november-2025'!$A:$A,'[9]november-2025'!$I:$I,0,0)</f>
        <v>0</v>
      </c>
      <c r="CU38">
        <f>IF($F38="YES",0,IF(CR38&gt;40000,200,IF(CR38&gt;25000,150,IF(CR38&gt;15000,130,IF(CR38&gt;10000,110,0)))))</f>
        <v>150</v>
      </c>
      <c r="CV38">
        <f>CR38-CS38-CT38-CU38</f>
        <v>37090</v>
      </c>
      <c r="CW38">
        <f>_xlfn.XLOOKUP(B38,'[10]december-2025'!$A:$A,'[10]december-2025'!$C:$C,0,0)</f>
        <v>29800</v>
      </c>
      <c r="CX38">
        <f>ROUND(CW38*0.18,0)</f>
        <v>5364</v>
      </c>
      <c r="CY38">
        <f>ROUND(CW38*0.12,0)</f>
        <v>3576</v>
      </c>
      <c r="CZ38">
        <f>_xlfn.XLOOKUP(B38,'[10]december-2025'!$A:$A,'[10]december-2025'!$D:$D,0,0)</f>
        <v>0</v>
      </c>
      <c r="DA38">
        <f>_xlfn.XLOOKUP(B38,'[10]december-2025'!$A:$A,'[10]december-2025'!$G:$G,0,0)</f>
        <v>500</v>
      </c>
      <c r="DB38">
        <f>IF(CW38&gt;0,SUM(CW38:DA38),0)</f>
        <v>39240</v>
      </c>
      <c r="DC38">
        <f>_xlfn.XLOOKUP(B38,'[10]december-2025'!$A:$A,'[10]december-2025'!$H:$H,0,0)</f>
        <v>2000</v>
      </c>
      <c r="DD38">
        <f>_xlfn.XLOOKUP(B38,'[10]december-2025'!$A:$A,'[10]december-2025'!$I:$I,0,0)</f>
        <v>0</v>
      </c>
      <c r="DE38">
        <f>IF($F38="YES",0,IF(DB38&gt;40000,200,IF(DB38&gt;25000,150,IF(DB38&gt;15000,130,IF(DB38&gt;10000,110,0)))))</f>
        <v>150</v>
      </c>
      <c r="DF38">
        <f>DB38-DC38-DD38-DE38</f>
        <v>37090</v>
      </c>
      <c r="DG38">
        <f>_xlfn.XLOOKUP(B38,'[11]january-2026'!$A:$A,'[11]january-2026'!$C:$C,0,0)</f>
        <v>29800</v>
      </c>
      <c r="DH38">
        <f>DG38*0.18</f>
        <v>5364</v>
      </c>
      <c r="DI38">
        <f>DG38*0.12</f>
        <v>3576</v>
      </c>
      <c r="DJ38">
        <f>_xlfn.XLOOKUP(B38,'[11]january-2026'!$A:$A,'[11]january-2026'!$D:$D,0,0)</f>
        <v>0</v>
      </c>
      <c r="DK38">
        <f>_xlfn.XLOOKUP(B38,'[11]january-2026'!$A:$A,'[11]january-2026'!$G:$G,0,0)</f>
        <v>500</v>
      </c>
      <c r="DL38">
        <f>IF(DG38&gt;0,SUM(DG38:DK38),0)</f>
        <v>39240</v>
      </c>
      <c r="DM38">
        <f>_xlfn.XLOOKUP(B38,'[11]january-2026'!$A:$A,'[11]january-2026'!$H:$H,0,0)</f>
        <v>2000</v>
      </c>
      <c r="DN38">
        <f>_xlfn.XLOOKUP(B38,'[11]january-2026'!$A:$A,'[11]january-2026'!$I:$I,0,0)</f>
        <v>0</v>
      </c>
      <c r="DO38">
        <f>IF($F38="YES",0,IF(DL38&gt;40000,200,IF(DL38&gt;25000,150,IF(DL38&gt;15000,130,IF(DL38&gt;10000,110,0)))))</f>
        <v>150</v>
      </c>
      <c r="DP38">
        <f>DL38-DM38-DN38-DO38</f>
        <v>37090</v>
      </c>
      <c r="DQ38">
        <f>_xlfn.XLOOKUP(B38,'[12]february-2026'!$A:$A,'[12]february-2026'!$C:$C,0,0)</f>
        <v>29800</v>
      </c>
      <c r="DR38">
        <f>DQ38*0.18</f>
        <v>5364</v>
      </c>
      <c r="DS38">
        <f>DQ38*0.12</f>
        <v>3576</v>
      </c>
      <c r="DT38">
        <f>_xlfn.XLOOKUP(B38,'[12]february-2026'!$A:$A,'[12]february-2026'!$D:$D,0,0)</f>
        <v>0</v>
      </c>
      <c r="DU38">
        <f>_xlfn.XLOOKUP(B38,'[12]february-2026'!$A:$A,'[12]february-2026'!$G:$G,0,0)</f>
        <v>500</v>
      </c>
      <c r="DV38">
        <f>IF(DQ38&gt;0,SUM(DQ38:DU38),0)</f>
        <v>39240</v>
      </c>
      <c r="DW38">
        <f>_xlfn.XLOOKUP(B38,'[12]february-2026'!$A:$A,'[12]february-2026'!$H:$H,0,0)</f>
        <v>2000</v>
      </c>
      <c r="DX38">
        <f>_xlfn.XLOOKUP(B38,'[12]february-2026'!$A:$A,'[12]february-2026'!$I:$I,0,0)</f>
        <v>0</v>
      </c>
      <c r="DY38">
        <f>IF($F38="YES",0,IF(DV38&gt;40000,200,IF(DV38&gt;25000,150,IF(DV38&gt;15000,130,IF(DV38&gt;10000,110,0)))))</f>
        <v>150</v>
      </c>
      <c r="DZ38">
        <f>DV38-DW38-DX38-DY38</f>
        <v>37090</v>
      </c>
      <c r="EA38">
        <f>DV38+DL38+DB38+CR38+CH38+BX38+BN38+BD38+AS38+AI38+Y38+O38+H38+I38</f>
        <v>471844</v>
      </c>
      <c r="EB38">
        <f>DY38+DO38+DE38+CU38+CK38+CA38+BQ38+BG38+AV38+AL38+AB38+R38</f>
        <v>1800</v>
      </c>
      <c r="EC38">
        <f>IF(EA38&gt;0,50000,0)</f>
        <v>50000</v>
      </c>
      <c r="ED38">
        <v>0</v>
      </c>
      <c r="EE38">
        <f>EA38-EB38-EC38</f>
        <v>420044</v>
      </c>
      <c r="EF38">
        <f>DW38+DM38+DC38+CS38+CI38+BY38+BO38+BE38+AT38+AJ38+Z38+P38</f>
        <v>12000</v>
      </c>
      <c r="EG38">
        <f>DX38+DN38+DD38+CT38+CJ38+BZ38+BP38+BF38+AU38+AK38+AA38+Q38</f>
        <v>0</v>
      </c>
      <c r="EH38">
        <v>0</v>
      </c>
      <c r="EI38">
        <v>0</v>
      </c>
      <c r="EJ38">
        <v>0</v>
      </c>
      <c r="EK38">
        <v>0</v>
      </c>
      <c r="EL38">
        <v>0</v>
      </c>
      <c r="EM38">
        <v>0</v>
      </c>
      <c r="EN38">
        <v>0</v>
      </c>
      <c r="EO38">
        <v>0</v>
      </c>
      <c r="EP38">
        <v>0</v>
      </c>
      <c r="EQ38">
        <v>0</v>
      </c>
      <c r="ER38">
        <f>SUM(EF38:EQ38)</f>
        <v>12000</v>
      </c>
      <c r="ES38">
        <f>IF(ER38&gt;=150000,150000,ER38)</f>
        <v>12000</v>
      </c>
      <c r="ET38">
        <f>EE38-ES38</f>
        <v>408044</v>
      </c>
      <c r="EU38">
        <v>0</v>
      </c>
      <c r="EV38">
        <v>0</v>
      </c>
      <c r="EW38">
        <v>0</v>
      </c>
      <c r="EX38">
        <v>0</v>
      </c>
      <c r="EY38">
        <v>0</v>
      </c>
      <c r="EZ38">
        <v>0</v>
      </c>
      <c r="FA38">
        <v>0</v>
      </c>
      <c r="FB38">
        <f>SUM(EU38:FA38)+(IF(F38="YES",50000,0))</f>
        <v>0</v>
      </c>
      <c r="FC38">
        <f>ET38-FB38</f>
        <v>408044</v>
      </c>
      <c r="FD38">
        <f>ROUND(IF(FC38&gt;0,IF(FC38&gt;500000,12500,(FC38-250000)*0.05),0),0)</f>
        <v>7902</v>
      </c>
      <c r="FE38">
        <f>IF(ROUND(IF(FC38&gt;0,IF(FC38&gt;1000000,25000,(FC38-500000)*0.2),0),0)&lt;0,0,ROUND(IF(FC38&gt;0,IF(FC38&gt;1000000,25000,(FC38-500000)*0.2),0),0))</f>
        <v>0</v>
      </c>
      <c r="FF38">
        <f>FD38+FE38</f>
        <v>7902</v>
      </c>
      <c r="FG38">
        <f>IF(FF38&lt;12500,0,FF38)</f>
        <v>0</v>
      </c>
      <c r="FH38">
        <f>FG38*0.04</f>
        <v>0</v>
      </c>
      <c r="FI38">
        <f>ROUND(FH38+FG38,0)</f>
        <v>0</v>
      </c>
      <c r="FJ38">
        <v>0</v>
      </c>
      <c r="FK38">
        <f>FI38-FJ38</f>
        <v>0</v>
      </c>
      <c r="FL38" t="b">
        <f>IF(EA38&gt;500000,TRUE,FALSE)</f>
        <v>0</v>
      </c>
      <c r="FM38">
        <f ca="1">IF(FL38,RANDBETWEEN(500,1000),RANDBETWEEN(1000,3000))</f>
        <v>1841</v>
      </c>
      <c r="FN38">
        <f ca="1">EA38+FM38</f>
        <v>473685</v>
      </c>
      <c r="FO38">
        <f>IF(EA38&gt;0,75000,0)</f>
        <v>75000</v>
      </c>
      <c r="FP38">
        <f ca="1">FN38-FO38</f>
        <v>398685</v>
      </c>
      <c r="FQ38">
        <f ca="1">IF(FP38&gt;2400000,FP38-2400000,0)</f>
        <v>0</v>
      </c>
      <c r="FR38">
        <f ca="1">FQ38*0.3</f>
        <v>0</v>
      </c>
      <c r="FS38">
        <f ca="1">IF(FP38&gt;2000000,FP38-2000000,0)</f>
        <v>0</v>
      </c>
      <c r="FT38">
        <f ca="1">FS38*0.25</f>
        <v>0</v>
      </c>
      <c r="FU38">
        <f ca="1">IF(FP38&gt;1600000,FP38-1600000-FQ38,0)</f>
        <v>0</v>
      </c>
      <c r="FV38">
        <f ca="1">FU38*0.2</f>
        <v>0</v>
      </c>
      <c r="FW38">
        <f ca="1">IF(FP38&gt;1200000,FP38-1200000-IF(F38="YES",50000,0)-FU38,0)</f>
        <v>0</v>
      </c>
      <c r="FX38">
        <f ca="1">FW38*0.15</f>
        <v>0</v>
      </c>
      <c r="FY38">
        <f ca="1">IF(FP38&gt;800000,FP38-800000-FQ38-FU38-FW38,0)</f>
        <v>0</v>
      </c>
      <c r="FZ38">
        <f ca="1">FY38*0.1</f>
        <v>0</v>
      </c>
      <c r="GA38">
        <f ca="1">IF(FP38&gt;400000,FP38-400000-FQ38-FU38-FW38-FY38,0)</f>
        <v>0</v>
      </c>
      <c r="GB38">
        <f ca="1">GA38*0.05</f>
        <v>0</v>
      </c>
      <c r="GC38">
        <f ca="1">ROUND(FR38+FT38+FV38+FX38+FZ38+GB38,0)</f>
        <v>0</v>
      </c>
      <c r="GD38">
        <f ca="1">IF(FP38&gt;1200000,FP38,0)</f>
        <v>0</v>
      </c>
      <c r="GE38">
        <f ca="1">IF(FP38&gt;1200000,GD38-1200000,0)</f>
        <v>0</v>
      </c>
      <c r="GF38">
        <f ca="1">IF(FP38&lt;1200001,MIN(GC38,60000),0)</f>
        <v>0</v>
      </c>
      <c r="GG38">
        <f ca="1">IF(FP38&gt;1200000,GC38-GE38,0)</f>
        <v>0</v>
      </c>
      <c r="GH38" t="b">
        <f ca="1">IF(GG38&gt;0,TRUE,FALSE)</f>
        <v>0</v>
      </c>
      <c r="GI38">
        <f ca="1">IF(GH38,GG38,0)</f>
        <v>0</v>
      </c>
      <c r="GJ38">
        <f ca="1">GF38+GI38</f>
        <v>0</v>
      </c>
      <c r="GK38">
        <f ca="1">ROUND(GC38-GJ38,0)</f>
        <v>0</v>
      </c>
      <c r="GL38">
        <f ca="1">GK38*0.04</f>
        <v>0</v>
      </c>
      <c r="GM38">
        <f ca="1">ROUNDUP(GK38+GL38,0)</f>
        <v>0</v>
      </c>
    </row>
    <row r="39" spans="1:195" x14ac:dyDescent="0.25">
      <c r="A39">
        <f>_xlfn.AGGREGATE(3,5,$B$2:B39)</f>
        <v>38</v>
      </c>
      <c r="B39" t="s">
        <v>196</v>
      </c>
      <c r="C39" t="s">
        <v>197</v>
      </c>
      <c r="D39" t="s">
        <v>762</v>
      </c>
      <c r="E39" t="s">
        <v>835</v>
      </c>
      <c r="F39" t="s">
        <v>959</v>
      </c>
      <c r="G39" t="s">
        <v>897</v>
      </c>
      <c r="H39">
        <f>IF(_xlfn.DAYS("31-03-2025",G39)&gt;=180,6800,0)</f>
        <v>6800</v>
      </c>
      <c r="I39">
        <f>_xlfn.XLOOKUP(B39,'[1]march-2025'!$A:$A,'[1]march-2025'!$J:$J,0,0)</f>
        <v>0</v>
      </c>
      <c r="J39">
        <f>_xlfn.XLOOKUP(B39,'[1]march-2025'!$A:$A,'[1]march-2025'!$C:$C,0,0)</f>
        <v>55400</v>
      </c>
      <c r="K39">
        <f>J39*0.14</f>
        <v>7756.0000000000009</v>
      </c>
      <c r="L39">
        <f>J39*0.12</f>
        <v>6648</v>
      </c>
      <c r="M39">
        <f>_xlfn.XLOOKUP(B39,'[1]march-2025'!$A:$A,'[1]march-2025'!$D:$D,0,0)</f>
        <v>400</v>
      </c>
      <c r="N39">
        <f>_xlfn.XLOOKUP(B39,'[1]march-2025'!$A:$A,'[1]march-2025'!$G:$G,0,0)</f>
        <v>500</v>
      </c>
      <c r="O39">
        <f>IF(J39&gt;0,SUM(J39:N39),0)</f>
        <v>70704</v>
      </c>
      <c r="P39">
        <f>_xlfn.XLOOKUP(B39,'[1]march-2025'!$A:$A,'[1]march-2025'!$H:$H,0,0)</f>
        <v>5000</v>
      </c>
      <c r="Q39">
        <f>_xlfn.XLOOKUP(B39,'[1]march-2025'!$A:$A,'[1]march-2025'!$I:$I,0,0)</f>
        <v>0</v>
      </c>
      <c r="R39">
        <f>IF($F39="YES",0,IF(O39&gt;40000,200,IF(O39&gt;25000,150,IF(O39&gt;15000,130,IF(O39&gt;10000,110,0)))))</f>
        <v>200</v>
      </c>
      <c r="S39">
        <f>O39-P39-Q39-R39</f>
        <v>65504</v>
      </c>
      <c r="T39">
        <f>_xlfn.XLOOKUP(B39,'[2]april-2025'!$A:$A,'[2]april-2025'!$C:$C,0,0)</f>
        <v>55400</v>
      </c>
      <c r="U39">
        <f>T39*0.18</f>
        <v>9972</v>
      </c>
      <c r="V39">
        <f>T39*0.12</f>
        <v>6648</v>
      </c>
      <c r="W39">
        <f>_xlfn.XLOOKUP(B39,'[2]april-2025'!$A:$A,'[2]april-2025'!$D:$D,0,0)</f>
        <v>400</v>
      </c>
      <c r="X39">
        <f>_xlfn.XLOOKUP(B39,'[2]april-2025'!$A:$A,'[2]april-2025'!$G:$G,0,0)</f>
        <v>500</v>
      </c>
      <c r="Y39">
        <f>IF(T39&gt;0,SUM(T39:X39),0)</f>
        <v>72920</v>
      </c>
      <c r="Z39">
        <f>_xlfn.XLOOKUP(B39,'[2]april-2025'!$A:$A,'[2]april-2025'!$H:$H,0,0)</f>
        <v>5000</v>
      </c>
      <c r="AA39">
        <f>_xlfn.XLOOKUP(B39,'[2]april-2025'!$A:$A,'[2]april-2025'!$I:$I,0,0)</f>
        <v>0</v>
      </c>
      <c r="AB39">
        <f>IF($F39="YES",0,IF(Y39&gt;40000,200,IF(Y39&gt;25000,150,IF(Y39&gt;15000,130,IF(Y39&gt;10000,110,0)))))</f>
        <v>200</v>
      </c>
      <c r="AC39">
        <f>Y39-Z39-AA39-AB39</f>
        <v>67720</v>
      </c>
      <c r="AD39">
        <f>_xlfn.XLOOKUP(B39,'[3]may-2025'!$A:$A,'[3]may-2025'!$C:$C,0,0)</f>
        <v>55400</v>
      </c>
      <c r="AE39">
        <f>AD39*0.18</f>
        <v>9972</v>
      </c>
      <c r="AF39">
        <f>AD39*0.12</f>
        <v>6648</v>
      </c>
      <c r="AG39">
        <f>_xlfn.XLOOKUP(B39,'[3]may-2025'!$A:$A,'[3]may-2025'!$D:$D,0,0)</f>
        <v>400</v>
      </c>
      <c r="AH39">
        <f>_xlfn.XLOOKUP(B39,'[3]may-2025'!$A:$A,'[3]may-2025'!$G:$G,0,0)</f>
        <v>500</v>
      </c>
      <c r="AI39">
        <f>IF(AD39&gt;0,SUM(AD39:AH39),0)</f>
        <v>72920</v>
      </c>
      <c r="AJ39">
        <f>_xlfn.XLOOKUP(B39,'[3]may-2025'!$A:$A,'[3]may-2025'!$H:$H,0,0)</f>
        <v>5000</v>
      </c>
      <c r="AK39">
        <f>_xlfn.XLOOKUP(B39,'[3]may-2025'!$A:$A,'[3]may-2025'!$I:$I,0,0)</f>
        <v>0</v>
      </c>
      <c r="AL39">
        <f>IF($F39="YES",0,IF(AI39&gt;40000,200,IF(AI39&gt;25000,150,IF(AI39&gt;15000,130,IF(AI39&gt;10000,110,0)))))</f>
        <v>200</v>
      </c>
      <c r="AM39">
        <f>AI39-AJ39-AK39-AL39</f>
        <v>67720</v>
      </c>
      <c r="AN39">
        <f>_xlfn.XLOOKUP(B39,'[4]june-2025'!$A:$A,'[4]june-2025'!$C:$C,0,0)</f>
        <v>55400</v>
      </c>
      <c r="AO39">
        <f>AN39*0.18</f>
        <v>9972</v>
      </c>
      <c r="AP39">
        <f>AN39*0.12</f>
        <v>6648</v>
      </c>
      <c r="AQ39">
        <f>_xlfn.XLOOKUP(B39,'[4]june-2025'!$A:$A,'[4]june-2025'!$D:$D,0,0)</f>
        <v>400</v>
      </c>
      <c r="AR39">
        <f>_xlfn.XLOOKUP(B39,'[4]june-2025'!$A:$A,'[4]june-2025'!$G:$G,0,0)</f>
        <v>500</v>
      </c>
      <c r="AS39">
        <f>IF(AN39&gt;0,SUM(AN39:AR39),0)</f>
        <v>72920</v>
      </c>
      <c r="AT39">
        <f>_xlfn.XLOOKUP(B39,'[4]june-2025'!$A:$A,'[4]june-2025'!$H:$H,0,0)</f>
        <v>5000</v>
      </c>
      <c r="AU39">
        <f>_xlfn.XLOOKUP(B39,'[4]june-2025'!$A:$A,'[4]june-2025'!$I:$I,0,0)</f>
        <v>0</v>
      </c>
      <c r="AV39">
        <f>IF($F39="YES",0,IF(AS39&gt;40000,200,IF(AS39&gt;25000,150,IF(AS39&gt;15000,130,IF(AS39&gt;10000,110,0)))))</f>
        <v>200</v>
      </c>
      <c r="AW39">
        <f>AS39-AT39-AU39-AV39</f>
        <v>67720</v>
      </c>
      <c r="AX39">
        <f>_xlfn.XLOOKUP(B39,'[5]july-2025'!$A:$A,'[5]july-2025'!$C:$C,0,0)</f>
        <v>57100</v>
      </c>
      <c r="AY39">
        <f>AX39*0.18</f>
        <v>10278</v>
      </c>
      <c r="AZ39">
        <v>0</v>
      </c>
      <c r="BA39">
        <f>AX39*0.12</f>
        <v>6852</v>
      </c>
      <c r="BB39">
        <f>_xlfn.XLOOKUP(B39,'[5]july-2025'!$A:$A,'[5]july-2025'!$D:$D,0,0)</f>
        <v>400</v>
      </c>
      <c r="BC39">
        <f>_xlfn.XLOOKUP(B39,'[5]july-2025'!$A:$A,'[5]july-2025'!$G:$G,0,0)</f>
        <v>500</v>
      </c>
      <c r="BD39">
        <f>IF(AX39&gt;0,SUM(AX39:BC39),0)</f>
        <v>75130</v>
      </c>
      <c r="BE39">
        <f>_xlfn.XLOOKUP(B39,'[5]july-2025'!$A:$A,'[5]july-2025'!$H:$H,0,0)</f>
        <v>5000</v>
      </c>
      <c r="BF39">
        <f>_xlfn.XLOOKUP(B39,'[5]july-2025'!$A:$A,'[5]july-2025'!$I:$I,0,0)</f>
        <v>0</v>
      </c>
      <c r="BG39">
        <f>IF($F39="YES",0,IF(BD39&gt;40000,200,IF(BD39&gt;25000,150,IF(BD39&gt;15000,130,IF(BD39&gt;10000,110,0)))))</f>
        <v>200</v>
      </c>
      <c r="BH39">
        <f>BD39-BE39-BF39-BG39</f>
        <v>69930</v>
      </c>
      <c r="BI39">
        <f>_xlfn.XLOOKUP(B39,'[6]august-2025'!$A:$A,'[6]august-2025'!$C:$C,0,0)</f>
        <v>57100</v>
      </c>
      <c r="BJ39">
        <f>BI39*0.18</f>
        <v>10278</v>
      </c>
      <c r="BK39">
        <f>BI39*0.12</f>
        <v>6852</v>
      </c>
      <c r="BL39">
        <f>_xlfn.XLOOKUP(B39,'[6]august-2025'!$A:$A,'[6]august-2025'!$D:$D,0,0)</f>
        <v>400</v>
      </c>
      <c r="BM39">
        <f>_xlfn.XLOOKUP(B39,'[6]august-2025'!$A:$A,'[6]august-2025'!$G:$G,0,0)</f>
        <v>500</v>
      </c>
      <c r="BN39">
        <f>IF(BI39&gt;0,SUM(BI39:BM39),0)</f>
        <v>75130</v>
      </c>
      <c r="BO39">
        <f>_xlfn.XLOOKUP(B39,'[6]august-2025'!$A:$A,'[6]august-2025'!$H:$H,0,0)</f>
        <v>5000</v>
      </c>
      <c r="BP39">
        <f>_xlfn.XLOOKUP(B39,'[6]august-2025'!$A:$A,'[6]august-2025'!$I:$I,0,0)</f>
        <v>0</v>
      </c>
      <c r="BQ39">
        <f>IF($F39="YES",0,IF(BN39&gt;40000,200,IF(BN39&gt;25000,150,IF(BN39&gt;15000,130,IF(BN39&gt;10000,110,0)))))</f>
        <v>200</v>
      </c>
      <c r="BR39">
        <f>BN39-BO39-BP39-BQ39</f>
        <v>69930</v>
      </c>
      <c r="BS39">
        <f>_xlfn.XLOOKUP(B39,'[7]september-2025'!$A:$A,'[7]september-2025'!$C:$C,0,0)</f>
        <v>57100</v>
      </c>
      <c r="BT39">
        <f>BS39*0.18</f>
        <v>10278</v>
      </c>
      <c r="BU39">
        <f>BS39*0.12</f>
        <v>6852</v>
      </c>
      <c r="BV39">
        <f>_xlfn.XLOOKUP(B39,'[7]september-2025'!$A:$A,'[7]september-2025'!$D:$D,0,0)</f>
        <v>400</v>
      </c>
      <c r="BW39">
        <f>_xlfn.XLOOKUP(B39,'[7]september-2025'!$A:$A,'[7]september-2025'!$G:$G,0,0)</f>
        <v>500</v>
      </c>
      <c r="BX39">
        <f>IF(BS39&gt;0,SUM(BS39:BW39),0)</f>
        <v>75130</v>
      </c>
      <c r="BY39">
        <f>_xlfn.XLOOKUP(B39,'[7]september-2025'!$A:$A,'[7]september-2025'!$H:$H,0,0)</f>
        <v>5000</v>
      </c>
      <c r="BZ39">
        <f>_xlfn.XLOOKUP(B39,'[7]september-2025'!$A:$A,'[7]september-2025'!$I:$I,0,0)</f>
        <v>0</v>
      </c>
      <c r="CA39">
        <f>IF($F39="YES",0,IF(BX39&gt;40000,200,IF(BX39&gt;25000,150,IF(BX39&gt;15000,130,IF(BX39&gt;10000,110,0)))))</f>
        <v>200</v>
      </c>
      <c r="CB39">
        <f>BX39-BY39-BZ39-CA39</f>
        <v>69930</v>
      </c>
      <c r="CC39">
        <f>_xlfn.XLOOKUP(B39,'[8]october-2025'!$A:$A,'[8]october-2025'!$C:$C,0,0)</f>
        <v>57100</v>
      </c>
      <c r="CD39">
        <f>CC39*0.18</f>
        <v>10278</v>
      </c>
      <c r="CE39">
        <f>CC39*0.12</f>
        <v>6852</v>
      </c>
      <c r="CF39">
        <f>_xlfn.XLOOKUP(B39,'[8]october-2025'!$A:$A,'[8]october-2025'!$D:$D,0,0)</f>
        <v>400</v>
      </c>
      <c r="CG39">
        <f>_xlfn.XLOOKUP(B39,'[8]october-2025'!$A:$A,'[8]october-2025'!$G:$G,0,0)</f>
        <v>500</v>
      </c>
      <c r="CH39">
        <f>IF(CC39&gt;0,SUM(CC39:CG39),0)</f>
        <v>75130</v>
      </c>
      <c r="CI39">
        <f>_xlfn.XLOOKUP(B39,'[8]october-2025'!$A:$A,'[8]october-2025'!$H:$H,0,0)</f>
        <v>5000</v>
      </c>
      <c r="CJ39">
        <f>_xlfn.XLOOKUP(B39,'[8]october-2025'!$A:$A,'[8]october-2025'!$I:$I,0,0)</f>
        <v>0</v>
      </c>
      <c r="CK39">
        <f>IF($F39="YES",0,IF(CH39&gt;40000,200,IF(CH39&gt;25000,150,IF(CH39&gt;15000,130,IF(CH39&gt;10000,110,0)))))</f>
        <v>200</v>
      </c>
      <c r="CL39">
        <f>CH39-CI39-CJ39-CK39</f>
        <v>69930</v>
      </c>
      <c r="CM39">
        <f>_xlfn.XLOOKUP(B39,'[9]november-2025'!$A:$A,'[9]november-2025'!$C:$C,0,0)</f>
        <v>57100</v>
      </c>
      <c r="CN39">
        <f>CM39*0.18</f>
        <v>10278</v>
      </c>
      <c r="CO39">
        <f>CM39*0.12</f>
        <v>6852</v>
      </c>
      <c r="CP39">
        <f>_xlfn.XLOOKUP(B39,'[9]november-2025'!$A:$A,'[9]november-2025'!$D:$D,0,0)</f>
        <v>400</v>
      </c>
      <c r="CQ39">
        <f>_xlfn.XLOOKUP(B39,'[9]november-2025'!$A:$A,'[9]november-2025'!$G:$G,0,0)</f>
        <v>500</v>
      </c>
      <c r="CR39">
        <f>IF(CM39&gt;0,SUM(CM39:CQ39),0)</f>
        <v>75130</v>
      </c>
      <c r="CS39">
        <f>_xlfn.XLOOKUP(B39,'[9]november-2025'!$A:$A,'[9]november-2025'!$H:$H,0,0)</f>
        <v>5000</v>
      </c>
      <c r="CT39">
        <f>_xlfn.XLOOKUP(B39,'[9]november-2025'!$A:$A,'[9]november-2025'!$I:$I,0,0)</f>
        <v>0</v>
      </c>
      <c r="CU39">
        <f>IF($F39="YES",0,IF(CR39&gt;40000,200,IF(CR39&gt;25000,150,IF(CR39&gt;15000,130,IF(CR39&gt;10000,110,0)))))</f>
        <v>200</v>
      </c>
      <c r="CV39">
        <f>CR39-CS39-CT39-CU39</f>
        <v>69930</v>
      </c>
      <c r="CW39">
        <f>_xlfn.XLOOKUP(B39,'[10]december-2025'!$A:$A,'[10]december-2025'!$C:$C,0,0)</f>
        <v>57100</v>
      </c>
      <c r="CX39">
        <f>ROUND(CW39*0.18,0)</f>
        <v>10278</v>
      </c>
      <c r="CY39">
        <f>ROUND(CW39*0.12,0)</f>
        <v>6852</v>
      </c>
      <c r="CZ39">
        <f>_xlfn.XLOOKUP(B39,'[10]december-2025'!$A:$A,'[10]december-2025'!$D:$D,0,0)</f>
        <v>400</v>
      </c>
      <c r="DA39">
        <f>_xlfn.XLOOKUP(B39,'[10]december-2025'!$A:$A,'[10]december-2025'!$G:$G,0,0)</f>
        <v>500</v>
      </c>
      <c r="DB39">
        <f>IF(CW39&gt;0,SUM(CW39:DA39),0)</f>
        <v>75130</v>
      </c>
      <c r="DC39">
        <f>_xlfn.XLOOKUP(B39,'[10]december-2025'!$A:$A,'[10]december-2025'!$H:$H,0,0)</f>
        <v>5000</v>
      </c>
      <c r="DD39">
        <f>_xlfn.XLOOKUP(B39,'[10]december-2025'!$A:$A,'[10]december-2025'!$I:$I,0,0)</f>
        <v>0</v>
      </c>
      <c r="DE39">
        <f>IF($F39="YES",0,IF(DB39&gt;40000,200,IF(DB39&gt;25000,150,IF(DB39&gt;15000,130,IF(DB39&gt;10000,110,0)))))</f>
        <v>200</v>
      </c>
      <c r="DF39">
        <f>DB39-DC39-DD39-DE39</f>
        <v>69930</v>
      </c>
      <c r="DG39">
        <f>_xlfn.XLOOKUP(B39,'[11]january-2026'!$A:$A,'[11]january-2026'!$C:$C,0,0)</f>
        <v>57100</v>
      </c>
      <c r="DH39">
        <f>DG39*0.18</f>
        <v>10278</v>
      </c>
      <c r="DI39">
        <f>DG39*0.12</f>
        <v>6852</v>
      </c>
      <c r="DJ39">
        <f>_xlfn.XLOOKUP(B39,'[11]january-2026'!$A:$A,'[11]january-2026'!$D:$D,0,0)</f>
        <v>400</v>
      </c>
      <c r="DK39">
        <f>_xlfn.XLOOKUP(B39,'[11]january-2026'!$A:$A,'[11]january-2026'!$G:$G,0,0)</f>
        <v>500</v>
      </c>
      <c r="DL39">
        <f>IF(DG39&gt;0,SUM(DG39:DK39),0)</f>
        <v>75130</v>
      </c>
      <c r="DM39">
        <f>_xlfn.XLOOKUP(B39,'[11]january-2026'!$A:$A,'[11]january-2026'!$H:$H,0,0)</f>
        <v>5000</v>
      </c>
      <c r="DN39">
        <f>_xlfn.XLOOKUP(B39,'[11]january-2026'!$A:$A,'[11]january-2026'!$I:$I,0,0)</f>
        <v>0</v>
      </c>
      <c r="DO39">
        <f>IF($F39="YES",0,IF(DL39&gt;40000,200,IF(DL39&gt;25000,150,IF(DL39&gt;15000,130,IF(DL39&gt;10000,110,0)))))</f>
        <v>200</v>
      </c>
      <c r="DP39">
        <f>DL39-DM39-DN39-DO39</f>
        <v>69930</v>
      </c>
      <c r="DQ39">
        <f>_xlfn.XLOOKUP(B39,'[12]february-2026'!$A:$A,'[12]february-2026'!$C:$C,0,0)</f>
        <v>57100</v>
      </c>
      <c r="DR39">
        <f>DQ39*0.18</f>
        <v>10278</v>
      </c>
      <c r="DS39">
        <f>DQ39*0.12</f>
        <v>6852</v>
      </c>
      <c r="DT39">
        <f>_xlfn.XLOOKUP(B39,'[12]february-2026'!$A:$A,'[12]february-2026'!$D:$D,0,0)</f>
        <v>400</v>
      </c>
      <c r="DU39">
        <f>_xlfn.XLOOKUP(B39,'[12]february-2026'!$A:$A,'[12]february-2026'!$G:$G,0,0)</f>
        <v>500</v>
      </c>
      <c r="DV39">
        <f>IF(DQ39&gt;0,SUM(DQ39:DU39),0)</f>
        <v>75130</v>
      </c>
      <c r="DW39">
        <f>_xlfn.XLOOKUP(B39,'[12]february-2026'!$A:$A,'[12]february-2026'!$H:$H,0,0)</f>
        <v>5000</v>
      </c>
      <c r="DX39">
        <f>_xlfn.XLOOKUP(B39,'[12]february-2026'!$A:$A,'[12]february-2026'!$I:$I,0,0)</f>
        <v>0</v>
      </c>
      <c r="DY39">
        <f>IF($F39="YES",0,IF(DV39&gt;40000,200,IF(DV39&gt;25000,150,IF(DV39&gt;15000,130,IF(DV39&gt;10000,110,0)))))</f>
        <v>200</v>
      </c>
      <c r="DZ39">
        <f>DV39-DW39-DX39-DY39</f>
        <v>69930</v>
      </c>
      <c r="EA39">
        <f>DV39+DL39+DB39+CR39+CH39+BX39+BN39+BD39+AS39+AI39+Y39+O39+H39+I39</f>
        <v>897304</v>
      </c>
      <c r="EB39">
        <f>DY39+DO39+DE39+CU39+CK39+CA39+BQ39+BG39+AV39+AL39+AB39+R39</f>
        <v>2400</v>
      </c>
      <c r="EC39">
        <f>IF(EA39&gt;0,50000,0)</f>
        <v>50000</v>
      </c>
      <c r="ED39">
        <v>0</v>
      </c>
      <c r="EE39">
        <f>EA39-EB39-EC39</f>
        <v>844904</v>
      </c>
      <c r="EF39">
        <f>DW39+DM39+DC39+CS39+CI39+BY39+BO39+BE39+AT39+AJ39+Z39+P39</f>
        <v>60000</v>
      </c>
      <c r="EG39">
        <f>DX39+DN39+DD39+CT39+CJ39+BZ39+BP39+BF39+AU39+AK39+AA39+Q39</f>
        <v>0</v>
      </c>
      <c r="EH39">
        <v>0</v>
      </c>
      <c r="EI39">
        <v>0</v>
      </c>
      <c r="EJ39">
        <v>0</v>
      </c>
      <c r="EK39">
        <v>0</v>
      </c>
      <c r="EL39">
        <v>0</v>
      </c>
      <c r="EM39">
        <v>0</v>
      </c>
      <c r="EN39">
        <v>0</v>
      </c>
      <c r="EO39">
        <v>0</v>
      </c>
      <c r="EP39">
        <v>0</v>
      </c>
      <c r="EQ39">
        <v>0</v>
      </c>
      <c r="ER39">
        <f>SUM(EF39:EQ39)</f>
        <v>60000</v>
      </c>
      <c r="ES39">
        <f>IF(ER39&gt;=150000,150000,ER39)</f>
        <v>60000</v>
      </c>
      <c r="ET39">
        <f>EE39-ES39</f>
        <v>784904</v>
      </c>
      <c r="EU39">
        <v>0</v>
      </c>
      <c r="EV39">
        <v>0</v>
      </c>
      <c r="EW39">
        <v>0</v>
      </c>
      <c r="EX39">
        <v>0</v>
      </c>
      <c r="EY39">
        <v>0</v>
      </c>
      <c r="EZ39">
        <v>0</v>
      </c>
      <c r="FA39">
        <v>0</v>
      </c>
      <c r="FB39">
        <f>SUM(EU39:FA39)+(IF(F39="YES",50000,0))</f>
        <v>0</v>
      </c>
      <c r="FC39">
        <f>ET39-FB39</f>
        <v>784904</v>
      </c>
      <c r="FD39">
        <f>ROUND(IF(FC39&gt;0,IF(FC39&gt;500000,12500,(FC39-250000)*0.05),0),0)</f>
        <v>12500</v>
      </c>
      <c r="FE39">
        <f>IF(ROUND(IF(FC39&gt;0,IF(FC39&gt;1000000,25000,(FC39-500000)*0.2),0),0)&lt;0,0,ROUND(IF(FC39&gt;0,IF(FC39&gt;1000000,25000,(FC39-500000)*0.2),0),0))</f>
        <v>56981</v>
      </c>
      <c r="FF39">
        <f>FD39+FE39</f>
        <v>69481</v>
      </c>
      <c r="FG39">
        <f>IF(FF39&lt;12500,0,FF39)</f>
        <v>69481</v>
      </c>
      <c r="FH39">
        <f>FG39*0.04</f>
        <v>2779.2400000000002</v>
      </c>
      <c r="FI39">
        <f>ROUND(FH39+FG39,0)</f>
        <v>72260</v>
      </c>
      <c r="FJ39">
        <v>0</v>
      </c>
      <c r="FK39">
        <f>FI39-FJ39</f>
        <v>72260</v>
      </c>
      <c r="FL39" t="b">
        <f>IF(EA39&gt;500000,TRUE,FALSE)</f>
        <v>1</v>
      </c>
      <c r="FM39">
        <f ca="1">IF(FL39,RANDBETWEEN(500,1000),RANDBETWEEN(1000,3000))</f>
        <v>613</v>
      </c>
      <c r="FN39">
        <f ca="1">EA39+FM39</f>
        <v>897917</v>
      </c>
      <c r="FO39">
        <f>IF(EA39&gt;0,75000,0)</f>
        <v>75000</v>
      </c>
      <c r="FP39">
        <f ca="1">FN39-FO39</f>
        <v>822917</v>
      </c>
      <c r="FQ39">
        <f ca="1">IF(FP39&gt;2400000,FP39-2400000,0)</f>
        <v>0</v>
      </c>
      <c r="FR39">
        <f ca="1">FQ39*0.3</f>
        <v>0</v>
      </c>
      <c r="FS39">
        <f ca="1">IF(FP39&gt;2000000,FP39-2000000,0)</f>
        <v>0</v>
      </c>
      <c r="FT39">
        <f ca="1">FS39*0.25</f>
        <v>0</v>
      </c>
      <c r="FU39">
        <f ca="1">IF(FP39&gt;1600000,FP39-1600000-FQ39,0)</f>
        <v>0</v>
      </c>
      <c r="FV39">
        <f ca="1">FU39*0.2</f>
        <v>0</v>
      </c>
      <c r="FW39">
        <f ca="1">IF(FP39&gt;1200000,FP39-1200000-IF(F39="YES",50000,0)-FU39,0)</f>
        <v>0</v>
      </c>
      <c r="FX39">
        <f ca="1">FW39*0.15</f>
        <v>0</v>
      </c>
      <c r="FY39">
        <f ca="1">IF(FP39&gt;800000,FP39-800000-FQ39-FU39-FW39,0)</f>
        <v>22917</v>
      </c>
      <c r="FZ39">
        <f ca="1">FY39*0.1</f>
        <v>2291.7000000000003</v>
      </c>
      <c r="GA39">
        <f ca="1">IF(FP39&gt;400000,FP39-400000-FQ39-FU39-FW39-FY39,0)</f>
        <v>400000</v>
      </c>
      <c r="GB39">
        <f ca="1">GA39*0.05</f>
        <v>20000</v>
      </c>
      <c r="GC39">
        <f ca="1">ROUND(FR39+FT39+FV39+FX39+FZ39+GB39,0)</f>
        <v>22292</v>
      </c>
      <c r="GD39">
        <f ca="1">IF(FP39&gt;1200000,FP39,0)</f>
        <v>0</v>
      </c>
      <c r="GE39">
        <f ca="1">IF(FP39&gt;1200000,GD39-1200000,0)</f>
        <v>0</v>
      </c>
      <c r="GF39">
        <f ca="1">IF(FP39&lt;1200001,MIN(GC39,60000),0)</f>
        <v>22292</v>
      </c>
      <c r="GG39">
        <f ca="1">IF(FP39&gt;1200000,GC39-GE39,0)</f>
        <v>0</v>
      </c>
      <c r="GH39" t="b">
        <f ca="1">IF(GG39&gt;0,TRUE,FALSE)</f>
        <v>0</v>
      </c>
      <c r="GI39">
        <f ca="1">IF(GH39,GG39,0)</f>
        <v>0</v>
      </c>
      <c r="GJ39">
        <f ca="1">GF39+GI39</f>
        <v>22292</v>
      </c>
      <c r="GK39">
        <f ca="1">ROUND(GC39-GJ39,0)</f>
        <v>0</v>
      </c>
      <c r="GL39">
        <f ca="1">GK39*0.04</f>
        <v>0</v>
      </c>
      <c r="GM39">
        <f ca="1">ROUNDUP(GK39+GL39,0)</f>
        <v>0</v>
      </c>
    </row>
    <row r="40" spans="1:195" x14ac:dyDescent="0.25">
      <c r="A40">
        <f>_xlfn.AGGREGATE(3,5,$B$2:B40)</f>
        <v>39</v>
      </c>
      <c r="B40" t="s">
        <v>198</v>
      </c>
      <c r="C40" t="s">
        <v>199</v>
      </c>
      <c r="D40" t="s">
        <v>762</v>
      </c>
      <c r="E40" t="s">
        <v>833</v>
      </c>
      <c r="F40" t="s">
        <v>959</v>
      </c>
      <c r="G40" t="s">
        <v>883</v>
      </c>
      <c r="H40">
        <f>IF(_xlfn.DAYS("31-03-2025",G40)&gt;=180,6800,0)</f>
        <v>6800</v>
      </c>
      <c r="I40">
        <f>_xlfn.XLOOKUP(B40,'[1]march-2025'!$A:$A,'[1]march-2025'!$J:$J,0,0)</f>
        <v>0</v>
      </c>
      <c r="J40">
        <f>_xlfn.XLOOKUP(B40,'[1]march-2025'!$A:$A,'[1]march-2025'!$C:$C,0,0)</f>
        <v>28900</v>
      </c>
      <c r="K40">
        <f>J40*0.14</f>
        <v>4046.0000000000005</v>
      </c>
      <c r="L40">
        <f>J40*0.12</f>
        <v>3468</v>
      </c>
      <c r="M40">
        <f>_xlfn.XLOOKUP(B40,'[1]march-2025'!$A:$A,'[1]march-2025'!$D:$D,0,0)</f>
        <v>0</v>
      </c>
      <c r="N40">
        <f>_xlfn.XLOOKUP(B40,'[1]march-2025'!$A:$A,'[1]march-2025'!$G:$G,0,0)</f>
        <v>500</v>
      </c>
      <c r="O40">
        <f>IF(J40&gt;0,SUM(J40:N40),0)</f>
        <v>36914</v>
      </c>
      <c r="P40">
        <f>_xlfn.XLOOKUP(B40,'[1]march-2025'!$A:$A,'[1]march-2025'!$H:$H,0,0)</f>
        <v>2000</v>
      </c>
      <c r="Q40">
        <f>_xlfn.XLOOKUP(B40,'[1]march-2025'!$A:$A,'[1]march-2025'!$I:$I,0,0)</f>
        <v>0</v>
      </c>
      <c r="R40">
        <f>IF($F40="YES",0,IF(O40&gt;40000,200,IF(O40&gt;25000,150,IF(O40&gt;15000,130,IF(O40&gt;10000,110,0)))))</f>
        <v>150</v>
      </c>
      <c r="S40">
        <f>O40-P40-Q40-R40</f>
        <v>34764</v>
      </c>
      <c r="T40">
        <f>_xlfn.XLOOKUP(B40,'[2]april-2025'!$A:$A,'[2]april-2025'!$C:$C,0,0)</f>
        <v>28900</v>
      </c>
      <c r="U40">
        <f>T40*0.18</f>
        <v>5202</v>
      </c>
      <c r="V40">
        <f>T40*0.12</f>
        <v>3468</v>
      </c>
      <c r="W40">
        <f>_xlfn.XLOOKUP(B40,'[2]april-2025'!$A:$A,'[2]april-2025'!$D:$D,0,0)</f>
        <v>0</v>
      </c>
      <c r="X40">
        <f>_xlfn.XLOOKUP(B40,'[2]april-2025'!$A:$A,'[2]april-2025'!$G:$G,0,0)</f>
        <v>500</v>
      </c>
      <c r="Y40">
        <f>IF(T40&gt;0,SUM(T40:X40),0)</f>
        <v>38070</v>
      </c>
      <c r="Z40">
        <f>_xlfn.XLOOKUP(B40,'[2]april-2025'!$A:$A,'[2]april-2025'!$H:$H,0,0)</f>
        <v>2000</v>
      </c>
      <c r="AA40">
        <f>_xlfn.XLOOKUP(B40,'[2]april-2025'!$A:$A,'[2]april-2025'!$I:$I,0,0)</f>
        <v>0</v>
      </c>
      <c r="AB40">
        <f>IF($F40="YES",0,IF(Y40&gt;40000,200,IF(Y40&gt;25000,150,IF(Y40&gt;15000,130,IF(Y40&gt;10000,110,0)))))</f>
        <v>150</v>
      </c>
      <c r="AC40">
        <f>Y40-Z40-AA40-AB40</f>
        <v>35920</v>
      </c>
      <c r="AD40">
        <f>_xlfn.XLOOKUP(B40,'[3]may-2025'!$A:$A,'[3]may-2025'!$C:$C,0,0)</f>
        <v>28900</v>
      </c>
      <c r="AE40">
        <f>AD40*0.18</f>
        <v>5202</v>
      </c>
      <c r="AF40">
        <f>AD40*0.12</f>
        <v>3468</v>
      </c>
      <c r="AG40">
        <f>_xlfn.XLOOKUP(B40,'[3]may-2025'!$A:$A,'[3]may-2025'!$D:$D,0,0)</f>
        <v>0</v>
      </c>
      <c r="AH40">
        <f>_xlfn.XLOOKUP(B40,'[3]may-2025'!$A:$A,'[3]may-2025'!$G:$G,0,0)</f>
        <v>500</v>
      </c>
      <c r="AI40">
        <f>IF(AD40&gt;0,SUM(AD40:AH40),0)</f>
        <v>38070</v>
      </c>
      <c r="AJ40">
        <f>_xlfn.XLOOKUP(B40,'[3]may-2025'!$A:$A,'[3]may-2025'!$H:$H,0,0)</f>
        <v>2000</v>
      </c>
      <c r="AK40">
        <f>_xlfn.XLOOKUP(B40,'[3]may-2025'!$A:$A,'[3]may-2025'!$I:$I,0,0)</f>
        <v>0</v>
      </c>
      <c r="AL40">
        <f>IF($F40="YES",0,IF(AI40&gt;40000,200,IF(AI40&gt;25000,150,IF(AI40&gt;15000,130,IF(AI40&gt;10000,110,0)))))</f>
        <v>150</v>
      </c>
      <c r="AM40">
        <f>AI40-AJ40-AK40-AL40</f>
        <v>35920</v>
      </c>
      <c r="AN40">
        <f>_xlfn.XLOOKUP(B40,'[4]june-2025'!$A:$A,'[4]june-2025'!$C:$C,0,0)</f>
        <v>28900</v>
      </c>
      <c r="AO40">
        <f>AN40*0.18</f>
        <v>5202</v>
      </c>
      <c r="AP40">
        <f>AN40*0.12</f>
        <v>3468</v>
      </c>
      <c r="AQ40">
        <f>_xlfn.XLOOKUP(B40,'[4]june-2025'!$A:$A,'[4]june-2025'!$D:$D,0,0)</f>
        <v>0</v>
      </c>
      <c r="AR40">
        <f>_xlfn.XLOOKUP(B40,'[4]june-2025'!$A:$A,'[4]june-2025'!$G:$G,0,0)</f>
        <v>500</v>
      </c>
      <c r="AS40">
        <f>IF(AN40&gt;0,SUM(AN40:AR40),0)</f>
        <v>38070</v>
      </c>
      <c r="AT40">
        <f>_xlfn.XLOOKUP(B40,'[4]june-2025'!$A:$A,'[4]june-2025'!$H:$H,0,0)</f>
        <v>2000</v>
      </c>
      <c r="AU40">
        <f>_xlfn.XLOOKUP(B40,'[4]june-2025'!$A:$A,'[4]june-2025'!$I:$I,0,0)</f>
        <v>0</v>
      </c>
      <c r="AV40">
        <f>IF($F40="YES",0,IF(AS40&gt;40000,200,IF(AS40&gt;25000,150,IF(AS40&gt;15000,130,IF(AS40&gt;10000,110,0)))))</f>
        <v>150</v>
      </c>
      <c r="AW40">
        <f>AS40-AT40-AU40-AV40</f>
        <v>35920</v>
      </c>
      <c r="AX40">
        <f>_xlfn.XLOOKUP(B40,'[5]july-2025'!$A:$A,'[5]july-2025'!$C:$C,0,0)</f>
        <v>29800</v>
      </c>
      <c r="AY40">
        <f>AX40*0.18</f>
        <v>5364</v>
      </c>
      <c r="AZ40">
        <v>0</v>
      </c>
      <c r="BA40">
        <f>AX40*0.12</f>
        <v>3576</v>
      </c>
      <c r="BB40">
        <f>_xlfn.XLOOKUP(B40,'[5]july-2025'!$A:$A,'[5]july-2025'!$D:$D,0,0)</f>
        <v>0</v>
      </c>
      <c r="BC40">
        <f>_xlfn.XLOOKUP(B40,'[5]july-2025'!$A:$A,'[5]july-2025'!$G:$G,0,0)</f>
        <v>500</v>
      </c>
      <c r="BD40">
        <f>IF(AX40&gt;0,SUM(AX40:BC40),0)</f>
        <v>39240</v>
      </c>
      <c r="BE40">
        <f>_xlfn.XLOOKUP(B40,'[5]july-2025'!$A:$A,'[5]july-2025'!$H:$H,0,0)</f>
        <v>2000</v>
      </c>
      <c r="BF40">
        <f>_xlfn.XLOOKUP(B40,'[5]july-2025'!$A:$A,'[5]july-2025'!$I:$I,0,0)</f>
        <v>0</v>
      </c>
      <c r="BG40">
        <f>IF($F40="YES",0,IF(BD40&gt;40000,200,IF(BD40&gt;25000,150,IF(BD40&gt;15000,130,IF(BD40&gt;10000,110,0)))))</f>
        <v>150</v>
      </c>
      <c r="BH40">
        <f>BD40-BE40-BF40-BG40</f>
        <v>37090</v>
      </c>
      <c r="BI40">
        <f>_xlfn.XLOOKUP(B40,'[6]august-2025'!$A:$A,'[6]august-2025'!$C:$C,0,0)</f>
        <v>29800</v>
      </c>
      <c r="BJ40">
        <f>BI40*0.18</f>
        <v>5364</v>
      </c>
      <c r="BK40">
        <f>BI40*0.12</f>
        <v>3576</v>
      </c>
      <c r="BL40">
        <f>_xlfn.XLOOKUP(B40,'[6]august-2025'!$A:$A,'[6]august-2025'!$D:$D,0,0)</f>
        <v>0</v>
      </c>
      <c r="BM40">
        <f>_xlfn.XLOOKUP(B40,'[6]august-2025'!$A:$A,'[6]august-2025'!$G:$G,0,0)</f>
        <v>500</v>
      </c>
      <c r="BN40">
        <f>IF(BI40&gt;0,SUM(BI40:BM40),0)</f>
        <v>39240</v>
      </c>
      <c r="BO40">
        <f>_xlfn.XLOOKUP(B40,'[6]august-2025'!$A:$A,'[6]august-2025'!$H:$H,0,0)</f>
        <v>2000</v>
      </c>
      <c r="BP40">
        <f>_xlfn.XLOOKUP(B40,'[6]august-2025'!$A:$A,'[6]august-2025'!$I:$I,0,0)</f>
        <v>0</v>
      </c>
      <c r="BQ40">
        <f>IF($F40="YES",0,IF(BN40&gt;40000,200,IF(BN40&gt;25000,150,IF(BN40&gt;15000,130,IF(BN40&gt;10000,110,0)))))</f>
        <v>150</v>
      </c>
      <c r="BR40">
        <f>BN40-BO40-BP40-BQ40</f>
        <v>37090</v>
      </c>
      <c r="BS40">
        <f>_xlfn.XLOOKUP(B40,'[7]september-2025'!$A:$A,'[7]september-2025'!$C:$C,0,0)</f>
        <v>29800</v>
      </c>
      <c r="BT40">
        <f>BS40*0.18</f>
        <v>5364</v>
      </c>
      <c r="BU40">
        <f>BS40*0.12</f>
        <v>3576</v>
      </c>
      <c r="BV40">
        <f>_xlfn.XLOOKUP(B40,'[7]september-2025'!$A:$A,'[7]september-2025'!$D:$D,0,0)</f>
        <v>0</v>
      </c>
      <c r="BW40">
        <f>_xlfn.XLOOKUP(B40,'[7]september-2025'!$A:$A,'[7]september-2025'!$G:$G,0,0)</f>
        <v>500</v>
      </c>
      <c r="BX40">
        <f>IF(BS40&gt;0,SUM(BS40:BW40),0)</f>
        <v>39240</v>
      </c>
      <c r="BY40">
        <f>_xlfn.XLOOKUP(B40,'[7]september-2025'!$A:$A,'[7]september-2025'!$H:$H,0,0)</f>
        <v>2000</v>
      </c>
      <c r="BZ40">
        <f>_xlfn.XLOOKUP(B40,'[7]september-2025'!$A:$A,'[7]september-2025'!$I:$I,0,0)</f>
        <v>0</v>
      </c>
      <c r="CA40">
        <f>IF($F40="YES",0,IF(BX40&gt;40000,200,IF(BX40&gt;25000,150,IF(BX40&gt;15000,130,IF(BX40&gt;10000,110,0)))))</f>
        <v>150</v>
      </c>
      <c r="CB40">
        <f>BX40-BY40-BZ40-CA40</f>
        <v>37090</v>
      </c>
      <c r="CC40">
        <f>_xlfn.XLOOKUP(B40,'[8]october-2025'!$A:$A,'[8]october-2025'!$C:$C,0,0)</f>
        <v>29800</v>
      </c>
      <c r="CD40">
        <f>CC40*0.18</f>
        <v>5364</v>
      </c>
      <c r="CE40">
        <f>CC40*0.12</f>
        <v>3576</v>
      </c>
      <c r="CF40">
        <f>_xlfn.XLOOKUP(B40,'[8]october-2025'!$A:$A,'[8]october-2025'!$D:$D,0,0)</f>
        <v>0</v>
      </c>
      <c r="CG40">
        <f>_xlfn.XLOOKUP(B40,'[8]october-2025'!$A:$A,'[8]october-2025'!$G:$G,0,0)</f>
        <v>500</v>
      </c>
      <c r="CH40">
        <f>IF(CC40&gt;0,SUM(CC40:CG40),0)</f>
        <v>39240</v>
      </c>
      <c r="CI40">
        <f>_xlfn.XLOOKUP(B40,'[8]october-2025'!$A:$A,'[8]october-2025'!$H:$H,0,0)</f>
        <v>2000</v>
      </c>
      <c r="CJ40">
        <f>_xlfn.XLOOKUP(B40,'[8]october-2025'!$A:$A,'[8]october-2025'!$I:$I,0,0)</f>
        <v>0</v>
      </c>
      <c r="CK40">
        <f>IF($F40="YES",0,IF(CH40&gt;40000,200,IF(CH40&gt;25000,150,IF(CH40&gt;15000,130,IF(CH40&gt;10000,110,0)))))</f>
        <v>150</v>
      </c>
      <c r="CL40">
        <f>CH40-CI40-CJ40-CK40</f>
        <v>37090</v>
      </c>
      <c r="CM40">
        <f>_xlfn.XLOOKUP(B40,'[9]november-2025'!$A:$A,'[9]november-2025'!$C:$C,0,0)</f>
        <v>29800</v>
      </c>
      <c r="CN40">
        <f>CM40*0.18</f>
        <v>5364</v>
      </c>
      <c r="CO40">
        <f>CM40*0.12</f>
        <v>3576</v>
      </c>
      <c r="CP40">
        <f>_xlfn.XLOOKUP(B40,'[9]november-2025'!$A:$A,'[9]november-2025'!$D:$D,0,0)</f>
        <v>0</v>
      </c>
      <c r="CQ40">
        <f>_xlfn.XLOOKUP(B40,'[9]november-2025'!$A:$A,'[9]november-2025'!$G:$G,0,0)</f>
        <v>500</v>
      </c>
      <c r="CR40">
        <f>IF(CM40&gt;0,SUM(CM40:CQ40),0)</f>
        <v>39240</v>
      </c>
      <c r="CS40">
        <f>_xlfn.XLOOKUP(B40,'[9]november-2025'!$A:$A,'[9]november-2025'!$H:$H,0,0)</f>
        <v>2000</v>
      </c>
      <c r="CT40">
        <f>_xlfn.XLOOKUP(B40,'[9]november-2025'!$A:$A,'[9]november-2025'!$I:$I,0,0)</f>
        <v>0</v>
      </c>
      <c r="CU40">
        <f>IF($F40="YES",0,IF(CR40&gt;40000,200,IF(CR40&gt;25000,150,IF(CR40&gt;15000,130,IF(CR40&gt;10000,110,0)))))</f>
        <v>150</v>
      </c>
      <c r="CV40">
        <f>CR40-CS40-CT40-CU40</f>
        <v>37090</v>
      </c>
      <c r="CW40">
        <f>_xlfn.XLOOKUP(B40,'[10]december-2025'!$A:$A,'[10]december-2025'!$C:$C,0,0)</f>
        <v>29800</v>
      </c>
      <c r="CX40">
        <f>ROUND(CW40*0.18,0)</f>
        <v>5364</v>
      </c>
      <c r="CY40">
        <f>ROUND(CW40*0.12,0)</f>
        <v>3576</v>
      </c>
      <c r="CZ40">
        <f>_xlfn.XLOOKUP(B40,'[10]december-2025'!$A:$A,'[10]december-2025'!$D:$D,0,0)</f>
        <v>0</v>
      </c>
      <c r="DA40">
        <f>_xlfn.XLOOKUP(B40,'[10]december-2025'!$A:$A,'[10]december-2025'!$G:$G,0,0)</f>
        <v>500</v>
      </c>
      <c r="DB40">
        <f>IF(CW40&gt;0,SUM(CW40:DA40),0)</f>
        <v>39240</v>
      </c>
      <c r="DC40">
        <f>_xlfn.XLOOKUP(B40,'[10]december-2025'!$A:$A,'[10]december-2025'!$H:$H,0,0)</f>
        <v>2000</v>
      </c>
      <c r="DD40">
        <f>_xlfn.XLOOKUP(B40,'[10]december-2025'!$A:$A,'[10]december-2025'!$I:$I,0,0)</f>
        <v>0</v>
      </c>
      <c r="DE40">
        <f>IF($F40="YES",0,IF(DB40&gt;40000,200,IF(DB40&gt;25000,150,IF(DB40&gt;15000,130,IF(DB40&gt;10000,110,0)))))</f>
        <v>150</v>
      </c>
      <c r="DF40">
        <f>DB40-DC40-DD40-DE40</f>
        <v>37090</v>
      </c>
      <c r="DG40">
        <f>_xlfn.XLOOKUP(B40,'[11]january-2026'!$A:$A,'[11]january-2026'!$C:$C,0,0)</f>
        <v>29800</v>
      </c>
      <c r="DH40">
        <f>DG40*0.18</f>
        <v>5364</v>
      </c>
      <c r="DI40">
        <f>DG40*0.12</f>
        <v>3576</v>
      </c>
      <c r="DJ40">
        <f>_xlfn.XLOOKUP(B40,'[11]january-2026'!$A:$A,'[11]january-2026'!$D:$D,0,0)</f>
        <v>0</v>
      </c>
      <c r="DK40">
        <f>_xlfn.XLOOKUP(B40,'[11]january-2026'!$A:$A,'[11]january-2026'!$G:$G,0,0)</f>
        <v>500</v>
      </c>
      <c r="DL40">
        <f>IF(DG40&gt;0,SUM(DG40:DK40),0)</f>
        <v>39240</v>
      </c>
      <c r="DM40">
        <f>_xlfn.XLOOKUP(B40,'[11]january-2026'!$A:$A,'[11]january-2026'!$H:$H,0,0)</f>
        <v>2000</v>
      </c>
      <c r="DN40">
        <f>_xlfn.XLOOKUP(B40,'[11]january-2026'!$A:$A,'[11]january-2026'!$I:$I,0,0)</f>
        <v>0</v>
      </c>
      <c r="DO40">
        <f>IF($F40="YES",0,IF(DL40&gt;40000,200,IF(DL40&gt;25000,150,IF(DL40&gt;15000,130,IF(DL40&gt;10000,110,0)))))</f>
        <v>150</v>
      </c>
      <c r="DP40">
        <f>DL40-DM40-DN40-DO40</f>
        <v>37090</v>
      </c>
      <c r="DQ40">
        <f>_xlfn.XLOOKUP(B40,'[12]february-2026'!$A:$A,'[12]february-2026'!$C:$C,0,0)</f>
        <v>29800</v>
      </c>
      <c r="DR40">
        <f>DQ40*0.18</f>
        <v>5364</v>
      </c>
      <c r="DS40">
        <f>DQ40*0.12</f>
        <v>3576</v>
      </c>
      <c r="DT40">
        <f>_xlfn.XLOOKUP(B40,'[12]february-2026'!$A:$A,'[12]february-2026'!$D:$D,0,0)</f>
        <v>0</v>
      </c>
      <c r="DU40">
        <f>_xlfn.XLOOKUP(B40,'[12]february-2026'!$A:$A,'[12]february-2026'!$G:$G,0,0)</f>
        <v>500</v>
      </c>
      <c r="DV40">
        <f>IF(DQ40&gt;0,SUM(DQ40:DU40),0)</f>
        <v>39240</v>
      </c>
      <c r="DW40">
        <f>_xlfn.XLOOKUP(B40,'[12]february-2026'!$A:$A,'[12]february-2026'!$H:$H,0,0)</f>
        <v>2000</v>
      </c>
      <c r="DX40">
        <f>_xlfn.XLOOKUP(B40,'[12]february-2026'!$A:$A,'[12]february-2026'!$I:$I,0,0)</f>
        <v>0</v>
      </c>
      <c r="DY40">
        <f>IF($F40="YES",0,IF(DV40&gt;40000,200,IF(DV40&gt;25000,150,IF(DV40&gt;15000,130,IF(DV40&gt;10000,110,0)))))</f>
        <v>150</v>
      </c>
      <c r="DZ40">
        <f>DV40-DW40-DX40-DY40</f>
        <v>37090</v>
      </c>
      <c r="EA40">
        <f>DV40+DL40+DB40+CR40+CH40+BX40+BN40+BD40+AS40+AI40+Y40+O40+H40+I40</f>
        <v>471844</v>
      </c>
      <c r="EB40">
        <f>DY40+DO40+DE40+CU40+CK40+CA40+BQ40+BG40+AV40+AL40+AB40+R40</f>
        <v>1800</v>
      </c>
      <c r="EC40">
        <f>IF(EA40&gt;0,50000,0)</f>
        <v>50000</v>
      </c>
      <c r="ED40">
        <v>0</v>
      </c>
      <c r="EE40">
        <f>EA40-EB40-EC40</f>
        <v>420044</v>
      </c>
      <c r="EF40">
        <f>DW40+DM40+DC40+CS40+CI40+BY40+BO40+BE40+AT40+AJ40+Z40+P40</f>
        <v>24000</v>
      </c>
      <c r="EG40">
        <f>DX40+DN40+DD40+CT40+CJ40+BZ40+BP40+BF40+AU40+AK40+AA40+Q40</f>
        <v>0</v>
      </c>
      <c r="EH40">
        <v>0</v>
      </c>
      <c r="EI40">
        <v>0</v>
      </c>
      <c r="EJ40">
        <v>0</v>
      </c>
      <c r="EK40">
        <v>0</v>
      </c>
      <c r="EL40">
        <v>0</v>
      </c>
      <c r="EM40">
        <v>0</v>
      </c>
      <c r="EN40">
        <v>0</v>
      </c>
      <c r="EO40">
        <v>0</v>
      </c>
      <c r="EP40">
        <v>0</v>
      </c>
      <c r="EQ40">
        <v>0</v>
      </c>
      <c r="ER40">
        <f>SUM(EF40:EQ40)</f>
        <v>24000</v>
      </c>
      <c r="ES40">
        <f>IF(ER40&gt;=150000,150000,ER40)</f>
        <v>24000</v>
      </c>
      <c r="ET40">
        <f>EE40-ES40</f>
        <v>396044</v>
      </c>
      <c r="EU40">
        <v>0</v>
      </c>
      <c r="EV40">
        <v>0</v>
      </c>
      <c r="EW40">
        <v>0</v>
      </c>
      <c r="EX40">
        <v>0</v>
      </c>
      <c r="EY40">
        <v>0</v>
      </c>
      <c r="EZ40">
        <v>0</v>
      </c>
      <c r="FA40">
        <v>0</v>
      </c>
      <c r="FB40">
        <f>SUM(EU40:FA40)+(IF(F40="YES",50000,0))</f>
        <v>0</v>
      </c>
      <c r="FC40">
        <f>ET40-FB40</f>
        <v>396044</v>
      </c>
      <c r="FD40">
        <f>ROUND(IF(FC40&gt;0,IF(FC40&gt;500000,12500,(FC40-250000)*0.05),0),0)</f>
        <v>7302</v>
      </c>
      <c r="FE40">
        <f>IF(ROUND(IF(FC40&gt;0,IF(FC40&gt;1000000,25000,(FC40-500000)*0.2),0),0)&lt;0,0,ROUND(IF(FC40&gt;0,IF(FC40&gt;1000000,25000,(FC40-500000)*0.2),0),0))</f>
        <v>0</v>
      </c>
      <c r="FF40">
        <f>FD40+FE40</f>
        <v>7302</v>
      </c>
      <c r="FG40">
        <f>IF(FF40&lt;12500,0,FF40)</f>
        <v>0</v>
      </c>
      <c r="FH40">
        <f>FG40*0.04</f>
        <v>0</v>
      </c>
      <c r="FI40">
        <f>ROUND(FH40+FG40,0)</f>
        <v>0</v>
      </c>
      <c r="FJ40">
        <v>0</v>
      </c>
      <c r="FK40">
        <f>FI40-FJ40</f>
        <v>0</v>
      </c>
      <c r="FL40" t="b">
        <f>IF(EA40&gt;500000,TRUE,FALSE)</f>
        <v>0</v>
      </c>
      <c r="FM40">
        <f ca="1">IF(FL40,RANDBETWEEN(500,1000),RANDBETWEEN(1000,3000))</f>
        <v>1458</v>
      </c>
      <c r="FN40">
        <f ca="1">EA40+FM40</f>
        <v>473302</v>
      </c>
      <c r="FO40">
        <f>IF(EA40&gt;0,75000,0)</f>
        <v>75000</v>
      </c>
      <c r="FP40">
        <f ca="1">FN40-FO40</f>
        <v>398302</v>
      </c>
      <c r="FQ40">
        <f ca="1">IF(FP40&gt;2400000,FP40-2400000,0)</f>
        <v>0</v>
      </c>
      <c r="FR40">
        <f ca="1">FQ40*0.3</f>
        <v>0</v>
      </c>
      <c r="FS40">
        <f ca="1">IF(FP40&gt;2000000,FP40-2000000,0)</f>
        <v>0</v>
      </c>
      <c r="FT40">
        <f ca="1">FS40*0.25</f>
        <v>0</v>
      </c>
      <c r="FU40">
        <f ca="1">IF(FP40&gt;1600000,FP40-1600000-FQ40,0)</f>
        <v>0</v>
      </c>
      <c r="FV40">
        <f ca="1">FU40*0.2</f>
        <v>0</v>
      </c>
      <c r="FW40">
        <f ca="1">IF(FP40&gt;1200000,FP40-1200000-IF(F40="YES",50000,0)-FU40,0)</f>
        <v>0</v>
      </c>
      <c r="FX40">
        <f ca="1">FW40*0.15</f>
        <v>0</v>
      </c>
      <c r="FY40">
        <f ca="1">IF(FP40&gt;800000,FP40-800000-FQ40-FU40-FW40,0)</f>
        <v>0</v>
      </c>
      <c r="FZ40">
        <f ca="1">FY40*0.1</f>
        <v>0</v>
      </c>
      <c r="GA40">
        <f ca="1">IF(FP40&gt;400000,FP40-400000-FQ40-FU40-FW40-FY40,0)</f>
        <v>0</v>
      </c>
      <c r="GB40">
        <f ca="1">GA40*0.05</f>
        <v>0</v>
      </c>
      <c r="GC40">
        <f ca="1">ROUND(FR40+FT40+FV40+FX40+FZ40+GB40,0)</f>
        <v>0</v>
      </c>
      <c r="GD40">
        <f ca="1">IF(FP40&gt;1200000,FP40,0)</f>
        <v>0</v>
      </c>
      <c r="GE40">
        <f ca="1">IF(FP40&gt;1200000,GD40-1200000,0)</f>
        <v>0</v>
      </c>
      <c r="GF40">
        <f ca="1">IF(FP40&lt;1200001,MIN(GC40,60000),0)</f>
        <v>0</v>
      </c>
      <c r="GG40">
        <f ca="1">IF(FP40&gt;1200000,GC40-GE40,0)</f>
        <v>0</v>
      </c>
      <c r="GH40" t="b">
        <f ca="1">IF(GG40&gt;0,TRUE,FALSE)</f>
        <v>0</v>
      </c>
      <c r="GI40">
        <f ca="1">IF(GH40,GG40,0)</f>
        <v>0</v>
      </c>
      <c r="GJ40">
        <f ca="1">GF40+GI40</f>
        <v>0</v>
      </c>
      <c r="GK40">
        <f ca="1">ROUND(GC40-GJ40,0)</f>
        <v>0</v>
      </c>
      <c r="GL40">
        <f ca="1">GK40*0.04</f>
        <v>0</v>
      </c>
      <c r="GM40">
        <f ca="1">ROUNDUP(GK40+GL40,0)</f>
        <v>0</v>
      </c>
    </row>
    <row r="41" spans="1:195" x14ac:dyDescent="0.25">
      <c r="A41">
        <f>_xlfn.AGGREGATE(3,5,$B$2:B41)</f>
        <v>40</v>
      </c>
      <c r="B41" t="s">
        <v>200</v>
      </c>
      <c r="C41" t="s">
        <v>201</v>
      </c>
      <c r="D41" t="s">
        <v>762</v>
      </c>
      <c r="E41" t="s">
        <v>833</v>
      </c>
      <c r="F41" t="s">
        <v>959</v>
      </c>
      <c r="G41" t="s">
        <v>898</v>
      </c>
      <c r="H41">
        <f>IF(_xlfn.DAYS("31-03-2025",G41)&gt;=180,6800,0)</f>
        <v>6800</v>
      </c>
      <c r="I41">
        <f>_xlfn.XLOOKUP(B41,'[1]march-2025'!$A:$A,'[1]march-2025'!$J:$J,0,0)</f>
        <v>0</v>
      </c>
      <c r="J41">
        <f>_xlfn.XLOOKUP(B41,'[1]march-2025'!$A:$A,'[1]march-2025'!$C:$C,0,0)</f>
        <v>24700</v>
      </c>
      <c r="K41">
        <f>J41*0.14</f>
        <v>3458.0000000000005</v>
      </c>
      <c r="L41">
        <f>J41*0.12</f>
        <v>2964</v>
      </c>
      <c r="M41">
        <f>_xlfn.XLOOKUP(B41,'[1]march-2025'!$A:$A,'[1]march-2025'!$D:$D,0,0)</f>
        <v>0</v>
      </c>
      <c r="N41">
        <f>_xlfn.XLOOKUP(B41,'[1]march-2025'!$A:$A,'[1]march-2025'!$G:$G,0,0)</f>
        <v>0</v>
      </c>
      <c r="O41">
        <f>IF(J41&gt;0,SUM(J41:N41),0)</f>
        <v>31122</v>
      </c>
      <c r="P41">
        <f>_xlfn.XLOOKUP(B41,'[1]march-2025'!$A:$A,'[1]march-2025'!$H:$H,0,0)</f>
        <v>0</v>
      </c>
      <c r="Q41">
        <f>_xlfn.XLOOKUP(B41,'[1]march-2025'!$A:$A,'[1]march-2025'!$I:$I,0,0)</f>
        <v>0</v>
      </c>
      <c r="R41">
        <f>IF($F41="YES",0,IF(O41&gt;40000,200,IF(O41&gt;25000,150,IF(O41&gt;15000,130,IF(O41&gt;10000,110,0)))))</f>
        <v>150</v>
      </c>
      <c r="S41">
        <f>O41-P41-Q41-R41</f>
        <v>30972</v>
      </c>
      <c r="T41">
        <f>_xlfn.XLOOKUP(B41,'[2]april-2025'!$A:$A,'[2]april-2025'!$C:$C,0,0)</f>
        <v>24700</v>
      </c>
      <c r="U41">
        <f>T41*0.18</f>
        <v>4446</v>
      </c>
      <c r="V41">
        <f>T41*0.12</f>
        <v>2964</v>
      </c>
      <c r="W41">
        <f>_xlfn.XLOOKUP(B41,'[2]april-2025'!$A:$A,'[2]april-2025'!$D:$D,0,0)</f>
        <v>0</v>
      </c>
      <c r="X41">
        <f>_xlfn.XLOOKUP(B41,'[2]april-2025'!$A:$A,'[2]april-2025'!$G:$G,0,0)</f>
        <v>0</v>
      </c>
      <c r="Y41">
        <f>IF(T41&gt;0,SUM(T41:X41),0)</f>
        <v>32110</v>
      </c>
      <c r="Z41">
        <f>_xlfn.XLOOKUP(B41,'[2]april-2025'!$A:$A,'[2]april-2025'!$H:$H,0,0)</f>
        <v>0</v>
      </c>
      <c r="AA41">
        <f>_xlfn.XLOOKUP(B41,'[2]april-2025'!$A:$A,'[2]april-2025'!$I:$I,0,0)</f>
        <v>0</v>
      </c>
      <c r="AB41">
        <f>IF($F41="YES",0,IF(Y41&gt;40000,200,IF(Y41&gt;25000,150,IF(Y41&gt;15000,130,IF(Y41&gt;10000,110,0)))))</f>
        <v>150</v>
      </c>
      <c r="AC41">
        <f>Y41-Z41-AA41-AB41</f>
        <v>31960</v>
      </c>
      <c r="AD41">
        <f>_xlfn.XLOOKUP(B41,'[3]may-2025'!$A:$A,'[3]may-2025'!$C:$C,0,0)</f>
        <v>24700</v>
      </c>
      <c r="AE41">
        <f>AD41*0.18</f>
        <v>4446</v>
      </c>
      <c r="AF41">
        <f>AD41*0.12</f>
        <v>2964</v>
      </c>
      <c r="AG41">
        <f>_xlfn.XLOOKUP(B41,'[3]may-2025'!$A:$A,'[3]may-2025'!$D:$D,0,0)</f>
        <v>0</v>
      </c>
      <c r="AH41">
        <f>_xlfn.XLOOKUP(B41,'[3]may-2025'!$A:$A,'[3]may-2025'!$G:$G,0,0)</f>
        <v>0</v>
      </c>
      <c r="AI41">
        <f>IF(AD41&gt;0,SUM(AD41:AH41),0)</f>
        <v>32110</v>
      </c>
      <c r="AJ41">
        <f>_xlfn.XLOOKUP(B41,'[3]may-2025'!$A:$A,'[3]may-2025'!$H:$H,0,0)</f>
        <v>0</v>
      </c>
      <c r="AK41">
        <f>_xlfn.XLOOKUP(B41,'[3]may-2025'!$A:$A,'[3]may-2025'!$I:$I,0,0)</f>
        <v>0</v>
      </c>
      <c r="AL41">
        <f>IF($F41="YES",0,IF(AI41&gt;40000,200,IF(AI41&gt;25000,150,IF(AI41&gt;15000,130,IF(AI41&gt;10000,110,0)))))</f>
        <v>150</v>
      </c>
      <c r="AM41">
        <f>AI41-AJ41-AK41-AL41</f>
        <v>31960</v>
      </c>
      <c r="AN41">
        <f>_xlfn.XLOOKUP(B41,'[4]june-2025'!$A:$A,'[4]june-2025'!$C:$C,0,0)</f>
        <v>24700</v>
      </c>
      <c r="AO41">
        <f>AN41*0.18</f>
        <v>4446</v>
      </c>
      <c r="AP41">
        <f>AN41*0.12</f>
        <v>2964</v>
      </c>
      <c r="AQ41">
        <f>_xlfn.XLOOKUP(B41,'[4]june-2025'!$A:$A,'[4]june-2025'!$D:$D,0,0)</f>
        <v>0</v>
      </c>
      <c r="AR41">
        <f>_xlfn.XLOOKUP(B41,'[4]june-2025'!$A:$A,'[4]june-2025'!$G:$G,0,0)</f>
        <v>0</v>
      </c>
      <c r="AS41">
        <f>IF(AN41&gt;0,SUM(AN41:AR41),0)</f>
        <v>32110</v>
      </c>
      <c r="AT41">
        <f>_xlfn.XLOOKUP(B41,'[4]june-2025'!$A:$A,'[4]june-2025'!$H:$H,0,0)</f>
        <v>0</v>
      </c>
      <c r="AU41">
        <f>_xlfn.XLOOKUP(B41,'[4]june-2025'!$A:$A,'[4]june-2025'!$I:$I,0,0)</f>
        <v>0</v>
      </c>
      <c r="AV41">
        <f>IF($F41="YES",0,IF(AS41&gt;40000,200,IF(AS41&gt;25000,150,IF(AS41&gt;15000,130,IF(AS41&gt;10000,110,0)))))</f>
        <v>150</v>
      </c>
      <c r="AW41">
        <f>AS41-AT41-AU41-AV41</f>
        <v>31960</v>
      </c>
      <c r="AX41">
        <f>_xlfn.XLOOKUP(B41,'[5]july-2025'!$A:$A,'[5]july-2025'!$C:$C,0,0)</f>
        <v>25400</v>
      </c>
      <c r="AY41">
        <f>AX41*0.18</f>
        <v>4572</v>
      </c>
      <c r="AZ41">
        <v>0</v>
      </c>
      <c r="BA41">
        <f>AX41*0.12</f>
        <v>3048</v>
      </c>
      <c r="BB41">
        <f>_xlfn.XLOOKUP(B41,'[5]july-2025'!$A:$A,'[5]july-2025'!$D:$D,0,0)</f>
        <v>0</v>
      </c>
      <c r="BC41">
        <f>_xlfn.XLOOKUP(B41,'[5]july-2025'!$A:$A,'[5]july-2025'!$G:$G,0,0)</f>
        <v>0</v>
      </c>
      <c r="BD41">
        <f>IF(AX41&gt;0,SUM(AX41:BC41),0)</f>
        <v>33020</v>
      </c>
      <c r="BE41">
        <f>_xlfn.XLOOKUP(B41,'[5]july-2025'!$A:$A,'[5]july-2025'!$H:$H,0,0)</f>
        <v>0</v>
      </c>
      <c r="BF41">
        <f>_xlfn.XLOOKUP(B41,'[5]july-2025'!$A:$A,'[5]july-2025'!$I:$I,0,0)</f>
        <v>0</v>
      </c>
      <c r="BG41">
        <f>IF($F41="YES",0,IF(BD41&gt;40000,200,IF(BD41&gt;25000,150,IF(BD41&gt;15000,130,IF(BD41&gt;10000,110,0)))))</f>
        <v>150</v>
      </c>
      <c r="BH41">
        <f>BD41-BE41-BF41-BG41</f>
        <v>32870</v>
      </c>
      <c r="BI41">
        <f>_xlfn.XLOOKUP(B41,'[6]august-2025'!$A:$A,'[6]august-2025'!$C:$C,0,0)</f>
        <v>25400</v>
      </c>
      <c r="BJ41">
        <f>BI41*0.18</f>
        <v>4572</v>
      </c>
      <c r="BK41">
        <f>BI41*0.12</f>
        <v>3048</v>
      </c>
      <c r="BL41">
        <f>_xlfn.XLOOKUP(B41,'[6]august-2025'!$A:$A,'[6]august-2025'!$D:$D,0,0)</f>
        <v>0</v>
      </c>
      <c r="BM41">
        <f>_xlfn.XLOOKUP(B41,'[6]august-2025'!$A:$A,'[6]august-2025'!$G:$G,0,0)</f>
        <v>0</v>
      </c>
      <c r="BN41">
        <f>IF(BI41&gt;0,SUM(BI41:BM41),0)</f>
        <v>33020</v>
      </c>
      <c r="BO41">
        <f>_xlfn.XLOOKUP(B41,'[6]august-2025'!$A:$A,'[6]august-2025'!$H:$H,0,0)</f>
        <v>0</v>
      </c>
      <c r="BP41">
        <f>_xlfn.XLOOKUP(B41,'[6]august-2025'!$A:$A,'[6]august-2025'!$I:$I,0,0)</f>
        <v>0</v>
      </c>
      <c r="BQ41">
        <f>IF($F41="YES",0,IF(BN41&gt;40000,200,IF(BN41&gt;25000,150,IF(BN41&gt;15000,130,IF(BN41&gt;10000,110,0)))))</f>
        <v>150</v>
      </c>
      <c r="BR41">
        <f>BN41-BO41-BP41-BQ41</f>
        <v>32870</v>
      </c>
      <c r="BS41">
        <f>_xlfn.XLOOKUP(B41,'[7]september-2025'!$A:$A,'[7]september-2025'!$C:$C,0,0)</f>
        <v>25400</v>
      </c>
      <c r="BT41">
        <f>BS41*0.18</f>
        <v>4572</v>
      </c>
      <c r="BU41">
        <f>BS41*0.12</f>
        <v>3048</v>
      </c>
      <c r="BV41">
        <f>_xlfn.XLOOKUP(B41,'[7]september-2025'!$A:$A,'[7]september-2025'!$D:$D,0,0)</f>
        <v>0</v>
      </c>
      <c r="BW41">
        <f>_xlfn.XLOOKUP(B41,'[7]september-2025'!$A:$A,'[7]september-2025'!$G:$G,0,0)</f>
        <v>0</v>
      </c>
      <c r="BX41">
        <f>IF(BS41&gt;0,SUM(BS41:BW41),0)</f>
        <v>33020</v>
      </c>
      <c r="BY41">
        <f>_xlfn.XLOOKUP(B41,'[7]september-2025'!$A:$A,'[7]september-2025'!$H:$H,0,0)</f>
        <v>0</v>
      </c>
      <c r="BZ41">
        <f>_xlfn.XLOOKUP(B41,'[7]september-2025'!$A:$A,'[7]september-2025'!$I:$I,0,0)</f>
        <v>0</v>
      </c>
      <c r="CA41">
        <f>IF($F41="YES",0,IF(BX41&gt;40000,200,IF(BX41&gt;25000,150,IF(BX41&gt;15000,130,IF(BX41&gt;10000,110,0)))))</f>
        <v>150</v>
      </c>
      <c r="CB41">
        <f>BX41-BY41-BZ41-CA41</f>
        <v>32870</v>
      </c>
      <c r="CC41">
        <f>_xlfn.XLOOKUP(B41,'[8]october-2025'!$A:$A,'[8]october-2025'!$C:$C,0,0)</f>
        <v>25400</v>
      </c>
      <c r="CD41">
        <f>CC41*0.18</f>
        <v>4572</v>
      </c>
      <c r="CE41">
        <f>CC41*0.12</f>
        <v>3048</v>
      </c>
      <c r="CF41">
        <f>_xlfn.XLOOKUP(B41,'[8]october-2025'!$A:$A,'[8]october-2025'!$D:$D,0,0)</f>
        <v>0</v>
      </c>
      <c r="CG41">
        <f>_xlfn.XLOOKUP(B41,'[8]october-2025'!$A:$A,'[8]october-2025'!$G:$G,0,0)</f>
        <v>0</v>
      </c>
      <c r="CH41">
        <f>IF(CC41&gt;0,SUM(CC41:CG41),0)</f>
        <v>33020</v>
      </c>
      <c r="CI41">
        <f>_xlfn.XLOOKUP(B41,'[8]october-2025'!$A:$A,'[8]october-2025'!$H:$H,0,0)</f>
        <v>0</v>
      </c>
      <c r="CJ41">
        <f>_xlfn.XLOOKUP(B41,'[8]october-2025'!$A:$A,'[8]october-2025'!$I:$I,0,0)</f>
        <v>0</v>
      </c>
      <c r="CK41">
        <f>IF($F41="YES",0,IF(CH41&gt;40000,200,IF(CH41&gt;25000,150,IF(CH41&gt;15000,130,IF(CH41&gt;10000,110,0)))))</f>
        <v>150</v>
      </c>
      <c r="CL41">
        <f>CH41-CI41-CJ41-CK41</f>
        <v>32870</v>
      </c>
      <c r="CM41">
        <f>_xlfn.XLOOKUP(B41,'[9]november-2025'!$A:$A,'[9]november-2025'!$C:$C,0,0)</f>
        <v>25400</v>
      </c>
      <c r="CN41">
        <f>CM41*0.18</f>
        <v>4572</v>
      </c>
      <c r="CO41">
        <f>CM41*0.12</f>
        <v>3048</v>
      </c>
      <c r="CP41">
        <f>_xlfn.XLOOKUP(B41,'[9]november-2025'!$A:$A,'[9]november-2025'!$D:$D,0,0)</f>
        <v>0</v>
      </c>
      <c r="CQ41">
        <f>_xlfn.XLOOKUP(B41,'[9]november-2025'!$A:$A,'[9]november-2025'!$G:$G,0,0)</f>
        <v>0</v>
      </c>
      <c r="CR41">
        <f>IF(CM41&gt;0,SUM(CM41:CQ41),0)</f>
        <v>33020</v>
      </c>
      <c r="CS41">
        <f>_xlfn.XLOOKUP(B41,'[9]november-2025'!$A:$A,'[9]november-2025'!$H:$H,0,0)</f>
        <v>0</v>
      </c>
      <c r="CT41">
        <f>_xlfn.XLOOKUP(B41,'[9]november-2025'!$A:$A,'[9]november-2025'!$I:$I,0,0)</f>
        <v>0</v>
      </c>
      <c r="CU41">
        <f>IF($F41="YES",0,IF(CR41&gt;40000,200,IF(CR41&gt;25000,150,IF(CR41&gt;15000,130,IF(CR41&gt;10000,110,0)))))</f>
        <v>150</v>
      </c>
      <c r="CV41">
        <f>CR41-CS41-CT41-CU41</f>
        <v>32870</v>
      </c>
      <c r="CW41">
        <f>_xlfn.XLOOKUP(B41,'[10]december-2025'!$A:$A,'[10]december-2025'!$C:$C,0,0)</f>
        <v>25400</v>
      </c>
      <c r="CX41">
        <f>ROUND(CW41*0.18,0)</f>
        <v>4572</v>
      </c>
      <c r="CY41">
        <f>ROUND(CW41*0.12,0)</f>
        <v>3048</v>
      </c>
      <c r="CZ41">
        <f>_xlfn.XLOOKUP(B41,'[10]december-2025'!$A:$A,'[10]december-2025'!$D:$D,0,0)</f>
        <v>0</v>
      </c>
      <c r="DA41">
        <f>_xlfn.XLOOKUP(B41,'[10]december-2025'!$A:$A,'[10]december-2025'!$G:$G,0,0)</f>
        <v>0</v>
      </c>
      <c r="DB41">
        <f>IF(CW41&gt;0,SUM(CW41:DA41),0)</f>
        <v>33020</v>
      </c>
      <c r="DC41">
        <f>_xlfn.XLOOKUP(B41,'[10]december-2025'!$A:$A,'[10]december-2025'!$H:$H,0,0)</f>
        <v>0</v>
      </c>
      <c r="DD41">
        <f>_xlfn.XLOOKUP(B41,'[10]december-2025'!$A:$A,'[10]december-2025'!$I:$I,0,0)</f>
        <v>0</v>
      </c>
      <c r="DE41">
        <f>IF($F41="YES",0,IF(DB41&gt;40000,200,IF(DB41&gt;25000,150,IF(DB41&gt;15000,130,IF(DB41&gt;10000,110,0)))))</f>
        <v>150</v>
      </c>
      <c r="DF41">
        <f>DB41-DC41-DD41-DE41</f>
        <v>32870</v>
      </c>
      <c r="DG41">
        <f>_xlfn.XLOOKUP(B41,'[11]january-2026'!$A:$A,'[11]january-2026'!$C:$C,0,0)</f>
        <v>25400</v>
      </c>
      <c r="DH41">
        <f>DG41*0.18</f>
        <v>4572</v>
      </c>
      <c r="DI41">
        <f>DG41*0.12</f>
        <v>3048</v>
      </c>
      <c r="DJ41">
        <f>_xlfn.XLOOKUP(B41,'[11]january-2026'!$A:$A,'[11]january-2026'!$D:$D,0,0)</f>
        <v>0</v>
      </c>
      <c r="DK41">
        <f>_xlfn.XLOOKUP(B41,'[11]january-2026'!$A:$A,'[11]january-2026'!$G:$G,0,0)</f>
        <v>0</v>
      </c>
      <c r="DL41">
        <f>IF(DG41&gt;0,SUM(DG41:DK41),0)</f>
        <v>33020</v>
      </c>
      <c r="DM41">
        <f>_xlfn.XLOOKUP(B41,'[11]january-2026'!$A:$A,'[11]january-2026'!$H:$H,0,0)</f>
        <v>0</v>
      </c>
      <c r="DN41">
        <f>_xlfn.XLOOKUP(B41,'[11]january-2026'!$A:$A,'[11]january-2026'!$I:$I,0,0)</f>
        <v>0</v>
      </c>
      <c r="DO41">
        <f>IF($F41="YES",0,IF(DL41&gt;40000,200,IF(DL41&gt;25000,150,IF(DL41&gt;15000,130,IF(DL41&gt;10000,110,0)))))</f>
        <v>150</v>
      </c>
      <c r="DP41">
        <f>DL41-DM41-DN41-DO41</f>
        <v>32870</v>
      </c>
      <c r="DQ41">
        <f>_xlfn.XLOOKUP(B41,'[12]february-2026'!$A:$A,'[12]february-2026'!$C:$C,0,0)</f>
        <v>25400</v>
      </c>
      <c r="DR41">
        <f>DQ41*0.18</f>
        <v>4572</v>
      </c>
      <c r="DS41">
        <f>DQ41*0.12</f>
        <v>3048</v>
      </c>
      <c r="DT41">
        <f>_xlfn.XLOOKUP(B41,'[12]february-2026'!$A:$A,'[12]february-2026'!$D:$D,0,0)</f>
        <v>0</v>
      </c>
      <c r="DU41">
        <f>_xlfn.XLOOKUP(B41,'[12]february-2026'!$A:$A,'[12]february-2026'!$G:$G,0,0)</f>
        <v>0</v>
      </c>
      <c r="DV41">
        <f>IF(DQ41&gt;0,SUM(DQ41:DU41),0)</f>
        <v>33020</v>
      </c>
      <c r="DW41">
        <f>_xlfn.XLOOKUP(B41,'[12]february-2026'!$A:$A,'[12]february-2026'!$H:$H,0,0)</f>
        <v>0</v>
      </c>
      <c r="DX41">
        <f>_xlfn.XLOOKUP(B41,'[12]february-2026'!$A:$A,'[12]february-2026'!$I:$I,0,0)</f>
        <v>0</v>
      </c>
      <c r="DY41">
        <f>IF($F41="YES",0,IF(DV41&gt;40000,200,IF(DV41&gt;25000,150,IF(DV41&gt;15000,130,IF(DV41&gt;10000,110,0)))))</f>
        <v>150</v>
      </c>
      <c r="DZ41">
        <f>DV41-DW41-DX41-DY41</f>
        <v>32870</v>
      </c>
      <c r="EA41">
        <f>DV41+DL41+DB41+CR41+CH41+BX41+BN41+BD41+AS41+AI41+Y41+O41+H41+I41</f>
        <v>398412</v>
      </c>
      <c r="EB41">
        <f>DY41+DO41+DE41+CU41+CK41+CA41+BQ41+BG41+AV41+AL41+AB41+R41</f>
        <v>1800</v>
      </c>
      <c r="EC41">
        <f>IF(EA41&gt;0,50000,0)</f>
        <v>50000</v>
      </c>
      <c r="ED41">
        <v>0</v>
      </c>
      <c r="EE41">
        <f>EA41-EB41-EC41</f>
        <v>346612</v>
      </c>
      <c r="EF41">
        <f>DW41+DM41+DC41+CS41+CI41+BY41+BO41+BE41+AT41+AJ41+Z41+P41</f>
        <v>0</v>
      </c>
      <c r="EG41">
        <f>DX41+DN41+DD41+CT41+CJ41+BZ41+BP41+BF41+AU41+AK41+AA41+Q41</f>
        <v>0</v>
      </c>
      <c r="EH41">
        <v>0</v>
      </c>
      <c r="EI41">
        <v>0</v>
      </c>
      <c r="EJ41">
        <v>0</v>
      </c>
      <c r="EK41">
        <v>0</v>
      </c>
      <c r="EL41">
        <v>0</v>
      </c>
      <c r="EM41">
        <v>0</v>
      </c>
      <c r="EN41">
        <v>0</v>
      </c>
      <c r="EO41">
        <v>0</v>
      </c>
      <c r="EP41">
        <v>0</v>
      </c>
      <c r="EQ41">
        <v>0</v>
      </c>
      <c r="ER41">
        <f>SUM(EF41:EQ41)</f>
        <v>0</v>
      </c>
      <c r="ES41">
        <f>IF(ER41&gt;=150000,150000,ER41)</f>
        <v>0</v>
      </c>
      <c r="ET41">
        <f>EE41-ES41</f>
        <v>346612</v>
      </c>
      <c r="EU41">
        <v>0</v>
      </c>
      <c r="EV41">
        <v>0</v>
      </c>
      <c r="EW41">
        <v>0</v>
      </c>
      <c r="EX41">
        <v>0</v>
      </c>
      <c r="EY41">
        <v>0</v>
      </c>
      <c r="EZ41">
        <v>0</v>
      </c>
      <c r="FA41">
        <v>0</v>
      </c>
      <c r="FB41">
        <f>SUM(EU41:FA41)+(IF(F41="YES",50000,0))</f>
        <v>0</v>
      </c>
      <c r="FC41">
        <f>ET41-FB41</f>
        <v>346612</v>
      </c>
      <c r="FD41">
        <f>ROUND(IF(FC41&gt;0,IF(FC41&gt;500000,12500,(FC41-250000)*0.05),0),0)</f>
        <v>4831</v>
      </c>
      <c r="FE41">
        <f>IF(ROUND(IF(FC41&gt;0,IF(FC41&gt;1000000,25000,(FC41-500000)*0.2),0),0)&lt;0,0,ROUND(IF(FC41&gt;0,IF(FC41&gt;1000000,25000,(FC41-500000)*0.2),0),0))</f>
        <v>0</v>
      </c>
      <c r="FF41">
        <f>FD41+FE41</f>
        <v>4831</v>
      </c>
      <c r="FG41">
        <f>IF(FF41&lt;12500,0,FF41)</f>
        <v>0</v>
      </c>
      <c r="FH41">
        <f>FG41*0.04</f>
        <v>0</v>
      </c>
      <c r="FI41">
        <f>ROUND(FH41+FG41,0)</f>
        <v>0</v>
      </c>
      <c r="FJ41">
        <v>0</v>
      </c>
      <c r="FK41">
        <f>FI41-FJ41</f>
        <v>0</v>
      </c>
      <c r="FL41" t="b">
        <f>IF(EA41&gt;500000,TRUE,FALSE)</f>
        <v>0</v>
      </c>
      <c r="FM41">
        <f ca="1">IF(FL41,RANDBETWEEN(500,1000),RANDBETWEEN(1000,3000))</f>
        <v>1387</v>
      </c>
      <c r="FN41">
        <f ca="1">EA41+FM41</f>
        <v>399799</v>
      </c>
      <c r="FO41">
        <f>IF(EA41&gt;0,75000,0)</f>
        <v>75000</v>
      </c>
      <c r="FP41">
        <f ca="1">FN41-FO41</f>
        <v>324799</v>
      </c>
      <c r="FQ41">
        <f ca="1">IF(FP41&gt;2400000,FP41-2400000,0)</f>
        <v>0</v>
      </c>
      <c r="FR41">
        <f ca="1">FQ41*0.3</f>
        <v>0</v>
      </c>
      <c r="FS41">
        <f ca="1">IF(FP41&gt;2000000,FP41-2000000,0)</f>
        <v>0</v>
      </c>
      <c r="FT41">
        <f ca="1">FS41*0.25</f>
        <v>0</v>
      </c>
      <c r="FU41">
        <f ca="1">IF(FP41&gt;1600000,FP41-1600000-FQ41,0)</f>
        <v>0</v>
      </c>
      <c r="FV41">
        <f ca="1">FU41*0.2</f>
        <v>0</v>
      </c>
      <c r="FW41">
        <f ca="1">IF(FP41&gt;1200000,FP41-1200000-IF(F41="YES",50000,0)-FU41,0)</f>
        <v>0</v>
      </c>
      <c r="FX41">
        <f ca="1">FW41*0.15</f>
        <v>0</v>
      </c>
      <c r="FY41">
        <f ca="1">IF(FP41&gt;800000,FP41-800000-FQ41-FU41-FW41,0)</f>
        <v>0</v>
      </c>
      <c r="FZ41">
        <f ca="1">FY41*0.1</f>
        <v>0</v>
      </c>
      <c r="GA41">
        <f ca="1">IF(FP41&gt;400000,FP41-400000-FQ41-FU41-FW41-FY41,0)</f>
        <v>0</v>
      </c>
      <c r="GB41">
        <f ca="1">GA41*0.05</f>
        <v>0</v>
      </c>
      <c r="GC41">
        <f ca="1">ROUND(FR41+FT41+FV41+FX41+FZ41+GB41,0)</f>
        <v>0</v>
      </c>
      <c r="GD41">
        <f ca="1">IF(FP41&gt;1200000,FP41,0)</f>
        <v>0</v>
      </c>
      <c r="GE41">
        <f ca="1">IF(FP41&gt;1200000,GD41-1200000,0)</f>
        <v>0</v>
      </c>
      <c r="GF41">
        <f ca="1">IF(FP41&lt;1200001,MIN(GC41,60000),0)</f>
        <v>0</v>
      </c>
      <c r="GG41">
        <f ca="1">IF(FP41&gt;1200000,GC41-GE41,0)</f>
        <v>0</v>
      </c>
      <c r="GH41" t="b">
        <f ca="1">IF(GG41&gt;0,TRUE,FALSE)</f>
        <v>0</v>
      </c>
      <c r="GI41">
        <f ca="1">IF(GH41,GG41,0)</f>
        <v>0</v>
      </c>
      <c r="GJ41">
        <f ca="1">GF41+GI41</f>
        <v>0</v>
      </c>
      <c r="GK41">
        <f ca="1">ROUND(GC41-GJ41,0)</f>
        <v>0</v>
      </c>
      <c r="GL41">
        <f ca="1">GK41*0.04</f>
        <v>0</v>
      </c>
      <c r="GM41">
        <f ca="1">ROUNDUP(GK41+GL41,0)</f>
        <v>0</v>
      </c>
    </row>
    <row r="42" spans="1:195" x14ac:dyDescent="0.25">
      <c r="A42">
        <f>_xlfn.AGGREGATE(3,5,$B$2:B42)</f>
        <v>41</v>
      </c>
      <c r="B42" t="s">
        <v>202</v>
      </c>
      <c r="C42" t="s">
        <v>203</v>
      </c>
      <c r="D42" t="s">
        <v>763</v>
      </c>
      <c r="E42" t="s">
        <v>834</v>
      </c>
      <c r="F42" t="s">
        <v>959</v>
      </c>
      <c r="G42" t="s">
        <v>878</v>
      </c>
      <c r="H42">
        <f>IF(_xlfn.DAYS("31-03-2025",G42)&gt;=180,6800,0)</f>
        <v>6800</v>
      </c>
      <c r="I42">
        <f>_xlfn.XLOOKUP(B42,'[1]march-2025'!$A:$A,'[1]march-2025'!$J:$J,0,0)</f>
        <v>0</v>
      </c>
      <c r="J42">
        <f>_xlfn.XLOOKUP(B42,'[1]march-2025'!$A:$A,'[1]march-2025'!$C:$C,0,0)</f>
        <v>47300</v>
      </c>
      <c r="K42">
        <f>J42*0.14</f>
        <v>6622.0000000000009</v>
      </c>
      <c r="L42">
        <f>J42*0.12</f>
        <v>5676</v>
      </c>
      <c r="M42">
        <f>_xlfn.XLOOKUP(B42,'[1]march-2025'!$A:$A,'[1]march-2025'!$D:$D,0,0)</f>
        <v>400</v>
      </c>
      <c r="N42">
        <f>_xlfn.XLOOKUP(B42,'[1]march-2025'!$A:$A,'[1]march-2025'!$G:$G,0,0)</f>
        <v>500</v>
      </c>
      <c r="O42">
        <f>IF(J42&gt;0,SUM(J42:N42),0)</f>
        <v>60498</v>
      </c>
      <c r="P42">
        <f>_xlfn.XLOOKUP(B42,'[1]march-2025'!$A:$A,'[1]march-2025'!$H:$H,0,0)</f>
        <v>3000</v>
      </c>
      <c r="Q42">
        <f>_xlfn.XLOOKUP(B42,'[1]march-2025'!$A:$A,'[1]march-2025'!$I:$I,0,0)</f>
        <v>60</v>
      </c>
      <c r="R42">
        <f>IF($F42="YES",0,IF(O42&gt;40000,200,IF(O42&gt;25000,150,IF(O42&gt;15000,130,IF(O42&gt;10000,110,0)))))</f>
        <v>200</v>
      </c>
      <c r="S42">
        <f>O42-P42-Q42-R42</f>
        <v>57238</v>
      </c>
      <c r="T42">
        <f>_xlfn.XLOOKUP(B42,'[2]april-2025'!$A:$A,'[2]april-2025'!$C:$C,0,0)</f>
        <v>47300</v>
      </c>
      <c r="U42">
        <f>T42*0.18</f>
        <v>8514</v>
      </c>
      <c r="V42">
        <f>T42*0.12</f>
        <v>5676</v>
      </c>
      <c r="W42">
        <f>_xlfn.XLOOKUP(B42,'[2]april-2025'!$A:$A,'[2]april-2025'!$D:$D,0,0)</f>
        <v>400</v>
      </c>
      <c r="X42">
        <f>_xlfn.XLOOKUP(B42,'[2]april-2025'!$A:$A,'[2]april-2025'!$G:$G,0,0)</f>
        <v>500</v>
      </c>
      <c r="Y42">
        <f>IF(T42&gt;0,SUM(T42:X42),0)</f>
        <v>62390</v>
      </c>
      <c r="Z42">
        <f>_xlfn.XLOOKUP(B42,'[2]april-2025'!$A:$A,'[2]april-2025'!$H:$H,0,0)</f>
        <v>3000</v>
      </c>
      <c r="AA42">
        <f>_xlfn.XLOOKUP(B42,'[2]april-2025'!$A:$A,'[2]april-2025'!$I:$I,0,0)</f>
        <v>60</v>
      </c>
      <c r="AB42">
        <f>IF($F42="YES",0,IF(Y42&gt;40000,200,IF(Y42&gt;25000,150,IF(Y42&gt;15000,130,IF(Y42&gt;10000,110,0)))))</f>
        <v>200</v>
      </c>
      <c r="AC42">
        <f>Y42-Z42-AA42-AB42</f>
        <v>59130</v>
      </c>
      <c r="AD42">
        <f>_xlfn.XLOOKUP(B42,'[3]may-2025'!$A:$A,'[3]may-2025'!$C:$C,0,0)</f>
        <v>47300</v>
      </c>
      <c r="AE42">
        <f>AD42*0.18</f>
        <v>8514</v>
      </c>
      <c r="AF42">
        <f>AD42*0.12</f>
        <v>5676</v>
      </c>
      <c r="AG42">
        <f>_xlfn.XLOOKUP(B42,'[3]may-2025'!$A:$A,'[3]may-2025'!$D:$D,0,0)</f>
        <v>400</v>
      </c>
      <c r="AH42">
        <f>_xlfn.XLOOKUP(B42,'[3]may-2025'!$A:$A,'[3]may-2025'!$G:$G,0,0)</f>
        <v>500</v>
      </c>
      <c r="AI42">
        <f>IF(AD42&gt;0,SUM(AD42:AH42),0)</f>
        <v>62390</v>
      </c>
      <c r="AJ42">
        <f>_xlfn.XLOOKUP(B42,'[3]may-2025'!$A:$A,'[3]may-2025'!$H:$H,0,0)</f>
        <v>3000</v>
      </c>
      <c r="AK42">
        <f>_xlfn.XLOOKUP(B42,'[3]may-2025'!$A:$A,'[3]may-2025'!$I:$I,0,0)</f>
        <v>60</v>
      </c>
      <c r="AL42">
        <f>IF($F42="YES",0,IF(AI42&gt;40000,200,IF(AI42&gt;25000,150,IF(AI42&gt;15000,130,IF(AI42&gt;10000,110,0)))))</f>
        <v>200</v>
      </c>
      <c r="AM42">
        <f>AI42-AJ42-AK42-AL42</f>
        <v>59130</v>
      </c>
      <c r="AN42">
        <f>_xlfn.XLOOKUP(B42,'[4]june-2025'!$A:$A,'[4]june-2025'!$C:$C,0,0)</f>
        <v>47300</v>
      </c>
      <c r="AO42">
        <f>AN42*0.18</f>
        <v>8514</v>
      </c>
      <c r="AP42">
        <f>AN42*0.12</f>
        <v>5676</v>
      </c>
      <c r="AQ42">
        <f>_xlfn.XLOOKUP(B42,'[4]june-2025'!$A:$A,'[4]june-2025'!$D:$D,0,0)</f>
        <v>400</v>
      </c>
      <c r="AR42">
        <f>_xlfn.XLOOKUP(B42,'[4]june-2025'!$A:$A,'[4]june-2025'!$G:$G,0,0)</f>
        <v>500</v>
      </c>
      <c r="AS42">
        <f>IF(AN42&gt;0,SUM(AN42:AR42),0)</f>
        <v>62390</v>
      </c>
      <c r="AT42">
        <f>_xlfn.XLOOKUP(B42,'[4]june-2025'!$A:$A,'[4]june-2025'!$H:$H,0,0)</f>
        <v>3000</v>
      </c>
      <c r="AU42">
        <f>_xlfn.XLOOKUP(B42,'[4]june-2025'!$A:$A,'[4]june-2025'!$I:$I,0,0)</f>
        <v>60</v>
      </c>
      <c r="AV42">
        <f>IF($F42="YES",0,IF(AS42&gt;40000,200,IF(AS42&gt;25000,150,IF(AS42&gt;15000,130,IF(AS42&gt;10000,110,0)))))</f>
        <v>200</v>
      </c>
      <c r="AW42">
        <f>AS42-AT42-AU42-AV42</f>
        <v>59130</v>
      </c>
      <c r="AX42">
        <f>_xlfn.XLOOKUP(B42,'[5]july-2025'!$A:$A,'[5]july-2025'!$C:$C,0,0)</f>
        <v>48700</v>
      </c>
      <c r="AY42">
        <f>AX42*0.18</f>
        <v>8766</v>
      </c>
      <c r="AZ42">
        <v>0</v>
      </c>
      <c r="BA42">
        <f>AX42*0.12</f>
        <v>5844</v>
      </c>
      <c r="BB42">
        <f>_xlfn.XLOOKUP(B42,'[5]july-2025'!$A:$A,'[5]july-2025'!$D:$D,0,0)</f>
        <v>400</v>
      </c>
      <c r="BC42">
        <f>_xlfn.XLOOKUP(B42,'[5]july-2025'!$A:$A,'[5]july-2025'!$G:$G,0,0)</f>
        <v>500</v>
      </c>
      <c r="BD42">
        <f>IF(AX42&gt;0,SUM(AX42:BC42),0)</f>
        <v>64210</v>
      </c>
      <c r="BE42">
        <f>_xlfn.XLOOKUP(B42,'[5]july-2025'!$A:$A,'[5]july-2025'!$H:$H,0,0)</f>
        <v>3000</v>
      </c>
      <c r="BF42">
        <f>_xlfn.XLOOKUP(B42,'[5]july-2025'!$A:$A,'[5]july-2025'!$I:$I,0,0)</f>
        <v>60</v>
      </c>
      <c r="BG42">
        <f>IF($F42="YES",0,IF(BD42&gt;40000,200,IF(BD42&gt;25000,150,IF(BD42&gt;15000,130,IF(BD42&gt;10000,110,0)))))</f>
        <v>200</v>
      </c>
      <c r="BH42">
        <f>BD42-BE42-BF42-BG42</f>
        <v>60950</v>
      </c>
      <c r="BI42">
        <f>_xlfn.XLOOKUP(B42,'[6]august-2025'!$A:$A,'[6]august-2025'!$C:$C,0,0)</f>
        <v>48700</v>
      </c>
      <c r="BJ42">
        <f>BI42*0.18</f>
        <v>8766</v>
      </c>
      <c r="BK42">
        <f>BI42*0.12</f>
        <v>5844</v>
      </c>
      <c r="BL42">
        <f>_xlfn.XLOOKUP(B42,'[6]august-2025'!$A:$A,'[6]august-2025'!$D:$D,0,0)</f>
        <v>400</v>
      </c>
      <c r="BM42">
        <f>_xlfn.XLOOKUP(B42,'[6]august-2025'!$A:$A,'[6]august-2025'!$G:$G,0,0)</f>
        <v>500</v>
      </c>
      <c r="BN42">
        <f>IF(BI42&gt;0,SUM(BI42:BM42),0)</f>
        <v>64210</v>
      </c>
      <c r="BO42">
        <f>_xlfn.XLOOKUP(B42,'[6]august-2025'!$A:$A,'[6]august-2025'!$H:$H,0,0)</f>
        <v>3000</v>
      </c>
      <c r="BP42">
        <f>_xlfn.XLOOKUP(B42,'[6]august-2025'!$A:$A,'[6]august-2025'!$I:$I,0,0)</f>
        <v>60</v>
      </c>
      <c r="BQ42">
        <f>IF($F42="YES",0,IF(BN42&gt;40000,200,IF(BN42&gt;25000,150,IF(BN42&gt;15000,130,IF(BN42&gt;10000,110,0)))))</f>
        <v>200</v>
      </c>
      <c r="BR42">
        <f>BN42-BO42-BP42-BQ42</f>
        <v>60950</v>
      </c>
      <c r="BS42">
        <f>_xlfn.XLOOKUP(B42,'[7]september-2025'!$A:$A,'[7]september-2025'!$C:$C,0,0)</f>
        <v>48700</v>
      </c>
      <c r="BT42">
        <f>BS42*0.18</f>
        <v>8766</v>
      </c>
      <c r="BU42">
        <f>BS42*0.12</f>
        <v>5844</v>
      </c>
      <c r="BV42">
        <f>_xlfn.XLOOKUP(B42,'[7]september-2025'!$A:$A,'[7]september-2025'!$D:$D,0,0)</f>
        <v>400</v>
      </c>
      <c r="BW42">
        <f>_xlfn.XLOOKUP(B42,'[7]september-2025'!$A:$A,'[7]september-2025'!$G:$G,0,0)</f>
        <v>500</v>
      </c>
      <c r="BX42">
        <f>IF(BS42&gt;0,SUM(BS42:BW42),0)</f>
        <v>64210</v>
      </c>
      <c r="BY42">
        <f>_xlfn.XLOOKUP(B42,'[7]september-2025'!$A:$A,'[7]september-2025'!$H:$H,0,0)</f>
        <v>3000</v>
      </c>
      <c r="BZ42">
        <f>_xlfn.XLOOKUP(B42,'[7]september-2025'!$A:$A,'[7]september-2025'!$I:$I,0,0)</f>
        <v>60</v>
      </c>
      <c r="CA42">
        <f>IF($F42="YES",0,IF(BX42&gt;40000,200,IF(BX42&gt;25000,150,IF(BX42&gt;15000,130,IF(BX42&gt;10000,110,0)))))</f>
        <v>200</v>
      </c>
      <c r="CB42">
        <f>BX42-BY42-BZ42-CA42</f>
        <v>60950</v>
      </c>
      <c r="CC42">
        <f>_xlfn.XLOOKUP(B42,'[8]october-2025'!$A:$A,'[8]october-2025'!$C:$C,0,0)</f>
        <v>48700</v>
      </c>
      <c r="CD42">
        <f>CC42*0.18</f>
        <v>8766</v>
      </c>
      <c r="CE42">
        <f>CC42*0.12</f>
        <v>5844</v>
      </c>
      <c r="CF42">
        <f>_xlfn.XLOOKUP(B42,'[8]october-2025'!$A:$A,'[8]october-2025'!$D:$D,0,0)</f>
        <v>400</v>
      </c>
      <c r="CG42">
        <f>_xlfn.XLOOKUP(B42,'[8]october-2025'!$A:$A,'[8]october-2025'!$G:$G,0,0)</f>
        <v>500</v>
      </c>
      <c r="CH42">
        <f>IF(CC42&gt;0,SUM(CC42:CG42),0)</f>
        <v>64210</v>
      </c>
      <c r="CI42">
        <f>_xlfn.XLOOKUP(B42,'[8]october-2025'!$A:$A,'[8]october-2025'!$H:$H,0,0)</f>
        <v>3000</v>
      </c>
      <c r="CJ42">
        <f>_xlfn.XLOOKUP(B42,'[8]october-2025'!$A:$A,'[8]october-2025'!$I:$I,0,0)</f>
        <v>60</v>
      </c>
      <c r="CK42">
        <f>IF($F42="YES",0,IF(CH42&gt;40000,200,IF(CH42&gt;25000,150,IF(CH42&gt;15000,130,IF(CH42&gt;10000,110,0)))))</f>
        <v>200</v>
      </c>
      <c r="CL42">
        <f>CH42-CI42-CJ42-CK42</f>
        <v>60950</v>
      </c>
      <c r="CM42">
        <f>_xlfn.XLOOKUP(B42,'[9]november-2025'!$A:$A,'[9]november-2025'!$C:$C,0,0)</f>
        <v>48700</v>
      </c>
      <c r="CN42">
        <f>CM42*0.18</f>
        <v>8766</v>
      </c>
      <c r="CO42">
        <f>CM42*0.12</f>
        <v>5844</v>
      </c>
      <c r="CP42">
        <f>_xlfn.XLOOKUP(B42,'[9]november-2025'!$A:$A,'[9]november-2025'!$D:$D,0,0)</f>
        <v>400</v>
      </c>
      <c r="CQ42">
        <f>_xlfn.XLOOKUP(B42,'[9]november-2025'!$A:$A,'[9]november-2025'!$G:$G,0,0)</f>
        <v>500</v>
      </c>
      <c r="CR42">
        <f>IF(CM42&gt;0,SUM(CM42:CQ42),0)</f>
        <v>64210</v>
      </c>
      <c r="CS42">
        <f>_xlfn.XLOOKUP(B42,'[9]november-2025'!$A:$A,'[9]november-2025'!$H:$H,0,0)</f>
        <v>3000</v>
      </c>
      <c r="CT42">
        <f>_xlfn.XLOOKUP(B42,'[9]november-2025'!$A:$A,'[9]november-2025'!$I:$I,0,0)</f>
        <v>60</v>
      </c>
      <c r="CU42">
        <f>IF($F42="YES",0,IF(CR42&gt;40000,200,IF(CR42&gt;25000,150,IF(CR42&gt;15000,130,IF(CR42&gt;10000,110,0)))))</f>
        <v>200</v>
      </c>
      <c r="CV42">
        <f>CR42-CS42-CT42-CU42</f>
        <v>60950</v>
      </c>
      <c r="CW42">
        <f>_xlfn.XLOOKUP(B42,'[10]december-2025'!$A:$A,'[10]december-2025'!$C:$C,0,0)</f>
        <v>48700</v>
      </c>
      <c r="CX42">
        <f>ROUND(CW42*0.18,0)</f>
        <v>8766</v>
      </c>
      <c r="CY42">
        <f>ROUND(CW42*0.12,0)</f>
        <v>5844</v>
      </c>
      <c r="CZ42">
        <f>_xlfn.XLOOKUP(B42,'[10]december-2025'!$A:$A,'[10]december-2025'!$D:$D,0,0)</f>
        <v>400</v>
      </c>
      <c r="DA42">
        <f>_xlfn.XLOOKUP(B42,'[10]december-2025'!$A:$A,'[10]december-2025'!$G:$G,0,0)</f>
        <v>500</v>
      </c>
      <c r="DB42">
        <f>IF(CW42&gt;0,SUM(CW42:DA42),0)</f>
        <v>64210</v>
      </c>
      <c r="DC42">
        <f>_xlfn.XLOOKUP(B42,'[10]december-2025'!$A:$A,'[10]december-2025'!$H:$H,0,0)</f>
        <v>3000</v>
      </c>
      <c r="DD42">
        <f>_xlfn.XLOOKUP(B42,'[10]december-2025'!$A:$A,'[10]december-2025'!$I:$I,0,0)</f>
        <v>60</v>
      </c>
      <c r="DE42">
        <f>IF($F42="YES",0,IF(DB42&gt;40000,200,IF(DB42&gt;25000,150,IF(DB42&gt;15000,130,IF(DB42&gt;10000,110,0)))))</f>
        <v>200</v>
      </c>
      <c r="DF42">
        <f>DB42-DC42-DD42-DE42</f>
        <v>60950</v>
      </c>
      <c r="DG42">
        <f>_xlfn.XLOOKUP(B42,'[11]january-2026'!$A:$A,'[11]january-2026'!$C:$C,0,0)</f>
        <v>48700</v>
      </c>
      <c r="DH42">
        <f>DG42*0.18</f>
        <v>8766</v>
      </c>
      <c r="DI42">
        <f>DG42*0.12</f>
        <v>5844</v>
      </c>
      <c r="DJ42">
        <f>_xlfn.XLOOKUP(B42,'[11]january-2026'!$A:$A,'[11]january-2026'!$D:$D,0,0)</f>
        <v>400</v>
      </c>
      <c r="DK42">
        <f>_xlfn.XLOOKUP(B42,'[11]january-2026'!$A:$A,'[11]january-2026'!$G:$G,0,0)</f>
        <v>500</v>
      </c>
      <c r="DL42">
        <f>IF(DG42&gt;0,SUM(DG42:DK42),0)</f>
        <v>64210</v>
      </c>
      <c r="DM42">
        <f>_xlfn.XLOOKUP(B42,'[11]january-2026'!$A:$A,'[11]january-2026'!$H:$H,0,0)</f>
        <v>3000</v>
      </c>
      <c r="DN42">
        <f>_xlfn.XLOOKUP(B42,'[11]january-2026'!$A:$A,'[11]january-2026'!$I:$I,0,0)</f>
        <v>60</v>
      </c>
      <c r="DO42">
        <f>IF($F42="YES",0,IF(DL42&gt;40000,200,IF(DL42&gt;25000,150,IF(DL42&gt;15000,130,IF(DL42&gt;10000,110,0)))))</f>
        <v>200</v>
      </c>
      <c r="DP42">
        <f>DL42-DM42-DN42-DO42</f>
        <v>60950</v>
      </c>
      <c r="DQ42">
        <f>_xlfn.XLOOKUP(B42,'[12]february-2026'!$A:$A,'[12]february-2026'!$C:$C,0,0)</f>
        <v>48700</v>
      </c>
      <c r="DR42">
        <f>DQ42*0.18</f>
        <v>8766</v>
      </c>
      <c r="DS42">
        <f>DQ42*0.12</f>
        <v>5844</v>
      </c>
      <c r="DT42">
        <f>_xlfn.XLOOKUP(B42,'[12]february-2026'!$A:$A,'[12]february-2026'!$D:$D,0,0)</f>
        <v>400</v>
      </c>
      <c r="DU42">
        <f>_xlfn.XLOOKUP(B42,'[12]february-2026'!$A:$A,'[12]february-2026'!$G:$G,0,0)</f>
        <v>500</v>
      </c>
      <c r="DV42">
        <f>IF(DQ42&gt;0,SUM(DQ42:DU42),0)</f>
        <v>64210</v>
      </c>
      <c r="DW42">
        <f>_xlfn.XLOOKUP(B42,'[12]february-2026'!$A:$A,'[12]february-2026'!$H:$H,0,0)</f>
        <v>3000</v>
      </c>
      <c r="DX42">
        <f>_xlfn.XLOOKUP(B42,'[12]february-2026'!$A:$A,'[12]february-2026'!$I:$I,0,0)</f>
        <v>60</v>
      </c>
      <c r="DY42">
        <f>IF($F42="YES",0,IF(DV42&gt;40000,200,IF(DV42&gt;25000,150,IF(DV42&gt;15000,130,IF(DV42&gt;10000,110,0)))))</f>
        <v>200</v>
      </c>
      <c r="DZ42">
        <f>DV42-DW42-DX42-DY42</f>
        <v>60950</v>
      </c>
      <c r="EA42">
        <f>DV42+DL42+DB42+CR42+CH42+BX42+BN42+BD42+AS42+AI42+Y42+O42+H42+I42</f>
        <v>768148</v>
      </c>
      <c r="EB42">
        <f>DY42+DO42+DE42+CU42+CK42+CA42+BQ42+BG42+AV42+AL42+AB42+R42</f>
        <v>2400</v>
      </c>
      <c r="EC42">
        <f>IF(EA42&gt;0,50000,0)</f>
        <v>50000</v>
      </c>
      <c r="ED42">
        <v>0</v>
      </c>
      <c r="EE42">
        <f>EA42-EB42-EC42</f>
        <v>715748</v>
      </c>
      <c r="EF42">
        <f>DW42+DM42+DC42+CS42+CI42+BY42+BO42+BE42+AT42+AJ42+Z42+P42</f>
        <v>36000</v>
      </c>
      <c r="EG42">
        <f>DX42+DN42+DD42+CT42+CJ42+BZ42+BP42+BF42+AU42+AK42+AA42+Q42</f>
        <v>720</v>
      </c>
      <c r="EH42">
        <v>0</v>
      </c>
      <c r="EI42">
        <v>0</v>
      </c>
      <c r="EJ42">
        <v>0</v>
      </c>
      <c r="EK42">
        <v>0</v>
      </c>
      <c r="EL42">
        <v>0</v>
      </c>
      <c r="EM42">
        <v>0</v>
      </c>
      <c r="EN42">
        <v>0</v>
      </c>
      <c r="EO42">
        <v>0</v>
      </c>
      <c r="EP42">
        <v>0</v>
      </c>
      <c r="EQ42">
        <v>0</v>
      </c>
      <c r="ER42">
        <f>SUM(EF42:EQ42)</f>
        <v>36720</v>
      </c>
      <c r="ES42">
        <f>IF(ER42&gt;=150000,150000,ER42)</f>
        <v>36720</v>
      </c>
      <c r="ET42">
        <f>EE42-ES42</f>
        <v>679028</v>
      </c>
      <c r="EU42">
        <v>0</v>
      </c>
      <c r="EV42">
        <v>0</v>
      </c>
      <c r="EW42">
        <v>0</v>
      </c>
      <c r="EX42">
        <v>0</v>
      </c>
      <c r="EY42">
        <v>0</v>
      </c>
      <c r="EZ42">
        <v>0</v>
      </c>
      <c r="FA42">
        <v>0</v>
      </c>
      <c r="FB42">
        <f>SUM(EU42:FA42)+(IF(F42="YES",50000,0))</f>
        <v>0</v>
      </c>
      <c r="FC42">
        <f>ET42-FB42</f>
        <v>679028</v>
      </c>
      <c r="FD42">
        <f>ROUND(IF(FC42&gt;0,IF(FC42&gt;500000,12500,(FC42-250000)*0.05),0),0)</f>
        <v>12500</v>
      </c>
      <c r="FE42">
        <f>IF(ROUND(IF(FC42&gt;0,IF(FC42&gt;1000000,25000,(FC42-500000)*0.2),0),0)&lt;0,0,ROUND(IF(FC42&gt;0,IF(FC42&gt;1000000,25000,(FC42-500000)*0.2),0),0))</f>
        <v>35806</v>
      </c>
      <c r="FF42">
        <f>FD42+FE42</f>
        <v>48306</v>
      </c>
      <c r="FG42">
        <f>IF(FF42&lt;12500,0,FF42)</f>
        <v>48306</v>
      </c>
      <c r="FH42">
        <f>FG42*0.04</f>
        <v>1932.24</v>
      </c>
      <c r="FI42">
        <f>ROUND(FH42+FG42,0)</f>
        <v>50238</v>
      </c>
      <c r="FJ42">
        <v>0</v>
      </c>
      <c r="FK42">
        <f>FI42-FJ42</f>
        <v>50238</v>
      </c>
      <c r="FL42" t="b">
        <f>IF(EA42&gt;500000,TRUE,FALSE)</f>
        <v>1</v>
      </c>
      <c r="FM42">
        <f ca="1">IF(FL42,RANDBETWEEN(500,1000),RANDBETWEEN(1000,3000))</f>
        <v>999</v>
      </c>
      <c r="FN42">
        <f ca="1">EA42+FM42</f>
        <v>769147</v>
      </c>
      <c r="FO42">
        <f>IF(EA42&gt;0,75000,0)</f>
        <v>75000</v>
      </c>
      <c r="FP42">
        <f ca="1">FN42-FO42</f>
        <v>694147</v>
      </c>
      <c r="FQ42">
        <f ca="1">IF(FP42&gt;2400000,FP42-2400000,0)</f>
        <v>0</v>
      </c>
      <c r="FR42">
        <f ca="1">FQ42*0.3</f>
        <v>0</v>
      </c>
      <c r="FS42">
        <f ca="1">IF(FP42&gt;2000000,FP42-2000000,0)</f>
        <v>0</v>
      </c>
      <c r="FT42">
        <f ca="1">FS42*0.25</f>
        <v>0</v>
      </c>
      <c r="FU42">
        <f ca="1">IF(FP42&gt;1600000,FP42-1600000-FQ42,0)</f>
        <v>0</v>
      </c>
      <c r="FV42">
        <f ca="1">FU42*0.2</f>
        <v>0</v>
      </c>
      <c r="FW42">
        <f ca="1">IF(FP42&gt;1200000,FP42-1200000-IF(F42="YES",50000,0)-FU42,0)</f>
        <v>0</v>
      </c>
      <c r="FX42">
        <f ca="1">FW42*0.15</f>
        <v>0</v>
      </c>
      <c r="FY42">
        <f ca="1">IF(FP42&gt;800000,FP42-800000-FQ42-FU42-FW42,0)</f>
        <v>0</v>
      </c>
      <c r="FZ42">
        <f ca="1">FY42*0.1</f>
        <v>0</v>
      </c>
      <c r="GA42">
        <f ca="1">IF(FP42&gt;400000,FP42-400000-FQ42-FU42-FW42-FY42,0)</f>
        <v>294147</v>
      </c>
      <c r="GB42">
        <f ca="1">GA42*0.05</f>
        <v>14707.35</v>
      </c>
      <c r="GC42">
        <f ca="1">ROUND(FR42+FT42+FV42+FX42+FZ42+GB42,0)</f>
        <v>14707</v>
      </c>
      <c r="GD42">
        <f ca="1">IF(FP42&gt;1200000,FP42,0)</f>
        <v>0</v>
      </c>
      <c r="GE42">
        <f ca="1">IF(FP42&gt;1200000,GD42-1200000,0)</f>
        <v>0</v>
      </c>
      <c r="GF42">
        <f ca="1">IF(FP42&lt;1200001,MIN(GC42,60000),0)</f>
        <v>14707</v>
      </c>
      <c r="GG42">
        <f ca="1">IF(FP42&gt;1200000,GC42-GE42,0)</f>
        <v>0</v>
      </c>
      <c r="GH42" t="b">
        <f ca="1">IF(GG42&gt;0,TRUE,FALSE)</f>
        <v>0</v>
      </c>
      <c r="GI42">
        <f ca="1">IF(GH42,GG42,0)</f>
        <v>0</v>
      </c>
      <c r="GJ42">
        <f ca="1">GF42+GI42</f>
        <v>14707</v>
      </c>
      <c r="GK42">
        <f ca="1">ROUND(GC42-GJ42,0)</f>
        <v>0</v>
      </c>
      <c r="GL42">
        <f ca="1">GK42*0.04</f>
        <v>0</v>
      </c>
      <c r="GM42">
        <f ca="1">ROUNDUP(GK42+GL42,0)</f>
        <v>0</v>
      </c>
    </row>
    <row r="43" spans="1:195" x14ac:dyDescent="0.25">
      <c r="A43">
        <f>_xlfn.AGGREGATE(3,5,$B$2:B43)</f>
        <v>42</v>
      </c>
      <c r="B43" t="s">
        <v>204</v>
      </c>
      <c r="C43" t="s">
        <v>205</v>
      </c>
      <c r="D43" t="s">
        <v>763</v>
      </c>
      <c r="E43" t="s">
        <v>834</v>
      </c>
      <c r="F43" t="s">
        <v>959</v>
      </c>
      <c r="G43" t="s">
        <v>899</v>
      </c>
      <c r="H43">
        <f>IF(_xlfn.DAYS("31-03-2025",G43)&gt;=180,6800,0)</f>
        <v>6800</v>
      </c>
      <c r="I43">
        <f>_xlfn.XLOOKUP(B43,'[1]march-2025'!$A:$A,'[1]march-2025'!$J:$J,0,0)</f>
        <v>0</v>
      </c>
      <c r="J43">
        <f>_xlfn.XLOOKUP(B43,'[1]march-2025'!$A:$A,'[1]march-2025'!$C:$C,0,0)</f>
        <v>33500</v>
      </c>
      <c r="K43">
        <f>J43*0.14</f>
        <v>4690</v>
      </c>
      <c r="L43">
        <f>J43*0.12</f>
        <v>4020</v>
      </c>
      <c r="M43">
        <f>_xlfn.XLOOKUP(B43,'[1]march-2025'!$A:$A,'[1]march-2025'!$D:$D,0,0)</f>
        <v>0</v>
      </c>
      <c r="N43">
        <f>_xlfn.XLOOKUP(B43,'[1]march-2025'!$A:$A,'[1]march-2025'!$G:$G,0,0)</f>
        <v>0</v>
      </c>
      <c r="O43">
        <f>IF(J43&gt;0,SUM(J43:N43),0)</f>
        <v>42210</v>
      </c>
      <c r="P43">
        <f>_xlfn.XLOOKUP(B43,'[1]march-2025'!$A:$A,'[1]march-2025'!$H:$H,0,0)</f>
        <v>2500</v>
      </c>
      <c r="Q43">
        <f>_xlfn.XLOOKUP(B43,'[1]march-2025'!$A:$A,'[1]march-2025'!$I:$I,0,0)</f>
        <v>0</v>
      </c>
      <c r="R43">
        <f>IF($F43="YES",0,IF(O43&gt;40000,200,IF(O43&gt;25000,150,IF(O43&gt;15000,130,IF(O43&gt;10000,110,0)))))</f>
        <v>200</v>
      </c>
      <c r="S43">
        <f>O43-P43-Q43-R43</f>
        <v>39510</v>
      </c>
      <c r="T43">
        <f>_xlfn.XLOOKUP(B43,'[2]april-2025'!$A:$A,'[2]april-2025'!$C:$C,0,0)</f>
        <v>33500</v>
      </c>
      <c r="U43">
        <f>T43*0.18</f>
        <v>6030</v>
      </c>
      <c r="V43">
        <f>T43*0.12</f>
        <v>4020</v>
      </c>
      <c r="W43">
        <f>_xlfn.XLOOKUP(B43,'[2]april-2025'!$A:$A,'[2]april-2025'!$D:$D,0,0)</f>
        <v>0</v>
      </c>
      <c r="X43">
        <f>_xlfn.XLOOKUP(B43,'[2]april-2025'!$A:$A,'[2]april-2025'!$G:$G,0,0)</f>
        <v>0</v>
      </c>
      <c r="Y43">
        <f>IF(T43&gt;0,SUM(T43:X43),0)</f>
        <v>43550</v>
      </c>
      <c r="Z43">
        <f>_xlfn.XLOOKUP(B43,'[2]april-2025'!$A:$A,'[2]april-2025'!$H:$H,0,0)</f>
        <v>2500</v>
      </c>
      <c r="AA43">
        <f>_xlfn.XLOOKUP(B43,'[2]april-2025'!$A:$A,'[2]april-2025'!$I:$I,0,0)</f>
        <v>0</v>
      </c>
      <c r="AB43">
        <f>IF($F43="YES",0,IF(Y43&gt;40000,200,IF(Y43&gt;25000,150,IF(Y43&gt;15000,130,IF(Y43&gt;10000,110,0)))))</f>
        <v>200</v>
      </c>
      <c r="AC43">
        <f>Y43-Z43-AA43-AB43</f>
        <v>40850</v>
      </c>
      <c r="AD43">
        <f>_xlfn.XLOOKUP(B43,'[3]may-2025'!$A:$A,'[3]may-2025'!$C:$C,0,0)</f>
        <v>33500</v>
      </c>
      <c r="AE43">
        <f>AD43*0.18</f>
        <v>6030</v>
      </c>
      <c r="AF43">
        <f>AD43*0.12</f>
        <v>4020</v>
      </c>
      <c r="AG43">
        <f>_xlfn.XLOOKUP(B43,'[3]may-2025'!$A:$A,'[3]may-2025'!$D:$D,0,0)</f>
        <v>0</v>
      </c>
      <c r="AH43">
        <f>_xlfn.XLOOKUP(B43,'[3]may-2025'!$A:$A,'[3]may-2025'!$G:$G,0,0)</f>
        <v>0</v>
      </c>
      <c r="AI43">
        <f>IF(AD43&gt;0,SUM(AD43:AH43),0)</f>
        <v>43550</v>
      </c>
      <c r="AJ43">
        <f>_xlfn.XLOOKUP(B43,'[3]may-2025'!$A:$A,'[3]may-2025'!$H:$H,0,0)</f>
        <v>2500</v>
      </c>
      <c r="AK43">
        <f>_xlfn.XLOOKUP(B43,'[3]may-2025'!$A:$A,'[3]may-2025'!$I:$I,0,0)</f>
        <v>0</v>
      </c>
      <c r="AL43">
        <f>IF($F43="YES",0,IF(AI43&gt;40000,200,IF(AI43&gt;25000,150,IF(AI43&gt;15000,130,IF(AI43&gt;10000,110,0)))))</f>
        <v>200</v>
      </c>
      <c r="AM43">
        <f>AI43-AJ43-AK43-AL43</f>
        <v>40850</v>
      </c>
      <c r="AN43">
        <f>_xlfn.XLOOKUP(B43,'[4]june-2025'!$A:$A,'[4]june-2025'!$C:$C,0,0)</f>
        <v>33500</v>
      </c>
      <c r="AO43">
        <f>AN43*0.18</f>
        <v>6030</v>
      </c>
      <c r="AP43">
        <f>AN43*0.12</f>
        <v>4020</v>
      </c>
      <c r="AQ43">
        <f>_xlfn.XLOOKUP(B43,'[4]june-2025'!$A:$A,'[4]june-2025'!$D:$D,0,0)</f>
        <v>0</v>
      </c>
      <c r="AR43">
        <f>_xlfn.XLOOKUP(B43,'[4]june-2025'!$A:$A,'[4]june-2025'!$G:$G,0,0)</f>
        <v>0</v>
      </c>
      <c r="AS43">
        <f>IF(AN43&gt;0,SUM(AN43:AR43),0)</f>
        <v>43550</v>
      </c>
      <c r="AT43">
        <f>_xlfn.XLOOKUP(B43,'[4]june-2025'!$A:$A,'[4]june-2025'!$H:$H,0,0)</f>
        <v>2500</v>
      </c>
      <c r="AU43">
        <f>_xlfn.XLOOKUP(B43,'[4]june-2025'!$A:$A,'[4]june-2025'!$I:$I,0,0)</f>
        <v>0</v>
      </c>
      <c r="AV43">
        <f>IF($F43="YES",0,IF(AS43&gt;40000,200,IF(AS43&gt;25000,150,IF(AS43&gt;15000,130,IF(AS43&gt;10000,110,0)))))</f>
        <v>200</v>
      </c>
      <c r="AW43">
        <f>AS43-AT43-AU43-AV43</f>
        <v>40850</v>
      </c>
      <c r="AX43">
        <f>_xlfn.XLOOKUP(B43,'[5]july-2025'!$A:$A,'[5]july-2025'!$C:$C,0,0)</f>
        <v>34500</v>
      </c>
      <c r="AY43">
        <f>AX43*0.18</f>
        <v>6210</v>
      </c>
      <c r="AZ43">
        <v>0</v>
      </c>
      <c r="BA43">
        <f>AX43*0.12</f>
        <v>4140</v>
      </c>
      <c r="BB43">
        <f>_xlfn.XLOOKUP(B43,'[5]july-2025'!$A:$A,'[5]july-2025'!$D:$D,0,0)</f>
        <v>0</v>
      </c>
      <c r="BC43">
        <f>_xlfn.XLOOKUP(B43,'[5]july-2025'!$A:$A,'[5]july-2025'!$G:$G,0,0)</f>
        <v>0</v>
      </c>
      <c r="BD43">
        <f>IF(AX43&gt;0,SUM(AX43:BC43),0)</f>
        <v>44850</v>
      </c>
      <c r="BE43">
        <f>_xlfn.XLOOKUP(B43,'[5]july-2025'!$A:$A,'[5]july-2025'!$H:$H,0,0)</f>
        <v>2500</v>
      </c>
      <c r="BF43">
        <f>_xlfn.XLOOKUP(B43,'[5]july-2025'!$A:$A,'[5]july-2025'!$I:$I,0,0)</f>
        <v>0</v>
      </c>
      <c r="BG43">
        <f>IF($F43="YES",0,IF(BD43&gt;40000,200,IF(BD43&gt;25000,150,IF(BD43&gt;15000,130,IF(BD43&gt;10000,110,0)))))</f>
        <v>200</v>
      </c>
      <c r="BH43">
        <f>BD43-BE43-BF43-BG43</f>
        <v>42150</v>
      </c>
      <c r="BI43">
        <f>_xlfn.XLOOKUP(B43,'[6]august-2025'!$A:$A,'[6]august-2025'!$C:$C,0,0)</f>
        <v>34500</v>
      </c>
      <c r="BJ43">
        <f>BI43*0.18</f>
        <v>6210</v>
      </c>
      <c r="BK43">
        <f>BI43*0.12</f>
        <v>4140</v>
      </c>
      <c r="BL43">
        <f>_xlfn.XLOOKUP(B43,'[6]august-2025'!$A:$A,'[6]august-2025'!$D:$D,0,0)</f>
        <v>0</v>
      </c>
      <c r="BM43">
        <f>_xlfn.XLOOKUP(B43,'[6]august-2025'!$A:$A,'[6]august-2025'!$G:$G,0,0)</f>
        <v>0</v>
      </c>
      <c r="BN43">
        <f>IF(BI43&gt;0,SUM(BI43:BM43),0)</f>
        <v>44850</v>
      </c>
      <c r="BO43">
        <f>_xlfn.XLOOKUP(B43,'[6]august-2025'!$A:$A,'[6]august-2025'!$H:$H,0,0)</f>
        <v>2500</v>
      </c>
      <c r="BP43">
        <f>_xlfn.XLOOKUP(B43,'[6]august-2025'!$A:$A,'[6]august-2025'!$I:$I,0,0)</f>
        <v>0</v>
      </c>
      <c r="BQ43">
        <f>IF($F43="YES",0,IF(BN43&gt;40000,200,IF(BN43&gt;25000,150,IF(BN43&gt;15000,130,IF(BN43&gt;10000,110,0)))))</f>
        <v>200</v>
      </c>
      <c r="BR43">
        <f>BN43-BO43-BP43-BQ43</f>
        <v>42150</v>
      </c>
      <c r="BS43">
        <f>_xlfn.XLOOKUP(B43,'[7]september-2025'!$A:$A,'[7]september-2025'!$C:$C,0,0)</f>
        <v>34500</v>
      </c>
      <c r="BT43">
        <f>BS43*0.18</f>
        <v>6210</v>
      </c>
      <c r="BU43">
        <f>BS43*0.12</f>
        <v>4140</v>
      </c>
      <c r="BV43">
        <f>_xlfn.XLOOKUP(B43,'[7]september-2025'!$A:$A,'[7]september-2025'!$D:$D,0,0)</f>
        <v>0</v>
      </c>
      <c r="BW43">
        <f>_xlfn.XLOOKUP(B43,'[7]september-2025'!$A:$A,'[7]september-2025'!$G:$G,0,0)</f>
        <v>0</v>
      </c>
      <c r="BX43">
        <f>IF(BS43&gt;0,SUM(BS43:BW43),0)</f>
        <v>44850</v>
      </c>
      <c r="BY43">
        <f>_xlfn.XLOOKUP(B43,'[7]september-2025'!$A:$A,'[7]september-2025'!$H:$H,0,0)</f>
        <v>2500</v>
      </c>
      <c r="BZ43">
        <f>_xlfn.XLOOKUP(B43,'[7]september-2025'!$A:$A,'[7]september-2025'!$I:$I,0,0)</f>
        <v>0</v>
      </c>
      <c r="CA43">
        <f>IF($F43="YES",0,IF(BX43&gt;40000,200,IF(BX43&gt;25000,150,IF(BX43&gt;15000,130,IF(BX43&gt;10000,110,0)))))</f>
        <v>200</v>
      </c>
      <c r="CB43">
        <f>BX43-BY43-BZ43-CA43</f>
        <v>42150</v>
      </c>
      <c r="CC43">
        <f>_xlfn.XLOOKUP(B43,'[8]october-2025'!$A:$A,'[8]october-2025'!$C:$C,0,0)</f>
        <v>34500</v>
      </c>
      <c r="CD43">
        <f>CC43*0.18</f>
        <v>6210</v>
      </c>
      <c r="CE43">
        <f>CC43*0.12</f>
        <v>4140</v>
      </c>
      <c r="CF43">
        <f>_xlfn.XLOOKUP(B43,'[8]october-2025'!$A:$A,'[8]october-2025'!$D:$D,0,0)</f>
        <v>0</v>
      </c>
      <c r="CG43">
        <f>_xlfn.XLOOKUP(B43,'[8]october-2025'!$A:$A,'[8]october-2025'!$G:$G,0,0)</f>
        <v>0</v>
      </c>
      <c r="CH43">
        <f>IF(CC43&gt;0,SUM(CC43:CG43),0)</f>
        <v>44850</v>
      </c>
      <c r="CI43">
        <f>_xlfn.XLOOKUP(B43,'[8]october-2025'!$A:$A,'[8]october-2025'!$H:$H,0,0)</f>
        <v>2500</v>
      </c>
      <c r="CJ43">
        <f>_xlfn.XLOOKUP(B43,'[8]october-2025'!$A:$A,'[8]october-2025'!$I:$I,0,0)</f>
        <v>0</v>
      </c>
      <c r="CK43">
        <f>IF($F43="YES",0,IF(CH43&gt;40000,200,IF(CH43&gt;25000,150,IF(CH43&gt;15000,130,IF(CH43&gt;10000,110,0)))))</f>
        <v>200</v>
      </c>
      <c r="CL43">
        <f>CH43-CI43-CJ43-CK43</f>
        <v>42150</v>
      </c>
      <c r="CM43">
        <f>_xlfn.XLOOKUP(B43,'[9]november-2025'!$A:$A,'[9]november-2025'!$C:$C,0,0)</f>
        <v>34500</v>
      </c>
      <c r="CN43">
        <f>CM43*0.18</f>
        <v>6210</v>
      </c>
      <c r="CO43">
        <f>CM43*0.12</f>
        <v>4140</v>
      </c>
      <c r="CP43">
        <f>_xlfn.XLOOKUP(B43,'[9]november-2025'!$A:$A,'[9]november-2025'!$D:$D,0,0)</f>
        <v>0</v>
      </c>
      <c r="CQ43">
        <f>_xlfn.XLOOKUP(B43,'[9]november-2025'!$A:$A,'[9]november-2025'!$G:$G,0,0)</f>
        <v>0</v>
      </c>
      <c r="CR43">
        <f>IF(CM43&gt;0,SUM(CM43:CQ43),0)</f>
        <v>44850</v>
      </c>
      <c r="CS43">
        <f>_xlfn.XLOOKUP(B43,'[9]november-2025'!$A:$A,'[9]november-2025'!$H:$H,0,0)</f>
        <v>2500</v>
      </c>
      <c r="CT43">
        <f>_xlfn.XLOOKUP(B43,'[9]november-2025'!$A:$A,'[9]november-2025'!$I:$I,0,0)</f>
        <v>0</v>
      </c>
      <c r="CU43">
        <f>IF($F43="YES",0,IF(CR43&gt;40000,200,IF(CR43&gt;25000,150,IF(CR43&gt;15000,130,IF(CR43&gt;10000,110,0)))))</f>
        <v>200</v>
      </c>
      <c r="CV43">
        <f>CR43-CS43-CT43-CU43</f>
        <v>42150</v>
      </c>
      <c r="CW43">
        <f>_xlfn.XLOOKUP(B43,'[10]december-2025'!$A:$A,'[10]december-2025'!$C:$C,0,0)</f>
        <v>34500</v>
      </c>
      <c r="CX43">
        <f>ROUND(CW43*0.18,0)</f>
        <v>6210</v>
      </c>
      <c r="CY43">
        <f>ROUND(CW43*0.12,0)</f>
        <v>4140</v>
      </c>
      <c r="CZ43">
        <f>_xlfn.XLOOKUP(B43,'[10]december-2025'!$A:$A,'[10]december-2025'!$D:$D,0,0)</f>
        <v>0</v>
      </c>
      <c r="DA43">
        <f>_xlfn.XLOOKUP(B43,'[10]december-2025'!$A:$A,'[10]december-2025'!$G:$G,0,0)</f>
        <v>0</v>
      </c>
      <c r="DB43">
        <f>IF(CW43&gt;0,SUM(CW43:DA43),0)</f>
        <v>44850</v>
      </c>
      <c r="DC43">
        <f>_xlfn.XLOOKUP(B43,'[10]december-2025'!$A:$A,'[10]december-2025'!$H:$H,0,0)</f>
        <v>2500</v>
      </c>
      <c r="DD43">
        <f>_xlfn.XLOOKUP(B43,'[10]december-2025'!$A:$A,'[10]december-2025'!$I:$I,0,0)</f>
        <v>0</v>
      </c>
      <c r="DE43">
        <f>IF($F43="YES",0,IF(DB43&gt;40000,200,IF(DB43&gt;25000,150,IF(DB43&gt;15000,130,IF(DB43&gt;10000,110,0)))))</f>
        <v>200</v>
      </c>
      <c r="DF43">
        <f>DB43-DC43-DD43-DE43</f>
        <v>42150</v>
      </c>
      <c r="DG43">
        <f>_xlfn.XLOOKUP(B43,'[11]january-2026'!$A:$A,'[11]january-2026'!$C:$C,0,0)</f>
        <v>34500</v>
      </c>
      <c r="DH43">
        <f>DG43*0.18</f>
        <v>6210</v>
      </c>
      <c r="DI43">
        <f>DG43*0.12</f>
        <v>4140</v>
      </c>
      <c r="DJ43">
        <f>_xlfn.XLOOKUP(B43,'[11]january-2026'!$A:$A,'[11]january-2026'!$D:$D,0,0)</f>
        <v>0</v>
      </c>
      <c r="DK43">
        <f>_xlfn.XLOOKUP(B43,'[11]january-2026'!$A:$A,'[11]january-2026'!$G:$G,0,0)</f>
        <v>0</v>
      </c>
      <c r="DL43">
        <f>IF(DG43&gt;0,SUM(DG43:DK43),0)</f>
        <v>44850</v>
      </c>
      <c r="DM43">
        <f>_xlfn.XLOOKUP(B43,'[11]january-2026'!$A:$A,'[11]january-2026'!$H:$H,0,0)</f>
        <v>2500</v>
      </c>
      <c r="DN43">
        <f>_xlfn.XLOOKUP(B43,'[11]january-2026'!$A:$A,'[11]january-2026'!$I:$I,0,0)</f>
        <v>0</v>
      </c>
      <c r="DO43">
        <f>IF($F43="YES",0,IF(DL43&gt;40000,200,IF(DL43&gt;25000,150,IF(DL43&gt;15000,130,IF(DL43&gt;10000,110,0)))))</f>
        <v>200</v>
      </c>
      <c r="DP43">
        <f>DL43-DM43-DN43-DO43</f>
        <v>42150</v>
      </c>
      <c r="DQ43">
        <f>_xlfn.XLOOKUP(B43,'[12]february-2026'!$A:$A,'[12]february-2026'!$C:$C,0,0)</f>
        <v>34500</v>
      </c>
      <c r="DR43">
        <f>DQ43*0.18</f>
        <v>6210</v>
      </c>
      <c r="DS43">
        <f>DQ43*0.12</f>
        <v>4140</v>
      </c>
      <c r="DT43">
        <f>_xlfn.XLOOKUP(B43,'[12]february-2026'!$A:$A,'[12]february-2026'!$D:$D,0,0)</f>
        <v>0</v>
      </c>
      <c r="DU43">
        <f>_xlfn.XLOOKUP(B43,'[12]february-2026'!$A:$A,'[12]february-2026'!$G:$G,0,0)</f>
        <v>0</v>
      </c>
      <c r="DV43">
        <f>IF(DQ43&gt;0,SUM(DQ43:DU43),0)</f>
        <v>44850</v>
      </c>
      <c r="DW43">
        <f>_xlfn.XLOOKUP(B43,'[12]february-2026'!$A:$A,'[12]february-2026'!$H:$H,0,0)</f>
        <v>2500</v>
      </c>
      <c r="DX43">
        <f>_xlfn.XLOOKUP(B43,'[12]february-2026'!$A:$A,'[12]february-2026'!$I:$I,0,0)</f>
        <v>0</v>
      </c>
      <c r="DY43">
        <f>IF($F43="YES",0,IF(DV43&gt;40000,200,IF(DV43&gt;25000,150,IF(DV43&gt;15000,130,IF(DV43&gt;10000,110,0)))))</f>
        <v>200</v>
      </c>
      <c r="DZ43">
        <f>DV43-DW43-DX43-DY43</f>
        <v>42150</v>
      </c>
      <c r="EA43">
        <f>DV43+DL43+DB43+CR43+CH43+BX43+BN43+BD43+AS43+AI43+Y43+O43+H43+I43</f>
        <v>538460</v>
      </c>
      <c r="EB43">
        <f>DY43+DO43+DE43+CU43+CK43+CA43+BQ43+BG43+AV43+AL43+AB43+R43</f>
        <v>2400</v>
      </c>
      <c r="EC43">
        <f>IF(EA43&gt;0,50000,0)</f>
        <v>50000</v>
      </c>
      <c r="ED43">
        <v>0</v>
      </c>
      <c r="EE43">
        <f>EA43-EB43-EC43</f>
        <v>486060</v>
      </c>
      <c r="EF43">
        <f>DW43+DM43+DC43+CS43+CI43+BY43+BO43+BE43+AT43+AJ43+Z43+P43</f>
        <v>30000</v>
      </c>
      <c r="EG43">
        <f>DX43+DN43+DD43+CT43+CJ43+BZ43+BP43+BF43+AU43+AK43+AA43+Q43</f>
        <v>0</v>
      </c>
      <c r="EH43">
        <v>0</v>
      </c>
      <c r="EI43">
        <v>0</v>
      </c>
      <c r="EJ43">
        <v>0</v>
      </c>
      <c r="EK43">
        <v>0</v>
      </c>
      <c r="EL43">
        <v>0</v>
      </c>
      <c r="EM43">
        <v>0</v>
      </c>
      <c r="EN43">
        <v>0</v>
      </c>
      <c r="EO43">
        <v>0</v>
      </c>
      <c r="EP43">
        <v>0</v>
      </c>
      <c r="EQ43">
        <v>0</v>
      </c>
      <c r="ER43">
        <f>SUM(EF43:EQ43)</f>
        <v>30000</v>
      </c>
      <c r="ES43">
        <f>IF(ER43&gt;=150000,150000,ER43)</f>
        <v>30000</v>
      </c>
      <c r="ET43">
        <f>EE43-ES43</f>
        <v>456060</v>
      </c>
      <c r="EU43">
        <v>0</v>
      </c>
      <c r="EV43">
        <v>0</v>
      </c>
      <c r="EW43">
        <v>0</v>
      </c>
      <c r="EX43">
        <v>0</v>
      </c>
      <c r="EY43">
        <v>0</v>
      </c>
      <c r="EZ43">
        <v>0</v>
      </c>
      <c r="FA43">
        <v>0</v>
      </c>
      <c r="FB43">
        <f>SUM(EU43:FA43)+(IF(F43="YES",50000,0))</f>
        <v>0</v>
      </c>
      <c r="FC43">
        <f>ET43-FB43</f>
        <v>456060</v>
      </c>
      <c r="FD43">
        <f>ROUND(IF(FC43&gt;0,IF(FC43&gt;500000,12500,(FC43-250000)*0.05),0),0)</f>
        <v>10303</v>
      </c>
      <c r="FE43">
        <f>IF(ROUND(IF(FC43&gt;0,IF(FC43&gt;1000000,25000,(FC43-500000)*0.2),0),0)&lt;0,0,ROUND(IF(FC43&gt;0,IF(FC43&gt;1000000,25000,(FC43-500000)*0.2),0),0))</f>
        <v>0</v>
      </c>
      <c r="FF43">
        <f>FD43+FE43</f>
        <v>10303</v>
      </c>
      <c r="FG43">
        <f>IF(FF43&lt;12500,0,FF43)</f>
        <v>0</v>
      </c>
      <c r="FH43">
        <f>FG43*0.04</f>
        <v>0</v>
      </c>
      <c r="FI43">
        <f>ROUND(FH43+FG43,0)</f>
        <v>0</v>
      </c>
      <c r="FJ43">
        <v>0</v>
      </c>
      <c r="FK43">
        <f>FI43-FJ43</f>
        <v>0</v>
      </c>
      <c r="FL43" t="b">
        <f>IF(EA43&gt;500000,TRUE,FALSE)</f>
        <v>1</v>
      </c>
      <c r="FM43">
        <f ca="1">IF(FL43,RANDBETWEEN(500,1000),RANDBETWEEN(1000,3000))</f>
        <v>964</v>
      </c>
      <c r="FN43">
        <f ca="1">EA43+FM43</f>
        <v>539424</v>
      </c>
      <c r="FO43">
        <f>IF(EA43&gt;0,75000,0)</f>
        <v>75000</v>
      </c>
      <c r="FP43">
        <f ca="1">FN43-FO43</f>
        <v>464424</v>
      </c>
      <c r="FQ43">
        <f ca="1">IF(FP43&gt;2400000,FP43-2400000,0)</f>
        <v>0</v>
      </c>
      <c r="FR43">
        <f ca="1">FQ43*0.3</f>
        <v>0</v>
      </c>
      <c r="FS43">
        <f ca="1">IF(FP43&gt;2000000,FP43-2000000,0)</f>
        <v>0</v>
      </c>
      <c r="FT43">
        <f ca="1">FS43*0.25</f>
        <v>0</v>
      </c>
      <c r="FU43">
        <f ca="1">IF(FP43&gt;1600000,FP43-1600000-FQ43,0)</f>
        <v>0</v>
      </c>
      <c r="FV43">
        <f ca="1">FU43*0.2</f>
        <v>0</v>
      </c>
      <c r="FW43">
        <f ca="1">IF(FP43&gt;1200000,FP43-1200000-IF(F43="YES",50000,0)-FU43,0)</f>
        <v>0</v>
      </c>
      <c r="FX43">
        <f ca="1">FW43*0.15</f>
        <v>0</v>
      </c>
      <c r="FY43">
        <f ca="1">IF(FP43&gt;800000,FP43-800000-FQ43-FU43-FW43,0)</f>
        <v>0</v>
      </c>
      <c r="FZ43">
        <f ca="1">FY43*0.1</f>
        <v>0</v>
      </c>
      <c r="GA43">
        <f ca="1">IF(FP43&gt;400000,FP43-400000-FQ43-FU43-FW43-FY43,0)</f>
        <v>64424</v>
      </c>
      <c r="GB43">
        <f ca="1">GA43*0.05</f>
        <v>3221.2000000000003</v>
      </c>
      <c r="GC43">
        <f ca="1">ROUND(FR43+FT43+FV43+FX43+FZ43+GB43,0)</f>
        <v>3221</v>
      </c>
      <c r="GD43">
        <f ca="1">IF(FP43&gt;1200000,FP43,0)</f>
        <v>0</v>
      </c>
      <c r="GE43">
        <f ca="1">IF(FP43&gt;1200000,GD43-1200000,0)</f>
        <v>0</v>
      </c>
      <c r="GF43">
        <f ca="1">IF(FP43&lt;1200001,MIN(GC43,60000),0)</f>
        <v>3221</v>
      </c>
      <c r="GG43">
        <f ca="1">IF(FP43&gt;1200000,GC43-GE43,0)</f>
        <v>0</v>
      </c>
      <c r="GH43" t="b">
        <f ca="1">IF(GG43&gt;0,TRUE,FALSE)</f>
        <v>0</v>
      </c>
      <c r="GI43">
        <f ca="1">IF(GH43,GG43,0)</f>
        <v>0</v>
      </c>
      <c r="GJ43">
        <f ca="1">GF43+GI43</f>
        <v>3221</v>
      </c>
      <c r="GK43">
        <f ca="1">ROUND(GC43-GJ43,0)</f>
        <v>0</v>
      </c>
      <c r="GL43">
        <f ca="1">GK43*0.04</f>
        <v>0</v>
      </c>
      <c r="GM43">
        <f ca="1">ROUNDUP(GK43+GL43,0)</f>
        <v>0</v>
      </c>
    </row>
    <row r="44" spans="1:195" x14ac:dyDescent="0.25">
      <c r="A44">
        <f>_xlfn.AGGREGATE(3,5,$B$2:B44)</f>
        <v>43</v>
      </c>
      <c r="B44" t="s">
        <v>206</v>
      </c>
      <c r="C44" t="s">
        <v>207</v>
      </c>
      <c r="D44" t="s">
        <v>763</v>
      </c>
      <c r="E44" t="s">
        <v>833</v>
      </c>
      <c r="F44" t="s">
        <v>959</v>
      </c>
      <c r="G44" t="s">
        <v>900</v>
      </c>
      <c r="H44">
        <f>IF(_xlfn.DAYS("31-03-2025",G44)&gt;=180,6800,0)</f>
        <v>6800</v>
      </c>
      <c r="I44">
        <f>_xlfn.XLOOKUP(B44,'[1]march-2025'!$A:$A,'[1]march-2025'!$J:$J,0,0)</f>
        <v>0</v>
      </c>
      <c r="J44">
        <f>_xlfn.XLOOKUP(B44,'[1]march-2025'!$A:$A,'[1]march-2025'!$C:$C,0,0)</f>
        <v>30700</v>
      </c>
      <c r="K44">
        <f>J44*0.14</f>
        <v>4298</v>
      </c>
      <c r="L44">
        <f>J44*0.12</f>
        <v>3684</v>
      </c>
      <c r="M44">
        <f>_xlfn.XLOOKUP(B44,'[1]march-2025'!$A:$A,'[1]march-2025'!$D:$D,0,0)</f>
        <v>0</v>
      </c>
      <c r="N44">
        <f>_xlfn.XLOOKUP(B44,'[1]march-2025'!$A:$A,'[1]march-2025'!$G:$G,0,0)</f>
        <v>500</v>
      </c>
      <c r="O44">
        <f>IF(J44&gt;0,SUM(J44:N44),0)</f>
        <v>39182</v>
      </c>
      <c r="P44">
        <f>_xlfn.XLOOKUP(B44,'[1]march-2025'!$A:$A,'[1]march-2025'!$H:$H,0,0)</f>
        <v>2000</v>
      </c>
      <c r="Q44">
        <f>_xlfn.XLOOKUP(B44,'[1]march-2025'!$A:$A,'[1]march-2025'!$I:$I,0,0)</f>
        <v>0</v>
      </c>
      <c r="R44">
        <f>IF($F44="YES",0,IF(O44&gt;40000,200,IF(O44&gt;25000,150,IF(O44&gt;15000,130,IF(O44&gt;10000,110,0)))))</f>
        <v>150</v>
      </c>
      <c r="S44">
        <f>O44-P44-Q44-R44</f>
        <v>37032</v>
      </c>
      <c r="T44">
        <f>_xlfn.XLOOKUP(B44,'[2]april-2025'!$A:$A,'[2]april-2025'!$C:$C,0,0)</f>
        <v>30700</v>
      </c>
      <c r="U44">
        <f>T44*0.18</f>
        <v>5526</v>
      </c>
      <c r="V44">
        <f>T44*0.12</f>
        <v>3684</v>
      </c>
      <c r="W44">
        <f>_xlfn.XLOOKUP(B44,'[2]april-2025'!$A:$A,'[2]april-2025'!$D:$D,0,0)</f>
        <v>0</v>
      </c>
      <c r="X44">
        <f>_xlfn.XLOOKUP(B44,'[2]april-2025'!$A:$A,'[2]april-2025'!$G:$G,0,0)</f>
        <v>500</v>
      </c>
      <c r="Y44">
        <f>IF(T44&gt;0,SUM(T44:X44),0)</f>
        <v>40410</v>
      </c>
      <c r="Z44">
        <f>_xlfn.XLOOKUP(B44,'[2]april-2025'!$A:$A,'[2]april-2025'!$H:$H,0,0)</f>
        <v>2000</v>
      </c>
      <c r="AA44">
        <f>_xlfn.XLOOKUP(B44,'[2]april-2025'!$A:$A,'[2]april-2025'!$I:$I,0,0)</f>
        <v>0</v>
      </c>
      <c r="AB44">
        <f>IF($F44="YES",0,IF(Y44&gt;40000,200,IF(Y44&gt;25000,150,IF(Y44&gt;15000,130,IF(Y44&gt;10000,110,0)))))</f>
        <v>200</v>
      </c>
      <c r="AC44">
        <f>Y44-Z44-AA44-AB44</f>
        <v>38210</v>
      </c>
      <c r="AD44">
        <f>_xlfn.XLOOKUP(B44,'[3]may-2025'!$A:$A,'[3]may-2025'!$C:$C,0,0)</f>
        <v>30700</v>
      </c>
      <c r="AE44">
        <f>AD44*0.18</f>
        <v>5526</v>
      </c>
      <c r="AF44">
        <f>AD44*0.12</f>
        <v>3684</v>
      </c>
      <c r="AG44">
        <f>_xlfn.XLOOKUP(B44,'[3]may-2025'!$A:$A,'[3]may-2025'!$D:$D,0,0)</f>
        <v>0</v>
      </c>
      <c r="AH44">
        <f>_xlfn.XLOOKUP(B44,'[3]may-2025'!$A:$A,'[3]may-2025'!$G:$G,0,0)</f>
        <v>500</v>
      </c>
      <c r="AI44">
        <f>IF(AD44&gt;0,SUM(AD44:AH44),0)</f>
        <v>40410</v>
      </c>
      <c r="AJ44">
        <f>_xlfn.XLOOKUP(B44,'[3]may-2025'!$A:$A,'[3]may-2025'!$H:$H,0,0)</f>
        <v>2000</v>
      </c>
      <c r="AK44">
        <f>_xlfn.XLOOKUP(B44,'[3]may-2025'!$A:$A,'[3]may-2025'!$I:$I,0,0)</f>
        <v>0</v>
      </c>
      <c r="AL44">
        <f>IF($F44="YES",0,IF(AI44&gt;40000,200,IF(AI44&gt;25000,150,IF(AI44&gt;15000,130,IF(AI44&gt;10000,110,0)))))</f>
        <v>200</v>
      </c>
      <c r="AM44">
        <f>AI44-AJ44-AK44-AL44</f>
        <v>38210</v>
      </c>
      <c r="AN44">
        <f>_xlfn.XLOOKUP(B44,'[4]june-2025'!$A:$A,'[4]june-2025'!$C:$C,0,0)</f>
        <v>30700</v>
      </c>
      <c r="AO44">
        <f>AN44*0.18</f>
        <v>5526</v>
      </c>
      <c r="AP44">
        <f>AN44*0.12</f>
        <v>3684</v>
      </c>
      <c r="AQ44">
        <f>_xlfn.XLOOKUP(B44,'[4]june-2025'!$A:$A,'[4]june-2025'!$D:$D,0,0)</f>
        <v>0</v>
      </c>
      <c r="AR44">
        <f>_xlfn.XLOOKUP(B44,'[4]june-2025'!$A:$A,'[4]june-2025'!$G:$G,0,0)</f>
        <v>500</v>
      </c>
      <c r="AS44">
        <f>IF(AN44&gt;0,SUM(AN44:AR44),0)</f>
        <v>40410</v>
      </c>
      <c r="AT44">
        <f>_xlfn.XLOOKUP(B44,'[4]june-2025'!$A:$A,'[4]june-2025'!$H:$H,0,0)</f>
        <v>2000</v>
      </c>
      <c r="AU44">
        <f>_xlfn.XLOOKUP(B44,'[4]june-2025'!$A:$A,'[4]june-2025'!$I:$I,0,0)</f>
        <v>0</v>
      </c>
      <c r="AV44">
        <f>IF($F44="YES",0,IF(AS44&gt;40000,200,IF(AS44&gt;25000,150,IF(AS44&gt;15000,130,IF(AS44&gt;10000,110,0)))))</f>
        <v>200</v>
      </c>
      <c r="AW44">
        <f>AS44-AT44-AU44-AV44</f>
        <v>38210</v>
      </c>
      <c r="AX44">
        <f>_xlfn.XLOOKUP(B44,'[5]july-2025'!$A:$A,'[5]july-2025'!$C:$C,0,0)</f>
        <v>31600</v>
      </c>
      <c r="AY44">
        <f>AX44*0.18</f>
        <v>5688</v>
      </c>
      <c r="AZ44">
        <v>0</v>
      </c>
      <c r="BA44">
        <f>AX44*0.12</f>
        <v>3792</v>
      </c>
      <c r="BB44">
        <f>_xlfn.XLOOKUP(B44,'[5]july-2025'!$A:$A,'[5]july-2025'!$D:$D,0,0)</f>
        <v>0</v>
      </c>
      <c r="BC44">
        <f>_xlfn.XLOOKUP(B44,'[5]july-2025'!$A:$A,'[5]july-2025'!$G:$G,0,0)</f>
        <v>500</v>
      </c>
      <c r="BD44">
        <f>IF(AX44&gt;0,SUM(AX44:BC44),0)</f>
        <v>41580</v>
      </c>
      <c r="BE44">
        <f>_xlfn.XLOOKUP(B44,'[5]july-2025'!$A:$A,'[5]july-2025'!$H:$H,0,0)</f>
        <v>2000</v>
      </c>
      <c r="BF44">
        <f>_xlfn.XLOOKUP(B44,'[5]july-2025'!$A:$A,'[5]july-2025'!$I:$I,0,0)</f>
        <v>0</v>
      </c>
      <c r="BG44">
        <f>IF($F44="YES",0,IF(BD44&gt;40000,200,IF(BD44&gt;25000,150,IF(BD44&gt;15000,130,IF(BD44&gt;10000,110,0)))))</f>
        <v>200</v>
      </c>
      <c r="BH44">
        <f>BD44-BE44-BF44-BG44</f>
        <v>39380</v>
      </c>
      <c r="BI44">
        <f>_xlfn.XLOOKUP(B44,'[6]august-2025'!$A:$A,'[6]august-2025'!$C:$C,0,0)</f>
        <v>31600</v>
      </c>
      <c r="BJ44">
        <f>BI44*0.18</f>
        <v>5688</v>
      </c>
      <c r="BK44">
        <f>BI44*0.12</f>
        <v>3792</v>
      </c>
      <c r="BL44">
        <f>_xlfn.XLOOKUP(B44,'[6]august-2025'!$A:$A,'[6]august-2025'!$D:$D,0,0)</f>
        <v>0</v>
      </c>
      <c r="BM44">
        <f>_xlfn.XLOOKUP(B44,'[6]august-2025'!$A:$A,'[6]august-2025'!$G:$G,0,0)</f>
        <v>500</v>
      </c>
      <c r="BN44">
        <f>IF(BI44&gt;0,SUM(BI44:BM44),0)</f>
        <v>41580</v>
      </c>
      <c r="BO44">
        <f>_xlfn.XLOOKUP(B44,'[6]august-2025'!$A:$A,'[6]august-2025'!$H:$H,0,0)</f>
        <v>2000</v>
      </c>
      <c r="BP44">
        <f>_xlfn.XLOOKUP(B44,'[6]august-2025'!$A:$A,'[6]august-2025'!$I:$I,0,0)</f>
        <v>0</v>
      </c>
      <c r="BQ44">
        <f>IF($F44="YES",0,IF(BN44&gt;40000,200,IF(BN44&gt;25000,150,IF(BN44&gt;15000,130,IF(BN44&gt;10000,110,0)))))</f>
        <v>200</v>
      </c>
      <c r="BR44">
        <f>BN44-BO44-BP44-BQ44</f>
        <v>39380</v>
      </c>
      <c r="BS44">
        <f>_xlfn.XLOOKUP(B44,'[7]september-2025'!$A:$A,'[7]september-2025'!$C:$C,0,0)</f>
        <v>31600</v>
      </c>
      <c r="BT44">
        <f>BS44*0.18</f>
        <v>5688</v>
      </c>
      <c r="BU44">
        <f>BS44*0.12</f>
        <v>3792</v>
      </c>
      <c r="BV44">
        <f>_xlfn.XLOOKUP(B44,'[7]september-2025'!$A:$A,'[7]september-2025'!$D:$D,0,0)</f>
        <v>0</v>
      </c>
      <c r="BW44">
        <f>_xlfn.XLOOKUP(B44,'[7]september-2025'!$A:$A,'[7]september-2025'!$G:$G,0,0)</f>
        <v>500</v>
      </c>
      <c r="BX44">
        <f>IF(BS44&gt;0,SUM(BS44:BW44),0)</f>
        <v>41580</v>
      </c>
      <c r="BY44">
        <f>_xlfn.XLOOKUP(B44,'[7]september-2025'!$A:$A,'[7]september-2025'!$H:$H,0,0)</f>
        <v>2000</v>
      </c>
      <c r="BZ44">
        <f>_xlfn.XLOOKUP(B44,'[7]september-2025'!$A:$A,'[7]september-2025'!$I:$I,0,0)</f>
        <v>0</v>
      </c>
      <c r="CA44">
        <f>IF($F44="YES",0,IF(BX44&gt;40000,200,IF(BX44&gt;25000,150,IF(BX44&gt;15000,130,IF(BX44&gt;10000,110,0)))))</f>
        <v>200</v>
      </c>
      <c r="CB44">
        <f>BX44-BY44-BZ44-CA44</f>
        <v>39380</v>
      </c>
      <c r="CC44">
        <f>_xlfn.XLOOKUP(B44,'[8]october-2025'!$A:$A,'[8]october-2025'!$C:$C,0,0)</f>
        <v>31600</v>
      </c>
      <c r="CD44">
        <f>CC44*0.18</f>
        <v>5688</v>
      </c>
      <c r="CE44">
        <f>CC44*0.12</f>
        <v>3792</v>
      </c>
      <c r="CF44">
        <f>_xlfn.XLOOKUP(B44,'[8]october-2025'!$A:$A,'[8]october-2025'!$D:$D,0,0)</f>
        <v>0</v>
      </c>
      <c r="CG44">
        <f>_xlfn.XLOOKUP(B44,'[8]october-2025'!$A:$A,'[8]october-2025'!$G:$G,0,0)</f>
        <v>500</v>
      </c>
      <c r="CH44">
        <f>IF(CC44&gt;0,SUM(CC44:CG44),0)</f>
        <v>41580</v>
      </c>
      <c r="CI44">
        <f>_xlfn.XLOOKUP(B44,'[8]october-2025'!$A:$A,'[8]october-2025'!$H:$H,0,0)</f>
        <v>2000</v>
      </c>
      <c r="CJ44">
        <f>_xlfn.XLOOKUP(B44,'[8]october-2025'!$A:$A,'[8]october-2025'!$I:$I,0,0)</f>
        <v>0</v>
      </c>
      <c r="CK44">
        <f>IF($F44="YES",0,IF(CH44&gt;40000,200,IF(CH44&gt;25000,150,IF(CH44&gt;15000,130,IF(CH44&gt;10000,110,0)))))</f>
        <v>200</v>
      </c>
      <c r="CL44">
        <f>CH44-CI44-CJ44-CK44</f>
        <v>39380</v>
      </c>
      <c r="CM44">
        <f>_xlfn.XLOOKUP(B44,'[9]november-2025'!$A:$A,'[9]november-2025'!$C:$C,0,0)</f>
        <v>31600</v>
      </c>
      <c r="CN44">
        <f>CM44*0.18</f>
        <v>5688</v>
      </c>
      <c r="CO44">
        <f>CM44*0.12</f>
        <v>3792</v>
      </c>
      <c r="CP44">
        <f>_xlfn.XLOOKUP(B44,'[9]november-2025'!$A:$A,'[9]november-2025'!$D:$D,0,0)</f>
        <v>0</v>
      </c>
      <c r="CQ44">
        <f>_xlfn.XLOOKUP(B44,'[9]november-2025'!$A:$A,'[9]november-2025'!$G:$G,0,0)</f>
        <v>500</v>
      </c>
      <c r="CR44">
        <f>IF(CM44&gt;0,SUM(CM44:CQ44),0)</f>
        <v>41580</v>
      </c>
      <c r="CS44">
        <f>_xlfn.XLOOKUP(B44,'[9]november-2025'!$A:$A,'[9]november-2025'!$H:$H,0,0)</f>
        <v>2000</v>
      </c>
      <c r="CT44">
        <f>_xlfn.XLOOKUP(B44,'[9]november-2025'!$A:$A,'[9]november-2025'!$I:$I,0,0)</f>
        <v>0</v>
      </c>
      <c r="CU44">
        <f>IF($F44="YES",0,IF(CR44&gt;40000,200,IF(CR44&gt;25000,150,IF(CR44&gt;15000,130,IF(CR44&gt;10000,110,0)))))</f>
        <v>200</v>
      </c>
      <c r="CV44">
        <f>CR44-CS44-CT44-CU44</f>
        <v>39380</v>
      </c>
      <c r="CW44">
        <f>_xlfn.XLOOKUP(B44,'[10]december-2025'!$A:$A,'[10]december-2025'!$C:$C,0,0)</f>
        <v>31600</v>
      </c>
      <c r="CX44">
        <f>ROUND(CW44*0.18,0)</f>
        <v>5688</v>
      </c>
      <c r="CY44">
        <f>ROUND(CW44*0.12,0)</f>
        <v>3792</v>
      </c>
      <c r="CZ44">
        <f>_xlfn.XLOOKUP(B44,'[10]december-2025'!$A:$A,'[10]december-2025'!$D:$D,0,0)</f>
        <v>0</v>
      </c>
      <c r="DA44">
        <f>_xlfn.XLOOKUP(B44,'[10]december-2025'!$A:$A,'[10]december-2025'!$G:$G,0,0)</f>
        <v>500</v>
      </c>
      <c r="DB44">
        <f>IF(CW44&gt;0,SUM(CW44:DA44),0)</f>
        <v>41580</v>
      </c>
      <c r="DC44">
        <f>_xlfn.XLOOKUP(B44,'[10]december-2025'!$A:$A,'[10]december-2025'!$H:$H,0,0)</f>
        <v>2000</v>
      </c>
      <c r="DD44">
        <f>_xlfn.XLOOKUP(B44,'[10]december-2025'!$A:$A,'[10]december-2025'!$I:$I,0,0)</f>
        <v>0</v>
      </c>
      <c r="DE44">
        <f>IF($F44="YES",0,IF(DB44&gt;40000,200,IF(DB44&gt;25000,150,IF(DB44&gt;15000,130,IF(DB44&gt;10000,110,0)))))</f>
        <v>200</v>
      </c>
      <c r="DF44">
        <f>DB44-DC44-DD44-DE44</f>
        <v>39380</v>
      </c>
      <c r="DG44">
        <f>_xlfn.XLOOKUP(B44,'[11]january-2026'!$A:$A,'[11]january-2026'!$C:$C,0,0)</f>
        <v>31600</v>
      </c>
      <c r="DH44">
        <f>DG44*0.18</f>
        <v>5688</v>
      </c>
      <c r="DI44">
        <f>DG44*0.12</f>
        <v>3792</v>
      </c>
      <c r="DJ44">
        <f>_xlfn.XLOOKUP(B44,'[11]january-2026'!$A:$A,'[11]january-2026'!$D:$D,0,0)</f>
        <v>0</v>
      </c>
      <c r="DK44">
        <f>_xlfn.XLOOKUP(B44,'[11]january-2026'!$A:$A,'[11]january-2026'!$G:$G,0,0)</f>
        <v>500</v>
      </c>
      <c r="DL44">
        <f>IF(DG44&gt;0,SUM(DG44:DK44),0)</f>
        <v>41580</v>
      </c>
      <c r="DM44">
        <f>_xlfn.XLOOKUP(B44,'[11]january-2026'!$A:$A,'[11]january-2026'!$H:$H,0,0)</f>
        <v>2000</v>
      </c>
      <c r="DN44">
        <f>_xlfn.XLOOKUP(B44,'[11]january-2026'!$A:$A,'[11]january-2026'!$I:$I,0,0)</f>
        <v>0</v>
      </c>
      <c r="DO44">
        <f>IF($F44="YES",0,IF(DL44&gt;40000,200,IF(DL44&gt;25000,150,IF(DL44&gt;15000,130,IF(DL44&gt;10000,110,0)))))</f>
        <v>200</v>
      </c>
      <c r="DP44">
        <f>DL44-DM44-DN44-DO44</f>
        <v>39380</v>
      </c>
      <c r="DQ44">
        <f>_xlfn.XLOOKUP(B44,'[12]february-2026'!$A:$A,'[12]february-2026'!$C:$C,0,0)</f>
        <v>31600</v>
      </c>
      <c r="DR44">
        <f>DQ44*0.18</f>
        <v>5688</v>
      </c>
      <c r="DS44">
        <f>DQ44*0.12</f>
        <v>3792</v>
      </c>
      <c r="DT44">
        <f>_xlfn.XLOOKUP(B44,'[12]february-2026'!$A:$A,'[12]february-2026'!$D:$D,0,0)</f>
        <v>0</v>
      </c>
      <c r="DU44">
        <f>_xlfn.XLOOKUP(B44,'[12]february-2026'!$A:$A,'[12]february-2026'!$G:$G,0,0)</f>
        <v>500</v>
      </c>
      <c r="DV44">
        <f>IF(DQ44&gt;0,SUM(DQ44:DU44),0)</f>
        <v>41580</v>
      </c>
      <c r="DW44">
        <f>_xlfn.XLOOKUP(B44,'[12]february-2026'!$A:$A,'[12]february-2026'!$H:$H,0,0)</f>
        <v>2000</v>
      </c>
      <c r="DX44">
        <f>_xlfn.XLOOKUP(B44,'[12]february-2026'!$A:$A,'[12]february-2026'!$I:$I,0,0)</f>
        <v>0</v>
      </c>
      <c r="DY44">
        <f>IF($F44="YES",0,IF(DV44&gt;40000,200,IF(DV44&gt;25000,150,IF(DV44&gt;15000,130,IF(DV44&gt;10000,110,0)))))</f>
        <v>200</v>
      </c>
      <c r="DZ44">
        <f>DV44-DW44-DX44-DY44</f>
        <v>39380</v>
      </c>
      <c r="EA44">
        <f>DV44+DL44+DB44+CR44+CH44+BX44+BN44+BD44+AS44+AI44+Y44+O44+H44+I44</f>
        <v>499852</v>
      </c>
      <c r="EB44">
        <f>DY44+DO44+DE44+CU44+CK44+CA44+BQ44+BG44+AV44+AL44+AB44+R44</f>
        <v>2350</v>
      </c>
      <c r="EC44">
        <f>IF(EA44&gt;0,50000,0)</f>
        <v>50000</v>
      </c>
      <c r="ED44">
        <v>0</v>
      </c>
      <c r="EE44">
        <f>EA44-EB44-EC44</f>
        <v>447502</v>
      </c>
      <c r="EF44">
        <f>DW44+DM44+DC44+CS44+CI44+BY44+BO44+BE44+AT44+AJ44+Z44+P44</f>
        <v>24000</v>
      </c>
      <c r="EG44">
        <f>DX44+DN44+DD44+CT44+CJ44+BZ44+BP44+BF44+AU44+AK44+AA44+Q44</f>
        <v>0</v>
      </c>
      <c r="EH44">
        <v>0</v>
      </c>
      <c r="EI44">
        <v>0</v>
      </c>
      <c r="EJ44">
        <v>0</v>
      </c>
      <c r="EK44">
        <v>0</v>
      </c>
      <c r="EL44">
        <v>0</v>
      </c>
      <c r="EM44">
        <v>0</v>
      </c>
      <c r="EN44">
        <v>0</v>
      </c>
      <c r="EO44">
        <v>0</v>
      </c>
      <c r="EP44">
        <v>0</v>
      </c>
      <c r="EQ44">
        <v>0</v>
      </c>
      <c r="ER44">
        <f>SUM(EF44:EQ44)</f>
        <v>24000</v>
      </c>
      <c r="ES44">
        <f>IF(ER44&gt;=150000,150000,ER44)</f>
        <v>24000</v>
      </c>
      <c r="ET44">
        <f>EE44-ES44</f>
        <v>423502</v>
      </c>
      <c r="EU44">
        <v>0</v>
      </c>
      <c r="EV44">
        <v>0</v>
      </c>
      <c r="EW44">
        <v>0</v>
      </c>
      <c r="EX44">
        <v>0</v>
      </c>
      <c r="EY44">
        <v>0</v>
      </c>
      <c r="EZ44">
        <v>0</v>
      </c>
      <c r="FA44">
        <v>0</v>
      </c>
      <c r="FB44">
        <f>SUM(EU44:FA44)+(IF(F44="YES",50000,0))</f>
        <v>0</v>
      </c>
      <c r="FC44">
        <f>ET44-FB44</f>
        <v>423502</v>
      </c>
      <c r="FD44">
        <f>ROUND(IF(FC44&gt;0,IF(FC44&gt;500000,12500,(FC44-250000)*0.05),0),0)</f>
        <v>8675</v>
      </c>
      <c r="FE44">
        <f>IF(ROUND(IF(FC44&gt;0,IF(FC44&gt;1000000,25000,(FC44-500000)*0.2),0),0)&lt;0,0,ROUND(IF(FC44&gt;0,IF(FC44&gt;1000000,25000,(FC44-500000)*0.2),0),0))</f>
        <v>0</v>
      </c>
      <c r="FF44">
        <f>FD44+FE44</f>
        <v>8675</v>
      </c>
      <c r="FG44">
        <f>IF(FF44&lt;12500,0,FF44)</f>
        <v>0</v>
      </c>
      <c r="FH44">
        <f>FG44*0.04</f>
        <v>0</v>
      </c>
      <c r="FI44">
        <f>ROUND(FH44+FG44,0)</f>
        <v>0</v>
      </c>
      <c r="FJ44">
        <v>0</v>
      </c>
      <c r="FK44">
        <f>FI44-FJ44</f>
        <v>0</v>
      </c>
      <c r="FL44" t="b">
        <f>IF(EA44&gt;500000,TRUE,FALSE)</f>
        <v>0</v>
      </c>
      <c r="FM44">
        <f ca="1">IF(FL44,RANDBETWEEN(500,1000),RANDBETWEEN(1000,3000))</f>
        <v>2710</v>
      </c>
      <c r="FN44">
        <f ca="1">EA44+FM44</f>
        <v>502562</v>
      </c>
      <c r="FO44">
        <f>IF(EA44&gt;0,75000,0)</f>
        <v>75000</v>
      </c>
      <c r="FP44">
        <f ca="1">FN44-FO44</f>
        <v>427562</v>
      </c>
      <c r="FQ44">
        <f ca="1">IF(FP44&gt;2400000,FP44-2400000,0)</f>
        <v>0</v>
      </c>
      <c r="FR44">
        <f ca="1">FQ44*0.3</f>
        <v>0</v>
      </c>
      <c r="FS44">
        <f ca="1">IF(FP44&gt;2000000,FP44-2000000,0)</f>
        <v>0</v>
      </c>
      <c r="FT44">
        <f ca="1">FS44*0.25</f>
        <v>0</v>
      </c>
      <c r="FU44">
        <f ca="1">IF(FP44&gt;1600000,FP44-1600000-FQ44,0)</f>
        <v>0</v>
      </c>
      <c r="FV44">
        <f ca="1">FU44*0.2</f>
        <v>0</v>
      </c>
      <c r="FW44">
        <f ca="1">IF(FP44&gt;1200000,FP44-1200000-IF(F44="YES",50000,0)-FU44,0)</f>
        <v>0</v>
      </c>
      <c r="FX44">
        <f ca="1">FW44*0.15</f>
        <v>0</v>
      </c>
      <c r="FY44">
        <f ca="1">IF(FP44&gt;800000,FP44-800000-FQ44-FU44-FW44,0)</f>
        <v>0</v>
      </c>
      <c r="FZ44">
        <f ca="1">FY44*0.1</f>
        <v>0</v>
      </c>
      <c r="GA44">
        <f ca="1">IF(FP44&gt;400000,FP44-400000-FQ44-FU44-FW44-FY44,0)</f>
        <v>27562</v>
      </c>
      <c r="GB44">
        <f ca="1">GA44*0.05</f>
        <v>1378.1000000000001</v>
      </c>
      <c r="GC44">
        <f ca="1">ROUND(FR44+FT44+FV44+FX44+FZ44+GB44,0)</f>
        <v>1378</v>
      </c>
      <c r="GD44">
        <f ca="1">IF(FP44&gt;1200000,FP44,0)</f>
        <v>0</v>
      </c>
      <c r="GE44">
        <f ca="1">IF(FP44&gt;1200000,GD44-1200000,0)</f>
        <v>0</v>
      </c>
      <c r="GF44">
        <f ca="1">IF(FP44&lt;1200001,MIN(GC44,60000),0)</f>
        <v>1378</v>
      </c>
      <c r="GG44">
        <f ca="1">IF(FP44&gt;1200000,GC44-GE44,0)</f>
        <v>0</v>
      </c>
      <c r="GH44" t="b">
        <f ca="1">IF(GG44&gt;0,TRUE,FALSE)</f>
        <v>0</v>
      </c>
      <c r="GI44">
        <f ca="1">IF(GH44,GG44,0)</f>
        <v>0</v>
      </c>
      <c r="GJ44">
        <f ca="1">GF44+GI44</f>
        <v>1378</v>
      </c>
      <c r="GK44">
        <f ca="1">ROUND(GC44-GJ44,0)</f>
        <v>0</v>
      </c>
      <c r="GL44">
        <f ca="1">GK44*0.04</f>
        <v>0</v>
      </c>
      <c r="GM44">
        <f ca="1">ROUNDUP(GK44+GL44,0)</f>
        <v>0</v>
      </c>
    </row>
    <row r="45" spans="1:195" x14ac:dyDescent="0.25">
      <c r="A45">
        <f>_xlfn.AGGREGATE(3,5,$B$2:B45)</f>
        <v>44</v>
      </c>
      <c r="B45" t="s">
        <v>208</v>
      </c>
      <c r="C45" t="s">
        <v>209</v>
      </c>
      <c r="D45" t="s">
        <v>764</v>
      </c>
      <c r="E45" t="s">
        <v>833</v>
      </c>
      <c r="F45" t="s">
        <v>959</v>
      </c>
      <c r="G45" t="s">
        <v>901</v>
      </c>
      <c r="H45">
        <f>IF(_xlfn.DAYS("31-03-2025",G45)&gt;=180,6800,0)</f>
        <v>6800</v>
      </c>
      <c r="I45">
        <f>_xlfn.XLOOKUP(B45,'[1]march-2025'!$A:$A,'[1]march-2025'!$J:$J,0,0)</f>
        <v>0</v>
      </c>
      <c r="J45">
        <f>_xlfn.XLOOKUP(B45,'[1]march-2025'!$A:$A,'[1]march-2025'!$C:$C,0,0)</f>
        <v>48700</v>
      </c>
      <c r="K45">
        <f>J45*0.14</f>
        <v>6818.0000000000009</v>
      </c>
      <c r="L45">
        <f>J45*0.12</f>
        <v>5844</v>
      </c>
      <c r="M45">
        <f>_xlfn.XLOOKUP(B45,'[1]march-2025'!$A:$A,'[1]march-2025'!$D:$D,0,0)</f>
        <v>400</v>
      </c>
      <c r="N45">
        <f>_xlfn.XLOOKUP(B45,'[1]march-2025'!$A:$A,'[1]march-2025'!$G:$G,0,0)</f>
        <v>0</v>
      </c>
      <c r="O45">
        <f>IF(J45&gt;0,SUM(J45:N45),0)</f>
        <v>61762</v>
      </c>
      <c r="P45">
        <f>_xlfn.XLOOKUP(B45,'[1]march-2025'!$A:$A,'[1]march-2025'!$H:$H,0,0)</f>
        <v>7000</v>
      </c>
      <c r="Q45">
        <f>_xlfn.XLOOKUP(B45,'[1]march-2025'!$A:$A,'[1]march-2025'!$I:$I,0,0)</f>
        <v>0</v>
      </c>
      <c r="R45">
        <f>IF($F45="YES",0,IF(O45&gt;40000,200,IF(O45&gt;25000,150,IF(O45&gt;15000,130,IF(O45&gt;10000,110,0)))))</f>
        <v>200</v>
      </c>
      <c r="S45">
        <f>O45-P45-Q45-R45</f>
        <v>54562</v>
      </c>
      <c r="T45">
        <f>_xlfn.XLOOKUP(B45,'[2]april-2025'!$A:$A,'[2]april-2025'!$C:$C,0,0)</f>
        <v>48700</v>
      </c>
      <c r="U45">
        <f>T45*0.18</f>
        <v>8766</v>
      </c>
      <c r="V45">
        <f>T45*0.12</f>
        <v>5844</v>
      </c>
      <c r="W45">
        <f>_xlfn.XLOOKUP(B45,'[2]april-2025'!$A:$A,'[2]april-2025'!$D:$D,0,0)</f>
        <v>400</v>
      </c>
      <c r="X45">
        <f>_xlfn.XLOOKUP(B45,'[2]april-2025'!$A:$A,'[2]april-2025'!$G:$G,0,0)</f>
        <v>0</v>
      </c>
      <c r="Y45">
        <f>IF(T45&gt;0,SUM(T45:X45),0)</f>
        <v>63710</v>
      </c>
      <c r="Z45">
        <f>_xlfn.XLOOKUP(B45,'[2]april-2025'!$A:$A,'[2]april-2025'!$H:$H,0,0)</f>
        <v>7000</v>
      </c>
      <c r="AA45">
        <f>_xlfn.XLOOKUP(B45,'[2]april-2025'!$A:$A,'[2]april-2025'!$I:$I,0,0)</f>
        <v>0</v>
      </c>
      <c r="AB45">
        <f>IF($F45="YES",0,IF(Y45&gt;40000,200,IF(Y45&gt;25000,150,IF(Y45&gt;15000,130,IF(Y45&gt;10000,110,0)))))</f>
        <v>200</v>
      </c>
      <c r="AC45">
        <f>Y45-Z45-AA45-AB45</f>
        <v>56510</v>
      </c>
      <c r="AD45">
        <f>_xlfn.XLOOKUP(B45,'[3]may-2025'!$A:$A,'[3]may-2025'!$C:$C,0,0)</f>
        <v>48700</v>
      </c>
      <c r="AE45">
        <f>AD45*0.18</f>
        <v>8766</v>
      </c>
      <c r="AF45">
        <f>AD45*0.12</f>
        <v>5844</v>
      </c>
      <c r="AG45">
        <f>_xlfn.XLOOKUP(B45,'[3]may-2025'!$A:$A,'[3]may-2025'!$D:$D,0,0)</f>
        <v>400</v>
      </c>
      <c r="AH45">
        <f>_xlfn.XLOOKUP(B45,'[3]may-2025'!$A:$A,'[3]may-2025'!$G:$G,0,0)</f>
        <v>0</v>
      </c>
      <c r="AI45">
        <f>IF(AD45&gt;0,SUM(AD45:AH45),0)</f>
        <v>63710</v>
      </c>
      <c r="AJ45">
        <f>_xlfn.XLOOKUP(B45,'[3]may-2025'!$A:$A,'[3]may-2025'!$H:$H,0,0)</f>
        <v>7000</v>
      </c>
      <c r="AK45">
        <f>_xlfn.XLOOKUP(B45,'[3]may-2025'!$A:$A,'[3]may-2025'!$I:$I,0,0)</f>
        <v>0</v>
      </c>
      <c r="AL45">
        <f>IF($F45="YES",0,IF(AI45&gt;40000,200,IF(AI45&gt;25000,150,IF(AI45&gt;15000,130,IF(AI45&gt;10000,110,0)))))</f>
        <v>200</v>
      </c>
      <c r="AM45">
        <f>AI45-AJ45-AK45-AL45</f>
        <v>56510</v>
      </c>
      <c r="AN45">
        <f>_xlfn.XLOOKUP(B45,'[4]june-2025'!$A:$A,'[4]june-2025'!$C:$C,0,0)</f>
        <v>48700</v>
      </c>
      <c r="AO45">
        <f>AN45*0.18</f>
        <v>8766</v>
      </c>
      <c r="AP45">
        <f>AN45*0.12</f>
        <v>5844</v>
      </c>
      <c r="AQ45">
        <f>_xlfn.XLOOKUP(B45,'[4]june-2025'!$A:$A,'[4]june-2025'!$D:$D,0,0)</f>
        <v>400</v>
      </c>
      <c r="AR45">
        <f>_xlfn.XLOOKUP(B45,'[4]june-2025'!$A:$A,'[4]june-2025'!$G:$G,0,0)</f>
        <v>0</v>
      </c>
      <c r="AS45">
        <f>IF(AN45&gt;0,SUM(AN45:AR45),0)</f>
        <v>63710</v>
      </c>
      <c r="AT45">
        <f>_xlfn.XLOOKUP(B45,'[4]june-2025'!$A:$A,'[4]june-2025'!$H:$H,0,0)</f>
        <v>7000</v>
      </c>
      <c r="AU45">
        <f>_xlfn.XLOOKUP(B45,'[4]june-2025'!$A:$A,'[4]june-2025'!$I:$I,0,0)</f>
        <v>0</v>
      </c>
      <c r="AV45">
        <f>IF($F45="YES",0,IF(AS45&gt;40000,200,IF(AS45&gt;25000,150,IF(AS45&gt;15000,130,IF(AS45&gt;10000,110,0)))))</f>
        <v>200</v>
      </c>
      <c r="AW45">
        <f>AS45-AT45-AU45-AV45</f>
        <v>56510</v>
      </c>
      <c r="AX45">
        <f>_xlfn.XLOOKUP(B45,'[5]july-2025'!$A:$A,'[5]july-2025'!$C:$C,0,0)</f>
        <v>51700</v>
      </c>
      <c r="AY45">
        <f>AX45*0.18</f>
        <v>9306</v>
      </c>
      <c r="AZ45">
        <v>0</v>
      </c>
      <c r="BA45">
        <f>AX45*0.12</f>
        <v>6204</v>
      </c>
      <c r="BB45">
        <f>_xlfn.XLOOKUP(B45,'[5]july-2025'!$A:$A,'[5]july-2025'!$D:$D,0,0)</f>
        <v>400</v>
      </c>
      <c r="BC45">
        <f>_xlfn.XLOOKUP(B45,'[5]july-2025'!$A:$A,'[5]july-2025'!$G:$G,0,0)</f>
        <v>0</v>
      </c>
      <c r="BD45">
        <f>IF(AX45&gt;0,SUM(AX45:BC45),0)</f>
        <v>67610</v>
      </c>
      <c r="BE45">
        <f>_xlfn.XLOOKUP(B45,'[5]july-2025'!$A:$A,'[5]july-2025'!$H:$H,0,0)</f>
        <v>7000</v>
      </c>
      <c r="BF45">
        <f>_xlfn.XLOOKUP(B45,'[5]july-2025'!$A:$A,'[5]july-2025'!$I:$I,0,0)</f>
        <v>0</v>
      </c>
      <c r="BG45">
        <f>IF($F45="YES",0,IF(BD45&gt;40000,200,IF(BD45&gt;25000,150,IF(BD45&gt;15000,130,IF(BD45&gt;10000,110,0)))))</f>
        <v>200</v>
      </c>
      <c r="BH45">
        <f>BD45-BE45-BF45-BG45</f>
        <v>60410</v>
      </c>
      <c r="BI45">
        <f>_xlfn.XLOOKUP(B45,'[6]august-2025'!$A:$A,'[6]august-2025'!$C:$C,0,0)</f>
        <v>51700</v>
      </c>
      <c r="BJ45">
        <f>BI45*0.18</f>
        <v>9306</v>
      </c>
      <c r="BK45">
        <f>BI45*0.12</f>
        <v>6204</v>
      </c>
      <c r="BL45">
        <f>_xlfn.XLOOKUP(B45,'[6]august-2025'!$A:$A,'[6]august-2025'!$D:$D,0,0)</f>
        <v>400</v>
      </c>
      <c r="BM45">
        <f>_xlfn.XLOOKUP(B45,'[6]august-2025'!$A:$A,'[6]august-2025'!$G:$G,0,0)</f>
        <v>0</v>
      </c>
      <c r="BN45">
        <f>IF(BI45&gt;0,SUM(BI45:BM45),0)</f>
        <v>67610</v>
      </c>
      <c r="BO45">
        <f>_xlfn.XLOOKUP(B45,'[6]august-2025'!$A:$A,'[6]august-2025'!$H:$H,0,0)</f>
        <v>7000</v>
      </c>
      <c r="BP45">
        <f>_xlfn.XLOOKUP(B45,'[6]august-2025'!$A:$A,'[6]august-2025'!$I:$I,0,0)</f>
        <v>0</v>
      </c>
      <c r="BQ45">
        <f>IF($F45="YES",0,IF(BN45&gt;40000,200,IF(BN45&gt;25000,150,IF(BN45&gt;15000,130,IF(BN45&gt;10000,110,0)))))</f>
        <v>200</v>
      </c>
      <c r="BR45">
        <f>BN45-BO45-BP45-BQ45</f>
        <v>60410</v>
      </c>
      <c r="BS45">
        <f>_xlfn.XLOOKUP(B45,'[7]september-2025'!$A:$A,'[7]september-2025'!$C:$C,0,0)</f>
        <v>51700</v>
      </c>
      <c r="BT45">
        <f>BS45*0.18</f>
        <v>9306</v>
      </c>
      <c r="BU45">
        <f>BS45*0.12</f>
        <v>6204</v>
      </c>
      <c r="BV45">
        <f>_xlfn.XLOOKUP(B45,'[7]september-2025'!$A:$A,'[7]september-2025'!$D:$D,0,0)</f>
        <v>400</v>
      </c>
      <c r="BW45">
        <f>_xlfn.XLOOKUP(B45,'[7]september-2025'!$A:$A,'[7]september-2025'!$G:$G,0,0)</f>
        <v>0</v>
      </c>
      <c r="BX45">
        <f>IF(BS45&gt;0,SUM(BS45:BW45),0)</f>
        <v>67610</v>
      </c>
      <c r="BY45">
        <f>_xlfn.XLOOKUP(B45,'[7]september-2025'!$A:$A,'[7]september-2025'!$H:$H,0,0)</f>
        <v>7000</v>
      </c>
      <c r="BZ45">
        <f>_xlfn.XLOOKUP(B45,'[7]september-2025'!$A:$A,'[7]september-2025'!$I:$I,0,0)</f>
        <v>0</v>
      </c>
      <c r="CA45">
        <f>IF($F45="YES",0,IF(BX45&gt;40000,200,IF(BX45&gt;25000,150,IF(BX45&gt;15000,130,IF(BX45&gt;10000,110,0)))))</f>
        <v>200</v>
      </c>
      <c r="CB45">
        <f>BX45-BY45-BZ45-CA45</f>
        <v>60410</v>
      </c>
      <c r="CC45">
        <f>_xlfn.XLOOKUP(B45,'[8]october-2025'!$A:$A,'[8]october-2025'!$C:$C,0,0)</f>
        <v>51700</v>
      </c>
      <c r="CD45">
        <f>CC45*0.18</f>
        <v>9306</v>
      </c>
      <c r="CE45">
        <f>CC45*0.12</f>
        <v>6204</v>
      </c>
      <c r="CF45">
        <f>_xlfn.XLOOKUP(B45,'[8]october-2025'!$A:$A,'[8]october-2025'!$D:$D,0,0)</f>
        <v>400</v>
      </c>
      <c r="CG45">
        <f>_xlfn.XLOOKUP(B45,'[8]october-2025'!$A:$A,'[8]october-2025'!$G:$G,0,0)</f>
        <v>0</v>
      </c>
      <c r="CH45">
        <f>IF(CC45&gt;0,SUM(CC45:CG45),0)</f>
        <v>67610</v>
      </c>
      <c r="CI45">
        <f>_xlfn.XLOOKUP(B45,'[8]october-2025'!$A:$A,'[8]october-2025'!$H:$H,0,0)</f>
        <v>7000</v>
      </c>
      <c r="CJ45">
        <f>_xlfn.XLOOKUP(B45,'[8]october-2025'!$A:$A,'[8]october-2025'!$I:$I,0,0)</f>
        <v>0</v>
      </c>
      <c r="CK45">
        <f>IF($F45="YES",0,IF(CH45&gt;40000,200,IF(CH45&gt;25000,150,IF(CH45&gt;15000,130,IF(CH45&gt;10000,110,0)))))</f>
        <v>200</v>
      </c>
      <c r="CL45">
        <f>CH45-CI45-CJ45-CK45</f>
        <v>60410</v>
      </c>
      <c r="CM45">
        <f>_xlfn.XLOOKUP(B45,'[9]november-2025'!$A:$A,'[9]november-2025'!$C:$C,0,0)</f>
        <v>51700</v>
      </c>
      <c r="CN45">
        <f>CM45*0.18</f>
        <v>9306</v>
      </c>
      <c r="CO45">
        <f>CM45*0.12</f>
        <v>6204</v>
      </c>
      <c r="CP45">
        <f>_xlfn.XLOOKUP(B45,'[9]november-2025'!$A:$A,'[9]november-2025'!$D:$D,0,0)</f>
        <v>400</v>
      </c>
      <c r="CQ45">
        <f>_xlfn.XLOOKUP(B45,'[9]november-2025'!$A:$A,'[9]november-2025'!$G:$G,0,0)</f>
        <v>0</v>
      </c>
      <c r="CR45">
        <f>IF(CM45&gt;0,SUM(CM45:CQ45),0)</f>
        <v>67610</v>
      </c>
      <c r="CS45">
        <f>_xlfn.XLOOKUP(B45,'[9]november-2025'!$A:$A,'[9]november-2025'!$H:$H,0,0)</f>
        <v>7000</v>
      </c>
      <c r="CT45">
        <f>_xlfn.XLOOKUP(B45,'[9]november-2025'!$A:$A,'[9]november-2025'!$I:$I,0,0)</f>
        <v>0</v>
      </c>
      <c r="CU45">
        <f>IF($F45="YES",0,IF(CR45&gt;40000,200,IF(CR45&gt;25000,150,IF(CR45&gt;15000,130,IF(CR45&gt;10000,110,0)))))</f>
        <v>200</v>
      </c>
      <c r="CV45">
        <f>CR45-CS45-CT45-CU45</f>
        <v>60410</v>
      </c>
      <c r="CW45">
        <f>_xlfn.XLOOKUP(B45,'[10]december-2025'!$A:$A,'[10]december-2025'!$C:$C,0,0)</f>
        <v>51700</v>
      </c>
      <c r="CX45">
        <f>ROUND(CW45*0.18,0)</f>
        <v>9306</v>
      </c>
      <c r="CY45">
        <f>ROUND(CW45*0.12,0)</f>
        <v>6204</v>
      </c>
      <c r="CZ45">
        <f>_xlfn.XLOOKUP(B45,'[10]december-2025'!$A:$A,'[10]december-2025'!$D:$D,0,0)</f>
        <v>400</v>
      </c>
      <c r="DA45">
        <f>_xlfn.XLOOKUP(B45,'[10]december-2025'!$A:$A,'[10]december-2025'!$G:$G,0,0)</f>
        <v>0</v>
      </c>
      <c r="DB45">
        <f>IF(CW45&gt;0,SUM(CW45:DA45),0)</f>
        <v>67610</v>
      </c>
      <c r="DC45">
        <f>_xlfn.XLOOKUP(B45,'[10]december-2025'!$A:$A,'[10]december-2025'!$H:$H,0,0)</f>
        <v>7000</v>
      </c>
      <c r="DD45">
        <f>_xlfn.XLOOKUP(B45,'[10]december-2025'!$A:$A,'[10]december-2025'!$I:$I,0,0)</f>
        <v>0</v>
      </c>
      <c r="DE45">
        <f>IF($F45="YES",0,IF(DB45&gt;40000,200,IF(DB45&gt;25000,150,IF(DB45&gt;15000,130,IF(DB45&gt;10000,110,0)))))</f>
        <v>200</v>
      </c>
      <c r="DF45">
        <f>DB45-DC45-DD45-DE45</f>
        <v>60410</v>
      </c>
      <c r="DG45">
        <f>_xlfn.XLOOKUP(B45,'[11]january-2026'!$A:$A,'[11]january-2026'!$C:$C,0,0)</f>
        <v>51700</v>
      </c>
      <c r="DH45">
        <f>DG45*0.18</f>
        <v>9306</v>
      </c>
      <c r="DI45">
        <f>DG45*0.12</f>
        <v>6204</v>
      </c>
      <c r="DJ45">
        <f>_xlfn.XLOOKUP(B45,'[11]january-2026'!$A:$A,'[11]january-2026'!$D:$D,0,0)</f>
        <v>400</v>
      </c>
      <c r="DK45">
        <f>_xlfn.XLOOKUP(B45,'[11]january-2026'!$A:$A,'[11]january-2026'!$G:$G,0,0)</f>
        <v>0</v>
      </c>
      <c r="DL45">
        <f>IF(DG45&gt;0,SUM(DG45:DK45),0)</f>
        <v>67610</v>
      </c>
      <c r="DM45">
        <f>_xlfn.XLOOKUP(B45,'[11]january-2026'!$A:$A,'[11]january-2026'!$H:$H,0,0)</f>
        <v>7000</v>
      </c>
      <c r="DN45">
        <f>_xlfn.XLOOKUP(B45,'[11]january-2026'!$A:$A,'[11]january-2026'!$I:$I,0,0)</f>
        <v>0</v>
      </c>
      <c r="DO45">
        <f>IF($F45="YES",0,IF(DL45&gt;40000,200,IF(DL45&gt;25000,150,IF(DL45&gt;15000,130,IF(DL45&gt;10000,110,0)))))</f>
        <v>200</v>
      </c>
      <c r="DP45">
        <f>DL45-DM45-DN45-DO45</f>
        <v>60410</v>
      </c>
      <c r="DQ45">
        <f>_xlfn.XLOOKUP(B45,'[12]february-2026'!$A:$A,'[12]february-2026'!$C:$C,0,0)</f>
        <v>51700</v>
      </c>
      <c r="DR45">
        <f>DQ45*0.18</f>
        <v>9306</v>
      </c>
      <c r="DS45">
        <f>DQ45*0.12</f>
        <v>6204</v>
      </c>
      <c r="DT45">
        <f>_xlfn.XLOOKUP(B45,'[12]february-2026'!$A:$A,'[12]february-2026'!$D:$D,0,0)</f>
        <v>400</v>
      </c>
      <c r="DU45">
        <f>_xlfn.XLOOKUP(B45,'[12]february-2026'!$A:$A,'[12]february-2026'!$G:$G,0,0)</f>
        <v>0</v>
      </c>
      <c r="DV45">
        <f>IF(DQ45&gt;0,SUM(DQ45:DU45),0)</f>
        <v>67610</v>
      </c>
      <c r="DW45">
        <f>_xlfn.XLOOKUP(B45,'[12]february-2026'!$A:$A,'[12]february-2026'!$H:$H,0,0)</f>
        <v>7000</v>
      </c>
      <c r="DX45">
        <f>_xlfn.XLOOKUP(B45,'[12]february-2026'!$A:$A,'[12]february-2026'!$I:$I,0,0)</f>
        <v>0</v>
      </c>
      <c r="DY45">
        <f>IF($F45="YES",0,IF(DV45&gt;40000,200,IF(DV45&gt;25000,150,IF(DV45&gt;15000,130,IF(DV45&gt;10000,110,0)))))</f>
        <v>200</v>
      </c>
      <c r="DZ45">
        <f>DV45-DW45-DX45-DY45</f>
        <v>60410</v>
      </c>
      <c r="EA45">
        <f>DV45+DL45+DB45+CR45+CH45+BX45+BN45+BD45+AS45+AI45+Y45+O45+H45+I45</f>
        <v>800572</v>
      </c>
      <c r="EB45">
        <f>DY45+DO45+DE45+CU45+CK45+CA45+BQ45+BG45+AV45+AL45+AB45+R45</f>
        <v>2400</v>
      </c>
      <c r="EC45">
        <f>IF(EA45&gt;0,50000,0)</f>
        <v>50000</v>
      </c>
      <c r="ED45">
        <v>0</v>
      </c>
      <c r="EE45">
        <f>EA45-EB45-EC45</f>
        <v>748172</v>
      </c>
      <c r="EF45">
        <f>DW45+DM45+DC45+CS45+CI45+BY45+BO45+BE45+AT45+AJ45+Z45+P45</f>
        <v>84000</v>
      </c>
      <c r="EG45">
        <f>DX45+DN45+DD45+CT45+CJ45+BZ45+BP45+BF45+AU45+AK45+AA45+Q45</f>
        <v>0</v>
      </c>
      <c r="EH45">
        <v>0</v>
      </c>
      <c r="EI45">
        <v>0</v>
      </c>
      <c r="EJ45">
        <v>0</v>
      </c>
      <c r="EK45">
        <v>0</v>
      </c>
      <c r="EL45">
        <v>0</v>
      </c>
      <c r="EM45">
        <v>0</v>
      </c>
      <c r="EN45">
        <v>0</v>
      </c>
      <c r="EO45">
        <v>0</v>
      </c>
      <c r="EP45">
        <v>0</v>
      </c>
      <c r="EQ45">
        <v>0</v>
      </c>
      <c r="ER45">
        <f>SUM(EF45:EQ45)</f>
        <v>84000</v>
      </c>
      <c r="ES45">
        <f>IF(ER45&gt;=150000,150000,ER45)</f>
        <v>84000</v>
      </c>
      <c r="ET45">
        <f>EE45-ES45</f>
        <v>664172</v>
      </c>
      <c r="EU45">
        <v>0</v>
      </c>
      <c r="EV45">
        <v>0</v>
      </c>
      <c r="EW45">
        <v>0</v>
      </c>
      <c r="EX45">
        <v>0</v>
      </c>
      <c r="EY45">
        <v>0</v>
      </c>
      <c r="EZ45">
        <v>0</v>
      </c>
      <c r="FA45">
        <v>0</v>
      </c>
      <c r="FB45">
        <f>SUM(EU45:FA45)+(IF(F45="YES",50000,0))</f>
        <v>0</v>
      </c>
      <c r="FC45">
        <f>ET45-FB45</f>
        <v>664172</v>
      </c>
      <c r="FD45">
        <f>ROUND(IF(FC45&gt;0,IF(FC45&gt;500000,12500,(FC45-250000)*0.05),0),0)</f>
        <v>12500</v>
      </c>
      <c r="FE45">
        <f>IF(ROUND(IF(FC45&gt;0,IF(FC45&gt;1000000,25000,(FC45-500000)*0.2),0),0)&lt;0,0,ROUND(IF(FC45&gt;0,IF(FC45&gt;1000000,25000,(FC45-500000)*0.2),0),0))</f>
        <v>32834</v>
      </c>
      <c r="FF45">
        <f>FD45+FE45</f>
        <v>45334</v>
      </c>
      <c r="FG45">
        <f>IF(FF45&lt;12500,0,FF45)</f>
        <v>45334</v>
      </c>
      <c r="FH45">
        <f>FG45*0.04</f>
        <v>1813.3600000000001</v>
      </c>
      <c r="FI45">
        <f>ROUND(FH45+FG45,0)</f>
        <v>47147</v>
      </c>
      <c r="FJ45">
        <v>0</v>
      </c>
      <c r="FK45">
        <f>FI45-FJ45</f>
        <v>47147</v>
      </c>
      <c r="FL45" t="b">
        <f>IF(EA45&gt;500000,TRUE,FALSE)</f>
        <v>1</v>
      </c>
      <c r="FM45">
        <f ca="1">IF(FL45,RANDBETWEEN(500,1000),RANDBETWEEN(1000,3000))</f>
        <v>658</v>
      </c>
      <c r="FN45">
        <f ca="1">EA45+FM45</f>
        <v>801230</v>
      </c>
      <c r="FO45">
        <f>IF(EA45&gt;0,75000,0)</f>
        <v>75000</v>
      </c>
      <c r="FP45">
        <f ca="1">FN45-FO45</f>
        <v>726230</v>
      </c>
      <c r="FQ45">
        <f ca="1">IF(FP45&gt;2400000,FP45-2400000,0)</f>
        <v>0</v>
      </c>
      <c r="FR45">
        <f ca="1">FQ45*0.3</f>
        <v>0</v>
      </c>
      <c r="FS45">
        <f ca="1">IF(FP45&gt;2000000,FP45-2000000,0)</f>
        <v>0</v>
      </c>
      <c r="FT45">
        <f ca="1">FS45*0.25</f>
        <v>0</v>
      </c>
      <c r="FU45">
        <f ca="1">IF(FP45&gt;1600000,FP45-1600000-FQ45,0)</f>
        <v>0</v>
      </c>
      <c r="FV45">
        <f ca="1">FU45*0.2</f>
        <v>0</v>
      </c>
      <c r="FW45">
        <f ca="1">IF(FP45&gt;1200000,FP45-1200000-IF(F45="YES",50000,0)-FU45,0)</f>
        <v>0</v>
      </c>
      <c r="FX45">
        <f ca="1">FW45*0.15</f>
        <v>0</v>
      </c>
      <c r="FY45">
        <f ca="1">IF(FP45&gt;800000,FP45-800000-FQ45-FU45-FW45,0)</f>
        <v>0</v>
      </c>
      <c r="FZ45">
        <f ca="1">FY45*0.1</f>
        <v>0</v>
      </c>
      <c r="GA45">
        <f ca="1">IF(FP45&gt;400000,FP45-400000-FQ45-FU45-FW45-FY45,0)</f>
        <v>326230</v>
      </c>
      <c r="GB45">
        <f ca="1">GA45*0.05</f>
        <v>16311.5</v>
      </c>
      <c r="GC45">
        <f ca="1">ROUND(FR45+FT45+FV45+FX45+FZ45+GB45,0)</f>
        <v>16312</v>
      </c>
      <c r="GD45">
        <f ca="1">IF(FP45&gt;1200000,FP45,0)</f>
        <v>0</v>
      </c>
      <c r="GE45">
        <f ca="1">IF(FP45&gt;1200000,GD45-1200000,0)</f>
        <v>0</v>
      </c>
      <c r="GF45">
        <f ca="1">IF(FP45&lt;1200001,MIN(GC45,60000),0)</f>
        <v>16312</v>
      </c>
      <c r="GG45">
        <f ca="1">IF(FP45&gt;1200000,GC45-GE45,0)</f>
        <v>0</v>
      </c>
      <c r="GH45" t="b">
        <f ca="1">IF(GG45&gt;0,TRUE,FALSE)</f>
        <v>0</v>
      </c>
      <c r="GI45">
        <f ca="1">IF(GH45,GG45,0)</f>
        <v>0</v>
      </c>
      <c r="GJ45">
        <f ca="1">GF45+GI45</f>
        <v>16312</v>
      </c>
      <c r="GK45">
        <f ca="1">ROUND(GC45-GJ45,0)</f>
        <v>0</v>
      </c>
      <c r="GL45">
        <f ca="1">GK45*0.04</f>
        <v>0</v>
      </c>
      <c r="GM45">
        <f ca="1">ROUNDUP(GK45+GL45,0)</f>
        <v>0</v>
      </c>
    </row>
    <row r="46" spans="1:195" x14ac:dyDescent="0.25">
      <c r="A46">
        <f>_xlfn.AGGREGATE(3,5,$B$2:B46)</f>
        <v>45</v>
      </c>
      <c r="B46" t="s">
        <v>210</v>
      </c>
      <c r="C46" t="s">
        <v>211</v>
      </c>
      <c r="D46" t="s">
        <v>764</v>
      </c>
      <c r="E46" t="s">
        <v>833</v>
      </c>
      <c r="F46" t="s">
        <v>959</v>
      </c>
      <c r="G46" t="s">
        <v>880</v>
      </c>
      <c r="H46">
        <f>IF(_xlfn.DAYS("31-03-2025",G46)&gt;=180,6800,0)</f>
        <v>6800</v>
      </c>
      <c r="I46">
        <f>_xlfn.XLOOKUP(B46,'[1]march-2025'!$A:$A,'[1]march-2025'!$J:$J,0,0)</f>
        <v>0</v>
      </c>
      <c r="J46">
        <f>_xlfn.XLOOKUP(B46,'[1]march-2025'!$A:$A,'[1]march-2025'!$C:$C,0,0)</f>
        <v>34500</v>
      </c>
      <c r="K46">
        <f>J46*0.14</f>
        <v>4830.0000000000009</v>
      </c>
      <c r="L46">
        <f>J46*0.12</f>
        <v>4140</v>
      </c>
      <c r="M46">
        <f>_xlfn.XLOOKUP(B46,'[1]march-2025'!$A:$A,'[1]march-2025'!$D:$D,0,0)</f>
        <v>0</v>
      </c>
      <c r="N46">
        <f>_xlfn.XLOOKUP(B46,'[1]march-2025'!$A:$A,'[1]march-2025'!$G:$G,0,0)</f>
        <v>500</v>
      </c>
      <c r="O46">
        <f>IF(J46&gt;0,SUM(J46:N46),0)</f>
        <v>43970</v>
      </c>
      <c r="P46">
        <f>_xlfn.XLOOKUP(B46,'[1]march-2025'!$A:$A,'[1]march-2025'!$H:$H,0,0)</f>
        <v>5000</v>
      </c>
      <c r="Q46">
        <f>_xlfn.XLOOKUP(B46,'[1]march-2025'!$A:$A,'[1]march-2025'!$I:$I,0,0)</f>
        <v>0</v>
      </c>
      <c r="R46">
        <f>IF($F46="YES",0,IF(O46&gt;40000,200,IF(O46&gt;25000,150,IF(O46&gt;15000,130,IF(O46&gt;10000,110,0)))))</f>
        <v>200</v>
      </c>
      <c r="S46">
        <f>O46-P46-Q46-R46</f>
        <v>38770</v>
      </c>
      <c r="T46">
        <f>_xlfn.XLOOKUP(B46,'[2]april-2025'!$A:$A,'[2]april-2025'!$C:$C,0,0)</f>
        <v>34500</v>
      </c>
      <c r="U46">
        <f>T46*0.18</f>
        <v>6210</v>
      </c>
      <c r="V46">
        <f>T46*0.12</f>
        <v>4140</v>
      </c>
      <c r="W46">
        <f>_xlfn.XLOOKUP(B46,'[2]april-2025'!$A:$A,'[2]april-2025'!$D:$D,0,0)</f>
        <v>0</v>
      </c>
      <c r="X46">
        <f>_xlfn.XLOOKUP(B46,'[2]april-2025'!$A:$A,'[2]april-2025'!$G:$G,0,0)</f>
        <v>500</v>
      </c>
      <c r="Y46">
        <f>IF(T46&gt;0,SUM(T46:X46),0)</f>
        <v>45350</v>
      </c>
      <c r="Z46">
        <f>_xlfn.XLOOKUP(B46,'[2]april-2025'!$A:$A,'[2]april-2025'!$H:$H,0,0)</f>
        <v>5000</v>
      </c>
      <c r="AA46">
        <f>_xlfn.XLOOKUP(B46,'[2]april-2025'!$A:$A,'[2]april-2025'!$I:$I,0,0)</f>
        <v>0</v>
      </c>
      <c r="AB46">
        <f>IF($F46="YES",0,IF(Y46&gt;40000,200,IF(Y46&gt;25000,150,IF(Y46&gt;15000,130,IF(Y46&gt;10000,110,0)))))</f>
        <v>200</v>
      </c>
      <c r="AC46">
        <f>Y46-Z46-AA46-AB46</f>
        <v>40150</v>
      </c>
      <c r="AD46">
        <f>_xlfn.XLOOKUP(B46,'[3]may-2025'!$A:$A,'[3]may-2025'!$C:$C,0,0)</f>
        <v>34500</v>
      </c>
      <c r="AE46">
        <f>AD46*0.18</f>
        <v>6210</v>
      </c>
      <c r="AF46">
        <f>AD46*0.12</f>
        <v>4140</v>
      </c>
      <c r="AG46">
        <f>_xlfn.XLOOKUP(B46,'[3]may-2025'!$A:$A,'[3]may-2025'!$D:$D,0,0)</f>
        <v>0</v>
      </c>
      <c r="AH46">
        <f>_xlfn.XLOOKUP(B46,'[3]may-2025'!$A:$A,'[3]may-2025'!$G:$G,0,0)</f>
        <v>500</v>
      </c>
      <c r="AI46">
        <f>IF(AD46&gt;0,SUM(AD46:AH46),0)</f>
        <v>45350</v>
      </c>
      <c r="AJ46">
        <f>_xlfn.XLOOKUP(B46,'[3]may-2025'!$A:$A,'[3]may-2025'!$H:$H,0,0)</f>
        <v>5000</v>
      </c>
      <c r="AK46">
        <f>_xlfn.XLOOKUP(B46,'[3]may-2025'!$A:$A,'[3]may-2025'!$I:$I,0,0)</f>
        <v>0</v>
      </c>
      <c r="AL46">
        <f>IF($F46="YES",0,IF(AI46&gt;40000,200,IF(AI46&gt;25000,150,IF(AI46&gt;15000,130,IF(AI46&gt;10000,110,0)))))</f>
        <v>200</v>
      </c>
      <c r="AM46">
        <f>AI46-AJ46-AK46-AL46</f>
        <v>40150</v>
      </c>
      <c r="AN46">
        <f>_xlfn.XLOOKUP(B46,'[4]june-2025'!$A:$A,'[4]june-2025'!$C:$C,0,0)</f>
        <v>34500</v>
      </c>
      <c r="AO46">
        <f>AN46*0.18</f>
        <v>6210</v>
      </c>
      <c r="AP46">
        <f>AN46*0.12</f>
        <v>4140</v>
      </c>
      <c r="AQ46">
        <f>_xlfn.XLOOKUP(B46,'[4]june-2025'!$A:$A,'[4]june-2025'!$D:$D,0,0)</f>
        <v>0</v>
      </c>
      <c r="AR46">
        <f>_xlfn.XLOOKUP(B46,'[4]june-2025'!$A:$A,'[4]june-2025'!$G:$G,0,0)</f>
        <v>500</v>
      </c>
      <c r="AS46">
        <f>IF(AN46&gt;0,SUM(AN46:AR46),0)</f>
        <v>45350</v>
      </c>
      <c r="AT46">
        <f>_xlfn.XLOOKUP(B46,'[4]june-2025'!$A:$A,'[4]june-2025'!$H:$H,0,0)</f>
        <v>5000</v>
      </c>
      <c r="AU46">
        <f>_xlfn.XLOOKUP(B46,'[4]june-2025'!$A:$A,'[4]june-2025'!$I:$I,0,0)</f>
        <v>0</v>
      </c>
      <c r="AV46">
        <f>IF($F46="YES",0,IF(AS46&gt;40000,200,IF(AS46&gt;25000,150,IF(AS46&gt;15000,130,IF(AS46&gt;10000,110,0)))))</f>
        <v>200</v>
      </c>
      <c r="AW46">
        <f>AS46-AT46-AU46-AV46</f>
        <v>40150</v>
      </c>
      <c r="AX46">
        <f>_xlfn.XLOOKUP(B46,'[5]july-2025'!$A:$A,'[5]july-2025'!$C:$C,0,0)</f>
        <v>35500</v>
      </c>
      <c r="AY46">
        <f>AX46*0.18</f>
        <v>6390</v>
      </c>
      <c r="AZ46">
        <v>0</v>
      </c>
      <c r="BA46">
        <f>AX46*0.12</f>
        <v>4260</v>
      </c>
      <c r="BB46">
        <f>_xlfn.XLOOKUP(B46,'[5]july-2025'!$A:$A,'[5]july-2025'!$D:$D,0,0)</f>
        <v>0</v>
      </c>
      <c r="BC46">
        <f>_xlfn.XLOOKUP(B46,'[5]july-2025'!$A:$A,'[5]july-2025'!$G:$G,0,0)</f>
        <v>500</v>
      </c>
      <c r="BD46">
        <f>IF(AX46&gt;0,SUM(AX46:BC46),0)</f>
        <v>46650</v>
      </c>
      <c r="BE46">
        <f>_xlfn.XLOOKUP(B46,'[5]july-2025'!$A:$A,'[5]july-2025'!$H:$H,0,0)</f>
        <v>5000</v>
      </c>
      <c r="BF46">
        <f>_xlfn.XLOOKUP(B46,'[5]july-2025'!$A:$A,'[5]july-2025'!$I:$I,0,0)</f>
        <v>0</v>
      </c>
      <c r="BG46">
        <f>IF($F46="YES",0,IF(BD46&gt;40000,200,IF(BD46&gt;25000,150,IF(BD46&gt;15000,130,IF(BD46&gt;10000,110,0)))))</f>
        <v>200</v>
      </c>
      <c r="BH46">
        <f>BD46-BE46-BF46-BG46</f>
        <v>41450</v>
      </c>
      <c r="BI46">
        <f>_xlfn.XLOOKUP(B46,'[6]august-2025'!$A:$A,'[6]august-2025'!$C:$C,0,0)</f>
        <v>35500</v>
      </c>
      <c r="BJ46">
        <f>BI46*0.18</f>
        <v>6390</v>
      </c>
      <c r="BK46">
        <f>BI46*0.12</f>
        <v>4260</v>
      </c>
      <c r="BL46">
        <f>_xlfn.XLOOKUP(B46,'[6]august-2025'!$A:$A,'[6]august-2025'!$D:$D,0,0)</f>
        <v>0</v>
      </c>
      <c r="BM46">
        <f>_xlfn.XLOOKUP(B46,'[6]august-2025'!$A:$A,'[6]august-2025'!$G:$G,0,0)</f>
        <v>500</v>
      </c>
      <c r="BN46">
        <f>IF(BI46&gt;0,SUM(BI46:BM46),0)</f>
        <v>46650</v>
      </c>
      <c r="BO46">
        <f>_xlfn.XLOOKUP(B46,'[6]august-2025'!$A:$A,'[6]august-2025'!$H:$H,0,0)</f>
        <v>5000</v>
      </c>
      <c r="BP46">
        <f>_xlfn.XLOOKUP(B46,'[6]august-2025'!$A:$A,'[6]august-2025'!$I:$I,0,0)</f>
        <v>0</v>
      </c>
      <c r="BQ46">
        <f>IF($F46="YES",0,IF(BN46&gt;40000,200,IF(BN46&gt;25000,150,IF(BN46&gt;15000,130,IF(BN46&gt;10000,110,0)))))</f>
        <v>200</v>
      </c>
      <c r="BR46">
        <f>BN46-BO46-BP46-BQ46</f>
        <v>41450</v>
      </c>
      <c r="BS46">
        <f>_xlfn.XLOOKUP(B46,'[7]september-2025'!$A:$A,'[7]september-2025'!$C:$C,0,0)</f>
        <v>35500</v>
      </c>
      <c r="BT46">
        <f>BS46*0.18</f>
        <v>6390</v>
      </c>
      <c r="BU46">
        <f>BS46*0.12</f>
        <v>4260</v>
      </c>
      <c r="BV46">
        <f>_xlfn.XLOOKUP(B46,'[7]september-2025'!$A:$A,'[7]september-2025'!$D:$D,0,0)</f>
        <v>0</v>
      </c>
      <c r="BW46">
        <f>_xlfn.XLOOKUP(B46,'[7]september-2025'!$A:$A,'[7]september-2025'!$G:$G,0,0)</f>
        <v>500</v>
      </c>
      <c r="BX46">
        <f>IF(BS46&gt;0,SUM(BS46:BW46),0)</f>
        <v>46650</v>
      </c>
      <c r="BY46">
        <f>_xlfn.XLOOKUP(B46,'[7]september-2025'!$A:$A,'[7]september-2025'!$H:$H,0,0)</f>
        <v>5000</v>
      </c>
      <c r="BZ46">
        <f>_xlfn.XLOOKUP(B46,'[7]september-2025'!$A:$A,'[7]september-2025'!$I:$I,0,0)</f>
        <v>0</v>
      </c>
      <c r="CA46">
        <f>IF($F46="YES",0,IF(BX46&gt;40000,200,IF(BX46&gt;25000,150,IF(BX46&gt;15000,130,IF(BX46&gt;10000,110,0)))))</f>
        <v>200</v>
      </c>
      <c r="CB46">
        <f>BX46-BY46-BZ46-CA46</f>
        <v>41450</v>
      </c>
      <c r="CC46">
        <f>_xlfn.XLOOKUP(B46,'[8]october-2025'!$A:$A,'[8]october-2025'!$C:$C,0,0)</f>
        <v>35500</v>
      </c>
      <c r="CD46">
        <f>CC46*0.18</f>
        <v>6390</v>
      </c>
      <c r="CE46">
        <f>CC46*0.12</f>
        <v>4260</v>
      </c>
      <c r="CF46">
        <f>_xlfn.XLOOKUP(B46,'[8]october-2025'!$A:$A,'[8]october-2025'!$D:$D,0,0)</f>
        <v>0</v>
      </c>
      <c r="CG46">
        <f>_xlfn.XLOOKUP(B46,'[8]october-2025'!$A:$A,'[8]october-2025'!$G:$G,0,0)</f>
        <v>500</v>
      </c>
      <c r="CH46">
        <f>IF(CC46&gt;0,SUM(CC46:CG46),0)</f>
        <v>46650</v>
      </c>
      <c r="CI46">
        <f>_xlfn.XLOOKUP(B46,'[8]october-2025'!$A:$A,'[8]october-2025'!$H:$H,0,0)</f>
        <v>5000</v>
      </c>
      <c r="CJ46">
        <f>_xlfn.XLOOKUP(B46,'[8]october-2025'!$A:$A,'[8]october-2025'!$I:$I,0,0)</f>
        <v>0</v>
      </c>
      <c r="CK46">
        <f>IF($F46="YES",0,IF(CH46&gt;40000,200,IF(CH46&gt;25000,150,IF(CH46&gt;15000,130,IF(CH46&gt;10000,110,0)))))</f>
        <v>200</v>
      </c>
      <c r="CL46">
        <f>CH46-CI46-CJ46-CK46</f>
        <v>41450</v>
      </c>
      <c r="CM46">
        <f>_xlfn.XLOOKUP(B46,'[9]november-2025'!$A:$A,'[9]november-2025'!$C:$C,0,0)</f>
        <v>35500</v>
      </c>
      <c r="CN46">
        <f>CM46*0.18</f>
        <v>6390</v>
      </c>
      <c r="CO46">
        <f>CM46*0.12</f>
        <v>4260</v>
      </c>
      <c r="CP46">
        <f>_xlfn.XLOOKUP(B46,'[9]november-2025'!$A:$A,'[9]november-2025'!$D:$D,0,0)</f>
        <v>0</v>
      </c>
      <c r="CQ46">
        <f>_xlfn.XLOOKUP(B46,'[9]november-2025'!$A:$A,'[9]november-2025'!$G:$G,0,0)</f>
        <v>500</v>
      </c>
      <c r="CR46">
        <f>IF(CM46&gt;0,SUM(CM46:CQ46),0)</f>
        <v>46650</v>
      </c>
      <c r="CS46">
        <f>_xlfn.XLOOKUP(B46,'[9]november-2025'!$A:$A,'[9]november-2025'!$H:$H,0,0)</f>
        <v>5000</v>
      </c>
      <c r="CT46">
        <f>_xlfn.XLOOKUP(B46,'[9]november-2025'!$A:$A,'[9]november-2025'!$I:$I,0,0)</f>
        <v>0</v>
      </c>
      <c r="CU46">
        <f>IF($F46="YES",0,IF(CR46&gt;40000,200,IF(CR46&gt;25000,150,IF(CR46&gt;15000,130,IF(CR46&gt;10000,110,0)))))</f>
        <v>200</v>
      </c>
      <c r="CV46">
        <f>CR46-CS46-CT46-CU46</f>
        <v>41450</v>
      </c>
      <c r="CW46">
        <f>_xlfn.XLOOKUP(B46,'[10]december-2025'!$A:$A,'[10]december-2025'!$C:$C,0,0)</f>
        <v>35500</v>
      </c>
      <c r="CX46">
        <f>ROUND(CW46*0.18,0)</f>
        <v>6390</v>
      </c>
      <c r="CY46">
        <f>ROUND(CW46*0.12,0)</f>
        <v>4260</v>
      </c>
      <c r="CZ46">
        <f>_xlfn.XLOOKUP(B46,'[10]december-2025'!$A:$A,'[10]december-2025'!$D:$D,0,0)</f>
        <v>0</v>
      </c>
      <c r="DA46">
        <f>_xlfn.XLOOKUP(B46,'[10]december-2025'!$A:$A,'[10]december-2025'!$G:$G,0,0)</f>
        <v>500</v>
      </c>
      <c r="DB46">
        <f>IF(CW46&gt;0,SUM(CW46:DA46),0)</f>
        <v>46650</v>
      </c>
      <c r="DC46">
        <f>_xlfn.XLOOKUP(B46,'[10]december-2025'!$A:$A,'[10]december-2025'!$H:$H,0,0)</f>
        <v>5000</v>
      </c>
      <c r="DD46">
        <f>_xlfn.XLOOKUP(B46,'[10]december-2025'!$A:$A,'[10]december-2025'!$I:$I,0,0)</f>
        <v>0</v>
      </c>
      <c r="DE46">
        <f>IF($F46="YES",0,IF(DB46&gt;40000,200,IF(DB46&gt;25000,150,IF(DB46&gt;15000,130,IF(DB46&gt;10000,110,0)))))</f>
        <v>200</v>
      </c>
      <c r="DF46">
        <f>DB46-DC46-DD46-DE46</f>
        <v>41450</v>
      </c>
      <c r="DG46">
        <f>_xlfn.XLOOKUP(B46,'[11]january-2026'!$A:$A,'[11]january-2026'!$C:$C,0,0)</f>
        <v>35500</v>
      </c>
      <c r="DH46">
        <f>DG46*0.18</f>
        <v>6390</v>
      </c>
      <c r="DI46">
        <f>DG46*0.12</f>
        <v>4260</v>
      </c>
      <c r="DJ46">
        <f>_xlfn.XLOOKUP(B46,'[11]january-2026'!$A:$A,'[11]january-2026'!$D:$D,0,0)</f>
        <v>0</v>
      </c>
      <c r="DK46">
        <f>_xlfn.XLOOKUP(B46,'[11]january-2026'!$A:$A,'[11]january-2026'!$G:$G,0,0)</f>
        <v>500</v>
      </c>
      <c r="DL46">
        <f>IF(DG46&gt;0,SUM(DG46:DK46),0)</f>
        <v>46650</v>
      </c>
      <c r="DM46">
        <f>_xlfn.XLOOKUP(B46,'[11]january-2026'!$A:$A,'[11]january-2026'!$H:$H,0,0)</f>
        <v>5000</v>
      </c>
      <c r="DN46">
        <f>_xlfn.XLOOKUP(B46,'[11]january-2026'!$A:$A,'[11]january-2026'!$I:$I,0,0)</f>
        <v>0</v>
      </c>
      <c r="DO46">
        <f>IF($F46="YES",0,IF(DL46&gt;40000,200,IF(DL46&gt;25000,150,IF(DL46&gt;15000,130,IF(DL46&gt;10000,110,0)))))</f>
        <v>200</v>
      </c>
      <c r="DP46">
        <f>DL46-DM46-DN46-DO46</f>
        <v>41450</v>
      </c>
      <c r="DQ46">
        <f>_xlfn.XLOOKUP(B46,'[12]february-2026'!$A:$A,'[12]february-2026'!$C:$C,0,0)</f>
        <v>35500</v>
      </c>
      <c r="DR46">
        <f>DQ46*0.18</f>
        <v>6390</v>
      </c>
      <c r="DS46">
        <f>DQ46*0.12</f>
        <v>4260</v>
      </c>
      <c r="DT46">
        <f>_xlfn.XLOOKUP(B46,'[12]february-2026'!$A:$A,'[12]february-2026'!$D:$D,0,0)</f>
        <v>0</v>
      </c>
      <c r="DU46">
        <f>_xlfn.XLOOKUP(B46,'[12]february-2026'!$A:$A,'[12]february-2026'!$G:$G,0,0)</f>
        <v>500</v>
      </c>
      <c r="DV46">
        <f>IF(DQ46&gt;0,SUM(DQ46:DU46),0)</f>
        <v>46650</v>
      </c>
      <c r="DW46">
        <f>_xlfn.XLOOKUP(B46,'[12]february-2026'!$A:$A,'[12]february-2026'!$H:$H,0,0)</f>
        <v>5000</v>
      </c>
      <c r="DX46">
        <f>_xlfn.XLOOKUP(B46,'[12]february-2026'!$A:$A,'[12]february-2026'!$I:$I,0,0)</f>
        <v>0</v>
      </c>
      <c r="DY46">
        <f>IF($F46="YES",0,IF(DV46&gt;40000,200,IF(DV46&gt;25000,150,IF(DV46&gt;15000,130,IF(DV46&gt;10000,110,0)))))</f>
        <v>200</v>
      </c>
      <c r="DZ46">
        <f>DV46-DW46-DX46-DY46</f>
        <v>41450</v>
      </c>
      <c r="EA46">
        <f>DV46+DL46+DB46+CR46+CH46+BX46+BN46+BD46+AS46+AI46+Y46+O46+H46+I46</f>
        <v>560020</v>
      </c>
      <c r="EB46">
        <f>DY46+DO46+DE46+CU46+CK46+CA46+BQ46+BG46+AV46+AL46+AB46+R46</f>
        <v>2400</v>
      </c>
      <c r="EC46">
        <f>IF(EA46&gt;0,50000,0)</f>
        <v>50000</v>
      </c>
      <c r="ED46">
        <v>0</v>
      </c>
      <c r="EE46">
        <f>EA46-EB46-EC46</f>
        <v>507620</v>
      </c>
      <c r="EF46">
        <f>DW46+DM46+DC46+CS46+CI46+BY46+BO46+BE46+AT46+AJ46+Z46+P46</f>
        <v>60000</v>
      </c>
      <c r="EG46">
        <f>DX46+DN46+DD46+CT46+CJ46+BZ46+BP46+BF46+AU46+AK46+AA46+Q46</f>
        <v>0</v>
      </c>
      <c r="EH46">
        <v>0</v>
      </c>
      <c r="EI46">
        <v>0</v>
      </c>
      <c r="EJ46">
        <v>0</v>
      </c>
      <c r="EK46">
        <v>0</v>
      </c>
      <c r="EL46">
        <v>0</v>
      </c>
      <c r="EM46">
        <v>0</v>
      </c>
      <c r="EN46">
        <v>0</v>
      </c>
      <c r="EO46">
        <v>0</v>
      </c>
      <c r="EP46">
        <v>0</v>
      </c>
      <c r="EQ46">
        <v>0</v>
      </c>
      <c r="ER46">
        <f>SUM(EF46:EQ46)</f>
        <v>60000</v>
      </c>
      <c r="ES46">
        <f>IF(ER46&gt;=150000,150000,ER46)</f>
        <v>60000</v>
      </c>
      <c r="ET46">
        <f>EE46-ES46</f>
        <v>447620</v>
      </c>
      <c r="EU46">
        <v>0</v>
      </c>
      <c r="EV46">
        <v>0</v>
      </c>
      <c r="EW46">
        <v>0</v>
      </c>
      <c r="EX46">
        <v>0</v>
      </c>
      <c r="EY46">
        <v>0</v>
      </c>
      <c r="EZ46">
        <v>0</v>
      </c>
      <c r="FA46">
        <v>0</v>
      </c>
      <c r="FB46">
        <f>SUM(EU46:FA46)+(IF(F46="YES",50000,0))</f>
        <v>0</v>
      </c>
      <c r="FC46">
        <f>ET46-FB46</f>
        <v>447620</v>
      </c>
      <c r="FD46">
        <f>ROUND(IF(FC46&gt;0,IF(FC46&gt;500000,12500,(FC46-250000)*0.05),0),0)</f>
        <v>9881</v>
      </c>
      <c r="FE46">
        <f>IF(ROUND(IF(FC46&gt;0,IF(FC46&gt;1000000,25000,(FC46-500000)*0.2),0),0)&lt;0,0,ROUND(IF(FC46&gt;0,IF(FC46&gt;1000000,25000,(FC46-500000)*0.2),0),0))</f>
        <v>0</v>
      </c>
      <c r="FF46">
        <f>FD46+FE46</f>
        <v>9881</v>
      </c>
      <c r="FG46">
        <f>IF(FF46&lt;12500,0,FF46)</f>
        <v>0</v>
      </c>
      <c r="FH46">
        <f>FG46*0.04</f>
        <v>0</v>
      </c>
      <c r="FI46">
        <f>ROUND(FH46+FG46,0)</f>
        <v>0</v>
      </c>
      <c r="FJ46">
        <v>0</v>
      </c>
      <c r="FK46">
        <f>FI46-FJ46</f>
        <v>0</v>
      </c>
      <c r="FL46" t="b">
        <f>IF(EA46&gt;500000,TRUE,FALSE)</f>
        <v>1</v>
      </c>
      <c r="FM46">
        <f ca="1">IF(FL46,RANDBETWEEN(500,1000),RANDBETWEEN(1000,3000))</f>
        <v>905</v>
      </c>
      <c r="FN46">
        <f ca="1">EA46+FM46</f>
        <v>560925</v>
      </c>
      <c r="FO46">
        <f>IF(EA46&gt;0,75000,0)</f>
        <v>75000</v>
      </c>
      <c r="FP46">
        <f ca="1">FN46-FO46</f>
        <v>485925</v>
      </c>
      <c r="FQ46">
        <f ca="1">IF(FP46&gt;2400000,FP46-2400000,0)</f>
        <v>0</v>
      </c>
      <c r="FR46">
        <f ca="1">FQ46*0.3</f>
        <v>0</v>
      </c>
      <c r="FS46">
        <f ca="1">IF(FP46&gt;2000000,FP46-2000000,0)</f>
        <v>0</v>
      </c>
      <c r="FT46">
        <f ca="1">FS46*0.25</f>
        <v>0</v>
      </c>
      <c r="FU46">
        <f ca="1">IF(FP46&gt;1600000,FP46-1600000-FQ46,0)</f>
        <v>0</v>
      </c>
      <c r="FV46">
        <f ca="1">FU46*0.2</f>
        <v>0</v>
      </c>
      <c r="FW46">
        <f ca="1">IF(FP46&gt;1200000,FP46-1200000-IF(F46="YES",50000,0)-FU46,0)</f>
        <v>0</v>
      </c>
      <c r="FX46">
        <f ca="1">FW46*0.15</f>
        <v>0</v>
      </c>
      <c r="FY46">
        <f ca="1">IF(FP46&gt;800000,FP46-800000-FQ46-FU46-FW46,0)</f>
        <v>0</v>
      </c>
      <c r="FZ46">
        <f ca="1">FY46*0.1</f>
        <v>0</v>
      </c>
      <c r="GA46">
        <f ca="1">IF(FP46&gt;400000,FP46-400000-FQ46-FU46-FW46-FY46,0)</f>
        <v>85925</v>
      </c>
      <c r="GB46">
        <f ca="1">GA46*0.05</f>
        <v>4296.25</v>
      </c>
      <c r="GC46">
        <f ca="1">ROUND(FR46+FT46+FV46+FX46+FZ46+GB46,0)</f>
        <v>4296</v>
      </c>
      <c r="GD46">
        <f ca="1">IF(FP46&gt;1200000,FP46,0)</f>
        <v>0</v>
      </c>
      <c r="GE46">
        <f ca="1">IF(FP46&gt;1200000,GD46-1200000,0)</f>
        <v>0</v>
      </c>
      <c r="GF46">
        <f ca="1">IF(FP46&lt;1200001,MIN(GC46,60000),0)</f>
        <v>4296</v>
      </c>
      <c r="GG46">
        <f ca="1">IF(FP46&gt;1200000,GC46-GE46,0)</f>
        <v>0</v>
      </c>
      <c r="GH46" t="b">
        <f ca="1">IF(GG46&gt;0,TRUE,FALSE)</f>
        <v>0</v>
      </c>
      <c r="GI46">
        <f ca="1">IF(GH46,GG46,0)</f>
        <v>0</v>
      </c>
      <c r="GJ46">
        <f ca="1">GF46+GI46</f>
        <v>4296</v>
      </c>
      <c r="GK46">
        <f ca="1">ROUND(GC46-GJ46,0)</f>
        <v>0</v>
      </c>
      <c r="GL46">
        <f ca="1">GK46*0.04</f>
        <v>0</v>
      </c>
      <c r="GM46">
        <f ca="1">ROUNDUP(GK46+GL46,0)</f>
        <v>0</v>
      </c>
    </row>
    <row r="47" spans="1:195" x14ac:dyDescent="0.25">
      <c r="A47">
        <f>_xlfn.AGGREGATE(3,5,$B$2:B47)</f>
        <v>46</v>
      </c>
      <c r="B47" t="s">
        <v>212</v>
      </c>
      <c r="C47" t="s">
        <v>213</v>
      </c>
      <c r="D47" t="s">
        <v>764</v>
      </c>
      <c r="E47" t="s">
        <v>833</v>
      </c>
      <c r="F47" t="s">
        <v>959</v>
      </c>
      <c r="G47" t="s">
        <v>880</v>
      </c>
      <c r="H47">
        <f>IF(_xlfn.DAYS("31-03-2025",G47)&gt;=180,6800,0)</f>
        <v>6800</v>
      </c>
      <c r="I47">
        <f>_xlfn.XLOOKUP(B47,'[1]march-2025'!$A:$A,'[1]march-2025'!$J:$J,0,0)</f>
        <v>0</v>
      </c>
      <c r="J47">
        <f>_xlfn.XLOOKUP(B47,'[1]march-2025'!$A:$A,'[1]march-2025'!$C:$C,0,0)</f>
        <v>34500</v>
      </c>
      <c r="K47">
        <f>J47*0.14</f>
        <v>4830.0000000000009</v>
      </c>
      <c r="L47">
        <f>J47*0.12</f>
        <v>4140</v>
      </c>
      <c r="M47">
        <f>_xlfn.XLOOKUP(B47,'[1]march-2025'!$A:$A,'[1]march-2025'!$D:$D,0,0)</f>
        <v>0</v>
      </c>
      <c r="N47">
        <f>_xlfn.XLOOKUP(B47,'[1]march-2025'!$A:$A,'[1]march-2025'!$G:$G,0,0)</f>
        <v>500</v>
      </c>
      <c r="O47">
        <f>IF(J47&gt;0,SUM(J47:N47),0)</f>
        <v>43970</v>
      </c>
      <c r="P47">
        <f>_xlfn.XLOOKUP(B47,'[1]march-2025'!$A:$A,'[1]march-2025'!$H:$H,0,0)</f>
        <v>8000</v>
      </c>
      <c r="Q47">
        <f>_xlfn.XLOOKUP(B47,'[1]march-2025'!$A:$A,'[1]march-2025'!$I:$I,0,0)</f>
        <v>0</v>
      </c>
      <c r="R47">
        <f>IF($F47="YES",0,IF(O47&gt;40000,200,IF(O47&gt;25000,150,IF(O47&gt;15000,130,IF(O47&gt;10000,110,0)))))</f>
        <v>200</v>
      </c>
      <c r="S47">
        <f>O47-P47-Q47-R47</f>
        <v>35770</v>
      </c>
      <c r="T47">
        <f>_xlfn.XLOOKUP(B47,'[2]april-2025'!$A:$A,'[2]april-2025'!$C:$C,0,0)</f>
        <v>34500</v>
      </c>
      <c r="U47">
        <f>T47*0.18</f>
        <v>6210</v>
      </c>
      <c r="V47">
        <f>T47*0.12</f>
        <v>4140</v>
      </c>
      <c r="W47">
        <f>_xlfn.XLOOKUP(B47,'[2]april-2025'!$A:$A,'[2]april-2025'!$D:$D,0,0)</f>
        <v>0</v>
      </c>
      <c r="X47">
        <f>_xlfn.XLOOKUP(B47,'[2]april-2025'!$A:$A,'[2]april-2025'!$G:$G,0,0)</f>
        <v>500</v>
      </c>
      <c r="Y47">
        <f>IF(T47&gt;0,SUM(T47:X47),0)</f>
        <v>45350</v>
      </c>
      <c r="Z47">
        <f>_xlfn.XLOOKUP(B47,'[2]april-2025'!$A:$A,'[2]april-2025'!$H:$H,0,0)</f>
        <v>8000</v>
      </c>
      <c r="AA47">
        <f>_xlfn.XLOOKUP(B47,'[2]april-2025'!$A:$A,'[2]april-2025'!$I:$I,0,0)</f>
        <v>0</v>
      </c>
      <c r="AB47">
        <f>IF($F47="YES",0,IF(Y47&gt;40000,200,IF(Y47&gt;25000,150,IF(Y47&gt;15000,130,IF(Y47&gt;10000,110,0)))))</f>
        <v>200</v>
      </c>
      <c r="AC47">
        <f>Y47-Z47-AA47-AB47</f>
        <v>37150</v>
      </c>
      <c r="AD47">
        <f>_xlfn.XLOOKUP(B47,'[3]may-2025'!$A:$A,'[3]may-2025'!$C:$C,0,0)</f>
        <v>34500</v>
      </c>
      <c r="AE47">
        <f>AD47*0.18</f>
        <v>6210</v>
      </c>
      <c r="AF47">
        <f>AD47*0.12</f>
        <v>4140</v>
      </c>
      <c r="AG47">
        <f>_xlfn.XLOOKUP(B47,'[3]may-2025'!$A:$A,'[3]may-2025'!$D:$D,0,0)</f>
        <v>0</v>
      </c>
      <c r="AH47">
        <f>_xlfn.XLOOKUP(B47,'[3]may-2025'!$A:$A,'[3]may-2025'!$G:$G,0,0)</f>
        <v>500</v>
      </c>
      <c r="AI47">
        <f>IF(AD47&gt;0,SUM(AD47:AH47),0)</f>
        <v>45350</v>
      </c>
      <c r="AJ47">
        <f>_xlfn.XLOOKUP(B47,'[3]may-2025'!$A:$A,'[3]may-2025'!$H:$H,0,0)</f>
        <v>8000</v>
      </c>
      <c r="AK47">
        <f>_xlfn.XLOOKUP(B47,'[3]may-2025'!$A:$A,'[3]may-2025'!$I:$I,0,0)</f>
        <v>0</v>
      </c>
      <c r="AL47">
        <f>IF($F47="YES",0,IF(AI47&gt;40000,200,IF(AI47&gt;25000,150,IF(AI47&gt;15000,130,IF(AI47&gt;10000,110,0)))))</f>
        <v>200</v>
      </c>
      <c r="AM47">
        <f>AI47-AJ47-AK47-AL47</f>
        <v>37150</v>
      </c>
      <c r="AN47">
        <f>_xlfn.XLOOKUP(B47,'[4]june-2025'!$A:$A,'[4]june-2025'!$C:$C,0,0)</f>
        <v>34500</v>
      </c>
      <c r="AO47">
        <f>AN47*0.18</f>
        <v>6210</v>
      </c>
      <c r="AP47">
        <f>AN47*0.12</f>
        <v>4140</v>
      </c>
      <c r="AQ47">
        <f>_xlfn.XLOOKUP(B47,'[4]june-2025'!$A:$A,'[4]june-2025'!$D:$D,0,0)</f>
        <v>0</v>
      </c>
      <c r="AR47">
        <f>_xlfn.XLOOKUP(B47,'[4]june-2025'!$A:$A,'[4]june-2025'!$G:$G,0,0)</f>
        <v>500</v>
      </c>
      <c r="AS47">
        <f>IF(AN47&gt;0,SUM(AN47:AR47),0)</f>
        <v>45350</v>
      </c>
      <c r="AT47">
        <f>_xlfn.XLOOKUP(B47,'[4]june-2025'!$A:$A,'[4]june-2025'!$H:$H,0,0)</f>
        <v>8000</v>
      </c>
      <c r="AU47">
        <f>_xlfn.XLOOKUP(B47,'[4]june-2025'!$A:$A,'[4]june-2025'!$I:$I,0,0)</f>
        <v>0</v>
      </c>
      <c r="AV47">
        <f>IF($F47="YES",0,IF(AS47&gt;40000,200,IF(AS47&gt;25000,150,IF(AS47&gt;15000,130,IF(AS47&gt;10000,110,0)))))</f>
        <v>200</v>
      </c>
      <c r="AW47">
        <f>AS47-AT47-AU47-AV47</f>
        <v>37150</v>
      </c>
      <c r="AX47">
        <f>_xlfn.XLOOKUP(B47,'[5]july-2025'!$A:$A,'[5]july-2025'!$C:$C,0,0)</f>
        <v>35500</v>
      </c>
      <c r="AY47">
        <f>AX47*0.18</f>
        <v>6390</v>
      </c>
      <c r="AZ47">
        <v>0</v>
      </c>
      <c r="BA47">
        <f>AX47*0.12</f>
        <v>4260</v>
      </c>
      <c r="BB47">
        <f>_xlfn.XLOOKUP(B47,'[5]july-2025'!$A:$A,'[5]july-2025'!$D:$D,0,0)</f>
        <v>0</v>
      </c>
      <c r="BC47">
        <f>_xlfn.XLOOKUP(B47,'[5]july-2025'!$A:$A,'[5]july-2025'!$G:$G,0,0)</f>
        <v>500</v>
      </c>
      <c r="BD47">
        <f>IF(AX47&gt;0,SUM(AX47:BC47),0)</f>
        <v>46650</v>
      </c>
      <c r="BE47">
        <f>_xlfn.XLOOKUP(B47,'[5]july-2025'!$A:$A,'[5]july-2025'!$H:$H,0,0)</f>
        <v>8000</v>
      </c>
      <c r="BF47">
        <f>_xlfn.XLOOKUP(B47,'[5]july-2025'!$A:$A,'[5]july-2025'!$I:$I,0,0)</f>
        <v>0</v>
      </c>
      <c r="BG47">
        <f>IF($F47="YES",0,IF(BD47&gt;40000,200,IF(BD47&gt;25000,150,IF(BD47&gt;15000,130,IF(BD47&gt;10000,110,0)))))</f>
        <v>200</v>
      </c>
      <c r="BH47">
        <f>BD47-BE47-BF47-BG47</f>
        <v>38450</v>
      </c>
      <c r="BI47">
        <f>_xlfn.XLOOKUP(B47,'[6]august-2025'!$A:$A,'[6]august-2025'!$C:$C,0,0)</f>
        <v>35500</v>
      </c>
      <c r="BJ47">
        <f>BI47*0.18</f>
        <v>6390</v>
      </c>
      <c r="BK47">
        <f>BI47*0.12</f>
        <v>4260</v>
      </c>
      <c r="BL47">
        <f>_xlfn.XLOOKUP(B47,'[6]august-2025'!$A:$A,'[6]august-2025'!$D:$D,0,0)</f>
        <v>0</v>
      </c>
      <c r="BM47">
        <f>_xlfn.XLOOKUP(B47,'[6]august-2025'!$A:$A,'[6]august-2025'!$G:$G,0,0)</f>
        <v>500</v>
      </c>
      <c r="BN47">
        <f>IF(BI47&gt;0,SUM(BI47:BM47),0)</f>
        <v>46650</v>
      </c>
      <c r="BO47">
        <f>_xlfn.XLOOKUP(B47,'[6]august-2025'!$A:$A,'[6]august-2025'!$H:$H,0,0)</f>
        <v>8000</v>
      </c>
      <c r="BP47">
        <f>_xlfn.XLOOKUP(B47,'[6]august-2025'!$A:$A,'[6]august-2025'!$I:$I,0,0)</f>
        <v>0</v>
      </c>
      <c r="BQ47">
        <f>IF($F47="YES",0,IF(BN47&gt;40000,200,IF(BN47&gt;25000,150,IF(BN47&gt;15000,130,IF(BN47&gt;10000,110,0)))))</f>
        <v>200</v>
      </c>
      <c r="BR47">
        <f>BN47-BO47-BP47-BQ47</f>
        <v>38450</v>
      </c>
      <c r="BS47">
        <f>_xlfn.XLOOKUP(B47,'[7]september-2025'!$A:$A,'[7]september-2025'!$C:$C,0,0)</f>
        <v>35500</v>
      </c>
      <c r="BT47">
        <f>BS47*0.18</f>
        <v>6390</v>
      </c>
      <c r="BU47">
        <f>BS47*0.12</f>
        <v>4260</v>
      </c>
      <c r="BV47">
        <f>_xlfn.XLOOKUP(B47,'[7]september-2025'!$A:$A,'[7]september-2025'!$D:$D,0,0)</f>
        <v>0</v>
      </c>
      <c r="BW47">
        <f>_xlfn.XLOOKUP(B47,'[7]september-2025'!$A:$A,'[7]september-2025'!$G:$G,0,0)</f>
        <v>500</v>
      </c>
      <c r="BX47">
        <f>IF(BS47&gt;0,SUM(BS47:BW47),0)</f>
        <v>46650</v>
      </c>
      <c r="BY47">
        <f>_xlfn.XLOOKUP(B47,'[7]september-2025'!$A:$A,'[7]september-2025'!$H:$H,0,0)</f>
        <v>8000</v>
      </c>
      <c r="BZ47">
        <f>_xlfn.XLOOKUP(B47,'[7]september-2025'!$A:$A,'[7]september-2025'!$I:$I,0,0)</f>
        <v>0</v>
      </c>
      <c r="CA47">
        <f>IF($F47="YES",0,IF(BX47&gt;40000,200,IF(BX47&gt;25000,150,IF(BX47&gt;15000,130,IF(BX47&gt;10000,110,0)))))</f>
        <v>200</v>
      </c>
      <c r="CB47">
        <f>BX47-BY47-BZ47-CA47</f>
        <v>38450</v>
      </c>
      <c r="CC47">
        <f>_xlfn.XLOOKUP(B47,'[8]october-2025'!$A:$A,'[8]october-2025'!$C:$C,0,0)</f>
        <v>35500</v>
      </c>
      <c r="CD47">
        <f>CC47*0.18</f>
        <v>6390</v>
      </c>
      <c r="CE47">
        <f>CC47*0.12</f>
        <v>4260</v>
      </c>
      <c r="CF47">
        <f>_xlfn.XLOOKUP(B47,'[8]october-2025'!$A:$A,'[8]october-2025'!$D:$D,0,0)</f>
        <v>0</v>
      </c>
      <c r="CG47">
        <f>_xlfn.XLOOKUP(B47,'[8]october-2025'!$A:$A,'[8]october-2025'!$G:$G,0,0)</f>
        <v>500</v>
      </c>
      <c r="CH47">
        <f>IF(CC47&gt;0,SUM(CC47:CG47),0)</f>
        <v>46650</v>
      </c>
      <c r="CI47">
        <f>_xlfn.XLOOKUP(B47,'[8]october-2025'!$A:$A,'[8]october-2025'!$H:$H,0,0)</f>
        <v>8000</v>
      </c>
      <c r="CJ47">
        <f>_xlfn.XLOOKUP(B47,'[8]october-2025'!$A:$A,'[8]october-2025'!$I:$I,0,0)</f>
        <v>0</v>
      </c>
      <c r="CK47">
        <f>IF($F47="YES",0,IF(CH47&gt;40000,200,IF(CH47&gt;25000,150,IF(CH47&gt;15000,130,IF(CH47&gt;10000,110,0)))))</f>
        <v>200</v>
      </c>
      <c r="CL47">
        <f>CH47-CI47-CJ47-CK47</f>
        <v>38450</v>
      </c>
      <c r="CM47">
        <f>_xlfn.XLOOKUP(B47,'[9]november-2025'!$A:$A,'[9]november-2025'!$C:$C,0,0)</f>
        <v>35500</v>
      </c>
      <c r="CN47">
        <f>CM47*0.18</f>
        <v>6390</v>
      </c>
      <c r="CO47">
        <f>CM47*0.12</f>
        <v>4260</v>
      </c>
      <c r="CP47">
        <f>_xlfn.XLOOKUP(B47,'[9]november-2025'!$A:$A,'[9]november-2025'!$D:$D,0,0)</f>
        <v>0</v>
      </c>
      <c r="CQ47">
        <f>_xlfn.XLOOKUP(B47,'[9]november-2025'!$A:$A,'[9]november-2025'!$G:$G,0,0)</f>
        <v>500</v>
      </c>
      <c r="CR47">
        <f>IF(CM47&gt;0,SUM(CM47:CQ47),0)</f>
        <v>46650</v>
      </c>
      <c r="CS47">
        <f>_xlfn.XLOOKUP(B47,'[9]november-2025'!$A:$A,'[9]november-2025'!$H:$H,0,0)</f>
        <v>8000</v>
      </c>
      <c r="CT47">
        <f>_xlfn.XLOOKUP(B47,'[9]november-2025'!$A:$A,'[9]november-2025'!$I:$I,0,0)</f>
        <v>0</v>
      </c>
      <c r="CU47">
        <f>IF($F47="YES",0,IF(CR47&gt;40000,200,IF(CR47&gt;25000,150,IF(CR47&gt;15000,130,IF(CR47&gt;10000,110,0)))))</f>
        <v>200</v>
      </c>
      <c r="CV47">
        <f>CR47-CS47-CT47-CU47</f>
        <v>38450</v>
      </c>
      <c r="CW47">
        <f>_xlfn.XLOOKUP(B47,'[10]december-2025'!$A:$A,'[10]december-2025'!$C:$C,0,0)</f>
        <v>35500</v>
      </c>
      <c r="CX47">
        <f>ROUND(CW47*0.18,0)</f>
        <v>6390</v>
      </c>
      <c r="CY47">
        <f>ROUND(CW47*0.12,0)</f>
        <v>4260</v>
      </c>
      <c r="CZ47">
        <f>_xlfn.XLOOKUP(B47,'[10]december-2025'!$A:$A,'[10]december-2025'!$D:$D,0,0)</f>
        <v>0</v>
      </c>
      <c r="DA47">
        <f>_xlfn.XLOOKUP(B47,'[10]december-2025'!$A:$A,'[10]december-2025'!$G:$G,0,0)</f>
        <v>500</v>
      </c>
      <c r="DB47">
        <f>IF(CW47&gt;0,SUM(CW47:DA47),0)</f>
        <v>46650</v>
      </c>
      <c r="DC47">
        <f>_xlfn.XLOOKUP(B47,'[10]december-2025'!$A:$A,'[10]december-2025'!$H:$H,0,0)</f>
        <v>8000</v>
      </c>
      <c r="DD47">
        <f>_xlfn.XLOOKUP(B47,'[10]december-2025'!$A:$A,'[10]december-2025'!$I:$I,0,0)</f>
        <v>0</v>
      </c>
      <c r="DE47">
        <f>IF($F47="YES",0,IF(DB47&gt;40000,200,IF(DB47&gt;25000,150,IF(DB47&gt;15000,130,IF(DB47&gt;10000,110,0)))))</f>
        <v>200</v>
      </c>
      <c r="DF47">
        <f>DB47-DC47-DD47-DE47</f>
        <v>38450</v>
      </c>
      <c r="DG47">
        <f>_xlfn.XLOOKUP(B47,'[11]january-2026'!$A:$A,'[11]january-2026'!$C:$C,0,0)</f>
        <v>35500</v>
      </c>
      <c r="DH47">
        <f>DG47*0.18</f>
        <v>6390</v>
      </c>
      <c r="DI47">
        <f>DG47*0.12</f>
        <v>4260</v>
      </c>
      <c r="DJ47">
        <f>_xlfn.XLOOKUP(B47,'[11]january-2026'!$A:$A,'[11]january-2026'!$D:$D,0,0)</f>
        <v>0</v>
      </c>
      <c r="DK47">
        <f>_xlfn.XLOOKUP(B47,'[11]january-2026'!$A:$A,'[11]january-2026'!$G:$G,0,0)</f>
        <v>500</v>
      </c>
      <c r="DL47">
        <f>IF(DG47&gt;0,SUM(DG47:DK47),0)</f>
        <v>46650</v>
      </c>
      <c r="DM47">
        <f>_xlfn.XLOOKUP(B47,'[11]january-2026'!$A:$A,'[11]january-2026'!$H:$H,0,0)</f>
        <v>8000</v>
      </c>
      <c r="DN47">
        <f>_xlfn.XLOOKUP(B47,'[11]january-2026'!$A:$A,'[11]january-2026'!$I:$I,0,0)</f>
        <v>0</v>
      </c>
      <c r="DO47">
        <f>IF($F47="YES",0,IF(DL47&gt;40000,200,IF(DL47&gt;25000,150,IF(DL47&gt;15000,130,IF(DL47&gt;10000,110,0)))))</f>
        <v>200</v>
      </c>
      <c r="DP47">
        <f>DL47-DM47-DN47-DO47</f>
        <v>38450</v>
      </c>
      <c r="DQ47">
        <f>_xlfn.XLOOKUP(B47,'[12]february-2026'!$A:$A,'[12]february-2026'!$C:$C,0,0)</f>
        <v>35500</v>
      </c>
      <c r="DR47">
        <f>DQ47*0.18</f>
        <v>6390</v>
      </c>
      <c r="DS47">
        <f>DQ47*0.12</f>
        <v>4260</v>
      </c>
      <c r="DT47">
        <f>_xlfn.XLOOKUP(B47,'[12]february-2026'!$A:$A,'[12]february-2026'!$D:$D,0,0)</f>
        <v>0</v>
      </c>
      <c r="DU47">
        <f>_xlfn.XLOOKUP(B47,'[12]february-2026'!$A:$A,'[12]february-2026'!$G:$G,0,0)</f>
        <v>500</v>
      </c>
      <c r="DV47">
        <f>IF(DQ47&gt;0,SUM(DQ47:DU47),0)</f>
        <v>46650</v>
      </c>
      <c r="DW47">
        <f>_xlfn.XLOOKUP(B47,'[12]february-2026'!$A:$A,'[12]february-2026'!$H:$H,0,0)</f>
        <v>8000</v>
      </c>
      <c r="DX47">
        <f>_xlfn.XLOOKUP(B47,'[12]february-2026'!$A:$A,'[12]february-2026'!$I:$I,0,0)</f>
        <v>0</v>
      </c>
      <c r="DY47">
        <f>IF($F47="YES",0,IF(DV47&gt;40000,200,IF(DV47&gt;25000,150,IF(DV47&gt;15000,130,IF(DV47&gt;10000,110,0)))))</f>
        <v>200</v>
      </c>
      <c r="DZ47">
        <f>DV47-DW47-DX47-DY47</f>
        <v>38450</v>
      </c>
      <c r="EA47">
        <f>DV47+DL47+DB47+CR47+CH47+BX47+BN47+BD47+AS47+AI47+Y47+O47+H47+I47</f>
        <v>560020</v>
      </c>
      <c r="EB47">
        <f>DY47+DO47+DE47+CU47+CK47+CA47+BQ47+BG47+AV47+AL47+AB47+R47</f>
        <v>2400</v>
      </c>
      <c r="EC47">
        <f>IF(EA47&gt;0,50000,0)</f>
        <v>50000</v>
      </c>
      <c r="ED47">
        <v>0</v>
      </c>
      <c r="EE47">
        <f>EA47-EB47-EC47</f>
        <v>507620</v>
      </c>
      <c r="EF47">
        <f>DW47+DM47+DC47+CS47+CI47+BY47+BO47+BE47+AT47+AJ47+Z47+P47</f>
        <v>96000</v>
      </c>
      <c r="EG47">
        <f>DX47+DN47+DD47+CT47+CJ47+BZ47+BP47+BF47+AU47+AK47+AA47+Q47</f>
        <v>0</v>
      </c>
      <c r="EH47">
        <v>0</v>
      </c>
      <c r="EI47">
        <v>0</v>
      </c>
      <c r="EJ47">
        <v>0</v>
      </c>
      <c r="EK47">
        <v>0</v>
      </c>
      <c r="EL47">
        <v>0</v>
      </c>
      <c r="EM47">
        <v>0</v>
      </c>
      <c r="EN47">
        <v>0</v>
      </c>
      <c r="EO47">
        <v>0</v>
      </c>
      <c r="EP47">
        <v>0</v>
      </c>
      <c r="EQ47">
        <v>0</v>
      </c>
      <c r="ER47">
        <f>SUM(EF47:EQ47)</f>
        <v>96000</v>
      </c>
      <c r="ES47">
        <f>IF(ER47&gt;=150000,150000,ER47)</f>
        <v>96000</v>
      </c>
      <c r="ET47">
        <f>EE47-ES47</f>
        <v>411620</v>
      </c>
      <c r="EU47">
        <v>0</v>
      </c>
      <c r="EV47">
        <v>0</v>
      </c>
      <c r="EW47">
        <v>0</v>
      </c>
      <c r="EX47">
        <v>0</v>
      </c>
      <c r="EY47">
        <v>0</v>
      </c>
      <c r="EZ47">
        <v>0</v>
      </c>
      <c r="FA47">
        <v>0</v>
      </c>
      <c r="FB47">
        <f>SUM(EU47:FA47)+(IF(F47="YES",50000,0))</f>
        <v>0</v>
      </c>
      <c r="FC47">
        <f>ET47-FB47</f>
        <v>411620</v>
      </c>
      <c r="FD47">
        <f>ROUND(IF(FC47&gt;0,IF(FC47&gt;500000,12500,(FC47-250000)*0.05),0),0)</f>
        <v>8081</v>
      </c>
      <c r="FE47">
        <f>IF(ROUND(IF(FC47&gt;0,IF(FC47&gt;1000000,25000,(FC47-500000)*0.2),0),0)&lt;0,0,ROUND(IF(FC47&gt;0,IF(FC47&gt;1000000,25000,(FC47-500000)*0.2),0),0))</f>
        <v>0</v>
      </c>
      <c r="FF47">
        <f>FD47+FE47</f>
        <v>8081</v>
      </c>
      <c r="FG47">
        <f>IF(FF47&lt;12500,0,FF47)</f>
        <v>0</v>
      </c>
      <c r="FH47">
        <f>FG47*0.04</f>
        <v>0</v>
      </c>
      <c r="FI47">
        <f>ROUND(FH47+FG47,0)</f>
        <v>0</v>
      </c>
      <c r="FJ47">
        <v>0</v>
      </c>
      <c r="FK47">
        <f>FI47-FJ47</f>
        <v>0</v>
      </c>
      <c r="FL47" t="b">
        <f>IF(EA47&gt;500000,TRUE,FALSE)</f>
        <v>1</v>
      </c>
      <c r="FM47">
        <f ca="1">IF(FL47,RANDBETWEEN(500,1000),RANDBETWEEN(1000,3000))</f>
        <v>978</v>
      </c>
      <c r="FN47">
        <f ca="1">EA47+FM47</f>
        <v>560998</v>
      </c>
      <c r="FO47">
        <f>IF(EA47&gt;0,75000,0)</f>
        <v>75000</v>
      </c>
      <c r="FP47">
        <f ca="1">FN47-FO47</f>
        <v>485998</v>
      </c>
      <c r="FQ47">
        <f ca="1">IF(FP47&gt;2400000,FP47-2400000,0)</f>
        <v>0</v>
      </c>
      <c r="FR47">
        <f ca="1">FQ47*0.3</f>
        <v>0</v>
      </c>
      <c r="FS47">
        <f ca="1">IF(FP47&gt;2000000,FP47-2000000,0)</f>
        <v>0</v>
      </c>
      <c r="FT47">
        <f ca="1">FS47*0.25</f>
        <v>0</v>
      </c>
      <c r="FU47">
        <f ca="1">IF(FP47&gt;1600000,FP47-1600000-FQ47,0)</f>
        <v>0</v>
      </c>
      <c r="FV47">
        <f ca="1">FU47*0.2</f>
        <v>0</v>
      </c>
      <c r="FW47">
        <f ca="1">IF(FP47&gt;1200000,FP47-1200000-IF(F47="YES",50000,0)-FU47,0)</f>
        <v>0</v>
      </c>
      <c r="FX47">
        <f ca="1">FW47*0.15</f>
        <v>0</v>
      </c>
      <c r="FY47">
        <f ca="1">IF(FP47&gt;800000,FP47-800000-FQ47-FU47-FW47,0)</f>
        <v>0</v>
      </c>
      <c r="FZ47">
        <f ca="1">FY47*0.1</f>
        <v>0</v>
      </c>
      <c r="GA47">
        <f ca="1">IF(FP47&gt;400000,FP47-400000-FQ47-FU47-FW47-FY47,0)</f>
        <v>85998</v>
      </c>
      <c r="GB47">
        <f ca="1">GA47*0.05</f>
        <v>4299.9000000000005</v>
      </c>
      <c r="GC47">
        <f ca="1">ROUND(FR47+FT47+FV47+FX47+FZ47+GB47,0)</f>
        <v>4300</v>
      </c>
      <c r="GD47">
        <f ca="1">IF(FP47&gt;1200000,FP47,0)</f>
        <v>0</v>
      </c>
      <c r="GE47">
        <f ca="1">IF(FP47&gt;1200000,GD47-1200000,0)</f>
        <v>0</v>
      </c>
      <c r="GF47">
        <f ca="1">IF(FP47&lt;1200001,MIN(GC47,60000),0)</f>
        <v>4300</v>
      </c>
      <c r="GG47">
        <f ca="1">IF(FP47&gt;1200000,GC47-GE47,0)</f>
        <v>0</v>
      </c>
      <c r="GH47" t="b">
        <f ca="1">IF(GG47&gt;0,TRUE,FALSE)</f>
        <v>0</v>
      </c>
      <c r="GI47">
        <f ca="1">IF(GH47,GG47,0)</f>
        <v>0</v>
      </c>
      <c r="GJ47">
        <f ca="1">GF47+GI47</f>
        <v>4300</v>
      </c>
      <c r="GK47">
        <f ca="1">ROUND(GC47-GJ47,0)</f>
        <v>0</v>
      </c>
      <c r="GL47">
        <f ca="1">GK47*0.04</f>
        <v>0</v>
      </c>
      <c r="GM47">
        <f ca="1">ROUNDUP(GK47+GL47,0)</f>
        <v>0</v>
      </c>
    </row>
    <row r="48" spans="1:195" x14ac:dyDescent="0.25">
      <c r="A48">
        <f>_xlfn.AGGREGATE(3,5,$B$2:B48)</f>
        <v>47</v>
      </c>
      <c r="B48" t="s">
        <v>214</v>
      </c>
      <c r="C48" t="s">
        <v>215</v>
      </c>
      <c r="D48" t="s">
        <v>764</v>
      </c>
      <c r="E48" t="s">
        <v>833</v>
      </c>
      <c r="F48" t="s">
        <v>959</v>
      </c>
      <c r="G48" t="s">
        <v>902</v>
      </c>
      <c r="H48">
        <f>IF(_xlfn.DAYS("31-03-2025",G48)&gt;=180,6800,0)</f>
        <v>6800</v>
      </c>
      <c r="I48">
        <f>_xlfn.XLOOKUP(B48,'[1]march-2025'!$A:$A,'[1]march-2025'!$J:$J,0,0)</f>
        <v>0</v>
      </c>
      <c r="J48">
        <f>_xlfn.XLOOKUP(B48,'[1]march-2025'!$A:$A,'[1]march-2025'!$C:$C,0,0)</f>
        <v>34500</v>
      </c>
      <c r="K48">
        <f>J48*0.14</f>
        <v>4830.0000000000009</v>
      </c>
      <c r="L48">
        <f>J48*0.12</f>
        <v>4140</v>
      </c>
      <c r="M48">
        <f>_xlfn.XLOOKUP(B48,'[1]march-2025'!$A:$A,'[1]march-2025'!$D:$D,0,0)</f>
        <v>0</v>
      </c>
      <c r="N48">
        <f>_xlfn.XLOOKUP(B48,'[1]march-2025'!$A:$A,'[1]march-2025'!$G:$G,0,0)</f>
        <v>500</v>
      </c>
      <c r="O48">
        <f>IF(J48&gt;0,SUM(J48:N48),0)</f>
        <v>43970</v>
      </c>
      <c r="P48">
        <f>_xlfn.XLOOKUP(B48,'[1]march-2025'!$A:$A,'[1]march-2025'!$H:$H,0,0)</f>
        <v>5000</v>
      </c>
      <c r="Q48">
        <f>_xlfn.XLOOKUP(B48,'[1]march-2025'!$A:$A,'[1]march-2025'!$I:$I,0,0)</f>
        <v>0</v>
      </c>
      <c r="R48">
        <f>IF($F48="YES",0,IF(O48&gt;40000,200,IF(O48&gt;25000,150,IF(O48&gt;15000,130,IF(O48&gt;10000,110,0)))))</f>
        <v>200</v>
      </c>
      <c r="S48">
        <f>O48-P48-Q48-R48</f>
        <v>38770</v>
      </c>
      <c r="T48">
        <f>_xlfn.XLOOKUP(B48,'[2]april-2025'!$A:$A,'[2]april-2025'!$C:$C,0,0)</f>
        <v>34500</v>
      </c>
      <c r="U48">
        <f>T48*0.18</f>
        <v>6210</v>
      </c>
      <c r="V48">
        <f>T48*0.12</f>
        <v>4140</v>
      </c>
      <c r="W48">
        <f>_xlfn.XLOOKUP(B48,'[2]april-2025'!$A:$A,'[2]april-2025'!$D:$D,0,0)</f>
        <v>0</v>
      </c>
      <c r="X48">
        <f>_xlfn.XLOOKUP(B48,'[2]april-2025'!$A:$A,'[2]april-2025'!$G:$G,0,0)</f>
        <v>500</v>
      </c>
      <c r="Y48">
        <f>IF(T48&gt;0,SUM(T48:X48),0)</f>
        <v>45350</v>
      </c>
      <c r="Z48">
        <f>_xlfn.XLOOKUP(B48,'[2]april-2025'!$A:$A,'[2]april-2025'!$H:$H,0,0)</f>
        <v>5000</v>
      </c>
      <c r="AA48">
        <f>_xlfn.XLOOKUP(B48,'[2]april-2025'!$A:$A,'[2]april-2025'!$I:$I,0,0)</f>
        <v>0</v>
      </c>
      <c r="AB48">
        <f>IF($F48="YES",0,IF(Y48&gt;40000,200,IF(Y48&gt;25000,150,IF(Y48&gt;15000,130,IF(Y48&gt;10000,110,0)))))</f>
        <v>200</v>
      </c>
      <c r="AC48">
        <f>Y48-Z48-AA48-AB48</f>
        <v>40150</v>
      </c>
      <c r="AD48">
        <f>_xlfn.XLOOKUP(B48,'[3]may-2025'!$A:$A,'[3]may-2025'!$C:$C,0,0)</f>
        <v>34500</v>
      </c>
      <c r="AE48">
        <f>AD48*0.18</f>
        <v>6210</v>
      </c>
      <c r="AF48">
        <f>AD48*0.12</f>
        <v>4140</v>
      </c>
      <c r="AG48">
        <f>_xlfn.XLOOKUP(B48,'[3]may-2025'!$A:$A,'[3]may-2025'!$D:$D,0,0)</f>
        <v>0</v>
      </c>
      <c r="AH48">
        <f>_xlfn.XLOOKUP(B48,'[3]may-2025'!$A:$A,'[3]may-2025'!$G:$G,0,0)</f>
        <v>500</v>
      </c>
      <c r="AI48">
        <f>IF(AD48&gt;0,SUM(AD48:AH48),0)</f>
        <v>45350</v>
      </c>
      <c r="AJ48">
        <f>_xlfn.XLOOKUP(B48,'[3]may-2025'!$A:$A,'[3]may-2025'!$H:$H,0,0)</f>
        <v>5000</v>
      </c>
      <c r="AK48">
        <f>_xlfn.XLOOKUP(B48,'[3]may-2025'!$A:$A,'[3]may-2025'!$I:$I,0,0)</f>
        <v>0</v>
      </c>
      <c r="AL48">
        <f>IF($F48="YES",0,IF(AI48&gt;40000,200,IF(AI48&gt;25000,150,IF(AI48&gt;15000,130,IF(AI48&gt;10000,110,0)))))</f>
        <v>200</v>
      </c>
      <c r="AM48">
        <f>AI48-AJ48-AK48-AL48</f>
        <v>40150</v>
      </c>
      <c r="AN48">
        <f>_xlfn.XLOOKUP(B48,'[4]june-2025'!$A:$A,'[4]june-2025'!$C:$C,0,0)</f>
        <v>34500</v>
      </c>
      <c r="AO48">
        <f>AN48*0.18</f>
        <v>6210</v>
      </c>
      <c r="AP48">
        <f>AN48*0.12</f>
        <v>4140</v>
      </c>
      <c r="AQ48">
        <f>_xlfn.XLOOKUP(B48,'[4]june-2025'!$A:$A,'[4]june-2025'!$D:$D,0,0)</f>
        <v>0</v>
      </c>
      <c r="AR48">
        <f>_xlfn.XLOOKUP(B48,'[4]june-2025'!$A:$A,'[4]june-2025'!$G:$G,0,0)</f>
        <v>500</v>
      </c>
      <c r="AS48">
        <f>IF(AN48&gt;0,SUM(AN48:AR48),0)</f>
        <v>45350</v>
      </c>
      <c r="AT48">
        <f>_xlfn.XLOOKUP(B48,'[4]june-2025'!$A:$A,'[4]june-2025'!$H:$H,0,0)</f>
        <v>5000</v>
      </c>
      <c r="AU48">
        <f>_xlfn.XLOOKUP(B48,'[4]june-2025'!$A:$A,'[4]june-2025'!$I:$I,0,0)</f>
        <v>0</v>
      </c>
      <c r="AV48">
        <f>IF($F48="YES",0,IF(AS48&gt;40000,200,IF(AS48&gt;25000,150,IF(AS48&gt;15000,130,IF(AS48&gt;10000,110,0)))))</f>
        <v>200</v>
      </c>
      <c r="AW48">
        <f>AS48-AT48-AU48-AV48</f>
        <v>40150</v>
      </c>
      <c r="AX48">
        <f>_xlfn.XLOOKUP(B48,'[5]july-2025'!$A:$A,'[5]july-2025'!$C:$C,0,0)</f>
        <v>35500</v>
      </c>
      <c r="AY48">
        <f>AX48*0.18</f>
        <v>6390</v>
      </c>
      <c r="AZ48">
        <v>0</v>
      </c>
      <c r="BA48">
        <f>AX48*0.12</f>
        <v>4260</v>
      </c>
      <c r="BB48">
        <f>_xlfn.XLOOKUP(B48,'[5]july-2025'!$A:$A,'[5]july-2025'!$D:$D,0,0)</f>
        <v>0</v>
      </c>
      <c r="BC48">
        <f>_xlfn.XLOOKUP(B48,'[5]july-2025'!$A:$A,'[5]july-2025'!$G:$G,0,0)</f>
        <v>500</v>
      </c>
      <c r="BD48">
        <f>IF(AX48&gt;0,SUM(AX48:BC48),0)</f>
        <v>46650</v>
      </c>
      <c r="BE48">
        <f>_xlfn.XLOOKUP(B48,'[5]july-2025'!$A:$A,'[5]july-2025'!$H:$H,0,0)</f>
        <v>5000</v>
      </c>
      <c r="BF48">
        <f>_xlfn.XLOOKUP(B48,'[5]july-2025'!$A:$A,'[5]july-2025'!$I:$I,0,0)</f>
        <v>0</v>
      </c>
      <c r="BG48">
        <f>IF($F48="YES",0,IF(BD48&gt;40000,200,IF(BD48&gt;25000,150,IF(BD48&gt;15000,130,IF(BD48&gt;10000,110,0)))))</f>
        <v>200</v>
      </c>
      <c r="BH48">
        <f>BD48-BE48-BF48-BG48</f>
        <v>41450</v>
      </c>
      <c r="BI48">
        <f>_xlfn.XLOOKUP(B48,'[6]august-2025'!$A:$A,'[6]august-2025'!$C:$C,0,0)</f>
        <v>35500</v>
      </c>
      <c r="BJ48">
        <f>BI48*0.18</f>
        <v>6390</v>
      </c>
      <c r="BK48">
        <f>BI48*0.12</f>
        <v>4260</v>
      </c>
      <c r="BL48">
        <f>_xlfn.XLOOKUP(B48,'[6]august-2025'!$A:$A,'[6]august-2025'!$D:$D,0,0)</f>
        <v>0</v>
      </c>
      <c r="BM48">
        <f>_xlfn.XLOOKUP(B48,'[6]august-2025'!$A:$A,'[6]august-2025'!$G:$G,0,0)</f>
        <v>500</v>
      </c>
      <c r="BN48">
        <f>IF(BI48&gt;0,SUM(BI48:BM48),0)</f>
        <v>46650</v>
      </c>
      <c r="BO48">
        <f>_xlfn.XLOOKUP(B48,'[6]august-2025'!$A:$A,'[6]august-2025'!$H:$H,0,0)</f>
        <v>5000</v>
      </c>
      <c r="BP48">
        <f>_xlfn.XLOOKUP(B48,'[6]august-2025'!$A:$A,'[6]august-2025'!$I:$I,0,0)</f>
        <v>0</v>
      </c>
      <c r="BQ48">
        <f>IF($F48="YES",0,IF(BN48&gt;40000,200,IF(BN48&gt;25000,150,IF(BN48&gt;15000,130,IF(BN48&gt;10000,110,0)))))</f>
        <v>200</v>
      </c>
      <c r="BR48">
        <f>BN48-BO48-BP48-BQ48</f>
        <v>41450</v>
      </c>
      <c r="BS48">
        <f>_xlfn.XLOOKUP(B48,'[7]september-2025'!$A:$A,'[7]september-2025'!$C:$C,0,0)</f>
        <v>35500</v>
      </c>
      <c r="BT48">
        <f>BS48*0.18</f>
        <v>6390</v>
      </c>
      <c r="BU48">
        <f>BS48*0.12</f>
        <v>4260</v>
      </c>
      <c r="BV48">
        <f>_xlfn.XLOOKUP(B48,'[7]september-2025'!$A:$A,'[7]september-2025'!$D:$D,0,0)</f>
        <v>0</v>
      </c>
      <c r="BW48">
        <f>_xlfn.XLOOKUP(B48,'[7]september-2025'!$A:$A,'[7]september-2025'!$G:$G,0,0)</f>
        <v>500</v>
      </c>
      <c r="BX48">
        <f>IF(BS48&gt;0,SUM(BS48:BW48),0)</f>
        <v>46650</v>
      </c>
      <c r="BY48">
        <f>_xlfn.XLOOKUP(B48,'[7]september-2025'!$A:$A,'[7]september-2025'!$H:$H,0,0)</f>
        <v>5000</v>
      </c>
      <c r="BZ48">
        <f>_xlfn.XLOOKUP(B48,'[7]september-2025'!$A:$A,'[7]september-2025'!$I:$I,0,0)</f>
        <v>0</v>
      </c>
      <c r="CA48">
        <f>IF($F48="YES",0,IF(BX48&gt;40000,200,IF(BX48&gt;25000,150,IF(BX48&gt;15000,130,IF(BX48&gt;10000,110,0)))))</f>
        <v>200</v>
      </c>
      <c r="CB48">
        <f>BX48-BY48-BZ48-CA48</f>
        <v>41450</v>
      </c>
      <c r="CC48">
        <f>_xlfn.XLOOKUP(B48,'[8]october-2025'!$A:$A,'[8]october-2025'!$C:$C,0,0)</f>
        <v>35500</v>
      </c>
      <c r="CD48">
        <f>CC48*0.18</f>
        <v>6390</v>
      </c>
      <c r="CE48">
        <f>CC48*0.12</f>
        <v>4260</v>
      </c>
      <c r="CF48">
        <f>_xlfn.XLOOKUP(B48,'[8]october-2025'!$A:$A,'[8]october-2025'!$D:$D,0,0)</f>
        <v>0</v>
      </c>
      <c r="CG48">
        <f>_xlfn.XLOOKUP(B48,'[8]october-2025'!$A:$A,'[8]october-2025'!$G:$G,0,0)</f>
        <v>500</v>
      </c>
      <c r="CH48">
        <f>IF(CC48&gt;0,SUM(CC48:CG48),0)</f>
        <v>46650</v>
      </c>
      <c r="CI48">
        <f>_xlfn.XLOOKUP(B48,'[8]october-2025'!$A:$A,'[8]october-2025'!$H:$H,0,0)</f>
        <v>5000</v>
      </c>
      <c r="CJ48">
        <f>_xlfn.XLOOKUP(B48,'[8]october-2025'!$A:$A,'[8]october-2025'!$I:$I,0,0)</f>
        <v>0</v>
      </c>
      <c r="CK48">
        <f>IF($F48="YES",0,IF(CH48&gt;40000,200,IF(CH48&gt;25000,150,IF(CH48&gt;15000,130,IF(CH48&gt;10000,110,0)))))</f>
        <v>200</v>
      </c>
      <c r="CL48">
        <f>CH48-CI48-CJ48-CK48</f>
        <v>41450</v>
      </c>
      <c r="CM48">
        <f>_xlfn.XLOOKUP(B48,'[9]november-2025'!$A:$A,'[9]november-2025'!$C:$C,0,0)</f>
        <v>35500</v>
      </c>
      <c r="CN48">
        <f>CM48*0.18</f>
        <v>6390</v>
      </c>
      <c r="CO48">
        <f>CM48*0.12</f>
        <v>4260</v>
      </c>
      <c r="CP48">
        <f>_xlfn.XLOOKUP(B48,'[9]november-2025'!$A:$A,'[9]november-2025'!$D:$D,0,0)</f>
        <v>0</v>
      </c>
      <c r="CQ48">
        <f>_xlfn.XLOOKUP(B48,'[9]november-2025'!$A:$A,'[9]november-2025'!$G:$G,0,0)</f>
        <v>500</v>
      </c>
      <c r="CR48">
        <f>IF(CM48&gt;0,SUM(CM48:CQ48),0)</f>
        <v>46650</v>
      </c>
      <c r="CS48">
        <f>_xlfn.XLOOKUP(B48,'[9]november-2025'!$A:$A,'[9]november-2025'!$H:$H,0,0)</f>
        <v>5000</v>
      </c>
      <c r="CT48">
        <f>_xlfn.XLOOKUP(B48,'[9]november-2025'!$A:$A,'[9]november-2025'!$I:$I,0,0)</f>
        <v>0</v>
      </c>
      <c r="CU48">
        <f>IF($F48="YES",0,IF(CR48&gt;40000,200,IF(CR48&gt;25000,150,IF(CR48&gt;15000,130,IF(CR48&gt;10000,110,0)))))</f>
        <v>200</v>
      </c>
      <c r="CV48">
        <f>CR48-CS48-CT48-CU48</f>
        <v>41450</v>
      </c>
      <c r="CW48">
        <f>_xlfn.XLOOKUP(B48,'[10]december-2025'!$A:$A,'[10]december-2025'!$C:$C,0,0)</f>
        <v>35500</v>
      </c>
      <c r="CX48">
        <f>ROUND(CW48*0.18,0)</f>
        <v>6390</v>
      </c>
      <c r="CY48">
        <f>ROUND(CW48*0.12,0)</f>
        <v>4260</v>
      </c>
      <c r="CZ48">
        <f>_xlfn.XLOOKUP(B48,'[10]december-2025'!$A:$A,'[10]december-2025'!$D:$D,0,0)</f>
        <v>0</v>
      </c>
      <c r="DA48">
        <f>_xlfn.XLOOKUP(B48,'[10]december-2025'!$A:$A,'[10]december-2025'!$G:$G,0,0)</f>
        <v>500</v>
      </c>
      <c r="DB48">
        <f>IF(CW48&gt;0,SUM(CW48:DA48),0)</f>
        <v>46650</v>
      </c>
      <c r="DC48">
        <f>_xlfn.XLOOKUP(B48,'[10]december-2025'!$A:$A,'[10]december-2025'!$H:$H,0,0)</f>
        <v>5000</v>
      </c>
      <c r="DD48">
        <f>_xlfn.XLOOKUP(B48,'[10]december-2025'!$A:$A,'[10]december-2025'!$I:$I,0,0)</f>
        <v>0</v>
      </c>
      <c r="DE48">
        <f>IF($F48="YES",0,IF(DB48&gt;40000,200,IF(DB48&gt;25000,150,IF(DB48&gt;15000,130,IF(DB48&gt;10000,110,0)))))</f>
        <v>200</v>
      </c>
      <c r="DF48">
        <f>DB48-DC48-DD48-DE48</f>
        <v>41450</v>
      </c>
      <c r="DG48">
        <f>_xlfn.XLOOKUP(B48,'[11]january-2026'!$A:$A,'[11]january-2026'!$C:$C,0,0)</f>
        <v>35500</v>
      </c>
      <c r="DH48">
        <f>DG48*0.18</f>
        <v>6390</v>
      </c>
      <c r="DI48">
        <f>DG48*0.12</f>
        <v>4260</v>
      </c>
      <c r="DJ48">
        <f>_xlfn.XLOOKUP(B48,'[11]january-2026'!$A:$A,'[11]january-2026'!$D:$D,0,0)</f>
        <v>0</v>
      </c>
      <c r="DK48">
        <f>_xlfn.XLOOKUP(B48,'[11]january-2026'!$A:$A,'[11]january-2026'!$G:$G,0,0)</f>
        <v>500</v>
      </c>
      <c r="DL48">
        <f>IF(DG48&gt;0,SUM(DG48:DK48),0)</f>
        <v>46650</v>
      </c>
      <c r="DM48">
        <f>_xlfn.XLOOKUP(B48,'[11]january-2026'!$A:$A,'[11]january-2026'!$H:$H,0,0)</f>
        <v>5000</v>
      </c>
      <c r="DN48">
        <f>_xlfn.XLOOKUP(B48,'[11]january-2026'!$A:$A,'[11]january-2026'!$I:$I,0,0)</f>
        <v>0</v>
      </c>
      <c r="DO48">
        <f>IF($F48="YES",0,IF(DL48&gt;40000,200,IF(DL48&gt;25000,150,IF(DL48&gt;15000,130,IF(DL48&gt;10000,110,0)))))</f>
        <v>200</v>
      </c>
      <c r="DP48">
        <f>DL48-DM48-DN48-DO48</f>
        <v>41450</v>
      </c>
      <c r="DQ48">
        <f>_xlfn.XLOOKUP(B48,'[12]february-2026'!$A:$A,'[12]february-2026'!$C:$C,0,0)</f>
        <v>35500</v>
      </c>
      <c r="DR48">
        <f>DQ48*0.18</f>
        <v>6390</v>
      </c>
      <c r="DS48">
        <f>DQ48*0.12</f>
        <v>4260</v>
      </c>
      <c r="DT48">
        <f>_xlfn.XLOOKUP(B48,'[12]february-2026'!$A:$A,'[12]february-2026'!$D:$D,0,0)</f>
        <v>0</v>
      </c>
      <c r="DU48">
        <f>_xlfn.XLOOKUP(B48,'[12]february-2026'!$A:$A,'[12]february-2026'!$G:$G,0,0)</f>
        <v>500</v>
      </c>
      <c r="DV48">
        <f>IF(DQ48&gt;0,SUM(DQ48:DU48),0)</f>
        <v>46650</v>
      </c>
      <c r="DW48">
        <f>_xlfn.XLOOKUP(B48,'[12]february-2026'!$A:$A,'[12]february-2026'!$H:$H,0,0)</f>
        <v>5000</v>
      </c>
      <c r="DX48">
        <f>_xlfn.XLOOKUP(B48,'[12]february-2026'!$A:$A,'[12]february-2026'!$I:$I,0,0)</f>
        <v>0</v>
      </c>
      <c r="DY48">
        <f>IF($F48="YES",0,IF(DV48&gt;40000,200,IF(DV48&gt;25000,150,IF(DV48&gt;15000,130,IF(DV48&gt;10000,110,0)))))</f>
        <v>200</v>
      </c>
      <c r="DZ48">
        <f>DV48-DW48-DX48-DY48</f>
        <v>41450</v>
      </c>
      <c r="EA48">
        <f>DV48+DL48+DB48+CR48+CH48+BX48+BN48+BD48+AS48+AI48+Y48+O48+H48+I48</f>
        <v>560020</v>
      </c>
      <c r="EB48">
        <f>DY48+DO48+DE48+CU48+CK48+CA48+BQ48+BG48+AV48+AL48+AB48+R48</f>
        <v>2400</v>
      </c>
      <c r="EC48">
        <f>IF(EA48&gt;0,50000,0)</f>
        <v>50000</v>
      </c>
      <c r="ED48">
        <v>0</v>
      </c>
      <c r="EE48">
        <f>EA48-EB48-EC48</f>
        <v>507620</v>
      </c>
      <c r="EF48">
        <f>DW48+DM48+DC48+CS48+CI48+BY48+BO48+BE48+AT48+AJ48+Z48+P48</f>
        <v>60000</v>
      </c>
      <c r="EG48">
        <f>DX48+DN48+DD48+CT48+CJ48+BZ48+BP48+BF48+AU48+AK48+AA48+Q48</f>
        <v>0</v>
      </c>
      <c r="EH48">
        <v>0</v>
      </c>
      <c r="EI48">
        <v>0</v>
      </c>
      <c r="EJ48">
        <v>0</v>
      </c>
      <c r="EK48">
        <v>0</v>
      </c>
      <c r="EL48">
        <v>0</v>
      </c>
      <c r="EM48">
        <v>0</v>
      </c>
      <c r="EN48">
        <v>0</v>
      </c>
      <c r="EO48">
        <v>0</v>
      </c>
      <c r="EP48">
        <v>0</v>
      </c>
      <c r="EQ48">
        <v>0</v>
      </c>
      <c r="ER48">
        <f>SUM(EF48:EQ48)</f>
        <v>60000</v>
      </c>
      <c r="ES48">
        <f>IF(ER48&gt;=150000,150000,ER48)</f>
        <v>60000</v>
      </c>
      <c r="ET48">
        <f>EE48-ES48</f>
        <v>447620</v>
      </c>
      <c r="EU48">
        <v>0</v>
      </c>
      <c r="EV48">
        <v>0</v>
      </c>
      <c r="EW48">
        <v>0</v>
      </c>
      <c r="EX48">
        <v>0</v>
      </c>
      <c r="EY48">
        <v>0</v>
      </c>
      <c r="EZ48">
        <v>0</v>
      </c>
      <c r="FA48">
        <v>0</v>
      </c>
      <c r="FB48">
        <f>SUM(EU48:FA48)+(IF(F48="YES",50000,0))</f>
        <v>0</v>
      </c>
      <c r="FC48">
        <f>ET48-FB48</f>
        <v>447620</v>
      </c>
      <c r="FD48">
        <f>ROUND(IF(FC48&gt;0,IF(FC48&gt;500000,12500,(FC48-250000)*0.05),0),0)</f>
        <v>9881</v>
      </c>
      <c r="FE48">
        <f>IF(ROUND(IF(FC48&gt;0,IF(FC48&gt;1000000,25000,(FC48-500000)*0.2),0),0)&lt;0,0,ROUND(IF(FC48&gt;0,IF(FC48&gt;1000000,25000,(FC48-500000)*0.2),0),0))</f>
        <v>0</v>
      </c>
      <c r="FF48">
        <f>FD48+FE48</f>
        <v>9881</v>
      </c>
      <c r="FG48">
        <f>IF(FF48&lt;12500,0,FF48)</f>
        <v>0</v>
      </c>
      <c r="FH48">
        <f>FG48*0.04</f>
        <v>0</v>
      </c>
      <c r="FI48">
        <f>ROUND(FH48+FG48,0)</f>
        <v>0</v>
      </c>
      <c r="FJ48">
        <v>0</v>
      </c>
      <c r="FK48">
        <f>FI48-FJ48</f>
        <v>0</v>
      </c>
      <c r="FL48" t="b">
        <f>IF(EA48&gt;500000,TRUE,FALSE)</f>
        <v>1</v>
      </c>
      <c r="FM48">
        <f ca="1">IF(FL48,RANDBETWEEN(500,1000),RANDBETWEEN(1000,3000))</f>
        <v>605</v>
      </c>
      <c r="FN48">
        <f ca="1">EA48+FM48</f>
        <v>560625</v>
      </c>
      <c r="FO48">
        <f>IF(EA48&gt;0,75000,0)</f>
        <v>75000</v>
      </c>
      <c r="FP48">
        <f ca="1">FN48-FO48</f>
        <v>485625</v>
      </c>
      <c r="FQ48">
        <f ca="1">IF(FP48&gt;2400000,FP48-2400000,0)</f>
        <v>0</v>
      </c>
      <c r="FR48">
        <f ca="1">FQ48*0.3</f>
        <v>0</v>
      </c>
      <c r="FS48">
        <f ca="1">IF(FP48&gt;2000000,FP48-2000000,0)</f>
        <v>0</v>
      </c>
      <c r="FT48">
        <f ca="1">FS48*0.25</f>
        <v>0</v>
      </c>
      <c r="FU48">
        <f ca="1">IF(FP48&gt;1600000,FP48-1600000-FQ48,0)</f>
        <v>0</v>
      </c>
      <c r="FV48">
        <f ca="1">FU48*0.2</f>
        <v>0</v>
      </c>
      <c r="FW48">
        <f ca="1">IF(FP48&gt;1200000,FP48-1200000-IF(F48="YES",50000,0)-FU48,0)</f>
        <v>0</v>
      </c>
      <c r="FX48">
        <f ca="1">FW48*0.15</f>
        <v>0</v>
      </c>
      <c r="FY48">
        <f ca="1">IF(FP48&gt;800000,FP48-800000-FQ48-FU48-FW48,0)</f>
        <v>0</v>
      </c>
      <c r="FZ48">
        <f ca="1">FY48*0.1</f>
        <v>0</v>
      </c>
      <c r="GA48">
        <f ca="1">IF(FP48&gt;400000,FP48-400000-FQ48-FU48-FW48-FY48,0)</f>
        <v>85625</v>
      </c>
      <c r="GB48">
        <f ca="1">GA48*0.05</f>
        <v>4281.25</v>
      </c>
      <c r="GC48">
        <f ca="1">ROUND(FR48+FT48+FV48+FX48+FZ48+GB48,0)</f>
        <v>4281</v>
      </c>
      <c r="GD48">
        <f ca="1">IF(FP48&gt;1200000,FP48,0)</f>
        <v>0</v>
      </c>
      <c r="GE48">
        <f ca="1">IF(FP48&gt;1200000,GD48-1200000,0)</f>
        <v>0</v>
      </c>
      <c r="GF48">
        <f ca="1">IF(FP48&lt;1200001,MIN(GC48,60000),0)</f>
        <v>4281</v>
      </c>
      <c r="GG48">
        <f ca="1">IF(FP48&gt;1200000,GC48-GE48,0)</f>
        <v>0</v>
      </c>
      <c r="GH48" t="b">
        <f ca="1">IF(GG48&gt;0,TRUE,FALSE)</f>
        <v>0</v>
      </c>
      <c r="GI48">
        <f ca="1">IF(GH48,GG48,0)</f>
        <v>0</v>
      </c>
      <c r="GJ48">
        <f ca="1">GF48+GI48</f>
        <v>4281</v>
      </c>
      <c r="GK48">
        <f ca="1">ROUND(GC48-GJ48,0)</f>
        <v>0</v>
      </c>
      <c r="GL48">
        <f ca="1">GK48*0.04</f>
        <v>0</v>
      </c>
      <c r="GM48">
        <f ca="1">ROUNDUP(GK48+GL48,0)</f>
        <v>0</v>
      </c>
    </row>
    <row r="49" spans="1:195" x14ac:dyDescent="0.25">
      <c r="A49">
        <f>_xlfn.AGGREGATE(3,5,$B$2:B49)</f>
        <v>48</v>
      </c>
      <c r="B49" t="s">
        <v>216</v>
      </c>
      <c r="C49" t="s">
        <v>217</v>
      </c>
      <c r="D49" t="s">
        <v>765</v>
      </c>
      <c r="E49" t="s">
        <v>833</v>
      </c>
      <c r="F49" t="s">
        <v>959</v>
      </c>
      <c r="G49" t="s">
        <v>887</v>
      </c>
      <c r="H49">
        <f>IF(_xlfn.DAYS("31-03-2025",G49)&gt;=180,6800,0)</f>
        <v>6800</v>
      </c>
      <c r="I49">
        <f>_xlfn.XLOOKUP(B49,'[1]march-2025'!$A:$A,'[1]march-2025'!$J:$J,0,0)</f>
        <v>0</v>
      </c>
      <c r="J49">
        <f>_xlfn.XLOOKUP(B49,'[1]march-2025'!$A:$A,'[1]march-2025'!$C:$C,0,0)</f>
        <v>48700</v>
      </c>
      <c r="K49">
        <f>J49*0.14</f>
        <v>6818.0000000000009</v>
      </c>
      <c r="L49">
        <f>J49*0.12</f>
        <v>5844</v>
      </c>
      <c r="M49">
        <f>_xlfn.XLOOKUP(B49,'[1]march-2025'!$A:$A,'[1]march-2025'!$D:$D,0,0)</f>
        <v>400</v>
      </c>
      <c r="N49">
        <f>_xlfn.XLOOKUP(B49,'[1]march-2025'!$A:$A,'[1]march-2025'!$G:$G,0,0)</f>
        <v>500</v>
      </c>
      <c r="O49">
        <f>IF(J49&gt;0,SUM(J49:N49),0)</f>
        <v>62262</v>
      </c>
      <c r="P49">
        <f>_xlfn.XLOOKUP(B49,'[1]march-2025'!$A:$A,'[1]march-2025'!$H:$H,0,0)</f>
        <v>6000</v>
      </c>
      <c r="Q49">
        <f>_xlfn.XLOOKUP(B49,'[1]march-2025'!$A:$A,'[1]march-2025'!$I:$I,0,0)</f>
        <v>0</v>
      </c>
      <c r="R49">
        <f>IF($F49="YES",0,IF(O49&gt;40000,200,IF(O49&gt;25000,150,IF(O49&gt;15000,130,IF(O49&gt;10000,110,0)))))</f>
        <v>200</v>
      </c>
      <c r="S49">
        <f>O49-P49-Q49-R49</f>
        <v>56062</v>
      </c>
      <c r="T49">
        <f>_xlfn.XLOOKUP(B49,'[2]april-2025'!$A:$A,'[2]april-2025'!$C:$C,0,0)</f>
        <v>48700</v>
      </c>
      <c r="U49">
        <f>T49*0.18</f>
        <v>8766</v>
      </c>
      <c r="V49">
        <f>T49*0.12</f>
        <v>5844</v>
      </c>
      <c r="W49">
        <f>_xlfn.XLOOKUP(B49,'[2]april-2025'!$A:$A,'[2]april-2025'!$D:$D,0,0)</f>
        <v>400</v>
      </c>
      <c r="X49">
        <f>_xlfn.XLOOKUP(B49,'[2]april-2025'!$A:$A,'[2]april-2025'!$G:$G,0,0)</f>
        <v>500</v>
      </c>
      <c r="Y49">
        <f>IF(T49&gt;0,SUM(T49:X49),0)</f>
        <v>64210</v>
      </c>
      <c r="Z49">
        <f>_xlfn.XLOOKUP(B49,'[2]april-2025'!$A:$A,'[2]april-2025'!$H:$H,0,0)</f>
        <v>6000</v>
      </c>
      <c r="AA49">
        <f>_xlfn.XLOOKUP(B49,'[2]april-2025'!$A:$A,'[2]april-2025'!$I:$I,0,0)</f>
        <v>0</v>
      </c>
      <c r="AB49">
        <f>IF($F49="YES",0,IF(Y49&gt;40000,200,IF(Y49&gt;25000,150,IF(Y49&gt;15000,130,IF(Y49&gt;10000,110,0)))))</f>
        <v>200</v>
      </c>
      <c r="AC49">
        <f>Y49-Z49-AA49-AB49</f>
        <v>58010</v>
      </c>
      <c r="AD49">
        <f>_xlfn.XLOOKUP(B49,'[3]may-2025'!$A:$A,'[3]may-2025'!$C:$C,0,0)</f>
        <v>48700</v>
      </c>
      <c r="AE49">
        <f>AD49*0.18</f>
        <v>8766</v>
      </c>
      <c r="AF49">
        <f>AD49*0.12</f>
        <v>5844</v>
      </c>
      <c r="AG49">
        <f>_xlfn.XLOOKUP(B49,'[3]may-2025'!$A:$A,'[3]may-2025'!$D:$D,0,0)</f>
        <v>400</v>
      </c>
      <c r="AH49">
        <f>_xlfn.XLOOKUP(B49,'[3]may-2025'!$A:$A,'[3]may-2025'!$G:$G,0,0)</f>
        <v>500</v>
      </c>
      <c r="AI49">
        <f>IF(AD49&gt;0,SUM(AD49:AH49),0)</f>
        <v>64210</v>
      </c>
      <c r="AJ49">
        <f>_xlfn.XLOOKUP(B49,'[3]may-2025'!$A:$A,'[3]may-2025'!$H:$H,0,0)</f>
        <v>6000</v>
      </c>
      <c r="AK49">
        <f>_xlfn.XLOOKUP(B49,'[3]may-2025'!$A:$A,'[3]may-2025'!$I:$I,0,0)</f>
        <v>0</v>
      </c>
      <c r="AL49">
        <f>IF($F49="YES",0,IF(AI49&gt;40000,200,IF(AI49&gt;25000,150,IF(AI49&gt;15000,130,IF(AI49&gt;10000,110,0)))))</f>
        <v>200</v>
      </c>
      <c r="AM49">
        <f>AI49-AJ49-AK49-AL49</f>
        <v>58010</v>
      </c>
      <c r="AN49">
        <f>_xlfn.XLOOKUP(B49,'[4]june-2025'!$A:$A,'[4]june-2025'!$C:$C,0,0)</f>
        <v>48700</v>
      </c>
      <c r="AO49">
        <f>AN49*0.18</f>
        <v>8766</v>
      </c>
      <c r="AP49">
        <f>AN49*0.12</f>
        <v>5844</v>
      </c>
      <c r="AQ49">
        <f>_xlfn.XLOOKUP(B49,'[4]june-2025'!$A:$A,'[4]june-2025'!$D:$D,0,0)</f>
        <v>400</v>
      </c>
      <c r="AR49">
        <f>_xlfn.XLOOKUP(B49,'[4]june-2025'!$A:$A,'[4]june-2025'!$G:$G,0,0)</f>
        <v>500</v>
      </c>
      <c r="AS49">
        <f>IF(AN49&gt;0,SUM(AN49:AR49),0)</f>
        <v>64210</v>
      </c>
      <c r="AT49">
        <f>_xlfn.XLOOKUP(B49,'[4]june-2025'!$A:$A,'[4]june-2025'!$H:$H,0,0)</f>
        <v>6000</v>
      </c>
      <c r="AU49">
        <f>_xlfn.XLOOKUP(B49,'[4]june-2025'!$A:$A,'[4]june-2025'!$I:$I,0,0)</f>
        <v>0</v>
      </c>
      <c r="AV49">
        <f>IF($F49="YES",0,IF(AS49&gt;40000,200,IF(AS49&gt;25000,150,IF(AS49&gt;15000,130,IF(AS49&gt;10000,110,0)))))</f>
        <v>200</v>
      </c>
      <c r="AW49">
        <f>AS49-AT49-AU49-AV49</f>
        <v>58010</v>
      </c>
      <c r="AX49">
        <f>_xlfn.XLOOKUP(B49,'[5]july-2025'!$A:$A,'[5]july-2025'!$C:$C,0,0)</f>
        <v>50200</v>
      </c>
      <c r="AY49">
        <f>AX49*0.18</f>
        <v>9036</v>
      </c>
      <c r="AZ49">
        <v>0</v>
      </c>
      <c r="BA49">
        <f>AX49*0.12</f>
        <v>6024</v>
      </c>
      <c r="BB49">
        <f>_xlfn.XLOOKUP(B49,'[5]july-2025'!$A:$A,'[5]july-2025'!$D:$D,0,0)</f>
        <v>400</v>
      </c>
      <c r="BC49">
        <f>_xlfn.XLOOKUP(B49,'[5]july-2025'!$A:$A,'[5]july-2025'!$G:$G,0,0)</f>
        <v>500</v>
      </c>
      <c r="BD49">
        <f>IF(AX49&gt;0,SUM(AX49:BC49),0)</f>
        <v>66160</v>
      </c>
      <c r="BE49">
        <f>_xlfn.XLOOKUP(B49,'[5]july-2025'!$A:$A,'[5]july-2025'!$H:$H,0,0)</f>
        <v>6000</v>
      </c>
      <c r="BF49">
        <f>_xlfn.XLOOKUP(B49,'[5]july-2025'!$A:$A,'[5]july-2025'!$I:$I,0,0)</f>
        <v>0</v>
      </c>
      <c r="BG49">
        <f>IF($F49="YES",0,IF(BD49&gt;40000,200,IF(BD49&gt;25000,150,IF(BD49&gt;15000,130,IF(BD49&gt;10000,110,0)))))</f>
        <v>200</v>
      </c>
      <c r="BH49">
        <f>BD49-BE49-BF49-BG49</f>
        <v>59960</v>
      </c>
      <c r="BI49">
        <f>_xlfn.XLOOKUP(B49,'[6]august-2025'!$A:$A,'[6]august-2025'!$C:$C,0,0)</f>
        <v>50200</v>
      </c>
      <c r="BJ49">
        <f>BI49*0.18</f>
        <v>9036</v>
      </c>
      <c r="BK49">
        <f>BI49*0.12</f>
        <v>6024</v>
      </c>
      <c r="BL49">
        <f>_xlfn.XLOOKUP(B49,'[6]august-2025'!$A:$A,'[6]august-2025'!$D:$D,0,0)</f>
        <v>400</v>
      </c>
      <c r="BM49">
        <f>_xlfn.XLOOKUP(B49,'[6]august-2025'!$A:$A,'[6]august-2025'!$G:$G,0,0)</f>
        <v>500</v>
      </c>
      <c r="BN49">
        <f>IF(BI49&gt;0,SUM(BI49:BM49),0)</f>
        <v>66160</v>
      </c>
      <c r="BO49">
        <f>_xlfn.XLOOKUP(B49,'[6]august-2025'!$A:$A,'[6]august-2025'!$H:$H,0,0)</f>
        <v>6000</v>
      </c>
      <c r="BP49">
        <f>_xlfn.XLOOKUP(B49,'[6]august-2025'!$A:$A,'[6]august-2025'!$I:$I,0,0)</f>
        <v>0</v>
      </c>
      <c r="BQ49">
        <f>IF($F49="YES",0,IF(BN49&gt;40000,200,IF(BN49&gt;25000,150,IF(BN49&gt;15000,130,IF(BN49&gt;10000,110,0)))))</f>
        <v>200</v>
      </c>
      <c r="BR49">
        <f>BN49-BO49-BP49-BQ49</f>
        <v>59960</v>
      </c>
      <c r="BS49">
        <f>_xlfn.XLOOKUP(B49,'[7]september-2025'!$A:$A,'[7]september-2025'!$C:$C,0,0)</f>
        <v>50200</v>
      </c>
      <c r="BT49">
        <f>BS49*0.18</f>
        <v>9036</v>
      </c>
      <c r="BU49">
        <f>BS49*0.12</f>
        <v>6024</v>
      </c>
      <c r="BV49">
        <f>_xlfn.XLOOKUP(B49,'[7]september-2025'!$A:$A,'[7]september-2025'!$D:$D,0,0)</f>
        <v>400</v>
      </c>
      <c r="BW49">
        <f>_xlfn.XLOOKUP(B49,'[7]september-2025'!$A:$A,'[7]september-2025'!$G:$G,0,0)</f>
        <v>500</v>
      </c>
      <c r="BX49">
        <f>IF(BS49&gt;0,SUM(BS49:BW49),0)</f>
        <v>66160</v>
      </c>
      <c r="BY49">
        <f>_xlfn.XLOOKUP(B49,'[7]september-2025'!$A:$A,'[7]september-2025'!$H:$H,0,0)</f>
        <v>6000</v>
      </c>
      <c r="BZ49">
        <f>_xlfn.XLOOKUP(B49,'[7]september-2025'!$A:$A,'[7]september-2025'!$I:$I,0,0)</f>
        <v>0</v>
      </c>
      <c r="CA49">
        <f>IF($F49="YES",0,IF(BX49&gt;40000,200,IF(BX49&gt;25000,150,IF(BX49&gt;15000,130,IF(BX49&gt;10000,110,0)))))</f>
        <v>200</v>
      </c>
      <c r="CB49">
        <f>BX49-BY49-BZ49-CA49</f>
        <v>59960</v>
      </c>
      <c r="CC49">
        <f>_xlfn.XLOOKUP(B49,'[8]october-2025'!$A:$A,'[8]october-2025'!$C:$C,0,0)</f>
        <v>50200</v>
      </c>
      <c r="CD49">
        <f>CC49*0.18</f>
        <v>9036</v>
      </c>
      <c r="CE49">
        <f>CC49*0.12</f>
        <v>6024</v>
      </c>
      <c r="CF49">
        <f>_xlfn.XLOOKUP(B49,'[8]october-2025'!$A:$A,'[8]october-2025'!$D:$D,0,0)</f>
        <v>400</v>
      </c>
      <c r="CG49">
        <f>_xlfn.XLOOKUP(B49,'[8]october-2025'!$A:$A,'[8]october-2025'!$G:$G,0,0)</f>
        <v>500</v>
      </c>
      <c r="CH49">
        <f>IF(CC49&gt;0,SUM(CC49:CG49),0)</f>
        <v>66160</v>
      </c>
      <c r="CI49">
        <f>_xlfn.XLOOKUP(B49,'[8]october-2025'!$A:$A,'[8]october-2025'!$H:$H,0,0)</f>
        <v>6000</v>
      </c>
      <c r="CJ49">
        <f>_xlfn.XLOOKUP(B49,'[8]october-2025'!$A:$A,'[8]october-2025'!$I:$I,0,0)</f>
        <v>0</v>
      </c>
      <c r="CK49">
        <f>IF($F49="YES",0,IF(CH49&gt;40000,200,IF(CH49&gt;25000,150,IF(CH49&gt;15000,130,IF(CH49&gt;10000,110,0)))))</f>
        <v>200</v>
      </c>
      <c r="CL49">
        <f>CH49-CI49-CJ49-CK49</f>
        <v>59960</v>
      </c>
      <c r="CM49">
        <f>_xlfn.XLOOKUP(B49,'[9]november-2025'!$A:$A,'[9]november-2025'!$C:$C,0,0)</f>
        <v>50200</v>
      </c>
      <c r="CN49">
        <f>CM49*0.18</f>
        <v>9036</v>
      </c>
      <c r="CO49">
        <f>CM49*0.12</f>
        <v>6024</v>
      </c>
      <c r="CP49">
        <f>_xlfn.XLOOKUP(B49,'[9]november-2025'!$A:$A,'[9]november-2025'!$D:$D,0,0)</f>
        <v>400</v>
      </c>
      <c r="CQ49">
        <f>_xlfn.XLOOKUP(B49,'[9]november-2025'!$A:$A,'[9]november-2025'!$G:$G,0,0)</f>
        <v>500</v>
      </c>
      <c r="CR49">
        <f>IF(CM49&gt;0,SUM(CM49:CQ49),0)</f>
        <v>66160</v>
      </c>
      <c r="CS49">
        <f>_xlfn.XLOOKUP(B49,'[9]november-2025'!$A:$A,'[9]november-2025'!$H:$H,0,0)</f>
        <v>6000</v>
      </c>
      <c r="CT49">
        <f>_xlfn.XLOOKUP(B49,'[9]november-2025'!$A:$A,'[9]november-2025'!$I:$I,0,0)</f>
        <v>0</v>
      </c>
      <c r="CU49">
        <f>IF($F49="YES",0,IF(CR49&gt;40000,200,IF(CR49&gt;25000,150,IF(CR49&gt;15000,130,IF(CR49&gt;10000,110,0)))))</f>
        <v>200</v>
      </c>
      <c r="CV49">
        <f>CR49-CS49-CT49-CU49</f>
        <v>59960</v>
      </c>
      <c r="CW49">
        <f>_xlfn.XLOOKUP(B49,'[10]december-2025'!$A:$A,'[10]december-2025'!$C:$C,0,0)</f>
        <v>50200</v>
      </c>
      <c r="CX49">
        <f>ROUND(CW49*0.18,0)</f>
        <v>9036</v>
      </c>
      <c r="CY49">
        <f>ROUND(CW49*0.12,0)</f>
        <v>6024</v>
      </c>
      <c r="CZ49">
        <f>_xlfn.XLOOKUP(B49,'[10]december-2025'!$A:$A,'[10]december-2025'!$D:$D,0,0)</f>
        <v>400</v>
      </c>
      <c r="DA49">
        <f>_xlfn.XLOOKUP(B49,'[10]december-2025'!$A:$A,'[10]december-2025'!$G:$G,0,0)</f>
        <v>500</v>
      </c>
      <c r="DB49">
        <f>IF(CW49&gt;0,SUM(CW49:DA49),0)</f>
        <v>66160</v>
      </c>
      <c r="DC49">
        <f>_xlfn.XLOOKUP(B49,'[10]december-2025'!$A:$A,'[10]december-2025'!$H:$H,0,0)</f>
        <v>6000</v>
      </c>
      <c r="DD49">
        <f>_xlfn.XLOOKUP(B49,'[10]december-2025'!$A:$A,'[10]december-2025'!$I:$I,0,0)</f>
        <v>0</v>
      </c>
      <c r="DE49">
        <f>IF($F49="YES",0,IF(DB49&gt;40000,200,IF(DB49&gt;25000,150,IF(DB49&gt;15000,130,IF(DB49&gt;10000,110,0)))))</f>
        <v>200</v>
      </c>
      <c r="DF49">
        <f>DB49-DC49-DD49-DE49</f>
        <v>59960</v>
      </c>
      <c r="DG49">
        <f>_xlfn.XLOOKUP(B49,'[11]january-2026'!$A:$A,'[11]january-2026'!$C:$C,0,0)</f>
        <v>50200</v>
      </c>
      <c r="DH49">
        <f>DG49*0.18</f>
        <v>9036</v>
      </c>
      <c r="DI49">
        <f>DG49*0.12</f>
        <v>6024</v>
      </c>
      <c r="DJ49">
        <f>_xlfn.XLOOKUP(B49,'[11]january-2026'!$A:$A,'[11]january-2026'!$D:$D,0,0)</f>
        <v>400</v>
      </c>
      <c r="DK49">
        <f>_xlfn.XLOOKUP(B49,'[11]january-2026'!$A:$A,'[11]january-2026'!$G:$G,0,0)</f>
        <v>500</v>
      </c>
      <c r="DL49">
        <f>IF(DG49&gt;0,SUM(DG49:DK49),0)</f>
        <v>66160</v>
      </c>
      <c r="DM49">
        <f>_xlfn.XLOOKUP(B49,'[11]january-2026'!$A:$A,'[11]january-2026'!$H:$H,0,0)</f>
        <v>6000</v>
      </c>
      <c r="DN49">
        <f>_xlfn.XLOOKUP(B49,'[11]january-2026'!$A:$A,'[11]january-2026'!$I:$I,0,0)</f>
        <v>0</v>
      </c>
      <c r="DO49">
        <f>IF($F49="YES",0,IF(DL49&gt;40000,200,IF(DL49&gt;25000,150,IF(DL49&gt;15000,130,IF(DL49&gt;10000,110,0)))))</f>
        <v>200</v>
      </c>
      <c r="DP49">
        <f>DL49-DM49-DN49-DO49</f>
        <v>59960</v>
      </c>
      <c r="DQ49">
        <f>_xlfn.XLOOKUP(B49,'[12]february-2026'!$A:$A,'[12]february-2026'!$C:$C,0,0)</f>
        <v>50200</v>
      </c>
      <c r="DR49">
        <f>DQ49*0.18</f>
        <v>9036</v>
      </c>
      <c r="DS49">
        <f>DQ49*0.12</f>
        <v>6024</v>
      </c>
      <c r="DT49">
        <f>_xlfn.XLOOKUP(B49,'[12]february-2026'!$A:$A,'[12]february-2026'!$D:$D,0,0)</f>
        <v>400</v>
      </c>
      <c r="DU49">
        <f>_xlfn.XLOOKUP(B49,'[12]february-2026'!$A:$A,'[12]february-2026'!$G:$G,0,0)</f>
        <v>500</v>
      </c>
      <c r="DV49">
        <f>IF(DQ49&gt;0,SUM(DQ49:DU49),0)</f>
        <v>66160</v>
      </c>
      <c r="DW49">
        <f>_xlfn.XLOOKUP(B49,'[12]february-2026'!$A:$A,'[12]february-2026'!$H:$H,0,0)</f>
        <v>6000</v>
      </c>
      <c r="DX49">
        <f>_xlfn.XLOOKUP(B49,'[12]february-2026'!$A:$A,'[12]february-2026'!$I:$I,0,0)</f>
        <v>0</v>
      </c>
      <c r="DY49">
        <f>IF($F49="YES",0,IF(DV49&gt;40000,200,IF(DV49&gt;25000,150,IF(DV49&gt;15000,130,IF(DV49&gt;10000,110,0)))))</f>
        <v>200</v>
      </c>
      <c r="DZ49">
        <f>DV49-DW49-DX49-DY49</f>
        <v>59960</v>
      </c>
      <c r="EA49">
        <f>DV49+DL49+DB49+CR49+CH49+BX49+BN49+BD49+AS49+AI49+Y49+O49+H49+I49</f>
        <v>790972</v>
      </c>
      <c r="EB49">
        <f>DY49+DO49+DE49+CU49+CK49+CA49+BQ49+BG49+AV49+AL49+AB49+R49</f>
        <v>2400</v>
      </c>
      <c r="EC49">
        <f>IF(EA49&gt;0,50000,0)</f>
        <v>50000</v>
      </c>
      <c r="ED49">
        <v>0</v>
      </c>
      <c r="EE49">
        <f>EA49-EB49-EC49</f>
        <v>738572</v>
      </c>
      <c r="EF49">
        <f>DW49+DM49+DC49+CS49+CI49+BY49+BO49+BE49+AT49+AJ49+Z49+P49</f>
        <v>72000</v>
      </c>
      <c r="EG49">
        <f>DX49+DN49+DD49+CT49+CJ49+BZ49+BP49+BF49+AU49+AK49+AA49+Q49</f>
        <v>0</v>
      </c>
      <c r="EH49">
        <v>0</v>
      </c>
      <c r="EI49">
        <v>0</v>
      </c>
      <c r="EJ49">
        <v>0</v>
      </c>
      <c r="EK49">
        <v>0</v>
      </c>
      <c r="EL49">
        <v>0</v>
      </c>
      <c r="EM49">
        <v>0</v>
      </c>
      <c r="EN49">
        <v>0</v>
      </c>
      <c r="EO49">
        <v>0</v>
      </c>
      <c r="EP49">
        <v>0</v>
      </c>
      <c r="EQ49">
        <v>0</v>
      </c>
      <c r="ER49">
        <f>SUM(EF49:EQ49)</f>
        <v>72000</v>
      </c>
      <c r="ES49">
        <f>IF(ER49&gt;=150000,150000,ER49)</f>
        <v>72000</v>
      </c>
      <c r="ET49">
        <f>EE49-ES49</f>
        <v>666572</v>
      </c>
      <c r="EU49">
        <v>0</v>
      </c>
      <c r="EV49">
        <v>0</v>
      </c>
      <c r="EW49">
        <v>0</v>
      </c>
      <c r="EX49">
        <v>0</v>
      </c>
      <c r="EY49">
        <v>0</v>
      </c>
      <c r="EZ49">
        <v>0</v>
      </c>
      <c r="FA49">
        <v>0</v>
      </c>
      <c r="FB49">
        <f>SUM(EU49:FA49)+(IF(F49="YES",50000,0))</f>
        <v>0</v>
      </c>
      <c r="FC49">
        <f>ET49-FB49</f>
        <v>666572</v>
      </c>
      <c r="FD49">
        <f>ROUND(IF(FC49&gt;0,IF(FC49&gt;500000,12500,(FC49-250000)*0.05),0),0)</f>
        <v>12500</v>
      </c>
      <c r="FE49">
        <f>IF(ROUND(IF(FC49&gt;0,IF(FC49&gt;1000000,25000,(FC49-500000)*0.2),0),0)&lt;0,0,ROUND(IF(FC49&gt;0,IF(FC49&gt;1000000,25000,(FC49-500000)*0.2),0),0))</f>
        <v>33314</v>
      </c>
      <c r="FF49">
        <f>FD49+FE49</f>
        <v>45814</v>
      </c>
      <c r="FG49">
        <f>IF(FF49&lt;12500,0,FF49)</f>
        <v>45814</v>
      </c>
      <c r="FH49">
        <f>FG49*0.04</f>
        <v>1832.56</v>
      </c>
      <c r="FI49">
        <f>ROUND(FH49+FG49,0)</f>
        <v>47647</v>
      </c>
      <c r="FJ49">
        <v>0</v>
      </c>
      <c r="FK49">
        <f>FI49-FJ49</f>
        <v>47647</v>
      </c>
      <c r="FL49" t="b">
        <f>IF(EA49&gt;500000,TRUE,FALSE)</f>
        <v>1</v>
      </c>
      <c r="FM49">
        <f ca="1">IF(FL49,RANDBETWEEN(500,1000),RANDBETWEEN(1000,3000))</f>
        <v>785</v>
      </c>
      <c r="FN49">
        <f ca="1">EA49+FM49</f>
        <v>791757</v>
      </c>
      <c r="FO49">
        <f>IF(EA49&gt;0,75000,0)</f>
        <v>75000</v>
      </c>
      <c r="FP49">
        <f ca="1">FN49-FO49</f>
        <v>716757</v>
      </c>
      <c r="FQ49">
        <f ca="1">IF(FP49&gt;2400000,FP49-2400000,0)</f>
        <v>0</v>
      </c>
      <c r="FR49">
        <f ca="1">FQ49*0.3</f>
        <v>0</v>
      </c>
      <c r="FS49">
        <f ca="1">IF(FP49&gt;2000000,FP49-2000000,0)</f>
        <v>0</v>
      </c>
      <c r="FT49">
        <f ca="1">FS49*0.25</f>
        <v>0</v>
      </c>
      <c r="FU49">
        <f ca="1">IF(FP49&gt;1600000,FP49-1600000-FQ49,0)</f>
        <v>0</v>
      </c>
      <c r="FV49">
        <f ca="1">FU49*0.2</f>
        <v>0</v>
      </c>
      <c r="FW49">
        <f ca="1">IF(FP49&gt;1200000,FP49-1200000-IF(F49="YES",50000,0)-FU49,0)</f>
        <v>0</v>
      </c>
      <c r="FX49">
        <f ca="1">FW49*0.15</f>
        <v>0</v>
      </c>
      <c r="FY49">
        <f ca="1">IF(FP49&gt;800000,FP49-800000-FQ49-FU49-FW49,0)</f>
        <v>0</v>
      </c>
      <c r="FZ49">
        <f ca="1">FY49*0.1</f>
        <v>0</v>
      </c>
      <c r="GA49">
        <f ca="1">IF(FP49&gt;400000,FP49-400000-FQ49-FU49-FW49-FY49,0)</f>
        <v>316757</v>
      </c>
      <c r="GB49">
        <f ca="1">GA49*0.05</f>
        <v>15837.85</v>
      </c>
      <c r="GC49">
        <f ca="1">ROUND(FR49+FT49+FV49+FX49+FZ49+GB49,0)</f>
        <v>15838</v>
      </c>
      <c r="GD49">
        <f ca="1">IF(FP49&gt;1200000,FP49,0)</f>
        <v>0</v>
      </c>
      <c r="GE49">
        <f ca="1">IF(FP49&gt;1200000,GD49-1200000,0)</f>
        <v>0</v>
      </c>
      <c r="GF49">
        <f ca="1">IF(FP49&lt;1200001,MIN(GC49,60000),0)</f>
        <v>15838</v>
      </c>
      <c r="GG49">
        <f ca="1">IF(FP49&gt;1200000,GC49-GE49,0)</f>
        <v>0</v>
      </c>
      <c r="GH49" t="b">
        <f ca="1">IF(GG49&gt;0,TRUE,FALSE)</f>
        <v>0</v>
      </c>
      <c r="GI49">
        <f ca="1">IF(GH49,GG49,0)</f>
        <v>0</v>
      </c>
      <c r="GJ49">
        <f ca="1">GF49+GI49</f>
        <v>15838</v>
      </c>
      <c r="GK49">
        <f ca="1">ROUND(GC49-GJ49,0)</f>
        <v>0</v>
      </c>
      <c r="GL49">
        <f ca="1">GK49*0.04</f>
        <v>0</v>
      </c>
      <c r="GM49">
        <f ca="1">ROUNDUP(GK49+GL49,0)</f>
        <v>0</v>
      </c>
    </row>
    <row r="50" spans="1:195" x14ac:dyDescent="0.25">
      <c r="A50">
        <f>_xlfn.AGGREGATE(3,5,$B$2:B50)</f>
        <v>49</v>
      </c>
      <c r="B50" t="s">
        <v>218</v>
      </c>
      <c r="C50" t="s">
        <v>219</v>
      </c>
      <c r="D50" t="s">
        <v>765</v>
      </c>
      <c r="E50" t="s">
        <v>833</v>
      </c>
      <c r="F50" t="s">
        <v>959</v>
      </c>
      <c r="G50" t="s">
        <v>903</v>
      </c>
      <c r="H50">
        <f>IF(_xlfn.DAYS("31-03-2025",G50)&gt;=180,6800,0)</f>
        <v>6800</v>
      </c>
      <c r="I50">
        <f>_xlfn.XLOOKUP(B50,'[1]march-2025'!$A:$A,'[1]march-2025'!$J:$J,0,0)</f>
        <v>0</v>
      </c>
      <c r="J50">
        <f>_xlfn.XLOOKUP(B50,'[1]march-2025'!$A:$A,'[1]march-2025'!$C:$C,0,0)</f>
        <v>33500</v>
      </c>
      <c r="K50">
        <f>J50*0.14</f>
        <v>4690</v>
      </c>
      <c r="L50">
        <f>J50*0.12</f>
        <v>4020</v>
      </c>
      <c r="M50">
        <f>_xlfn.XLOOKUP(B50,'[1]march-2025'!$A:$A,'[1]march-2025'!$D:$D,0,0)</f>
        <v>0</v>
      </c>
      <c r="N50">
        <f>_xlfn.XLOOKUP(B50,'[1]march-2025'!$A:$A,'[1]march-2025'!$G:$G,0,0)</f>
        <v>500</v>
      </c>
      <c r="O50">
        <f>IF(J50&gt;0,SUM(J50:N50),0)</f>
        <v>42710</v>
      </c>
      <c r="P50">
        <f>_xlfn.XLOOKUP(B50,'[1]march-2025'!$A:$A,'[1]march-2025'!$H:$H,0,0)</f>
        <v>6000</v>
      </c>
      <c r="Q50">
        <f>_xlfn.XLOOKUP(B50,'[1]march-2025'!$A:$A,'[1]march-2025'!$I:$I,0,0)</f>
        <v>0</v>
      </c>
      <c r="R50">
        <f>IF($F50="YES",0,IF(O50&gt;40000,200,IF(O50&gt;25000,150,IF(O50&gt;15000,130,IF(O50&gt;10000,110,0)))))</f>
        <v>200</v>
      </c>
      <c r="S50">
        <f>O50-P50-Q50-R50</f>
        <v>36510</v>
      </c>
      <c r="T50">
        <f>_xlfn.XLOOKUP(B50,'[2]april-2025'!$A:$A,'[2]april-2025'!$C:$C,0,0)</f>
        <v>33500</v>
      </c>
      <c r="U50">
        <f>T50*0.18</f>
        <v>6030</v>
      </c>
      <c r="V50">
        <f>T50*0.12</f>
        <v>4020</v>
      </c>
      <c r="W50">
        <f>_xlfn.XLOOKUP(B50,'[2]april-2025'!$A:$A,'[2]april-2025'!$D:$D,0,0)</f>
        <v>0</v>
      </c>
      <c r="X50">
        <f>_xlfn.XLOOKUP(B50,'[2]april-2025'!$A:$A,'[2]april-2025'!$G:$G,0,0)</f>
        <v>500</v>
      </c>
      <c r="Y50">
        <f>IF(T50&gt;0,SUM(T50:X50),0)</f>
        <v>44050</v>
      </c>
      <c r="Z50">
        <f>_xlfn.XLOOKUP(B50,'[2]april-2025'!$A:$A,'[2]april-2025'!$H:$H,0,0)</f>
        <v>6000</v>
      </c>
      <c r="AA50">
        <f>_xlfn.XLOOKUP(B50,'[2]april-2025'!$A:$A,'[2]april-2025'!$I:$I,0,0)</f>
        <v>0</v>
      </c>
      <c r="AB50">
        <f>IF($F50="YES",0,IF(Y50&gt;40000,200,IF(Y50&gt;25000,150,IF(Y50&gt;15000,130,IF(Y50&gt;10000,110,0)))))</f>
        <v>200</v>
      </c>
      <c r="AC50">
        <f>Y50-Z50-AA50-AB50</f>
        <v>37850</v>
      </c>
      <c r="AD50">
        <f>_xlfn.XLOOKUP(B50,'[3]may-2025'!$A:$A,'[3]may-2025'!$C:$C,0,0)</f>
        <v>33500</v>
      </c>
      <c r="AE50">
        <f>AD50*0.18</f>
        <v>6030</v>
      </c>
      <c r="AF50">
        <f>AD50*0.12</f>
        <v>4020</v>
      </c>
      <c r="AG50">
        <f>_xlfn.XLOOKUP(B50,'[3]may-2025'!$A:$A,'[3]may-2025'!$D:$D,0,0)</f>
        <v>0</v>
      </c>
      <c r="AH50">
        <f>_xlfn.XLOOKUP(B50,'[3]may-2025'!$A:$A,'[3]may-2025'!$G:$G,0,0)</f>
        <v>500</v>
      </c>
      <c r="AI50">
        <f>IF(AD50&gt;0,SUM(AD50:AH50),0)</f>
        <v>44050</v>
      </c>
      <c r="AJ50">
        <f>_xlfn.XLOOKUP(B50,'[3]may-2025'!$A:$A,'[3]may-2025'!$H:$H,0,0)</f>
        <v>6000</v>
      </c>
      <c r="AK50">
        <f>_xlfn.XLOOKUP(B50,'[3]may-2025'!$A:$A,'[3]may-2025'!$I:$I,0,0)</f>
        <v>0</v>
      </c>
      <c r="AL50">
        <f>IF($F50="YES",0,IF(AI50&gt;40000,200,IF(AI50&gt;25000,150,IF(AI50&gt;15000,130,IF(AI50&gt;10000,110,0)))))</f>
        <v>200</v>
      </c>
      <c r="AM50">
        <f>AI50-AJ50-AK50-AL50</f>
        <v>37850</v>
      </c>
      <c r="AN50">
        <f>_xlfn.XLOOKUP(B50,'[4]june-2025'!$A:$A,'[4]june-2025'!$C:$C,0,0)</f>
        <v>33500</v>
      </c>
      <c r="AO50">
        <f>AN50*0.18</f>
        <v>6030</v>
      </c>
      <c r="AP50">
        <f>AN50*0.12</f>
        <v>4020</v>
      </c>
      <c r="AQ50">
        <f>_xlfn.XLOOKUP(B50,'[4]june-2025'!$A:$A,'[4]june-2025'!$D:$D,0,0)</f>
        <v>0</v>
      </c>
      <c r="AR50">
        <f>_xlfn.XLOOKUP(B50,'[4]june-2025'!$A:$A,'[4]june-2025'!$G:$G,0,0)</f>
        <v>500</v>
      </c>
      <c r="AS50">
        <f>IF(AN50&gt;0,SUM(AN50:AR50),0)</f>
        <v>44050</v>
      </c>
      <c r="AT50">
        <f>_xlfn.XLOOKUP(B50,'[4]june-2025'!$A:$A,'[4]june-2025'!$H:$H,0,0)</f>
        <v>6000</v>
      </c>
      <c r="AU50">
        <f>_xlfn.XLOOKUP(B50,'[4]june-2025'!$A:$A,'[4]june-2025'!$I:$I,0,0)</f>
        <v>0</v>
      </c>
      <c r="AV50">
        <f>IF($F50="YES",0,IF(AS50&gt;40000,200,IF(AS50&gt;25000,150,IF(AS50&gt;15000,130,IF(AS50&gt;10000,110,0)))))</f>
        <v>200</v>
      </c>
      <c r="AW50">
        <f>AS50-AT50-AU50-AV50</f>
        <v>37850</v>
      </c>
      <c r="AX50">
        <f>_xlfn.XLOOKUP(B50,'[5]july-2025'!$A:$A,'[5]july-2025'!$C:$C,0,0)</f>
        <v>35500</v>
      </c>
      <c r="AY50">
        <f>AX50*0.18</f>
        <v>6390</v>
      </c>
      <c r="AZ50">
        <v>0</v>
      </c>
      <c r="BA50">
        <f>AX50*0.12</f>
        <v>4260</v>
      </c>
      <c r="BB50">
        <f>_xlfn.XLOOKUP(B50,'[5]july-2025'!$A:$A,'[5]july-2025'!$D:$D,0,0)</f>
        <v>0</v>
      </c>
      <c r="BC50">
        <f>_xlfn.XLOOKUP(B50,'[5]july-2025'!$A:$A,'[5]july-2025'!$G:$G,0,0)</f>
        <v>500</v>
      </c>
      <c r="BD50">
        <f>IF(AX50&gt;0,SUM(AX50:BC50),0)</f>
        <v>46650</v>
      </c>
      <c r="BE50">
        <f>_xlfn.XLOOKUP(B50,'[5]july-2025'!$A:$A,'[5]july-2025'!$H:$H,0,0)</f>
        <v>6000</v>
      </c>
      <c r="BF50">
        <f>_xlfn.XLOOKUP(B50,'[5]july-2025'!$A:$A,'[5]july-2025'!$I:$I,0,0)</f>
        <v>0</v>
      </c>
      <c r="BG50">
        <f>IF($F50="YES",0,IF(BD50&gt;40000,200,IF(BD50&gt;25000,150,IF(BD50&gt;15000,130,IF(BD50&gt;10000,110,0)))))</f>
        <v>200</v>
      </c>
      <c r="BH50">
        <f>BD50-BE50-BF50-BG50</f>
        <v>40450</v>
      </c>
      <c r="BI50">
        <f>_xlfn.XLOOKUP(B50,'[6]august-2025'!$A:$A,'[6]august-2025'!$C:$C,0,0)</f>
        <v>35500</v>
      </c>
      <c r="BJ50">
        <f>BI50*0.18</f>
        <v>6390</v>
      </c>
      <c r="BK50">
        <f>BI50*0.12</f>
        <v>4260</v>
      </c>
      <c r="BL50">
        <f>_xlfn.XLOOKUP(B50,'[6]august-2025'!$A:$A,'[6]august-2025'!$D:$D,0,0)</f>
        <v>0</v>
      </c>
      <c r="BM50">
        <f>_xlfn.XLOOKUP(B50,'[6]august-2025'!$A:$A,'[6]august-2025'!$G:$G,0,0)</f>
        <v>500</v>
      </c>
      <c r="BN50">
        <f>IF(BI50&gt;0,SUM(BI50:BM50),0)</f>
        <v>46650</v>
      </c>
      <c r="BO50">
        <f>_xlfn.XLOOKUP(B50,'[6]august-2025'!$A:$A,'[6]august-2025'!$H:$H,0,0)</f>
        <v>6000</v>
      </c>
      <c r="BP50">
        <f>_xlfn.XLOOKUP(B50,'[6]august-2025'!$A:$A,'[6]august-2025'!$I:$I,0,0)</f>
        <v>0</v>
      </c>
      <c r="BQ50">
        <f>IF($F50="YES",0,IF(BN50&gt;40000,200,IF(BN50&gt;25000,150,IF(BN50&gt;15000,130,IF(BN50&gt;10000,110,0)))))</f>
        <v>200</v>
      </c>
      <c r="BR50">
        <f>BN50-BO50-BP50-BQ50</f>
        <v>40450</v>
      </c>
      <c r="BS50">
        <f>_xlfn.XLOOKUP(B50,'[7]september-2025'!$A:$A,'[7]september-2025'!$C:$C,0,0)</f>
        <v>35500</v>
      </c>
      <c r="BT50">
        <f>BS50*0.18</f>
        <v>6390</v>
      </c>
      <c r="BU50">
        <f>BS50*0.12</f>
        <v>4260</v>
      </c>
      <c r="BV50">
        <f>_xlfn.XLOOKUP(B50,'[7]september-2025'!$A:$A,'[7]september-2025'!$D:$D,0,0)</f>
        <v>0</v>
      </c>
      <c r="BW50">
        <f>_xlfn.XLOOKUP(B50,'[7]september-2025'!$A:$A,'[7]september-2025'!$G:$G,0,0)</f>
        <v>500</v>
      </c>
      <c r="BX50">
        <f>IF(BS50&gt;0,SUM(BS50:BW50),0)</f>
        <v>46650</v>
      </c>
      <c r="BY50">
        <f>_xlfn.XLOOKUP(B50,'[7]september-2025'!$A:$A,'[7]september-2025'!$H:$H,0,0)</f>
        <v>6000</v>
      </c>
      <c r="BZ50">
        <f>_xlfn.XLOOKUP(B50,'[7]september-2025'!$A:$A,'[7]september-2025'!$I:$I,0,0)</f>
        <v>0</v>
      </c>
      <c r="CA50">
        <f>IF($F50="YES",0,IF(BX50&gt;40000,200,IF(BX50&gt;25000,150,IF(BX50&gt;15000,130,IF(BX50&gt;10000,110,0)))))</f>
        <v>200</v>
      </c>
      <c r="CB50">
        <f>BX50-BY50-BZ50-CA50</f>
        <v>40450</v>
      </c>
      <c r="CC50">
        <f>_xlfn.XLOOKUP(B50,'[8]october-2025'!$A:$A,'[8]october-2025'!$C:$C,0,0)</f>
        <v>35500</v>
      </c>
      <c r="CD50">
        <f>CC50*0.18</f>
        <v>6390</v>
      </c>
      <c r="CE50">
        <f>CC50*0.12</f>
        <v>4260</v>
      </c>
      <c r="CF50">
        <f>_xlfn.XLOOKUP(B50,'[8]october-2025'!$A:$A,'[8]october-2025'!$D:$D,0,0)</f>
        <v>0</v>
      </c>
      <c r="CG50">
        <f>_xlfn.XLOOKUP(B50,'[8]october-2025'!$A:$A,'[8]october-2025'!$G:$G,0,0)</f>
        <v>500</v>
      </c>
      <c r="CH50">
        <f>IF(CC50&gt;0,SUM(CC50:CG50),0)</f>
        <v>46650</v>
      </c>
      <c r="CI50">
        <f>_xlfn.XLOOKUP(B50,'[8]october-2025'!$A:$A,'[8]october-2025'!$H:$H,0,0)</f>
        <v>6000</v>
      </c>
      <c r="CJ50">
        <f>_xlfn.XLOOKUP(B50,'[8]october-2025'!$A:$A,'[8]october-2025'!$I:$I,0,0)</f>
        <v>0</v>
      </c>
      <c r="CK50">
        <f>IF($F50="YES",0,IF(CH50&gt;40000,200,IF(CH50&gt;25000,150,IF(CH50&gt;15000,130,IF(CH50&gt;10000,110,0)))))</f>
        <v>200</v>
      </c>
      <c r="CL50">
        <f>CH50-CI50-CJ50-CK50</f>
        <v>40450</v>
      </c>
      <c r="CM50">
        <f>_xlfn.XLOOKUP(B50,'[9]november-2025'!$A:$A,'[9]november-2025'!$C:$C,0,0)</f>
        <v>35500</v>
      </c>
      <c r="CN50">
        <f>CM50*0.18</f>
        <v>6390</v>
      </c>
      <c r="CO50">
        <f>CM50*0.12</f>
        <v>4260</v>
      </c>
      <c r="CP50">
        <f>_xlfn.XLOOKUP(B50,'[9]november-2025'!$A:$A,'[9]november-2025'!$D:$D,0,0)</f>
        <v>0</v>
      </c>
      <c r="CQ50">
        <f>_xlfn.XLOOKUP(B50,'[9]november-2025'!$A:$A,'[9]november-2025'!$G:$G,0,0)</f>
        <v>500</v>
      </c>
      <c r="CR50">
        <f>IF(CM50&gt;0,SUM(CM50:CQ50),0)</f>
        <v>46650</v>
      </c>
      <c r="CS50">
        <f>_xlfn.XLOOKUP(B50,'[9]november-2025'!$A:$A,'[9]november-2025'!$H:$H,0,0)</f>
        <v>6000</v>
      </c>
      <c r="CT50">
        <f>_xlfn.XLOOKUP(B50,'[9]november-2025'!$A:$A,'[9]november-2025'!$I:$I,0,0)</f>
        <v>0</v>
      </c>
      <c r="CU50">
        <f>IF($F50="YES",0,IF(CR50&gt;40000,200,IF(CR50&gt;25000,150,IF(CR50&gt;15000,130,IF(CR50&gt;10000,110,0)))))</f>
        <v>200</v>
      </c>
      <c r="CV50">
        <f>CR50-CS50-CT50-CU50</f>
        <v>40450</v>
      </c>
      <c r="CW50">
        <f>_xlfn.XLOOKUP(B50,'[10]december-2025'!$A:$A,'[10]december-2025'!$C:$C,0,0)</f>
        <v>35500</v>
      </c>
      <c r="CX50">
        <f>ROUND(CW50*0.18,0)</f>
        <v>6390</v>
      </c>
      <c r="CY50">
        <f>ROUND(CW50*0.12,0)</f>
        <v>4260</v>
      </c>
      <c r="CZ50">
        <f>_xlfn.XLOOKUP(B50,'[10]december-2025'!$A:$A,'[10]december-2025'!$D:$D,0,0)</f>
        <v>0</v>
      </c>
      <c r="DA50">
        <f>_xlfn.XLOOKUP(B50,'[10]december-2025'!$A:$A,'[10]december-2025'!$G:$G,0,0)</f>
        <v>500</v>
      </c>
      <c r="DB50">
        <f>IF(CW50&gt;0,SUM(CW50:DA50),0)</f>
        <v>46650</v>
      </c>
      <c r="DC50">
        <f>_xlfn.XLOOKUP(B50,'[10]december-2025'!$A:$A,'[10]december-2025'!$H:$H,0,0)</f>
        <v>6000</v>
      </c>
      <c r="DD50">
        <f>_xlfn.XLOOKUP(B50,'[10]december-2025'!$A:$A,'[10]december-2025'!$I:$I,0,0)</f>
        <v>0</v>
      </c>
      <c r="DE50">
        <f>IF($F50="YES",0,IF(DB50&gt;40000,200,IF(DB50&gt;25000,150,IF(DB50&gt;15000,130,IF(DB50&gt;10000,110,0)))))</f>
        <v>200</v>
      </c>
      <c r="DF50">
        <f>DB50-DC50-DD50-DE50</f>
        <v>40450</v>
      </c>
      <c r="DG50">
        <f>_xlfn.XLOOKUP(B50,'[11]january-2026'!$A:$A,'[11]january-2026'!$C:$C,0,0)</f>
        <v>35500</v>
      </c>
      <c r="DH50">
        <f>DG50*0.18</f>
        <v>6390</v>
      </c>
      <c r="DI50">
        <f>DG50*0.12</f>
        <v>4260</v>
      </c>
      <c r="DJ50">
        <f>_xlfn.XLOOKUP(B50,'[11]january-2026'!$A:$A,'[11]january-2026'!$D:$D,0,0)</f>
        <v>0</v>
      </c>
      <c r="DK50">
        <f>_xlfn.XLOOKUP(B50,'[11]january-2026'!$A:$A,'[11]january-2026'!$G:$G,0,0)</f>
        <v>500</v>
      </c>
      <c r="DL50">
        <f>IF(DG50&gt;0,SUM(DG50:DK50),0)</f>
        <v>46650</v>
      </c>
      <c r="DM50">
        <f>_xlfn.XLOOKUP(B50,'[11]january-2026'!$A:$A,'[11]january-2026'!$H:$H,0,0)</f>
        <v>6000</v>
      </c>
      <c r="DN50">
        <f>_xlfn.XLOOKUP(B50,'[11]january-2026'!$A:$A,'[11]january-2026'!$I:$I,0,0)</f>
        <v>0</v>
      </c>
      <c r="DO50">
        <f>IF($F50="YES",0,IF(DL50&gt;40000,200,IF(DL50&gt;25000,150,IF(DL50&gt;15000,130,IF(DL50&gt;10000,110,0)))))</f>
        <v>200</v>
      </c>
      <c r="DP50">
        <f>DL50-DM50-DN50-DO50</f>
        <v>40450</v>
      </c>
      <c r="DQ50">
        <f>_xlfn.XLOOKUP(B50,'[12]february-2026'!$A:$A,'[12]february-2026'!$C:$C,0,0)</f>
        <v>35500</v>
      </c>
      <c r="DR50">
        <f>DQ50*0.18</f>
        <v>6390</v>
      </c>
      <c r="DS50">
        <f>DQ50*0.12</f>
        <v>4260</v>
      </c>
      <c r="DT50">
        <f>_xlfn.XLOOKUP(B50,'[12]february-2026'!$A:$A,'[12]february-2026'!$D:$D,0,0)</f>
        <v>0</v>
      </c>
      <c r="DU50">
        <f>_xlfn.XLOOKUP(B50,'[12]february-2026'!$A:$A,'[12]february-2026'!$G:$G,0,0)</f>
        <v>500</v>
      </c>
      <c r="DV50">
        <f>IF(DQ50&gt;0,SUM(DQ50:DU50),0)</f>
        <v>46650</v>
      </c>
      <c r="DW50">
        <f>_xlfn.XLOOKUP(B50,'[12]february-2026'!$A:$A,'[12]february-2026'!$H:$H,0,0)</f>
        <v>6000</v>
      </c>
      <c r="DX50">
        <f>_xlfn.XLOOKUP(B50,'[12]february-2026'!$A:$A,'[12]february-2026'!$I:$I,0,0)</f>
        <v>0</v>
      </c>
      <c r="DY50">
        <f>IF($F50="YES",0,IF(DV50&gt;40000,200,IF(DV50&gt;25000,150,IF(DV50&gt;15000,130,IF(DV50&gt;10000,110,0)))))</f>
        <v>200</v>
      </c>
      <c r="DZ50">
        <f>DV50-DW50-DX50-DY50</f>
        <v>40450</v>
      </c>
      <c r="EA50">
        <f>DV50+DL50+DB50+CR50+CH50+BX50+BN50+BD50+AS50+AI50+Y50+O50+H50+I50</f>
        <v>554860</v>
      </c>
      <c r="EB50">
        <f>DY50+DO50+DE50+CU50+CK50+CA50+BQ50+BG50+AV50+AL50+AB50+R50</f>
        <v>2400</v>
      </c>
      <c r="EC50">
        <f>IF(EA50&gt;0,50000,0)</f>
        <v>50000</v>
      </c>
      <c r="ED50">
        <v>0</v>
      </c>
      <c r="EE50">
        <f>EA50-EB50-EC50</f>
        <v>502460</v>
      </c>
      <c r="EF50">
        <f>DW50+DM50+DC50+CS50+CI50+BY50+BO50+BE50+AT50+AJ50+Z50+P50</f>
        <v>72000</v>
      </c>
      <c r="EG50">
        <f>DX50+DN50+DD50+CT50+CJ50+BZ50+BP50+BF50+AU50+AK50+AA50+Q50</f>
        <v>0</v>
      </c>
      <c r="EH50">
        <v>0</v>
      </c>
      <c r="EI50">
        <v>0</v>
      </c>
      <c r="EJ50">
        <v>0</v>
      </c>
      <c r="EK50">
        <v>0</v>
      </c>
      <c r="EL50">
        <v>0</v>
      </c>
      <c r="EM50">
        <v>0</v>
      </c>
      <c r="EN50">
        <v>0</v>
      </c>
      <c r="EO50">
        <v>0</v>
      </c>
      <c r="EP50">
        <v>0</v>
      </c>
      <c r="EQ50">
        <v>0</v>
      </c>
      <c r="ER50">
        <f>SUM(EF50:EQ50)</f>
        <v>72000</v>
      </c>
      <c r="ES50">
        <f>IF(ER50&gt;=150000,150000,ER50)</f>
        <v>72000</v>
      </c>
      <c r="ET50">
        <f>EE50-ES50</f>
        <v>430460</v>
      </c>
      <c r="EU50">
        <v>0</v>
      </c>
      <c r="EV50">
        <v>0</v>
      </c>
      <c r="EW50">
        <v>0</v>
      </c>
      <c r="EX50">
        <v>0</v>
      </c>
      <c r="EY50">
        <v>0</v>
      </c>
      <c r="EZ50">
        <v>0</v>
      </c>
      <c r="FA50">
        <v>0</v>
      </c>
      <c r="FB50">
        <f>SUM(EU50:FA50)+(IF(F50="YES",50000,0))</f>
        <v>0</v>
      </c>
      <c r="FC50">
        <f>ET50-FB50</f>
        <v>430460</v>
      </c>
      <c r="FD50">
        <f>ROUND(IF(FC50&gt;0,IF(FC50&gt;500000,12500,(FC50-250000)*0.05),0),0)</f>
        <v>9023</v>
      </c>
      <c r="FE50">
        <f>IF(ROUND(IF(FC50&gt;0,IF(FC50&gt;1000000,25000,(FC50-500000)*0.2),0),0)&lt;0,0,ROUND(IF(FC50&gt;0,IF(FC50&gt;1000000,25000,(FC50-500000)*0.2),0),0))</f>
        <v>0</v>
      </c>
      <c r="FF50">
        <f>FD50+FE50</f>
        <v>9023</v>
      </c>
      <c r="FG50">
        <f>IF(FF50&lt;12500,0,FF50)</f>
        <v>0</v>
      </c>
      <c r="FH50">
        <f>FG50*0.04</f>
        <v>0</v>
      </c>
      <c r="FI50">
        <f>ROUND(FH50+FG50,0)</f>
        <v>0</v>
      </c>
      <c r="FJ50">
        <v>0</v>
      </c>
      <c r="FK50">
        <f>FI50-FJ50</f>
        <v>0</v>
      </c>
      <c r="FL50" t="b">
        <f>IF(EA50&gt;500000,TRUE,FALSE)</f>
        <v>1</v>
      </c>
      <c r="FM50">
        <f ca="1">IF(FL50,RANDBETWEEN(500,1000),RANDBETWEEN(1000,3000))</f>
        <v>780</v>
      </c>
      <c r="FN50">
        <f ca="1">EA50+FM50</f>
        <v>555640</v>
      </c>
      <c r="FO50">
        <f>IF(EA50&gt;0,75000,0)</f>
        <v>75000</v>
      </c>
      <c r="FP50">
        <f ca="1">FN50-FO50</f>
        <v>480640</v>
      </c>
      <c r="FQ50">
        <f ca="1">IF(FP50&gt;2400000,FP50-2400000,0)</f>
        <v>0</v>
      </c>
      <c r="FR50">
        <f ca="1">FQ50*0.3</f>
        <v>0</v>
      </c>
      <c r="FS50">
        <f ca="1">IF(FP50&gt;2000000,FP50-2000000,0)</f>
        <v>0</v>
      </c>
      <c r="FT50">
        <f ca="1">FS50*0.25</f>
        <v>0</v>
      </c>
      <c r="FU50">
        <f ca="1">IF(FP50&gt;1600000,FP50-1600000-FQ50,0)</f>
        <v>0</v>
      </c>
      <c r="FV50">
        <f ca="1">FU50*0.2</f>
        <v>0</v>
      </c>
      <c r="FW50">
        <f ca="1">IF(FP50&gt;1200000,FP50-1200000-IF(F50="YES",50000,0)-FU50,0)</f>
        <v>0</v>
      </c>
      <c r="FX50">
        <f ca="1">FW50*0.15</f>
        <v>0</v>
      </c>
      <c r="FY50">
        <f ca="1">IF(FP50&gt;800000,FP50-800000-FQ50-FU50-FW50,0)</f>
        <v>0</v>
      </c>
      <c r="FZ50">
        <f ca="1">FY50*0.1</f>
        <v>0</v>
      </c>
      <c r="GA50">
        <f ca="1">IF(FP50&gt;400000,FP50-400000-FQ50-FU50-FW50-FY50,0)</f>
        <v>80640</v>
      </c>
      <c r="GB50">
        <f ca="1">GA50*0.05</f>
        <v>4032</v>
      </c>
      <c r="GC50">
        <f ca="1">ROUND(FR50+FT50+FV50+FX50+FZ50+GB50,0)</f>
        <v>4032</v>
      </c>
      <c r="GD50">
        <f ca="1">IF(FP50&gt;1200000,FP50,0)</f>
        <v>0</v>
      </c>
      <c r="GE50">
        <f ca="1">IF(FP50&gt;1200000,GD50-1200000,0)</f>
        <v>0</v>
      </c>
      <c r="GF50">
        <f ca="1">IF(FP50&lt;1200001,MIN(GC50,60000),0)</f>
        <v>4032</v>
      </c>
      <c r="GG50">
        <f ca="1">IF(FP50&gt;1200000,GC50-GE50,0)</f>
        <v>0</v>
      </c>
      <c r="GH50" t="b">
        <f ca="1">IF(GG50&gt;0,TRUE,FALSE)</f>
        <v>0</v>
      </c>
      <c r="GI50">
        <f ca="1">IF(GH50,GG50,0)</f>
        <v>0</v>
      </c>
      <c r="GJ50">
        <f ca="1">GF50+GI50</f>
        <v>4032</v>
      </c>
      <c r="GK50">
        <f ca="1">ROUND(GC50-GJ50,0)</f>
        <v>0</v>
      </c>
      <c r="GL50">
        <f ca="1">GK50*0.04</f>
        <v>0</v>
      </c>
      <c r="GM50">
        <f ca="1">ROUNDUP(GK50+GL50,0)</f>
        <v>0</v>
      </c>
    </row>
    <row r="51" spans="1:195" x14ac:dyDescent="0.25">
      <c r="A51">
        <f>_xlfn.AGGREGATE(3,5,$B$2:B51)</f>
        <v>50</v>
      </c>
      <c r="B51" t="s">
        <v>220</v>
      </c>
      <c r="C51" t="s">
        <v>221</v>
      </c>
      <c r="D51" t="s">
        <v>765</v>
      </c>
      <c r="E51" t="s">
        <v>833</v>
      </c>
      <c r="F51" t="s">
        <v>959</v>
      </c>
      <c r="G51" t="s">
        <v>904</v>
      </c>
      <c r="H51">
        <f>IF(_xlfn.DAYS("31-03-2025",G51)&gt;=180,6800,0)</f>
        <v>6800</v>
      </c>
      <c r="I51">
        <f>_xlfn.XLOOKUP(B51,'[1]march-2025'!$A:$A,'[1]march-2025'!$J:$J,0,0)</f>
        <v>0</v>
      </c>
      <c r="J51">
        <f>_xlfn.XLOOKUP(B51,'[1]march-2025'!$A:$A,'[1]march-2025'!$C:$C,0,0)</f>
        <v>33500</v>
      </c>
      <c r="K51">
        <f>J51*0.14</f>
        <v>4690</v>
      </c>
      <c r="L51">
        <f>J51*0.12</f>
        <v>4020</v>
      </c>
      <c r="M51">
        <f>_xlfn.XLOOKUP(B51,'[1]march-2025'!$A:$A,'[1]march-2025'!$D:$D,0,0)</f>
        <v>0</v>
      </c>
      <c r="N51">
        <f>_xlfn.XLOOKUP(B51,'[1]march-2025'!$A:$A,'[1]march-2025'!$G:$G,0,0)</f>
        <v>0</v>
      </c>
      <c r="O51">
        <f>IF(J51&gt;0,SUM(J51:N51),0)</f>
        <v>42210</v>
      </c>
      <c r="P51">
        <f>_xlfn.XLOOKUP(B51,'[1]march-2025'!$A:$A,'[1]march-2025'!$H:$H,0,0)</f>
        <v>2500</v>
      </c>
      <c r="Q51">
        <f>_xlfn.XLOOKUP(B51,'[1]march-2025'!$A:$A,'[1]march-2025'!$I:$I,0,0)</f>
        <v>0</v>
      </c>
      <c r="R51">
        <f>IF($F51="YES",0,IF(O51&gt;40000,200,IF(O51&gt;25000,150,IF(O51&gt;15000,130,IF(O51&gt;10000,110,0)))))</f>
        <v>200</v>
      </c>
      <c r="S51">
        <f>O51-P51-Q51-R51</f>
        <v>39510</v>
      </c>
      <c r="T51">
        <f>_xlfn.XLOOKUP(B51,'[2]april-2025'!$A:$A,'[2]april-2025'!$C:$C,0,0)</f>
        <v>33500</v>
      </c>
      <c r="U51">
        <f>T51*0.18</f>
        <v>6030</v>
      </c>
      <c r="V51">
        <f>T51*0.12</f>
        <v>4020</v>
      </c>
      <c r="W51">
        <f>_xlfn.XLOOKUP(B51,'[2]april-2025'!$A:$A,'[2]april-2025'!$D:$D,0,0)</f>
        <v>0</v>
      </c>
      <c r="X51">
        <f>_xlfn.XLOOKUP(B51,'[2]april-2025'!$A:$A,'[2]april-2025'!$G:$G,0,0)</f>
        <v>0</v>
      </c>
      <c r="Y51">
        <f>IF(T51&gt;0,SUM(T51:X51),0)</f>
        <v>43550</v>
      </c>
      <c r="Z51">
        <f>_xlfn.XLOOKUP(B51,'[2]april-2025'!$A:$A,'[2]april-2025'!$H:$H,0,0)</f>
        <v>2500</v>
      </c>
      <c r="AA51">
        <f>_xlfn.XLOOKUP(B51,'[2]april-2025'!$A:$A,'[2]april-2025'!$I:$I,0,0)</f>
        <v>0</v>
      </c>
      <c r="AB51">
        <f>IF($F51="YES",0,IF(Y51&gt;40000,200,IF(Y51&gt;25000,150,IF(Y51&gt;15000,130,IF(Y51&gt;10000,110,0)))))</f>
        <v>200</v>
      </c>
      <c r="AC51">
        <f>Y51-Z51-AA51-AB51</f>
        <v>40850</v>
      </c>
      <c r="AD51">
        <f>_xlfn.XLOOKUP(B51,'[3]may-2025'!$A:$A,'[3]may-2025'!$C:$C,0,0)</f>
        <v>33500</v>
      </c>
      <c r="AE51">
        <f>AD51*0.18</f>
        <v>6030</v>
      </c>
      <c r="AF51">
        <f>AD51*0.12</f>
        <v>4020</v>
      </c>
      <c r="AG51">
        <f>_xlfn.XLOOKUP(B51,'[3]may-2025'!$A:$A,'[3]may-2025'!$D:$D,0,0)</f>
        <v>0</v>
      </c>
      <c r="AH51">
        <f>_xlfn.XLOOKUP(B51,'[3]may-2025'!$A:$A,'[3]may-2025'!$G:$G,0,0)</f>
        <v>0</v>
      </c>
      <c r="AI51">
        <f>IF(AD51&gt;0,SUM(AD51:AH51),0)</f>
        <v>43550</v>
      </c>
      <c r="AJ51">
        <f>_xlfn.XLOOKUP(B51,'[3]may-2025'!$A:$A,'[3]may-2025'!$H:$H,0,0)</f>
        <v>2500</v>
      </c>
      <c r="AK51">
        <f>_xlfn.XLOOKUP(B51,'[3]may-2025'!$A:$A,'[3]may-2025'!$I:$I,0,0)</f>
        <v>0</v>
      </c>
      <c r="AL51">
        <f>IF($F51="YES",0,IF(AI51&gt;40000,200,IF(AI51&gt;25000,150,IF(AI51&gt;15000,130,IF(AI51&gt;10000,110,0)))))</f>
        <v>200</v>
      </c>
      <c r="AM51">
        <f>AI51-AJ51-AK51-AL51</f>
        <v>40850</v>
      </c>
      <c r="AN51">
        <f>_xlfn.XLOOKUP(B51,'[4]june-2025'!$A:$A,'[4]june-2025'!$C:$C,0,0)</f>
        <v>33500</v>
      </c>
      <c r="AO51">
        <f>AN51*0.18</f>
        <v>6030</v>
      </c>
      <c r="AP51">
        <f>AN51*0.12</f>
        <v>4020</v>
      </c>
      <c r="AQ51">
        <f>_xlfn.XLOOKUP(B51,'[4]june-2025'!$A:$A,'[4]june-2025'!$D:$D,0,0)</f>
        <v>0</v>
      </c>
      <c r="AR51">
        <f>_xlfn.XLOOKUP(B51,'[4]june-2025'!$A:$A,'[4]june-2025'!$G:$G,0,0)</f>
        <v>0</v>
      </c>
      <c r="AS51">
        <f>IF(AN51&gt;0,SUM(AN51:AR51),0)</f>
        <v>43550</v>
      </c>
      <c r="AT51">
        <f>_xlfn.XLOOKUP(B51,'[4]june-2025'!$A:$A,'[4]june-2025'!$H:$H,0,0)</f>
        <v>2500</v>
      </c>
      <c r="AU51">
        <f>_xlfn.XLOOKUP(B51,'[4]june-2025'!$A:$A,'[4]june-2025'!$I:$I,0,0)</f>
        <v>0</v>
      </c>
      <c r="AV51">
        <f>IF($F51="YES",0,IF(AS51&gt;40000,200,IF(AS51&gt;25000,150,IF(AS51&gt;15000,130,IF(AS51&gt;10000,110,0)))))</f>
        <v>200</v>
      </c>
      <c r="AW51">
        <f>AS51-AT51-AU51-AV51</f>
        <v>40850</v>
      </c>
      <c r="AX51">
        <f>_xlfn.XLOOKUP(B51,'[5]july-2025'!$A:$A,'[5]july-2025'!$C:$C,0,0)</f>
        <v>35500</v>
      </c>
      <c r="AY51">
        <f>AX51*0.18</f>
        <v>6390</v>
      </c>
      <c r="AZ51">
        <v>0</v>
      </c>
      <c r="BA51">
        <f>AX51*0.12</f>
        <v>4260</v>
      </c>
      <c r="BB51">
        <f>_xlfn.XLOOKUP(B51,'[5]july-2025'!$A:$A,'[5]july-2025'!$D:$D,0,0)</f>
        <v>0</v>
      </c>
      <c r="BC51">
        <f>_xlfn.XLOOKUP(B51,'[5]july-2025'!$A:$A,'[5]july-2025'!$G:$G,0,0)</f>
        <v>0</v>
      </c>
      <c r="BD51">
        <f>IF(AX51&gt;0,SUM(AX51:BC51),0)</f>
        <v>46150</v>
      </c>
      <c r="BE51">
        <f>_xlfn.XLOOKUP(B51,'[5]july-2025'!$A:$A,'[5]july-2025'!$H:$H,0,0)</f>
        <v>2500</v>
      </c>
      <c r="BF51">
        <f>_xlfn.XLOOKUP(B51,'[5]july-2025'!$A:$A,'[5]july-2025'!$I:$I,0,0)</f>
        <v>0</v>
      </c>
      <c r="BG51">
        <f>IF($F51="YES",0,IF(BD51&gt;40000,200,IF(BD51&gt;25000,150,IF(BD51&gt;15000,130,IF(BD51&gt;10000,110,0)))))</f>
        <v>200</v>
      </c>
      <c r="BH51">
        <f>BD51-BE51-BF51-BG51</f>
        <v>43450</v>
      </c>
      <c r="BI51">
        <f>_xlfn.XLOOKUP(B51,'[6]august-2025'!$A:$A,'[6]august-2025'!$C:$C,0,0)</f>
        <v>35500</v>
      </c>
      <c r="BJ51">
        <f>BI51*0.18</f>
        <v>6390</v>
      </c>
      <c r="BK51">
        <f>BI51*0.12</f>
        <v>4260</v>
      </c>
      <c r="BL51">
        <f>_xlfn.XLOOKUP(B51,'[6]august-2025'!$A:$A,'[6]august-2025'!$D:$D,0,0)</f>
        <v>0</v>
      </c>
      <c r="BM51">
        <f>_xlfn.XLOOKUP(B51,'[6]august-2025'!$A:$A,'[6]august-2025'!$G:$G,0,0)</f>
        <v>0</v>
      </c>
      <c r="BN51">
        <f>IF(BI51&gt;0,SUM(BI51:BM51),0)</f>
        <v>46150</v>
      </c>
      <c r="BO51">
        <f>_xlfn.XLOOKUP(B51,'[6]august-2025'!$A:$A,'[6]august-2025'!$H:$H,0,0)</f>
        <v>2500</v>
      </c>
      <c r="BP51">
        <f>_xlfn.XLOOKUP(B51,'[6]august-2025'!$A:$A,'[6]august-2025'!$I:$I,0,0)</f>
        <v>0</v>
      </c>
      <c r="BQ51">
        <f>IF($F51="YES",0,IF(BN51&gt;40000,200,IF(BN51&gt;25000,150,IF(BN51&gt;15000,130,IF(BN51&gt;10000,110,0)))))</f>
        <v>200</v>
      </c>
      <c r="BR51">
        <f>BN51-BO51-BP51-BQ51</f>
        <v>43450</v>
      </c>
      <c r="BS51">
        <f>_xlfn.XLOOKUP(B51,'[7]september-2025'!$A:$A,'[7]september-2025'!$C:$C,0,0)</f>
        <v>35500</v>
      </c>
      <c r="BT51">
        <f>BS51*0.18</f>
        <v>6390</v>
      </c>
      <c r="BU51">
        <f>BS51*0.12</f>
        <v>4260</v>
      </c>
      <c r="BV51">
        <f>_xlfn.XLOOKUP(B51,'[7]september-2025'!$A:$A,'[7]september-2025'!$D:$D,0,0)</f>
        <v>0</v>
      </c>
      <c r="BW51">
        <f>_xlfn.XLOOKUP(B51,'[7]september-2025'!$A:$A,'[7]september-2025'!$G:$G,0,0)</f>
        <v>0</v>
      </c>
      <c r="BX51">
        <f>IF(BS51&gt;0,SUM(BS51:BW51),0)</f>
        <v>46150</v>
      </c>
      <c r="BY51">
        <f>_xlfn.XLOOKUP(B51,'[7]september-2025'!$A:$A,'[7]september-2025'!$H:$H,0,0)</f>
        <v>2500</v>
      </c>
      <c r="BZ51">
        <f>_xlfn.XLOOKUP(B51,'[7]september-2025'!$A:$A,'[7]september-2025'!$I:$I,0,0)</f>
        <v>0</v>
      </c>
      <c r="CA51">
        <f>IF($F51="YES",0,IF(BX51&gt;40000,200,IF(BX51&gt;25000,150,IF(BX51&gt;15000,130,IF(BX51&gt;10000,110,0)))))</f>
        <v>200</v>
      </c>
      <c r="CB51">
        <f>BX51-BY51-BZ51-CA51</f>
        <v>43450</v>
      </c>
      <c r="CC51">
        <f>_xlfn.XLOOKUP(B51,'[8]october-2025'!$A:$A,'[8]october-2025'!$C:$C,0,0)</f>
        <v>35500</v>
      </c>
      <c r="CD51">
        <f>CC51*0.18</f>
        <v>6390</v>
      </c>
      <c r="CE51">
        <f>CC51*0.12</f>
        <v>4260</v>
      </c>
      <c r="CF51">
        <f>_xlfn.XLOOKUP(B51,'[8]october-2025'!$A:$A,'[8]october-2025'!$D:$D,0,0)</f>
        <v>0</v>
      </c>
      <c r="CG51">
        <f>_xlfn.XLOOKUP(B51,'[8]october-2025'!$A:$A,'[8]october-2025'!$G:$G,0,0)</f>
        <v>0</v>
      </c>
      <c r="CH51">
        <f>IF(CC51&gt;0,SUM(CC51:CG51),0)</f>
        <v>46150</v>
      </c>
      <c r="CI51">
        <f>_xlfn.XLOOKUP(B51,'[8]october-2025'!$A:$A,'[8]october-2025'!$H:$H,0,0)</f>
        <v>2500</v>
      </c>
      <c r="CJ51">
        <f>_xlfn.XLOOKUP(B51,'[8]october-2025'!$A:$A,'[8]october-2025'!$I:$I,0,0)</f>
        <v>0</v>
      </c>
      <c r="CK51">
        <f>IF($F51="YES",0,IF(CH51&gt;40000,200,IF(CH51&gt;25000,150,IF(CH51&gt;15000,130,IF(CH51&gt;10000,110,0)))))</f>
        <v>200</v>
      </c>
      <c r="CL51">
        <f>CH51-CI51-CJ51-CK51</f>
        <v>43450</v>
      </c>
      <c r="CM51">
        <f>_xlfn.XLOOKUP(B51,'[9]november-2025'!$A:$A,'[9]november-2025'!$C:$C,0,0)</f>
        <v>35500</v>
      </c>
      <c r="CN51">
        <f>CM51*0.18</f>
        <v>6390</v>
      </c>
      <c r="CO51">
        <f>CM51*0.12</f>
        <v>4260</v>
      </c>
      <c r="CP51">
        <f>_xlfn.XLOOKUP(B51,'[9]november-2025'!$A:$A,'[9]november-2025'!$D:$D,0,0)</f>
        <v>0</v>
      </c>
      <c r="CQ51">
        <f>_xlfn.XLOOKUP(B51,'[9]november-2025'!$A:$A,'[9]november-2025'!$G:$G,0,0)</f>
        <v>0</v>
      </c>
      <c r="CR51">
        <f>IF(CM51&gt;0,SUM(CM51:CQ51),0)</f>
        <v>46150</v>
      </c>
      <c r="CS51">
        <f>_xlfn.XLOOKUP(B51,'[9]november-2025'!$A:$A,'[9]november-2025'!$H:$H,0,0)</f>
        <v>2500</v>
      </c>
      <c r="CT51">
        <f>_xlfn.XLOOKUP(B51,'[9]november-2025'!$A:$A,'[9]november-2025'!$I:$I,0,0)</f>
        <v>0</v>
      </c>
      <c r="CU51">
        <f>IF($F51="YES",0,IF(CR51&gt;40000,200,IF(CR51&gt;25000,150,IF(CR51&gt;15000,130,IF(CR51&gt;10000,110,0)))))</f>
        <v>200</v>
      </c>
      <c r="CV51">
        <f>CR51-CS51-CT51-CU51</f>
        <v>43450</v>
      </c>
      <c r="CW51">
        <f>_xlfn.XLOOKUP(B51,'[10]december-2025'!$A:$A,'[10]december-2025'!$C:$C,0,0)</f>
        <v>35500</v>
      </c>
      <c r="CX51">
        <f>ROUND(CW51*0.18,0)</f>
        <v>6390</v>
      </c>
      <c r="CY51">
        <f>ROUND(CW51*0.12,0)</f>
        <v>4260</v>
      </c>
      <c r="CZ51">
        <f>_xlfn.XLOOKUP(B51,'[10]december-2025'!$A:$A,'[10]december-2025'!$D:$D,0,0)</f>
        <v>0</v>
      </c>
      <c r="DA51">
        <f>_xlfn.XLOOKUP(B51,'[10]december-2025'!$A:$A,'[10]december-2025'!$G:$G,0,0)</f>
        <v>0</v>
      </c>
      <c r="DB51">
        <f>IF(CW51&gt;0,SUM(CW51:DA51),0)</f>
        <v>46150</v>
      </c>
      <c r="DC51">
        <f>_xlfn.XLOOKUP(B51,'[10]december-2025'!$A:$A,'[10]december-2025'!$H:$H,0,0)</f>
        <v>2500</v>
      </c>
      <c r="DD51">
        <f>_xlfn.XLOOKUP(B51,'[10]december-2025'!$A:$A,'[10]december-2025'!$I:$I,0,0)</f>
        <v>0</v>
      </c>
      <c r="DE51">
        <f>IF($F51="YES",0,IF(DB51&gt;40000,200,IF(DB51&gt;25000,150,IF(DB51&gt;15000,130,IF(DB51&gt;10000,110,0)))))</f>
        <v>200</v>
      </c>
      <c r="DF51">
        <f>DB51-DC51-DD51-DE51</f>
        <v>43450</v>
      </c>
      <c r="DG51">
        <f>_xlfn.XLOOKUP(B51,'[11]january-2026'!$A:$A,'[11]january-2026'!$C:$C,0,0)</f>
        <v>35500</v>
      </c>
      <c r="DH51">
        <f>DG51*0.18</f>
        <v>6390</v>
      </c>
      <c r="DI51">
        <f>DG51*0.12</f>
        <v>4260</v>
      </c>
      <c r="DJ51">
        <f>_xlfn.XLOOKUP(B51,'[11]january-2026'!$A:$A,'[11]january-2026'!$D:$D,0,0)</f>
        <v>0</v>
      </c>
      <c r="DK51">
        <f>_xlfn.XLOOKUP(B51,'[11]january-2026'!$A:$A,'[11]january-2026'!$G:$G,0,0)</f>
        <v>0</v>
      </c>
      <c r="DL51">
        <f>IF(DG51&gt;0,SUM(DG51:DK51),0)</f>
        <v>46150</v>
      </c>
      <c r="DM51">
        <f>_xlfn.XLOOKUP(B51,'[11]january-2026'!$A:$A,'[11]january-2026'!$H:$H,0,0)</f>
        <v>2500</v>
      </c>
      <c r="DN51">
        <f>_xlfn.XLOOKUP(B51,'[11]january-2026'!$A:$A,'[11]january-2026'!$I:$I,0,0)</f>
        <v>0</v>
      </c>
      <c r="DO51">
        <f>IF($F51="YES",0,IF(DL51&gt;40000,200,IF(DL51&gt;25000,150,IF(DL51&gt;15000,130,IF(DL51&gt;10000,110,0)))))</f>
        <v>200</v>
      </c>
      <c r="DP51">
        <f>DL51-DM51-DN51-DO51</f>
        <v>43450</v>
      </c>
      <c r="DQ51">
        <f>_xlfn.XLOOKUP(B51,'[12]february-2026'!$A:$A,'[12]february-2026'!$C:$C,0,0)</f>
        <v>35500</v>
      </c>
      <c r="DR51">
        <f>DQ51*0.18</f>
        <v>6390</v>
      </c>
      <c r="DS51">
        <f>DQ51*0.12</f>
        <v>4260</v>
      </c>
      <c r="DT51">
        <f>_xlfn.XLOOKUP(B51,'[12]february-2026'!$A:$A,'[12]february-2026'!$D:$D,0,0)</f>
        <v>0</v>
      </c>
      <c r="DU51">
        <f>_xlfn.XLOOKUP(B51,'[12]february-2026'!$A:$A,'[12]february-2026'!$G:$G,0,0)</f>
        <v>0</v>
      </c>
      <c r="DV51">
        <f>IF(DQ51&gt;0,SUM(DQ51:DU51),0)</f>
        <v>46150</v>
      </c>
      <c r="DW51">
        <f>_xlfn.XLOOKUP(B51,'[12]february-2026'!$A:$A,'[12]february-2026'!$H:$H,0,0)</f>
        <v>2500</v>
      </c>
      <c r="DX51">
        <f>_xlfn.XLOOKUP(B51,'[12]february-2026'!$A:$A,'[12]february-2026'!$I:$I,0,0)</f>
        <v>0</v>
      </c>
      <c r="DY51">
        <f>IF($F51="YES",0,IF(DV51&gt;40000,200,IF(DV51&gt;25000,150,IF(DV51&gt;15000,130,IF(DV51&gt;10000,110,0)))))</f>
        <v>200</v>
      </c>
      <c r="DZ51">
        <f>DV51-DW51-DX51-DY51</f>
        <v>43450</v>
      </c>
      <c r="EA51">
        <f>DV51+DL51+DB51+CR51+CH51+BX51+BN51+BD51+AS51+AI51+Y51+O51+H51+I51</f>
        <v>548860</v>
      </c>
      <c r="EB51">
        <f>DY51+DO51+DE51+CU51+CK51+CA51+BQ51+BG51+AV51+AL51+AB51+R51</f>
        <v>2400</v>
      </c>
      <c r="EC51">
        <f>IF(EA51&gt;0,50000,0)</f>
        <v>50000</v>
      </c>
      <c r="ED51">
        <v>0</v>
      </c>
      <c r="EE51">
        <f>EA51-EB51-EC51</f>
        <v>496460</v>
      </c>
      <c r="EF51">
        <f>DW51+DM51+DC51+CS51+CI51+BY51+BO51+BE51+AT51+AJ51+Z51+P51</f>
        <v>30000</v>
      </c>
      <c r="EG51">
        <f>DX51+DN51+DD51+CT51+CJ51+BZ51+BP51+BF51+AU51+AK51+AA51+Q51</f>
        <v>0</v>
      </c>
      <c r="EH51">
        <v>0</v>
      </c>
      <c r="EI51">
        <v>0</v>
      </c>
      <c r="EJ51">
        <v>0</v>
      </c>
      <c r="EK51">
        <v>0</v>
      </c>
      <c r="EL51">
        <v>0</v>
      </c>
      <c r="EM51">
        <v>0</v>
      </c>
      <c r="EN51">
        <v>0</v>
      </c>
      <c r="EO51">
        <v>0</v>
      </c>
      <c r="EP51">
        <v>0</v>
      </c>
      <c r="EQ51">
        <v>0</v>
      </c>
      <c r="ER51">
        <f>SUM(EF51:EQ51)</f>
        <v>30000</v>
      </c>
      <c r="ES51">
        <f>IF(ER51&gt;=150000,150000,ER51)</f>
        <v>30000</v>
      </c>
      <c r="ET51">
        <f>EE51-ES51</f>
        <v>466460</v>
      </c>
      <c r="EU51">
        <v>0</v>
      </c>
      <c r="EV51">
        <v>0</v>
      </c>
      <c r="EW51">
        <v>0</v>
      </c>
      <c r="EX51">
        <v>0</v>
      </c>
      <c r="EY51">
        <v>0</v>
      </c>
      <c r="EZ51">
        <v>0</v>
      </c>
      <c r="FA51">
        <v>0</v>
      </c>
      <c r="FB51">
        <f>SUM(EU51:FA51)+(IF(F51="YES",50000,0))</f>
        <v>0</v>
      </c>
      <c r="FC51">
        <f>ET51-FB51</f>
        <v>466460</v>
      </c>
      <c r="FD51">
        <f>ROUND(IF(FC51&gt;0,IF(FC51&gt;500000,12500,(FC51-250000)*0.05),0),0)</f>
        <v>10823</v>
      </c>
      <c r="FE51">
        <f>IF(ROUND(IF(FC51&gt;0,IF(FC51&gt;1000000,25000,(FC51-500000)*0.2),0),0)&lt;0,0,ROUND(IF(FC51&gt;0,IF(FC51&gt;1000000,25000,(FC51-500000)*0.2),0),0))</f>
        <v>0</v>
      </c>
      <c r="FF51">
        <f>FD51+FE51</f>
        <v>10823</v>
      </c>
      <c r="FG51">
        <f>IF(FF51&lt;12500,0,FF51)</f>
        <v>0</v>
      </c>
      <c r="FH51">
        <f>FG51*0.04</f>
        <v>0</v>
      </c>
      <c r="FI51">
        <f>ROUND(FH51+FG51,0)</f>
        <v>0</v>
      </c>
      <c r="FJ51">
        <v>0</v>
      </c>
      <c r="FK51">
        <f>FI51-FJ51</f>
        <v>0</v>
      </c>
      <c r="FL51" t="b">
        <f>IF(EA51&gt;500000,TRUE,FALSE)</f>
        <v>1</v>
      </c>
      <c r="FM51">
        <f ca="1">IF(FL51,RANDBETWEEN(500,1000),RANDBETWEEN(1000,3000))</f>
        <v>780</v>
      </c>
      <c r="FN51">
        <f ca="1">EA51+FM51</f>
        <v>549640</v>
      </c>
      <c r="FO51">
        <f>IF(EA51&gt;0,75000,0)</f>
        <v>75000</v>
      </c>
      <c r="FP51">
        <f ca="1">FN51-FO51</f>
        <v>474640</v>
      </c>
      <c r="FQ51">
        <f ca="1">IF(FP51&gt;2400000,FP51-2400000,0)</f>
        <v>0</v>
      </c>
      <c r="FR51">
        <f ca="1">FQ51*0.3</f>
        <v>0</v>
      </c>
      <c r="FS51">
        <f ca="1">IF(FP51&gt;2000000,FP51-2000000,0)</f>
        <v>0</v>
      </c>
      <c r="FT51">
        <f ca="1">FS51*0.25</f>
        <v>0</v>
      </c>
      <c r="FU51">
        <f ca="1">IF(FP51&gt;1600000,FP51-1600000-FQ51,0)</f>
        <v>0</v>
      </c>
      <c r="FV51">
        <f ca="1">FU51*0.2</f>
        <v>0</v>
      </c>
      <c r="FW51">
        <f ca="1">IF(FP51&gt;1200000,FP51-1200000-IF(F51="YES",50000,0)-FU51,0)</f>
        <v>0</v>
      </c>
      <c r="FX51">
        <f ca="1">FW51*0.15</f>
        <v>0</v>
      </c>
      <c r="FY51">
        <f ca="1">IF(FP51&gt;800000,FP51-800000-FQ51-FU51-FW51,0)</f>
        <v>0</v>
      </c>
      <c r="FZ51">
        <f ca="1">FY51*0.1</f>
        <v>0</v>
      </c>
      <c r="GA51">
        <f ca="1">IF(FP51&gt;400000,FP51-400000-FQ51-FU51-FW51-FY51,0)</f>
        <v>74640</v>
      </c>
      <c r="GB51">
        <f ca="1">GA51*0.05</f>
        <v>3732</v>
      </c>
      <c r="GC51">
        <f ca="1">ROUND(FR51+FT51+FV51+FX51+FZ51+GB51,0)</f>
        <v>3732</v>
      </c>
      <c r="GD51">
        <f ca="1">IF(FP51&gt;1200000,FP51,0)</f>
        <v>0</v>
      </c>
      <c r="GE51">
        <f ca="1">IF(FP51&gt;1200000,GD51-1200000,0)</f>
        <v>0</v>
      </c>
      <c r="GF51">
        <f ca="1">IF(FP51&lt;1200001,MIN(GC51,60000),0)</f>
        <v>3732</v>
      </c>
      <c r="GG51">
        <f ca="1">IF(FP51&gt;1200000,GC51-GE51,0)</f>
        <v>0</v>
      </c>
      <c r="GH51" t="b">
        <f ca="1">IF(GG51&gt;0,TRUE,FALSE)</f>
        <v>0</v>
      </c>
      <c r="GI51">
        <f ca="1">IF(GH51,GG51,0)</f>
        <v>0</v>
      </c>
      <c r="GJ51">
        <f ca="1">GF51+GI51</f>
        <v>3732</v>
      </c>
      <c r="GK51">
        <f ca="1">ROUND(GC51-GJ51,0)</f>
        <v>0</v>
      </c>
      <c r="GL51">
        <f ca="1">GK51*0.04</f>
        <v>0</v>
      </c>
      <c r="GM51">
        <f ca="1">ROUNDUP(GK51+GL51,0)</f>
        <v>0</v>
      </c>
    </row>
    <row r="52" spans="1:195" x14ac:dyDescent="0.25">
      <c r="A52">
        <f>_xlfn.AGGREGATE(3,5,$B$2:B52)</f>
        <v>51</v>
      </c>
      <c r="B52" t="s">
        <v>222</v>
      </c>
      <c r="C52" t="s">
        <v>223</v>
      </c>
      <c r="D52" t="s">
        <v>766</v>
      </c>
      <c r="E52" t="s">
        <v>833</v>
      </c>
      <c r="F52" t="s">
        <v>959</v>
      </c>
      <c r="G52" t="s">
        <v>880</v>
      </c>
      <c r="H52">
        <f>IF(_xlfn.DAYS("31-03-2025",G52)&gt;=180,6800,0)</f>
        <v>6800</v>
      </c>
      <c r="I52">
        <f>_xlfn.XLOOKUP(B52,'[1]march-2025'!$A:$A,'[1]march-2025'!$J:$J,0,0)</f>
        <v>0</v>
      </c>
      <c r="J52">
        <f>_xlfn.XLOOKUP(B52,'[1]march-2025'!$A:$A,'[1]march-2025'!$C:$C,0,0)</f>
        <v>34500</v>
      </c>
      <c r="K52">
        <f>J52*0.14</f>
        <v>4830.0000000000009</v>
      </c>
      <c r="L52">
        <f>J52*0.12</f>
        <v>4140</v>
      </c>
      <c r="M52">
        <f>_xlfn.XLOOKUP(B52,'[1]march-2025'!$A:$A,'[1]march-2025'!$D:$D,0,0)</f>
        <v>400</v>
      </c>
      <c r="N52">
        <f>_xlfn.XLOOKUP(B52,'[1]march-2025'!$A:$A,'[1]march-2025'!$G:$G,0,0)</f>
        <v>500</v>
      </c>
      <c r="O52">
        <f>IF(J52&gt;0,SUM(J52:N52),0)</f>
        <v>44370</v>
      </c>
      <c r="P52">
        <f>_xlfn.XLOOKUP(B52,'[1]march-2025'!$A:$A,'[1]march-2025'!$H:$H,0,0)</f>
        <v>5000</v>
      </c>
      <c r="Q52">
        <f>_xlfn.XLOOKUP(B52,'[1]march-2025'!$A:$A,'[1]march-2025'!$I:$I,0,0)</f>
        <v>0</v>
      </c>
      <c r="R52">
        <f>IF($F52="YES",0,IF(O52&gt;40000,200,IF(O52&gt;25000,150,IF(O52&gt;15000,130,IF(O52&gt;10000,110,0)))))</f>
        <v>200</v>
      </c>
      <c r="S52">
        <f>O52-P52-Q52-R52</f>
        <v>39170</v>
      </c>
      <c r="T52">
        <f>_xlfn.XLOOKUP(B52,'[2]april-2025'!$A:$A,'[2]april-2025'!$C:$C,0,0)</f>
        <v>34500</v>
      </c>
      <c r="U52">
        <f>T52*0.18</f>
        <v>6210</v>
      </c>
      <c r="V52">
        <f>T52*0.12</f>
        <v>4140</v>
      </c>
      <c r="W52">
        <f>_xlfn.XLOOKUP(B52,'[2]april-2025'!$A:$A,'[2]april-2025'!$D:$D,0,0)</f>
        <v>400</v>
      </c>
      <c r="X52">
        <f>_xlfn.XLOOKUP(B52,'[2]april-2025'!$A:$A,'[2]april-2025'!$G:$G,0,0)</f>
        <v>500</v>
      </c>
      <c r="Y52">
        <f>IF(T52&gt;0,SUM(T52:X52),0)</f>
        <v>45750</v>
      </c>
      <c r="Z52">
        <f>_xlfn.XLOOKUP(B52,'[2]april-2025'!$A:$A,'[2]april-2025'!$H:$H,0,0)</f>
        <v>5000</v>
      </c>
      <c r="AA52">
        <f>_xlfn.XLOOKUP(B52,'[2]april-2025'!$A:$A,'[2]april-2025'!$I:$I,0,0)</f>
        <v>0</v>
      </c>
      <c r="AB52">
        <f>IF($F52="YES",0,IF(Y52&gt;40000,200,IF(Y52&gt;25000,150,IF(Y52&gt;15000,130,IF(Y52&gt;10000,110,0)))))</f>
        <v>200</v>
      </c>
      <c r="AC52">
        <f>Y52-Z52-AA52-AB52</f>
        <v>40550</v>
      </c>
      <c r="AD52">
        <f>_xlfn.XLOOKUP(B52,'[3]may-2025'!$A:$A,'[3]may-2025'!$C:$C,0,0)</f>
        <v>34500</v>
      </c>
      <c r="AE52">
        <f>AD52*0.18</f>
        <v>6210</v>
      </c>
      <c r="AF52">
        <f>AD52*0.12</f>
        <v>4140</v>
      </c>
      <c r="AG52">
        <f>_xlfn.XLOOKUP(B52,'[3]may-2025'!$A:$A,'[3]may-2025'!$D:$D,0,0)</f>
        <v>400</v>
      </c>
      <c r="AH52">
        <f>_xlfn.XLOOKUP(B52,'[3]may-2025'!$A:$A,'[3]may-2025'!$G:$G,0,0)</f>
        <v>500</v>
      </c>
      <c r="AI52">
        <f>IF(AD52&gt;0,SUM(AD52:AH52),0)</f>
        <v>45750</v>
      </c>
      <c r="AJ52">
        <f>_xlfn.XLOOKUP(B52,'[3]may-2025'!$A:$A,'[3]may-2025'!$H:$H,0,0)</f>
        <v>5000</v>
      </c>
      <c r="AK52">
        <f>_xlfn.XLOOKUP(B52,'[3]may-2025'!$A:$A,'[3]may-2025'!$I:$I,0,0)</f>
        <v>0</v>
      </c>
      <c r="AL52">
        <f>IF($F52="YES",0,IF(AI52&gt;40000,200,IF(AI52&gt;25000,150,IF(AI52&gt;15000,130,IF(AI52&gt;10000,110,0)))))</f>
        <v>200</v>
      </c>
      <c r="AM52">
        <f>AI52-AJ52-AK52-AL52</f>
        <v>40550</v>
      </c>
      <c r="AN52">
        <f>_xlfn.XLOOKUP(B52,'[4]june-2025'!$A:$A,'[4]june-2025'!$C:$C,0,0)</f>
        <v>34500</v>
      </c>
      <c r="AO52">
        <f>AN52*0.18</f>
        <v>6210</v>
      </c>
      <c r="AP52">
        <f>AN52*0.12</f>
        <v>4140</v>
      </c>
      <c r="AQ52">
        <f>_xlfn.XLOOKUP(B52,'[4]june-2025'!$A:$A,'[4]june-2025'!$D:$D,0,0)</f>
        <v>400</v>
      </c>
      <c r="AR52">
        <f>_xlfn.XLOOKUP(B52,'[4]june-2025'!$A:$A,'[4]june-2025'!$G:$G,0,0)</f>
        <v>500</v>
      </c>
      <c r="AS52">
        <f>IF(AN52&gt;0,SUM(AN52:AR52),0)</f>
        <v>45750</v>
      </c>
      <c r="AT52">
        <f>_xlfn.XLOOKUP(B52,'[4]june-2025'!$A:$A,'[4]june-2025'!$H:$H,0,0)</f>
        <v>5000</v>
      </c>
      <c r="AU52">
        <f>_xlfn.XLOOKUP(B52,'[4]june-2025'!$A:$A,'[4]june-2025'!$I:$I,0,0)</f>
        <v>0</v>
      </c>
      <c r="AV52">
        <f>IF($F52="YES",0,IF(AS52&gt;40000,200,IF(AS52&gt;25000,150,IF(AS52&gt;15000,130,IF(AS52&gt;10000,110,0)))))</f>
        <v>200</v>
      </c>
      <c r="AW52">
        <f>AS52-AT52-AU52-AV52</f>
        <v>40550</v>
      </c>
      <c r="AX52">
        <f>_xlfn.XLOOKUP(B52,'[5]july-2025'!$A:$A,'[5]july-2025'!$C:$C,0,0)</f>
        <v>35500</v>
      </c>
      <c r="AY52">
        <f>AX52*0.18</f>
        <v>6390</v>
      </c>
      <c r="AZ52">
        <v>0</v>
      </c>
      <c r="BA52">
        <f>AX52*0.12</f>
        <v>4260</v>
      </c>
      <c r="BB52">
        <f>_xlfn.XLOOKUP(B52,'[5]july-2025'!$A:$A,'[5]july-2025'!$D:$D,0,0)</f>
        <v>400</v>
      </c>
      <c r="BC52">
        <f>_xlfn.XLOOKUP(B52,'[5]july-2025'!$A:$A,'[5]july-2025'!$G:$G,0,0)</f>
        <v>500</v>
      </c>
      <c r="BD52">
        <f>IF(AX52&gt;0,SUM(AX52:BC52),0)</f>
        <v>47050</v>
      </c>
      <c r="BE52">
        <f>_xlfn.XLOOKUP(B52,'[5]july-2025'!$A:$A,'[5]july-2025'!$H:$H,0,0)</f>
        <v>5000</v>
      </c>
      <c r="BF52">
        <f>_xlfn.XLOOKUP(B52,'[5]july-2025'!$A:$A,'[5]july-2025'!$I:$I,0,0)</f>
        <v>0</v>
      </c>
      <c r="BG52">
        <f>IF($F52="YES",0,IF(BD52&gt;40000,200,IF(BD52&gt;25000,150,IF(BD52&gt;15000,130,IF(BD52&gt;10000,110,0)))))</f>
        <v>200</v>
      </c>
      <c r="BH52">
        <f>BD52-BE52-BF52-BG52</f>
        <v>41850</v>
      </c>
      <c r="BI52">
        <f>_xlfn.XLOOKUP(B52,'[6]august-2025'!$A:$A,'[6]august-2025'!$C:$C,0,0)</f>
        <v>35500</v>
      </c>
      <c r="BJ52">
        <f>BI52*0.18</f>
        <v>6390</v>
      </c>
      <c r="BK52">
        <f>BI52*0.12</f>
        <v>4260</v>
      </c>
      <c r="BL52">
        <f>_xlfn.XLOOKUP(B52,'[6]august-2025'!$A:$A,'[6]august-2025'!$D:$D,0,0)</f>
        <v>400</v>
      </c>
      <c r="BM52">
        <f>_xlfn.XLOOKUP(B52,'[6]august-2025'!$A:$A,'[6]august-2025'!$G:$G,0,0)</f>
        <v>500</v>
      </c>
      <c r="BN52">
        <f>IF(BI52&gt;0,SUM(BI52:BM52),0)</f>
        <v>47050</v>
      </c>
      <c r="BO52">
        <f>_xlfn.XLOOKUP(B52,'[6]august-2025'!$A:$A,'[6]august-2025'!$H:$H,0,0)</f>
        <v>5000</v>
      </c>
      <c r="BP52">
        <f>_xlfn.XLOOKUP(B52,'[6]august-2025'!$A:$A,'[6]august-2025'!$I:$I,0,0)</f>
        <v>0</v>
      </c>
      <c r="BQ52">
        <f>IF($F52="YES",0,IF(BN52&gt;40000,200,IF(BN52&gt;25000,150,IF(BN52&gt;15000,130,IF(BN52&gt;10000,110,0)))))</f>
        <v>200</v>
      </c>
      <c r="BR52">
        <f>BN52-BO52-BP52-BQ52</f>
        <v>41850</v>
      </c>
      <c r="BS52">
        <f>_xlfn.XLOOKUP(B52,'[7]september-2025'!$A:$A,'[7]september-2025'!$C:$C,0,0)</f>
        <v>35500</v>
      </c>
      <c r="BT52">
        <f>BS52*0.18</f>
        <v>6390</v>
      </c>
      <c r="BU52">
        <f>BS52*0.12</f>
        <v>4260</v>
      </c>
      <c r="BV52">
        <f>_xlfn.XLOOKUP(B52,'[7]september-2025'!$A:$A,'[7]september-2025'!$D:$D,0,0)</f>
        <v>400</v>
      </c>
      <c r="BW52">
        <f>_xlfn.XLOOKUP(B52,'[7]september-2025'!$A:$A,'[7]september-2025'!$G:$G,0,0)</f>
        <v>500</v>
      </c>
      <c r="BX52">
        <f>IF(BS52&gt;0,SUM(BS52:BW52),0)</f>
        <v>47050</v>
      </c>
      <c r="BY52">
        <f>_xlfn.XLOOKUP(B52,'[7]september-2025'!$A:$A,'[7]september-2025'!$H:$H,0,0)</f>
        <v>5000</v>
      </c>
      <c r="BZ52">
        <f>_xlfn.XLOOKUP(B52,'[7]september-2025'!$A:$A,'[7]september-2025'!$I:$I,0,0)</f>
        <v>0</v>
      </c>
      <c r="CA52">
        <f>IF($F52="YES",0,IF(BX52&gt;40000,200,IF(BX52&gt;25000,150,IF(BX52&gt;15000,130,IF(BX52&gt;10000,110,0)))))</f>
        <v>200</v>
      </c>
      <c r="CB52">
        <f>BX52-BY52-BZ52-CA52</f>
        <v>41850</v>
      </c>
      <c r="CC52">
        <f>_xlfn.XLOOKUP(B52,'[8]october-2025'!$A:$A,'[8]october-2025'!$C:$C,0,0)</f>
        <v>35500</v>
      </c>
      <c r="CD52">
        <f>CC52*0.18</f>
        <v>6390</v>
      </c>
      <c r="CE52">
        <f>CC52*0.12</f>
        <v>4260</v>
      </c>
      <c r="CF52">
        <f>_xlfn.XLOOKUP(B52,'[8]october-2025'!$A:$A,'[8]october-2025'!$D:$D,0,0)</f>
        <v>400</v>
      </c>
      <c r="CG52">
        <f>_xlfn.XLOOKUP(B52,'[8]october-2025'!$A:$A,'[8]october-2025'!$G:$G,0,0)</f>
        <v>500</v>
      </c>
      <c r="CH52">
        <f>IF(CC52&gt;0,SUM(CC52:CG52),0)</f>
        <v>47050</v>
      </c>
      <c r="CI52">
        <f>_xlfn.XLOOKUP(B52,'[8]october-2025'!$A:$A,'[8]october-2025'!$H:$H,0,0)</f>
        <v>5000</v>
      </c>
      <c r="CJ52">
        <f>_xlfn.XLOOKUP(B52,'[8]october-2025'!$A:$A,'[8]october-2025'!$I:$I,0,0)</f>
        <v>0</v>
      </c>
      <c r="CK52">
        <f>IF($F52="YES",0,IF(CH52&gt;40000,200,IF(CH52&gt;25000,150,IF(CH52&gt;15000,130,IF(CH52&gt;10000,110,0)))))</f>
        <v>200</v>
      </c>
      <c r="CL52">
        <f>CH52-CI52-CJ52-CK52</f>
        <v>41850</v>
      </c>
      <c r="CM52">
        <f>_xlfn.XLOOKUP(B52,'[9]november-2025'!$A:$A,'[9]november-2025'!$C:$C,0,0)</f>
        <v>35500</v>
      </c>
      <c r="CN52">
        <f>CM52*0.18</f>
        <v>6390</v>
      </c>
      <c r="CO52">
        <f>CM52*0.12</f>
        <v>4260</v>
      </c>
      <c r="CP52">
        <f>_xlfn.XLOOKUP(B52,'[9]november-2025'!$A:$A,'[9]november-2025'!$D:$D,0,0)</f>
        <v>400</v>
      </c>
      <c r="CQ52">
        <f>_xlfn.XLOOKUP(B52,'[9]november-2025'!$A:$A,'[9]november-2025'!$G:$G,0,0)</f>
        <v>500</v>
      </c>
      <c r="CR52">
        <f>IF(CM52&gt;0,SUM(CM52:CQ52),0)</f>
        <v>47050</v>
      </c>
      <c r="CS52">
        <f>_xlfn.XLOOKUP(B52,'[9]november-2025'!$A:$A,'[9]november-2025'!$H:$H,0,0)</f>
        <v>5000</v>
      </c>
      <c r="CT52">
        <f>_xlfn.XLOOKUP(B52,'[9]november-2025'!$A:$A,'[9]november-2025'!$I:$I,0,0)</f>
        <v>0</v>
      </c>
      <c r="CU52">
        <f>IF($F52="YES",0,IF(CR52&gt;40000,200,IF(CR52&gt;25000,150,IF(CR52&gt;15000,130,IF(CR52&gt;10000,110,0)))))</f>
        <v>200</v>
      </c>
      <c r="CV52">
        <f>CR52-CS52-CT52-CU52</f>
        <v>41850</v>
      </c>
      <c r="CW52">
        <f>_xlfn.XLOOKUP(B52,'[10]december-2025'!$A:$A,'[10]december-2025'!$C:$C,0,0)</f>
        <v>35500</v>
      </c>
      <c r="CX52">
        <f>ROUND(CW52*0.18,0)</f>
        <v>6390</v>
      </c>
      <c r="CY52">
        <f>ROUND(CW52*0.12,0)</f>
        <v>4260</v>
      </c>
      <c r="CZ52">
        <f>_xlfn.XLOOKUP(B52,'[10]december-2025'!$A:$A,'[10]december-2025'!$D:$D,0,0)</f>
        <v>400</v>
      </c>
      <c r="DA52">
        <f>_xlfn.XLOOKUP(B52,'[10]december-2025'!$A:$A,'[10]december-2025'!$G:$G,0,0)</f>
        <v>500</v>
      </c>
      <c r="DB52">
        <f>IF(CW52&gt;0,SUM(CW52:DA52),0)</f>
        <v>47050</v>
      </c>
      <c r="DC52">
        <f>_xlfn.XLOOKUP(B52,'[10]december-2025'!$A:$A,'[10]december-2025'!$H:$H,0,0)</f>
        <v>5000</v>
      </c>
      <c r="DD52">
        <f>_xlfn.XLOOKUP(B52,'[10]december-2025'!$A:$A,'[10]december-2025'!$I:$I,0,0)</f>
        <v>0</v>
      </c>
      <c r="DE52">
        <f>IF($F52="YES",0,IF(DB52&gt;40000,200,IF(DB52&gt;25000,150,IF(DB52&gt;15000,130,IF(DB52&gt;10000,110,0)))))</f>
        <v>200</v>
      </c>
      <c r="DF52">
        <f>DB52-DC52-DD52-DE52</f>
        <v>41850</v>
      </c>
      <c r="DG52">
        <f>_xlfn.XLOOKUP(B52,'[11]january-2026'!$A:$A,'[11]january-2026'!$C:$C,0,0)</f>
        <v>35500</v>
      </c>
      <c r="DH52">
        <f>DG52*0.18</f>
        <v>6390</v>
      </c>
      <c r="DI52">
        <f>DG52*0.12</f>
        <v>4260</v>
      </c>
      <c r="DJ52">
        <f>_xlfn.XLOOKUP(B52,'[11]january-2026'!$A:$A,'[11]january-2026'!$D:$D,0,0)</f>
        <v>400</v>
      </c>
      <c r="DK52">
        <f>_xlfn.XLOOKUP(B52,'[11]january-2026'!$A:$A,'[11]january-2026'!$G:$G,0,0)</f>
        <v>500</v>
      </c>
      <c r="DL52">
        <f>IF(DG52&gt;0,SUM(DG52:DK52),0)</f>
        <v>47050</v>
      </c>
      <c r="DM52">
        <f>_xlfn.XLOOKUP(B52,'[11]january-2026'!$A:$A,'[11]january-2026'!$H:$H,0,0)</f>
        <v>5000</v>
      </c>
      <c r="DN52">
        <f>_xlfn.XLOOKUP(B52,'[11]january-2026'!$A:$A,'[11]january-2026'!$I:$I,0,0)</f>
        <v>0</v>
      </c>
      <c r="DO52">
        <f>IF($F52="YES",0,IF(DL52&gt;40000,200,IF(DL52&gt;25000,150,IF(DL52&gt;15000,130,IF(DL52&gt;10000,110,0)))))</f>
        <v>200</v>
      </c>
      <c r="DP52">
        <f>DL52-DM52-DN52-DO52</f>
        <v>41850</v>
      </c>
      <c r="DQ52">
        <f>_xlfn.XLOOKUP(B52,'[12]february-2026'!$A:$A,'[12]february-2026'!$C:$C,0,0)</f>
        <v>35500</v>
      </c>
      <c r="DR52">
        <f>DQ52*0.18</f>
        <v>6390</v>
      </c>
      <c r="DS52">
        <f>DQ52*0.12</f>
        <v>4260</v>
      </c>
      <c r="DT52">
        <f>_xlfn.XLOOKUP(B52,'[12]february-2026'!$A:$A,'[12]february-2026'!$D:$D,0,0)</f>
        <v>400</v>
      </c>
      <c r="DU52">
        <f>_xlfn.XLOOKUP(B52,'[12]february-2026'!$A:$A,'[12]february-2026'!$G:$G,0,0)</f>
        <v>500</v>
      </c>
      <c r="DV52">
        <f>IF(DQ52&gt;0,SUM(DQ52:DU52),0)</f>
        <v>47050</v>
      </c>
      <c r="DW52">
        <f>_xlfn.XLOOKUP(B52,'[12]february-2026'!$A:$A,'[12]february-2026'!$H:$H,0,0)</f>
        <v>5000</v>
      </c>
      <c r="DX52">
        <f>_xlfn.XLOOKUP(B52,'[12]february-2026'!$A:$A,'[12]february-2026'!$I:$I,0,0)</f>
        <v>0</v>
      </c>
      <c r="DY52">
        <f>IF($F52="YES",0,IF(DV52&gt;40000,200,IF(DV52&gt;25000,150,IF(DV52&gt;15000,130,IF(DV52&gt;10000,110,0)))))</f>
        <v>200</v>
      </c>
      <c r="DZ52">
        <f>DV52-DW52-DX52-DY52</f>
        <v>41850</v>
      </c>
      <c r="EA52">
        <f>DV52+DL52+DB52+CR52+CH52+BX52+BN52+BD52+AS52+AI52+Y52+O52+H52+I52</f>
        <v>564820</v>
      </c>
      <c r="EB52">
        <f>DY52+DO52+DE52+CU52+CK52+CA52+BQ52+BG52+AV52+AL52+AB52+R52</f>
        <v>2400</v>
      </c>
      <c r="EC52">
        <f>IF(EA52&gt;0,50000,0)</f>
        <v>50000</v>
      </c>
      <c r="ED52">
        <v>0</v>
      </c>
      <c r="EE52">
        <f>EA52-EB52-EC52</f>
        <v>512420</v>
      </c>
      <c r="EF52">
        <f>DW52+DM52+DC52+CS52+CI52+BY52+BO52+BE52+AT52+AJ52+Z52+P52</f>
        <v>60000</v>
      </c>
      <c r="EG52">
        <f>DX52+DN52+DD52+CT52+CJ52+BZ52+BP52+BF52+AU52+AK52+AA52+Q52</f>
        <v>0</v>
      </c>
      <c r="EH52">
        <v>0</v>
      </c>
      <c r="EI52">
        <v>0</v>
      </c>
      <c r="EJ52">
        <v>0</v>
      </c>
      <c r="EK52">
        <v>0</v>
      </c>
      <c r="EL52">
        <v>0</v>
      </c>
      <c r="EM52">
        <v>0</v>
      </c>
      <c r="EN52">
        <v>0</v>
      </c>
      <c r="EO52">
        <v>0</v>
      </c>
      <c r="EP52">
        <v>0</v>
      </c>
      <c r="EQ52">
        <v>0</v>
      </c>
      <c r="ER52">
        <f>SUM(EF52:EQ52)</f>
        <v>60000</v>
      </c>
      <c r="ES52">
        <f>IF(ER52&gt;=150000,150000,ER52)</f>
        <v>60000</v>
      </c>
      <c r="ET52">
        <f>EE52-ES52</f>
        <v>452420</v>
      </c>
      <c r="EU52">
        <v>0</v>
      </c>
      <c r="EV52">
        <v>0</v>
      </c>
      <c r="EW52">
        <v>0</v>
      </c>
      <c r="EX52">
        <v>0</v>
      </c>
      <c r="EY52">
        <v>0</v>
      </c>
      <c r="EZ52">
        <v>0</v>
      </c>
      <c r="FA52">
        <v>0</v>
      </c>
      <c r="FB52">
        <f>SUM(EU52:FA52)+(IF(F52="YES",50000,0))</f>
        <v>0</v>
      </c>
      <c r="FC52">
        <f>ET52-FB52</f>
        <v>452420</v>
      </c>
      <c r="FD52">
        <f>ROUND(IF(FC52&gt;0,IF(FC52&gt;500000,12500,(FC52-250000)*0.05),0),0)</f>
        <v>10121</v>
      </c>
      <c r="FE52">
        <f>IF(ROUND(IF(FC52&gt;0,IF(FC52&gt;1000000,25000,(FC52-500000)*0.2),0),0)&lt;0,0,ROUND(IF(FC52&gt;0,IF(FC52&gt;1000000,25000,(FC52-500000)*0.2),0),0))</f>
        <v>0</v>
      </c>
      <c r="FF52">
        <f>FD52+FE52</f>
        <v>10121</v>
      </c>
      <c r="FG52">
        <f>IF(FF52&lt;12500,0,FF52)</f>
        <v>0</v>
      </c>
      <c r="FH52">
        <f>FG52*0.04</f>
        <v>0</v>
      </c>
      <c r="FI52">
        <f>ROUND(FH52+FG52,0)</f>
        <v>0</v>
      </c>
      <c r="FJ52">
        <v>0</v>
      </c>
      <c r="FK52">
        <f>FI52-FJ52</f>
        <v>0</v>
      </c>
      <c r="FL52" t="b">
        <f>IF(EA52&gt;500000,TRUE,FALSE)</f>
        <v>1</v>
      </c>
      <c r="FM52">
        <f ca="1">IF(FL52,RANDBETWEEN(500,1000),RANDBETWEEN(1000,3000))</f>
        <v>897</v>
      </c>
      <c r="FN52">
        <f ca="1">EA52+FM52</f>
        <v>565717</v>
      </c>
      <c r="FO52">
        <f>IF(EA52&gt;0,75000,0)</f>
        <v>75000</v>
      </c>
      <c r="FP52">
        <f ca="1">FN52-FO52</f>
        <v>490717</v>
      </c>
      <c r="FQ52">
        <f ca="1">IF(FP52&gt;2400000,FP52-2400000,0)</f>
        <v>0</v>
      </c>
      <c r="FR52">
        <f ca="1">FQ52*0.3</f>
        <v>0</v>
      </c>
      <c r="FS52">
        <f ca="1">IF(FP52&gt;2000000,FP52-2000000,0)</f>
        <v>0</v>
      </c>
      <c r="FT52">
        <f ca="1">FS52*0.25</f>
        <v>0</v>
      </c>
      <c r="FU52">
        <f ca="1">IF(FP52&gt;1600000,FP52-1600000-FQ52,0)</f>
        <v>0</v>
      </c>
      <c r="FV52">
        <f ca="1">FU52*0.2</f>
        <v>0</v>
      </c>
      <c r="FW52">
        <f ca="1">IF(FP52&gt;1200000,FP52-1200000-IF(F52="YES",50000,0)-FU52,0)</f>
        <v>0</v>
      </c>
      <c r="FX52">
        <f ca="1">FW52*0.15</f>
        <v>0</v>
      </c>
      <c r="FY52">
        <f ca="1">IF(FP52&gt;800000,FP52-800000-FQ52-FU52-FW52,0)</f>
        <v>0</v>
      </c>
      <c r="FZ52">
        <f ca="1">FY52*0.1</f>
        <v>0</v>
      </c>
      <c r="GA52">
        <f ca="1">IF(FP52&gt;400000,FP52-400000-FQ52-FU52-FW52-FY52,0)</f>
        <v>90717</v>
      </c>
      <c r="GB52">
        <f ca="1">GA52*0.05</f>
        <v>4535.8500000000004</v>
      </c>
      <c r="GC52">
        <f ca="1">ROUND(FR52+FT52+FV52+FX52+FZ52+GB52,0)</f>
        <v>4536</v>
      </c>
      <c r="GD52">
        <f ca="1">IF(FP52&gt;1200000,FP52,0)</f>
        <v>0</v>
      </c>
      <c r="GE52">
        <f ca="1">IF(FP52&gt;1200000,GD52-1200000,0)</f>
        <v>0</v>
      </c>
      <c r="GF52">
        <f ca="1">IF(FP52&lt;1200001,MIN(GC52,60000),0)</f>
        <v>4536</v>
      </c>
      <c r="GG52">
        <f ca="1">IF(FP52&gt;1200000,GC52-GE52,0)</f>
        <v>0</v>
      </c>
      <c r="GH52" t="b">
        <f ca="1">IF(GG52&gt;0,TRUE,FALSE)</f>
        <v>0</v>
      </c>
      <c r="GI52">
        <f ca="1">IF(GH52,GG52,0)</f>
        <v>0</v>
      </c>
      <c r="GJ52">
        <f ca="1">GF52+GI52</f>
        <v>4536</v>
      </c>
      <c r="GK52">
        <f ca="1">ROUND(GC52-GJ52,0)</f>
        <v>0</v>
      </c>
      <c r="GL52">
        <f ca="1">GK52*0.04</f>
        <v>0</v>
      </c>
      <c r="GM52">
        <f ca="1">ROUNDUP(GK52+GL52,0)</f>
        <v>0</v>
      </c>
    </row>
    <row r="53" spans="1:195" x14ac:dyDescent="0.25">
      <c r="A53">
        <f>_xlfn.AGGREGATE(3,5,$B$2:B53)</f>
        <v>52</v>
      </c>
      <c r="B53" t="s">
        <v>224</v>
      </c>
      <c r="C53" t="s">
        <v>225</v>
      </c>
      <c r="D53" t="s">
        <v>766</v>
      </c>
      <c r="E53" t="s">
        <v>833</v>
      </c>
      <c r="F53" t="s">
        <v>959</v>
      </c>
      <c r="G53" t="s">
        <v>880</v>
      </c>
      <c r="H53">
        <f>IF(_xlfn.DAYS("31-03-2025",G53)&gt;=180,6800,0)</f>
        <v>6800</v>
      </c>
      <c r="I53">
        <f>_xlfn.XLOOKUP(B53,'[1]march-2025'!$A:$A,'[1]march-2025'!$J:$J,0,0)</f>
        <v>0</v>
      </c>
      <c r="J53">
        <f>_xlfn.XLOOKUP(B53,'[1]march-2025'!$A:$A,'[1]march-2025'!$C:$C,0,0)</f>
        <v>34500</v>
      </c>
      <c r="K53">
        <f>J53*0.14</f>
        <v>4830.0000000000009</v>
      </c>
      <c r="L53">
        <f>J53*0.12</f>
        <v>4140</v>
      </c>
      <c r="M53">
        <f>_xlfn.XLOOKUP(B53,'[1]march-2025'!$A:$A,'[1]march-2025'!$D:$D,0,0)</f>
        <v>0</v>
      </c>
      <c r="N53">
        <f>_xlfn.XLOOKUP(B53,'[1]march-2025'!$A:$A,'[1]march-2025'!$G:$G,0,0)</f>
        <v>500</v>
      </c>
      <c r="O53">
        <f>IF(J53&gt;0,SUM(J53:N53),0)</f>
        <v>43970</v>
      </c>
      <c r="P53">
        <f>_xlfn.XLOOKUP(B53,'[1]march-2025'!$A:$A,'[1]march-2025'!$H:$H,0,0)</f>
        <v>2500</v>
      </c>
      <c r="Q53">
        <f>_xlfn.XLOOKUP(B53,'[1]march-2025'!$A:$A,'[1]march-2025'!$I:$I,0,0)</f>
        <v>0</v>
      </c>
      <c r="R53">
        <f>IF($F53="YES",0,IF(O53&gt;40000,200,IF(O53&gt;25000,150,IF(O53&gt;15000,130,IF(O53&gt;10000,110,0)))))</f>
        <v>200</v>
      </c>
      <c r="S53">
        <f>O53-P53-Q53-R53</f>
        <v>41270</v>
      </c>
      <c r="T53">
        <f>_xlfn.XLOOKUP(B53,'[2]april-2025'!$A:$A,'[2]april-2025'!$C:$C,0,0)</f>
        <v>34500</v>
      </c>
      <c r="U53">
        <f>T53*0.18</f>
        <v>6210</v>
      </c>
      <c r="V53">
        <f>T53*0.12</f>
        <v>4140</v>
      </c>
      <c r="W53">
        <f>_xlfn.XLOOKUP(B53,'[2]april-2025'!$A:$A,'[2]april-2025'!$D:$D,0,0)</f>
        <v>0</v>
      </c>
      <c r="X53">
        <f>_xlfn.XLOOKUP(B53,'[2]april-2025'!$A:$A,'[2]april-2025'!$G:$G,0,0)</f>
        <v>500</v>
      </c>
      <c r="Y53">
        <f>IF(T53&gt;0,SUM(T53:X53),0)</f>
        <v>45350</v>
      </c>
      <c r="Z53">
        <f>_xlfn.XLOOKUP(B53,'[2]april-2025'!$A:$A,'[2]april-2025'!$H:$H,0,0)</f>
        <v>2500</v>
      </c>
      <c r="AA53">
        <f>_xlfn.XLOOKUP(B53,'[2]april-2025'!$A:$A,'[2]april-2025'!$I:$I,0,0)</f>
        <v>0</v>
      </c>
      <c r="AB53">
        <f>IF($F53="YES",0,IF(Y53&gt;40000,200,IF(Y53&gt;25000,150,IF(Y53&gt;15000,130,IF(Y53&gt;10000,110,0)))))</f>
        <v>200</v>
      </c>
      <c r="AC53">
        <f>Y53-Z53-AA53-AB53</f>
        <v>42650</v>
      </c>
      <c r="AD53">
        <f>_xlfn.XLOOKUP(B53,'[3]may-2025'!$A:$A,'[3]may-2025'!$C:$C,0,0)</f>
        <v>34500</v>
      </c>
      <c r="AE53">
        <f>AD53*0.18</f>
        <v>6210</v>
      </c>
      <c r="AF53">
        <f>AD53*0.12</f>
        <v>4140</v>
      </c>
      <c r="AG53">
        <f>_xlfn.XLOOKUP(B53,'[3]may-2025'!$A:$A,'[3]may-2025'!$D:$D,0,0)</f>
        <v>0</v>
      </c>
      <c r="AH53">
        <f>_xlfn.XLOOKUP(B53,'[3]may-2025'!$A:$A,'[3]may-2025'!$G:$G,0,0)</f>
        <v>500</v>
      </c>
      <c r="AI53">
        <f>IF(AD53&gt;0,SUM(AD53:AH53),0)</f>
        <v>45350</v>
      </c>
      <c r="AJ53">
        <f>_xlfn.XLOOKUP(B53,'[3]may-2025'!$A:$A,'[3]may-2025'!$H:$H,0,0)</f>
        <v>2500</v>
      </c>
      <c r="AK53">
        <f>_xlfn.XLOOKUP(B53,'[3]may-2025'!$A:$A,'[3]may-2025'!$I:$I,0,0)</f>
        <v>0</v>
      </c>
      <c r="AL53">
        <f>IF($F53="YES",0,IF(AI53&gt;40000,200,IF(AI53&gt;25000,150,IF(AI53&gt;15000,130,IF(AI53&gt;10000,110,0)))))</f>
        <v>200</v>
      </c>
      <c r="AM53">
        <f>AI53-AJ53-AK53-AL53</f>
        <v>42650</v>
      </c>
      <c r="AN53">
        <f>_xlfn.XLOOKUP(B53,'[4]june-2025'!$A:$A,'[4]june-2025'!$C:$C,0,0)</f>
        <v>34500</v>
      </c>
      <c r="AO53">
        <f>AN53*0.18</f>
        <v>6210</v>
      </c>
      <c r="AP53">
        <f>AN53*0.12</f>
        <v>4140</v>
      </c>
      <c r="AQ53">
        <f>_xlfn.XLOOKUP(B53,'[4]june-2025'!$A:$A,'[4]june-2025'!$D:$D,0,0)</f>
        <v>0</v>
      </c>
      <c r="AR53">
        <f>_xlfn.XLOOKUP(B53,'[4]june-2025'!$A:$A,'[4]june-2025'!$G:$G,0,0)</f>
        <v>500</v>
      </c>
      <c r="AS53">
        <f>IF(AN53&gt;0,SUM(AN53:AR53),0)</f>
        <v>45350</v>
      </c>
      <c r="AT53">
        <f>_xlfn.XLOOKUP(B53,'[4]june-2025'!$A:$A,'[4]june-2025'!$H:$H,0,0)</f>
        <v>2500</v>
      </c>
      <c r="AU53">
        <f>_xlfn.XLOOKUP(B53,'[4]june-2025'!$A:$A,'[4]june-2025'!$I:$I,0,0)</f>
        <v>0</v>
      </c>
      <c r="AV53">
        <f>IF($F53="YES",0,IF(AS53&gt;40000,200,IF(AS53&gt;25000,150,IF(AS53&gt;15000,130,IF(AS53&gt;10000,110,0)))))</f>
        <v>200</v>
      </c>
      <c r="AW53">
        <f>AS53-AT53-AU53-AV53</f>
        <v>42650</v>
      </c>
      <c r="AX53">
        <f>_xlfn.XLOOKUP(B53,'[5]july-2025'!$A:$A,'[5]july-2025'!$C:$C,0,0)</f>
        <v>35500</v>
      </c>
      <c r="AY53">
        <f>AX53*0.18</f>
        <v>6390</v>
      </c>
      <c r="AZ53">
        <v>0</v>
      </c>
      <c r="BA53">
        <f>AX53*0.12</f>
        <v>4260</v>
      </c>
      <c r="BB53">
        <f>_xlfn.XLOOKUP(B53,'[5]july-2025'!$A:$A,'[5]july-2025'!$D:$D,0,0)</f>
        <v>0</v>
      </c>
      <c r="BC53">
        <f>_xlfn.XLOOKUP(B53,'[5]july-2025'!$A:$A,'[5]july-2025'!$G:$G,0,0)</f>
        <v>500</v>
      </c>
      <c r="BD53">
        <f>IF(AX53&gt;0,SUM(AX53:BC53),0)</f>
        <v>46650</v>
      </c>
      <c r="BE53">
        <f>_xlfn.XLOOKUP(B53,'[5]july-2025'!$A:$A,'[5]july-2025'!$H:$H,0,0)</f>
        <v>2500</v>
      </c>
      <c r="BF53">
        <f>_xlfn.XLOOKUP(B53,'[5]july-2025'!$A:$A,'[5]july-2025'!$I:$I,0,0)</f>
        <v>0</v>
      </c>
      <c r="BG53">
        <f>IF($F53="YES",0,IF(BD53&gt;40000,200,IF(BD53&gt;25000,150,IF(BD53&gt;15000,130,IF(BD53&gt;10000,110,0)))))</f>
        <v>200</v>
      </c>
      <c r="BH53">
        <f>BD53-BE53-BF53-BG53</f>
        <v>43950</v>
      </c>
      <c r="BI53">
        <f>_xlfn.XLOOKUP(B53,'[6]august-2025'!$A:$A,'[6]august-2025'!$C:$C,0,0)</f>
        <v>35500</v>
      </c>
      <c r="BJ53">
        <f>BI53*0.18</f>
        <v>6390</v>
      </c>
      <c r="BK53">
        <f>BI53*0.12</f>
        <v>4260</v>
      </c>
      <c r="BL53">
        <f>_xlfn.XLOOKUP(B53,'[6]august-2025'!$A:$A,'[6]august-2025'!$D:$D,0,0)</f>
        <v>0</v>
      </c>
      <c r="BM53">
        <f>_xlfn.XLOOKUP(B53,'[6]august-2025'!$A:$A,'[6]august-2025'!$G:$G,0,0)</f>
        <v>500</v>
      </c>
      <c r="BN53">
        <f>IF(BI53&gt;0,SUM(BI53:BM53),0)</f>
        <v>46650</v>
      </c>
      <c r="BO53">
        <f>_xlfn.XLOOKUP(B53,'[6]august-2025'!$A:$A,'[6]august-2025'!$H:$H,0,0)</f>
        <v>2500</v>
      </c>
      <c r="BP53">
        <f>_xlfn.XLOOKUP(B53,'[6]august-2025'!$A:$A,'[6]august-2025'!$I:$I,0,0)</f>
        <v>0</v>
      </c>
      <c r="BQ53">
        <f>IF($F53="YES",0,IF(BN53&gt;40000,200,IF(BN53&gt;25000,150,IF(BN53&gt;15000,130,IF(BN53&gt;10000,110,0)))))</f>
        <v>200</v>
      </c>
      <c r="BR53">
        <f>BN53-BO53-BP53-BQ53</f>
        <v>43950</v>
      </c>
      <c r="BS53">
        <f>_xlfn.XLOOKUP(B53,'[7]september-2025'!$A:$A,'[7]september-2025'!$C:$C,0,0)</f>
        <v>35500</v>
      </c>
      <c r="BT53">
        <f>BS53*0.18</f>
        <v>6390</v>
      </c>
      <c r="BU53">
        <f>BS53*0.12</f>
        <v>4260</v>
      </c>
      <c r="BV53">
        <f>_xlfn.XLOOKUP(B53,'[7]september-2025'!$A:$A,'[7]september-2025'!$D:$D,0,0)</f>
        <v>0</v>
      </c>
      <c r="BW53">
        <f>_xlfn.XLOOKUP(B53,'[7]september-2025'!$A:$A,'[7]september-2025'!$G:$G,0,0)</f>
        <v>500</v>
      </c>
      <c r="BX53">
        <f>IF(BS53&gt;0,SUM(BS53:BW53),0)</f>
        <v>46650</v>
      </c>
      <c r="BY53">
        <f>_xlfn.XLOOKUP(B53,'[7]september-2025'!$A:$A,'[7]september-2025'!$H:$H,0,0)</f>
        <v>2500</v>
      </c>
      <c r="BZ53">
        <f>_xlfn.XLOOKUP(B53,'[7]september-2025'!$A:$A,'[7]september-2025'!$I:$I,0,0)</f>
        <v>0</v>
      </c>
      <c r="CA53">
        <f>IF($F53="YES",0,IF(BX53&gt;40000,200,IF(BX53&gt;25000,150,IF(BX53&gt;15000,130,IF(BX53&gt;10000,110,0)))))</f>
        <v>200</v>
      </c>
      <c r="CB53">
        <f>BX53-BY53-BZ53-CA53</f>
        <v>43950</v>
      </c>
      <c r="CC53">
        <f>_xlfn.XLOOKUP(B53,'[8]october-2025'!$A:$A,'[8]october-2025'!$C:$C,0,0)</f>
        <v>35500</v>
      </c>
      <c r="CD53">
        <f>CC53*0.18</f>
        <v>6390</v>
      </c>
      <c r="CE53">
        <f>CC53*0.12</f>
        <v>4260</v>
      </c>
      <c r="CF53">
        <f>_xlfn.XLOOKUP(B53,'[8]october-2025'!$A:$A,'[8]october-2025'!$D:$D,0,0)</f>
        <v>0</v>
      </c>
      <c r="CG53">
        <f>_xlfn.XLOOKUP(B53,'[8]october-2025'!$A:$A,'[8]october-2025'!$G:$G,0,0)</f>
        <v>500</v>
      </c>
      <c r="CH53">
        <f>IF(CC53&gt;0,SUM(CC53:CG53),0)</f>
        <v>46650</v>
      </c>
      <c r="CI53">
        <f>_xlfn.XLOOKUP(B53,'[8]october-2025'!$A:$A,'[8]october-2025'!$H:$H,0,0)</f>
        <v>2500</v>
      </c>
      <c r="CJ53">
        <f>_xlfn.XLOOKUP(B53,'[8]october-2025'!$A:$A,'[8]october-2025'!$I:$I,0,0)</f>
        <v>0</v>
      </c>
      <c r="CK53">
        <f>IF($F53="YES",0,IF(CH53&gt;40000,200,IF(CH53&gt;25000,150,IF(CH53&gt;15000,130,IF(CH53&gt;10000,110,0)))))</f>
        <v>200</v>
      </c>
      <c r="CL53">
        <f>CH53-CI53-CJ53-CK53</f>
        <v>43950</v>
      </c>
      <c r="CM53">
        <f>_xlfn.XLOOKUP(B53,'[9]november-2025'!$A:$A,'[9]november-2025'!$C:$C,0,0)</f>
        <v>35500</v>
      </c>
      <c r="CN53">
        <f>CM53*0.18</f>
        <v>6390</v>
      </c>
      <c r="CO53">
        <f>CM53*0.12</f>
        <v>4260</v>
      </c>
      <c r="CP53">
        <f>_xlfn.XLOOKUP(B53,'[9]november-2025'!$A:$A,'[9]november-2025'!$D:$D,0,0)</f>
        <v>0</v>
      </c>
      <c r="CQ53">
        <f>_xlfn.XLOOKUP(B53,'[9]november-2025'!$A:$A,'[9]november-2025'!$G:$G,0,0)</f>
        <v>500</v>
      </c>
      <c r="CR53">
        <f>IF(CM53&gt;0,SUM(CM53:CQ53),0)</f>
        <v>46650</v>
      </c>
      <c r="CS53">
        <f>_xlfn.XLOOKUP(B53,'[9]november-2025'!$A:$A,'[9]november-2025'!$H:$H,0,0)</f>
        <v>2500</v>
      </c>
      <c r="CT53">
        <f>_xlfn.XLOOKUP(B53,'[9]november-2025'!$A:$A,'[9]november-2025'!$I:$I,0,0)</f>
        <v>0</v>
      </c>
      <c r="CU53">
        <f>IF($F53="YES",0,IF(CR53&gt;40000,200,IF(CR53&gt;25000,150,IF(CR53&gt;15000,130,IF(CR53&gt;10000,110,0)))))</f>
        <v>200</v>
      </c>
      <c r="CV53">
        <f>CR53-CS53-CT53-CU53</f>
        <v>43950</v>
      </c>
      <c r="CW53">
        <f>_xlfn.XLOOKUP(B53,'[10]december-2025'!$A:$A,'[10]december-2025'!$C:$C,0,0)</f>
        <v>35500</v>
      </c>
      <c r="CX53">
        <f>ROUND(CW53*0.18,0)</f>
        <v>6390</v>
      </c>
      <c r="CY53">
        <f>ROUND(CW53*0.12,0)</f>
        <v>4260</v>
      </c>
      <c r="CZ53">
        <f>_xlfn.XLOOKUP(B53,'[10]december-2025'!$A:$A,'[10]december-2025'!$D:$D,0,0)</f>
        <v>0</v>
      </c>
      <c r="DA53">
        <f>_xlfn.XLOOKUP(B53,'[10]december-2025'!$A:$A,'[10]december-2025'!$G:$G,0,0)</f>
        <v>500</v>
      </c>
      <c r="DB53">
        <f>IF(CW53&gt;0,SUM(CW53:DA53),0)</f>
        <v>46650</v>
      </c>
      <c r="DC53">
        <f>_xlfn.XLOOKUP(B53,'[10]december-2025'!$A:$A,'[10]december-2025'!$H:$H,0,0)</f>
        <v>2500</v>
      </c>
      <c r="DD53">
        <f>_xlfn.XLOOKUP(B53,'[10]december-2025'!$A:$A,'[10]december-2025'!$I:$I,0,0)</f>
        <v>0</v>
      </c>
      <c r="DE53">
        <f>IF($F53="YES",0,IF(DB53&gt;40000,200,IF(DB53&gt;25000,150,IF(DB53&gt;15000,130,IF(DB53&gt;10000,110,0)))))</f>
        <v>200</v>
      </c>
      <c r="DF53">
        <f>DB53-DC53-DD53-DE53</f>
        <v>43950</v>
      </c>
      <c r="DG53">
        <f>_xlfn.XLOOKUP(B53,'[11]january-2026'!$A:$A,'[11]january-2026'!$C:$C,0,0)</f>
        <v>35500</v>
      </c>
      <c r="DH53">
        <f>DG53*0.18</f>
        <v>6390</v>
      </c>
      <c r="DI53">
        <f>DG53*0.12</f>
        <v>4260</v>
      </c>
      <c r="DJ53">
        <f>_xlfn.XLOOKUP(B53,'[11]january-2026'!$A:$A,'[11]january-2026'!$D:$D,0,0)</f>
        <v>0</v>
      </c>
      <c r="DK53">
        <f>_xlfn.XLOOKUP(B53,'[11]january-2026'!$A:$A,'[11]january-2026'!$G:$G,0,0)</f>
        <v>500</v>
      </c>
      <c r="DL53">
        <f>IF(DG53&gt;0,SUM(DG53:DK53),0)</f>
        <v>46650</v>
      </c>
      <c r="DM53">
        <f>_xlfn.XLOOKUP(B53,'[11]january-2026'!$A:$A,'[11]january-2026'!$H:$H,0,0)</f>
        <v>2500</v>
      </c>
      <c r="DN53">
        <f>_xlfn.XLOOKUP(B53,'[11]january-2026'!$A:$A,'[11]january-2026'!$I:$I,0,0)</f>
        <v>0</v>
      </c>
      <c r="DO53">
        <f>IF($F53="YES",0,IF(DL53&gt;40000,200,IF(DL53&gt;25000,150,IF(DL53&gt;15000,130,IF(DL53&gt;10000,110,0)))))</f>
        <v>200</v>
      </c>
      <c r="DP53">
        <f>DL53-DM53-DN53-DO53</f>
        <v>43950</v>
      </c>
      <c r="DQ53">
        <f>_xlfn.XLOOKUP(B53,'[12]february-2026'!$A:$A,'[12]february-2026'!$C:$C,0,0)</f>
        <v>35500</v>
      </c>
      <c r="DR53">
        <f>DQ53*0.18</f>
        <v>6390</v>
      </c>
      <c r="DS53">
        <f>DQ53*0.12</f>
        <v>4260</v>
      </c>
      <c r="DT53">
        <f>_xlfn.XLOOKUP(B53,'[12]february-2026'!$A:$A,'[12]february-2026'!$D:$D,0,0)</f>
        <v>0</v>
      </c>
      <c r="DU53">
        <f>_xlfn.XLOOKUP(B53,'[12]february-2026'!$A:$A,'[12]february-2026'!$G:$G,0,0)</f>
        <v>500</v>
      </c>
      <c r="DV53">
        <f>IF(DQ53&gt;0,SUM(DQ53:DU53),0)</f>
        <v>46650</v>
      </c>
      <c r="DW53">
        <f>_xlfn.XLOOKUP(B53,'[12]february-2026'!$A:$A,'[12]february-2026'!$H:$H,0,0)</f>
        <v>2500</v>
      </c>
      <c r="DX53">
        <f>_xlfn.XLOOKUP(B53,'[12]february-2026'!$A:$A,'[12]february-2026'!$I:$I,0,0)</f>
        <v>0</v>
      </c>
      <c r="DY53">
        <f>IF($F53="YES",0,IF(DV53&gt;40000,200,IF(DV53&gt;25000,150,IF(DV53&gt;15000,130,IF(DV53&gt;10000,110,0)))))</f>
        <v>200</v>
      </c>
      <c r="DZ53">
        <f>DV53-DW53-DX53-DY53</f>
        <v>43950</v>
      </c>
      <c r="EA53">
        <f>DV53+DL53+DB53+CR53+CH53+BX53+BN53+BD53+AS53+AI53+Y53+O53+H53+I53</f>
        <v>560020</v>
      </c>
      <c r="EB53">
        <f>DY53+DO53+DE53+CU53+CK53+CA53+BQ53+BG53+AV53+AL53+AB53+R53</f>
        <v>2400</v>
      </c>
      <c r="EC53">
        <f>IF(EA53&gt;0,50000,0)</f>
        <v>50000</v>
      </c>
      <c r="ED53">
        <v>0</v>
      </c>
      <c r="EE53">
        <f>EA53-EB53-EC53</f>
        <v>507620</v>
      </c>
      <c r="EF53">
        <f>DW53+DM53+DC53+CS53+CI53+BY53+BO53+BE53+AT53+AJ53+Z53+P53</f>
        <v>30000</v>
      </c>
      <c r="EG53">
        <f>DX53+DN53+DD53+CT53+CJ53+BZ53+BP53+BF53+AU53+AK53+AA53+Q53</f>
        <v>0</v>
      </c>
      <c r="EH53">
        <v>0</v>
      </c>
      <c r="EI53">
        <v>0</v>
      </c>
      <c r="EJ53">
        <v>0</v>
      </c>
      <c r="EK53">
        <v>0</v>
      </c>
      <c r="EL53">
        <v>0</v>
      </c>
      <c r="EM53">
        <v>0</v>
      </c>
      <c r="EN53">
        <v>0</v>
      </c>
      <c r="EO53">
        <v>0</v>
      </c>
      <c r="EP53">
        <v>0</v>
      </c>
      <c r="EQ53">
        <v>0</v>
      </c>
      <c r="ER53">
        <f>SUM(EF53:EQ53)</f>
        <v>30000</v>
      </c>
      <c r="ES53">
        <f>IF(ER53&gt;=150000,150000,ER53)</f>
        <v>30000</v>
      </c>
      <c r="ET53">
        <f>EE53-ES53</f>
        <v>477620</v>
      </c>
      <c r="EU53">
        <v>0</v>
      </c>
      <c r="EV53">
        <v>0</v>
      </c>
      <c r="EW53">
        <v>0</v>
      </c>
      <c r="EX53">
        <v>0</v>
      </c>
      <c r="EY53">
        <v>0</v>
      </c>
      <c r="EZ53">
        <v>0</v>
      </c>
      <c r="FA53">
        <v>0</v>
      </c>
      <c r="FB53">
        <f>SUM(EU53:FA53)+(IF(F53="YES",50000,0))</f>
        <v>0</v>
      </c>
      <c r="FC53">
        <f>ET53-FB53</f>
        <v>477620</v>
      </c>
      <c r="FD53">
        <f>ROUND(IF(FC53&gt;0,IF(FC53&gt;500000,12500,(FC53-250000)*0.05),0),0)</f>
        <v>11381</v>
      </c>
      <c r="FE53">
        <f>IF(ROUND(IF(FC53&gt;0,IF(FC53&gt;1000000,25000,(FC53-500000)*0.2),0),0)&lt;0,0,ROUND(IF(FC53&gt;0,IF(FC53&gt;1000000,25000,(FC53-500000)*0.2),0),0))</f>
        <v>0</v>
      </c>
      <c r="FF53">
        <f>FD53+FE53</f>
        <v>11381</v>
      </c>
      <c r="FG53">
        <f>IF(FF53&lt;12500,0,FF53)</f>
        <v>0</v>
      </c>
      <c r="FH53">
        <f>FG53*0.04</f>
        <v>0</v>
      </c>
      <c r="FI53">
        <f>ROUND(FH53+FG53,0)</f>
        <v>0</v>
      </c>
      <c r="FJ53">
        <v>0</v>
      </c>
      <c r="FK53">
        <f>FI53-FJ53</f>
        <v>0</v>
      </c>
      <c r="FL53" t="b">
        <f>IF(EA53&gt;500000,TRUE,FALSE)</f>
        <v>1</v>
      </c>
      <c r="FM53">
        <f ca="1">IF(FL53,RANDBETWEEN(500,1000),RANDBETWEEN(1000,3000))</f>
        <v>876</v>
      </c>
      <c r="FN53">
        <f ca="1">EA53+FM53</f>
        <v>560896</v>
      </c>
      <c r="FO53">
        <f>IF(EA53&gt;0,75000,0)</f>
        <v>75000</v>
      </c>
      <c r="FP53">
        <f ca="1">FN53-FO53</f>
        <v>485896</v>
      </c>
      <c r="FQ53">
        <f ca="1">IF(FP53&gt;2400000,FP53-2400000,0)</f>
        <v>0</v>
      </c>
      <c r="FR53">
        <f ca="1">FQ53*0.3</f>
        <v>0</v>
      </c>
      <c r="FS53">
        <f ca="1">IF(FP53&gt;2000000,FP53-2000000,0)</f>
        <v>0</v>
      </c>
      <c r="FT53">
        <f ca="1">FS53*0.25</f>
        <v>0</v>
      </c>
      <c r="FU53">
        <f ca="1">IF(FP53&gt;1600000,FP53-1600000-FQ53,0)</f>
        <v>0</v>
      </c>
      <c r="FV53">
        <f ca="1">FU53*0.2</f>
        <v>0</v>
      </c>
      <c r="FW53">
        <f ca="1">IF(FP53&gt;1200000,FP53-1200000-IF(F53="YES",50000,0)-FU53,0)</f>
        <v>0</v>
      </c>
      <c r="FX53">
        <f ca="1">FW53*0.15</f>
        <v>0</v>
      </c>
      <c r="FY53">
        <f ca="1">IF(FP53&gt;800000,FP53-800000-FQ53-FU53-FW53,0)</f>
        <v>0</v>
      </c>
      <c r="FZ53">
        <f ca="1">FY53*0.1</f>
        <v>0</v>
      </c>
      <c r="GA53">
        <f ca="1">IF(FP53&gt;400000,FP53-400000-FQ53-FU53-FW53-FY53,0)</f>
        <v>85896</v>
      </c>
      <c r="GB53">
        <f ca="1">GA53*0.05</f>
        <v>4294.8</v>
      </c>
      <c r="GC53">
        <f ca="1">ROUND(FR53+FT53+FV53+FX53+FZ53+GB53,0)</f>
        <v>4295</v>
      </c>
      <c r="GD53">
        <f ca="1">IF(FP53&gt;1200000,FP53,0)</f>
        <v>0</v>
      </c>
      <c r="GE53">
        <f ca="1">IF(FP53&gt;1200000,GD53-1200000,0)</f>
        <v>0</v>
      </c>
      <c r="GF53">
        <f ca="1">IF(FP53&lt;1200001,MIN(GC53,60000),0)</f>
        <v>4295</v>
      </c>
      <c r="GG53">
        <f ca="1">IF(FP53&gt;1200000,GC53-GE53,0)</f>
        <v>0</v>
      </c>
      <c r="GH53" t="b">
        <f ca="1">IF(GG53&gt;0,TRUE,FALSE)</f>
        <v>0</v>
      </c>
      <c r="GI53">
        <f ca="1">IF(GH53,GG53,0)</f>
        <v>0</v>
      </c>
      <c r="GJ53">
        <f ca="1">GF53+GI53</f>
        <v>4295</v>
      </c>
      <c r="GK53">
        <f ca="1">ROUND(GC53-GJ53,0)</f>
        <v>0</v>
      </c>
      <c r="GL53">
        <f ca="1">GK53*0.04</f>
        <v>0</v>
      </c>
      <c r="GM53">
        <f ca="1">ROUNDUP(GK53+GL53,0)</f>
        <v>0</v>
      </c>
    </row>
    <row r="54" spans="1:195" x14ac:dyDescent="0.25">
      <c r="A54">
        <f>_xlfn.AGGREGATE(3,5,$B$2:B54)</f>
        <v>53</v>
      </c>
      <c r="B54" t="s">
        <v>226</v>
      </c>
      <c r="C54" t="s">
        <v>227</v>
      </c>
      <c r="D54" t="s">
        <v>766</v>
      </c>
      <c r="E54" t="s">
        <v>834</v>
      </c>
      <c r="F54" t="s">
        <v>959</v>
      </c>
      <c r="G54" t="s">
        <v>899</v>
      </c>
      <c r="H54">
        <f>IF(_xlfn.DAYS("31-03-2025",G54)&gt;=180,6800,0)</f>
        <v>6800</v>
      </c>
      <c r="I54">
        <f>_xlfn.XLOOKUP(B54,'[1]march-2025'!$A:$A,'[1]march-2025'!$J:$J,0,0)</f>
        <v>0</v>
      </c>
      <c r="J54">
        <f>_xlfn.XLOOKUP(B54,'[1]march-2025'!$A:$A,'[1]march-2025'!$C:$C,0,0)</f>
        <v>33500</v>
      </c>
      <c r="K54">
        <f>J54*0.14</f>
        <v>4690</v>
      </c>
      <c r="L54">
        <f>J54*0.12</f>
        <v>4020</v>
      </c>
      <c r="M54">
        <f>_xlfn.XLOOKUP(B54,'[1]march-2025'!$A:$A,'[1]march-2025'!$D:$D,0,0)</f>
        <v>0</v>
      </c>
      <c r="N54">
        <f>_xlfn.XLOOKUP(B54,'[1]march-2025'!$A:$A,'[1]march-2025'!$G:$G,0,0)</f>
        <v>500</v>
      </c>
      <c r="O54">
        <f>IF(J54&gt;0,SUM(J54:N54),0)</f>
        <v>42710</v>
      </c>
      <c r="P54">
        <f>_xlfn.XLOOKUP(B54,'[1]march-2025'!$A:$A,'[1]march-2025'!$H:$H,0,0)</f>
        <v>3500</v>
      </c>
      <c r="Q54">
        <f>_xlfn.XLOOKUP(B54,'[1]march-2025'!$A:$A,'[1]march-2025'!$I:$I,0,0)</f>
        <v>0</v>
      </c>
      <c r="R54">
        <f>IF($F54="YES",0,IF(O54&gt;40000,200,IF(O54&gt;25000,150,IF(O54&gt;15000,130,IF(O54&gt;10000,110,0)))))</f>
        <v>200</v>
      </c>
      <c r="S54">
        <f>O54-P54-Q54-R54</f>
        <v>39010</v>
      </c>
      <c r="T54">
        <f>_xlfn.XLOOKUP(B54,'[2]april-2025'!$A:$A,'[2]april-2025'!$C:$C,0,0)</f>
        <v>33500</v>
      </c>
      <c r="U54">
        <f>T54*0.18</f>
        <v>6030</v>
      </c>
      <c r="V54">
        <f>T54*0.12</f>
        <v>4020</v>
      </c>
      <c r="W54">
        <f>_xlfn.XLOOKUP(B54,'[2]april-2025'!$A:$A,'[2]april-2025'!$D:$D,0,0)</f>
        <v>0</v>
      </c>
      <c r="X54">
        <f>_xlfn.XLOOKUP(B54,'[2]april-2025'!$A:$A,'[2]april-2025'!$G:$G,0,0)</f>
        <v>500</v>
      </c>
      <c r="Y54">
        <f>IF(T54&gt;0,SUM(T54:X54),0)</f>
        <v>44050</v>
      </c>
      <c r="Z54">
        <f>_xlfn.XLOOKUP(B54,'[2]april-2025'!$A:$A,'[2]april-2025'!$H:$H,0,0)</f>
        <v>3500</v>
      </c>
      <c r="AA54">
        <f>_xlfn.XLOOKUP(B54,'[2]april-2025'!$A:$A,'[2]april-2025'!$I:$I,0,0)</f>
        <v>0</v>
      </c>
      <c r="AB54">
        <f>IF($F54="YES",0,IF(Y54&gt;40000,200,IF(Y54&gt;25000,150,IF(Y54&gt;15000,130,IF(Y54&gt;10000,110,0)))))</f>
        <v>200</v>
      </c>
      <c r="AC54">
        <f>Y54-Z54-AA54-AB54</f>
        <v>40350</v>
      </c>
      <c r="AD54">
        <f>_xlfn.XLOOKUP(B54,'[3]may-2025'!$A:$A,'[3]may-2025'!$C:$C,0,0)</f>
        <v>33500</v>
      </c>
      <c r="AE54">
        <f>AD54*0.18</f>
        <v>6030</v>
      </c>
      <c r="AF54">
        <f>AD54*0.12</f>
        <v>4020</v>
      </c>
      <c r="AG54">
        <f>_xlfn.XLOOKUP(B54,'[3]may-2025'!$A:$A,'[3]may-2025'!$D:$D,0,0)</f>
        <v>0</v>
      </c>
      <c r="AH54">
        <f>_xlfn.XLOOKUP(B54,'[3]may-2025'!$A:$A,'[3]may-2025'!$G:$G,0,0)</f>
        <v>500</v>
      </c>
      <c r="AI54">
        <f>IF(AD54&gt;0,SUM(AD54:AH54),0)</f>
        <v>44050</v>
      </c>
      <c r="AJ54">
        <f>_xlfn.XLOOKUP(B54,'[3]may-2025'!$A:$A,'[3]may-2025'!$H:$H,0,0)</f>
        <v>3500</v>
      </c>
      <c r="AK54">
        <f>_xlfn.XLOOKUP(B54,'[3]may-2025'!$A:$A,'[3]may-2025'!$I:$I,0,0)</f>
        <v>0</v>
      </c>
      <c r="AL54">
        <f>IF($F54="YES",0,IF(AI54&gt;40000,200,IF(AI54&gt;25000,150,IF(AI54&gt;15000,130,IF(AI54&gt;10000,110,0)))))</f>
        <v>200</v>
      </c>
      <c r="AM54">
        <f>AI54-AJ54-AK54-AL54</f>
        <v>40350</v>
      </c>
      <c r="AN54">
        <f>_xlfn.XLOOKUP(B54,'[4]june-2025'!$A:$A,'[4]june-2025'!$C:$C,0,0)</f>
        <v>33500</v>
      </c>
      <c r="AO54">
        <f>AN54*0.18</f>
        <v>6030</v>
      </c>
      <c r="AP54">
        <f>AN54*0.12</f>
        <v>4020</v>
      </c>
      <c r="AQ54">
        <f>_xlfn.XLOOKUP(B54,'[4]june-2025'!$A:$A,'[4]june-2025'!$D:$D,0,0)</f>
        <v>0</v>
      </c>
      <c r="AR54">
        <f>_xlfn.XLOOKUP(B54,'[4]june-2025'!$A:$A,'[4]june-2025'!$G:$G,0,0)</f>
        <v>500</v>
      </c>
      <c r="AS54">
        <f>IF(AN54&gt;0,SUM(AN54:AR54),0)</f>
        <v>44050</v>
      </c>
      <c r="AT54">
        <f>_xlfn.XLOOKUP(B54,'[4]june-2025'!$A:$A,'[4]june-2025'!$H:$H,0,0)</f>
        <v>3500</v>
      </c>
      <c r="AU54">
        <f>_xlfn.XLOOKUP(B54,'[4]june-2025'!$A:$A,'[4]june-2025'!$I:$I,0,0)</f>
        <v>0</v>
      </c>
      <c r="AV54">
        <f>IF($F54="YES",0,IF(AS54&gt;40000,200,IF(AS54&gt;25000,150,IF(AS54&gt;15000,130,IF(AS54&gt;10000,110,0)))))</f>
        <v>200</v>
      </c>
      <c r="AW54">
        <f>AS54-AT54-AU54-AV54</f>
        <v>40350</v>
      </c>
      <c r="AX54">
        <f>_xlfn.XLOOKUP(B54,'[5]july-2025'!$A:$A,'[5]july-2025'!$C:$C,0,0)</f>
        <v>34500</v>
      </c>
      <c r="AY54">
        <f>AX54*0.18</f>
        <v>6210</v>
      </c>
      <c r="AZ54">
        <v>0</v>
      </c>
      <c r="BA54">
        <f>AX54*0.12</f>
        <v>4140</v>
      </c>
      <c r="BB54">
        <f>_xlfn.XLOOKUP(B54,'[5]july-2025'!$A:$A,'[5]july-2025'!$D:$D,0,0)</f>
        <v>0</v>
      </c>
      <c r="BC54">
        <f>_xlfn.XLOOKUP(B54,'[5]july-2025'!$A:$A,'[5]july-2025'!$G:$G,0,0)</f>
        <v>500</v>
      </c>
      <c r="BD54">
        <f>IF(AX54&gt;0,SUM(AX54:BC54),0)</f>
        <v>45350</v>
      </c>
      <c r="BE54">
        <f>_xlfn.XLOOKUP(B54,'[5]july-2025'!$A:$A,'[5]july-2025'!$H:$H,0,0)</f>
        <v>3500</v>
      </c>
      <c r="BF54">
        <f>_xlfn.XLOOKUP(B54,'[5]july-2025'!$A:$A,'[5]july-2025'!$I:$I,0,0)</f>
        <v>0</v>
      </c>
      <c r="BG54">
        <f>IF($F54="YES",0,IF(BD54&gt;40000,200,IF(BD54&gt;25000,150,IF(BD54&gt;15000,130,IF(BD54&gt;10000,110,0)))))</f>
        <v>200</v>
      </c>
      <c r="BH54">
        <f>BD54-BE54-BF54-BG54</f>
        <v>41650</v>
      </c>
      <c r="BI54">
        <f>_xlfn.XLOOKUP(B54,'[6]august-2025'!$A:$A,'[6]august-2025'!$C:$C,0,0)</f>
        <v>34500</v>
      </c>
      <c r="BJ54">
        <f>BI54*0.18</f>
        <v>6210</v>
      </c>
      <c r="BK54">
        <f>BI54*0.12</f>
        <v>4140</v>
      </c>
      <c r="BL54">
        <f>_xlfn.XLOOKUP(B54,'[6]august-2025'!$A:$A,'[6]august-2025'!$D:$D,0,0)</f>
        <v>0</v>
      </c>
      <c r="BM54">
        <f>_xlfn.XLOOKUP(B54,'[6]august-2025'!$A:$A,'[6]august-2025'!$G:$G,0,0)</f>
        <v>500</v>
      </c>
      <c r="BN54">
        <f>IF(BI54&gt;0,SUM(BI54:BM54),0)</f>
        <v>45350</v>
      </c>
      <c r="BO54">
        <f>_xlfn.XLOOKUP(B54,'[6]august-2025'!$A:$A,'[6]august-2025'!$H:$H,0,0)</f>
        <v>3500</v>
      </c>
      <c r="BP54">
        <f>_xlfn.XLOOKUP(B54,'[6]august-2025'!$A:$A,'[6]august-2025'!$I:$I,0,0)</f>
        <v>0</v>
      </c>
      <c r="BQ54">
        <f>IF($F54="YES",0,IF(BN54&gt;40000,200,IF(BN54&gt;25000,150,IF(BN54&gt;15000,130,IF(BN54&gt;10000,110,0)))))</f>
        <v>200</v>
      </c>
      <c r="BR54">
        <f>BN54-BO54-BP54-BQ54</f>
        <v>41650</v>
      </c>
      <c r="BS54">
        <f>_xlfn.XLOOKUP(B54,'[7]september-2025'!$A:$A,'[7]september-2025'!$C:$C,0,0)</f>
        <v>34500</v>
      </c>
      <c r="BT54">
        <f>BS54*0.18</f>
        <v>6210</v>
      </c>
      <c r="BU54">
        <f>BS54*0.12</f>
        <v>4140</v>
      </c>
      <c r="BV54">
        <f>_xlfn.XLOOKUP(B54,'[7]september-2025'!$A:$A,'[7]september-2025'!$D:$D,0,0)</f>
        <v>0</v>
      </c>
      <c r="BW54">
        <f>_xlfn.XLOOKUP(B54,'[7]september-2025'!$A:$A,'[7]september-2025'!$G:$G,0,0)</f>
        <v>500</v>
      </c>
      <c r="BX54">
        <f>IF(BS54&gt;0,SUM(BS54:BW54),0)</f>
        <v>45350</v>
      </c>
      <c r="BY54">
        <f>_xlfn.XLOOKUP(B54,'[7]september-2025'!$A:$A,'[7]september-2025'!$H:$H,0,0)</f>
        <v>3500</v>
      </c>
      <c r="BZ54">
        <f>_xlfn.XLOOKUP(B54,'[7]september-2025'!$A:$A,'[7]september-2025'!$I:$I,0,0)</f>
        <v>0</v>
      </c>
      <c r="CA54">
        <f>IF($F54="YES",0,IF(BX54&gt;40000,200,IF(BX54&gt;25000,150,IF(BX54&gt;15000,130,IF(BX54&gt;10000,110,0)))))</f>
        <v>200</v>
      </c>
      <c r="CB54">
        <f>BX54-BY54-BZ54-CA54</f>
        <v>41650</v>
      </c>
      <c r="CC54">
        <f>_xlfn.XLOOKUP(B54,'[8]october-2025'!$A:$A,'[8]october-2025'!$C:$C,0,0)</f>
        <v>34500</v>
      </c>
      <c r="CD54">
        <f>CC54*0.18</f>
        <v>6210</v>
      </c>
      <c r="CE54">
        <f>CC54*0.12</f>
        <v>4140</v>
      </c>
      <c r="CF54">
        <f>_xlfn.XLOOKUP(B54,'[8]october-2025'!$A:$A,'[8]october-2025'!$D:$D,0,0)</f>
        <v>0</v>
      </c>
      <c r="CG54">
        <f>_xlfn.XLOOKUP(B54,'[8]october-2025'!$A:$A,'[8]october-2025'!$G:$G,0,0)</f>
        <v>500</v>
      </c>
      <c r="CH54">
        <f>IF(CC54&gt;0,SUM(CC54:CG54),0)</f>
        <v>45350</v>
      </c>
      <c r="CI54">
        <f>_xlfn.XLOOKUP(B54,'[8]october-2025'!$A:$A,'[8]october-2025'!$H:$H,0,0)</f>
        <v>3500</v>
      </c>
      <c r="CJ54">
        <f>_xlfn.XLOOKUP(B54,'[8]october-2025'!$A:$A,'[8]october-2025'!$I:$I,0,0)</f>
        <v>0</v>
      </c>
      <c r="CK54">
        <f>IF($F54="YES",0,IF(CH54&gt;40000,200,IF(CH54&gt;25000,150,IF(CH54&gt;15000,130,IF(CH54&gt;10000,110,0)))))</f>
        <v>200</v>
      </c>
      <c r="CL54">
        <f>CH54-CI54-CJ54-CK54</f>
        <v>41650</v>
      </c>
      <c r="CM54">
        <f>_xlfn.XLOOKUP(B54,'[9]november-2025'!$A:$A,'[9]november-2025'!$C:$C,0,0)</f>
        <v>34500</v>
      </c>
      <c r="CN54">
        <f>CM54*0.18</f>
        <v>6210</v>
      </c>
      <c r="CO54">
        <f>CM54*0.12</f>
        <v>4140</v>
      </c>
      <c r="CP54">
        <f>_xlfn.XLOOKUP(B54,'[9]november-2025'!$A:$A,'[9]november-2025'!$D:$D,0,0)</f>
        <v>0</v>
      </c>
      <c r="CQ54">
        <f>_xlfn.XLOOKUP(B54,'[9]november-2025'!$A:$A,'[9]november-2025'!$G:$G,0,0)</f>
        <v>500</v>
      </c>
      <c r="CR54">
        <f>IF(CM54&gt;0,SUM(CM54:CQ54),0)</f>
        <v>45350</v>
      </c>
      <c r="CS54">
        <f>_xlfn.XLOOKUP(B54,'[9]november-2025'!$A:$A,'[9]november-2025'!$H:$H,0,0)</f>
        <v>3500</v>
      </c>
      <c r="CT54">
        <f>_xlfn.XLOOKUP(B54,'[9]november-2025'!$A:$A,'[9]november-2025'!$I:$I,0,0)</f>
        <v>0</v>
      </c>
      <c r="CU54">
        <f>IF($F54="YES",0,IF(CR54&gt;40000,200,IF(CR54&gt;25000,150,IF(CR54&gt;15000,130,IF(CR54&gt;10000,110,0)))))</f>
        <v>200</v>
      </c>
      <c r="CV54">
        <f>CR54-CS54-CT54-CU54</f>
        <v>41650</v>
      </c>
      <c r="CW54">
        <f>_xlfn.XLOOKUP(B54,'[10]december-2025'!$A:$A,'[10]december-2025'!$C:$C,0,0)</f>
        <v>34500</v>
      </c>
      <c r="CX54">
        <f>ROUND(CW54*0.18,0)</f>
        <v>6210</v>
      </c>
      <c r="CY54">
        <f>ROUND(CW54*0.12,0)</f>
        <v>4140</v>
      </c>
      <c r="CZ54">
        <f>_xlfn.XLOOKUP(B54,'[10]december-2025'!$A:$A,'[10]december-2025'!$D:$D,0,0)</f>
        <v>0</v>
      </c>
      <c r="DA54">
        <f>_xlfn.XLOOKUP(B54,'[10]december-2025'!$A:$A,'[10]december-2025'!$G:$G,0,0)</f>
        <v>500</v>
      </c>
      <c r="DB54">
        <f>IF(CW54&gt;0,SUM(CW54:DA54),0)</f>
        <v>45350</v>
      </c>
      <c r="DC54">
        <f>_xlfn.XLOOKUP(B54,'[10]december-2025'!$A:$A,'[10]december-2025'!$H:$H,0,0)</f>
        <v>3500</v>
      </c>
      <c r="DD54">
        <f>_xlfn.XLOOKUP(B54,'[10]december-2025'!$A:$A,'[10]december-2025'!$I:$I,0,0)</f>
        <v>0</v>
      </c>
      <c r="DE54">
        <f>IF($F54="YES",0,IF(DB54&gt;40000,200,IF(DB54&gt;25000,150,IF(DB54&gt;15000,130,IF(DB54&gt;10000,110,0)))))</f>
        <v>200</v>
      </c>
      <c r="DF54">
        <f>DB54-DC54-DD54-DE54</f>
        <v>41650</v>
      </c>
      <c r="DG54">
        <f>_xlfn.XLOOKUP(B54,'[11]january-2026'!$A:$A,'[11]january-2026'!$C:$C,0,0)</f>
        <v>34500</v>
      </c>
      <c r="DH54">
        <f>DG54*0.18</f>
        <v>6210</v>
      </c>
      <c r="DI54">
        <f>DG54*0.12</f>
        <v>4140</v>
      </c>
      <c r="DJ54">
        <f>_xlfn.XLOOKUP(B54,'[11]january-2026'!$A:$A,'[11]january-2026'!$D:$D,0,0)</f>
        <v>0</v>
      </c>
      <c r="DK54">
        <f>_xlfn.XLOOKUP(B54,'[11]january-2026'!$A:$A,'[11]january-2026'!$G:$G,0,0)</f>
        <v>500</v>
      </c>
      <c r="DL54">
        <f>IF(DG54&gt;0,SUM(DG54:DK54),0)</f>
        <v>45350</v>
      </c>
      <c r="DM54">
        <f>_xlfn.XLOOKUP(B54,'[11]january-2026'!$A:$A,'[11]january-2026'!$H:$H,0,0)</f>
        <v>3500</v>
      </c>
      <c r="DN54">
        <f>_xlfn.XLOOKUP(B54,'[11]january-2026'!$A:$A,'[11]january-2026'!$I:$I,0,0)</f>
        <v>0</v>
      </c>
      <c r="DO54">
        <f>IF($F54="YES",0,IF(DL54&gt;40000,200,IF(DL54&gt;25000,150,IF(DL54&gt;15000,130,IF(DL54&gt;10000,110,0)))))</f>
        <v>200</v>
      </c>
      <c r="DP54">
        <f>DL54-DM54-DN54-DO54</f>
        <v>41650</v>
      </c>
      <c r="DQ54">
        <f>_xlfn.XLOOKUP(B54,'[12]february-2026'!$A:$A,'[12]february-2026'!$C:$C,0,0)</f>
        <v>34500</v>
      </c>
      <c r="DR54">
        <f>DQ54*0.18</f>
        <v>6210</v>
      </c>
      <c r="DS54">
        <f>DQ54*0.12</f>
        <v>4140</v>
      </c>
      <c r="DT54">
        <f>_xlfn.XLOOKUP(B54,'[12]february-2026'!$A:$A,'[12]february-2026'!$D:$D,0,0)</f>
        <v>0</v>
      </c>
      <c r="DU54">
        <f>_xlfn.XLOOKUP(B54,'[12]february-2026'!$A:$A,'[12]february-2026'!$G:$G,0,0)</f>
        <v>500</v>
      </c>
      <c r="DV54">
        <f>IF(DQ54&gt;0,SUM(DQ54:DU54),0)</f>
        <v>45350</v>
      </c>
      <c r="DW54">
        <f>_xlfn.XLOOKUP(B54,'[12]february-2026'!$A:$A,'[12]february-2026'!$H:$H,0,0)</f>
        <v>3500</v>
      </c>
      <c r="DX54">
        <f>_xlfn.XLOOKUP(B54,'[12]february-2026'!$A:$A,'[12]february-2026'!$I:$I,0,0)</f>
        <v>0</v>
      </c>
      <c r="DY54">
        <f>IF($F54="YES",0,IF(DV54&gt;40000,200,IF(DV54&gt;25000,150,IF(DV54&gt;15000,130,IF(DV54&gt;10000,110,0)))))</f>
        <v>200</v>
      </c>
      <c r="DZ54">
        <f>DV54-DW54-DX54-DY54</f>
        <v>41650</v>
      </c>
      <c r="EA54">
        <f>DV54+DL54+DB54+CR54+CH54+BX54+BN54+BD54+AS54+AI54+Y54+O54+H54+I54</f>
        <v>544460</v>
      </c>
      <c r="EB54">
        <f>DY54+DO54+DE54+CU54+CK54+CA54+BQ54+BG54+AV54+AL54+AB54+R54</f>
        <v>2400</v>
      </c>
      <c r="EC54">
        <f>IF(EA54&gt;0,50000,0)</f>
        <v>50000</v>
      </c>
      <c r="ED54">
        <v>0</v>
      </c>
      <c r="EE54">
        <f>EA54-EB54-EC54</f>
        <v>492060</v>
      </c>
      <c r="EF54">
        <f>DW54+DM54+DC54+CS54+CI54+BY54+BO54+BE54+AT54+AJ54+Z54+P54</f>
        <v>42000</v>
      </c>
      <c r="EG54">
        <f>DX54+DN54+DD54+CT54+CJ54+BZ54+BP54+BF54+AU54+AK54+AA54+Q54</f>
        <v>0</v>
      </c>
      <c r="EH54">
        <v>0</v>
      </c>
      <c r="EI54">
        <v>0</v>
      </c>
      <c r="EJ54">
        <v>0</v>
      </c>
      <c r="EK54">
        <v>0</v>
      </c>
      <c r="EL54">
        <v>0</v>
      </c>
      <c r="EM54">
        <v>0</v>
      </c>
      <c r="EN54">
        <v>0</v>
      </c>
      <c r="EO54">
        <v>0</v>
      </c>
      <c r="EP54">
        <v>0</v>
      </c>
      <c r="EQ54">
        <v>0</v>
      </c>
      <c r="ER54">
        <f>SUM(EF54:EQ54)</f>
        <v>42000</v>
      </c>
      <c r="ES54">
        <f>IF(ER54&gt;=150000,150000,ER54)</f>
        <v>42000</v>
      </c>
      <c r="ET54">
        <f>EE54-ES54</f>
        <v>450060</v>
      </c>
      <c r="EU54">
        <v>0</v>
      </c>
      <c r="EV54">
        <v>0</v>
      </c>
      <c r="EW54">
        <v>0</v>
      </c>
      <c r="EX54">
        <v>0</v>
      </c>
      <c r="EY54">
        <v>0</v>
      </c>
      <c r="EZ54">
        <v>0</v>
      </c>
      <c r="FA54">
        <v>0</v>
      </c>
      <c r="FB54">
        <f>SUM(EU54:FA54)+(IF(F54="YES",50000,0))</f>
        <v>0</v>
      </c>
      <c r="FC54">
        <f>ET54-FB54</f>
        <v>450060</v>
      </c>
      <c r="FD54">
        <f>ROUND(IF(FC54&gt;0,IF(FC54&gt;500000,12500,(FC54-250000)*0.05),0),0)</f>
        <v>10003</v>
      </c>
      <c r="FE54">
        <f>IF(ROUND(IF(FC54&gt;0,IF(FC54&gt;1000000,25000,(FC54-500000)*0.2),0),0)&lt;0,0,ROUND(IF(FC54&gt;0,IF(FC54&gt;1000000,25000,(FC54-500000)*0.2),0),0))</f>
        <v>0</v>
      </c>
      <c r="FF54">
        <f>FD54+FE54</f>
        <v>10003</v>
      </c>
      <c r="FG54">
        <f>IF(FF54&lt;12500,0,FF54)</f>
        <v>0</v>
      </c>
      <c r="FH54">
        <f>FG54*0.04</f>
        <v>0</v>
      </c>
      <c r="FI54">
        <f>ROUND(FH54+FG54,0)</f>
        <v>0</v>
      </c>
      <c r="FJ54">
        <v>0</v>
      </c>
      <c r="FK54">
        <f>FI54-FJ54</f>
        <v>0</v>
      </c>
      <c r="FL54" t="b">
        <f>IF(EA54&gt;500000,TRUE,FALSE)</f>
        <v>1</v>
      </c>
      <c r="FM54">
        <f ca="1">IF(FL54,RANDBETWEEN(500,1000),RANDBETWEEN(1000,3000))</f>
        <v>796</v>
      </c>
      <c r="FN54">
        <f ca="1">EA54+FM54</f>
        <v>545256</v>
      </c>
      <c r="FO54">
        <f>IF(EA54&gt;0,75000,0)</f>
        <v>75000</v>
      </c>
      <c r="FP54">
        <f ca="1">FN54-FO54</f>
        <v>470256</v>
      </c>
      <c r="FQ54">
        <f ca="1">IF(FP54&gt;2400000,FP54-2400000,0)</f>
        <v>0</v>
      </c>
      <c r="FR54">
        <f ca="1">FQ54*0.3</f>
        <v>0</v>
      </c>
      <c r="FS54">
        <f ca="1">IF(FP54&gt;2000000,FP54-2000000,0)</f>
        <v>0</v>
      </c>
      <c r="FT54">
        <f ca="1">FS54*0.25</f>
        <v>0</v>
      </c>
      <c r="FU54">
        <f ca="1">IF(FP54&gt;1600000,FP54-1600000-FQ54,0)</f>
        <v>0</v>
      </c>
      <c r="FV54">
        <f ca="1">FU54*0.2</f>
        <v>0</v>
      </c>
      <c r="FW54">
        <f ca="1">IF(FP54&gt;1200000,FP54-1200000-IF(F54="YES",50000,0)-FU54,0)</f>
        <v>0</v>
      </c>
      <c r="FX54">
        <f ca="1">FW54*0.15</f>
        <v>0</v>
      </c>
      <c r="FY54">
        <f ca="1">IF(FP54&gt;800000,FP54-800000-FQ54-FU54-FW54,0)</f>
        <v>0</v>
      </c>
      <c r="FZ54">
        <f ca="1">FY54*0.1</f>
        <v>0</v>
      </c>
      <c r="GA54">
        <f ca="1">IF(FP54&gt;400000,FP54-400000-FQ54-FU54-FW54-FY54,0)</f>
        <v>70256</v>
      </c>
      <c r="GB54">
        <f ca="1">GA54*0.05</f>
        <v>3512.8</v>
      </c>
      <c r="GC54">
        <f ca="1">ROUND(FR54+FT54+FV54+FX54+FZ54+GB54,0)</f>
        <v>3513</v>
      </c>
      <c r="GD54">
        <f ca="1">IF(FP54&gt;1200000,FP54,0)</f>
        <v>0</v>
      </c>
      <c r="GE54">
        <f ca="1">IF(FP54&gt;1200000,GD54-1200000,0)</f>
        <v>0</v>
      </c>
      <c r="GF54">
        <f ca="1">IF(FP54&lt;1200001,MIN(GC54,60000),0)</f>
        <v>3513</v>
      </c>
      <c r="GG54">
        <f ca="1">IF(FP54&gt;1200000,GC54-GE54,0)</f>
        <v>0</v>
      </c>
      <c r="GH54" t="b">
        <f ca="1">IF(GG54&gt;0,TRUE,FALSE)</f>
        <v>0</v>
      </c>
      <c r="GI54">
        <f ca="1">IF(GH54,GG54,0)</f>
        <v>0</v>
      </c>
      <c r="GJ54">
        <f ca="1">GF54+GI54</f>
        <v>3513</v>
      </c>
      <c r="GK54">
        <f ca="1">ROUND(GC54-GJ54,0)</f>
        <v>0</v>
      </c>
      <c r="GL54">
        <f ca="1">GK54*0.04</f>
        <v>0</v>
      </c>
      <c r="GM54">
        <f ca="1">ROUNDUP(GK54+GL54,0)</f>
        <v>0</v>
      </c>
    </row>
    <row r="55" spans="1:195" x14ac:dyDescent="0.25">
      <c r="A55">
        <f>_xlfn.AGGREGATE(3,5,$B$2:B55)</f>
        <v>54</v>
      </c>
      <c r="B55" t="s">
        <v>228</v>
      </c>
      <c r="C55" t="s">
        <v>229</v>
      </c>
      <c r="D55" t="s">
        <v>766</v>
      </c>
      <c r="E55" t="s">
        <v>833</v>
      </c>
      <c r="F55" t="s">
        <v>959</v>
      </c>
      <c r="G55" t="s">
        <v>881</v>
      </c>
      <c r="H55">
        <f>IF(_xlfn.DAYS("31-03-2025",G55)&gt;=180,6800,0)</f>
        <v>6800</v>
      </c>
      <c r="I55">
        <f>_xlfn.XLOOKUP(B55,'[1]march-2025'!$A:$A,'[1]march-2025'!$J:$J,0,0)</f>
        <v>0</v>
      </c>
      <c r="J55">
        <f>_xlfn.XLOOKUP(B55,'[1]march-2025'!$A:$A,'[1]march-2025'!$C:$C,0,0)</f>
        <v>31600</v>
      </c>
      <c r="K55">
        <f>J55*0.14</f>
        <v>4424</v>
      </c>
      <c r="L55">
        <f>J55*0.12</f>
        <v>3792</v>
      </c>
      <c r="M55">
        <f>_xlfn.XLOOKUP(B55,'[1]march-2025'!$A:$A,'[1]march-2025'!$D:$D,0,0)</f>
        <v>0</v>
      </c>
      <c r="N55">
        <f>_xlfn.XLOOKUP(B55,'[1]march-2025'!$A:$A,'[1]march-2025'!$G:$G,0,0)</f>
        <v>0</v>
      </c>
      <c r="O55">
        <f>IF(J55&gt;0,SUM(J55:N55),0)</f>
        <v>39816</v>
      </c>
      <c r="P55">
        <f>_xlfn.XLOOKUP(B55,'[1]march-2025'!$A:$A,'[1]march-2025'!$H:$H,0,0)</f>
        <v>3000</v>
      </c>
      <c r="Q55">
        <f>_xlfn.XLOOKUP(B55,'[1]march-2025'!$A:$A,'[1]march-2025'!$I:$I,0,0)</f>
        <v>0</v>
      </c>
      <c r="R55">
        <f>IF($F55="YES",0,IF(O55&gt;40000,200,IF(O55&gt;25000,150,IF(O55&gt;15000,130,IF(O55&gt;10000,110,0)))))</f>
        <v>150</v>
      </c>
      <c r="S55">
        <f>O55-P55-Q55-R55</f>
        <v>36666</v>
      </c>
      <c r="T55">
        <f>_xlfn.XLOOKUP(B55,'[2]april-2025'!$A:$A,'[2]april-2025'!$C:$C,0,0)</f>
        <v>31600</v>
      </c>
      <c r="U55">
        <f>T55*0.18</f>
        <v>5688</v>
      </c>
      <c r="V55">
        <f>T55*0.12</f>
        <v>3792</v>
      </c>
      <c r="W55">
        <f>_xlfn.XLOOKUP(B55,'[2]april-2025'!$A:$A,'[2]april-2025'!$D:$D,0,0)</f>
        <v>0</v>
      </c>
      <c r="X55">
        <f>_xlfn.XLOOKUP(B55,'[2]april-2025'!$A:$A,'[2]april-2025'!$G:$G,0,0)</f>
        <v>0</v>
      </c>
      <c r="Y55">
        <f>IF(T55&gt;0,SUM(T55:X55),0)</f>
        <v>41080</v>
      </c>
      <c r="Z55">
        <f>_xlfn.XLOOKUP(B55,'[2]april-2025'!$A:$A,'[2]april-2025'!$H:$H,0,0)</f>
        <v>3000</v>
      </c>
      <c r="AA55">
        <f>_xlfn.XLOOKUP(B55,'[2]april-2025'!$A:$A,'[2]april-2025'!$I:$I,0,0)</f>
        <v>0</v>
      </c>
      <c r="AB55">
        <f>IF($F55="YES",0,IF(Y55&gt;40000,200,IF(Y55&gt;25000,150,IF(Y55&gt;15000,130,IF(Y55&gt;10000,110,0)))))</f>
        <v>200</v>
      </c>
      <c r="AC55">
        <f>Y55-Z55-AA55-AB55</f>
        <v>37880</v>
      </c>
      <c r="AD55">
        <f>_xlfn.XLOOKUP(B55,'[3]may-2025'!$A:$A,'[3]may-2025'!$C:$C,0,0)</f>
        <v>31600</v>
      </c>
      <c r="AE55">
        <f>AD55*0.18</f>
        <v>5688</v>
      </c>
      <c r="AF55">
        <f>AD55*0.12</f>
        <v>3792</v>
      </c>
      <c r="AG55">
        <f>_xlfn.XLOOKUP(B55,'[3]may-2025'!$A:$A,'[3]may-2025'!$D:$D,0,0)</f>
        <v>0</v>
      </c>
      <c r="AH55">
        <f>_xlfn.XLOOKUP(B55,'[3]may-2025'!$A:$A,'[3]may-2025'!$G:$G,0,0)</f>
        <v>0</v>
      </c>
      <c r="AI55">
        <f>IF(AD55&gt;0,SUM(AD55:AH55),0)</f>
        <v>41080</v>
      </c>
      <c r="AJ55">
        <f>_xlfn.XLOOKUP(B55,'[3]may-2025'!$A:$A,'[3]may-2025'!$H:$H,0,0)</f>
        <v>3000</v>
      </c>
      <c r="AK55">
        <f>_xlfn.XLOOKUP(B55,'[3]may-2025'!$A:$A,'[3]may-2025'!$I:$I,0,0)</f>
        <v>0</v>
      </c>
      <c r="AL55">
        <f>IF($F55="YES",0,IF(AI55&gt;40000,200,IF(AI55&gt;25000,150,IF(AI55&gt;15000,130,IF(AI55&gt;10000,110,0)))))</f>
        <v>200</v>
      </c>
      <c r="AM55">
        <f>AI55-AJ55-AK55-AL55</f>
        <v>37880</v>
      </c>
      <c r="AN55">
        <f>_xlfn.XLOOKUP(B55,'[4]june-2025'!$A:$A,'[4]june-2025'!$C:$C,0,0)</f>
        <v>31600</v>
      </c>
      <c r="AO55">
        <f>AN55*0.18</f>
        <v>5688</v>
      </c>
      <c r="AP55">
        <f>AN55*0.12</f>
        <v>3792</v>
      </c>
      <c r="AQ55">
        <f>_xlfn.XLOOKUP(B55,'[4]june-2025'!$A:$A,'[4]june-2025'!$D:$D,0,0)</f>
        <v>0</v>
      </c>
      <c r="AR55">
        <f>_xlfn.XLOOKUP(B55,'[4]june-2025'!$A:$A,'[4]june-2025'!$G:$G,0,0)</f>
        <v>0</v>
      </c>
      <c r="AS55">
        <f>IF(AN55&gt;0,SUM(AN55:AR55),0)</f>
        <v>41080</v>
      </c>
      <c r="AT55">
        <f>_xlfn.XLOOKUP(B55,'[4]june-2025'!$A:$A,'[4]june-2025'!$H:$H,0,0)</f>
        <v>3000</v>
      </c>
      <c r="AU55">
        <f>_xlfn.XLOOKUP(B55,'[4]june-2025'!$A:$A,'[4]june-2025'!$I:$I,0,0)</f>
        <v>0</v>
      </c>
      <c r="AV55">
        <f>IF($F55="YES",0,IF(AS55&gt;40000,200,IF(AS55&gt;25000,150,IF(AS55&gt;15000,130,IF(AS55&gt;10000,110,0)))))</f>
        <v>200</v>
      </c>
      <c r="AW55">
        <f>AS55-AT55-AU55-AV55</f>
        <v>37880</v>
      </c>
      <c r="AX55">
        <f>_xlfn.XLOOKUP(B55,'[5]july-2025'!$A:$A,'[5]july-2025'!$C:$C,0,0)</f>
        <v>32500</v>
      </c>
      <c r="AY55">
        <f>AX55*0.18</f>
        <v>5850</v>
      </c>
      <c r="AZ55">
        <v>0</v>
      </c>
      <c r="BA55">
        <f>AX55*0.12</f>
        <v>3900</v>
      </c>
      <c r="BB55">
        <f>_xlfn.XLOOKUP(B55,'[5]july-2025'!$A:$A,'[5]july-2025'!$D:$D,0,0)</f>
        <v>0</v>
      </c>
      <c r="BC55">
        <f>_xlfn.XLOOKUP(B55,'[5]july-2025'!$A:$A,'[5]july-2025'!$G:$G,0,0)</f>
        <v>0</v>
      </c>
      <c r="BD55">
        <f>IF(AX55&gt;0,SUM(AX55:BC55),0)</f>
        <v>42250</v>
      </c>
      <c r="BE55">
        <f>_xlfn.XLOOKUP(B55,'[5]july-2025'!$A:$A,'[5]july-2025'!$H:$H,0,0)</f>
        <v>3000</v>
      </c>
      <c r="BF55">
        <f>_xlfn.XLOOKUP(B55,'[5]july-2025'!$A:$A,'[5]july-2025'!$I:$I,0,0)</f>
        <v>0</v>
      </c>
      <c r="BG55">
        <f>IF($F55="YES",0,IF(BD55&gt;40000,200,IF(BD55&gt;25000,150,IF(BD55&gt;15000,130,IF(BD55&gt;10000,110,0)))))</f>
        <v>200</v>
      </c>
      <c r="BH55">
        <f>BD55-BE55-BF55-BG55</f>
        <v>39050</v>
      </c>
      <c r="BI55">
        <f>_xlfn.XLOOKUP(B55,'[6]august-2025'!$A:$A,'[6]august-2025'!$C:$C,0,0)</f>
        <v>32500</v>
      </c>
      <c r="BJ55">
        <f>BI55*0.18</f>
        <v>5850</v>
      </c>
      <c r="BK55">
        <f>BI55*0.12</f>
        <v>3900</v>
      </c>
      <c r="BL55">
        <f>_xlfn.XLOOKUP(B55,'[6]august-2025'!$A:$A,'[6]august-2025'!$D:$D,0,0)</f>
        <v>0</v>
      </c>
      <c r="BM55">
        <f>_xlfn.XLOOKUP(B55,'[6]august-2025'!$A:$A,'[6]august-2025'!$G:$G,0,0)</f>
        <v>0</v>
      </c>
      <c r="BN55">
        <f>IF(BI55&gt;0,SUM(BI55:BM55),0)</f>
        <v>42250</v>
      </c>
      <c r="BO55">
        <f>_xlfn.XLOOKUP(B55,'[6]august-2025'!$A:$A,'[6]august-2025'!$H:$H,0,0)</f>
        <v>3000</v>
      </c>
      <c r="BP55">
        <f>_xlfn.XLOOKUP(B55,'[6]august-2025'!$A:$A,'[6]august-2025'!$I:$I,0,0)</f>
        <v>0</v>
      </c>
      <c r="BQ55">
        <f>IF($F55="YES",0,IF(BN55&gt;40000,200,IF(BN55&gt;25000,150,IF(BN55&gt;15000,130,IF(BN55&gt;10000,110,0)))))</f>
        <v>200</v>
      </c>
      <c r="BR55">
        <f>BN55-BO55-BP55-BQ55</f>
        <v>39050</v>
      </c>
      <c r="BS55">
        <f>_xlfn.XLOOKUP(B55,'[7]september-2025'!$A:$A,'[7]september-2025'!$C:$C,0,0)</f>
        <v>32500</v>
      </c>
      <c r="BT55">
        <f>BS55*0.18</f>
        <v>5850</v>
      </c>
      <c r="BU55">
        <f>BS55*0.12</f>
        <v>3900</v>
      </c>
      <c r="BV55">
        <f>_xlfn.XLOOKUP(B55,'[7]september-2025'!$A:$A,'[7]september-2025'!$D:$D,0,0)</f>
        <v>0</v>
      </c>
      <c r="BW55">
        <f>_xlfn.XLOOKUP(B55,'[7]september-2025'!$A:$A,'[7]september-2025'!$G:$G,0,0)</f>
        <v>0</v>
      </c>
      <c r="BX55">
        <f>IF(BS55&gt;0,SUM(BS55:BW55),0)</f>
        <v>42250</v>
      </c>
      <c r="BY55">
        <f>_xlfn.XLOOKUP(B55,'[7]september-2025'!$A:$A,'[7]september-2025'!$H:$H,0,0)</f>
        <v>3000</v>
      </c>
      <c r="BZ55">
        <f>_xlfn.XLOOKUP(B55,'[7]september-2025'!$A:$A,'[7]september-2025'!$I:$I,0,0)</f>
        <v>0</v>
      </c>
      <c r="CA55">
        <f>IF($F55="YES",0,IF(BX55&gt;40000,200,IF(BX55&gt;25000,150,IF(BX55&gt;15000,130,IF(BX55&gt;10000,110,0)))))</f>
        <v>200</v>
      </c>
      <c r="CB55">
        <f>BX55-BY55-BZ55-CA55</f>
        <v>39050</v>
      </c>
      <c r="CC55">
        <f>_xlfn.XLOOKUP(B55,'[8]october-2025'!$A:$A,'[8]october-2025'!$C:$C,0,0)</f>
        <v>32500</v>
      </c>
      <c r="CD55">
        <f>CC55*0.18</f>
        <v>5850</v>
      </c>
      <c r="CE55">
        <f>CC55*0.12</f>
        <v>3900</v>
      </c>
      <c r="CF55">
        <f>_xlfn.XLOOKUP(B55,'[8]october-2025'!$A:$A,'[8]october-2025'!$D:$D,0,0)</f>
        <v>0</v>
      </c>
      <c r="CG55">
        <f>_xlfn.XLOOKUP(B55,'[8]october-2025'!$A:$A,'[8]october-2025'!$G:$G,0,0)</f>
        <v>0</v>
      </c>
      <c r="CH55">
        <f>IF(CC55&gt;0,SUM(CC55:CG55),0)</f>
        <v>42250</v>
      </c>
      <c r="CI55">
        <f>_xlfn.XLOOKUP(B55,'[8]october-2025'!$A:$A,'[8]october-2025'!$H:$H,0,0)</f>
        <v>3000</v>
      </c>
      <c r="CJ55">
        <f>_xlfn.XLOOKUP(B55,'[8]october-2025'!$A:$A,'[8]october-2025'!$I:$I,0,0)</f>
        <v>0</v>
      </c>
      <c r="CK55">
        <f>IF($F55="YES",0,IF(CH55&gt;40000,200,IF(CH55&gt;25000,150,IF(CH55&gt;15000,130,IF(CH55&gt;10000,110,0)))))</f>
        <v>200</v>
      </c>
      <c r="CL55">
        <f>CH55-CI55-CJ55-CK55</f>
        <v>39050</v>
      </c>
      <c r="CM55">
        <f>_xlfn.XLOOKUP(B55,'[9]november-2025'!$A:$A,'[9]november-2025'!$C:$C,0,0)</f>
        <v>32500</v>
      </c>
      <c r="CN55">
        <f>CM55*0.18</f>
        <v>5850</v>
      </c>
      <c r="CO55">
        <f>CM55*0.12</f>
        <v>3900</v>
      </c>
      <c r="CP55">
        <f>_xlfn.XLOOKUP(B55,'[9]november-2025'!$A:$A,'[9]november-2025'!$D:$D,0,0)</f>
        <v>0</v>
      </c>
      <c r="CQ55">
        <f>_xlfn.XLOOKUP(B55,'[9]november-2025'!$A:$A,'[9]november-2025'!$G:$G,0,0)</f>
        <v>0</v>
      </c>
      <c r="CR55">
        <f>IF(CM55&gt;0,SUM(CM55:CQ55),0)</f>
        <v>42250</v>
      </c>
      <c r="CS55">
        <f>_xlfn.XLOOKUP(B55,'[9]november-2025'!$A:$A,'[9]november-2025'!$H:$H,0,0)</f>
        <v>3000</v>
      </c>
      <c r="CT55">
        <f>_xlfn.XLOOKUP(B55,'[9]november-2025'!$A:$A,'[9]november-2025'!$I:$I,0,0)</f>
        <v>0</v>
      </c>
      <c r="CU55">
        <f>IF($F55="YES",0,IF(CR55&gt;40000,200,IF(CR55&gt;25000,150,IF(CR55&gt;15000,130,IF(CR55&gt;10000,110,0)))))</f>
        <v>200</v>
      </c>
      <c r="CV55">
        <f>CR55-CS55-CT55-CU55</f>
        <v>39050</v>
      </c>
      <c r="CW55">
        <f>_xlfn.XLOOKUP(B55,'[10]december-2025'!$A:$A,'[10]december-2025'!$C:$C,0,0)</f>
        <v>32500</v>
      </c>
      <c r="CX55">
        <f>ROUND(CW55*0.18,0)</f>
        <v>5850</v>
      </c>
      <c r="CY55">
        <f>ROUND(CW55*0.12,0)</f>
        <v>3900</v>
      </c>
      <c r="CZ55">
        <f>_xlfn.XLOOKUP(B55,'[10]december-2025'!$A:$A,'[10]december-2025'!$D:$D,0,0)</f>
        <v>0</v>
      </c>
      <c r="DA55">
        <f>_xlfn.XLOOKUP(B55,'[10]december-2025'!$A:$A,'[10]december-2025'!$G:$G,0,0)</f>
        <v>0</v>
      </c>
      <c r="DB55">
        <f>IF(CW55&gt;0,SUM(CW55:DA55),0)</f>
        <v>42250</v>
      </c>
      <c r="DC55">
        <f>_xlfn.XLOOKUP(B55,'[10]december-2025'!$A:$A,'[10]december-2025'!$H:$H,0,0)</f>
        <v>3000</v>
      </c>
      <c r="DD55">
        <f>_xlfn.XLOOKUP(B55,'[10]december-2025'!$A:$A,'[10]december-2025'!$I:$I,0,0)</f>
        <v>0</v>
      </c>
      <c r="DE55">
        <f>IF($F55="YES",0,IF(DB55&gt;40000,200,IF(DB55&gt;25000,150,IF(DB55&gt;15000,130,IF(DB55&gt;10000,110,0)))))</f>
        <v>200</v>
      </c>
      <c r="DF55">
        <f>DB55-DC55-DD55-DE55</f>
        <v>39050</v>
      </c>
      <c r="DG55">
        <f>_xlfn.XLOOKUP(B55,'[11]january-2026'!$A:$A,'[11]january-2026'!$C:$C,0,0)</f>
        <v>32500</v>
      </c>
      <c r="DH55">
        <f>DG55*0.18</f>
        <v>5850</v>
      </c>
      <c r="DI55">
        <f>DG55*0.12</f>
        <v>3900</v>
      </c>
      <c r="DJ55">
        <f>_xlfn.XLOOKUP(B55,'[11]january-2026'!$A:$A,'[11]january-2026'!$D:$D,0,0)</f>
        <v>0</v>
      </c>
      <c r="DK55">
        <f>_xlfn.XLOOKUP(B55,'[11]january-2026'!$A:$A,'[11]january-2026'!$G:$G,0,0)</f>
        <v>0</v>
      </c>
      <c r="DL55">
        <f>IF(DG55&gt;0,SUM(DG55:DK55),0)</f>
        <v>42250</v>
      </c>
      <c r="DM55">
        <f>_xlfn.XLOOKUP(B55,'[11]january-2026'!$A:$A,'[11]january-2026'!$H:$H,0,0)</f>
        <v>3000</v>
      </c>
      <c r="DN55">
        <f>_xlfn.XLOOKUP(B55,'[11]january-2026'!$A:$A,'[11]january-2026'!$I:$I,0,0)</f>
        <v>0</v>
      </c>
      <c r="DO55">
        <f>IF($F55="YES",0,IF(DL55&gt;40000,200,IF(DL55&gt;25000,150,IF(DL55&gt;15000,130,IF(DL55&gt;10000,110,0)))))</f>
        <v>200</v>
      </c>
      <c r="DP55">
        <f>DL55-DM55-DN55-DO55</f>
        <v>39050</v>
      </c>
      <c r="DQ55">
        <f>_xlfn.XLOOKUP(B55,'[12]february-2026'!$A:$A,'[12]february-2026'!$C:$C,0,0)</f>
        <v>32500</v>
      </c>
      <c r="DR55">
        <f>DQ55*0.18</f>
        <v>5850</v>
      </c>
      <c r="DS55">
        <f>DQ55*0.12</f>
        <v>3900</v>
      </c>
      <c r="DT55">
        <f>_xlfn.XLOOKUP(B55,'[12]february-2026'!$A:$A,'[12]february-2026'!$D:$D,0,0)</f>
        <v>0</v>
      </c>
      <c r="DU55">
        <f>_xlfn.XLOOKUP(B55,'[12]february-2026'!$A:$A,'[12]february-2026'!$G:$G,0,0)</f>
        <v>0</v>
      </c>
      <c r="DV55">
        <f>IF(DQ55&gt;0,SUM(DQ55:DU55),0)</f>
        <v>42250</v>
      </c>
      <c r="DW55">
        <f>_xlfn.XLOOKUP(B55,'[12]february-2026'!$A:$A,'[12]february-2026'!$H:$H,0,0)</f>
        <v>3000</v>
      </c>
      <c r="DX55">
        <f>_xlfn.XLOOKUP(B55,'[12]february-2026'!$A:$A,'[12]february-2026'!$I:$I,0,0)</f>
        <v>0</v>
      </c>
      <c r="DY55">
        <f>IF($F55="YES",0,IF(DV55&gt;40000,200,IF(DV55&gt;25000,150,IF(DV55&gt;15000,130,IF(DV55&gt;10000,110,0)))))</f>
        <v>200</v>
      </c>
      <c r="DZ55">
        <f>DV55-DW55-DX55-DY55</f>
        <v>39050</v>
      </c>
      <c r="EA55">
        <f>DV55+DL55+DB55+CR55+CH55+BX55+BN55+BD55+AS55+AI55+Y55+O55+H55+I55</f>
        <v>507856</v>
      </c>
      <c r="EB55">
        <f>DY55+DO55+DE55+CU55+CK55+CA55+BQ55+BG55+AV55+AL55+AB55+R55</f>
        <v>2350</v>
      </c>
      <c r="EC55">
        <f>IF(EA55&gt;0,50000,0)</f>
        <v>50000</v>
      </c>
      <c r="ED55">
        <v>0</v>
      </c>
      <c r="EE55">
        <f>EA55-EB55-EC55</f>
        <v>455506</v>
      </c>
      <c r="EF55">
        <f>DW55+DM55+DC55+CS55+CI55+BY55+BO55+BE55+AT55+AJ55+Z55+P55</f>
        <v>36000</v>
      </c>
      <c r="EG55">
        <f>DX55+DN55+DD55+CT55+CJ55+BZ55+BP55+BF55+AU55+AK55+AA55+Q55</f>
        <v>0</v>
      </c>
      <c r="EH55">
        <v>0</v>
      </c>
      <c r="EI55">
        <v>0</v>
      </c>
      <c r="EJ55">
        <v>0</v>
      </c>
      <c r="EK55">
        <v>0</v>
      </c>
      <c r="EL55">
        <v>0</v>
      </c>
      <c r="EM55">
        <v>0</v>
      </c>
      <c r="EN55">
        <v>0</v>
      </c>
      <c r="EO55">
        <v>0</v>
      </c>
      <c r="EP55">
        <v>0</v>
      </c>
      <c r="EQ55">
        <v>0</v>
      </c>
      <c r="ER55">
        <f>SUM(EF55:EQ55)</f>
        <v>36000</v>
      </c>
      <c r="ES55">
        <f>IF(ER55&gt;=150000,150000,ER55)</f>
        <v>36000</v>
      </c>
      <c r="ET55">
        <f>EE55-ES55</f>
        <v>419506</v>
      </c>
      <c r="EU55">
        <v>0</v>
      </c>
      <c r="EV55">
        <v>0</v>
      </c>
      <c r="EW55">
        <v>0</v>
      </c>
      <c r="EX55">
        <v>0</v>
      </c>
      <c r="EY55">
        <v>0</v>
      </c>
      <c r="EZ55">
        <v>0</v>
      </c>
      <c r="FA55">
        <v>0</v>
      </c>
      <c r="FB55">
        <f>SUM(EU55:FA55)+(IF(F55="YES",50000,0))</f>
        <v>0</v>
      </c>
      <c r="FC55">
        <f>ET55-FB55</f>
        <v>419506</v>
      </c>
      <c r="FD55">
        <f>ROUND(IF(FC55&gt;0,IF(FC55&gt;500000,12500,(FC55-250000)*0.05),0),0)</f>
        <v>8475</v>
      </c>
      <c r="FE55">
        <f>IF(ROUND(IF(FC55&gt;0,IF(FC55&gt;1000000,25000,(FC55-500000)*0.2),0),0)&lt;0,0,ROUND(IF(FC55&gt;0,IF(FC55&gt;1000000,25000,(FC55-500000)*0.2),0),0))</f>
        <v>0</v>
      </c>
      <c r="FF55">
        <f>FD55+FE55</f>
        <v>8475</v>
      </c>
      <c r="FG55">
        <f>IF(FF55&lt;12500,0,FF55)</f>
        <v>0</v>
      </c>
      <c r="FH55">
        <f>FG55*0.04</f>
        <v>0</v>
      </c>
      <c r="FI55">
        <f>ROUND(FH55+FG55,0)</f>
        <v>0</v>
      </c>
      <c r="FJ55">
        <v>0</v>
      </c>
      <c r="FK55">
        <f>FI55-FJ55</f>
        <v>0</v>
      </c>
      <c r="FL55" t="b">
        <f>IF(EA55&gt;500000,TRUE,FALSE)</f>
        <v>1</v>
      </c>
      <c r="FM55">
        <f ca="1">IF(FL55,RANDBETWEEN(500,1000),RANDBETWEEN(1000,3000))</f>
        <v>506</v>
      </c>
      <c r="FN55">
        <f ca="1">EA55+FM55</f>
        <v>508362</v>
      </c>
      <c r="FO55">
        <f>IF(EA55&gt;0,75000,0)</f>
        <v>75000</v>
      </c>
      <c r="FP55">
        <f ca="1">FN55-FO55</f>
        <v>433362</v>
      </c>
      <c r="FQ55">
        <f ca="1">IF(FP55&gt;2400000,FP55-2400000,0)</f>
        <v>0</v>
      </c>
      <c r="FR55">
        <f ca="1">FQ55*0.3</f>
        <v>0</v>
      </c>
      <c r="FS55">
        <f ca="1">IF(FP55&gt;2000000,FP55-2000000,0)</f>
        <v>0</v>
      </c>
      <c r="FT55">
        <f ca="1">FS55*0.25</f>
        <v>0</v>
      </c>
      <c r="FU55">
        <f ca="1">IF(FP55&gt;1600000,FP55-1600000-FQ55,0)</f>
        <v>0</v>
      </c>
      <c r="FV55">
        <f ca="1">FU55*0.2</f>
        <v>0</v>
      </c>
      <c r="FW55">
        <f ca="1">IF(FP55&gt;1200000,FP55-1200000-IF(F55="YES",50000,0)-FU55,0)</f>
        <v>0</v>
      </c>
      <c r="FX55">
        <f ca="1">FW55*0.15</f>
        <v>0</v>
      </c>
      <c r="FY55">
        <f ca="1">IF(FP55&gt;800000,FP55-800000-FQ55-FU55-FW55,0)</f>
        <v>0</v>
      </c>
      <c r="FZ55">
        <f ca="1">FY55*0.1</f>
        <v>0</v>
      </c>
      <c r="GA55">
        <f ca="1">IF(FP55&gt;400000,FP55-400000-FQ55-FU55-FW55-FY55,0)</f>
        <v>33362</v>
      </c>
      <c r="GB55">
        <f ca="1">GA55*0.05</f>
        <v>1668.1000000000001</v>
      </c>
      <c r="GC55">
        <f ca="1">ROUND(FR55+FT55+FV55+FX55+FZ55+GB55,0)</f>
        <v>1668</v>
      </c>
      <c r="GD55">
        <f ca="1">IF(FP55&gt;1200000,FP55,0)</f>
        <v>0</v>
      </c>
      <c r="GE55">
        <f ca="1">IF(FP55&gt;1200000,GD55-1200000,0)</f>
        <v>0</v>
      </c>
      <c r="GF55">
        <f ca="1">IF(FP55&lt;1200001,MIN(GC55,60000),0)</f>
        <v>1668</v>
      </c>
      <c r="GG55">
        <f ca="1">IF(FP55&gt;1200000,GC55-GE55,0)</f>
        <v>0</v>
      </c>
      <c r="GH55" t="b">
        <f ca="1">IF(GG55&gt;0,TRUE,FALSE)</f>
        <v>0</v>
      </c>
      <c r="GI55">
        <f ca="1">IF(GH55,GG55,0)</f>
        <v>0</v>
      </c>
      <c r="GJ55">
        <f ca="1">GF55+GI55</f>
        <v>1668</v>
      </c>
      <c r="GK55">
        <f ca="1">ROUND(GC55-GJ55,0)</f>
        <v>0</v>
      </c>
      <c r="GL55">
        <f ca="1">GK55*0.04</f>
        <v>0</v>
      </c>
      <c r="GM55">
        <f ca="1">ROUNDUP(GK55+GL55,0)</f>
        <v>0</v>
      </c>
    </row>
    <row r="56" spans="1:195" x14ac:dyDescent="0.25">
      <c r="A56">
        <f>_xlfn.AGGREGATE(3,5,$B$2:B56)</f>
        <v>55</v>
      </c>
      <c r="B56" t="s">
        <v>230</v>
      </c>
      <c r="C56" t="s">
        <v>231</v>
      </c>
      <c r="D56" t="s">
        <v>766</v>
      </c>
      <c r="E56" t="s">
        <v>833</v>
      </c>
      <c r="F56" t="s">
        <v>959</v>
      </c>
      <c r="G56" t="s">
        <v>899</v>
      </c>
      <c r="H56">
        <f>IF(_xlfn.DAYS("31-03-2025",G56)&gt;=180,6800,0)</f>
        <v>6800</v>
      </c>
      <c r="I56">
        <f>_xlfn.XLOOKUP(B56,'[1]march-2025'!$A:$A,'[1]march-2025'!$J:$J,0,0)</f>
        <v>0</v>
      </c>
      <c r="J56">
        <f>_xlfn.XLOOKUP(B56,'[1]march-2025'!$A:$A,'[1]march-2025'!$C:$C,0,0)</f>
        <v>33500</v>
      </c>
      <c r="K56">
        <f>J56*0.14</f>
        <v>4690</v>
      </c>
      <c r="L56">
        <f>J56*0.12</f>
        <v>4020</v>
      </c>
      <c r="M56">
        <f>_xlfn.XLOOKUP(B56,'[1]march-2025'!$A:$A,'[1]march-2025'!$D:$D,0,0)</f>
        <v>0</v>
      </c>
      <c r="N56">
        <f>_xlfn.XLOOKUP(B56,'[1]march-2025'!$A:$A,'[1]march-2025'!$G:$G,0,0)</f>
        <v>500</v>
      </c>
      <c r="O56">
        <f>IF(J56&gt;0,SUM(J56:N56),0)</f>
        <v>42710</v>
      </c>
      <c r="P56">
        <f>_xlfn.XLOOKUP(B56,'[1]march-2025'!$A:$A,'[1]march-2025'!$H:$H,0,0)</f>
        <v>2500</v>
      </c>
      <c r="Q56">
        <f>_xlfn.XLOOKUP(B56,'[1]march-2025'!$A:$A,'[1]march-2025'!$I:$I,0,0)</f>
        <v>0</v>
      </c>
      <c r="R56">
        <f>IF($F56="YES",0,IF(O56&gt;40000,200,IF(O56&gt;25000,150,IF(O56&gt;15000,130,IF(O56&gt;10000,110,0)))))</f>
        <v>200</v>
      </c>
      <c r="S56">
        <f>O56-P56-Q56-R56</f>
        <v>40010</v>
      </c>
      <c r="T56">
        <f>_xlfn.XLOOKUP(B56,'[2]april-2025'!$A:$A,'[2]april-2025'!$C:$C,0,0)</f>
        <v>33500</v>
      </c>
      <c r="U56">
        <f>T56*0.18</f>
        <v>6030</v>
      </c>
      <c r="V56">
        <f>T56*0.12</f>
        <v>4020</v>
      </c>
      <c r="W56">
        <f>_xlfn.XLOOKUP(B56,'[2]april-2025'!$A:$A,'[2]april-2025'!$D:$D,0,0)</f>
        <v>0</v>
      </c>
      <c r="X56">
        <f>_xlfn.XLOOKUP(B56,'[2]april-2025'!$A:$A,'[2]april-2025'!$G:$G,0,0)</f>
        <v>500</v>
      </c>
      <c r="Y56">
        <f>IF(T56&gt;0,SUM(T56:X56),0)</f>
        <v>44050</v>
      </c>
      <c r="Z56">
        <f>_xlfn.XLOOKUP(B56,'[2]april-2025'!$A:$A,'[2]april-2025'!$H:$H,0,0)</f>
        <v>2500</v>
      </c>
      <c r="AA56">
        <f>_xlfn.XLOOKUP(B56,'[2]april-2025'!$A:$A,'[2]april-2025'!$I:$I,0,0)</f>
        <v>0</v>
      </c>
      <c r="AB56">
        <f>IF($F56="YES",0,IF(Y56&gt;40000,200,IF(Y56&gt;25000,150,IF(Y56&gt;15000,130,IF(Y56&gt;10000,110,0)))))</f>
        <v>200</v>
      </c>
      <c r="AC56">
        <f>Y56-Z56-AA56-AB56</f>
        <v>41350</v>
      </c>
      <c r="AD56">
        <f>_xlfn.XLOOKUP(B56,'[3]may-2025'!$A:$A,'[3]may-2025'!$C:$C,0,0)</f>
        <v>33500</v>
      </c>
      <c r="AE56">
        <f>AD56*0.18</f>
        <v>6030</v>
      </c>
      <c r="AF56">
        <f>AD56*0.12</f>
        <v>4020</v>
      </c>
      <c r="AG56">
        <f>_xlfn.XLOOKUP(B56,'[3]may-2025'!$A:$A,'[3]may-2025'!$D:$D,0,0)</f>
        <v>0</v>
      </c>
      <c r="AH56">
        <f>_xlfn.XLOOKUP(B56,'[3]may-2025'!$A:$A,'[3]may-2025'!$G:$G,0,0)</f>
        <v>500</v>
      </c>
      <c r="AI56">
        <f>IF(AD56&gt;0,SUM(AD56:AH56),0)</f>
        <v>44050</v>
      </c>
      <c r="AJ56">
        <f>_xlfn.XLOOKUP(B56,'[3]may-2025'!$A:$A,'[3]may-2025'!$H:$H,0,0)</f>
        <v>2500</v>
      </c>
      <c r="AK56">
        <f>_xlfn.XLOOKUP(B56,'[3]may-2025'!$A:$A,'[3]may-2025'!$I:$I,0,0)</f>
        <v>0</v>
      </c>
      <c r="AL56">
        <f>IF($F56="YES",0,IF(AI56&gt;40000,200,IF(AI56&gt;25000,150,IF(AI56&gt;15000,130,IF(AI56&gt;10000,110,0)))))</f>
        <v>200</v>
      </c>
      <c r="AM56">
        <f>AI56-AJ56-AK56-AL56</f>
        <v>41350</v>
      </c>
      <c r="AN56">
        <f>_xlfn.XLOOKUP(B56,'[4]june-2025'!$A:$A,'[4]june-2025'!$C:$C,0,0)</f>
        <v>33500</v>
      </c>
      <c r="AO56">
        <f>AN56*0.18</f>
        <v>6030</v>
      </c>
      <c r="AP56">
        <f>AN56*0.12</f>
        <v>4020</v>
      </c>
      <c r="AQ56">
        <f>_xlfn.XLOOKUP(B56,'[4]june-2025'!$A:$A,'[4]june-2025'!$D:$D,0,0)</f>
        <v>0</v>
      </c>
      <c r="AR56">
        <f>_xlfn.XLOOKUP(B56,'[4]june-2025'!$A:$A,'[4]june-2025'!$G:$G,0,0)</f>
        <v>500</v>
      </c>
      <c r="AS56">
        <f>IF(AN56&gt;0,SUM(AN56:AR56),0)</f>
        <v>44050</v>
      </c>
      <c r="AT56">
        <f>_xlfn.XLOOKUP(B56,'[4]june-2025'!$A:$A,'[4]june-2025'!$H:$H,0,0)</f>
        <v>2500</v>
      </c>
      <c r="AU56">
        <f>_xlfn.XLOOKUP(B56,'[4]june-2025'!$A:$A,'[4]june-2025'!$I:$I,0,0)</f>
        <v>0</v>
      </c>
      <c r="AV56">
        <f>IF($F56="YES",0,IF(AS56&gt;40000,200,IF(AS56&gt;25000,150,IF(AS56&gt;15000,130,IF(AS56&gt;10000,110,0)))))</f>
        <v>200</v>
      </c>
      <c r="AW56">
        <f>AS56-AT56-AU56-AV56</f>
        <v>41350</v>
      </c>
      <c r="AX56">
        <f>_xlfn.XLOOKUP(B56,'[5]july-2025'!$A:$A,'[5]july-2025'!$C:$C,0,0)</f>
        <v>34500</v>
      </c>
      <c r="AY56">
        <f>AX56*0.18</f>
        <v>6210</v>
      </c>
      <c r="AZ56">
        <v>0</v>
      </c>
      <c r="BA56">
        <f>AX56*0.12</f>
        <v>4140</v>
      </c>
      <c r="BB56">
        <f>_xlfn.XLOOKUP(B56,'[5]july-2025'!$A:$A,'[5]july-2025'!$D:$D,0,0)</f>
        <v>0</v>
      </c>
      <c r="BC56">
        <f>_xlfn.XLOOKUP(B56,'[5]july-2025'!$A:$A,'[5]july-2025'!$G:$G,0,0)</f>
        <v>500</v>
      </c>
      <c r="BD56">
        <f>IF(AX56&gt;0,SUM(AX56:BC56),0)</f>
        <v>45350</v>
      </c>
      <c r="BE56">
        <f>_xlfn.XLOOKUP(B56,'[5]july-2025'!$A:$A,'[5]july-2025'!$H:$H,0,0)</f>
        <v>2500</v>
      </c>
      <c r="BF56">
        <f>_xlfn.XLOOKUP(B56,'[5]july-2025'!$A:$A,'[5]july-2025'!$I:$I,0,0)</f>
        <v>0</v>
      </c>
      <c r="BG56">
        <f>IF($F56="YES",0,IF(BD56&gt;40000,200,IF(BD56&gt;25000,150,IF(BD56&gt;15000,130,IF(BD56&gt;10000,110,0)))))</f>
        <v>200</v>
      </c>
      <c r="BH56">
        <f>BD56-BE56-BF56-BG56</f>
        <v>42650</v>
      </c>
      <c r="BI56">
        <f>_xlfn.XLOOKUP(B56,'[6]august-2025'!$A:$A,'[6]august-2025'!$C:$C,0,0)</f>
        <v>34500</v>
      </c>
      <c r="BJ56">
        <f>BI56*0.18</f>
        <v>6210</v>
      </c>
      <c r="BK56">
        <f>BI56*0.12</f>
        <v>4140</v>
      </c>
      <c r="BL56">
        <f>_xlfn.XLOOKUP(B56,'[6]august-2025'!$A:$A,'[6]august-2025'!$D:$D,0,0)</f>
        <v>0</v>
      </c>
      <c r="BM56">
        <f>_xlfn.XLOOKUP(B56,'[6]august-2025'!$A:$A,'[6]august-2025'!$G:$G,0,0)</f>
        <v>500</v>
      </c>
      <c r="BN56">
        <f>IF(BI56&gt;0,SUM(BI56:BM56),0)</f>
        <v>45350</v>
      </c>
      <c r="BO56">
        <f>_xlfn.XLOOKUP(B56,'[6]august-2025'!$A:$A,'[6]august-2025'!$H:$H,0,0)</f>
        <v>2500</v>
      </c>
      <c r="BP56">
        <f>_xlfn.XLOOKUP(B56,'[6]august-2025'!$A:$A,'[6]august-2025'!$I:$I,0,0)</f>
        <v>0</v>
      </c>
      <c r="BQ56">
        <f>IF($F56="YES",0,IF(BN56&gt;40000,200,IF(BN56&gt;25000,150,IF(BN56&gt;15000,130,IF(BN56&gt;10000,110,0)))))</f>
        <v>200</v>
      </c>
      <c r="BR56">
        <f>BN56-BO56-BP56-BQ56</f>
        <v>42650</v>
      </c>
      <c r="BS56">
        <f>_xlfn.XLOOKUP(B56,'[7]september-2025'!$A:$A,'[7]september-2025'!$C:$C,0,0)</f>
        <v>34500</v>
      </c>
      <c r="BT56">
        <f>BS56*0.18</f>
        <v>6210</v>
      </c>
      <c r="BU56">
        <f>BS56*0.12</f>
        <v>4140</v>
      </c>
      <c r="BV56">
        <f>_xlfn.XLOOKUP(B56,'[7]september-2025'!$A:$A,'[7]september-2025'!$D:$D,0,0)</f>
        <v>0</v>
      </c>
      <c r="BW56">
        <f>_xlfn.XLOOKUP(B56,'[7]september-2025'!$A:$A,'[7]september-2025'!$G:$G,0,0)</f>
        <v>500</v>
      </c>
      <c r="BX56">
        <f>IF(BS56&gt;0,SUM(BS56:BW56),0)</f>
        <v>45350</v>
      </c>
      <c r="BY56">
        <f>_xlfn.XLOOKUP(B56,'[7]september-2025'!$A:$A,'[7]september-2025'!$H:$H,0,0)</f>
        <v>2500</v>
      </c>
      <c r="BZ56">
        <f>_xlfn.XLOOKUP(B56,'[7]september-2025'!$A:$A,'[7]september-2025'!$I:$I,0,0)</f>
        <v>0</v>
      </c>
      <c r="CA56">
        <f>IF($F56="YES",0,IF(BX56&gt;40000,200,IF(BX56&gt;25000,150,IF(BX56&gt;15000,130,IF(BX56&gt;10000,110,0)))))</f>
        <v>200</v>
      </c>
      <c r="CB56">
        <f>BX56-BY56-BZ56-CA56</f>
        <v>42650</v>
      </c>
      <c r="CC56">
        <f>_xlfn.XLOOKUP(B56,'[8]october-2025'!$A:$A,'[8]october-2025'!$C:$C,0,0)</f>
        <v>34500</v>
      </c>
      <c r="CD56">
        <f>CC56*0.18</f>
        <v>6210</v>
      </c>
      <c r="CE56">
        <f>CC56*0.12</f>
        <v>4140</v>
      </c>
      <c r="CF56">
        <f>_xlfn.XLOOKUP(B56,'[8]october-2025'!$A:$A,'[8]october-2025'!$D:$D,0,0)</f>
        <v>0</v>
      </c>
      <c r="CG56">
        <f>_xlfn.XLOOKUP(B56,'[8]october-2025'!$A:$A,'[8]october-2025'!$G:$G,0,0)</f>
        <v>500</v>
      </c>
      <c r="CH56">
        <f>IF(CC56&gt;0,SUM(CC56:CG56),0)</f>
        <v>45350</v>
      </c>
      <c r="CI56">
        <f>_xlfn.XLOOKUP(B56,'[8]october-2025'!$A:$A,'[8]october-2025'!$H:$H,0,0)</f>
        <v>2500</v>
      </c>
      <c r="CJ56">
        <f>_xlfn.XLOOKUP(B56,'[8]october-2025'!$A:$A,'[8]october-2025'!$I:$I,0,0)</f>
        <v>0</v>
      </c>
      <c r="CK56">
        <f>IF($F56="YES",0,IF(CH56&gt;40000,200,IF(CH56&gt;25000,150,IF(CH56&gt;15000,130,IF(CH56&gt;10000,110,0)))))</f>
        <v>200</v>
      </c>
      <c r="CL56">
        <f>CH56-CI56-CJ56-CK56</f>
        <v>42650</v>
      </c>
      <c r="CM56">
        <f>_xlfn.XLOOKUP(B56,'[9]november-2025'!$A:$A,'[9]november-2025'!$C:$C,0,0)</f>
        <v>34500</v>
      </c>
      <c r="CN56">
        <f>CM56*0.18</f>
        <v>6210</v>
      </c>
      <c r="CO56">
        <f>CM56*0.12</f>
        <v>4140</v>
      </c>
      <c r="CP56">
        <f>_xlfn.XLOOKUP(B56,'[9]november-2025'!$A:$A,'[9]november-2025'!$D:$D,0,0)</f>
        <v>0</v>
      </c>
      <c r="CQ56">
        <f>_xlfn.XLOOKUP(B56,'[9]november-2025'!$A:$A,'[9]november-2025'!$G:$G,0,0)</f>
        <v>500</v>
      </c>
      <c r="CR56">
        <f>IF(CM56&gt;0,SUM(CM56:CQ56),0)</f>
        <v>45350</v>
      </c>
      <c r="CS56">
        <f>_xlfn.XLOOKUP(B56,'[9]november-2025'!$A:$A,'[9]november-2025'!$H:$H,0,0)</f>
        <v>2500</v>
      </c>
      <c r="CT56">
        <f>_xlfn.XLOOKUP(B56,'[9]november-2025'!$A:$A,'[9]november-2025'!$I:$I,0,0)</f>
        <v>0</v>
      </c>
      <c r="CU56">
        <f>IF($F56="YES",0,IF(CR56&gt;40000,200,IF(CR56&gt;25000,150,IF(CR56&gt;15000,130,IF(CR56&gt;10000,110,0)))))</f>
        <v>200</v>
      </c>
      <c r="CV56">
        <f>CR56-CS56-CT56-CU56</f>
        <v>42650</v>
      </c>
      <c r="CW56">
        <f>_xlfn.XLOOKUP(B56,'[10]december-2025'!$A:$A,'[10]december-2025'!$C:$C,0,0)</f>
        <v>34500</v>
      </c>
      <c r="CX56">
        <f>ROUND(CW56*0.18,0)</f>
        <v>6210</v>
      </c>
      <c r="CY56">
        <f>ROUND(CW56*0.12,0)</f>
        <v>4140</v>
      </c>
      <c r="CZ56">
        <f>_xlfn.XLOOKUP(B56,'[10]december-2025'!$A:$A,'[10]december-2025'!$D:$D,0,0)</f>
        <v>0</v>
      </c>
      <c r="DA56">
        <f>_xlfn.XLOOKUP(B56,'[10]december-2025'!$A:$A,'[10]december-2025'!$G:$G,0,0)</f>
        <v>500</v>
      </c>
      <c r="DB56">
        <f>IF(CW56&gt;0,SUM(CW56:DA56),0)</f>
        <v>45350</v>
      </c>
      <c r="DC56">
        <f>_xlfn.XLOOKUP(B56,'[10]december-2025'!$A:$A,'[10]december-2025'!$H:$H,0,0)</f>
        <v>2500</v>
      </c>
      <c r="DD56">
        <f>_xlfn.XLOOKUP(B56,'[10]december-2025'!$A:$A,'[10]december-2025'!$I:$I,0,0)</f>
        <v>0</v>
      </c>
      <c r="DE56">
        <f>IF($F56="YES",0,IF(DB56&gt;40000,200,IF(DB56&gt;25000,150,IF(DB56&gt;15000,130,IF(DB56&gt;10000,110,0)))))</f>
        <v>200</v>
      </c>
      <c r="DF56">
        <f>DB56-DC56-DD56-DE56</f>
        <v>42650</v>
      </c>
      <c r="DG56">
        <f>_xlfn.XLOOKUP(B56,'[11]january-2026'!$A:$A,'[11]january-2026'!$C:$C,0,0)</f>
        <v>34500</v>
      </c>
      <c r="DH56">
        <f>DG56*0.18</f>
        <v>6210</v>
      </c>
      <c r="DI56">
        <f>DG56*0.12</f>
        <v>4140</v>
      </c>
      <c r="DJ56">
        <f>_xlfn.XLOOKUP(B56,'[11]january-2026'!$A:$A,'[11]january-2026'!$D:$D,0,0)</f>
        <v>0</v>
      </c>
      <c r="DK56">
        <f>_xlfn.XLOOKUP(B56,'[11]january-2026'!$A:$A,'[11]january-2026'!$G:$G,0,0)</f>
        <v>500</v>
      </c>
      <c r="DL56">
        <f>IF(DG56&gt;0,SUM(DG56:DK56),0)</f>
        <v>45350</v>
      </c>
      <c r="DM56">
        <f>_xlfn.XLOOKUP(B56,'[11]january-2026'!$A:$A,'[11]january-2026'!$H:$H,0,0)</f>
        <v>2500</v>
      </c>
      <c r="DN56">
        <f>_xlfn.XLOOKUP(B56,'[11]january-2026'!$A:$A,'[11]january-2026'!$I:$I,0,0)</f>
        <v>0</v>
      </c>
      <c r="DO56">
        <f>IF($F56="YES",0,IF(DL56&gt;40000,200,IF(DL56&gt;25000,150,IF(DL56&gt;15000,130,IF(DL56&gt;10000,110,0)))))</f>
        <v>200</v>
      </c>
      <c r="DP56">
        <f>DL56-DM56-DN56-DO56</f>
        <v>42650</v>
      </c>
      <c r="DQ56">
        <f>_xlfn.XLOOKUP(B56,'[12]february-2026'!$A:$A,'[12]february-2026'!$C:$C,0,0)</f>
        <v>34500</v>
      </c>
      <c r="DR56">
        <f>DQ56*0.18</f>
        <v>6210</v>
      </c>
      <c r="DS56">
        <f>DQ56*0.12</f>
        <v>4140</v>
      </c>
      <c r="DT56">
        <f>_xlfn.XLOOKUP(B56,'[12]february-2026'!$A:$A,'[12]february-2026'!$D:$D,0,0)</f>
        <v>0</v>
      </c>
      <c r="DU56">
        <f>_xlfn.XLOOKUP(B56,'[12]february-2026'!$A:$A,'[12]february-2026'!$G:$G,0,0)</f>
        <v>500</v>
      </c>
      <c r="DV56">
        <f>IF(DQ56&gt;0,SUM(DQ56:DU56),0)</f>
        <v>45350</v>
      </c>
      <c r="DW56">
        <f>_xlfn.XLOOKUP(B56,'[12]february-2026'!$A:$A,'[12]february-2026'!$H:$H,0,0)</f>
        <v>2500</v>
      </c>
      <c r="DX56">
        <f>_xlfn.XLOOKUP(B56,'[12]february-2026'!$A:$A,'[12]february-2026'!$I:$I,0,0)</f>
        <v>0</v>
      </c>
      <c r="DY56">
        <f>IF($F56="YES",0,IF(DV56&gt;40000,200,IF(DV56&gt;25000,150,IF(DV56&gt;15000,130,IF(DV56&gt;10000,110,0)))))</f>
        <v>200</v>
      </c>
      <c r="DZ56">
        <f>DV56-DW56-DX56-DY56</f>
        <v>42650</v>
      </c>
      <c r="EA56">
        <f>DV56+DL56+DB56+CR56+CH56+BX56+BN56+BD56+AS56+AI56+Y56+O56+H56+I56</f>
        <v>544460</v>
      </c>
      <c r="EB56">
        <f>DY56+DO56+DE56+CU56+CK56+CA56+BQ56+BG56+AV56+AL56+AB56+R56</f>
        <v>2400</v>
      </c>
      <c r="EC56">
        <f>IF(EA56&gt;0,50000,0)</f>
        <v>50000</v>
      </c>
      <c r="ED56">
        <v>0</v>
      </c>
      <c r="EE56">
        <f>EA56-EB56-EC56</f>
        <v>492060</v>
      </c>
      <c r="EF56">
        <f>DW56+DM56+DC56+CS56+CI56+BY56+BO56+BE56+AT56+AJ56+Z56+P56</f>
        <v>30000</v>
      </c>
      <c r="EG56">
        <f>DX56+DN56+DD56+CT56+CJ56+BZ56+BP56+BF56+AU56+AK56+AA56+Q56</f>
        <v>0</v>
      </c>
      <c r="EH56">
        <v>0</v>
      </c>
      <c r="EI56">
        <v>0</v>
      </c>
      <c r="EJ56">
        <v>0</v>
      </c>
      <c r="EK56">
        <v>0</v>
      </c>
      <c r="EL56">
        <v>0</v>
      </c>
      <c r="EM56">
        <v>0</v>
      </c>
      <c r="EN56">
        <v>0</v>
      </c>
      <c r="EO56">
        <v>0</v>
      </c>
      <c r="EP56">
        <v>0</v>
      </c>
      <c r="EQ56">
        <v>0</v>
      </c>
      <c r="ER56">
        <f>SUM(EF56:EQ56)</f>
        <v>30000</v>
      </c>
      <c r="ES56">
        <f>IF(ER56&gt;=150000,150000,ER56)</f>
        <v>30000</v>
      </c>
      <c r="ET56">
        <f>EE56-ES56</f>
        <v>462060</v>
      </c>
      <c r="EU56">
        <v>0</v>
      </c>
      <c r="EV56">
        <v>0</v>
      </c>
      <c r="EW56">
        <v>0</v>
      </c>
      <c r="EX56">
        <v>0</v>
      </c>
      <c r="EY56">
        <v>0</v>
      </c>
      <c r="EZ56">
        <v>0</v>
      </c>
      <c r="FA56">
        <v>0</v>
      </c>
      <c r="FB56">
        <f>SUM(EU56:FA56)+(IF(F56="YES",50000,0))</f>
        <v>0</v>
      </c>
      <c r="FC56">
        <f>ET56-FB56</f>
        <v>462060</v>
      </c>
      <c r="FD56">
        <f>ROUND(IF(FC56&gt;0,IF(FC56&gt;500000,12500,(FC56-250000)*0.05),0),0)</f>
        <v>10603</v>
      </c>
      <c r="FE56">
        <f>IF(ROUND(IF(FC56&gt;0,IF(FC56&gt;1000000,25000,(FC56-500000)*0.2),0),0)&lt;0,0,ROUND(IF(FC56&gt;0,IF(FC56&gt;1000000,25000,(FC56-500000)*0.2),0),0))</f>
        <v>0</v>
      </c>
      <c r="FF56">
        <f>FD56+FE56</f>
        <v>10603</v>
      </c>
      <c r="FG56">
        <f>IF(FF56&lt;12500,0,FF56)</f>
        <v>0</v>
      </c>
      <c r="FH56">
        <f>FG56*0.04</f>
        <v>0</v>
      </c>
      <c r="FI56">
        <f>ROUND(FH56+FG56,0)</f>
        <v>0</v>
      </c>
      <c r="FJ56">
        <v>0</v>
      </c>
      <c r="FK56">
        <f>FI56-FJ56</f>
        <v>0</v>
      </c>
      <c r="FL56" t="b">
        <f>IF(EA56&gt;500000,TRUE,FALSE)</f>
        <v>1</v>
      </c>
      <c r="FM56">
        <f ca="1">IF(FL56,RANDBETWEEN(500,1000),RANDBETWEEN(1000,3000))</f>
        <v>993</v>
      </c>
      <c r="FN56">
        <f ca="1">EA56+FM56</f>
        <v>545453</v>
      </c>
      <c r="FO56">
        <f>IF(EA56&gt;0,75000,0)</f>
        <v>75000</v>
      </c>
      <c r="FP56">
        <f ca="1">FN56-FO56</f>
        <v>470453</v>
      </c>
      <c r="FQ56">
        <f ca="1">IF(FP56&gt;2400000,FP56-2400000,0)</f>
        <v>0</v>
      </c>
      <c r="FR56">
        <f ca="1">FQ56*0.3</f>
        <v>0</v>
      </c>
      <c r="FS56">
        <f ca="1">IF(FP56&gt;2000000,FP56-2000000,0)</f>
        <v>0</v>
      </c>
      <c r="FT56">
        <f ca="1">FS56*0.25</f>
        <v>0</v>
      </c>
      <c r="FU56">
        <f ca="1">IF(FP56&gt;1600000,FP56-1600000-FQ56,0)</f>
        <v>0</v>
      </c>
      <c r="FV56">
        <f ca="1">FU56*0.2</f>
        <v>0</v>
      </c>
      <c r="FW56">
        <f ca="1">IF(FP56&gt;1200000,FP56-1200000-IF(F56="YES",50000,0)-FU56,0)</f>
        <v>0</v>
      </c>
      <c r="FX56">
        <f ca="1">FW56*0.15</f>
        <v>0</v>
      </c>
      <c r="FY56">
        <f ca="1">IF(FP56&gt;800000,FP56-800000-FQ56-FU56-FW56,0)</f>
        <v>0</v>
      </c>
      <c r="FZ56">
        <f ca="1">FY56*0.1</f>
        <v>0</v>
      </c>
      <c r="GA56">
        <f ca="1">IF(FP56&gt;400000,FP56-400000-FQ56-FU56-FW56-FY56,0)</f>
        <v>70453</v>
      </c>
      <c r="GB56">
        <f ca="1">GA56*0.05</f>
        <v>3522.65</v>
      </c>
      <c r="GC56">
        <f ca="1">ROUND(FR56+FT56+FV56+FX56+FZ56+GB56,0)</f>
        <v>3523</v>
      </c>
      <c r="GD56">
        <f ca="1">IF(FP56&gt;1200000,FP56,0)</f>
        <v>0</v>
      </c>
      <c r="GE56">
        <f ca="1">IF(FP56&gt;1200000,GD56-1200000,0)</f>
        <v>0</v>
      </c>
      <c r="GF56">
        <f ca="1">IF(FP56&lt;1200001,MIN(GC56,60000),0)</f>
        <v>3523</v>
      </c>
      <c r="GG56">
        <f ca="1">IF(FP56&gt;1200000,GC56-GE56,0)</f>
        <v>0</v>
      </c>
      <c r="GH56" t="b">
        <f ca="1">IF(GG56&gt;0,TRUE,FALSE)</f>
        <v>0</v>
      </c>
      <c r="GI56">
        <f ca="1">IF(GH56,GG56,0)</f>
        <v>0</v>
      </c>
      <c r="GJ56">
        <f ca="1">GF56+GI56</f>
        <v>3523</v>
      </c>
      <c r="GK56">
        <f ca="1">ROUND(GC56-GJ56,0)</f>
        <v>0</v>
      </c>
      <c r="GL56">
        <f ca="1">GK56*0.04</f>
        <v>0</v>
      </c>
      <c r="GM56">
        <f ca="1">ROUNDUP(GK56+GL56,0)</f>
        <v>0</v>
      </c>
    </row>
    <row r="57" spans="1:195" x14ac:dyDescent="0.25">
      <c r="A57">
        <f>_xlfn.AGGREGATE(3,5,$B$2:B57)</f>
        <v>56</v>
      </c>
      <c r="B57" t="s">
        <v>232</v>
      </c>
      <c r="C57" t="s">
        <v>233</v>
      </c>
      <c r="D57" t="s">
        <v>767</v>
      </c>
      <c r="E57" t="s">
        <v>834</v>
      </c>
      <c r="F57" t="s">
        <v>959</v>
      </c>
      <c r="G57" t="s">
        <v>890</v>
      </c>
      <c r="H57">
        <f>IF(_xlfn.DAYS("31-03-2025",G57)&gt;=180,6800,0)</f>
        <v>6800</v>
      </c>
      <c r="I57">
        <f>_xlfn.XLOOKUP(B57,'[1]march-2025'!$A:$A,'[1]march-2025'!$J:$J,0,0)</f>
        <v>0</v>
      </c>
      <c r="J57">
        <f>_xlfn.XLOOKUP(B57,'[1]march-2025'!$A:$A,'[1]march-2025'!$C:$C,0,0)</f>
        <v>37700</v>
      </c>
      <c r="K57">
        <f>J57*0.14</f>
        <v>5278.0000000000009</v>
      </c>
      <c r="L57">
        <f>J57*0.12</f>
        <v>4524</v>
      </c>
      <c r="M57">
        <f>_xlfn.XLOOKUP(B57,'[1]march-2025'!$A:$A,'[1]march-2025'!$D:$D,0,0)</f>
        <v>400</v>
      </c>
      <c r="N57">
        <f>_xlfn.XLOOKUP(B57,'[1]march-2025'!$A:$A,'[1]march-2025'!$G:$G,0,0)</f>
        <v>500</v>
      </c>
      <c r="O57">
        <f>IF(J57&gt;0,SUM(J57:N57),0)</f>
        <v>48402</v>
      </c>
      <c r="P57">
        <f>_xlfn.XLOOKUP(B57,'[1]march-2025'!$A:$A,'[1]march-2025'!$H:$H,0,0)</f>
        <v>3000</v>
      </c>
      <c r="Q57">
        <f>_xlfn.XLOOKUP(B57,'[1]march-2025'!$A:$A,'[1]march-2025'!$I:$I,0,0)</f>
        <v>0</v>
      </c>
      <c r="R57">
        <f>IF($F57="YES",0,IF(O57&gt;40000,200,IF(O57&gt;25000,150,IF(O57&gt;15000,130,IF(O57&gt;10000,110,0)))))</f>
        <v>200</v>
      </c>
      <c r="S57">
        <f>O57-P57-Q57-R57</f>
        <v>45202</v>
      </c>
      <c r="T57">
        <f>_xlfn.XLOOKUP(B57,'[2]april-2025'!$A:$A,'[2]april-2025'!$C:$C,0,0)</f>
        <v>37700</v>
      </c>
      <c r="U57">
        <f>T57*0.18</f>
        <v>6786</v>
      </c>
      <c r="V57">
        <f>T57*0.12</f>
        <v>4524</v>
      </c>
      <c r="W57">
        <f>_xlfn.XLOOKUP(B57,'[2]april-2025'!$A:$A,'[2]april-2025'!$D:$D,0,0)</f>
        <v>400</v>
      </c>
      <c r="X57">
        <f>_xlfn.XLOOKUP(B57,'[2]april-2025'!$A:$A,'[2]april-2025'!$G:$G,0,0)</f>
        <v>500</v>
      </c>
      <c r="Y57">
        <f>IF(T57&gt;0,SUM(T57:X57),0)</f>
        <v>49910</v>
      </c>
      <c r="Z57">
        <f>_xlfn.XLOOKUP(B57,'[2]april-2025'!$A:$A,'[2]april-2025'!$H:$H,0,0)</f>
        <v>3000</v>
      </c>
      <c r="AA57">
        <f>_xlfn.XLOOKUP(B57,'[2]april-2025'!$A:$A,'[2]april-2025'!$I:$I,0,0)</f>
        <v>0</v>
      </c>
      <c r="AB57">
        <f>IF($F57="YES",0,IF(Y57&gt;40000,200,IF(Y57&gt;25000,150,IF(Y57&gt;15000,130,IF(Y57&gt;10000,110,0)))))</f>
        <v>200</v>
      </c>
      <c r="AC57">
        <f>Y57-Z57-AA57-AB57</f>
        <v>46710</v>
      </c>
      <c r="AD57">
        <f>_xlfn.XLOOKUP(B57,'[3]may-2025'!$A:$A,'[3]may-2025'!$C:$C,0,0)</f>
        <v>37700</v>
      </c>
      <c r="AE57">
        <f>AD57*0.18</f>
        <v>6786</v>
      </c>
      <c r="AF57">
        <f>AD57*0.12</f>
        <v>4524</v>
      </c>
      <c r="AG57">
        <f>_xlfn.XLOOKUP(B57,'[3]may-2025'!$A:$A,'[3]may-2025'!$D:$D,0,0)</f>
        <v>400</v>
      </c>
      <c r="AH57">
        <f>_xlfn.XLOOKUP(B57,'[3]may-2025'!$A:$A,'[3]may-2025'!$G:$G,0,0)</f>
        <v>500</v>
      </c>
      <c r="AI57">
        <f>IF(AD57&gt;0,SUM(AD57:AH57),0)</f>
        <v>49910</v>
      </c>
      <c r="AJ57">
        <f>_xlfn.XLOOKUP(B57,'[3]may-2025'!$A:$A,'[3]may-2025'!$H:$H,0,0)</f>
        <v>3000</v>
      </c>
      <c r="AK57">
        <f>_xlfn.XLOOKUP(B57,'[3]may-2025'!$A:$A,'[3]may-2025'!$I:$I,0,0)</f>
        <v>0</v>
      </c>
      <c r="AL57">
        <f>IF($F57="YES",0,IF(AI57&gt;40000,200,IF(AI57&gt;25000,150,IF(AI57&gt;15000,130,IF(AI57&gt;10000,110,0)))))</f>
        <v>200</v>
      </c>
      <c r="AM57">
        <f>AI57-AJ57-AK57-AL57</f>
        <v>46710</v>
      </c>
      <c r="AN57">
        <f>_xlfn.XLOOKUP(B57,'[4]june-2025'!$A:$A,'[4]june-2025'!$C:$C,0,0)</f>
        <v>37700</v>
      </c>
      <c r="AO57">
        <f>AN57*0.18</f>
        <v>6786</v>
      </c>
      <c r="AP57">
        <f>AN57*0.12</f>
        <v>4524</v>
      </c>
      <c r="AQ57">
        <f>_xlfn.XLOOKUP(B57,'[4]june-2025'!$A:$A,'[4]june-2025'!$D:$D,0,0)</f>
        <v>400</v>
      </c>
      <c r="AR57">
        <f>_xlfn.XLOOKUP(B57,'[4]june-2025'!$A:$A,'[4]june-2025'!$G:$G,0,0)</f>
        <v>500</v>
      </c>
      <c r="AS57">
        <f>IF(AN57&gt;0,SUM(AN57:AR57),0)</f>
        <v>49910</v>
      </c>
      <c r="AT57">
        <f>_xlfn.XLOOKUP(B57,'[4]june-2025'!$A:$A,'[4]june-2025'!$H:$H,0,0)</f>
        <v>3000</v>
      </c>
      <c r="AU57">
        <f>_xlfn.XLOOKUP(B57,'[4]june-2025'!$A:$A,'[4]june-2025'!$I:$I,0,0)</f>
        <v>0</v>
      </c>
      <c r="AV57">
        <f>IF($F57="YES",0,IF(AS57&gt;40000,200,IF(AS57&gt;25000,150,IF(AS57&gt;15000,130,IF(AS57&gt;10000,110,0)))))</f>
        <v>200</v>
      </c>
      <c r="AW57">
        <f>AS57-AT57-AU57-AV57</f>
        <v>46710</v>
      </c>
      <c r="AX57">
        <f>_xlfn.XLOOKUP(B57,'[5]july-2025'!$A:$A,'[5]july-2025'!$C:$C,0,0)</f>
        <v>38800</v>
      </c>
      <c r="AY57">
        <f>AX57*0.18</f>
        <v>6984</v>
      </c>
      <c r="AZ57">
        <v>0</v>
      </c>
      <c r="BA57">
        <f>AX57*0.12</f>
        <v>4656</v>
      </c>
      <c r="BB57">
        <f>_xlfn.XLOOKUP(B57,'[5]july-2025'!$A:$A,'[5]july-2025'!$D:$D,0,0)</f>
        <v>400</v>
      </c>
      <c r="BC57">
        <f>_xlfn.XLOOKUP(B57,'[5]july-2025'!$A:$A,'[5]july-2025'!$G:$G,0,0)</f>
        <v>500</v>
      </c>
      <c r="BD57">
        <f>IF(AX57&gt;0,SUM(AX57:BC57),0)</f>
        <v>51340</v>
      </c>
      <c r="BE57">
        <f>_xlfn.XLOOKUP(B57,'[5]july-2025'!$A:$A,'[5]july-2025'!$H:$H,0,0)</f>
        <v>3000</v>
      </c>
      <c r="BF57">
        <f>_xlfn.XLOOKUP(B57,'[5]july-2025'!$A:$A,'[5]july-2025'!$I:$I,0,0)</f>
        <v>0</v>
      </c>
      <c r="BG57">
        <f>IF($F57="YES",0,IF(BD57&gt;40000,200,IF(BD57&gt;25000,150,IF(BD57&gt;15000,130,IF(BD57&gt;10000,110,0)))))</f>
        <v>200</v>
      </c>
      <c r="BH57">
        <f>BD57-BE57-BF57-BG57</f>
        <v>48140</v>
      </c>
      <c r="BI57">
        <f>_xlfn.XLOOKUP(B57,'[6]august-2025'!$A:$A,'[6]august-2025'!$C:$C,0,0)</f>
        <v>38800</v>
      </c>
      <c r="BJ57">
        <f>BI57*0.18</f>
        <v>6984</v>
      </c>
      <c r="BK57">
        <f>BI57*0.12</f>
        <v>4656</v>
      </c>
      <c r="BL57">
        <f>_xlfn.XLOOKUP(B57,'[6]august-2025'!$A:$A,'[6]august-2025'!$D:$D,0,0)</f>
        <v>400</v>
      </c>
      <c r="BM57">
        <f>_xlfn.XLOOKUP(B57,'[6]august-2025'!$A:$A,'[6]august-2025'!$G:$G,0,0)</f>
        <v>500</v>
      </c>
      <c r="BN57">
        <f>IF(BI57&gt;0,SUM(BI57:BM57),0)</f>
        <v>51340</v>
      </c>
      <c r="BO57">
        <f>_xlfn.XLOOKUP(B57,'[6]august-2025'!$A:$A,'[6]august-2025'!$H:$H,0,0)</f>
        <v>3000</v>
      </c>
      <c r="BP57">
        <f>_xlfn.XLOOKUP(B57,'[6]august-2025'!$A:$A,'[6]august-2025'!$I:$I,0,0)</f>
        <v>0</v>
      </c>
      <c r="BQ57">
        <f>IF($F57="YES",0,IF(BN57&gt;40000,200,IF(BN57&gt;25000,150,IF(BN57&gt;15000,130,IF(BN57&gt;10000,110,0)))))</f>
        <v>200</v>
      </c>
      <c r="BR57">
        <f>BN57-BO57-BP57-BQ57</f>
        <v>48140</v>
      </c>
      <c r="BS57">
        <f>_xlfn.XLOOKUP(B57,'[7]september-2025'!$A:$A,'[7]september-2025'!$C:$C,0,0)</f>
        <v>38800</v>
      </c>
      <c r="BT57">
        <f>BS57*0.18</f>
        <v>6984</v>
      </c>
      <c r="BU57">
        <f>BS57*0.12</f>
        <v>4656</v>
      </c>
      <c r="BV57">
        <f>_xlfn.XLOOKUP(B57,'[7]september-2025'!$A:$A,'[7]september-2025'!$D:$D,0,0)</f>
        <v>400</v>
      </c>
      <c r="BW57">
        <f>_xlfn.XLOOKUP(B57,'[7]september-2025'!$A:$A,'[7]september-2025'!$G:$G,0,0)</f>
        <v>500</v>
      </c>
      <c r="BX57">
        <f>IF(BS57&gt;0,SUM(BS57:BW57),0)</f>
        <v>51340</v>
      </c>
      <c r="BY57">
        <f>_xlfn.XLOOKUP(B57,'[7]september-2025'!$A:$A,'[7]september-2025'!$H:$H,0,0)</f>
        <v>3000</v>
      </c>
      <c r="BZ57">
        <f>_xlfn.XLOOKUP(B57,'[7]september-2025'!$A:$A,'[7]september-2025'!$I:$I,0,0)</f>
        <v>0</v>
      </c>
      <c r="CA57">
        <f>IF($F57="YES",0,IF(BX57&gt;40000,200,IF(BX57&gt;25000,150,IF(BX57&gt;15000,130,IF(BX57&gt;10000,110,0)))))</f>
        <v>200</v>
      </c>
      <c r="CB57">
        <f>BX57-BY57-BZ57-CA57</f>
        <v>48140</v>
      </c>
      <c r="CC57">
        <f>_xlfn.XLOOKUP(B57,'[8]october-2025'!$A:$A,'[8]october-2025'!$C:$C,0,0)</f>
        <v>38800</v>
      </c>
      <c r="CD57">
        <f>CC57*0.18</f>
        <v>6984</v>
      </c>
      <c r="CE57">
        <f>CC57*0.12</f>
        <v>4656</v>
      </c>
      <c r="CF57">
        <f>_xlfn.XLOOKUP(B57,'[8]october-2025'!$A:$A,'[8]october-2025'!$D:$D,0,0)</f>
        <v>400</v>
      </c>
      <c r="CG57">
        <f>_xlfn.XLOOKUP(B57,'[8]october-2025'!$A:$A,'[8]october-2025'!$G:$G,0,0)</f>
        <v>500</v>
      </c>
      <c r="CH57">
        <f>IF(CC57&gt;0,SUM(CC57:CG57),0)</f>
        <v>51340</v>
      </c>
      <c r="CI57">
        <f>_xlfn.XLOOKUP(B57,'[8]october-2025'!$A:$A,'[8]october-2025'!$H:$H,0,0)</f>
        <v>3000</v>
      </c>
      <c r="CJ57">
        <f>_xlfn.XLOOKUP(B57,'[8]october-2025'!$A:$A,'[8]october-2025'!$I:$I,0,0)</f>
        <v>0</v>
      </c>
      <c r="CK57">
        <f>IF($F57="YES",0,IF(CH57&gt;40000,200,IF(CH57&gt;25000,150,IF(CH57&gt;15000,130,IF(CH57&gt;10000,110,0)))))</f>
        <v>200</v>
      </c>
      <c r="CL57">
        <f>CH57-CI57-CJ57-CK57</f>
        <v>48140</v>
      </c>
      <c r="CM57">
        <f>_xlfn.XLOOKUP(B57,'[9]november-2025'!$A:$A,'[9]november-2025'!$C:$C,0,0)</f>
        <v>38800</v>
      </c>
      <c r="CN57">
        <f>CM57*0.18</f>
        <v>6984</v>
      </c>
      <c r="CO57">
        <f>CM57*0.12</f>
        <v>4656</v>
      </c>
      <c r="CP57">
        <f>_xlfn.XLOOKUP(B57,'[9]november-2025'!$A:$A,'[9]november-2025'!$D:$D,0,0)</f>
        <v>400</v>
      </c>
      <c r="CQ57">
        <f>_xlfn.XLOOKUP(B57,'[9]november-2025'!$A:$A,'[9]november-2025'!$G:$G,0,0)</f>
        <v>500</v>
      </c>
      <c r="CR57">
        <f>IF(CM57&gt;0,SUM(CM57:CQ57),0)</f>
        <v>51340</v>
      </c>
      <c r="CS57">
        <f>_xlfn.XLOOKUP(B57,'[9]november-2025'!$A:$A,'[9]november-2025'!$H:$H,0,0)</f>
        <v>3000</v>
      </c>
      <c r="CT57">
        <f>_xlfn.XLOOKUP(B57,'[9]november-2025'!$A:$A,'[9]november-2025'!$I:$I,0,0)</f>
        <v>0</v>
      </c>
      <c r="CU57">
        <f>IF($F57="YES",0,IF(CR57&gt;40000,200,IF(CR57&gt;25000,150,IF(CR57&gt;15000,130,IF(CR57&gt;10000,110,0)))))</f>
        <v>200</v>
      </c>
      <c r="CV57">
        <f>CR57-CS57-CT57-CU57</f>
        <v>48140</v>
      </c>
      <c r="CW57">
        <f>_xlfn.XLOOKUP(B57,'[10]december-2025'!$A:$A,'[10]december-2025'!$C:$C,0,0)</f>
        <v>38800</v>
      </c>
      <c r="CX57">
        <f>ROUND(CW57*0.18,0)</f>
        <v>6984</v>
      </c>
      <c r="CY57">
        <f>ROUND(CW57*0.12,0)</f>
        <v>4656</v>
      </c>
      <c r="CZ57">
        <f>_xlfn.XLOOKUP(B57,'[10]december-2025'!$A:$A,'[10]december-2025'!$D:$D,0,0)</f>
        <v>400</v>
      </c>
      <c r="DA57">
        <f>_xlfn.XLOOKUP(B57,'[10]december-2025'!$A:$A,'[10]december-2025'!$G:$G,0,0)</f>
        <v>500</v>
      </c>
      <c r="DB57">
        <f>IF(CW57&gt;0,SUM(CW57:DA57),0)</f>
        <v>51340</v>
      </c>
      <c r="DC57">
        <f>_xlfn.XLOOKUP(B57,'[10]december-2025'!$A:$A,'[10]december-2025'!$H:$H,0,0)</f>
        <v>3000</v>
      </c>
      <c r="DD57">
        <f>_xlfn.XLOOKUP(B57,'[10]december-2025'!$A:$A,'[10]december-2025'!$I:$I,0,0)</f>
        <v>0</v>
      </c>
      <c r="DE57">
        <f>IF($F57="YES",0,IF(DB57&gt;40000,200,IF(DB57&gt;25000,150,IF(DB57&gt;15000,130,IF(DB57&gt;10000,110,0)))))</f>
        <v>200</v>
      </c>
      <c r="DF57">
        <f>DB57-DC57-DD57-DE57</f>
        <v>48140</v>
      </c>
      <c r="DG57">
        <f>_xlfn.XLOOKUP(B57,'[11]january-2026'!$A:$A,'[11]january-2026'!$C:$C,0,0)</f>
        <v>38800</v>
      </c>
      <c r="DH57">
        <f>DG57*0.18</f>
        <v>6984</v>
      </c>
      <c r="DI57">
        <f>DG57*0.12</f>
        <v>4656</v>
      </c>
      <c r="DJ57">
        <f>_xlfn.XLOOKUP(B57,'[11]january-2026'!$A:$A,'[11]january-2026'!$D:$D,0,0)</f>
        <v>400</v>
      </c>
      <c r="DK57">
        <f>_xlfn.XLOOKUP(B57,'[11]january-2026'!$A:$A,'[11]january-2026'!$G:$G,0,0)</f>
        <v>500</v>
      </c>
      <c r="DL57">
        <f>IF(DG57&gt;0,SUM(DG57:DK57),0)</f>
        <v>51340</v>
      </c>
      <c r="DM57">
        <f>_xlfn.XLOOKUP(B57,'[11]january-2026'!$A:$A,'[11]january-2026'!$H:$H,0,0)</f>
        <v>3000</v>
      </c>
      <c r="DN57">
        <f>_xlfn.XLOOKUP(B57,'[11]january-2026'!$A:$A,'[11]january-2026'!$I:$I,0,0)</f>
        <v>0</v>
      </c>
      <c r="DO57">
        <f>IF($F57="YES",0,IF(DL57&gt;40000,200,IF(DL57&gt;25000,150,IF(DL57&gt;15000,130,IF(DL57&gt;10000,110,0)))))</f>
        <v>200</v>
      </c>
      <c r="DP57">
        <f>DL57-DM57-DN57-DO57</f>
        <v>48140</v>
      </c>
      <c r="DQ57">
        <f>_xlfn.XLOOKUP(B57,'[12]february-2026'!$A:$A,'[12]february-2026'!$C:$C,0,0)</f>
        <v>38800</v>
      </c>
      <c r="DR57">
        <f>DQ57*0.18</f>
        <v>6984</v>
      </c>
      <c r="DS57">
        <f>DQ57*0.12</f>
        <v>4656</v>
      </c>
      <c r="DT57">
        <f>_xlfn.XLOOKUP(B57,'[12]february-2026'!$A:$A,'[12]february-2026'!$D:$D,0,0)</f>
        <v>400</v>
      </c>
      <c r="DU57">
        <f>_xlfn.XLOOKUP(B57,'[12]february-2026'!$A:$A,'[12]february-2026'!$G:$G,0,0)</f>
        <v>500</v>
      </c>
      <c r="DV57">
        <f>IF(DQ57&gt;0,SUM(DQ57:DU57),0)</f>
        <v>51340</v>
      </c>
      <c r="DW57">
        <f>_xlfn.XLOOKUP(B57,'[12]february-2026'!$A:$A,'[12]february-2026'!$H:$H,0,0)</f>
        <v>3000</v>
      </c>
      <c r="DX57">
        <f>_xlfn.XLOOKUP(B57,'[12]february-2026'!$A:$A,'[12]february-2026'!$I:$I,0,0)</f>
        <v>0</v>
      </c>
      <c r="DY57">
        <f>IF($F57="YES",0,IF(DV57&gt;40000,200,IF(DV57&gt;25000,150,IF(DV57&gt;15000,130,IF(DV57&gt;10000,110,0)))))</f>
        <v>200</v>
      </c>
      <c r="DZ57">
        <f>DV57-DW57-DX57-DY57</f>
        <v>48140</v>
      </c>
      <c r="EA57">
        <f>DV57+DL57+DB57+CR57+CH57+BX57+BN57+BD57+AS57+AI57+Y57+O57+H57+I57</f>
        <v>615652</v>
      </c>
      <c r="EB57">
        <f>DY57+DO57+DE57+CU57+CK57+CA57+BQ57+BG57+AV57+AL57+AB57+R57</f>
        <v>2400</v>
      </c>
      <c r="EC57">
        <f>IF(EA57&gt;0,50000,0)</f>
        <v>50000</v>
      </c>
      <c r="ED57">
        <v>0</v>
      </c>
      <c r="EE57">
        <f>EA57-EB57-EC57</f>
        <v>563252</v>
      </c>
      <c r="EF57">
        <f>DW57+DM57+DC57+CS57+CI57+BY57+BO57+BE57+AT57+AJ57+Z57+P57</f>
        <v>36000</v>
      </c>
      <c r="EG57">
        <f>DX57+DN57+DD57+CT57+CJ57+BZ57+BP57+BF57+AU57+AK57+AA57+Q57</f>
        <v>0</v>
      </c>
      <c r="EH57">
        <v>0</v>
      </c>
      <c r="EI57">
        <v>0</v>
      </c>
      <c r="EJ57">
        <v>0</v>
      </c>
      <c r="EK57">
        <v>0</v>
      </c>
      <c r="EL57">
        <v>0</v>
      </c>
      <c r="EM57">
        <v>0</v>
      </c>
      <c r="EN57">
        <v>0</v>
      </c>
      <c r="EO57">
        <v>0</v>
      </c>
      <c r="EP57">
        <v>0</v>
      </c>
      <c r="EQ57">
        <v>0</v>
      </c>
      <c r="ER57">
        <f>SUM(EF57:EQ57)</f>
        <v>36000</v>
      </c>
      <c r="ES57">
        <f>IF(ER57&gt;=150000,150000,ER57)</f>
        <v>36000</v>
      </c>
      <c r="ET57">
        <f>EE57-ES57</f>
        <v>527252</v>
      </c>
      <c r="EU57">
        <v>0</v>
      </c>
      <c r="EV57">
        <v>0</v>
      </c>
      <c r="EW57">
        <v>0</v>
      </c>
      <c r="EX57">
        <v>0</v>
      </c>
      <c r="EY57">
        <v>0</v>
      </c>
      <c r="EZ57">
        <v>0</v>
      </c>
      <c r="FA57">
        <v>0</v>
      </c>
      <c r="FB57">
        <f>SUM(EU57:FA57)+(IF(F57="YES",50000,0))</f>
        <v>0</v>
      </c>
      <c r="FC57">
        <f>ET57-FB57</f>
        <v>527252</v>
      </c>
      <c r="FD57">
        <f>ROUND(IF(FC57&gt;0,IF(FC57&gt;500000,12500,(FC57-250000)*0.05),0),0)</f>
        <v>12500</v>
      </c>
      <c r="FE57">
        <f>IF(ROUND(IF(FC57&gt;0,IF(FC57&gt;1000000,25000,(FC57-500000)*0.2),0),0)&lt;0,0,ROUND(IF(FC57&gt;0,IF(FC57&gt;1000000,25000,(FC57-500000)*0.2),0),0))</f>
        <v>5450</v>
      </c>
      <c r="FF57">
        <f>FD57+FE57</f>
        <v>17950</v>
      </c>
      <c r="FG57">
        <f>IF(FF57&lt;12500,0,FF57)</f>
        <v>17950</v>
      </c>
      <c r="FH57">
        <f>FG57*0.04</f>
        <v>718</v>
      </c>
      <c r="FI57">
        <f>ROUND(FH57+FG57,0)</f>
        <v>18668</v>
      </c>
      <c r="FJ57">
        <v>0</v>
      </c>
      <c r="FK57">
        <f>FI57-FJ57</f>
        <v>18668</v>
      </c>
      <c r="FL57" t="b">
        <f>IF(EA57&gt;500000,TRUE,FALSE)</f>
        <v>1</v>
      </c>
      <c r="FM57">
        <f ca="1">IF(FL57,RANDBETWEEN(500,1000),RANDBETWEEN(1000,3000))</f>
        <v>735</v>
      </c>
      <c r="FN57">
        <f ca="1">EA57+FM57</f>
        <v>616387</v>
      </c>
      <c r="FO57">
        <f>IF(EA57&gt;0,75000,0)</f>
        <v>75000</v>
      </c>
      <c r="FP57">
        <f ca="1">FN57-FO57</f>
        <v>541387</v>
      </c>
      <c r="FQ57">
        <f ca="1">IF(FP57&gt;2400000,FP57-2400000,0)</f>
        <v>0</v>
      </c>
      <c r="FR57">
        <f ca="1">FQ57*0.3</f>
        <v>0</v>
      </c>
      <c r="FS57">
        <f ca="1">IF(FP57&gt;2000000,FP57-2000000,0)</f>
        <v>0</v>
      </c>
      <c r="FT57">
        <f ca="1">FS57*0.25</f>
        <v>0</v>
      </c>
      <c r="FU57">
        <f ca="1">IF(FP57&gt;1600000,FP57-1600000-FQ57,0)</f>
        <v>0</v>
      </c>
      <c r="FV57">
        <f ca="1">FU57*0.2</f>
        <v>0</v>
      </c>
      <c r="FW57">
        <f ca="1">IF(FP57&gt;1200000,FP57-1200000-IF(F57="YES",50000,0)-FU57,0)</f>
        <v>0</v>
      </c>
      <c r="FX57">
        <f ca="1">FW57*0.15</f>
        <v>0</v>
      </c>
      <c r="FY57">
        <f ca="1">IF(FP57&gt;800000,FP57-800000-FQ57-FU57-FW57,0)</f>
        <v>0</v>
      </c>
      <c r="FZ57">
        <f ca="1">FY57*0.1</f>
        <v>0</v>
      </c>
      <c r="GA57">
        <f ca="1">IF(FP57&gt;400000,FP57-400000-FQ57-FU57-FW57-FY57,0)</f>
        <v>141387</v>
      </c>
      <c r="GB57">
        <f ca="1">GA57*0.05</f>
        <v>7069.35</v>
      </c>
      <c r="GC57">
        <f ca="1">ROUND(FR57+FT57+FV57+FX57+FZ57+GB57,0)</f>
        <v>7069</v>
      </c>
      <c r="GD57">
        <f ca="1">IF(FP57&gt;1200000,FP57,0)</f>
        <v>0</v>
      </c>
      <c r="GE57">
        <f ca="1">IF(FP57&gt;1200000,GD57-1200000,0)</f>
        <v>0</v>
      </c>
      <c r="GF57">
        <f ca="1">IF(FP57&lt;1200001,MIN(GC57,60000),0)</f>
        <v>7069</v>
      </c>
      <c r="GG57">
        <f ca="1">IF(FP57&gt;1200000,GC57-GE57,0)</f>
        <v>0</v>
      </c>
      <c r="GH57" t="b">
        <f ca="1">IF(GG57&gt;0,TRUE,FALSE)</f>
        <v>0</v>
      </c>
      <c r="GI57">
        <f ca="1">IF(GH57,GG57,0)</f>
        <v>0</v>
      </c>
      <c r="GJ57">
        <f ca="1">GF57+GI57</f>
        <v>7069</v>
      </c>
      <c r="GK57">
        <f ca="1">ROUND(GC57-GJ57,0)</f>
        <v>0</v>
      </c>
      <c r="GL57">
        <f ca="1">GK57*0.04</f>
        <v>0</v>
      </c>
      <c r="GM57">
        <f ca="1">ROUNDUP(GK57+GL57,0)</f>
        <v>0</v>
      </c>
    </row>
    <row r="58" spans="1:195" x14ac:dyDescent="0.25">
      <c r="A58">
        <f>_xlfn.AGGREGATE(3,5,$B$2:B58)</f>
        <v>57</v>
      </c>
      <c r="B58" t="s">
        <v>234</v>
      </c>
      <c r="C58" t="s">
        <v>235</v>
      </c>
      <c r="D58" t="s">
        <v>767</v>
      </c>
      <c r="E58" t="s">
        <v>833</v>
      </c>
      <c r="F58" t="s">
        <v>959</v>
      </c>
      <c r="G58" t="s">
        <v>899</v>
      </c>
      <c r="H58">
        <f>IF(_xlfn.DAYS("31-03-2025",G58)&gt;=180,6800,0)</f>
        <v>6800</v>
      </c>
      <c r="I58">
        <f>_xlfn.XLOOKUP(B58,'[1]march-2025'!$A:$A,'[1]march-2025'!$J:$J,0,0)</f>
        <v>0</v>
      </c>
      <c r="J58">
        <f>_xlfn.XLOOKUP(B58,'[1]march-2025'!$A:$A,'[1]march-2025'!$C:$C,0,0)</f>
        <v>33500</v>
      </c>
      <c r="K58">
        <f>J58*0.14</f>
        <v>4690</v>
      </c>
      <c r="L58">
        <f>J58*0.12</f>
        <v>4020</v>
      </c>
      <c r="M58">
        <f>_xlfn.XLOOKUP(B58,'[1]march-2025'!$A:$A,'[1]march-2025'!$D:$D,0,0)</f>
        <v>0</v>
      </c>
      <c r="N58">
        <f>_xlfn.XLOOKUP(B58,'[1]march-2025'!$A:$A,'[1]march-2025'!$G:$G,0,0)</f>
        <v>500</v>
      </c>
      <c r="O58">
        <f>IF(J58&gt;0,SUM(J58:N58),0)</f>
        <v>42710</v>
      </c>
      <c r="P58">
        <f>_xlfn.XLOOKUP(B58,'[1]march-2025'!$A:$A,'[1]march-2025'!$H:$H,0,0)</f>
        <v>2500</v>
      </c>
      <c r="Q58">
        <f>_xlfn.XLOOKUP(B58,'[1]march-2025'!$A:$A,'[1]march-2025'!$I:$I,0,0)</f>
        <v>0</v>
      </c>
      <c r="R58">
        <f>IF($F58="YES",0,IF(O58&gt;40000,200,IF(O58&gt;25000,150,IF(O58&gt;15000,130,IF(O58&gt;10000,110,0)))))</f>
        <v>200</v>
      </c>
      <c r="S58">
        <f>O58-P58-Q58-R58</f>
        <v>40010</v>
      </c>
      <c r="T58">
        <f>_xlfn.XLOOKUP(B58,'[2]april-2025'!$A:$A,'[2]april-2025'!$C:$C,0,0)</f>
        <v>33500</v>
      </c>
      <c r="U58">
        <f>T58*0.18</f>
        <v>6030</v>
      </c>
      <c r="V58">
        <f>T58*0.12</f>
        <v>4020</v>
      </c>
      <c r="W58">
        <f>_xlfn.XLOOKUP(B58,'[2]april-2025'!$A:$A,'[2]april-2025'!$D:$D,0,0)</f>
        <v>0</v>
      </c>
      <c r="X58">
        <f>_xlfn.XLOOKUP(B58,'[2]april-2025'!$A:$A,'[2]april-2025'!$G:$G,0,0)</f>
        <v>500</v>
      </c>
      <c r="Y58">
        <f>IF(T58&gt;0,SUM(T58:X58),0)</f>
        <v>44050</v>
      </c>
      <c r="Z58">
        <f>_xlfn.XLOOKUP(B58,'[2]april-2025'!$A:$A,'[2]april-2025'!$H:$H,0,0)</f>
        <v>2500</v>
      </c>
      <c r="AA58">
        <f>_xlfn.XLOOKUP(B58,'[2]april-2025'!$A:$A,'[2]april-2025'!$I:$I,0,0)</f>
        <v>0</v>
      </c>
      <c r="AB58">
        <f>IF($F58="YES",0,IF(Y58&gt;40000,200,IF(Y58&gt;25000,150,IF(Y58&gt;15000,130,IF(Y58&gt;10000,110,0)))))</f>
        <v>200</v>
      </c>
      <c r="AC58">
        <f>Y58-Z58-AA58-AB58</f>
        <v>41350</v>
      </c>
      <c r="AD58">
        <f>_xlfn.XLOOKUP(B58,'[3]may-2025'!$A:$A,'[3]may-2025'!$C:$C,0,0)</f>
        <v>33500</v>
      </c>
      <c r="AE58">
        <f>AD58*0.18</f>
        <v>6030</v>
      </c>
      <c r="AF58">
        <f>AD58*0.12</f>
        <v>4020</v>
      </c>
      <c r="AG58">
        <f>_xlfn.XLOOKUP(B58,'[3]may-2025'!$A:$A,'[3]may-2025'!$D:$D,0,0)</f>
        <v>0</v>
      </c>
      <c r="AH58">
        <f>_xlfn.XLOOKUP(B58,'[3]may-2025'!$A:$A,'[3]may-2025'!$G:$G,0,0)</f>
        <v>500</v>
      </c>
      <c r="AI58">
        <f>IF(AD58&gt;0,SUM(AD58:AH58),0)</f>
        <v>44050</v>
      </c>
      <c r="AJ58">
        <f>_xlfn.XLOOKUP(B58,'[3]may-2025'!$A:$A,'[3]may-2025'!$H:$H,0,0)</f>
        <v>2500</v>
      </c>
      <c r="AK58">
        <f>_xlfn.XLOOKUP(B58,'[3]may-2025'!$A:$A,'[3]may-2025'!$I:$I,0,0)</f>
        <v>0</v>
      </c>
      <c r="AL58">
        <f>IF($F58="YES",0,IF(AI58&gt;40000,200,IF(AI58&gt;25000,150,IF(AI58&gt;15000,130,IF(AI58&gt;10000,110,0)))))</f>
        <v>200</v>
      </c>
      <c r="AM58">
        <f>AI58-AJ58-AK58-AL58</f>
        <v>41350</v>
      </c>
      <c r="AN58">
        <f>_xlfn.XLOOKUP(B58,'[4]june-2025'!$A:$A,'[4]june-2025'!$C:$C,0,0)</f>
        <v>33500</v>
      </c>
      <c r="AO58">
        <f>AN58*0.18</f>
        <v>6030</v>
      </c>
      <c r="AP58">
        <f>AN58*0.12</f>
        <v>4020</v>
      </c>
      <c r="AQ58">
        <f>_xlfn.XLOOKUP(B58,'[4]june-2025'!$A:$A,'[4]june-2025'!$D:$D,0,0)</f>
        <v>0</v>
      </c>
      <c r="AR58">
        <f>_xlfn.XLOOKUP(B58,'[4]june-2025'!$A:$A,'[4]june-2025'!$G:$G,0,0)</f>
        <v>500</v>
      </c>
      <c r="AS58">
        <f>IF(AN58&gt;0,SUM(AN58:AR58),0)</f>
        <v>44050</v>
      </c>
      <c r="AT58">
        <f>_xlfn.XLOOKUP(B58,'[4]june-2025'!$A:$A,'[4]june-2025'!$H:$H,0,0)</f>
        <v>2500</v>
      </c>
      <c r="AU58">
        <f>_xlfn.XLOOKUP(B58,'[4]june-2025'!$A:$A,'[4]june-2025'!$I:$I,0,0)</f>
        <v>0</v>
      </c>
      <c r="AV58">
        <f>IF($F58="YES",0,IF(AS58&gt;40000,200,IF(AS58&gt;25000,150,IF(AS58&gt;15000,130,IF(AS58&gt;10000,110,0)))))</f>
        <v>200</v>
      </c>
      <c r="AW58">
        <f>AS58-AT58-AU58-AV58</f>
        <v>41350</v>
      </c>
      <c r="AX58">
        <f>_xlfn.XLOOKUP(B58,'[5]july-2025'!$A:$A,'[5]july-2025'!$C:$C,0,0)</f>
        <v>34500</v>
      </c>
      <c r="AY58">
        <f>AX58*0.18</f>
        <v>6210</v>
      </c>
      <c r="AZ58">
        <v>0</v>
      </c>
      <c r="BA58">
        <f>AX58*0.12</f>
        <v>4140</v>
      </c>
      <c r="BB58">
        <f>_xlfn.XLOOKUP(B58,'[5]july-2025'!$A:$A,'[5]july-2025'!$D:$D,0,0)</f>
        <v>0</v>
      </c>
      <c r="BC58">
        <f>_xlfn.XLOOKUP(B58,'[5]july-2025'!$A:$A,'[5]july-2025'!$G:$G,0,0)</f>
        <v>500</v>
      </c>
      <c r="BD58">
        <f>IF(AX58&gt;0,SUM(AX58:BC58),0)</f>
        <v>45350</v>
      </c>
      <c r="BE58">
        <f>_xlfn.XLOOKUP(B58,'[5]july-2025'!$A:$A,'[5]july-2025'!$H:$H,0,0)</f>
        <v>2500</v>
      </c>
      <c r="BF58">
        <f>_xlfn.XLOOKUP(B58,'[5]july-2025'!$A:$A,'[5]july-2025'!$I:$I,0,0)</f>
        <v>0</v>
      </c>
      <c r="BG58">
        <f>IF($F58="YES",0,IF(BD58&gt;40000,200,IF(BD58&gt;25000,150,IF(BD58&gt;15000,130,IF(BD58&gt;10000,110,0)))))</f>
        <v>200</v>
      </c>
      <c r="BH58">
        <f>BD58-BE58-BF58-BG58</f>
        <v>42650</v>
      </c>
      <c r="BI58">
        <f>_xlfn.XLOOKUP(B58,'[6]august-2025'!$A:$A,'[6]august-2025'!$C:$C,0,0)</f>
        <v>34500</v>
      </c>
      <c r="BJ58">
        <f>BI58*0.18</f>
        <v>6210</v>
      </c>
      <c r="BK58">
        <f>BI58*0.12</f>
        <v>4140</v>
      </c>
      <c r="BL58">
        <f>_xlfn.XLOOKUP(B58,'[6]august-2025'!$A:$A,'[6]august-2025'!$D:$D,0,0)</f>
        <v>0</v>
      </c>
      <c r="BM58">
        <f>_xlfn.XLOOKUP(B58,'[6]august-2025'!$A:$A,'[6]august-2025'!$G:$G,0,0)</f>
        <v>500</v>
      </c>
      <c r="BN58">
        <f>IF(BI58&gt;0,SUM(BI58:BM58),0)</f>
        <v>45350</v>
      </c>
      <c r="BO58">
        <f>_xlfn.XLOOKUP(B58,'[6]august-2025'!$A:$A,'[6]august-2025'!$H:$H,0,0)</f>
        <v>2500</v>
      </c>
      <c r="BP58">
        <f>_xlfn.XLOOKUP(B58,'[6]august-2025'!$A:$A,'[6]august-2025'!$I:$I,0,0)</f>
        <v>0</v>
      </c>
      <c r="BQ58">
        <f>IF($F58="YES",0,IF(BN58&gt;40000,200,IF(BN58&gt;25000,150,IF(BN58&gt;15000,130,IF(BN58&gt;10000,110,0)))))</f>
        <v>200</v>
      </c>
      <c r="BR58">
        <f>BN58-BO58-BP58-BQ58</f>
        <v>42650</v>
      </c>
      <c r="BS58">
        <f>_xlfn.XLOOKUP(B58,'[7]september-2025'!$A:$A,'[7]september-2025'!$C:$C,0,0)</f>
        <v>34500</v>
      </c>
      <c r="BT58">
        <f>BS58*0.18</f>
        <v>6210</v>
      </c>
      <c r="BU58">
        <f>BS58*0.12</f>
        <v>4140</v>
      </c>
      <c r="BV58">
        <f>_xlfn.XLOOKUP(B58,'[7]september-2025'!$A:$A,'[7]september-2025'!$D:$D,0,0)</f>
        <v>0</v>
      </c>
      <c r="BW58">
        <f>_xlfn.XLOOKUP(B58,'[7]september-2025'!$A:$A,'[7]september-2025'!$G:$G,0,0)</f>
        <v>500</v>
      </c>
      <c r="BX58">
        <f>IF(BS58&gt;0,SUM(BS58:BW58),0)</f>
        <v>45350</v>
      </c>
      <c r="BY58">
        <f>_xlfn.XLOOKUP(B58,'[7]september-2025'!$A:$A,'[7]september-2025'!$H:$H,0,0)</f>
        <v>2500</v>
      </c>
      <c r="BZ58">
        <f>_xlfn.XLOOKUP(B58,'[7]september-2025'!$A:$A,'[7]september-2025'!$I:$I,0,0)</f>
        <v>0</v>
      </c>
      <c r="CA58">
        <f>IF($F58="YES",0,IF(BX58&gt;40000,200,IF(BX58&gt;25000,150,IF(BX58&gt;15000,130,IF(BX58&gt;10000,110,0)))))</f>
        <v>200</v>
      </c>
      <c r="CB58">
        <f>BX58-BY58-BZ58-CA58</f>
        <v>42650</v>
      </c>
      <c r="CC58">
        <f>_xlfn.XLOOKUP(B58,'[8]october-2025'!$A:$A,'[8]october-2025'!$C:$C,0,0)</f>
        <v>34500</v>
      </c>
      <c r="CD58">
        <f>CC58*0.18</f>
        <v>6210</v>
      </c>
      <c r="CE58">
        <f>CC58*0.12</f>
        <v>4140</v>
      </c>
      <c r="CF58">
        <f>_xlfn.XLOOKUP(B58,'[8]october-2025'!$A:$A,'[8]october-2025'!$D:$D,0,0)</f>
        <v>0</v>
      </c>
      <c r="CG58">
        <f>_xlfn.XLOOKUP(B58,'[8]october-2025'!$A:$A,'[8]october-2025'!$G:$G,0,0)</f>
        <v>500</v>
      </c>
      <c r="CH58">
        <f>IF(CC58&gt;0,SUM(CC58:CG58),0)</f>
        <v>45350</v>
      </c>
      <c r="CI58">
        <f>_xlfn.XLOOKUP(B58,'[8]october-2025'!$A:$A,'[8]october-2025'!$H:$H,0,0)</f>
        <v>2500</v>
      </c>
      <c r="CJ58">
        <f>_xlfn.XLOOKUP(B58,'[8]october-2025'!$A:$A,'[8]october-2025'!$I:$I,0,0)</f>
        <v>0</v>
      </c>
      <c r="CK58">
        <f>IF($F58="YES",0,IF(CH58&gt;40000,200,IF(CH58&gt;25000,150,IF(CH58&gt;15000,130,IF(CH58&gt;10000,110,0)))))</f>
        <v>200</v>
      </c>
      <c r="CL58">
        <f>CH58-CI58-CJ58-CK58</f>
        <v>42650</v>
      </c>
      <c r="CM58">
        <f>_xlfn.XLOOKUP(B58,'[9]november-2025'!$A:$A,'[9]november-2025'!$C:$C,0,0)</f>
        <v>34500</v>
      </c>
      <c r="CN58">
        <f>CM58*0.18</f>
        <v>6210</v>
      </c>
      <c r="CO58">
        <f>CM58*0.12</f>
        <v>4140</v>
      </c>
      <c r="CP58">
        <f>_xlfn.XLOOKUP(B58,'[9]november-2025'!$A:$A,'[9]november-2025'!$D:$D,0,0)</f>
        <v>0</v>
      </c>
      <c r="CQ58">
        <f>_xlfn.XLOOKUP(B58,'[9]november-2025'!$A:$A,'[9]november-2025'!$G:$G,0,0)</f>
        <v>500</v>
      </c>
      <c r="CR58">
        <f>IF(CM58&gt;0,SUM(CM58:CQ58),0)</f>
        <v>45350</v>
      </c>
      <c r="CS58">
        <f>_xlfn.XLOOKUP(B58,'[9]november-2025'!$A:$A,'[9]november-2025'!$H:$H,0,0)</f>
        <v>2500</v>
      </c>
      <c r="CT58">
        <f>_xlfn.XLOOKUP(B58,'[9]november-2025'!$A:$A,'[9]november-2025'!$I:$I,0,0)</f>
        <v>0</v>
      </c>
      <c r="CU58">
        <f>IF($F58="YES",0,IF(CR58&gt;40000,200,IF(CR58&gt;25000,150,IF(CR58&gt;15000,130,IF(CR58&gt;10000,110,0)))))</f>
        <v>200</v>
      </c>
      <c r="CV58">
        <f>CR58-CS58-CT58-CU58</f>
        <v>42650</v>
      </c>
      <c r="CW58">
        <f>_xlfn.XLOOKUP(B58,'[10]december-2025'!$A:$A,'[10]december-2025'!$C:$C,0,0)</f>
        <v>34500</v>
      </c>
      <c r="CX58">
        <f>ROUND(CW58*0.18,0)</f>
        <v>6210</v>
      </c>
      <c r="CY58">
        <f>ROUND(CW58*0.12,0)</f>
        <v>4140</v>
      </c>
      <c r="CZ58">
        <f>_xlfn.XLOOKUP(B58,'[10]december-2025'!$A:$A,'[10]december-2025'!$D:$D,0,0)</f>
        <v>0</v>
      </c>
      <c r="DA58">
        <f>_xlfn.XLOOKUP(B58,'[10]december-2025'!$A:$A,'[10]december-2025'!$G:$G,0,0)</f>
        <v>500</v>
      </c>
      <c r="DB58">
        <f>IF(CW58&gt;0,SUM(CW58:DA58),0)</f>
        <v>45350</v>
      </c>
      <c r="DC58">
        <f>_xlfn.XLOOKUP(B58,'[10]december-2025'!$A:$A,'[10]december-2025'!$H:$H,0,0)</f>
        <v>2500</v>
      </c>
      <c r="DD58">
        <f>_xlfn.XLOOKUP(B58,'[10]december-2025'!$A:$A,'[10]december-2025'!$I:$I,0,0)</f>
        <v>0</v>
      </c>
      <c r="DE58">
        <f>IF($F58="YES",0,IF(DB58&gt;40000,200,IF(DB58&gt;25000,150,IF(DB58&gt;15000,130,IF(DB58&gt;10000,110,0)))))</f>
        <v>200</v>
      </c>
      <c r="DF58">
        <f>DB58-DC58-DD58-DE58</f>
        <v>42650</v>
      </c>
      <c r="DG58">
        <f>_xlfn.XLOOKUP(B58,'[11]january-2026'!$A:$A,'[11]january-2026'!$C:$C,0,0)</f>
        <v>34500</v>
      </c>
      <c r="DH58">
        <f>DG58*0.18</f>
        <v>6210</v>
      </c>
      <c r="DI58">
        <f>DG58*0.12</f>
        <v>4140</v>
      </c>
      <c r="DJ58">
        <f>_xlfn.XLOOKUP(B58,'[11]january-2026'!$A:$A,'[11]january-2026'!$D:$D,0,0)</f>
        <v>0</v>
      </c>
      <c r="DK58">
        <f>_xlfn.XLOOKUP(B58,'[11]january-2026'!$A:$A,'[11]january-2026'!$G:$G,0,0)</f>
        <v>500</v>
      </c>
      <c r="DL58">
        <f>IF(DG58&gt;0,SUM(DG58:DK58),0)</f>
        <v>45350</v>
      </c>
      <c r="DM58">
        <f>_xlfn.XLOOKUP(B58,'[11]january-2026'!$A:$A,'[11]january-2026'!$H:$H,0,0)</f>
        <v>2500</v>
      </c>
      <c r="DN58">
        <f>_xlfn.XLOOKUP(B58,'[11]january-2026'!$A:$A,'[11]january-2026'!$I:$I,0,0)</f>
        <v>0</v>
      </c>
      <c r="DO58">
        <f>IF($F58="YES",0,IF(DL58&gt;40000,200,IF(DL58&gt;25000,150,IF(DL58&gt;15000,130,IF(DL58&gt;10000,110,0)))))</f>
        <v>200</v>
      </c>
      <c r="DP58">
        <f>DL58-DM58-DN58-DO58</f>
        <v>42650</v>
      </c>
      <c r="DQ58">
        <f>_xlfn.XLOOKUP(B58,'[12]february-2026'!$A:$A,'[12]february-2026'!$C:$C,0,0)</f>
        <v>34500</v>
      </c>
      <c r="DR58">
        <f>DQ58*0.18</f>
        <v>6210</v>
      </c>
      <c r="DS58">
        <f>DQ58*0.12</f>
        <v>4140</v>
      </c>
      <c r="DT58">
        <f>_xlfn.XLOOKUP(B58,'[12]february-2026'!$A:$A,'[12]february-2026'!$D:$D,0,0)</f>
        <v>0</v>
      </c>
      <c r="DU58">
        <f>_xlfn.XLOOKUP(B58,'[12]february-2026'!$A:$A,'[12]february-2026'!$G:$G,0,0)</f>
        <v>500</v>
      </c>
      <c r="DV58">
        <f>IF(DQ58&gt;0,SUM(DQ58:DU58),0)</f>
        <v>45350</v>
      </c>
      <c r="DW58">
        <f>_xlfn.XLOOKUP(B58,'[12]february-2026'!$A:$A,'[12]february-2026'!$H:$H,0,0)</f>
        <v>2500</v>
      </c>
      <c r="DX58">
        <f>_xlfn.XLOOKUP(B58,'[12]february-2026'!$A:$A,'[12]february-2026'!$I:$I,0,0)</f>
        <v>0</v>
      </c>
      <c r="DY58">
        <f>IF($F58="YES",0,IF(DV58&gt;40000,200,IF(DV58&gt;25000,150,IF(DV58&gt;15000,130,IF(DV58&gt;10000,110,0)))))</f>
        <v>200</v>
      </c>
      <c r="DZ58">
        <f>DV58-DW58-DX58-DY58</f>
        <v>42650</v>
      </c>
      <c r="EA58">
        <f>DV58+DL58+DB58+CR58+CH58+BX58+BN58+BD58+AS58+AI58+Y58+O58+H58+I58</f>
        <v>544460</v>
      </c>
      <c r="EB58">
        <f>DY58+DO58+DE58+CU58+CK58+CA58+BQ58+BG58+AV58+AL58+AB58+R58</f>
        <v>2400</v>
      </c>
      <c r="EC58">
        <f>IF(EA58&gt;0,50000,0)</f>
        <v>50000</v>
      </c>
      <c r="ED58">
        <v>0</v>
      </c>
      <c r="EE58">
        <f>EA58-EB58-EC58</f>
        <v>492060</v>
      </c>
      <c r="EF58">
        <f>DW58+DM58+DC58+CS58+CI58+BY58+BO58+BE58+AT58+AJ58+Z58+P58</f>
        <v>30000</v>
      </c>
      <c r="EG58">
        <f>DX58+DN58+DD58+CT58+CJ58+BZ58+BP58+BF58+AU58+AK58+AA58+Q58</f>
        <v>0</v>
      </c>
      <c r="EH58">
        <v>0</v>
      </c>
      <c r="EI58">
        <v>0</v>
      </c>
      <c r="EJ58">
        <v>0</v>
      </c>
      <c r="EK58">
        <v>0</v>
      </c>
      <c r="EL58">
        <v>0</v>
      </c>
      <c r="EM58">
        <v>0</v>
      </c>
      <c r="EN58">
        <v>0</v>
      </c>
      <c r="EO58">
        <v>0</v>
      </c>
      <c r="EP58">
        <v>0</v>
      </c>
      <c r="EQ58">
        <v>0</v>
      </c>
      <c r="ER58">
        <f>SUM(EF58:EQ58)</f>
        <v>30000</v>
      </c>
      <c r="ES58">
        <f>IF(ER58&gt;=150000,150000,ER58)</f>
        <v>30000</v>
      </c>
      <c r="ET58">
        <f>EE58-ES58</f>
        <v>462060</v>
      </c>
      <c r="EU58">
        <v>0</v>
      </c>
      <c r="EV58">
        <v>0</v>
      </c>
      <c r="EW58">
        <v>0</v>
      </c>
      <c r="EX58">
        <v>0</v>
      </c>
      <c r="EY58">
        <v>0</v>
      </c>
      <c r="EZ58">
        <v>0</v>
      </c>
      <c r="FA58">
        <v>0</v>
      </c>
      <c r="FB58">
        <f>SUM(EU58:FA58)+(IF(F58="YES",50000,0))</f>
        <v>0</v>
      </c>
      <c r="FC58">
        <f>ET58-FB58</f>
        <v>462060</v>
      </c>
      <c r="FD58">
        <f>ROUND(IF(FC58&gt;0,IF(FC58&gt;500000,12500,(FC58-250000)*0.05),0),0)</f>
        <v>10603</v>
      </c>
      <c r="FE58">
        <f>IF(ROUND(IF(FC58&gt;0,IF(FC58&gt;1000000,25000,(FC58-500000)*0.2),0),0)&lt;0,0,ROUND(IF(FC58&gt;0,IF(FC58&gt;1000000,25000,(FC58-500000)*0.2),0),0))</f>
        <v>0</v>
      </c>
      <c r="FF58">
        <f>FD58+FE58</f>
        <v>10603</v>
      </c>
      <c r="FG58">
        <f>IF(FF58&lt;12500,0,FF58)</f>
        <v>0</v>
      </c>
      <c r="FH58">
        <f>FG58*0.04</f>
        <v>0</v>
      </c>
      <c r="FI58">
        <f>ROUND(FH58+FG58,0)</f>
        <v>0</v>
      </c>
      <c r="FJ58">
        <v>0</v>
      </c>
      <c r="FK58">
        <f>FI58-FJ58</f>
        <v>0</v>
      </c>
      <c r="FL58" t="b">
        <f>IF(EA58&gt;500000,TRUE,FALSE)</f>
        <v>1</v>
      </c>
      <c r="FM58">
        <f ca="1">IF(FL58,RANDBETWEEN(500,1000),RANDBETWEEN(1000,3000))</f>
        <v>892</v>
      </c>
      <c r="FN58">
        <f ca="1">EA58+FM58</f>
        <v>545352</v>
      </c>
      <c r="FO58">
        <f>IF(EA58&gt;0,75000,0)</f>
        <v>75000</v>
      </c>
      <c r="FP58">
        <f ca="1">FN58-FO58</f>
        <v>470352</v>
      </c>
      <c r="FQ58">
        <f ca="1">IF(FP58&gt;2400000,FP58-2400000,0)</f>
        <v>0</v>
      </c>
      <c r="FR58">
        <f ca="1">FQ58*0.3</f>
        <v>0</v>
      </c>
      <c r="FS58">
        <f ca="1">IF(FP58&gt;2000000,FP58-2000000,0)</f>
        <v>0</v>
      </c>
      <c r="FT58">
        <f ca="1">FS58*0.25</f>
        <v>0</v>
      </c>
      <c r="FU58">
        <f ca="1">IF(FP58&gt;1600000,FP58-1600000-FQ58,0)</f>
        <v>0</v>
      </c>
      <c r="FV58">
        <f ca="1">FU58*0.2</f>
        <v>0</v>
      </c>
      <c r="FW58">
        <f ca="1">IF(FP58&gt;1200000,FP58-1200000-IF(F58="YES",50000,0)-FU58,0)</f>
        <v>0</v>
      </c>
      <c r="FX58">
        <f ca="1">FW58*0.15</f>
        <v>0</v>
      </c>
      <c r="FY58">
        <f ca="1">IF(FP58&gt;800000,FP58-800000-FQ58-FU58-FW58,0)</f>
        <v>0</v>
      </c>
      <c r="FZ58">
        <f ca="1">FY58*0.1</f>
        <v>0</v>
      </c>
      <c r="GA58">
        <f ca="1">IF(FP58&gt;400000,FP58-400000-FQ58-FU58-FW58-FY58,0)</f>
        <v>70352</v>
      </c>
      <c r="GB58">
        <f ca="1">GA58*0.05</f>
        <v>3517.6000000000004</v>
      </c>
      <c r="GC58">
        <f ca="1">ROUND(FR58+FT58+FV58+FX58+FZ58+GB58,0)</f>
        <v>3518</v>
      </c>
      <c r="GD58">
        <f ca="1">IF(FP58&gt;1200000,FP58,0)</f>
        <v>0</v>
      </c>
      <c r="GE58">
        <f ca="1">IF(FP58&gt;1200000,GD58-1200000,0)</f>
        <v>0</v>
      </c>
      <c r="GF58">
        <f ca="1">IF(FP58&lt;1200001,MIN(GC58,60000),0)</f>
        <v>3518</v>
      </c>
      <c r="GG58">
        <f ca="1">IF(FP58&gt;1200000,GC58-GE58,0)</f>
        <v>0</v>
      </c>
      <c r="GH58" t="b">
        <f ca="1">IF(GG58&gt;0,TRUE,FALSE)</f>
        <v>0</v>
      </c>
      <c r="GI58">
        <f ca="1">IF(GH58,GG58,0)</f>
        <v>0</v>
      </c>
      <c r="GJ58">
        <f ca="1">GF58+GI58</f>
        <v>3518</v>
      </c>
      <c r="GK58">
        <f ca="1">ROUND(GC58-GJ58,0)</f>
        <v>0</v>
      </c>
      <c r="GL58">
        <f ca="1">GK58*0.04</f>
        <v>0</v>
      </c>
      <c r="GM58">
        <f ca="1">ROUNDUP(GK58+GL58,0)</f>
        <v>0</v>
      </c>
    </row>
    <row r="59" spans="1:195" x14ac:dyDescent="0.25">
      <c r="A59">
        <f>_xlfn.AGGREGATE(3,5,$B$2:B59)</f>
        <v>58</v>
      </c>
      <c r="B59" t="s">
        <v>236</v>
      </c>
      <c r="C59" t="s">
        <v>237</v>
      </c>
      <c r="D59" t="s">
        <v>767</v>
      </c>
      <c r="E59" t="s">
        <v>833</v>
      </c>
      <c r="F59" t="s">
        <v>959</v>
      </c>
      <c r="G59" t="s">
        <v>905</v>
      </c>
      <c r="H59">
        <f>IF(_xlfn.DAYS("31-03-2025",G59)&gt;=180,6800,0)</f>
        <v>6800</v>
      </c>
      <c r="I59">
        <f>_xlfn.XLOOKUP(B59,'[1]march-2025'!$A:$A,'[1]march-2025'!$J:$J,0,0)</f>
        <v>0</v>
      </c>
      <c r="J59">
        <f>_xlfn.XLOOKUP(B59,'[1]march-2025'!$A:$A,'[1]march-2025'!$C:$C,0,0)</f>
        <v>33500</v>
      </c>
      <c r="K59">
        <f>J59*0.14</f>
        <v>4690</v>
      </c>
      <c r="L59">
        <f>J59*0.12</f>
        <v>4020</v>
      </c>
      <c r="M59">
        <f>_xlfn.XLOOKUP(B59,'[1]march-2025'!$A:$A,'[1]march-2025'!$D:$D,0,0)</f>
        <v>0</v>
      </c>
      <c r="N59">
        <f>_xlfn.XLOOKUP(B59,'[1]march-2025'!$A:$A,'[1]march-2025'!$G:$G,0,0)</f>
        <v>500</v>
      </c>
      <c r="O59">
        <f>IF(J59&gt;0,SUM(J59:N59),0)</f>
        <v>42710</v>
      </c>
      <c r="P59">
        <f>_xlfn.XLOOKUP(B59,'[1]march-2025'!$A:$A,'[1]march-2025'!$H:$H,0,0)</f>
        <v>2500</v>
      </c>
      <c r="Q59">
        <f>_xlfn.XLOOKUP(B59,'[1]march-2025'!$A:$A,'[1]march-2025'!$I:$I,0,0)</f>
        <v>0</v>
      </c>
      <c r="R59">
        <f>IF($F59="YES",0,IF(O59&gt;40000,200,IF(O59&gt;25000,150,IF(O59&gt;15000,130,IF(O59&gt;10000,110,0)))))</f>
        <v>200</v>
      </c>
      <c r="S59">
        <f>O59-P59-Q59-R59</f>
        <v>40010</v>
      </c>
      <c r="T59">
        <f>_xlfn.XLOOKUP(B59,'[2]april-2025'!$A:$A,'[2]april-2025'!$C:$C,0,0)</f>
        <v>33500</v>
      </c>
      <c r="U59">
        <f>T59*0.18</f>
        <v>6030</v>
      </c>
      <c r="V59">
        <f>T59*0.12</f>
        <v>4020</v>
      </c>
      <c r="W59">
        <f>_xlfn.XLOOKUP(B59,'[2]april-2025'!$A:$A,'[2]april-2025'!$D:$D,0,0)</f>
        <v>0</v>
      </c>
      <c r="X59">
        <f>_xlfn.XLOOKUP(B59,'[2]april-2025'!$A:$A,'[2]april-2025'!$G:$G,0,0)</f>
        <v>500</v>
      </c>
      <c r="Y59">
        <f>IF(T59&gt;0,SUM(T59:X59),0)</f>
        <v>44050</v>
      </c>
      <c r="Z59">
        <f>_xlfn.XLOOKUP(B59,'[2]april-2025'!$A:$A,'[2]april-2025'!$H:$H,0,0)</f>
        <v>2500</v>
      </c>
      <c r="AA59">
        <f>_xlfn.XLOOKUP(B59,'[2]april-2025'!$A:$A,'[2]april-2025'!$I:$I,0,0)</f>
        <v>0</v>
      </c>
      <c r="AB59">
        <f>IF($F59="YES",0,IF(Y59&gt;40000,200,IF(Y59&gt;25000,150,IF(Y59&gt;15000,130,IF(Y59&gt;10000,110,0)))))</f>
        <v>200</v>
      </c>
      <c r="AC59">
        <f>Y59-Z59-AA59-AB59</f>
        <v>41350</v>
      </c>
      <c r="AD59">
        <f>_xlfn.XLOOKUP(B59,'[3]may-2025'!$A:$A,'[3]may-2025'!$C:$C,0,0)</f>
        <v>33500</v>
      </c>
      <c r="AE59">
        <f>AD59*0.18</f>
        <v>6030</v>
      </c>
      <c r="AF59">
        <f>AD59*0.12</f>
        <v>4020</v>
      </c>
      <c r="AG59">
        <f>_xlfn.XLOOKUP(B59,'[3]may-2025'!$A:$A,'[3]may-2025'!$D:$D,0,0)</f>
        <v>0</v>
      </c>
      <c r="AH59">
        <f>_xlfn.XLOOKUP(B59,'[3]may-2025'!$A:$A,'[3]may-2025'!$G:$G,0,0)</f>
        <v>500</v>
      </c>
      <c r="AI59">
        <f>IF(AD59&gt;0,SUM(AD59:AH59),0)</f>
        <v>44050</v>
      </c>
      <c r="AJ59">
        <f>_xlfn.XLOOKUP(B59,'[3]may-2025'!$A:$A,'[3]may-2025'!$H:$H,0,0)</f>
        <v>2500</v>
      </c>
      <c r="AK59">
        <f>_xlfn.XLOOKUP(B59,'[3]may-2025'!$A:$A,'[3]may-2025'!$I:$I,0,0)</f>
        <v>0</v>
      </c>
      <c r="AL59">
        <f>IF($F59="YES",0,IF(AI59&gt;40000,200,IF(AI59&gt;25000,150,IF(AI59&gt;15000,130,IF(AI59&gt;10000,110,0)))))</f>
        <v>200</v>
      </c>
      <c r="AM59">
        <f>AI59-AJ59-AK59-AL59</f>
        <v>41350</v>
      </c>
      <c r="AN59">
        <f>_xlfn.XLOOKUP(B59,'[4]june-2025'!$A:$A,'[4]june-2025'!$C:$C,0,0)</f>
        <v>33500</v>
      </c>
      <c r="AO59">
        <f>AN59*0.18</f>
        <v>6030</v>
      </c>
      <c r="AP59">
        <f>AN59*0.12</f>
        <v>4020</v>
      </c>
      <c r="AQ59">
        <f>_xlfn.XLOOKUP(B59,'[4]june-2025'!$A:$A,'[4]june-2025'!$D:$D,0,0)</f>
        <v>0</v>
      </c>
      <c r="AR59">
        <f>_xlfn.XLOOKUP(B59,'[4]june-2025'!$A:$A,'[4]june-2025'!$G:$G,0,0)</f>
        <v>500</v>
      </c>
      <c r="AS59">
        <f>IF(AN59&gt;0,SUM(AN59:AR59),0)</f>
        <v>44050</v>
      </c>
      <c r="AT59">
        <f>_xlfn.XLOOKUP(B59,'[4]june-2025'!$A:$A,'[4]june-2025'!$H:$H,0,0)</f>
        <v>2500</v>
      </c>
      <c r="AU59">
        <f>_xlfn.XLOOKUP(B59,'[4]june-2025'!$A:$A,'[4]june-2025'!$I:$I,0,0)</f>
        <v>0</v>
      </c>
      <c r="AV59">
        <f>IF($F59="YES",0,IF(AS59&gt;40000,200,IF(AS59&gt;25000,150,IF(AS59&gt;15000,130,IF(AS59&gt;10000,110,0)))))</f>
        <v>200</v>
      </c>
      <c r="AW59">
        <f>AS59-AT59-AU59-AV59</f>
        <v>41350</v>
      </c>
      <c r="AX59">
        <f>_xlfn.XLOOKUP(B59,'[5]july-2025'!$A:$A,'[5]july-2025'!$C:$C,0,0)</f>
        <v>34500</v>
      </c>
      <c r="AY59">
        <f>AX59*0.18</f>
        <v>6210</v>
      </c>
      <c r="AZ59">
        <v>0</v>
      </c>
      <c r="BA59">
        <f>AX59*0.12</f>
        <v>4140</v>
      </c>
      <c r="BB59">
        <f>_xlfn.XLOOKUP(B59,'[5]july-2025'!$A:$A,'[5]july-2025'!$D:$D,0,0)</f>
        <v>0</v>
      </c>
      <c r="BC59">
        <f>_xlfn.XLOOKUP(B59,'[5]july-2025'!$A:$A,'[5]july-2025'!$G:$G,0,0)</f>
        <v>500</v>
      </c>
      <c r="BD59">
        <f>IF(AX59&gt;0,SUM(AX59:BC59),0)</f>
        <v>45350</v>
      </c>
      <c r="BE59">
        <f>_xlfn.XLOOKUP(B59,'[5]july-2025'!$A:$A,'[5]july-2025'!$H:$H,0,0)</f>
        <v>2500</v>
      </c>
      <c r="BF59">
        <f>_xlfn.XLOOKUP(B59,'[5]july-2025'!$A:$A,'[5]july-2025'!$I:$I,0,0)</f>
        <v>0</v>
      </c>
      <c r="BG59">
        <f>IF($F59="YES",0,IF(BD59&gt;40000,200,IF(BD59&gt;25000,150,IF(BD59&gt;15000,130,IF(BD59&gt;10000,110,0)))))</f>
        <v>200</v>
      </c>
      <c r="BH59">
        <f>BD59-BE59-BF59-BG59</f>
        <v>42650</v>
      </c>
      <c r="BI59">
        <f>_xlfn.XLOOKUP(B59,'[6]august-2025'!$A:$A,'[6]august-2025'!$C:$C,0,0)</f>
        <v>34500</v>
      </c>
      <c r="BJ59">
        <f>BI59*0.18</f>
        <v>6210</v>
      </c>
      <c r="BK59">
        <f>BI59*0.12</f>
        <v>4140</v>
      </c>
      <c r="BL59">
        <f>_xlfn.XLOOKUP(B59,'[6]august-2025'!$A:$A,'[6]august-2025'!$D:$D,0,0)</f>
        <v>0</v>
      </c>
      <c r="BM59">
        <f>_xlfn.XLOOKUP(B59,'[6]august-2025'!$A:$A,'[6]august-2025'!$G:$G,0,0)</f>
        <v>500</v>
      </c>
      <c r="BN59">
        <f>IF(BI59&gt;0,SUM(BI59:BM59),0)</f>
        <v>45350</v>
      </c>
      <c r="BO59">
        <f>_xlfn.XLOOKUP(B59,'[6]august-2025'!$A:$A,'[6]august-2025'!$H:$H,0,0)</f>
        <v>2500</v>
      </c>
      <c r="BP59">
        <f>_xlfn.XLOOKUP(B59,'[6]august-2025'!$A:$A,'[6]august-2025'!$I:$I,0,0)</f>
        <v>0</v>
      </c>
      <c r="BQ59">
        <f>IF($F59="YES",0,IF(BN59&gt;40000,200,IF(BN59&gt;25000,150,IF(BN59&gt;15000,130,IF(BN59&gt;10000,110,0)))))</f>
        <v>200</v>
      </c>
      <c r="BR59">
        <f>BN59-BO59-BP59-BQ59</f>
        <v>42650</v>
      </c>
      <c r="BS59">
        <f>_xlfn.XLOOKUP(B59,'[7]september-2025'!$A:$A,'[7]september-2025'!$C:$C,0,0)</f>
        <v>34500</v>
      </c>
      <c r="BT59">
        <f>BS59*0.18</f>
        <v>6210</v>
      </c>
      <c r="BU59">
        <f>BS59*0.12</f>
        <v>4140</v>
      </c>
      <c r="BV59">
        <f>_xlfn.XLOOKUP(B59,'[7]september-2025'!$A:$A,'[7]september-2025'!$D:$D,0,0)</f>
        <v>0</v>
      </c>
      <c r="BW59">
        <f>_xlfn.XLOOKUP(B59,'[7]september-2025'!$A:$A,'[7]september-2025'!$G:$G,0,0)</f>
        <v>500</v>
      </c>
      <c r="BX59">
        <f>IF(BS59&gt;0,SUM(BS59:BW59),0)</f>
        <v>45350</v>
      </c>
      <c r="BY59">
        <f>_xlfn.XLOOKUP(B59,'[7]september-2025'!$A:$A,'[7]september-2025'!$H:$H,0,0)</f>
        <v>2500</v>
      </c>
      <c r="BZ59">
        <f>_xlfn.XLOOKUP(B59,'[7]september-2025'!$A:$A,'[7]september-2025'!$I:$I,0,0)</f>
        <v>0</v>
      </c>
      <c r="CA59">
        <f>IF($F59="YES",0,IF(BX59&gt;40000,200,IF(BX59&gt;25000,150,IF(BX59&gt;15000,130,IF(BX59&gt;10000,110,0)))))</f>
        <v>200</v>
      </c>
      <c r="CB59">
        <f>BX59-BY59-BZ59-CA59</f>
        <v>42650</v>
      </c>
      <c r="CC59">
        <f>_xlfn.XLOOKUP(B59,'[8]october-2025'!$A:$A,'[8]october-2025'!$C:$C,0,0)</f>
        <v>34500</v>
      </c>
      <c r="CD59">
        <f>CC59*0.18</f>
        <v>6210</v>
      </c>
      <c r="CE59">
        <f>CC59*0.12</f>
        <v>4140</v>
      </c>
      <c r="CF59">
        <f>_xlfn.XLOOKUP(B59,'[8]october-2025'!$A:$A,'[8]october-2025'!$D:$D,0,0)</f>
        <v>0</v>
      </c>
      <c r="CG59">
        <f>_xlfn.XLOOKUP(B59,'[8]october-2025'!$A:$A,'[8]october-2025'!$G:$G,0,0)</f>
        <v>500</v>
      </c>
      <c r="CH59">
        <f>IF(CC59&gt;0,SUM(CC59:CG59),0)</f>
        <v>45350</v>
      </c>
      <c r="CI59">
        <f>_xlfn.XLOOKUP(B59,'[8]october-2025'!$A:$A,'[8]october-2025'!$H:$H,0,0)</f>
        <v>2500</v>
      </c>
      <c r="CJ59">
        <f>_xlfn.XLOOKUP(B59,'[8]october-2025'!$A:$A,'[8]october-2025'!$I:$I,0,0)</f>
        <v>0</v>
      </c>
      <c r="CK59">
        <f>IF($F59="YES",0,IF(CH59&gt;40000,200,IF(CH59&gt;25000,150,IF(CH59&gt;15000,130,IF(CH59&gt;10000,110,0)))))</f>
        <v>200</v>
      </c>
      <c r="CL59">
        <f>CH59-CI59-CJ59-CK59</f>
        <v>42650</v>
      </c>
      <c r="CM59">
        <f>_xlfn.XLOOKUP(B59,'[9]november-2025'!$A:$A,'[9]november-2025'!$C:$C,0,0)</f>
        <v>34500</v>
      </c>
      <c r="CN59">
        <f>CM59*0.18</f>
        <v>6210</v>
      </c>
      <c r="CO59">
        <f>CM59*0.12</f>
        <v>4140</v>
      </c>
      <c r="CP59">
        <f>_xlfn.XLOOKUP(B59,'[9]november-2025'!$A:$A,'[9]november-2025'!$D:$D,0,0)</f>
        <v>0</v>
      </c>
      <c r="CQ59">
        <f>_xlfn.XLOOKUP(B59,'[9]november-2025'!$A:$A,'[9]november-2025'!$G:$G,0,0)</f>
        <v>500</v>
      </c>
      <c r="CR59">
        <f>IF(CM59&gt;0,SUM(CM59:CQ59),0)</f>
        <v>45350</v>
      </c>
      <c r="CS59">
        <f>_xlfn.XLOOKUP(B59,'[9]november-2025'!$A:$A,'[9]november-2025'!$H:$H,0,0)</f>
        <v>2500</v>
      </c>
      <c r="CT59">
        <f>_xlfn.XLOOKUP(B59,'[9]november-2025'!$A:$A,'[9]november-2025'!$I:$I,0,0)</f>
        <v>0</v>
      </c>
      <c r="CU59">
        <f>IF($F59="YES",0,IF(CR59&gt;40000,200,IF(CR59&gt;25000,150,IF(CR59&gt;15000,130,IF(CR59&gt;10000,110,0)))))</f>
        <v>200</v>
      </c>
      <c r="CV59">
        <f>CR59-CS59-CT59-CU59</f>
        <v>42650</v>
      </c>
      <c r="CW59">
        <f>_xlfn.XLOOKUP(B59,'[10]december-2025'!$A:$A,'[10]december-2025'!$C:$C,0,0)</f>
        <v>34500</v>
      </c>
      <c r="CX59">
        <f>ROUND(CW59*0.18,0)</f>
        <v>6210</v>
      </c>
      <c r="CY59">
        <f>ROUND(CW59*0.12,0)</f>
        <v>4140</v>
      </c>
      <c r="CZ59">
        <f>_xlfn.XLOOKUP(B59,'[10]december-2025'!$A:$A,'[10]december-2025'!$D:$D,0,0)</f>
        <v>0</v>
      </c>
      <c r="DA59">
        <f>_xlfn.XLOOKUP(B59,'[10]december-2025'!$A:$A,'[10]december-2025'!$G:$G,0,0)</f>
        <v>500</v>
      </c>
      <c r="DB59">
        <f>IF(CW59&gt;0,SUM(CW59:DA59),0)</f>
        <v>45350</v>
      </c>
      <c r="DC59">
        <f>_xlfn.XLOOKUP(B59,'[10]december-2025'!$A:$A,'[10]december-2025'!$H:$H,0,0)</f>
        <v>2500</v>
      </c>
      <c r="DD59">
        <f>_xlfn.XLOOKUP(B59,'[10]december-2025'!$A:$A,'[10]december-2025'!$I:$I,0,0)</f>
        <v>0</v>
      </c>
      <c r="DE59">
        <f>IF($F59="YES",0,IF(DB59&gt;40000,200,IF(DB59&gt;25000,150,IF(DB59&gt;15000,130,IF(DB59&gt;10000,110,0)))))</f>
        <v>200</v>
      </c>
      <c r="DF59">
        <f>DB59-DC59-DD59-DE59</f>
        <v>42650</v>
      </c>
      <c r="DG59">
        <f>_xlfn.XLOOKUP(B59,'[11]january-2026'!$A:$A,'[11]january-2026'!$C:$C,0,0)</f>
        <v>34500</v>
      </c>
      <c r="DH59">
        <f>DG59*0.18</f>
        <v>6210</v>
      </c>
      <c r="DI59">
        <f>DG59*0.12</f>
        <v>4140</v>
      </c>
      <c r="DJ59">
        <f>_xlfn.XLOOKUP(B59,'[11]january-2026'!$A:$A,'[11]january-2026'!$D:$D,0,0)</f>
        <v>0</v>
      </c>
      <c r="DK59">
        <f>_xlfn.XLOOKUP(B59,'[11]january-2026'!$A:$A,'[11]january-2026'!$G:$G,0,0)</f>
        <v>500</v>
      </c>
      <c r="DL59">
        <f>IF(DG59&gt;0,SUM(DG59:DK59),0)</f>
        <v>45350</v>
      </c>
      <c r="DM59">
        <f>_xlfn.XLOOKUP(B59,'[11]january-2026'!$A:$A,'[11]january-2026'!$H:$H,0,0)</f>
        <v>2500</v>
      </c>
      <c r="DN59">
        <f>_xlfn.XLOOKUP(B59,'[11]january-2026'!$A:$A,'[11]january-2026'!$I:$I,0,0)</f>
        <v>0</v>
      </c>
      <c r="DO59">
        <f>IF($F59="YES",0,IF(DL59&gt;40000,200,IF(DL59&gt;25000,150,IF(DL59&gt;15000,130,IF(DL59&gt;10000,110,0)))))</f>
        <v>200</v>
      </c>
      <c r="DP59">
        <f>DL59-DM59-DN59-DO59</f>
        <v>42650</v>
      </c>
      <c r="DQ59">
        <f>_xlfn.XLOOKUP(B59,'[12]february-2026'!$A:$A,'[12]february-2026'!$C:$C,0,0)</f>
        <v>34500</v>
      </c>
      <c r="DR59">
        <f>DQ59*0.18</f>
        <v>6210</v>
      </c>
      <c r="DS59">
        <f>DQ59*0.12</f>
        <v>4140</v>
      </c>
      <c r="DT59">
        <f>_xlfn.XLOOKUP(B59,'[12]february-2026'!$A:$A,'[12]february-2026'!$D:$D,0,0)</f>
        <v>0</v>
      </c>
      <c r="DU59">
        <f>_xlfn.XLOOKUP(B59,'[12]february-2026'!$A:$A,'[12]february-2026'!$G:$G,0,0)</f>
        <v>500</v>
      </c>
      <c r="DV59">
        <f>IF(DQ59&gt;0,SUM(DQ59:DU59),0)</f>
        <v>45350</v>
      </c>
      <c r="DW59">
        <f>_xlfn.XLOOKUP(B59,'[12]february-2026'!$A:$A,'[12]february-2026'!$H:$H,0,0)</f>
        <v>2500</v>
      </c>
      <c r="DX59">
        <f>_xlfn.XLOOKUP(B59,'[12]february-2026'!$A:$A,'[12]february-2026'!$I:$I,0,0)</f>
        <v>0</v>
      </c>
      <c r="DY59">
        <f>IF($F59="YES",0,IF(DV59&gt;40000,200,IF(DV59&gt;25000,150,IF(DV59&gt;15000,130,IF(DV59&gt;10000,110,0)))))</f>
        <v>200</v>
      </c>
      <c r="DZ59">
        <f>DV59-DW59-DX59-DY59</f>
        <v>42650</v>
      </c>
      <c r="EA59">
        <f>DV59+DL59+DB59+CR59+CH59+BX59+BN59+BD59+AS59+AI59+Y59+O59+H59+I59</f>
        <v>544460</v>
      </c>
      <c r="EB59">
        <f>DY59+DO59+DE59+CU59+CK59+CA59+BQ59+BG59+AV59+AL59+AB59+R59</f>
        <v>2400</v>
      </c>
      <c r="EC59">
        <f>IF(EA59&gt;0,50000,0)</f>
        <v>50000</v>
      </c>
      <c r="ED59">
        <v>0</v>
      </c>
      <c r="EE59">
        <f>EA59-EB59-EC59</f>
        <v>492060</v>
      </c>
      <c r="EF59">
        <f>DW59+DM59+DC59+CS59+CI59+BY59+BO59+BE59+AT59+AJ59+Z59+P59</f>
        <v>30000</v>
      </c>
      <c r="EG59">
        <f>DX59+DN59+DD59+CT59+CJ59+BZ59+BP59+BF59+AU59+AK59+AA59+Q59</f>
        <v>0</v>
      </c>
      <c r="EH59">
        <v>0</v>
      </c>
      <c r="EI59">
        <v>0</v>
      </c>
      <c r="EJ59">
        <v>0</v>
      </c>
      <c r="EK59">
        <v>0</v>
      </c>
      <c r="EL59">
        <v>0</v>
      </c>
      <c r="EM59">
        <v>0</v>
      </c>
      <c r="EN59">
        <v>0</v>
      </c>
      <c r="EO59">
        <v>0</v>
      </c>
      <c r="EP59">
        <v>0</v>
      </c>
      <c r="EQ59">
        <v>0</v>
      </c>
      <c r="ER59">
        <f>SUM(EF59:EQ59)</f>
        <v>30000</v>
      </c>
      <c r="ES59">
        <f>IF(ER59&gt;=150000,150000,ER59)</f>
        <v>30000</v>
      </c>
      <c r="ET59">
        <f>EE59-ES59</f>
        <v>462060</v>
      </c>
      <c r="EU59">
        <v>0</v>
      </c>
      <c r="EV59">
        <v>0</v>
      </c>
      <c r="EW59">
        <v>0</v>
      </c>
      <c r="EX59">
        <v>0</v>
      </c>
      <c r="EY59">
        <v>0</v>
      </c>
      <c r="EZ59">
        <v>0</v>
      </c>
      <c r="FA59">
        <v>0</v>
      </c>
      <c r="FB59">
        <f>SUM(EU59:FA59)+(IF(F59="YES",50000,0))</f>
        <v>0</v>
      </c>
      <c r="FC59">
        <f>ET59-FB59</f>
        <v>462060</v>
      </c>
      <c r="FD59">
        <f>ROUND(IF(FC59&gt;0,IF(FC59&gt;500000,12500,(FC59-250000)*0.05),0),0)</f>
        <v>10603</v>
      </c>
      <c r="FE59">
        <f>IF(ROUND(IF(FC59&gt;0,IF(FC59&gt;1000000,25000,(FC59-500000)*0.2),0),0)&lt;0,0,ROUND(IF(FC59&gt;0,IF(FC59&gt;1000000,25000,(FC59-500000)*0.2),0),0))</f>
        <v>0</v>
      </c>
      <c r="FF59">
        <f>FD59+FE59</f>
        <v>10603</v>
      </c>
      <c r="FG59">
        <f>IF(FF59&lt;12500,0,FF59)</f>
        <v>0</v>
      </c>
      <c r="FH59">
        <f>FG59*0.04</f>
        <v>0</v>
      </c>
      <c r="FI59">
        <f>ROUND(FH59+FG59,0)</f>
        <v>0</v>
      </c>
      <c r="FJ59">
        <v>0</v>
      </c>
      <c r="FK59">
        <f>FI59-FJ59</f>
        <v>0</v>
      </c>
      <c r="FL59" t="b">
        <f>IF(EA59&gt;500000,TRUE,FALSE)</f>
        <v>1</v>
      </c>
      <c r="FM59">
        <f ca="1">IF(FL59,RANDBETWEEN(500,1000),RANDBETWEEN(1000,3000))</f>
        <v>941</v>
      </c>
      <c r="FN59">
        <f ca="1">EA59+FM59</f>
        <v>545401</v>
      </c>
      <c r="FO59">
        <f>IF(EA59&gt;0,75000,0)</f>
        <v>75000</v>
      </c>
      <c r="FP59">
        <f ca="1">FN59-FO59</f>
        <v>470401</v>
      </c>
      <c r="FQ59">
        <f ca="1">IF(FP59&gt;2400000,FP59-2400000,0)</f>
        <v>0</v>
      </c>
      <c r="FR59">
        <f ca="1">FQ59*0.3</f>
        <v>0</v>
      </c>
      <c r="FS59">
        <f ca="1">IF(FP59&gt;2000000,FP59-2000000,0)</f>
        <v>0</v>
      </c>
      <c r="FT59">
        <f ca="1">FS59*0.25</f>
        <v>0</v>
      </c>
      <c r="FU59">
        <f ca="1">IF(FP59&gt;1600000,FP59-1600000-FQ59,0)</f>
        <v>0</v>
      </c>
      <c r="FV59">
        <f ca="1">FU59*0.2</f>
        <v>0</v>
      </c>
      <c r="FW59">
        <f ca="1">IF(FP59&gt;1200000,FP59-1200000-IF(F59="YES",50000,0)-FU59,0)</f>
        <v>0</v>
      </c>
      <c r="FX59">
        <f ca="1">FW59*0.15</f>
        <v>0</v>
      </c>
      <c r="FY59">
        <f ca="1">IF(FP59&gt;800000,FP59-800000-FQ59-FU59-FW59,0)</f>
        <v>0</v>
      </c>
      <c r="FZ59">
        <f ca="1">FY59*0.1</f>
        <v>0</v>
      </c>
      <c r="GA59">
        <f ca="1">IF(FP59&gt;400000,FP59-400000-FQ59-FU59-FW59-FY59,0)</f>
        <v>70401</v>
      </c>
      <c r="GB59">
        <f ca="1">GA59*0.05</f>
        <v>3520.05</v>
      </c>
      <c r="GC59">
        <f ca="1">ROUND(FR59+FT59+FV59+FX59+FZ59+GB59,0)</f>
        <v>3520</v>
      </c>
      <c r="GD59">
        <f ca="1">IF(FP59&gt;1200000,FP59,0)</f>
        <v>0</v>
      </c>
      <c r="GE59">
        <f ca="1">IF(FP59&gt;1200000,GD59-1200000,0)</f>
        <v>0</v>
      </c>
      <c r="GF59">
        <f ca="1">IF(FP59&lt;1200001,MIN(GC59,60000),0)</f>
        <v>3520</v>
      </c>
      <c r="GG59">
        <f ca="1">IF(FP59&gt;1200000,GC59-GE59,0)</f>
        <v>0</v>
      </c>
      <c r="GH59" t="b">
        <f ca="1">IF(GG59&gt;0,TRUE,FALSE)</f>
        <v>0</v>
      </c>
      <c r="GI59">
        <f ca="1">IF(GH59,GG59,0)</f>
        <v>0</v>
      </c>
      <c r="GJ59">
        <f ca="1">GF59+GI59</f>
        <v>3520</v>
      </c>
      <c r="GK59">
        <f ca="1">ROUND(GC59-GJ59,0)</f>
        <v>0</v>
      </c>
      <c r="GL59">
        <f ca="1">GK59*0.04</f>
        <v>0</v>
      </c>
      <c r="GM59">
        <f ca="1">ROUNDUP(GK59+GL59,0)</f>
        <v>0</v>
      </c>
    </row>
    <row r="60" spans="1:195" x14ac:dyDescent="0.25">
      <c r="A60">
        <f>_xlfn.AGGREGATE(3,5,$B$2:B60)</f>
        <v>59</v>
      </c>
      <c r="B60" t="s">
        <v>238</v>
      </c>
      <c r="C60" t="s">
        <v>239</v>
      </c>
      <c r="D60" t="s">
        <v>767</v>
      </c>
      <c r="E60" t="s">
        <v>833</v>
      </c>
      <c r="F60" t="s">
        <v>960</v>
      </c>
      <c r="G60" t="s">
        <v>894</v>
      </c>
      <c r="H60">
        <f>IF(_xlfn.DAYS("31-03-2025",G60)&gt;=180,6800,0)</f>
        <v>6800</v>
      </c>
      <c r="I60">
        <f>_xlfn.XLOOKUP(B60,'[1]march-2025'!$A:$A,'[1]march-2025'!$J:$J,0,0)</f>
        <v>0</v>
      </c>
      <c r="J60">
        <f>_xlfn.XLOOKUP(B60,'[1]march-2025'!$A:$A,'[1]march-2025'!$C:$C,0,0)</f>
        <v>27000</v>
      </c>
      <c r="K60">
        <f>J60*0.14</f>
        <v>3780.0000000000005</v>
      </c>
      <c r="L60">
        <f>J60*0.12</f>
        <v>3240</v>
      </c>
      <c r="M60">
        <f>_xlfn.XLOOKUP(B60,'[1]march-2025'!$A:$A,'[1]march-2025'!$D:$D,0,0)</f>
        <v>0</v>
      </c>
      <c r="N60">
        <f>_xlfn.XLOOKUP(B60,'[1]march-2025'!$A:$A,'[1]march-2025'!$G:$G,0,0)</f>
        <v>500</v>
      </c>
      <c r="O60">
        <f>IF(J60&gt;0,SUM(J60:N60),0)</f>
        <v>34520</v>
      </c>
      <c r="P60">
        <f>_xlfn.XLOOKUP(B60,'[1]march-2025'!$A:$A,'[1]march-2025'!$H:$H,0,0)</f>
        <v>2000</v>
      </c>
      <c r="Q60">
        <f>_xlfn.XLOOKUP(B60,'[1]march-2025'!$A:$A,'[1]march-2025'!$I:$I,0,0)</f>
        <v>0</v>
      </c>
      <c r="R60">
        <f>IF($F60="YES",0,IF(O60&gt;40000,200,IF(O60&gt;25000,150,IF(O60&gt;15000,130,IF(O60&gt;10000,110,0)))))</f>
        <v>0</v>
      </c>
      <c r="S60">
        <f>O60-P60-Q60-R60</f>
        <v>32520</v>
      </c>
      <c r="T60">
        <f>_xlfn.XLOOKUP(B60,'[2]april-2025'!$A:$A,'[2]april-2025'!$C:$C,0,0)</f>
        <v>27000</v>
      </c>
      <c r="U60">
        <f>T60*0.18</f>
        <v>4860</v>
      </c>
      <c r="V60">
        <f>T60*0.12</f>
        <v>3240</v>
      </c>
      <c r="W60">
        <f>_xlfn.XLOOKUP(B60,'[2]april-2025'!$A:$A,'[2]april-2025'!$D:$D,0,0)</f>
        <v>0</v>
      </c>
      <c r="X60">
        <f>_xlfn.XLOOKUP(B60,'[2]april-2025'!$A:$A,'[2]april-2025'!$G:$G,0,0)</f>
        <v>500</v>
      </c>
      <c r="Y60">
        <f>IF(T60&gt;0,SUM(T60:X60),0)</f>
        <v>35600</v>
      </c>
      <c r="Z60">
        <f>_xlfn.XLOOKUP(B60,'[2]april-2025'!$A:$A,'[2]april-2025'!$H:$H,0,0)</f>
        <v>2000</v>
      </c>
      <c r="AA60">
        <f>_xlfn.XLOOKUP(B60,'[2]april-2025'!$A:$A,'[2]april-2025'!$I:$I,0,0)</f>
        <v>0</v>
      </c>
      <c r="AB60">
        <f>IF($F60="YES",0,IF(Y60&gt;40000,200,IF(Y60&gt;25000,150,IF(Y60&gt;15000,130,IF(Y60&gt;10000,110,0)))))</f>
        <v>0</v>
      </c>
      <c r="AC60">
        <f>Y60-Z60-AA60-AB60</f>
        <v>33600</v>
      </c>
      <c r="AD60">
        <f>_xlfn.XLOOKUP(B60,'[3]may-2025'!$A:$A,'[3]may-2025'!$C:$C,0,0)</f>
        <v>31600</v>
      </c>
      <c r="AE60">
        <f>AD60*0.18</f>
        <v>5688</v>
      </c>
      <c r="AF60">
        <f>AD60*0.12</f>
        <v>3792</v>
      </c>
      <c r="AG60">
        <f>_xlfn.XLOOKUP(B60,'[3]may-2025'!$A:$A,'[3]may-2025'!$D:$D,0,0)</f>
        <v>0</v>
      </c>
      <c r="AH60">
        <f>_xlfn.XLOOKUP(B60,'[3]may-2025'!$A:$A,'[3]may-2025'!$G:$G,0,0)</f>
        <v>500</v>
      </c>
      <c r="AI60">
        <f>IF(AD60&gt;0,SUM(AD60:AH60),0)</f>
        <v>41580</v>
      </c>
      <c r="AJ60">
        <f>_xlfn.XLOOKUP(B60,'[3]may-2025'!$A:$A,'[3]may-2025'!$H:$H,0,0)</f>
        <v>2000</v>
      </c>
      <c r="AK60">
        <f>_xlfn.XLOOKUP(B60,'[3]may-2025'!$A:$A,'[3]may-2025'!$I:$I,0,0)</f>
        <v>0</v>
      </c>
      <c r="AL60">
        <f>IF($F60="YES",0,IF(AI60&gt;40000,200,IF(AI60&gt;25000,150,IF(AI60&gt;15000,130,IF(AI60&gt;10000,110,0)))))</f>
        <v>0</v>
      </c>
      <c r="AM60">
        <f>AI60-AJ60-AK60-AL60</f>
        <v>39580</v>
      </c>
      <c r="AN60">
        <f>_xlfn.XLOOKUP(B60,'[4]june-2025'!$A:$A,'[4]june-2025'!$C:$C,0,0)</f>
        <v>31600</v>
      </c>
      <c r="AO60">
        <f>AN60*0.18</f>
        <v>5688</v>
      </c>
      <c r="AP60">
        <f>AN60*0.12</f>
        <v>3792</v>
      </c>
      <c r="AQ60">
        <f>_xlfn.XLOOKUP(B60,'[4]june-2025'!$A:$A,'[4]june-2025'!$D:$D,0,0)</f>
        <v>0</v>
      </c>
      <c r="AR60">
        <f>_xlfn.XLOOKUP(B60,'[4]june-2025'!$A:$A,'[4]june-2025'!$G:$G,0,0)</f>
        <v>500</v>
      </c>
      <c r="AS60">
        <f>IF(AN60&gt;0,SUM(AN60:AR60),0)</f>
        <v>41580</v>
      </c>
      <c r="AT60">
        <f>_xlfn.XLOOKUP(B60,'[4]june-2025'!$A:$A,'[4]june-2025'!$H:$H,0,0)</f>
        <v>2000</v>
      </c>
      <c r="AU60">
        <f>_xlfn.XLOOKUP(B60,'[4]june-2025'!$A:$A,'[4]june-2025'!$I:$I,0,0)</f>
        <v>0</v>
      </c>
      <c r="AV60">
        <f>IF($F60="YES",0,IF(AS60&gt;40000,200,IF(AS60&gt;25000,150,IF(AS60&gt;15000,130,IF(AS60&gt;10000,110,0)))))</f>
        <v>0</v>
      </c>
      <c r="AW60">
        <f>AS60-AT60-AU60-AV60</f>
        <v>39580</v>
      </c>
      <c r="AX60">
        <f>_xlfn.XLOOKUP(B60,'[5]july-2025'!$A:$A,'[5]july-2025'!$C:$C,0,0)</f>
        <v>32500</v>
      </c>
      <c r="AY60">
        <f>AX60*0.18</f>
        <v>5850</v>
      </c>
      <c r="AZ60">
        <v>0</v>
      </c>
      <c r="BA60">
        <f>AX60*0.12</f>
        <v>3900</v>
      </c>
      <c r="BB60">
        <f>_xlfn.XLOOKUP(B60,'[5]july-2025'!$A:$A,'[5]july-2025'!$D:$D,0,0)</f>
        <v>0</v>
      </c>
      <c r="BC60">
        <f>_xlfn.XLOOKUP(B60,'[5]july-2025'!$A:$A,'[5]july-2025'!$G:$G,0,0)</f>
        <v>500</v>
      </c>
      <c r="BD60">
        <f>IF(AX60&gt;0,SUM(AX60:BC60),0)</f>
        <v>42750</v>
      </c>
      <c r="BE60">
        <f>_xlfn.XLOOKUP(B60,'[5]july-2025'!$A:$A,'[5]july-2025'!$H:$H,0,0)</f>
        <v>2000</v>
      </c>
      <c r="BF60">
        <f>_xlfn.XLOOKUP(B60,'[5]july-2025'!$A:$A,'[5]july-2025'!$I:$I,0,0)</f>
        <v>0</v>
      </c>
      <c r="BG60">
        <f>IF($F60="YES",0,IF(BD60&gt;40000,200,IF(BD60&gt;25000,150,IF(BD60&gt;15000,130,IF(BD60&gt;10000,110,0)))))</f>
        <v>0</v>
      </c>
      <c r="BH60">
        <f>BD60-BE60-BF60-BG60</f>
        <v>40750</v>
      </c>
      <c r="BI60">
        <f>_xlfn.XLOOKUP(B60,'[6]august-2025'!$A:$A,'[6]august-2025'!$C:$C,0,0)</f>
        <v>32500</v>
      </c>
      <c r="BJ60">
        <f>BI60*0.18</f>
        <v>5850</v>
      </c>
      <c r="BK60">
        <f>BI60*0.12</f>
        <v>3900</v>
      </c>
      <c r="BL60">
        <f>_xlfn.XLOOKUP(B60,'[6]august-2025'!$A:$A,'[6]august-2025'!$D:$D,0,0)</f>
        <v>0</v>
      </c>
      <c r="BM60">
        <f>_xlfn.XLOOKUP(B60,'[6]august-2025'!$A:$A,'[6]august-2025'!$G:$G,0,0)</f>
        <v>500</v>
      </c>
      <c r="BN60">
        <f>IF(BI60&gt;0,SUM(BI60:BM60),0)</f>
        <v>42750</v>
      </c>
      <c r="BO60">
        <f>_xlfn.XLOOKUP(B60,'[6]august-2025'!$A:$A,'[6]august-2025'!$H:$H,0,0)</f>
        <v>2000</v>
      </c>
      <c r="BP60">
        <f>_xlfn.XLOOKUP(B60,'[6]august-2025'!$A:$A,'[6]august-2025'!$I:$I,0,0)</f>
        <v>0</v>
      </c>
      <c r="BQ60">
        <f>IF($F60="YES",0,IF(BN60&gt;40000,200,IF(BN60&gt;25000,150,IF(BN60&gt;15000,130,IF(BN60&gt;10000,110,0)))))</f>
        <v>0</v>
      </c>
      <c r="BR60">
        <f>BN60-BO60-BP60-BQ60</f>
        <v>40750</v>
      </c>
      <c r="BS60">
        <f>_xlfn.XLOOKUP(B60,'[7]september-2025'!$A:$A,'[7]september-2025'!$C:$C,0,0)</f>
        <v>32500</v>
      </c>
      <c r="BT60">
        <f>BS60*0.18</f>
        <v>5850</v>
      </c>
      <c r="BU60">
        <f>BS60*0.12</f>
        <v>3900</v>
      </c>
      <c r="BV60">
        <f>_xlfn.XLOOKUP(B60,'[7]september-2025'!$A:$A,'[7]september-2025'!$D:$D,0,0)</f>
        <v>0</v>
      </c>
      <c r="BW60">
        <f>_xlfn.XLOOKUP(B60,'[7]september-2025'!$A:$A,'[7]september-2025'!$G:$G,0,0)</f>
        <v>500</v>
      </c>
      <c r="BX60">
        <f>IF(BS60&gt;0,SUM(BS60:BW60),0)</f>
        <v>42750</v>
      </c>
      <c r="BY60">
        <f>_xlfn.XLOOKUP(B60,'[7]september-2025'!$A:$A,'[7]september-2025'!$H:$H,0,0)</f>
        <v>2000</v>
      </c>
      <c r="BZ60">
        <f>_xlfn.XLOOKUP(B60,'[7]september-2025'!$A:$A,'[7]september-2025'!$I:$I,0,0)</f>
        <v>0</v>
      </c>
      <c r="CA60">
        <f>IF($F60="YES",0,IF(BX60&gt;40000,200,IF(BX60&gt;25000,150,IF(BX60&gt;15000,130,IF(BX60&gt;10000,110,0)))))</f>
        <v>0</v>
      </c>
      <c r="CB60">
        <f>BX60-BY60-BZ60-CA60</f>
        <v>40750</v>
      </c>
      <c r="CC60">
        <f>_xlfn.XLOOKUP(B60,'[8]october-2025'!$A:$A,'[8]october-2025'!$C:$C,0,0)</f>
        <v>32500</v>
      </c>
      <c r="CD60">
        <f>CC60*0.18</f>
        <v>5850</v>
      </c>
      <c r="CE60">
        <f>CC60*0.12</f>
        <v>3900</v>
      </c>
      <c r="CF60">
        <f>_xlfn.XLOOKUP(B60,'[8]october-2025'!$A:$A,'[8]october-2025'!$D:$D,0,0)</f>
        <v>0</v>
      </c>
      <c r="CG60">
        <f>_xlfn.XLOOKUP(B60,'[8]october-2025'!$A:$A,'[8]october-2025'!$G:$G,0,0)</f>
        <v>500</v>
      </c>
      <c r="CH60">
        <f>IF(CC60&gt;0,SUM(CC60:CG60),0)</f>
        <v>42750</v>
      </c>
      <c r="CI60">
        <f>_xlfn.XLOOKUP(B60,'[8]october-2025'!$A:$A,'[8]october-2025'!$H:$H,0,0)</f>
        <v>2000</v>
      </c>
      <c r="CJ60">
        <f>_xlfn.XLOOKUP(B60,'[8]october-2025'!$A:$A,'[8]october-2025'!$I:$I,0,0)</f>
        <v>0</v>
      </c>
      <c r="CK60">
        <f>IF($F60="YES",0,IF(CH60&gt;40000,200,IF(CH60&gt;25000,150,IF(CH60&gt;15000,130,IF(CH60&gt;10000,110,0)))))</f>
        <v>0</v>
      </c>
      <c r="CL60">
        <f>CH60-CI60-CJ60-CK60</f>
        <v>40750</v>
      </c>
      <c r="CM60">
        <f>_xlfn.XLOOKUP(B60,'[9]november-2025'!$A:$A,'[9]november-2025'!$C:$C,0,0)</f>
        <v>32500</v>
      </c>
      <c r="CN60">
        <f>CM60*0.18</f>
        <v>5850</v>
      </c>
      <c r="CO60">
        <f>CM60*0.12</f>
        <v>3900</v>
      </c>
      <c r="CP60">
        <f>_xlfn.XLOOKUP(B60,'[9]november-2025'!$A:$A,'[9]november-2025'!$D:$D,0,0)</f>
        <v>0</v>
      </c>
      <c r="CQ60">
        <f>_xlfn.XLOOKUP(B60,'[9]november-2025'!$A:$A,'[9]november-2025'!$G:$G,0,0)</f>
        <v>500</v>
      </c>
      <c r="CR60">
        <f>IF(CM60&gt;0,SUM(CM60:CQ60),0)</f>
        <v>42750</v>
      </c>
      <c r="CS60">
        <f>_xlfn.XLOOKUP(B60,'[9]november-2025'!$A:$A,'[9]november-2025'!$H:$H,0,0)</f>
        <v>2000</v>
      </c>
      <c r="CT60">
        <f>_xlfn.XLOOKUP(B60,'[9]november-2025'!$A:$A,'[9]november-2025'!$I:$I,0,0)</f>
        <v>0</v>
      </c>
      <c r="CU60">
        <f>IF($F60="YES",0,IF(CR60&gt;40000,200,IF(CR60&gt;25000,150,IF(CR60&gt;15000,130,IF(CR60&gt;10000,110,0)))))</f>
        <v>0</v>
      </c>
      <c r="CV60">
        <f>CR60-CS60-CT60-CU60</f>
        <v>40750</v>
      </c>
      <c r="CW60">
        <f>_xlfn.XLOOKUP(B60,'[10]december-2025'!$A:$A,'[10]december-2025'!$C:$C,0,0)</f>
        <v>32500</v>
      </c>
      <c r="CX60">
        <f>ROUND(CW60*0.18,0)</f>
        <v>5850</v>
      </c>
      <c r="CY60">
        <f>ROUND(CW60*0.12,0)</f>
        <v>3900</v>
      </c>
      <c r="CZ60">
        <f>_xlfn.XLOOKUP(B60,'[10]december-2025'!$A:$A,'[10]december-2025'!$D:$D,0,0)</f>
        <v>0</v>
      </c>
      <c r="DA60">
        <f>_xlfn.XLOOKUP(B60,'[10]december-2025'!$A:$A,'[10]december-2025'!$G:$G,0,0)</f>
        <v>500</v>
      </c>
      <c r="DB60">
        <f>IF(CW60&gt;0,SUM(CW60:DA60),0)</f>
        <v>42750</v>
      </c>
      <c r="DC60">
        <f>_xlfn.XLOOKUP(B60,'[10]december-2025'!$A:$A,'[10]december-2025'!$H:$H,0,0)</f>
        <v>2000</v>
      </c>
      <c r="DD60">
        <f>_xlfn.XLOOKUP(B60,'[10]december-2025'!$A:$A,'[10]december-2025'!$I:$I,0,0)</f>
        <v>0</v>
      </c>
      <c r="DE60">
        <f>IF($F60="YES",0,IF(DB60&gt;40000,200,IF(DB60&gt;25000,150,IF(DB60&gt;15000,130,IF(DB60&gt;10000,110,0)))))</f>
        <v>0</v>
      </c>
      <c r="DF60">
        <f>DB60-DC60-DD60-DE60</f>
        <v>40750</v>
      </c>
      <c r="DG60">
        <f>_xlfn.XLOOKUP(B60,'[11]january-2026'!$A:$A,'[11]january-2026'!$C:$C,0,0)</f>
        <v>32500</v>
      </c>
      <c r="DH60">
        <f>DG60*0.18</f>
        <v>5850</v>
      </c>
      <c r="DI60">
        <f>DG60*0.12</f>
        <v>3900</v>
      </c>
      <c r="DJ60">
        <f>_xlfn.XLOOKUP(B60,'[11]january-2026'!$A:$A,'[11]january-2026'!$D:$D,0,0)</f>
        <v>0</v>
      </c>
      <c r="DK60">
        <f>_xlfn.XLOOKUP(B60,'[11]january-2026'!$A:$A,'[11]january-2026'!$G:$G,0,0)</f>
        <v>500</v>
      </c>
      <c r="DL60">
        <f>IF(DG60&gt;0,SUM(DG60:DK60),0)</f>
        <v>42750</v>
      </c>
      <c r="DM60">
        <f>_xlfn.XLOOKUP(B60,'[11]january-2026'!$A:$A,'[11]january-2026'!$H:$H,0,0)</f>
        <v>2000</v>
      </c>
      <c r="DN60">
        <f>_xlfn.XLOOKUP(B60,'[11]january-2026'!$A:$A,'[11]january-2026'!$I:$I,0,0)</f>
        <v>0</v>
      </c>
      <c r="DO60">
        <f>IF($F60="YES",0,IF(DL60&gt;40000,200,IF(DL60&gt;25000,150,IF(DL60&gt;15000,130,IF(DL60&gt;10000,110,0)))))</f>
        <v>0</v>
      </c>
      <c r="DP60">
        <f>DL60-DM60-DN60-DO60</f>
        <v>40750</v>
      </c>
      <c r="DQ60">
        <f>_xlfn.XLOOKUP(B60,'[12]february-2026'!$A:$A,'[12]february-2026'!$C:$C,0,0)</f>
        <v>32500</v>
      </c>
      <c r="DR60">
        <f>DQ60*0.18</f>
        <v>5850</v>
      </c>
      <c r="DS60">
        <f>DQ60*0.12</f>
        <v>3900</v>
      </c>
      <c r="DT60">
        <f>_xlfn.XLOOKUP(B60,'[12]february-2026'!$A:$A,'[12]february-2026'!$D:$D,0,0)</f>
        <v>0</v>
      </c>
      <c r="DU60">
        <f>_xlfn.XLOOKUP(B60,'[12]february-2026'!$A:$A,'[12]february-2026'!$G:$G,0,0)</f>
        <v>500</v>
      </c>
      <c r="DV60">
        <f>IF(DQ60&gt;0,SUM(DQ60:DU60),0)</f>
        <v>42750</v>
      </c>
      <c r="DW60">
        <f>_xlfn.XLOOKUP(B60,'[12]february-2026'!$A:$A,'[12]february-2026'!$H:$H,0,0)</f>
        <v>2000</v>
      </c>
      <c r="DX60">
        <f>_xlfn.XLOOKUP(B60,'[12]february-2026'!$A:$A,'[12]february-2026'!$I:$I,0,0)</f>
        <v>0</v>
      </c>
      <c r="DY60">
        <f>IF($F60="YES",0,IF(DV60&gt;40000,200,IF(DV60&gt;25000,150,IF(DV60&gt;15000,130,IF(DV60&gt;10000,110,0)))))</f>
        <v>0</v>
      </c>
      <c r="DZ60">
        <f>DV60-DW60-DX60-DY60</f>
        <v>40750</v>
      </c>
      <c r="EA60">
        <f>DV60+DL60+DB60+CR60+CH60+BX60+BN60+BD60+AS60+AI60+Y60+O60+H60+I60</f>
        <v>502080</v>
      </c>
      <c r="EB60">
        <f>DY60+DO60+DE60+CU60+CK60+CA60+BQ60+BG60+AV60+AL60+AB60+R60</f>
        <v>0</v>
      </c>
      <c r="EC60">
        <f>IF(EA60&gt;0,50000,0)</f>
        <v>50000</v>
      </c>
      <c r="ED60">
        <v>0</v>
      </c>
      <c r="EE60">
        <f>EA60-EB60-EC60</f>
        <v>452080</v>
      </c>
      <c r="EF60">
        <f>DW60+DM60+DC60+CS60+CI60+BY60+BO60+BE60+AT60+AJ60+Z60+P60</f>
        <v>24000</v>
      </c>
      <c r="EG60">
        <f>DX60+DN60+DD60+CT60+CJ60+BZ60+BP60+BF60+AU60+AK60+AA60+Q60</f>
        <v>0</v>
      </c>
      <c r="EH60">
        <v>0</v>
      </c>
      <c r="EI60">
        <v>0</v>
      </c>
      <c r="EJ60">
        <v>0</v>
      </c>
      <c r="EK60">
        <v>0</v>
      </c>
      <c r="EL60">
        <v>0</v>
      </c>
      <c r="EM60">
        <v>0</v>
      </c>
      <c r="EN60">
        <v>0</v>
      </c>
      <c r="EO60">
        <v>0</v>
      </c>
      <c r="EP60">
        <v>0</v>
      </c>
      <c r="EQ60">
        <v>0</v>
      </c>
      <c r="ER60">
        <f>SUM(EF60:EQ60)</f>
        <v>24000</v>
      </c>
      <c r="ES60">
        <f>IF(ER60&gt;=150000,150000,ER60)</f>
        <v>24000</v>
      </c>
      <c r="ET60">
        <f>EE60-ES60</f>
        <v>428080</v>
      </c>
      <c r="EU60">
        <v>0</v>
      </c>
      <c r="EV60">
        <v>0</v>
      </c>
      <c r="EW60">
        <v>0</v>
      </c>
      <c r="EX60">
        <v>0</v>
      </c>
      <c r="EY60">
        <v>0</v>
      </c>
      <c r="EZ60">
        <v>0</v>
      </c>
      <c r="FA60">
        <v>0</v>
      </c>
      <c r="FB60">
        <f>SUM(EU60:FA60)+(IF(F60="YES",50000,0))</f>
        <v>50000</v>
      </c>
      <c r="FC60">
        <f>ET60-FB60</f>
        <v>378080</v>
      </c>
      <c r="FD60">
        <f>ROUND(IF(FC60&gt;0,IF(FC60&gt;500000,12500,(FC60-250000)*0.05),0),0)</f>
        <v>6404</v>
      </c>
      <c r="FE60">
        <f>IF(ROUND(IF(FC60&gt;0,IF(FC60&gt;1000000,25000,(FC60-500000)*0.2),0),0)&lt;0,0,ROUND(IF(FC60&gt;0,IF(FC60&gt;1000000,25000,(FC60-500000)*0.2),0),0))</f>
        <v>0</v>
      </c>
      <c r="FF60">
        <f>FD60+FE60</f>
        <v>6404</v>
      </c>
      <c r="FG60">
        <f>IF(FF60&lt;12500,0,FF60)</f>
        <v>0</v>
      </c>
      <c r="FH60">
        <f>FG60*0.04</f>
        <v>0</v>
      </c>
      <c r="FI60">
        <f>ROUND(FH60+FG60,0)</f>
        <v>0</v>
      </c>
      <c r="FJ60">
        <v>0</v>
      </c>
      <c r="FK60">
        <f>FI60-FJ60</f>
        <v>0</v>
      </c>
      <c r="FL60" t="b">
        <f>IF(EA60&gt;500000,TRUE,FALSE)</f>
        <v>1</v>
      </c>
      <c r="FM60">
        <f ca="1">IF(FL60,RANDBETWEEN(500,1000),RANDBETWEEN(1000,3000))</f>
        <v>652</v>
      </c>
      <c r="FN60">
        <f ca="1">EA60+FM60</f>
        <v>502732</v>
      </c>
      <c r="FO60">
        <f>IF(EA60&gt;0,75000,0)</f>
        <v>75000</v>
      </c>
      <c r="FP60">
        <f ca="1">FN60-FO60</f>
        <v>427732</v>
      </c>
      <c r="FQ60">
        <f ca="1">IF(FP60&gt;2400000,FP60-2400000,0)</f>
        <v>0</v>
      </c>
      <c r="FR60">
        <f ca="1">FQ60*0.3</f>
        <v>0</v>
      </c>
      <c r="FS60">
        <f ca="1">IF(FP60&gt;2000000,FP60-2000000,0)</f>
        <v>0</v>
      </c>
      <c r="FT60">
        <f ca="1">FS60*0.25</f>
        <v>0</v>
      </c>
      <c r="FU60">
        <f ca="1">IF(FP60&gt;1600000,FP60-1600000-FQ60,0)</f>
        <v>0</v>
      </c>
      <c r="FV60">
        <f ca="1">FU60*0.2</f>
        <v>0</v>
      </c>
      <c r="FW60">
        <f ca="1">IF(FP60&gt;1200000,FP60-1200000-IF(F60="YES",50000,0)-FU60,0)</f>
        <v>0</v>
      </c>
      <c r="FX60">
        <f ca="1">FW60*0.15</f>
        <v>0</v>
      </c>
      <c r="FY60">
        <f ca="1">IF(FP60&gt;800000,FP60-800000-FQ60-FU60-FW60,0)</f>
        <v>0</v>
      </c>
      <c r="FZ60">
        <f ca="1">FY60*0.1</f>
        <v>0</v>
      </c>
      <c r="GA60">
        <f ca="1">IF(FP60&gt;400000,FP60-400000-FQ60-FU60-FW60-FY60,0)</f>
        <v>27732</v>
      </c>
      <c r="GB60">
        <f ca="1">GA60*0.05</f>
        <v>1386.6000000000001</v>
      </c>
      <c r="GC60">
        <f ca="1">ROUND(FR60+FT60+FV60+FX60+FZ60+GB60,0)</f>
        <v>1387</v>
      </c>
      <c r="GD60">
        <f ca="1">IF(FP60&gt;1200000,FP60,0)</f>
        <v>0</v>
      </c>
      <c r="GE60">
        <f ca="1">IF(FP60&gt;1200000,GD60-1200000,0)</f>
        <v>0</v>
      </c>
      <c r="GF60">
        <f ca="1">IF(FP60&lt;1200001,MIN(GC60,60000),0)</f>
        <v>1387</v>
      </c>
      <c r="GG60">
        <f ca="1">IF(FP60&gt;1200000,GC60-GE60,0)</f>
        <v>0</v>
      </c>
      <c r="GH60" t="b">
        <f ca="1">IF(GG60&gt;0,TRUE,FALSE)</f>
        <v>0</v>
      </c>
      <c r="GI60">
        <f ca="1">IF(GH60,GG60,0)</f>
        <v>0</v>
      </c>
      <c r="GJ60">
        <f ca="1">GF60+GI60</f>
        <v>1387</v>
      </c>
      <c r="GK60">
        <f ca="1">ROUND(GC60-GJ60,0)</f>
        <v>0</v>
      </c>
      <c r="GL60">
        <f ca="1">GK60*0.04</f>
        <v>0</v>
      </c>
      <c r="GM60">
        <f ca="1">ROUNDUP(GK60+GL60,0)</f>
        <v>0</v>
      </c>
    </row>
    <row r="61" spans="1:195" x14ac:dyDescent="0.25">
      <c r="A61">
        <f>_xlfn.AGGREGATE(3,5,$B$2:B61)</f>
        <v>60</v>
      </c>
      <c r="B61" t="s">
        <v>240</v>
      </c>
      <c r="C61" t="s">
        <v>241</v>
      </c>
      <c r="D61" t="s">
        <v>768</v>
      </c>
      <c r="E61" t="s">
        <v>833</v>
      </c>
      <c r="F61" t="s">
        <v>959</v>
      </c>
      <c r="G61" t="s">
        <v>902</v>
      </c>
      <c r="H61">
        <f>IF(_xlfn.DAYS("31-03-2025",G61)&gt;=180,6800,0)</f>
        <v>6800</v>
      </c>
      <c r="I61">
        <f>_xlfn.XLOOKUP(B61,'[1]march-2025'!$A:$A,'[1]march-2025'!$J:$J,0,0)</f>
        <v>0</v>
      </c>
      <c r="J61">
        <f>_xlfn.XLOOKUP(B61,'[1]march-2025'!$A:$A,'[1]march-2025'!$C:$C,0,0)</f>
        <v>34500</v>
      </c>
      <c r="K61">
        <f>J61*0.14</f>
        <v>4830.0000000000009</v>
      </c>
      <c r="L61">
        <f>J61*0.12</f>
        <v>4140</v>
      </c>
      <c r="M61">
        <f>_xlfn.XLOOKUP(B61,'[1]march-2025'!$A:$A,'[1]march-2025'!$D:$D,0,0)</f>
        <v>400</v>
      </c>
      <c r="N61">
        <f>_xlfn.XLOOKUP(B61,'[1]march-2025'!$A:$A,'[1]march-2025'!$G:$G,0,0)</f>
        <v>500</v>
      </c>
      <c r="O61">
        <f>IF(J61&gt;0,SUM(J61:N61),0)</f>
        <v>44370</v>
      </c>
      <c r="P61">
        <f>_xlfn.XLOOKUP(B61,'[1]march-2025'!$A:$A,'[1]march-2025'!$H:$H,0,0)</f>
        <v>5000</v>
      </c>
      <c r="Q61">
        <f>_xlfn.XLOOKUP(B61,'[1]march-2025'!$A:$A,'[1]march-2025'!$I:$I,0,0)</f>
        <v>0</v>
      </c>
      <c r="R61">
        <f>IF($F61="YES",0,IF(O61&gt;40000,200,IF(O61&gt;25000,150,IF(O61&gt;15000,130,IF(O61&gt;10000,110,0)))))</f>
        <v>200</v>
      </c>
      <c r="S61">
        <f>O61-P61-Q61-R61</f>
        <v>39170</v>
      </c>
      <c r="T61">
        <f>_xlfn.XLOOKUP(B61,'[2]april-2025'!$A:$A,'[2]april-2025'!$C:$C,0,0)</f>
        <v>34500</v>
      </c>
      <c r="U61">
        <f>T61*0.18</f>
        <v>6210</v>
      </c>
      <c r="V61">
        <f>T61*0.12</f>
        <v>4140</v>
      </c>
      <c r="W61">
        <f>_xlfn.XLOOKUP(B61,'[2]april-2025'!$A:$A,'[2]april-2025'!$D:$D,0,0)</f>
        <v>400</v>
      </c>
      <c r="X61">
        <f>_xlfn.XLOOKUP(B61,'[2]april-2025'!$A:$A,'[2]april-2025'!$G:$G,0,0)</f>
        <v>500</v>
      </c>
      <c r="Y61">
        <f>IF(T61&gt;0,SUM(T61:X61),0)</f>
        <v>45750</v>
      </c>
      <c r="Z61">
        <f>_xlfn.XLOOKUP(B61,'[2]april-2025'!$A:$A,'[2]april-2025'!$H:$H,0,0)</f>
        <v>5000</v>
      </c>
      <c r="AA61">
        <f>_xlfn.XLOOKUP(B61,'[2]april-2025'!$A:$A,'[2]april-2025'!$I:$I,0,0)</f>
        <v>0</v>
      </c>
      <c r="AB61">
        <f>IF($F61="YES",0,IF(Y61&gt;40000,200,IF(Y61&gt;25000,150,IF(Y61&gt;15000,130,IF(Y61&gt;10000,110,0)))))</f>
        <v>200</v>
      </c>
      <c r="AC61">
        <f>Y61-Z61-AA61-AB61</f>
        <v>40550</v>
      </c>
      <c r="AD61">
        <f>_xlfn.XLOOKUP(B61,'[3]may-2025'!$A:$A,'[3]may-2025'!$C:$C,0,0)</f>
        <v>34500</v>
      </c>
      <c r="AE61">
        <f>AD61*0.18</f>
        <v>6210</v>
      </c>
      <c r="AF61">
        <f>AD61*0.12</f>
        <v>4140</v>
      </c>
      <c r="AG61">
        <f>_xlfn.XLOOKUP(B61,'[3]may-2025'!$A:$A,'[3]may-2025'!$D:$D,0,0)</f>
        <v>400</v>
      </c>
      <c r="AH61">
        <f>_xlfn.XLOOKUP(B61,'[3]may-2025'!$A:$A,'[3]may-2025'!$G:$G,0,0)</f>
        <v>500</v>
      </c>
      <c r="AI61">
        <f>IF(AD61&gt;0,SUM(AD61:AH61),0)</f>
        <v>45750</v>
      </c>
      <c r="AJ61">
        <f>_xlfn.XLOOKUP(B61,'[3]may-2025'!$A:$A,'[3]may-2025'!$H:$H,0,0)</f>
        <v>5000</v>
      </c>
      <c r="AK61">
        <f>_xlfn.XLOOKUP(B61,'[3]may-2025'!$A:$A,'[3]may-2025'!$I:$I,0,0)</f>
        <v>0</v>
      </c>
      <c r="AL61">
        <f>IF($F61="YES",0,IF(AI61&gt;40000,200,IF(AI61&gt;25000,150,IF(AI61&gt;15000,130,IF(AI61&gt;10000,110,0)))))</f>
        <v>200</v>
      </c>
      <c r="AM61">
        <f>AI61-AJ61-AK61-AL61</f>
        <v>40550</v>
      </c>
      <c r="AN61">
        <f>_xlfn.XLOOKUP(B61,'[4]june-2025'!$A:$A,'[4]june-2025'!$C:$C,0,0)</f>
        <v>34500</v>
      </c>
      <c r="AO61">
        <f>AN61*0.18</f>
        <v>6210</v>
      </c>
      <c r="AP61">
        <f>AN61*0.12</f>
        <v>4140</v>
      </c>
      <c r="AQ61">
        <f>_xlfn.XLOOKUP(B61,'[4]june-2025'!$A:$A,'[4]june-2025'!$D:$D,0,0)</f>
        <v>400</v>
      </c>
      <c r="AR61">
        <f>_xlfn.XLOOKUP(B61,'[4]june-2025'!$A:$A,'[4]june-2025'!$G:$G,0,0)</f>
        <v>500</v>
      </c>
      <c r="AS61">
        <f>IF(AN61&gt;0,SUM(AN61:AR61),0)</f>
        <v>45750</v>
      </c>
      <c r="AT61">
        <f>_xlfn.XLOOKUP(B61,'[4]june-2025'!$A:$A,'[4]june-2025'!$H:$H,0,0)</f>
        <v>5000</v>
      </c>
      <c r="AU61">
        <f>_xlfn.XLOOKUP(B61,'[4]june-2025'!$A:$A,'[4]june-2025'!$I:$I,0,0)</f>
        <v>0</v>
      </c>
      <c r="AV61">
        <f>IF($F61="YES",0,IF(AS61&gt;40000,200,IF(AS61&gt;25000,150,IF(AS61&gt;15000,130,IF(AS61&gt;10000,110,0)))))</f>
        <v>200</v>
      </c>
      <c r="AW61">
        <f>AS61-AT61-AU61-AV61</f>
        <v>40550</v>
      </c>
      <c r="AX61">
        <f>_xlfn.XLOOKUP(B61,'[5]july-2025'!$A:$A,'[5]july-2025'!$C:$C,0,0)</f>
        <v>35500</v>
      </c>
      <c r="AY61">
        <f>AX61*0.18</f>
        <v>6390</v>
      </c>
      <c r="AZ61">
        <v>0</v>
      </c>
      <c r="BA61">
        <f>AX61*0.12</f>
        <v>4260</v>
      </c>
      <c r="BB61">
        <f>_xlfn.XLOOKUP(B61,'[5]july-2025'!$A:$A,'[5]july-2025'!$D:$D,0,0)</f>
        <v>400</v>
      </c>
      <c r="BC61">
        <f>_xlfn.XLOOKUP(B61,'[5]july-2025'!$A:$A,'[5]july-2025'!$G:$G,0,0)</f>
        <v>500</v>
      </c>
      <c r="BD61">
        <f>IF(AX61&gt;0,SUM(AX61:BC61),0)</f>
        <v>47050</v>
      </c>
      <c r="BE61">
        <f>_xlfn.XLOOKUP(B61,'[5]july-2025'!$A:$A,'[5]july-2025'!$H:$H,0,0)</f>
        <v>5000</v>
      </c>
      <c r="BF61">
        <f>_xlfn.XLOOKUP(B61,'[5]july-2025'!$A:$A,'[5]july-2025'!$I:$I,0,0)</f>
        <v>0</v>
      </c>
      <c r="BG61">
        <f>IF($F61="YES",0,IF(BD61&gt;40000,200,IF(BD61&gt;25000,150,IF(BD61&gt;15000,130,IF(BD61&gt;10000,110,0)))))</f>
        <v>200</v>
      </c>
      <c r="BH61">
        <f>BD61-BE61-BF61-BG61</f>
        <v>41850</v>
      </c>
      <c r="BI61">
        <f>_xlfn.XLOOKUP(B61,'[6]august-2025'!$A:$A,'[6]august-2025'!$C:$C,0,0)</f>
        <v>35500</v>
      </c>
      <c r="BJ61">
        <f>BI61*0.18</f>
        <v>6390</v>
      </c>
      <c r="BK61">
        <f>BI61*0.12</f>
        <v>4260</v>
      </c>
      <c r="BL61">
        <f>_xlfn.XLOOKUP(B61,'[6]august-2025'!$A:$A,'[6]august-2025'!$D:$D,0,0)</f>
        <v>400</v>
      </c>
      <c r="BM61">
        <f>_xlfn.XLOOKUP(B61,'[6]august-2025'!$A:$A,'[6]august-2025'!$G:$G,0,0)</f>
        <v>500</v>
      </c>
      <c r="BN61">
        <f>IF(BI61&gt;0,SUM(BI61:BM61),0)</f>
        <v>47050</v>
      </c>
      <c r="BO61">
        <f>_xlfn.XLOOKUP(B61,'[6]august-2025'!$A:$A,'[6]august-2025'!$H:$H,0,0)</f>
        <v>5000</v>
      </c>
      <c r="BP61">
        <f>_xlfn.XLOOKUP(B61,'[6]august-2025'!$A:$A,'[6]august-2025'!$I:$I,0,0)</f>
        <v>0</v>
      </c>
      <c r="BQ61">
        <f>IF($F61="YES",0,IF(BN61&gt;40000,200,IF(BN61&gt;25000,150,IF(BN61&gt;15000,130,IF(BN61&gt;10000,110,0)))))</f>
        <v>200</v>
      </c>
      <c r="BR61">
        <f>BN61-BO61-BP61-BQ61</f>
        <v>41850</v>
      </c>
      <c r="BS61">
        <f>_xlfn.XLOOKUP(B61,'[7]september-2025'!$A:$A,'[7]september-2025'!$C:$C,0,0)</f>
        <v>35500</v>
      </c>
      <c r="BT61">
        <f>BS61*0.18</f>
        <v>6390</v>
      </c>
      <c r="BU61">
        <f>BS61*0.12</f>
        <v>4260</v>
      </c>
      <c r="BV61">
        <f>_xlfn.XLOOKUP(B61,'[7]september-2025'!$A:$A,'[7]september-2025'!$D:$D,0,0)</f>
        <v>400</v>
      </c>
      <c r="BW61">
        <f>_xlfn.XLOOKUP(B61,'[7]september-2025'!$A:$A,'[7]september-2025'!$G:$G,0,0)</f>
        <v>500</v>
      </c>
      <c r="BX61">
        <f>IF(BS61&gt;0,SUM(BS61:BW61),0)</f>
        <v>47050</v>
      </c>
      <c r="BY61">
        <f>_xlfn.XLOOKUP(B61,'[7]september-2025'!$A:$A,'[7]september-2025'!$H:$H,0,0)</f>
        <v>5000</v>
      </c>
      <c r="BZ61">
        <f>_xlfn.XLOOKUP(B61,'[7]september-2025'!$A:$A,'[7]september-2025'!$I:$I,0,0)</f>
        <v>0</v>
      </c>
      <c r="CA61">
        <f>IF($F61="YES",0,IF(BX61&gt;40000,200,IF(BX61&gt;25000,150,IF(BX61&gt;15000,130,IF(BX61&gt;10000,110,0)))))</f>
        <v>200</v>
      </c>
      <c r="CB61">
        <f>BX61-BY61-BZ61-CA61</f>
        <v>41850</v>
      </c>
      <c r="CC61">
        <f>_xlfn.XLOOKUP(B61,'[8]october-2025'!$A:$A,'[8]october-2025'!$C:$C,0,0)</f>
        <v>35500</v>
      </c>
      <c r="CD61">
        <f>CC61*0.18</f>
        <v>6390</v>
      </c>
      <c r="CE61">
        <f>CC61*0.12</f>
        <v>4260</v>
      </c>
      <c r="CF61">
        <f>_xlfn.XLOOKUP(B61,'[8]october-2025'!$A:$A,'[8]october-2025'!$D:$D,0,0)</f>
        <v>400</v>
      </c>
      <c r="CG61">
        <f>_xlfn.XLOOKUP(B61,'[8]october-2025'!$A:$A,'[8]october-2025'!$G:$G,0,0)</f>
        <v>500</v>
      </c>
      <c r="CH61">
        <f>IF(CC61&gt;0,SUM(CC61:CG61),0)</f>
        <v>47050</v>
      </c>
      <c r="CI61">
        <f>_xlfn.XLOOKUP(B61,'[8]october-2025'!$A:$A,'[8]october-2025'!$H:$H,0,0)</f>
        <v>5000</v>
      </c>
      <c r="CJ61">
        <f>_xlfn.XLOOKUP(B61,'[8]october-2025'!$A:$A,'[8]october-2025'!$I:$I,0,0)</f>
        <v>0</v>
      </c>
      <c r="CK61">
        <f>IF($F61="YES",0,IF(CH61&gt;40000,200,IF(CH61&gt;25000,150,IF(CH61&gt;15000,130,IF(CH61&gt;10000,110,0)))))</f>
        <v>200</v>
      </c>
      <c r="CL61">
        <f>CH61-CI61-CJ61-CK61</f>
        <v>41850</v>
      </c>
      <c r="CM61">
        <f>_xlfn.XLOOKUP(B61,'[9]november-2025'!$A:$A,'[9]november-2025'!$C:$C,0,0)</f>
        <v>35500</v>
      </c>
      <c r="CN61">
        <f>CM61*0.18</f>
        <v>6390</v>
      </c>
      <c r="CO61">
        <f>CM61*0.12</f>
        <v>4260</v>
      </c>
      <c r="CP61">
        <f>_xlfn.XLOOKUP(B61,'[9]november-2025'!$A:$A,'[9]november-2025'!$D:$D,0,0)</f>
        <v>400</v>
      </c>
      <c r="CQ61">
        <f>_xlfn.XLOOKUP(B61,'[9]november-2025'!$A:$A,'[9]november-2025'!$G:$G,0,0)</f>
        <v>500</v>
      </c>
      <c r="CR61">
        <f>IF(CM61&gt;0,SUM(CM61:CQ61),0)</f>
        <v>47050</v>
      </c>
      <c r="CS61">
        <f>_xlfn.XLOOKUP(B61,'[9]november-2025'!$A:$A,'[9]november-2025'!$H:$H,0,0)</f>
        <v>5000</v>
      </c>
      <c r="CT61">
        <f>_xlfn.XLOOKUP(B61,'[9]november-2025'!$A:$A,'[9]november-2025'!$I:$I,0,0)</f>
        <v>0</v>
      </c>
      <c r="CU61">
        <f>IF($F61="YES",0,IF(CR61&gt;40000,200,IF(CR61&gt;25000,150,IF(CR61&gt;15000,130,IF(CR61&gt;10000,110,0)))))</f>
        <v>200</v>
      </c>
      <c r="CV61">
        <f>CR61-CS61-CT61-CU61</f>
        <v>41850</v>
      </c>
      <c r="CW61">
        <f>_xlfn.XLOOKUP(B61,'[10]december-2025'!$A:$A,'[10]december-2025'!$C:$C,0,0)</f>
        <v>35500</v>
      </c>
      <c r="CX61">
        <f>ROUND(CW61*0.18,0)</f>
        <v>6390</v>
      </c>
      <c r="CY61">
        <f>ROUND(CW61*0.12,0)</f>
        <v>4260</v>
      </c>
      <c r="CZ61">
        <f>_xlfn.XLOOKUP(B61,'[10]december-2025'!$A:$A,'[10]december-2025'!$D:$D,0,0)</f>
        <v>400</v>
      </c>
      <c r="DA61">
        <f>_xlfn.XLOOKUP(B61,'[10]december-2025'!$A:$A,'[10]december-2025'!$G:$G,0,0)</f>
        <v>500</v>
      </c>
      <c r="DB61">
        <f>IF(CW61&gt;0,SUM(CW61:DA61),0)</f>
        <v>47050</v>
      </c>
      <c r="DC61">
        <f>_xlfn.XLOOKUP(B61,'[10]december-2025'!$A:$A,'[10]december-2025'!$H:$H,0,0)</f>
        <v>5000</v>
      </c>
      <c r="DD61">
        <f>_xlfn.XLOOKUP(B61,'[10]december-2025'!$A:$A,'[10]december-2025'!$I:$I,0,0)</f>
        <v>0</v>
      </c>
      <c r="DE61">
        <f>IF($F61="YES",0,IF(DB61&gt;40000,200,IF(DB61&gt;25000,150,IF(DB61&gt;15000,130,IF(DB61&gt;10000,110,0)))))</f>
        <v>200</v>
      </c>
      <c r="DF61">
        <f>DB61-DC61-DD61-DE61</f>
        <v>41850</v>
      </c>
      <c r="DG61">
        <f>_xlfn.XLOOKUP(B61,'[11]january-2026'!$A:$A,'[11]january-2026'!$C:$C,0,0)</f>
        <v>35500</v>
      </c>
      <c r="DH61">
        <f>DG61*0.18</f>
        <v>6390</v>
      </c>
      <c r="DI61">
        <f>DG61*0.12</f>
        <v>4260</v>
      </c>
      <c r="DJ61">
        <f>_xlfn.XLOOKUP(B61,'[11]january-2026'!$A:$A,'[11]january-2026'!$D:$D,0,0)</f>
        <v>400</v>
      </c>
      <c r="DK61">
        <f>_xlfn.XLOOKUP(B61,'[11]january-2026'!$A:$A,'[11]january-2026'!$G:$G,0,0)</f>
        <v>500</v>
      </c>
      <c r="DL61">
        <f>IF(DG61&gt;0,SUM(DG61:DK61),0)</f>
        <v>47050</v>
      </c>
      <c r="DM61">
        <f>_xlfn.XLOOKUP(B61,'[11]january-2026'!$A:$A,'[11]january-2026'!$H:$H,0,0)</f>
        <v>5000</v>
      </c>
      <c r="DN61">
        <f>_xlfn.XLOOKUP(B61,'[11]january-2026'!$A:$A,'[11]january-2026'!$I:$I,0,0)</f>
        <v>0</v>
      </c>
      <c r="DO61">
        <f>IF($F61="YES",0,IF(DL61&gt;40000,200,IF(DL61&gt;25000,150,IF(DL61&gt;15000,130,IF(DL61&gt;10000,110,0)))))</f>
        <v>200</v>
      </c>
      <c r="DP61">
        <f>DL61-DM61-DN61-DO61</f>
        <v>41850</v>
      </c>
      <c r="DQ61">
        <f>_xlfn.XLOOKUP(B61,'[12]february-2026'!$A:$A,'[12]february-2026'!$C:$C,0,0)</f>
        <v>35500</v>
      </c>
      <c r="DR61">
        <f>DQ61*0.18</f>
        <v>6390</v>
      </c>
      <c r="DS61">
        <f>DQ61*0.12</f>
        <v>4260</v>
      </c>
      <c r="DT61">
        <f>_xlfn.XLOOKUP(B61,'[12]february-2026'!$A:$A,'[12]february-2026'!$D:$D,0,0)</f>
        <v>400</v>
      </c>
      <c r="DU61">
        <f>_xlfn.XLOOKUP(B61,'[12]february-2026'!$A:$A,'[12]february-2026'!$G:$G,0,0)</f>
        <v>500</v>
      </c>
      <c r="DV61">
        <f>IF(DQ61&gt;0,SUM(DQ61:DU61),0)</f>
        <v>47050</v>
      </c>
      <c r="DW61">
        <f>_xlfn.XLOOKUP(B61,'[12]february-2026'!$A:$A,'[12]february-2026'!$H:$H,0,0)</f>
        <v>5000</v>
      </c>
      <c r="DX61">
        <f>_xlfn.XLOOKUP(B61,'[12]february-2026'!$A:$A,'[12]february-2026'!$I:$I,0,0)</f>
        <v>0</v>
      </c>
      <c r="DY61">
        <f>IF($F61="YES",0,IF(DV61&gt;40000,200,IF(DV61&gt;25000,150,IF(DV61&gt;15000,130,IF(DV61&gt;10000,110,0)))))</f>
        <v>200</v>
      </c>
      <c r="DZ61">
        <f>DV61-DW61-DX61-DY61</f>
        <v>41850</v>
      </c>
      <c r="EA61">
        <f>DV61+DL61+DB61+CR61+CH61+BX61+BN61+BD61+AS61+AI61+Y61+O61+H61+I61</f>
        <v>564820</v>
      </c>
      <c r="EB61">
        <f>DY61+DO61+DE61+CU61+CK61+CA61+BQ61+BG61+AV61+AL61+AB61+R61</f>
        <v>2400</v>
      </c>
      <c r="EC61">
        <f>IF(EA61&gt;0,50000,0)</f>
        <v>50000</v>
      </c>
      <c r="ED61">
        <v>0</v>
      </c>
      <c r="EE61">
        <f>EA61-EB61-EC61</f>
        <v>512420</v>
      </c>
      <c r="EF61">
        <f>DW61+DM61+DC61+CS61+CI61+BY61+BO61+BE61+AT61+AJ61+Z61+P61</f>
        <v>60000</v>
      </c>
      <c r="EG61">
        <f>DX61+DN61+DD61+CT61+CJ61+BZ61+BP61+BF61+AU61+AK61+AA61+Q61</f>
        <v>0</v>
      </c>
      <c r="EH61">
        <v>0</v>
      </c>
      <c r="EI61">
        <v>0</v>
      </c>
      <c r="EJ61">
        <v>0</v>
      </c>
      <c r="EK61">
        <v>0</v>
      </c>
      <c r="EL61">
        <v>0</v>
      </c>
      <c r="EM61">
        <v>0</v>
      </c>
      <c r="EN61">
        <v>0</v>
      </c>
      <c r="EO61">
        <v>0</v>
      </c>
      <c r="EP61">
        <v>0</v>
      </c>
      <c r="EQ61">
        <v>0</v>
      </c>
      <c r="ER61">
        <f>SUM(EF61:EQ61)</f>
        <v>60000</v>
      </c>
      <c r="ES61">
        <f>IF(ER61&gt;=150000,150000,ER61)</f>
        <v>60000</v>
      </c>
      <c r="ET61">
        <f>EE61-ES61</f>
        <v>452420</v>
      </c>
      <c r="EU61">
        <v>0</v>
      </c>
      <c r="EV61">
        <v>0</v>
      </c>
      <c r="EW61">
        <v>0</v>
      </c>
      <c r="EX61">
        <v>0</v>
      </c>
      <c r="EY61">
        <v>0</v>
      </c>
      <c r="EZ61">
        <v>0</v>
      </c>
      <c r="FA61">
        <v>0</v>
      </c>
      <c r="FB61">
        <f>SUM(EU61:FA61)+(IF(F61="YES",50000,0))</f>
        <v>0</v>
      </c>
      <c r="FC61">
        <f>ET61-FB61</f>
        <v>452420</v>
      </c>
      <c r="FD61">
        <f>ROUND(IF(FC61&gt;0,IF(FC61&gt;500000,12500,(FC61-250000)*0.05),0),0)</f>
        <v>10121</v>
      </c>
      <c r="FE61">
        <f>IF(ROUND(IF(FC61&gt;0,IF(FC61&gt;1000000,25000,(FC61-500000)*0.2),0),0)&lt;0,0,ROUND(IF(FC61&gt;0,IF(FC61&gt;1000000,25000,(FC61-500000)*0.2),0),0))</f>
        <v>0</v>
      </c>
      <c r="FF61">
        <f>FD61+FE61</f>
        <v>10121</v>
      </c>
      <c r="FG61">
        <f>IF(FF61&lt;12500,0,FF61)</f>
        <v>0</v>
      </c>
      <c r="FH61">
        <f>FG61*0.04</f>
        <v>0</v>
      </c>
      <c r="FI61">
        <f>ROUND(FH61+FG61,0)</f>
        <v>0</v>
      </c>
      <c r="FJ61">
        <v>0</v>
      </c>
      <c r="FK61">
        <f>FI61-FJ61</f>
        <v>0</v>
      </c>
      <c r="FL61" t="b">
        <f>IF(EA61&gt;500000,TRUE,FALSE)</f>
        <v>1</v>
      </c>
      <c r="FM61">
        <f ca="1">IF(FL61,RANDBETWEEN(500,1000),RANDBETWEEN(1000,3000))</f>
        <v>743</v>
      </c>
      <c r="FN61">
        <f ca="1">EA61+FM61</f>
        <v>565563</v>
      </c>
      <c r="FO61">
        <f>IF(EA61&gt;0,75000,0)</f>
        <v>75000</v>
      </c>
      <c r="FP61">
        <f ca="1">FN61-FO61</f>
        <v>490563</v>
      </c>
      <c r="FQ61">
        <f ca="1">IF(FP61&gt;2400000,FP61-2400000,0)</f>
        <v>0</v>
      </c>
      <c r="FR61">
        <f ca="1">FQ61*0.3</f>
        <v>0</v>
      </c>
      <c r="FS61">
        <f ca="1">IF(FP61&gt;2000000,FP61-2000000,0)</f>
        <v>0</v>
      </c>
      <c r="FT61">
        <f ca="1">FS61*0.25</f>
        <v>0</v>
      </c>
      <c r="FU61">
        <f ca="1">IF(FP61&gt;1600000,FP61-1600000-FQ61,0)</f>
        <v>0</v>
      </c>
      <c r="FV61">
        <f ca="1">FU61*0.2</f>
        <v>0</v>
      </c>
      <c r="FW61">
        <f ca="1">IF(FP61&gt;1200000,FP61-1200000-IF(F61="YES",50000,0)-FU61,0)</f>
        <v>0</v>
      </c>
      <c r="FX61">
        <f ca="1">FW61*0.15</f>
        <v>0</v>
      </c>
      <c r="FY61">
        <f ca="1">IF(FP61&gt;800000,FP61-800000-FQ61-FU61-FW61,0)</f>
        <v>0</v>
      </c>
      <c r="FZ61">
        <f ca="1">FY61*0.1</f>
        <v>0</v>
      </c>
      <c r="GA61">
        <f ca="1">IF(FP61&gt;400000,FP61-400000-FQ61-FU61-FW61-FY61,0)</f>
        <v>90563</v>
      </c>
      <c r="GB61">
        <f ca="1">GA61*0.05</f>
        <v>4528.1500000000005</v>
      </c>
      <c r="GC61">
        <f ca="1">ROUND(FR61+FT61+FV61+FX61+FZ61+GB61,0)</f>
        <v>4528</v>
      </c>
      <c r="GD61">
        <f ca="1">IF(FP61&gt;1200000,FP61,0)</f>
        <v>0</v>
      </c>
      <c r="GE61">
        <f ca="1">IF(FP61&gt;1200000,GD61-1200000,0)</f>
        <v>0</v>
      </c>
      <c r="GF61">
        <f ca="1">IF(FP61&lt;1200001,MIN(GC61,60000),0)</f>
        <v>4528</v>
      </c>
      <c r="GG61">
        <f ca="1">IF(FP61&gt;1200000,GC61-GE61,0)</f>
        <v>0</v>
      </c>
      <c r="GH61" t="b">
        <f ca="1">IF(GG61&gt;0,TRUE,FALSE)</f>
        <v>0</v>
      </c>
      <c r="GI61">
        <f ca="1">IF(GH61,GG61,0)</f>
        <v>0</v>
      </c>
      <c r="GJ61">
        <f ca="1">GF61+GI61</f>
        <v>4528</v>
      </c>
      <c r="GK61">
        <f ca="1">ROUND(GC61-GJ61,0)</f>
        <v>0</v>
      </c>
      <c r="GL61">
        <f ca="1">GK61*0.04</f>
        <v>0</v>
      </c>
      <c r="GM61">
        <f ca="1">ROUNDUP(GK61+GL61,0)</f>
        <v>0</v>
      </c>
    </row>
    <row r="62" spans="1:195" x14ac:dyDescent="0.25">
      <c r="A62">
        <f>_xlfn.AGGREGATE(3,5,$B$2:B62)</f>
        <v>61</v>
      </c>
      <c r="B62" t="s">
        <v>242</v>
      </c>
      <c r="C62" t="s">
        <v>243</v>
      </c>
      <c r="D62" t="s">
        <v>768</v>
      </c>
      <c r="E62" t="s">
        <v>834</v>
      </c>
      <c r="F62" t="s">
        <v>959</v>
      </c>
      <c r="G62" t="s">
        <v>893</v>
      </c>
      <c r="H62">
        <f>IF(_xlfn.DAYS("31-03-2025",G62)&gt;=180,6800,0)</f>
        <v>6800</v>
      </c>
      <c r="I62">
        <f>_xlfn.XLOOKUP(B62,'[1]march-2025'!$A:$A,'[1]march-2025'!$J:$J,0,0)</f>
        <v>0</v>
      </c>
      <c r="J62">
        <f>_xlfn.XLOOKUP(B62,'[1]march-2025'!$A:$A,'[1]march-2025'!$C:$C,0,0)</f>
        <v>33500</v>
      </c>
      <c r="K62">
        <f>J62*0.14</f>
        <v>4690</v>
      </c>
      <c r="L62">
        <f>J62*0.12</f>
        <v>4020</v>
      </c>
      <c r="M62">
        <f>_xlfn.XLOOKUP(B62,'[1]march-2025'!$A:$A,'[1]march-2025'!$D:$D,0,0)</f>
        <v>0</v>
      </c>
      <c r="N62">
        <f>_xlfn.XLOOKUP(B62,'[1]march-2025'!$A:$A,'[1]march-2025'!$G:$G,0,0)</f>
        <v>500</v>
      </c>
      <c r="O62">
        <f>IF(J62&gt;0,SUM(J62:N62),0)</f>
        <v>42710</v>
      </c>
      <c r="P62">
        <f>_xlfn.XLOOKUP(B62,'[1]march-2025'!$A:$A,'[1]march-2025'!$H:$H,0,0)</f>
        <v>2500</v>
      </c>
      <c r="Q62">
        <f>_xlfn.XLOOKUP(B62,'[1]march-2025'!$A:$A,'[1]march-2025'!$I:$I,0,0)</f>
        <v>0</v>
      </c>
      <c r="R62">
        <f>IF($F62="YES",0,IF(O62&gt;40000,200,IF(O62&gt;25000,150,IF(O62&gt;15000,130,IF(O62&gt;10000,110,0)))))</f>
        <v>200</v>
      </c>
      <c r="S62">
        <f>O62-P62-Q62-R62</f>
        <v>40010</v>
      </c>
      <c r="T62">
        <f>_xlfn.XLOOKUP(B62,'[2]april-2025'!$A:$A,'[2]april-2025'!$C:$C,0,0)</f>
        <v>33500</v>
      </c>
      <c r="U62">
        <f>T62*0.18</f>
        <v>6030</v>
      </c>
      <c r="V62">
        <f>T62*0.12</f>
        <v>4020</v>
      </c>
      <c r="W62">
        <f>_xlfn.XLOOKUP(B62,'[2]april-2025'!$A:$A,'[2]april-2025'!$D:$D,0,0)</f>
        <v>0</v>
      </c>
      <c r="X62">
        <f>_xlfn.XLOOKUP(B62,'[2]april-2025'!$A:$A,'[2]april-2025'!$G:$G,0,0)</f>
        <v>500</v>
      </c>
      <c r="Y62">
        <f>IF(T62&gt;0,SUM(T62:X62),0)</f>
        <v>44050</v>
      </c>
      <c r="Z62">
        <f>_xlfn.XLOOKUP(B62,'[2]april-2025'!$A:$A,'[2]april-2025'!$H:$H,0,0)</f>
        <v>2500</v>
      </c>
      <c r="AA62">
        <f>_xlfn.XLOOKUP(B62,'[2]april-2025'!$A:$A,'[2]april-2025'!$I:$I,0,0)</f>
        <v>0</v>
      </c>
      <c r="AB62">
        <f>IF($F62="YES",0,IF(Y62&gt;40000,200,IF(Y62&gt;25000,150,IF(Y62&gt;15000,130,IF(Y62&gt;10000,110,0)))))</f>
        <v>200</v>
      </c>
      <c r="AC62">
        <f>Y62-Z62-AA62-AB62</f>
        <v>41350</v>
      </c>
      <c r="AD62">
        <f>_xlfn.XLOOKUP(B62,'[3]may-2025'!$A:$A,'[3]may-2025'!$C:$C,0,0)</f>
        <v>33500</v>
      </c>
      <c r="AE62">
        <f>AD62*0.18</f>
        <v>6030</v>
      </c>
      <c r="AF62">
        <f>AD62*0.12</f>
        <v>4020</v>
      </c>
      <c r="AG62">
        <f>_xlfn.XLOOKUP(B62,'[3]may-2025'!$A:$A,'[3]may-2025'!$D:$D,0,0)</f>
        <v>0</v>
      </c>
      <c r="AH62">
        <f>_xlfn.XLOOKUP(B62,'[3]may-2025'!$A:$A,'[3]may-2025'!$G:$G,0,0)</f>
        <v>500</v>
      </c>
      <c r="AI62">
        <f>IF(AD62&gt;0,SUM(AD62:AH62),0)</f>
        <v>44050</v>
      </c>
      <c r="AJ62">
        <f>_xlfn.XLOOKUP(B62,'[3]may-2025'!$A:$A,'[3]may-2025'!$H:$H,0,0)</f>
        <v>2500</v>
      </c>
      <c r="AK62">
        <f>_xlfn.XLOOKUP(B62,'[3]may-2025'!$A:$A,'[3]may-2025'!$I:$I,0,0)</f>
        <v>0</v>
      </c>
      <c r="AL62">
        <f>IF($F62="YES",0,IF(AI62&gt;40000,200,IF(AI62&gt;25000,150,IF(AI62&gt;15000,130,IF(AI62&gt;10000,110,0)))))</f>
        <v>200</v>
      </c>
      <c r="AM62">
        <f>AI62-AJ62-AK62-AL62</f>
        <v>41350</v>
      </c>
      <c r="AN62">
        <f>_xlfn.XLOOKUP(B62,'[4]june-2025'!$A:$A,'[4]june-2025'!$C:$C,0,0)</f>
        <v>33500</v>
      </c>
      <c r="AO62">
        <f>AN62*0.18</f>
        <v>6030</v>
      </c>
      <c r="AP62">
        <f>AN62*0.12</f>
        <v>4020</v>
      </c>
      <c r="AQ62">
        <f>_xlfn.XLOOKUP(B62,'[4]june-2025'!$A:$A,'[4]june-2025'!$D:$D,0,0)</f>
        <v>0</v>
      </c>
      <c r="AR62">
        <f>_xlfn.XLOOKUP(B62,'[4]june-2025'!$A:$A,'[4]june-2025'!$G:$G,0,0)</f>
        <v>500</v>
      </c>
      <c r="AS62">
        <f>IF(AN62&gt;0,SUM(AN62:AR62),0)</f>
        <v>44050</v>
      </c>
      <c r="AT62">
        <f>_xlfn.XLOOKUP(B62,'[4]june-2025'!$A:$A,'[4]june-2025'!$H:$H,0,0)</f>
        <v>2500</v>
      </c>
      <c r="AU62">
        <f>_xlfn.XLOOKUP(B62,'[4]june-2025'!$A:$A,'[4]june-2025'!$I:$I,0,0)</f>
        <v>0</v>
      </c>
      <c r="AV62">
        <f>IF($F62="YES",0,IF(AS62&gt;40000,200,IF(AS62&gt;25000,150,IF(AS62&gt;15000,130,IF(AS62&gt;10000,110,0)))))</f>
        <v>200</v>
      </c>
      <c r="AW62">
        <f>AS62-AT62-AU62-AV62</f>
        <v>41350</v>
      </c>
      <c r="AX62">
        <f>_xlfn.XLOOKUP(B62,'[5]july-2025'!$A:$A,'[5]july-2025'!$C:$C,0,0)</f>
        <v>35500</v>
      </c>
      <c r="AY62">
        <f>AX62*0.18</f>
        <v>6390</v>
      </c>
      <c r="AZ62">
        <v>0</v>
      </c>
      <c r="BA62">
        <f>AX62*0.12</f>
        <v>4260</v>
      </c>
      <c r="BB62">
        <f>_xlfn.XLOOKUP(B62,'[5]july-2025'!$A:$A,'[5]july-2025'!$D:$D,0,0)</f>
        <v>0</v>
      </c>
      <c r="BC62">
        <f>_xlfn.XLOOKUP(B62,'[5]july-2025'!$A:$A,'[5]july-2025'!$G:$G,0,0)</f>
        <v>500</v>
      </c>
      <c r="BD62">
        <f>IF(AX62&gt;0,SUM(AX62:BC62),0)</f>
        <v>46650</v>
      </c>
      <c r="BE62">
        <f>_xlfn.XLOOKUP(B62,'[5]july-2025'!$A:$A,'[5]july-2025'!$H:$H,0,0)</f>
        <v>2500</v>
      </c>
      <c r="BF62">
        <f>_xlfn.XLOOKUP(B62,'[5]july-2025'!$A:$A,'[5]july-2025'!$I:$I,0,0)</f>
        <v>0</v>
      </c>
      <c r="BG62">
        <f>IF($F62="YES",0,IF(BD62&gt;40000,200,IF(BD62&gt;25000,150,IF(BD62&gt;15000,130,IF(BD62&gt;10000,110,0)))))</f>
        <v>200</v>
      </c>
      <c r="BH62">
        <f>BD62-BE62-BF62-BG62</f>
        <v>43950</v>
      </c>
      <c r="BI62">
        <f>_xlfn.XLOOKUP(B62,'[6]august-2025'!$A:$A,'[6]august-2025'!$C:$C,0,0)</f>
        <v>34500</v>
      </c>
      <c r="BJ62">
        <f>BI62*0.18</f>
        <v>6210</v>
      </c>
      <c r="BK62">
        <f>BI62*0.12</f>
        <v>4140</v>
      </c>
      <c r="BL62">
        <f>_xlfn.XLOOKUP(B62,'[6]august-2025'!$A:$A,'[6]august-2025'!$D:$D,0,0)</f>
        <v>0</v>
      </c>
      <c r="BM62">
        <f>_xlfn.XLOOKUP(B62,'[6]august-2025'!$A:$A,'[6]august-2025'!$G:$G,0,0)</f>
        <v>500</v>
      </c>
      <c r="BN62">
        <f>IF(BI62&gt;0,SUM(BI62:BM62),0)</f>
        <v>45350</v>
      </c>
      <c r="BO62">
        <f>_xlfn.XLOOKUP(B62,'[6]august-2025'!$A:$A,'[6]august-2025'!$H:$H,0,0)</f>
        <v>2500</v>
      </c>
      <c r="BP62">
        <f>_xlfn.XLOOKUP(B62,'[6]august-2025'!$A:$A,'[6]august-2025'!$I:$I,0,0)</f>
        <v>0</v>
      </c>
      <c r="BQ62">
        <f>IF($F62="YES",0,IF(BN62&gt;40000,200,IF(BN62&gt;25000,150,IF(BN62&gt;15000,130,IF(BN62&gt;10000,110,0)))))</f>
        <v>200</v>
      </c>
      <c r="BR62">
        <f>BN62-BO62-BP62-BQ62</f>
        <v>42650</v>
      </c>
      <c r="BS62">
        <f>_xlfn.XLOOKUP(B62,'[7]september-2025'!$A:$A,'[7]september-2025'!$C:$C,0,0)</f>
        <v>35500</v>
      </c>
      <c r="BT62">
        <f>BS62*0.18</f>
        <v>6390</v>
      </c>
      <c r="BU62">
        <f>BS62*0.12</f>
        <v>4260</v>
      </c>
      <c r="BV62">
        <f>_xlfn.XLOOKUP(B62,'[7]september-2025'!$A:$A,'[7]september-2025'!$D:$D,0,0)</f>
        <v>0</v>
      </c>
      <c r="BW62">
        <f>_xlfn.XLOOKUP(B62,'[7]september-2025'!$A:$A,'[7]september-2025'!$G:$G,0,0)</f>
        <v>500</v>
      </c>
      <c r="BX62">
        <f>IF(BS62&gt;0,SUM(BS62:BW62),0)</f>
        <v>46650</v>
      </c>
      <c r="BY62">
        <f>_xlfn.XLOOKUP(B62,'[7]september-2025'!$A:$A,'[7]september-2025'!$H:$H,0,0)</f>
        <v>2500</v>
      </c>
      <c r="BZ62">
        <f>_xlfn.XLOOKUP(B62,'[7]september-2025'!$A:$A,'[7]september-2025'!$I:$I,0,0)</f>
        <v>0</v>
      </c>
      <c r="CA62">
        <f>IF($F62="YES",0,IF(BX62&gt;40000,200,IF(BX62&gt;25000,150,IF(BX62&gt;15000,130,IF(BX62&gt;10000,110,0)))))</f>
        <v>200</v>
      </c>
      <c r="CB62">
        <f>BX62-BY62-BZ62-CA62</f>
        <v>43950</v>
      </c>
      <c r="CC62">
        <f>_xlfn.XLOOKUP(B62,'[8]october-2025'!$A:$A,'[8]october-2025'!$C:$C,0,0)</f>
        <v>34500</v>
      </c>
      <c r="CD62">
        <f>CC62*0.18</f>
        <v>6210</v>
      </c>
      <c r="CE62">
        <f>CC62*0.12</f>
        <v>4140</v>
      </c>
      <c r="CF62">
        <f>_xlfn.XLOOKUP(B62,'[8]october-2025'!$A:$A,'[8]october-2025'!$D:$D,0,0)</f>
        <v>0</v>
      </c>
      <c r="CG62">
        <f>_xlfn.XLOOKUP(B62,'[8]october-2025'!$A:$A,'[8]october-2025'!$G:$G,0,0)</f>
        <v>500</v>
      </c>
      <c r="CH62">
        <f>IF(CC62&gt;0,SUM(CC62:CG62),0)</f>
        <v>45350</v>
      </c>
      <c r="CI62">
        <f>_xlfn.XLOOKUP(B62,'[8]october-2025'!$A:$A,'[8]october-2025'!$H:$H,0,0)</f>
        <v>2500</v>
      </c>
      <c r="CJ62">
        <f>_xlfn.XLOOKUP(B62,'[8]october-2025'!$A:$A,'[8]october-2025'!$I:$I,0,0)</f>
        <v>0</v>
      </c>
      <c r="CK62">
        <f>IF($F62="YES",0,IF(CH62&gt;40000,200,IF(CH62&gt;25000,150,IF(CH62&gt;15000,130,IF(CH62&gt;10000,110,0)))))</f>
        <v>200</v>
      </c>
      <c r="CL62">
        <f>CH62-CI62-CJ62-CK62</f>
        <v>42650</v>
      </c>
      <c r="CM62">
        <f>_xlfn.XLOOKUP(B62,'[9]november-2025'!$A:$A,'[9]november-2025'!$C:$C,0,0)</f>
        <v>34500</v>
      </c>
      <c r="CN62">
        <f>CM62*0.18</f>
        <v>6210</v>
      </c>
      <c r="CO62">
        <f>CM62*0.12</f>
        <v>4140</v>
      </c>
      <c r="CP62">
        <f>_xlfn.XLOOKUP(B62,'[9]november-2025'!$A:$A,'[9]november-2025'!$D:$D,0,0)</f>
        <v>0</v>
      </c>
      <c r="CQ62">
        <f>_xlfn.XLOOKUP(B62,'[9]november-2025'!$A:$A,'[9]november-2025'!$G:$G,0,0)</f>
        <v>500</v>
      </c>
      <c r="CR62">
        <f>IF(CM62&gt;0,SUM(CM62:CQ62),0)</f>
        <v>45350</v>
      </c>
      <c r="CS62">
        <f>_xlfn.XLOOKUP(B62,'[9]november-2025'!$A:$A,'[9]november-2025'!$H:$H,0,0)</f>
        <v>2500</v>
      </c>
      <c r="CT62">
        <f>_xlfn.XLOOKUP(B62,'[9]november-2025'!$A:$A,'[9]november-2025'!$I:$I,0,0)</f>
        <v>0</v>
      </c>
      <c r="CU62">
        <f>IF($F62="YES",0,IF(CR62&gt;40000,200,IF(CR62&gt;25000,150,IF(CR62&gt;15000,130,IF(CR62&gt;10000,110,0)))))</f>
        <v>200</v>
      </c>
      <c r="CV62">
        <f>CR62-CS62-CT62-CU62</f>
        <v>42650</v>
      </c>
      <c r="CW62">
        <f>_xlfn.XLOOKUP(B62,'[10]december-2025'!$A:$A,'[10]december-2025'!$C:$C,0,0)</f>
        <v>34500</v>
      </c>
      <c r="CX62">
        <f>ROUND(CW62*0.18,0)</f>
        <v>6210</v>
      </c>
      <c r="CY62">
        <f>ROUND(CW62*0.12,0)</f>
        <v>4140</v>
      </c>
      <c r="CZ62">
        <f>_xlfn.XLOOKUP(B62,'[10]december-2025'!$A:$A,'[10]december-2025'!$D:$D,0,0)</f>
        <v>0</v>
      </c>
      <c r="DA62">
        <f>_xlfn.XLOOKUP(B62,'[10]december-2025'!$A:$A,'[10]december-2025'!$G:$G,0,0)</f>
        <v>500</v>
      </c>
      <c r="DB62">
        <f>IF(CW62&gt;0,SUM(CW62:DA62),0)</f>
        <v>45350</v>
      </c>
      <c r="DC62">
        <f>_xlfn.XLOOKUP(B62,'[10]december-2025'!$A:$A,'[10]december-2025'!$H:$H,0,0)</f>
        <v>2500</v>
      </c>
      <c r="DD62">
        <f>_xlfn.XLOOKUP(B62,'[10]december-2025'!$A:$A,'[10]december-2025'!$I:$I,0,0)</f>
        <v>0</v>
      </c>
      <c r="DE62">
        <f>IF($F62="YES",0,IF(DB62&gt;40000,200,IF(DB62&gt;25000,150,IF(DB62&gt;15000,130,IF(DB62&gt;10000,110,0)))))</f>
        <v>200</v>
      </c>
      <c r="DF62">
        <f>DB62-DC62-DD62-DE62</f>
        <v>42650</v>
      </c>
      <c r="DG62">
        <f>_xlfn.XLOOKUP(B62,'[11]january-2026'!$A:$A,'[11]january-2026'!$C:$C,0,0)</f>
        <v>34500</v>
      </c>
      <c r="DH62">
        <f>DG62*0.18</f>
        <v>6210</v>
      </c>
      <c r="DI62">
        <f>DG62*0.12</f>
        <v>4140</v>
      </c>
      <c r="DJ62">
        <f>_xlfn.XLOOKUP(B62,'[11]january-2026'!$A:$A,'[11]january-2026'!$D:$D,0,0)</f>
        <v>0</v>
      </c>
      <c r="DK62">
        <f>_xlfn.XLOOKUP(B62,'[11]january-2026'!$A:$A,'[11]january-2026'!$G:$G,0,0)</f>
        <v>500</v>
      </c>
      <c r="DL62">
        <f>IF(DG62&gt;0,SUM(DG62:DK62),0)</f>
        <v>45350</v>
      </c>
      <c r="DM62">
        <f>_xlfn.XLOOKUP(B62,'[11]january-2026'!$A:$A,'[11]january-2026'!$H:$H,0,0)</f>
        <v>2500</v>
      </c>
      <c r="DN62">
        <f>_xlfn.XLOOKUP(B62,'[11]january-2026'!$A:$A,'[11]january-2026'!$I:$I,0,0)</f>
        <v>0</v>
      </c>
      <c r="DO62">
        <f>IF($F62="YES",0,IF(DL62&gt;40000,200,IF(DL62&gt;25000,150,IF(DL62&gt;15000,130,IF(DL62&gt;10000,110,0)))))</f>
        <v>200</v>
      </c>
      <c r="DP62">
        <f>DL62-DM62-DN62-DO62</f>
        <v>42650</v>
      </c>
      <c r="DQ62">
        <f>_xlfn.XLOOKUP(B62,'[12]february-2026'!$A:$A,'[12]february-2026'!$C:$C,0,0)</f>
        <v>34500</v>
      </c>
      <c r="DR62">
        <f>DQ62*0.18</f>
        <v>6210</v>
      </c>
      <c r="DS62">
        <f>DQ62*0.12</f>
        <v>4140</v>
      </c>
      <c r="DT62">
        <f>_xlfn.XLOOKUP(B62,'[12]february-2026'!$A:$A,'[12]february-2026'!$D:$D,0,0)</f>
        <v>0</v>
      </c>
      <c r="DU62">
        <f>_xlfn.XLOOKUP(B62,'[12]february-2026'!$A:$A,'[12]february-2026'!$G:$G,0,0)</f>
        <v>500</v>
      </c>
      <c r="DV62">
        <f>IF(DQ62&gt;0,SUM(DQ62:DU62),0)</f>
        <v>45350</v>
      </c>
      <c r="DW62">
        <f>_xlfn.XLOOKUP(B62,'[12]february-2026'!$A:$A,'[12]february-2026'!$H:$H,0,0)</f>
        <v>2500</v>
      </c>
      <c r="DX62">
        <f>_xlfn.XLOOKUP(B62,'[12]february-2026'!$A:$A,'[12]february-2026'!$I:$I,0,0)</f>
        <v>0</v>
      </c>
      <c r="DY62">
        <f>IF($F62="YES",0,IF(DV62&gt;40000,200,IF(DV62&gt;25000,150,IF(DV62&gt;15000,130,IF(DV62&gt;10000,110,0)))))</f>
        <v>200</v>
      </c>
      <c r="DZ62">
        <f>DV62-DW62-DX62-DY62</f>
        <v>42650</v>
      </c>
      <c r="EA62">
        <f>DV62+DL62+DB62+CR62+CH62+BX62+BN62+BD62+AS62+AI62+Y62+O62+H62+I62</f>
        <v>547060</v>
      </c>
      <c r="EB62">
        <f>DY62+DO62+DE62+CU62+CK62+CA62+BQ62+BG62+AV62+AL62+AB62+R62</f>
        <v>2400</v>
      </c>
      <c r="EC62">
        <f>IF(EA62&gt;0,50000,0)</f>
        <v>50000</v>
      </c>
      <c r="ED62">
        <v>0</v>
      </c>
      <c r="EE62">
        <f>EA62-EB62-EC62</f>
        <v>494660</v>
      </c>
      <c r="EF62">
        <f>DW62+DM62+DC62+CS62+CI62+BY62+BO62+BE62+AT62+AJ62+Z62+P62</f>
        <v>30000</v>
      </c>
      <c r="EG62">
        <f>DX62+DN62+DD62+CT62+CJ62+BZ62+BP62+BF62+AU62+AK62+AA62+Q62</f>
        <v>0</v>
      </c>
      <c r="EH62">
        <v>0</v>
      </c>
      <c r="EI62">
        <v>0</v>
      </c>
      <c r="EJ62">
        <v>0</v>
      </c>
      <c r="EK62">
        <v>0</v>
      </c>
      <c r="EL62">
        <v>0</v>
      </c>
      <c r="EM62">
        <v>0</v>
      </c>
      <c r="EN62">
        <v>0</v>
      </c>
      <c r="EO62">
        <v>0</v>
      </c>
      <c r="EP62">
        <v>0</v>
      </c>
      <c r="EQ62">
        <v>0</v>
      </c>
      <c r="ER62">
        <f>SUM(EF62:EQ62)</f>
        <v>30000</v>
      </c>
      <c r="ES62">
        <f>IF(ER62&gt;=150000,150000,ER62)</f>
        <v>30000</v>
      </c>
      <c r="ET62">
        <f>EE62-ES62</f>
        <v>464660</v>
      </c>
      <c r="EU62">
        <v>0</v>
      </c>
      <c r="EV62">
        <v>0</v>
      </c>
      <c r="EW62">
        <v>0</v>
      </c>
      <c r="EX62">
        <v>0</v>
      </c>
      <c r="EY62">
        <v>0</v>
      </c>
      <c r="EZ62">
        <v>0</v>
      </c>
      <c r="FA62">
        <v>0</v>
      </c>
      <c r="FB62">
        <f>SUM(EU62:FA62)+(IF(F62="YES",50000,0))</f>
        <v>0</v>
      </c>
      <c r="FC62">
        <f>ET62-FB62</f>
        <v>464660</v>
      </c>
      <c r="FD62">
        <f>ROUND(IF(FC62&gt;0,IF(FC62&gt;500000,12500,(FC62-250000)*0.05),0),0)</f>
        <v>10733</v>
      </c>
      <c r="FE62">
        <f>IF(ROUND(IF(FC62&gt;0,IF(FC62&gt;1000000,25000,(FC62-500000)*0.2),0),0)&lt;0,0,ROUND(IF(FC62&gt;0,IF(FC62&gt;1000000,25000,(FC62-500000)*0.2),0),0))</f>
        <v>0</v>
      </c>
      <c r="FF62">
        <f>FD62+FE62</f>
        <v>10733</v>
      </c>
      <c r="FG62">
        <f>IF(FF62&lt;12500,0,FF62)</f>
        <v>0</v>
      </c>
      <c r="FH62">
        <f>FG62*0.04</f>
        <v>0</v>
      </c>
      <c r="FI62">
        <f>ROUND(FH62+FG62,0)</f>
        <v>0</v>
      </c>
      <c r="FJ62">
        <v>0</v>
      </c>
      <c r="FK62">
        <f>FI62-FJ62</f>
        <v>0</v>
      </c>
      <c r="FL62" t="b">
        <f>IF(EA62&gt;500000,TRUE,FALSE)</f>
        <v>1</v>
      </c>
      <c r="FM62">
        <f ca="1">IF(FL62,RANDBETWEEN(500,1000),RANDBETWEEN(1000,3000))</f>
        <v>553</v>
      </c>
      <c r="FN62">
        <f ca="1">EA62+FM62</f>
        <v>547613</v>
      </c>
      <c r="FO62">
        <f>IF(EA62&gt;0,75000,0)</f>
        <v>75000</v>
      </c>
      <c r="FP62">
        <f ca="1">FN62-FO62</f>
        <v>472613</v>
      </c>
      <c r="FQ62">
        <f ca="1">IF(FP62&gt;2400000,FP62-2400000,0)</f>
        <v>0</v>
      </c>
      <c r="FR62">
        <f ca="1">FQ62*0.3</f>
        <v>0</v>
      </c>
      <c r="FS62">
        <f ca="1">IF(FP62&gt;2000000,FP62-2000000,0)</f>
        <v>0</v>
      </c>
      <c r="FT62">
        <f ca="1">FS62*0.25</f>
        <v>0</v>
      </c>
      <c r="FU62">
        <f ca="1">IF(FP62&gt;1600000,FP62-1600000-FQ62,0)</f>
        <v>0</v>
      </c>
      <c r="FV62">
        <f ca="1">FU62*0.2</f>
        <v>0</v>
      </c>
      <c r="FW62">
        <f ca="1">IF(FP62&gt;1200000,FP62-1200000-IF(F62="YES",50000,0)-FU62,0)</f>
        <v>0</v>
      </c>
      <c r="FX62">
        <f ca="1">FW62*0.15</f>
        <v>0</v>
      </c>
      <c r="FY62">
        <f ca="1">IF(FP62&gt;800000,FP62-800000-FQ62-FU62-FW62,0)</f>
        <v>0</v>
      </c>
      <c r="FZ62">
        <f ca="1">FY62*0.1</f>
        <v>0</v>
      </c>
      <c r="GA62">
        <f ca="1">IF(FP62&gt;400000,FP62-400000-FQ62-FU62-FW62-FY62,0)</f>
        <v>72613</v>
      </c>
      <c r="GB62">
        <f ca="1">GA62*0.05</f>
        <v>3630.65</v>
      </c>
      <c r="GC62">
        <f ca="1">ROUND(FR62+FT62+FV62+FX62+FZ62+GB62,0)</f>
        <v>3631</v>
      </c>
      <c r="GD62">
        <f ca="1">IF(FP62&gt;1200000,FP62,0)</f>
        <v>0</v>
      </c>
      <c r="GE62">
        <f ca="1">IF(FP62&gt;1200000,GD62-1200000,0)</f>
        <v>0</v>
      </c>
      <c r="GF62">
        <f ca="1">IF(FP62&lt;1200001,MIN(GC62,60000),0)</f>
        <v>3631</v>
      </c>
      <c r="GG62">
        <f ca="1">IF(FP62&gt;1200000,GC62-GE62,0)</f>
        <v>0</v>
      </c>
      <c r="GH62" t="b">
        <f ca="1">IF(GG62&gt;0,TRUE,FALSE)</f>
        <v>0</v>
      </c>
      <c r="GI62">
        <f ca="1">IF(GH62,GG62,0)</f>
        <v>0</v>
      </c>
      <c r="GJ62">
        <f ca="1">GF62+GI62</f>
        <v>3631</v>
      </c>
      <c r="GK62">
        <f ca="1">ROUND(GC62-GJ62,0)</f>
        <v>0</v>
      </c>
      <c r="GL62">
        <f ca="1">GK62*0.04</f>
        <v>0</v>
      </c>
      <c r="GM62">
        <f ca="1">ROUNDUP(GK62+GL62,0)</f>
        <v>0</v>
      </c>
    </row>
    <row r="63" spans="1:195" x14ac:dyDescent="0.25">
      <c r="A63">
        <f>_xlfn.AGGREGATE(3,5,$B$2:B63)</f>
        <v>62</v>
      </c>
      <c r="B63" t="s">
        <v>244</v>
      </c>
      <c r="C63" t="s">
        <v>245</v>
      </c>
      <c r="D63" t="s">
        <v>768</v>
      </c>
      <c r="E63" t="s">
        <v>833</v>
      </c>
      <c r="F63" t="s">
        <v>959</v>
      </c>
      <c r="G63" t="s">
        <v>899</v>
      </c>
      <c r="H63">
        <f>IF(_xlfn.DAYS("31-03-2025",G63)&gt;=180,6800,0)</f>
        <v>6800</v>
      </c>
      <c r="I63">
        <f>_xlfn.XLOOKUP(B63,'[1]march-2025'!$A:$A,'[1]march-2025'!$J:$J,0,0)</f>
        <v>0</v>
      </c>
      <c r="J63">
        <f>_xlfn.XLOOKUP(B63,'[1]march-2025'!$A:$A,'[1]march-2025'!$C:$C,0,0)</f>
        <v>33500</v>
      </c>
      <c r="K63">
        <f>J63*0.14</f>
        <v>4690</v>
      </c>
      <c r="L63">
        <f>J63*0.12</f>
        <v>4020</v>
      </c>
      <c r="M63">
        <f>_xlfn.XLOOKUP(B63,'[1]march-2025'!$A:$A,'[1]march-2025'!$D:$D,0,0)</f>
        <v>0</v>
      </c>
      <c r="N63">
        <f>_xlfn.XLOOKUP(B63,'[1]march-2025'!$A:$A,'[1]march-2025'!$G:$G,0,0)</f>
        <v>0</v>
      </c>
      <c r="O63">
        <f>IF(J63&gt;0,SUM(J63:N63),0)</f>
        <v>42210</v>
      </c>
      <c r="P63">
        <f>_xlfn.XLOOKUP(B63,'[1]march-2025'!$A:$A,'[1]march-2025'!$H:$H,0,0)</f>
        <v>2500</v>
      </c>
      <c r="Q63">
        <f>_xlfn.XLOOKUP(B63,'[1]march-2025'!$A:$A,'[1]march-2025'!$I:$I,0,0)</f>
        <v>0</v>
      </c>
      <c r="R63">
        <f>IF($F63="YES",0,IF(O63&gt;40000,200,IF(O63&gt;25000,150,IF(O63&gt;15000,130,IF(O63&gt;10000,110,0)))))</f>
        <v>200</v>
      </c>
      <c r="S63">
        <f>O63-P63-Q63-R63</f>
        <v>39510</v>
      </c>
      <c r="T63">
        <f>_xlfn.XLOOKUP(B63,'[2]april-2025'!$A:$A,'[2]april-2025'!$C:$C,0,0)</f>
        <v>33500</v>
      </c>
      <c r="U63">
        <f>T63*0.18</f>
        <v>6030</v>
      </c>
      <c r="V63">
        <f>T63*0.12</f>
        <v>4020</v>
      </c>
      <c r="W63">
        <f>_xlfn.XLOOKUP(B63,'[2]april-2025'!$A:$A,'[2]april-2025'!$D:$D,0,0)</f>
        <v>0</v>
      </c>
      <c r="X63">
        <f>_xlfn.XLOOKUP(B63,'[2]april-2025'!$A:$A,'[2]april-2025'!$G:$G,0,0)</f>
        <v>0</v>
      </c>
      <c r="Y63">
        <f>IF(T63&gt;0,SUM(T63:X63),0)</f>
        <v>43550</v>
      </c>
      <c r="Z63">
        <f>_xlfn.XLOOKUP(B63,'[2]april-2025'!$A:$A,'[2]april-2025'!$H:$H,0,0)</f>
        <v>2500</v>
      </c>
      <c r="AA63">
        <f>_xlfn.XLOOKUP(B63,'[2]april-2025'!$A:$A,'[2]april-2025'!$I:$I,0,0)</f>
        <v>0</v>
      </c>
      <c r="AB63">
        <f>IF($F63="YES",0,IF(Y63&gt;40000,200,IF(Y63&gt;25000,150,IF(Y63&gt;15000,130,IF(Y63&gt;10000,110,0)))))</f>
        <v>200</v>
      </c>
      <c r="AC63">
        <f>Y63-Z63-AA63-AB63</f>
        <v>40850</v>
      </c>
      <c r="AD63">
        <f>_xlfn.XLOOKUP(B63,'[3]may-2025'!$A:$A,'[3]may-2025'!$C:$C,0,0)</f>
        <v>33500</v>
      </c>
      <c r="AE63">
        <f>AD63*0.18</f>
        <v>6030</v>
      </c>
      <c r="AF63">
        <f>AD63*0.12</f>
        <v>4020</v>
      </c>
      <c r="AG63">
        <f>_xlfn.XLOOKUP(B63,'[3]may-2025'!$A:$A,'[3]may-2025'!$D:$D,0,0)</f>
        <v>0</v>
      </c>
      <c r="AH63">
        <f>_xlfn.XLOOKUP(B63,'[3]may-2025'!$A:$A,'[3]may-2025'!$G:$G,0,0)</f>
        <v>0</v>
      </c>
      <c r="AI63">
        <f>IF(AD63&gt;0,SUM(AD63:AH63),0)</f>
        <v>43550</v>
      </c>
      <c r="AJ63">
        <f>_xlfn.XLOOKUP(B63,'[3]may-2025'!$A:$A,'[3]may-2025'!$H:$H,0,0)</f>
        <v>2500</v>
      </c>
      <c r="AK63">
        <f>_xlfn.XLOOKUP(B63,'[3]may-2025'!$A:$A,'[3]may-2025'!$I:$I,0,0)</f>
        <v>0</v>
      </c>
      <c r="AL63">
        <f>IF($F63="YES",0,IF(AI63&gt;40000,200,IF(AI63&gt;25000,150,IF(AI63&gt;15000,130,IF(AI63&gt;10000,110,0)))))</f>
        <v>200</v>
      </c>
      <c r="AM63">
        <f>AI63-AJ63-AK63-AL63</f>
        <v>40850</v>
      </c>
      <c r="AN63">
        <f>_xlfn.XLOOKUP(B63,'[4]june-2025'!$A:$A,'[4]june-2025'!$C:$C,0,0)</f>
        <v>33500</v>
      </c>
      <c r="AO63">
        <f>AN63*0.18</f>
        <v>6030</v>
      </c>
      <c r="AP63">
        <f>AN63*0.12</f>
        <v>4020</v>
      </c>
      <c r="AQ63">
        <f>_xlfn.XLOOKUP(B63,'[4]june-2025'!$A:$A,'[4]june-2025'!$D:$D,0,0)</f>
        <v>0</v>
      </c>
      <c r="AR63">
        <f>_xlfn.XLOOKUP(B63,'[4]june-2025'!$A:$A,'[4]june-2025'!$G:$G,0,0)</f>
        <v>0</v>
      </c>
      <c r="AS63">
        <f>IF(AN63&gt;0,SUM(AN63:AR63),0)</f>
        <v>43550</v>
      </c>
      <c r="AT63">
        <f>_xlfn.XLOOKUP(B63,'[4]june-2025'!$A:$A,'[4]june-2025'!$H:$H,0,0)</f>
        <v>2500</v>
      </c>
      <c r="AU63">
        <f>_xlfn.XLOOKUP(B63,'[4]june-2025'!$A:$A,'[4]june-2025'!$I:$I,0,0)</f>
        <v>0</v>
      </c>
      <c r="AV63">
        <f>IF($F63="YES",0,IF(AS63&gt;40000,200,IF(AS63&gt;25000,150,IF(AS63&gt;15000,130,IF(AS63&gt;10000,110,0)))))</f>
        <v>200</v>
      </c>
      <c r="AW63">
        <f>AS63-AT63-AU63-AV63</f>
        <v>40850</v>
      </c>
      <c r="AX63">
        <f>_xlfn.XLOOKUP(B63,'[5]july-2025'!$A:$A,'[5]july-2025'!$C:$C,0,0)</f>
        <v>34500</v>
      </c>
      <c r="AY63">
        <f>AX63*0.18</f>
        <v>6210</v>
      </c>
      <c r="AZ63">
        <v>0</v>
      </c>
      <c r="BA63">
        <f>AX63*0.12</f>
        <v>4140</v>
      </c>
      <c r="BB63">
        <f>_xlfn.XLOOKUP(B63,'[5]july-2025'!$A:$A,'[5]july-2025'!$D:$D,0,0)</f>
        <v>0</v>
      </c>
      <c r="BC63">
        <f>_xlfn.XLOOKUP(B63,'[5]july-2025'!$A:$A,'[5]july-2025'!$G:$G,0,0)</f>
        <v>0</v>
      </c>
      <c r="BD63">
        <f>IF(AX63&gt;0,SUM(AX63:BC63),0)</f>
        <v>44850</v>
      </c>
      <c r="BE63">
        <f>_xlfn.XLOOKUP(B63,'[5]july-2025'!$A:$A,'[5]july-2025'!$H:$H,0,0)</f>
        <v>2500</v>
      </c>
      <c r="BF63">
        <f>_xlfn.XLOOKUP(B63,'[5]july-2025'!$A:$A,'[5]july-2025'!$I:$I,0,0)</f>
        <v>0</v>
      </c>
      <c r="BG63">
        <f>IF($F63="YES",0,IF(BD63&gt;40000,200,IF(BD63&gt;25000,150,IF(BD63&gt;15000,130,IF(BD63&gt;10000,110,0)))))</f>
        <v>200</v>
      </c>
      <c r="BH63">
        <f>BD63-BE63-BF63-BG63</f>
        <v>42150</v>
      </c>
      <c r="BI63">
        <f>_xlfn.XLOOKUP(B63,'[6]august-2025'!$A:$A,'[6]august-2025'!$C:$C,0,0)</f>
        <v>34500</v>
      </c>
      <c r="BJ63">
        <f>BI63*0.18</f>
        <v>6210</v>
      </c>
      <c r="BK63">
        <f>BI63*0.12</f>
        <v>4140</v>
      </c>
      <c r="BL63">
        <f>_xlfn.XLOOKUP(B63,'[6]august-2025'!$A:$A,'[6]august-2025'!$D:$D,0,0)</f>
        <v>0</v>
      </c>
      <c r="BM63">
        <f>_xlfn.XLOOKUP(B63,'[6]august-2025'!$A:$A,'[6]august-2025'!$G:$G,0,0)</f>
        <v>0</v>
      </c>
      <c r="BN63">
        <f>IF(BI63&gt;0,SUM(BI63:BM63),0)</f>
        <v>44850</v>
      </c>
      <c r="BO63">
        <f>_xlfn.XLOOKUP(B63,'[6]august-2025'!$A:$A,'[6]august-2025'!$H:$H,0,0)</f>
        <v>2500</v>
      </c>
      <c r="BP63">
        <f>_xlfn.XLOOKUP(B63,'[6]august-2025'!$A:$A,'[6]august-2025'!$I:$I,0,0)</f>
        <v>0</v>
      </c>
      <c r="BQ63">
        <f>IF($F63="YES",0,IF(BN63&gt;40000,200,IF(BN63&gt;25000,150,IF(BN63&gt;15000,130,IF(BN63&gt;10000,110,0)))))</f>
        <v>200</v>
      </c>
      <c r="BR63">
        <f>BN63-BO63-BP63-BQ63</f>
        <v>42150</v>
      </c>
      <c r="BS63">
        <f>_xlfn.XLOOKUP(B63,'[7]september-2025'!$A:$A,'[7]september-2025'!$C:$C,0,0)</f>
        <v>34500</v>
      </c>
      <c r="BT63">
        <f>BS63*0.18</f>
        <v>6210</v>
      </c>
      <c r="BU63">
        <f>BS63*0.12</f>
        <v>4140</v>
      </c>
      <c r="BV63">
        <f>_xlfn.XLOOKUP(B63,'[7]september-2025'!$A:$A,'[7]september-2025'!$D:$D,0,0)</f>
        <v>0</v>
      </c>
      <c r="BW63">
        <f>_xlfn.XLOOKUP(B63,'[7]september-2025'!$A:$A,'[7]september-2025'!$G:$G,0,0)</f>
        <v>0</v>
      </c>
      <c r="BX63">
        <f>IF(BS63&gt;0,SUM(BS63:BW63),0)</f>
        <v>44850</v>
      </c>
      <c r="BY63">
        <f>_xlfn.XLOOKUP(B63,'[7]september-2025'!$A:$A,'[7]september-2025'!$H:$H,0,0)</f>
        <v>2500</v>
      </c>
      <c r="BZ63">
        <f>_xlfn.XLOOKUP(B63,'[7]september-2025'!$A:$A,'[7]september-2025'!$I:$I,0,0)</f>
        <v>0</v>
      </c>
      <c r="CA63">
        <f>IF($F63="YES",0,IF(BX63&gt;40000,200,IF(BX63&gt;25000,150,IF(BX63&gt;15000,130,IF(BX63&gt;10000,110,0)))))</f>
        <v>200</v>
      </c>
      <c r="CB63">
        <f>BX63-BY63-BZ63-CA63</f>
        <v>42150</v>
      </c>
      <c r="CC63">
        <f>_xlfn.XLOOKUP(B63,'[8]october-2025'!$A:$A,'[8]october-2025'!$C:$C,0,0)</f>
        <v>34500</v>
      </c>
      <c r="CD63">
        <f>CC63*0.18</f>
        <v>6210</v>
      </c>
      <c r="CE63">
        <f>CC63*0.12</f>
        <v>4140</v>
      </c>
      <c r="CF63">
        <f>_xlfn.XLOOKUP(B63,'[8]october-2025'!$A:$A,'[8]october-2025'!$D:$D,0,0)</f>
        <v>0</v>
      </c>
      <c r="CG63">
        <f>_xlfn.XLOOKUP(B63,'[8]october-2025'!$A:$A,'[8]october-2025'!$G:$G,0,0)</f>
        <v>0</v>
      </c>
      <c r="CH63">
        <f>IF(CC63&gt;0,SUM(CC63:CG63),0)</f>
        <v>44850</v>
      </c>
      <c r="CI63">
        <f>_xlfn.XLOOKUP(B63,'[8]october-2025'!$A:$A,'[8]october-2025'!$H:$H,0,0)</f>
        <v>2500</v>
      </c>
      <c r="CJ63">
        <f>_xlfn.XLOOKUP(B63,'[8]october-2025'!$A:$A,'[8]october-2025'!$I:$I,0,0)</f>
        <v>0</v>
      </c>
      <c r="CK63">
        <f>IF($F63="YES",0,IF(CH63&gt;40000,200,IF(CH63&gt;25000,150,IF(CH63&gt;15000,130,IF(CH63&gt;10000,110,0)))))</f>
        <v>200</v>
      </c>
      <c r="CL63">
        <f>CH63-CI63-CJ63-CK63</f>
        <v>42150</v>
      </c>
      <c r="CM63">
        <f>_xlfn.XLOOKUP(B63,'[9]november-2025'!$A:$A,'[9]november-2025'!$C:$C,0,0)</f>
        <v>34500</v>
      </c>
      <c r="CN63">
        <f>CM63*0.18</f>
        <v>6210</v>
      </c>
      <c r="CO63">
        <f>CM63*0.12</f>
        <v>4140</v>
      </c>
      <c r="CP63">
        <f>_xlfn.XLOOKUP(B63,'[9]november-2025'!$A:$A,'[9]november-2025'!$D:$D,0,0)</f>
        <v>0</v>
      </c>
      <c r="CQ63">
        <f>_xlfn.XLOOKUP(B63,'[9]november-2025'!$A:$A,'[9]november-2025'!$G:$G,0,0)</f>
        <v>0</v>
      </c>
      <c r="CR63">
        <f>IF(CM63&gt;0,SUM(CM63:CQ63),0)</f>
        <v>44850</v>
      </c>
      <c r="CS63">
        <f>_xlfn.XLOOKUP(B63,'[9]november-2025'!$A:$A,'[9]november-2025'!$H:$H,0,0)</f>
        <v>2500</v>
      </c>
      <c r="CT63">
        <f>_xlfn.XLOOKUP(B63,'[9]november-2025'!$A:$A,'[9]november-2025'!$I:$I,0,0)</f>
        <v>0</v>
      </c>
      <c r="CU63">
        <f>IF($F63="YES",0,IF(CR63&gt;40000,200,IF(CR63&gt;25000,150,IF(CR63&gt;15000,130,IF(CR63&gt;10000,110,0)))))</f>
        <v>200</v>
      </c>
      <c r="CV63">
        <f>CR63-CS63-CT63-CU63</f>
        <v>42150</v>
      </c>
      <c r="CW63">
        <f>_xlfn.XLOOKUP(B63,'[10]december-2025'!$A:$A,'[10]december-2025'!$C:$C,0,0)</f>
        <v>34500</v>
      </c>
      <c r="CX63">
        <f>ROUND(CW63*0.18,0)</f>
        <v>6210</v>
      </c>
      <c r="CY63">
        <f>ROUND(CW63*0.12,0)</f>
        <v>4140</v>
      </c>
      <c r="CZ63">
        <f>_xlfn.XLOOKUP(B63,'[10]december-2025'!$A:$A,'[10]december-2025'!$D:$D,0,0)</f>
        <v>0</v>
      </c>
      <c r="DA63">
        <f>_xlfn.XLOOKUP(B63,'[10]december-2025'!$A:$A,'[10]december-2025'!$G:$G,0,0)</f>
        <v>0</v>
      </c>
      <c r="DB63">
        <f>IF(CW63&gt;0,SUM(CW63:DA63),0)</f>
        <v>44850</v>
      </c>
      <c r="DC63">
        <f>_xlfn.XLOOKUP(B63,'[10]december-2025'!$A:$A,'[10]december-2025'!$H:$H,0,0)</f>
        <v>2500</v>
      </c>
      <c r="DD63">
        <f>_xlfn.XLOOKUP(B63,'[10]december-2025'!$A:$A,'[10]december-2025'!$I:$I,0,0)</f>
        <v>0</v>
      </c>
      <c r="DE63">
        <f>IF($F63="YES",0,IF(DB63&gt;40000,200,IF(DB63&gt;25000,150,IF(DB63&gt;15000,130,IF(DB63&gt;10000,110,0)))))</f>
        <v>200</v>
      </c>
      <c r="DF63">
        <f>DB63-DC63-DD63-DE63</f>
        <v>42150</v>
      </c>
      <c r="DG63">
        <f>_xlfn.XLOOKUP(B63,'[11]january-2026'!$A:$A,'[11]january-2026'!$C:$C,0,0)</f>
        <v>34500</v>
      </c>
      <c r="DH63">
        <f>DG63*0.18</f>
        <v>6210</v>
      </c>
      <c r="DI63">
        <f>DG63*0.12</f>
        <v>4140</v>
      </c>
      <c r="DJ63">
        <f>_xlfn.XLOOKUP(B63,'[11]january-2026'!$A:$A,'[11]january-2026'!$D:$D,0,0)</f>
        <v>0</v>
      </c>
      <c r="DK63">
        <f>_xlfn.XLOOKUP(B63,'[11]january-2026'!$A:$A,'[11]january-2026'!$G:$G,0,0)</f>
        <v>0</v>
      </c>
      <c r="DL63">
        <f>IF(DG63&gt;0,SUM(DG63:DK63),0)</f>
        <v>44850</v>
      </c>
      <c r="DM63">
        <f>_xlfn.XLOOKUP(B63,'[11]january-2026'!$A:$A,'[11]january-2026'!$H:$H,0,0)</f>
        <v>2500</v>
      </c>
      <c r="DN63">
        <f>_xlfn.XLOOKUP(B63,'[11]january-2026'!$A:$A,'[11]january-2026'!$I:$I,0,0)</f>
        <v>0</v>
      </c>
      <c r="DO63">
        <f>IF($F63="YES",0,IF(DL63&gt;40000,200,IF(DL63&gt;25000,150,IF(DL63&gt;15000,130,IF(DL63&gt;10000,110,0)))))</f>
        <v>200</v>
      </c>
      <c r="DP63">
        <f>DL63-DM63-DN63-DO63</f>
        <v>42150</v>
      </c>
      <c r="DQ63">
        <f>_xlfn.XLOOKUP(B63,'[12]february-2026'!$A:$A,'[12]february-2026'!$C:$C,0,0)</f>
        <v>34500</v>
      </c>
      <c r="DR63">
        <f>DQ63*0.18</f>
        <v>6210</v>
      </c>
      <c r="DS63">
        <f>DQ63*0.12</f>
        <v>4140</v>
      </c>
      <c r="DT63">
        <f>_xlfn.XLOOKUP(B63,'[12]february-2026'!$A:$A,'[12]february-2026'!$D:$D,0,0)</f>
        <v>0</v>
      </c>
      <c r="DU63">
        <f>_xlfn.XLOOKUP(B63,'[12]february-2026'!$A:$A,'[12]february-2026'!$G:$G,0,0)</f>
        <v>0</v>
      </c>
      <c r="DV63">
        <f>IF(DQ63&gt;0,SUM(DQ63:DU63),0)</f>
        <v>44850</v>
      </c>
      <c r="DW63">
        <f>_xlfn.XLOOKUP(B63,'[12]february-2026'!$A:$A,'[12]february-2026'!$H:$H,0,0)</f>
        <v>2500</v>
      </c>
      <c r="DX63">
        <f>_xlfn.XLOOKUP(B63,'[12]february-2026'!$A:$A,'[12]february-2026'!$I:$I,0,0)</f>
        <v>0</v>
      </c>
      <c r="DY63">
        <f>IF($F63="YES",0,IF(DV63&gt;40000,200,IF(DV63&gt;25000,150,IF(DV63&gt;15000,130,IF(DV63&gt;10000,110,0)))))</f>
        <v>200</v>
      </c>
      <c r="DZ63">
        <f>DV63-DW63-DX63-DY63</f>
        <v>42150</v>
      </c>
      <c r="EA63">
        <f>DV63+DL63+DB63+CR63+CH63+BX63+BN63+BD63+AS63+AI63+Y63+O63+H63+I63</f>
        <v>538460</v>
      </c>
      <c r="EB63">
        <f>DY63+DO63+DE63+CU63+CK63+CA63+BQ63+BG63+AV63+AL63+AB63+R63</f>
        <v>2400</v>
      </c>
      <c r="EC63">
        <f>IF(EA63&gt;0,50000,0)</f>
        <v>50000</v>
      </c>
      <c r="ED63">
        <v>0</v>
      </c>
      <c r="EE63">
        <f>EA63-EB63-EC63</f>
        <v>486060</v>
      </c>
      <c r="EF63">
        <f>DW63+DM63+DC63+CS63+CI63+BY63+BO63+BE63+AT63+AJ63+Z63+P63</f>
        <v>30000</v>
      </c>
      <c r="EG63">
        <f>DX63+DN63+DD63+CT63+CJ63+BZ63+BP63+BF63+AU63+AK63+AA63+Q63</f>
        <v>0</v>
      </c>
      <c r="EH63">
        <v>0</v>
      </c>
      <c r="EI63">
        <v>0</v>
      </c>
      <c r="EJ63">
        <v>0</v>
      </c>
      <c r="EK63">
        <v>0</v>
      </c>
      <c r="EL63">
        <v>0</v>
      </c>
      <c r="EM63">
        <v>0</v>
      </c>
      <c r="EN63">
        <v>0</v>
      </c>
      <c r="EO63">
        <v>0</v>
      </c>
      <c r="EP63">
        <v>0</v>
      </c>
      <c r="EQ63">
        <v>0</v>
      </c>
      <c r="ER63">
        <f>SUM(EF63:EQ63)</f>
        <v>30000</v>
      </c>
      <c r="ES63">
        <f>IF(ER63&gt;=150000,150000,ER63)</f>
        <v>30000</v>
      </c>
      <c r="ET63">
        <f>EE63-ES63</f>
        <v>456060</v>
      </c>
      <c r="EU63">
        <v>0</v>
      </c>
      <c r="EV63">
        <v>0</v>
      </c>
      <c r="EW63">
        <v>0</v>
      </c>
      <c r="EX63">
        <v>0</v>
      </c>
      <c r="EY63">
        <v>0</v>
      </c>
      <c r="EZ63">
        <v>0</v>
      </c>
      <c r="FA63">
        <v>0</v>
      </c>
      <c r="FB63">
        <f>SUM(EU63:FA63)+(IF(F63="YES",50000,0))</f>
        <v>0</v>
      </c>
      <c r="FC63">
        <f>ET63-FB63</f>
        <v>456060</v>
      </c>
      <c r="FD63">
        <f>ROUND(IF(FC63&gt;0,IF(FC63&gt;500000,12500,(FC63-250000)*0.05),0),0)</f>
        <v>10303</v>
      </c>
      <c r="FE63">
        <f>IF(ROUND(IF(FC63&gt;0,IF(FC63&gt;1000000,25000,(FC63-500000)*0.2),0),0)&lt;0,0,ROUND(IF(FC63&gt;0,IF(FC63&gt;1000000,25000,(FC63-500000)*0.2),0),0))</f>
        <v>0</v>
      </c>
      <c r="FF63">
        <f>FD63+FE63</f>
        <v>10303</v>
      </c>
      <c r="FG63">
        <f>IF(FF63&lt;12500,0,FF63)</f>
        <v>0</v>
      </c>
      <c r="FH63">
        <f>FG63*0.04</f>
        <v>0</v>
      </c>
      <c r="FI63">
        <f>ROUND(FH63+FG63,0)</f>
        <v>0</v>
      </c>
      <c r="FJ63">
        <v>0</v>
      </c>
      <c r="FK63">
        <f>FI63-FJ63</f>
        <v>0</v>
      </c>
      <c r="FL63" t="b">
        <f>IF(EA63&gt;500000,TRUE,FALSE)</f>
        <v>1</v>
      </c>
      <c r="FM63">
        <f ca="1">IF(FL63,RANDBETWEEN(500,1000),RANDBETWEEN(1000,3000))</f>
        <v>602</v>
      </c>
      <c r="FN63">
        <f ca="1">EA63+FM63</f>
        <v>539062</v>
      </c>
      <c r="FO63">
        <f>IF(EA63&gt;0,75000,0)</f>
        <v>75000</v>
      </c>
      <c r="FP63">
        <f ca="1">FN63-FO63</f>
        <v>464062</v>
      </c>
      <c r="FQ63">
        <f ca="1">IF(FP63&gt;2400000,FP63-2400000,0)</f>
        <v>0</v>
      </c>
      <c r="FR63">
        <f ca="1">FQ63*0.3</f>
        <v>0</v>
      </c>
      <c r="FS63">
        <f ca="1">IF(FP63&gt;2000000,FP63-2000000,0)</f>
        <v>0</v>
      </c>
      <c r="FT63">
        <f ca="1">FS63*0.25</f>
        <v>0</v>
      </c>
      <c r="FU63">
        <f ca="1">IF(FP63&gt;1600000,FP63-1600000-FQ63,0)</f>
        <v>0</v>
      </c>
      <c r="FV63">
        <f ca="1">FU63*0.2</f>
        <v>0</v>
      </c>
      <c r="FW63">
        <f ca="1">IF(FP63&gt;1200000,FP63-1200000-IF(F63="YES",50000,0)-FU63,0)</f>
        <v>0</v>
      </c>
      <c r="FX63">
        <f ca="1">FW63*0.15</f>
        <v>0</v>
      </c>
      <c r="FY63">
        <f ca="1">IF(FP63&gt;800000,FP63-800000-FQ63-FU63-FW63,0)</f>
        <v>0</v>
      </c>
      <c r="FZ63">
        <f ca="1">FY63*0.1</f>
        <v>0</v>
      </c>
      <c r="GA63">
        <f ca="1">IF(FP63&gt;400000,FP63-400000-FQ63-FU63-FW63-FY63,0)</f>
        <v>64062</v>
      </c>
      <c r="GB63">
        <f ca="1">GA63*0.05</f>
        <v>3203.1000000000004</v>
      </c>
      <c r="GC63">
        <f ca="1">ROUND(FR63+FT63+FV63+FX63+FZ63+GB63,0)</f>
        <v>3203</v>
      </c>
      <c r="GD63">
        <f ca="1">IF(FP63&gt;1200000,FP63,0)</f>
        <v>0</v>
      </c>
      <c r="GE63">
        <f ca="1">IF(FP63&gt;1200000,GD63-1200000,0)</f>
        <v>0</v>
      </c>
      <c r="GF63">
        <f ca="1">IF(FP63&lt;1200001,MIN(GC63,60000),0)</f>
        <v>3203</v>
      </c>
      <c r="GG63">
        <f ca="1">IF(FP63&gt;1200000,GC63-GE63,0)</f>
        <v>0</v>
      </c>
      <c r="GH63" t="b">
        <f ca="1">IF(GG63&gt;0,TRUE,FALSE)</f>
        <v>0</v>
      </c>
      <c r="GI63">
        <f ca="1">IF(GH63,GG63,0)</f>
        <v>0</v>
      </c>
      <c r="GJ63">
        <f ca="1">GF63+GI63</f>
        <v>3203</v>
      </c>
      <c r="GK63">
        <f ca="1">ROUND(GC63-GJ63,0)</f>
        <v>0</v>
      </c>
      <c r="GL63">
        <f ca="1">GK63*0.04</f>
        <v>0</v>
      </c>
      <c r="GM63">
        <f ca="1">ROUNDUP(GK63+GL63,0)</f>
        <v>0</v>
      </c>
    </row>
    <row r="64" spans="1:195" x14ac:dyDescent="0.25">
      <c r="A64">
        <f>_xlfn.AGGREGATE(3,5,$B$2:B64)</f>
        <v>63</v>
      </c>
      <c r="B64" t="s">
        <v>246</v>
      </c>
      <c r="C64" t="s">
        <v>247</v>
      </c>
      <c r="D64" t="s">
        <v>768</v>
      </c>
      <c r="E64" t="s">
        <v>834</v>
      </c>
      <c r="F64" t="s">
        <v>959</v>
      </c>
      <c r="G64" t="s">
        <v>893</v>
      </c>
      <c r="H64">
        <f>IF(_xlfn.DAYS("31-03-2025",G64)&gt;=180,6800,0)</f>
        <v>6800</v>
      </c>
      <c r="I64">
        <f>_xlfn.XLOOKUP(B64,'[1]march-2025'!$A:$A,'[1]march-2025'!$J:$J,0,0)</f>
        <v>0</v>
      </c>
      <c r="J64">
        <f>_xlfn.XLOOKUP(B64,'[1]march-2025'!$A:$A,'[1]march-2025'!$C:$C,0,0)</f>
        <v>33500</v>
      </c>
      <c r="K64">
        <f>J64*0.14</f>
        <v>4690</v>
      </c>
      <c r="L64">
        <f>J64*0.12</f>
        <v>4020</v>
      </c>
      <c r="M64">
        <f>_xlfn.XLOOKUP(B64,'[1]march-2025'!$A:$A,'[1]march-2025'!$D:$D,0,0)</f>
        <v>0</v>
      </c>
      <c r="N64">
        <f>_xlfn.XLOOKUP(B64,'[1]march-2025'!$A:$A,'[1]march-2025'!$G:$G,0,0)</f>
        <v>0</v>
      </c>
      <c r="O64">
        <f>IF(J64&gt;0,SUM(J64:N64),0)</f>
        <v>42210</v>
      </c>
      <c r="P64">
        <f>_xlfn.XLOOKUP(B64,'[1]march-2025'!$A:$A,'[1]march-2025'!$H:$H,0,0)</f>
        <v>2500</v>
      </c>
      <c r="Q64">
        <f>_xlfn.XLOOKUP(B64,'[1]march-2025'!$A:$A,'[1]march-2025'!$I:$I,0,0)</f>
        <v>0</v>
      </c>
      <c r="R64">
        <f>IF($F64="YES",0,IF(O64&gt;40000,200,IF(O64&gt;25000,150,IF(O64&gt;15000,130,IF(O64&gt;10000,110,0)))))</f>
        <v>200</v>
      </c>
      <c r="S64">
        <f>O64-P64-Q64-R64</f>
        <v>39510</v>
      </c>
      <c r="T64">
        <f>_xlfn.XLOOKUP(B64,'[2]april-2025'!$A:$A,'[2]april-2025'!$C:$C,0,0)</f>
        <v>33500</v>
      </c>
      <c r="U64">
        <f>T64*0.18</f>
        <v>6030</v>
      </c>
      <c r="V64">
        <f>T64*0.12</f>
        <v>4020</v>
      </c>
      <c r="W64">
        <f>_xlfn.XLOOKUP(B64,'[2]april-2025'!$A:$A,'[2]april-2025'!$D:$D,0,0)</f>
        <v>0</v>
      </c>
      <c r="X64">
        <f>_xlfn.XLOOKUP(B64,'[2]april-2025'!$A:$A,'[2]april-2025'!$G:$G,0,0)</f>
        <v>0</v>
      </c>
      <c r="Y64">
        <f>IF(T64&gt;0,SUM(T64:X64),0)</f>
        <v>43550</v>
      </c>
      <c r="Z64">
        <f>_xlfn.XLOOKUP(B64,'[2]april-2025'!$A:$A,'[2]april-2025'!$H:$H,0,0)</f>
        <v>2500</v>
      </c>
      <c r="AA64">
        <f>_xlfn.XLOOKUP(B64,'[2]april-2025'!$A:$A,'[2]april-2025'!$I:$I,0,0)</f>
        <v>0</v>
      </c>
      <c r="AB64">
        <f>IF($F64="YES",0,IF(Y64&gt;40000,200,IF(Y64&gt;25000,150,IF(Y64&gt;15000,130,IF(Y64&gt;10000,110,0)))))</f>
        <v>200</v>
      </c>
      <c r="AC64">
        <f>Y64-Z64-AA64-AB64</f>
        <v>40850</v>
      </c>
      <c r="AD64">
        <f>_xlfn.XLOOKUP(B64,'[3]may-2025'!$A:$A,'[3]may-2025'!$C:$C,0,0)</f>
        <v>33500</v>
      </c>
      <c r="AE64">
        <f>AD64*0.18</f>
        <v>6030</v>
      </c>
      <c r="AF64">
        <f>AD64*0.12</f>
        <v>4020</v>
      </c>
      <c r="AG64">
        <f>_xlfn.XLOOKUP(B64,'[3]may-2025'!$A:$A,'[3]may-2025'!$D:$D,0,0)</f>
        <v>0</v>
      </c>
      <c r="AH64">
        <f>_xlfn.XLOOKUP(B64,'[3]may-2025'!$A:$A,'[3]may-2025'!$G:$G,0,0)</f>
        <v>0</v>
      </c>
      <c r="AI64">
        <f>IF(AD64&gt;0,SUM(AD64:AH64),0)</f>
        <v>43550</v>
      </c>
      <c r="AJ64">
        <f>_xlfn.XLOOKUP(B64,'[3]may-2025'!$A:$A,'[3]may-2025'!$H:$H,0,0)</f>
        <v>2500</v>
      </c>
      <c r="AK64">
        <f>_xlfn.XLOOKUP(B64,'[3]may-2025'!$A:$A,'[3]may-2025'!$I:$I,0,0)</f>
        <v>0</v>
      </c>
      <c r="AL64">
        <f>IF($F64="YES",0,IF(AI64&gt;40000,200,IF(AI64&gt;25000,150,IF(AI64&gt;15000,130,IF(AI64&gt;10000,110,0)))))</f>
        <v>200</v>
      </c>
      <c r="AM64">
        <f>AI64-AJ64-AK64-AL64</f>
        <v>40850</v>
      </c>
      <c r="AN64">
        <f>_xlfn.XLOOKUP(B64,'[4]june-2025'!$A:$A,'[4]june-2025'!$C:$C,0,0)</f>
        <v>33500</v>
      </c>
      <c r="AO64">
        <f>AN64*0.18</f>
        <v>6030</v>
      </c>
      <c r="AP64">
        <f>AN64*0.12</f>
        <v>4020</v>
      </c>
      <c r="AQ64">
        <f>_xlfn.XLOOKUP(B64,'[4]june-2025'!$A:$A,'[4]june-2025'!$D:$D,0,0)</f>
        <v>0</v>
      </c>
      <c r="AR64">
        <f>_xlfn.XLOOKUP(B64,'[4]june-2025'!$A:$A,'[4]june-2025'!$G:$G,0,0)</f>
        <v>0</v>
      </c>
      <c r="AS64">
        <f>IF(AN64&gt;0,SUM(AN64:AR64),0)</f>
        <v>43550</v>
      </c>
      <c r="AT64">
        <f>_xlfn.XLOOKUP(B64,'[4]june-2025'!$A:$A,'[4]june-2025'!$H:$H,0,0)</f>
        <v>2500</v>
      </c>
      <c r="AU64">
        <f>_xlfn.XLOOKUP(B64,'[4]june-2025'!$A:$A,'[4]june-2025'!$I:$I,0,0)</f>
        <v>0</v>
      </c>
      <c r="AV64">
        <f>IF($F64="YES",0,IF(AS64&gt;40000,200,IF(AS64&gt;25000,150,IF(AS64&gt;15000,130,IF(AS64&gt;10000,110,0)))))</f>
        <v>200</v>
      </c>
      <c r="AW64">
        <f>AS64-AT64-AU64-AV64</f>
        <v>40850</v>
      </c>
      <c r="AX64">
        <f>_xlfn.XLOOKUP(B64,'[5]july-2025'!$A:$A,'[5]july-2025'!$C:$C,0,0)</f>
        <v>35500</v>
      </c>
      <c r="AY64">
        <f>AX64*0.18</f>
        <v>6390</v>
      </c>
      <c r="AZ64">
        <v>0</v>
      </c>
      <c r="BA64">
        <f>AX64*0.12</f>
        <v>4260</v>
      </c>
      <c r="BB64">
        <f>_xlfn.XLOOKUP(B64,'[5]july-2025'!$A:$A,'[5]july-2025'!$D:$D,0,0)</f>
        <v>0</v>
      </c>
      <c r="BC64">
        <f>_xlfn.XLOOKUP(B64,'[5]july-2025'!$A:$A,'[5]july-2025'!$G:$G,0,0)</f>
        <v>0</v>
      </c>
      <c r="BD64">
        <f>IF(AX64&gt;0,SUM(AX64:BC64),0)</f>
        <v>46150</v>
      </c>
      <c r="BE64">
        <f>_xlfn.XLOOKUP(B64,'[5]july-2025'!$A:$A,'[5]july-2025'!$H:$H,0,0)</f>
        <v>2500</v>
      </c>
      <c r="BF64">
        <f>_xlfn.XLOOKUP(B64,'[5]july-2025'!$A:$A,'[5]july-2025'!$I:$I,0,0)</f>
        <v>0</v>
      </c>
      <c r="BG64">
        <f>IF($F64="YES",0,IF(BD64&gt;40000,200,IF(BD64&gt;25000,150,IF(BD64&gt;15000,130,IF(BD64&gt;10000,110,0)))))</f>
        <v>200</v>
      </c>
      <c r="BH64">
        <f>BD64-BE64-BF64-BG64</f>
        <v>43450</v>
      </c>
      <c r="BI64">
        <f>_xlfn.XLOOKUP(B64,'[6]august-2025'!$A:$A,'[6]august-2025'!$C:$C,0,0)</f>
        <v>35500</v>
      </c>
      <c r="BJ64">
        <f>BI64*0.18</f>
        <v>6390</v>
      </c>
      <c r="BK64">
        <f>BI64*0.12</f>
        <v>4260</v>
      </c>
      <c r="BL64">
        <f>_xlfn.XLOOKUP(B64,'[6]august-2025'!$A:$A,'[6]august-2025'!$D:$D,0,0)</f>
        <v>0</v>
      </c>
      <c r="BM64">
        <f>_xlfn.XLOOKUP(B64,'[6]august-2025'!$A:$A,'[6]august-2025'!$G:$G,0,0)</f>
        <v>0</v>
      </c>
      <c r="BN64">
        <f>IF(BI64&gt;0,SUM(BI64:BM64),0)</f>
        <v>46150</v>
      </c>
      <c r="BO64">
        <f>_xlfn.XLOOKUP(B64,'[6]august-2025'!$A:$A,'[6]august-2025'!$H:$H,0,0)</f>
        <v>2500</v>
      </c>
      <c r="BP64">
        <f>_xlfn.XLOOKUP(B64,'[6]august-2025'!$A:$A,'[6]august-2025'!$I:$I,0,0)</f>
        <v>0</v>
      </c>
      <c r="BQ64">
        <f>IF($F64="YES",0,IF(BN64&gt;40000,200,IF(BN64&gt;25000,150,IF(BN64&gt;15000,130,IF(BN64&gt;10000,110,0)))))</f>
        <v>200</v>
      </c>
      <c r="BR64">
        <f>BN64-BO64-BP64-BQ64</f>
        <v>43450</v>
      </c>
      <c r="BS64">
        <f>_xlfn.XLOOKUP(B64,'[7]september-2025'!$A:$A,'[7]september-2025'!$C:$C,0,0)</f>
        <v>35500</v>
      </c>
      <c r="BT64">
        <f>BS64*0.18</f>
        <v>6390</v>
      </c>
      <c r="BU64">
        <f>BS64*0.12</f>
        <v>4260</v>
      </c>
      <c r="BV64">
        <f>_xlfn.XLOOKUP(B64,'[7]september-2025'!$A:$A,'[7]september-2025'!$D:$D,0,0)</f>
        <v>0</v>
      </c>
      <c r="BW64">
        <f>_xlfn.XLOOKUP(B64,'[7]september-2025'!$A:$A,'[7]september-2025'!$G:$G,0,0)</f>
        <v>0</v>
      </c>
      <c r="BX64">
        <f>IF(BS64&gt;0,SUM(BS64:BW64),0)</f>
        <v>46150</v>
      </c>
      <c r="BY64">
        <f>_xlfn.XLOOKUP(B64,'[7]september-2025'!$A:$A,'[7]september-2025'!$H:$H,0,0)</f>
        <v>2500</v>
      </c>
      <c r="BZ64">
        <f>_xlfn.XLOOKUP(B64,'[7]september-2025'!$A:$A,'[7]september-2025'!$I:$I,0,0)</f>
        <v>0</v>
      </c>
      <c r="CA64">
        <f>IF($F64="YES",0,IF(BX64&gt;40000,200,IF(BX64&gt;25000,150,IF(BX64&gt;15000,130,IF(BX64&gt;10000,110,0)))))</f>
        <v>200</v>
      </c>
      <c r="CB64">
        <f>BX64-BY64-BZ64-CA64</f>
        <v>43450</v>
      </c>
      <c r="CC64">
        <f>_xlfn.XLOOKUP(B64,'[8]october-2025'!$A:$A,'[8]october-2025'!$C:$C,0,0)</f>
        <v>35500</v>
      </c>
      <c r="CD64">
        <f>CC64*0.18</f>
        <v>6390</v>
      </c>
      <c r="CE64">
        <f>CC64*0.12</f>
        <v>4260</v>
      </c>
      <c r="CF64">
        <f>_xlfn.XLOOKUP(B64,'[8]october-2025'!$A:$A,'[8]october-2025'!$D:$D,0,0)</f>
        <v>0</v>
      </c>
      <c r="CG64">
        <f>_xlfn.XLOOKUP(B64,'[8]october-2025'!$A:$A,'[8]october-2025'!$G:$G,0,0)</f>
        <v>0</v>
      </c>
      <c r="CH64">
        <f>IF(CC64&gt;0,SUM(CC64:CG64),0)</f>
        <v>46150</v>
      </c>
      <c r="CI64">
        <f>_xlfn.XLOOKUP(B64,'[8]october-2025'!$A:$A,'[8]october-2025'!$H:$H,0,0)</f>
        <v>2500</v>
      </c>
      <c r="CJ64">
        <f>_xlfn.XLOOKUP(B64,'[8]october-2025'!$A:$A,'[8]october-2025'!$I:$I,0,0)</f>
        <v>0</v>
      </c>
      <c r="CK64">
        <f>IF($F64="YES",0,IF(CH64&gt;40000,200,IF(CH64&gt;25000,150,IF(CH64&gt;15000,130,IF(CH64&gt;10000,110,0)))))</f>
        <v>200</v>
      </c>
      <c r="CL64">
        <f>CH64-CI64-CJ64-CK64</f>
        <v>43450</v>
      </c>
      <c r="CM64">
        <f>_xlfn.XLOOKUP(B64,'[9]november-2025'!$A:$A,'[9]november-2025'!$C:$C,0,0)</f>
        <v>35500</v>
      </c>
      <c r="CN64">
        <f>CM64*0.18</f>
        <v>6390</v>
      </c>
      <c r="CO64">
        <f>CM64*0.12</f>
        <v>4260</v>
      </c>
      <c r="CP64">
        <f>_xlfn.XLOOKUP(B64,'[9]november-2025'!$A:$A,'[9]november-2025'!$D:$D,0,0)</f>
        <v>0</v>
      </c>
      <c r="CQ64">
        <f>_xlfn.XLOOKUP(B64,'[9]november-2025'!$A:$A,'[9]november-2025'!$G:$G,0,0)</f>
        <v>0</v>
      </c>
      <c r="CR64">
        <f>IF(CM64&gt;0,SUM(CM64:CQ64),0)</f>
        <v>46150</v>
      </c>
      <c r="CS64">
        <f>_xlfn.XLOOKUP(B64,'[9]november-2025'!$A:$A,'[9]november-2025'!$H:$H,0,0)</f>
        <v>2500</v>
      </c>
      <c r="CT64">
        <f>_xlfn.XLOOKUP(B64,'[9]november-2025'!$A:$A,'[9]november-2025'!$I:$I,0,0)</f>
        <v>0</v>
      </c>
      <c r="CU64">
        <f>IF($F64="YES",0,IF(CR64&gt;40000,200,IF(CR64&gt;25000,150,IF(CR64&gt;15000,130,IF(CR64&gt;10000,110,0)))))</f>
        <v>200</v>
      </c>
      <c r="CV64">
        <f>CR64-CS64-CT64-CU64</f>
        <v>43450</v>
      </c>
      <c r="CW64">
        <f>_xlfn.XLOOKUP(B64,'[10]december-2025'!$A:$A,'[10]december-2025'!$C:$C,0,0)</f>
        <v>35500</v>
      </c>
      <c r="CX64">
        <f>ROUND(CW64*0.18,0)</f>
        <v>6390</v>
      </c>
      <c r="CY64">
        <f>ROUND(CW64*0.12,0)</f>
        <v>4260</v>
      </c>
      <c r="CZ64">
        <f>_xlfn.XLOOKUP(B64,'[10]december-2025'!$A:$A,'[10]december-2025'!$D:$D,0,0)</f>
        <v>0</v>
      </c>
      <c r="DA64">
        <f>_xlfn.XLOOKUP(B64,'[10]december-2025'!$A:$A,'[10]december-2025'!$G:$G,0,0)</f>
        <v>0</v>
      </c>
      <c r="DB64">
        <f>IF(CW64&gt;0,SUM(CW64:DA64),0)</f>
        <v>46150</v>
      </c>
      <c r="DC64">
        <f>_xlfn.XLOOKUP(B64,'[10]december-2025'!$A:$A,'[10]december-2025'!$H:$H,0,0)</f>
        <v>2500</v>
      </c>
      <c r="DD64">
        <f>_xlfn.XLOOKUP(B64,'[10]december-2025'!$A:$A,'[10]december-2025'!$I:$I,0,0)</f>
        <v>0</v>
      </c>
      <c r="DE64">
        <f>IF($F64="YES",0,IF(DB64&gt;40000,200,IF(DB64&gt;25000,150,IF(DB64&gt;15000,130,IF(DB64&gt;10000,110,0)))))</f>
        <v>200</v>
      </c>
      <c r="DF64">
        <f>DB64-DC64-DD64-DE64</f>
        <v>43450</v>
      </c>
      <c r="DG64">
        <f>_xlfn.XLOOKUP(B64,'[11]january-2026'!$A:$A,'[11]january-2026'!$C:$C,0,0)</f>
        <v>35500</v>
      </c>
      <c r="DH64">
        <f>DG64*0.18</f>
        <v>6390</v>
      </c>
      <c r="DI64">
        <f>DG64*0.12</f>
        <v>4260</v>
      </c>
      <c r="DJ64">
        <f>_xlfn.XLOOKUP(B64,'[11]january-2026'!$A:$A,'[11]january-2026'!$D:$D,0,0)</f>
        <v>0</v>
      </c>
      <c r="DK64">
        <f>_xlfn.XLOOKUP(B64,'[11]january-2026'!$A:$A,'[11]january-2026'!$G:$G,0,0)</f>
        <v>0</v>
      </c>
      <c r="DL64">
        <f>IF(DG64&gt;0,SUM(DG64:DK64),0)</f>
        <v>46150</v>
      </c>
      <c r="DM64">
        <f>_xlfn.XLOOKUP(B64,'[11]january-2026'!$A:$A,'[11]january-2026'!$H:$H,0,0)</f>
        <v>2500</v>
      </c>
      <c r="DN64">
        <f>_xlfn.XLOOKUP(B64,'[11]january-2026'!$A:$A,'[11]january-2026'!$I:$I,0,0)</f>
        <v>0</v>
      </c>
      <c r="DO64">
        <f>IF($F64="YES",0,IF(DL64&gt;40000,200,IF(DL64&gt;25000,150,IF(DL64&gt;15000,130,IF(DL64&gt;10000,110,0)))))</f>
        <v>200</v>
      </c>
      <c r="DP64">
        <f>DL64-DM64-DN64-DO64</f>
        <v>43450</v>
      </c>
      <c r="DQ64">
        <f>_xlfn.XLOOKUP(B64,'[12]february-2026'!$A:$A,'[12]february-2026'!$C:$C,0,0)</f>
        <v>35500</v>
      </c>
      <c r="DR64">
        <f>DQ64*0.18</f>
        <v>6390</v>
      </c>
      <c r="DS64">
        <f>DQ64*0.12</f>
        <v>4260</v>
      </c>
      <c r="DT64">
        <f>_xlfn.XLOOKUP(B64,'[12]february-2026'!$A:$A,'[12]february-2026'!$D:$D,0,0)</f>
        <v>0</v>
      </c>
      <c r="DU64">
        <f>_xlfn.XLOOKUP(B64,'[12]february-2026'!$A:$A,'[12]february-2026'!$G:$G,0,0)</f>
        <v>0</v>
      </c>
      <c r="DV64">
        <f>IF(DQ64&gt;0,SUM(DQ64:DU64),0)</f>
        <v>46150</v>
      </c>
      <c r="DW64">
        <f>_xlfn.XLOOKUP(B64,'[12]february-2026'!$A:$A,'[12]february-2026'!$H:$H,0,0)</f>
        <v>2500</v>
      </c>
      <c r="DX64">
        <f>_xlfn.XLOOKUP(B64,'[12]february-2026'!$A:$A,'[12]february-2026'!$I:$I,0,0)</f>
        <v>0</v>
      </c>
      <c r="DY64">
        <f>IF($F64="YES",0,IF(DV64&gt;40000,200,IF(DV64&gt;25000,150,IF(DV64&gt;15000,130,IF(DV64&gt;10000,110,0)))))</f>
        <v>200</v>
      </c>
      <c r="DZ64">
        <f>DV64-DW64-DX64-DY64</f>
        <v>43450</v>
      </c>
      <c r="EA64">
        <f>DV64+DL64+DB64+CR64+CH64+BX64+BN64+BD64+AS64+AI64+Y64+O64+H64+I64</f>
        <v>548860</v>
      </c>
      <c r="EB64">
        <f>DY64+DO64+DE64+CU64+CK64+CA64+BQ64+BG64+AV64+AL64+AB64+R64</f>
        <v>2400</v>
      </c>
      <c r="EC64">
        <f>IF(EA64&gt;0,50000,0)</f>
        <v>50000</v>
      </c>
      <c r="ED64">
        <v>0</v>
      </c>
      <c r="EE64">
        <f>EA64-EB64-EC64</f>
        <v>496460</v>
      </c>
      <c r="EF64">
        <f>DW64+DM64+DC64+CS64+CI64+BY64+BO64+BE64+AT64+AJ64+Z64+P64</f>
        <v>30000</v>
      </c>
      <c r="EG64">
        <f>DX64+DN64+DD64+CT64+CJ64+BZ64+BP64+BF64+AU64+AK64+AA64+Q64</f>
        <v>0</v>
      </c>
      <c r="EH64">
        <v>0</v>
      </c>
      <c r="EI64">
        <v>0</v>
      </c>
      <c r="EJ64">
        <v>0</v>
      </c>
      <c r="EK64">
        <v>0</v>
      </c>
      <c r="EL64">
        <v>0</v>
      </c>
      <c r="EM64">
        <v>0</v>
      </c>
      <c r="EN64">
        <v>0</v>
      </c>
      <c r="EO64">
        <v>0</v>
      </c>
      <c r="EP64">
        <v>0</v>
      </c>
      <c r="EQ64">
        <v>0</v>
      </c>
      <c r="ER64">
        <f>SUM(EF64:EQ64)</f>
        <v>30000</v>
      </c>
      <c r="ES64">
        <f>IF(ER64&gt;=150000,150000,ER64)</f>
        <v>30000</v>
      </c>
      <c r="ET64">
        <f>EE64-ES64</f>
        <v>466460</v>
      </c>
      <c r="EU64">
        <v>0</v>
      </c>
      <c r="EV64">
        <v>0</v>
      </c>
      <c r="EW64">
        <v>0</v>
      </c>
      <c r="EX64">
        <v>0</v>
      </c>
      <c r="EY64">
        <v>0</v>
      </c>
      <c r="EZ64">
        <v>0</v>
      </c>
      <c r="FA64">
        <v>0</v>
      </c>
      <c r="FB64">
        <f>SUM(EU64:FA64)+(IF(F64="YES",50000,0))</f>
        <v>0</v>
      </c>
      <c r="FC64">
        <f>ET64-FB64</f>
        <v>466460</v>
      </c>
      <c r="FD64">
        <f>ROUND(IF(FC64&gt;0,IF(FC64&gt;500000,12500,(FC64-250000)*0.05),0),0)</f>
        <v>10823</v>
      </c>
      <c r="FE64">
        <f>IF(ROUND(IF(FC64&gt;0,IF(FC64&gt;1000000,25000,(FC64-500000)*0.2),0),0)&lt;0,0,ROUND(IF(FC64&gt;0,IF(FC64&gt;1000000,25000,(FC64-500000)*0.2),0),0))</f>
        <v>0</v>
      </c>
      <c r="FF64">
        <f>FD64+FE64</f>
        <v>10823</v>
      </c>
      <c r="FG64">
        <f>IF(FF64&lt;12500,0,FF64)</f>
        <v>0</v>
      </c>
      <c r="FH64">
        <f>FG64*0.04</f>
        <v>0</v>
      </c>
      <c r="FI64">
        <f>ROUND(FH64+FG64,0)</f>
        <v>0</v>
      </c>
      <c r="FJ64">
        <v>0</v>
      </c>
      <c r="FK64">
        <f>FI64-FJ64</f>
        <v>0</v>
      </c>
      <c r="FL64" t="b">
        <f>IF(EA64&gt;500000,TRUE,FALSE)</f>
        <v>1</v>
      </c>
      <c r="FM64">
        <f ca="1">IF(FL64,RANDBETWEEN(500,1000),RANDBETWEEN(1000,3000))</f>
        <v>650</v>
      </c>
      <c r="FN64">
        <f ca="1">EA64+FM64</f>
        <v>549510</v>
      </c>
      <c r="FO64">
        <f>IF(EA64&gt;0,75000,0)</f>
        <v>75000</v>
      </c>
      <c r="FP64">
        <f ca="1">FN64-FO64</f>
        <v>474510</v>
      </c>
      <c r="FQ64">
        <f ca="1">IF(FP64&gt;2400000,FP64-2400000,0)</f>
        <v>0</v>
      </c>
      <c r="FR64">
        <f ca="1">FQ64*0.3</f>
        <v>0</v>
      </c>
      <c r="FS64">
        <f ca="1">IF(FP64&gt;2000000,FP64-2000000,0)</f>
        <v>0</v>
      </c>
      <c r="FT64">
        <f ca="1">FS64*0.25</f>
        <v>0</v>
      </c>
      <c r="FU64">
        <f ca="1">IF(FP64&gt;1600000,FP64-1600000-FQ64,0)</f>
        <v>0</v>
      </c>
      <c r="FV64">
        <f ca="1">FU64*0.2</f>
        <v>0</v>
      </c>
      <c r="FW64">
        <f ca="1">IF(FP64&gt;1200000,FP64-1200000-IF(F64="YES",50000,0)-FU64,0)</f>
        <v>0</v>
      </c>
      <c r="FX64">
        <f ca="1">FW64*0.15</f>
        <v>0</v>
      </c>
      <c r="FY64">
        <f ca="1">IF(FP64&gt;800000,FP64-800000-FQ64-FU64-FW64,0)</f>
        <v>0</v>
      </c>
      <c r="FZ64">
        <f ca="1">FY64*0.1</f>
        <v>0</v>
      </c>
      <c r="GA64">
        <f ca="1">IF(FP64&gt;400000,FP64-400000-FQ64-FU64-FW64-FY64,0)</f>
        <v>74510</v>
      </c>
      <c r="GB64">
        <f ca="1">GA64*0.05</f>
        <v>3725.5</v>
      </c>
      <c r="GC64">
        <f ca="1">ROUND(FR64+FT64+FV64+FX64+FZ64+GB64,0)</f>
        <v>3726</v>
      </c>
      <c r="GD64">
        <f ca="1">IF(FP64&gt;1200000,FP64,0)</f>
        <v>0</v>
      </c>
      <c r="GE64">
        <f ca="1">IF(FP64&gt;1200000,GD64-1200000,0)</f>
        <v>0</v>
      </c>
      <c r="GF64">
        <f ca="1">IF(FP64&lt;1200001,MIN(GC64,60000),0)</f>
        <v>3726</v>
      </c>
      <c r="GG64">
        <f ca="1">IF(FP64&gt;1200000,GC64-GE64,0)</f>
        <v>0</v>
      </c>
      <c r="GH64" t="b">
        <f ca="1">IF(GG64&gt;0,TRUE,FALSE)</f>
        <v>0</v>
      </c>
      <c r="GI64">
        <f ca="1">IF(GH64,GG64,0)</f>
        <v>0</v>
      </c>
      <c r="GJ64">
        <f ca="1">GF64+GI64</f>
        <v>3726</v>
      </c>
      <c r="GK64">
        <f ca="1">ROUND(GC64-GJ64,0)</f>
        <v>0</v>
      </c>
      <c r="GL64">
        <f ca="1">GK64*0.04</f>
        <v>0</v>
      </c>
      <c r="GM64">
        <f ca="1">ROUNDUP(GK64+GL64,0)</f>
        <v>0</v>
      </c>
    </row>
    <row r="65" spans="1:195" x14ac:dyDescent="0.25">
      <c r="A65">
        <f>_xlfn.AGGREGATE(3,5,$B$2:B65)</f>
        <v>64</v>
      </c>
      <c r="B65" t="s">
        <v>248</v>
      </c>
      <c r="C65" t="s">
        <v>249</v>
      </c>
      <c r="D65" t="s">
        <v>768</v>
      </c>
      <c r="E65" t="s">
        <v>833</v>
      </c>
      <c r="F65" t="s">
        <v>959</v>
      </c>
      <c r="G65" t="s">
        <v>881</v>
      </c>
      <c r="H65">
        <f>IF(_xlfn.DAYS("31-03-2025",G65)&gt;=180,6800,0)</f>
        <v>6800</v>
      </c>
      <c r="I65">
        <f>_xlfn.XLOOKUP(B65,'[1]march-2025'!$A:$A,'[1]march-2025'!$J:$J,0,0)</f>
        <v>0</v>
      </c>
      <c r="J65">
        <f>_xlfn.XLOOKUP(B65,'[1]march-2025'!$A:$A,'[1]march-2025'!$C:$C,0,0)</f>
        <v>31600</v>
      </c>
      <c r="K65">
        <f>J65*0.14</f>
        <v>4424</v>
      </c>
      <c r="L65">
        <f>J65*0.12</f>
        <v>3792</v>
      </c>
      <c r="M65">
        <f>_xlfn.XLOOKUP(B65,'[1]march-2025'!$A:$A,'[1]march-2025'!$D:$D,0,0)</f>
        <v>0</v>
      </c>
      <c r="N65">
        <f>_xlfn.XLOOKUP(B65,'[1]march-2025'!$A:$A,'[1]march-2025'!$G:$G,0,0)</f>
        <v>500</v>
      </c>
      <c r="O65">
        <f>IF(J65&gt;0,SUM(J65:N65),0)</f>
        <v>40316</v>
      </c>
      <c r="P65">
        <f>_xlfn.XLOOKUP(B65,'[1]march-2025'!$A:$A,'[1]march-2025'!$H:$H,0,0)</f>
        <v>2000</v>
      </c>
      <c r="Q65">
        <f>_xlfn.XLOOKUP(B65,'[1]march-2025'!$A:$A,'[1]march-2025'!$I:$I,0,0)</f>
        <v>0</v>
      </c>
      <c r="R65">
        <f>IF($F65="YES",0,IF(O65&gt;40000,200,IF(O65&gt;25000,150,IF(O65&gt;15000,130,IF(O65&gt;10000,110,0)))))</f>
        <v>200</v>
      </c>
      <c r="S65">
        <f>O65-P65-Q65-R65</f>
        <v>38116</v>
      </c>
      <c r="T65">
        <f>_xlfn.XLOOKUP(B65,'[2]april-2025'!$A:$A,'[2]april-2025'!$C:$C,0,0)</f>
        <v>31600</v>
      </c>
      <c r="U65">
        <f>T65*0.18</f>
        <v>5688</v>
      </c>
      <c r="V65">
        <f>T65*0.12</f>
        <v>3792</v>
      </c>
      <c r="W65">
        <f>_xlfn.XLOOKUP(B65,'[2]april-2025'!$A:$A,'[2]april-2025'!$D:$D,0,0)</f>
        <v>0</v>
      </c>
      <c r="X65">
        <f>_xlfn.XLOOKUP(B65,'[2]april-2025'!$A:$A,'[2]april-2025'!$G:$G,0,0)</f>
        <v>500</v>
      </c>
      <c r="Y65">
        <f>IF(T65&gt;0,SUM(T65:X65),0)</f>
        <v>41580</v>
      </c>
      <c r="Z65">
        <f>_xlfn.XLOOKUP(B65,'[2]april-2025'!$A:$A,'[2]april-2025'!$H:$H,0,0)</f>
        <v>2000</v>
      </c>
      <c r="AA65">
        <f>_xlfn.XLOOKUP(B65,'[2]april-2025'!$A:$A,'[2]april-2025'!$I:$I,0,0)</f>
        <v>0</v>
      </c>
      <c r="AB65">
        <f>IF($F65="YES",0,IF(Y65&gt;40000,200,IF(Y65&gt;25000,150,IF(Y65&gt;15000,130,IF(Y65&gt;10000,110,0)))))</f>
        <v>200</v>
      </c>
      <c r="AC65">
        <f>Y65-Z65-AA65-AB65</f>
        <v>39380</v>
      </c>
      <c r="AD65">
        <f>_xlfn.XLOOKUP(B65,'[3]may-2025'!$A:$A,'[3]may-2025'!$C:$C,0,0)</f>
        <v>31600</v>
      </c>
      <c r="AE65">
        <f>AD65*0.18</f>
        <v>5688</v>
      </c>
      <c r="AF65">
        <f>AD65*0.12</f>
        <v>3792</v>
      </c>
      <c r="AG65">
        <f>_xlfn.XLOOKUP(B65,'[3]may-2025'!$A:$A,'[3]may-2025'!$D:$D,0,0)</f>
        <v>0</v>
      </c>
      <c r="AH65">
        <f>_xlfn.XLOOKUP(B65,'[3]may-2025'!$A:$A,'[3]may-2025'!$G:$G,0,0)</f>
        <v>500</v>
      </c>
      <c r="AI65">
        <f>IF(AD65&gt;0,SUM(AD65:AH65),0)</f>
        <v>41580</v>
      </c>
      <c r="AJ65">
        <f>_xlfn.XLOOKUP(B65,'[3]may-2025'!$A:$A,'[3]may-2025'!$H:$H,0,0)</f>
        <v>2000</v>
      </c>
      <c r="AK65">
        <f>_xlfn.XLOOKUP(B65,'[3]may-2025'!$A:$A,'[3]may-2025'!$I:$I,0,0)</f>
        <v>0</v>
      </c>
      <c r="AL65">
        <f>IF($F65="YES",0,IF(AI65&gt;40000,200,IF(AI65&gt;25000,150,IF(AI65&gt;15000,130,IF(AI65&gt;10000,110,0)))))</f>
        <v>200</v>
      </c>
      <c r="AM65">
        <f>AI65-AJ65-AK65-AL65</f>
        <v>39380</v>
      </c>
      <c r="AN65">
        <f>_xlfn.XLOOKUP(B65,'[4]june-2025'!$A:$A,'[4]june-2025'!$C:$C,0,0)</f>
        <v>31600</v>
      </c>
      <c r="AO65">
        <f>AN65*0.18</f>
        <v>5688</v>
      </c>
      <c r="AP65">
        <f>AN65*0.12</f>
        <v>3792</v>
      </c>
      <c r="AQ65">
        <f>_xlfn.XLOOKUP(B65,'[4]june-2025'!$A:$A,'[4]june-2025'!$D:$D,0,0)</f>
        <v>0</v>
      </c>
      <c r="AR65">
        <f>_xlfn.XLOOKUP(B65,'[4]june-2025'!$A:$A,'[4]june-2025'!$G:$G,0,0)</f>
        <v>500</v>
      </c>
      <c r="AS65">
        <f>IF(AN65&gt;0,SUM(AN65:AR65),0)</f>
        <v>41580</v>
      </c>
      <c r="AT65">
        <f>_xlfn.XLOOKUP(B65,'[4]june-2025'!$A:$A,'[4]june-2025'!$H:$H,0,0)</f>
        <v>2000</v>
      </c>
      <c r="AU65">
        <f>_xlfn.XLOOKUP(B65,'[4]june-2025'!$A:$A,'[4]june-2025'!$I:$I,0,0)</f>
        <v>0</v>
      </c>
      <c r="AV65">
        <f>IF($F65="YES",0,IF(AS65&gt;40000,200,IF(AS65&gt;25000,150,IF(AS65&gt;15000,130,IF(AS65&gt;10000,110,0)))))</f>
        <v>200</v>
      </c>
      <c r="AW65">
        <f>AS65-AT65-AU65-AV65</f>
        <v>39380</v>
      </c>
      <c r="AX65">
        <f>_xlfn.XLOOKUP(B65,'[5]july-2025'!$A:$A,'[5]july-2025'!$C:$C,0,0)</f>
        <v>32500</v>
      </c>
      <c r="AY65">
        <f>AX65*0.18</f>
        <v>5850</v>
      </c>
      <c r="AZ65">
        <v>0</v>
      </c>
      <c r="BA65">
        <f>AX65*0.12</f>
        <v>3900</v>
      </c>
      <c r="BB65">
        <f>_xlfn.XLOOKUP(B65,'[5]july-2025'!$A:$A,'[5]july-2025'!$D:$D,0,0)</f>
        <v>0</v>
      </c>
      <c r="BC65">
        <f>_xlfn.XLOOKUP(B65,'[5]july-2025'!$A:$A,'[5]july-2025'!$G:$G,0,0)</f>
        <v>500</v>
      </c>
      <c r="BD65">
        <f>IF(AX65&gt;0,SUM(AX65:BC65),0)</f>
        <v>42750</v>
      </c>
      <c r="BE65">
        <f>_xlfn.XLOOKUP(B65,'[5]july-2025'!$A:$A,'[5]july-2025'!$H:$H,0,0)</f>
        <v>2000</v>
      </c>
      <c r="BF65">
        <f>_xlfn.XLOOKUP(B65,'[5]july-2025'!$A:$A,'[5]july-2025'!$I:$I,0,0)</f>
        <v>0</v>
      </c>
      <c r="BG65">
        <f>IF($F65="YES",0,IF(BD65&gt;40000,200,IF(BD65&gt;25000,150,IF(BD65&gt;15000,130,IF(BD65&gt;10000,110,0)))))</f>
        <v>200</v>
      </c>
      <c r="BH65">
        <f>BD65-BE65-BF65-BG65</f>
        <v>40550</v>
      </c>
      <c r="BI65">
        <f>_xlfn.XLOOKUP(B65,'[6]august-2025'!$A:$A,'[6]august-2025'!$C:$C,0,0)</f>
        <v>32500</v>
      </c>
      <c r="BJ65">
        <f>BI65*0.18</f>
        <v>5850</v>
      </c>
      <c r="BK65">
        <f>BI65*0.12</f>
        <v>3900</v>
      </c>
      <c r="BL65">
        <f>_xlfn.XLOOKUP(B65,'[6]august-2025'!$A:$A,'[6]august-2025'!$D:$D,0,0)</f>
        <v>0</v>
      </c>
      <c r="BM65">
        <f>_xlfn.XLOOKUP(B65,'[6]august-2025'!$A:$A,'[6]august-2025'!$G:$G,0,0)</f>
        <v>500</v>
      </c>
      <c r="BN65">
        <f>IF(BI65&gt;0,SUM(BI65:BM65),0)</f>
        <v>42750</v>
      </c>
      <c r="BO65">
        <f>_xlfn.XLOOKUP(B65,'[6]august-2025'!$A:$A,'[6]august-2025'!$H:$H,0,0)</f>
        <v>2000</v>
      </c>
      <c r="BP65">
        <f>_xlfn.XLOOKUP(B65,'[6]august-2025'!$A:$A,'[6]august-2025'!$I:$I,0,0)</f>
        <v>0</v>
      </c>
      <c r="BQ65">
        <f>IF($F65="YES",0,IF(BN65&gt;40000,200,IF(BN65&gt;25000,150,IF(BN65&gt;15000,130,IF(BN65&gt;10000,110,0)))))</f>
        <v>200</v>
      </c>
      <c r="BR65">
        <f>BN65-BO65-BP65-BQ65</f>
        <v>40550</v>
      </c>
      <c r="BS65">
        <f>_xlfn.XLOOKUP(B65,'[7]september-2025'!$A:$A,'[7]september-2025'!$C:$C,0,0)</f>
        <v>32500</v>
      </c>
      <c r="BT65">
        <f>BS65*0.18</f>
        <v>5850</v>
      </c>
      <c r="BU65">
        <f>BS65*0.12</f>
        <v>3900</v>
      </c>
      <c r="BV65">
        <f>_xlfn.XLOOKUP(B65,'[7]september-2025'!$A:$A,'[7]september-2025'!$D:$D,0,0)</f>
        <v>0</v>
      </c>
      <c r="BW65">
        <f>_xlfn.XLOOKUP(B65,'[7]september-2025'!$A:$A,'[7]september-2025'!$G:$G,0,0)</f>
        <v>500</v>
      </c>
      <c r="BX65">
        <f>IF(BS65&gt;0,SUM(BS65:BW65),0)</f>
        <v>42750</v>
      </c>
      <c r="BY65">
        <f>_xlfn.XLOOKUP(B65,'[7]september-2025'!$A:$A,'[7]september-2025'!$H:$H,0,0)</f>
        <v>2000</v>
      </c>
      <c r="BZ65">
        <f>_xlfn.XLOOKUP(B65,'[7]september-2025'!$A:$A,'[7]september-2025'!$I:$I,0,0)</f>
        <v>0</v>
      </c>
      <c r="CA65">
        <f>IF($F65="YES",0,IF(BX65&gt;40000,200,IF(BX65&gt;25000,150,IF(BX65&gt;15000,130,IF(BX65&gt;10000,110,0)))))</f>
        <v>200</v>
      </c>
      <c r="CB65">
        <f>BX65-BY65-BZ65-CA65</f>
        <v>40550</v>
      </c>
      <c r="CC65">
        <f>_xlfn.XLOOKUP(B65,'[8]october-2025'!$A:$A,'[8]october-2025'!$C:$C,0,0)</f>
        <v>32500</v>
      </c>
      <c r="CD65">
        <f>CC65*0.18</f>
        <v>5850</v>
      </c>
      <c r="CE65">
        <f>CC65*0.12</f>
        <v>3900</v>
      </c>
      <c r="CF65">
        <f>_xlfn.XLOOKUP(B65,'[8]october-2025'!$A:$A,'[8]october-2025'!$D:$D,0,0)</f>
        <v>0</v>
      </c>
      <c r="CG65">
        <f>_xlfn.XLOOKUP(B65,'[8]october-2025'!$A:$A,'[8]october-2025'!$G:$G,0,0)</f>
        <v>500</v>
      </c>
      <c r="CH65">
        <f>IF(CC65&gt;0,SUM(CC65:CG65),0)</f>
        <v>42750</v>
      </c>
      <c r="CI65">
        <f>_xlfn.XLOOKUP(B65,'[8]october-2025'!$A:$A,'[8]october-2025'!$H:$H,0,0)</f>
        <v>2000</v>
      </c>
      <c r="CJ65">
        <f>_xlfn.XLOOKUP(B65,'[8]october-2025'!$A:$A,'[8]october-2025'!$I:$I,0,0)</f>
        <v>0</v>
      </c>
      <c r="CK65">
        <f>IF($F65="YES",0,IF(CH65&gt;40000,200,IF(CH65&gt;25000,150,IF(CH65&gt;15000,130,IF(CH65&gt;10000,110,0)))))</f>
        <v>200</v>
      </c>
      <c r="CL65">
        <f>CH65-CI65-CJ65-CK65</f>
        <v>40550</v>
      </c>
      <c r="CM65">
        <f>_xlfn.XLOOKUP(B65,'[9]november-2025'!$A:$A,'[9]november-2025'!$C:$C,0,0)</f>
        <v>32500</v>
      </c>
      <c r="CN65">
        <f>CM65*0.18</f>
        <v>5850</v>
      </c>
      <c r="CO65">
        <f>CM65*0.12</f>
        <v>3900</v>
      </c>
      <c r="CP65">
        <f>_xlfn.XLOOKUP(B65,'[9]november-2025'!$A:$A,'[9]november-2025'!$D:$D,0,0)</f>
        <v>0</v>
      </c>
      <c r="CQ65">
        <f>_xlfn.XLOOKUP(B65,'[9]november-2025'!$A:$A,'[9]november-2025'!$G:$G,0,0)</f>
        <v>500</v>
      </c>
      <c r="CR65">
        <f>IF(CM65&gt;0,SUM(CM65:CQ65),0)</f>
        <v>42750</v>
      </c>
      <c r="CS65">
        <f>_xlfn.XLOOKUP(B65,'[9]november-2025'!$A:$A,'[9]november-2025'!$H:$H,0,0)</f>
        <v>2000</v>
      </c>
      <c r="CT65">
        <f>_xlfn.XLOOKUP(B65,'[9]november-2025'!$A:$A,'[9]november-2025'!$I:$I,0,0)</f>
        <v>0</v>
      </c>
      <c r="CU65">
        <f>IF($F65="YES",0,IF(CR65&gt;40000,200,IF(CR65&gt;25000,150,IF(CR65&gt;15000,130,IF(CR65&gt;10000,110,0)))))</f>
        <v>200</v>
      </c>
      <c r="CV65">
        <f>CR65-CS65-CT65-CU65</f>
        <v>40550</v>
      </c>
      <c r="CW65">
        <f>_xlfn.XLOOKUP(B65,'[10]december-2025'!$A:$A,'[10]december-2025'!$C:$C,0,0)</f>
        <v>32500</v>
      </c>
      <c r="CX65">
        <f>ROUND(CW65*0.18,0)</f>
        <v>5850</v>
      </c>
      <c r="CY65">
        <f>ROUND(CW65*0.12,0)</f>
        <v>3900</v>
      </c>
      <c r="CZ65">
        <f>_xlfn.XLOOKUP(B65,'[10]december-2025'!$A:$A,'[10]december-2025'!$D:$D,0,0)</f>
        <v>0</v>
      </c>
      <c r="DA65">
        <f>_xlfn.XLOOKUP(B65,'[10]december-2025'!$A:$A,'[10]december-2025'!$G:$G,0,0)</f>
        <v>500</v>
      </c>
      <c r="DB65">
        <f>IF(CW65&gt;0,SUM(CW65:DA65),0)</f>
        <v>42750</v>
      </c>
      <c r="DC65">
        <f>_xlfn.XLOOKUP(B65,'[10]december-2025'!$A:$A,'[10]december-2025'!$H:$H,0,0)</f>
        <v>2000</v>
      </c>
      <c r="DD65">
        <f>_xlfn.XLOOKUP(B65,'[10]december-2025'!$A:$A,'[10]december-2025'!$I:$I,0,0)</f>
        <v>0</v>
      </c>
      <c r="DE65">
        <f>IF($F65="YES",0,IF(DB65&gt;40000,200,IF(DB65&gt;25000,150,IF(DB65&gt;15000,130,IF(DB65&gt;10000,110,0)))))</f>
        <v>200</v>
      </c>
      <c r="DF65">
        <f>DB65-DC65-DD65-DE65</f>
        <v>40550</v>
      </c>
      <c r="DG65">
        <f>_xlfn.XLOOKUP(B65,'[11]january-2026'!$A:$A,'[11]january-2026'!$C:$C,0,0)</f>
        <v>32500</v>
      </c>
      <c r="DH65">
        <f>DG65*0.18</f>
        <v>5850</v>
      </c>
      <c r="DI65">
        <f>DG65*0.12</f>
        <v>3900</v>
      </c>
      <c r="DJ65">
        <f>_xlfn.XLOOKUP(B65,'[11]january-2026'!$A:$A,'[11]january-2026'!$D:$D,0,0)</f>
        <v>0</v>
      </c>
      <c r="DK65">
        <f>_xlfn.XLOOKUP(B65,'[11]january-2026'!$A:$A,'[11]january-2026'!$G:$G,0,0)</f>
        <v>500</v>
      </c>
      <c r="DL65">
        <f>IF(DG65&gt;0,SUM(DG65:DK65),0)</f>
        <v>42750</v>
      </c>
      <c r="DM65">
        <f>_xlfn.XLOOKUP(B65,'[11]january-2026'!$A:$A,'[11]january-2026'!$H:$H,0,0)</f>
        <v>2000</v>
      </c>
      <c r="DN65">
        <f>_xlfn.XLOOKUP(B65,'[11]january-2026'!$A:$A,'[11]january-2026'!$I:$I,0,0)</f>
        <v>0</v>
      </c>
      <c r="DO65">
        <f>IF($F65="YES",0,IF(DL65&gt;40000,200,IF(DL65&gt;25000,150,IF(DL65&gt;15000,130,IF(DL65&gt;10000,110,0)))))</f>
        <v>200</v>
      </c>
      <c r="DP65">
        <f>DL65-DM65-DN65-DO65</f>
        <v>40550</v>
      </c>
      <c r="DQ65">
        <f>_xlfn.XLOOKUP(B65,'[12]february-2026'!$A:$A,'[12]february-2026'!$C:$C,0,0)</f>
        <v>32500</v>
      </c>
      <c r="DR65">
        <f>DQ65*0.18</f>
        <v>5850</v>
      </c>
      <c r="DS65">
        <f>DQ65*0.12</f>
        <v>3900</v>
      </c>
      <c r="DT65">
        <f>_xlfn.XLOOKUP(B65,'[12]february-2026'!$A:$A,'[12]february-2026'!$D:$D,0,0)</f>
        <v>0</v>
      </c>
      <c r="DU65">
        <f>_xlfn.XLOOKUP(B65,'[12]february-2026'!$A:$A,'[12]february-2026'!$G:$G,0,0)</f>
        <v>500</v>
      </c>
      <c r="DV65">
        <f>IF(DQ65&gt;0,SUM(DQ65:DU65),0)</f>
        <v>42750</v>
      </c>
      <c r="DW65">
        <f>_xlfn.XLOOKUP(B65,'[12]february-2026'!$A:$A,'[12]february-2026'!$H:$H,0,0)</f>
        <v>2000</v>
      </c>
      <c r="DX65">
        <f>_xlfn.XLOOKUP(B65,'[12]february-2026'!$A:$A,'[12]february-2026'!$I:$I,0,0)</f>
        <v>0</v>
      </c>
      <c r="DY65">
        <f>IF($F65="YES",0,IF(DV65&gt;40000,200,IF(DV65&gt;25000,150,IF(DV65&gt;15000,130,IF(DV65&gt;10000,110,0)))))</f>
        <v>200</v>
      </c>
      <c r="DZ65">
        <f>DV65-DW65-DX65-DY65</f>
        <v>40550</v>
      </c>
      <c r="EA65">
        <f>DV65+DL65+DB65+CR65+CH65+BX65+BN65+BD65+AS65+AI65+Y65+O65+H65+I65</f>
        <v>513856</v>
      </c>
      <c r="EB65">
        <f>DY65+DO65+DE65+CU65+CK65+CA65+BQ65+BG65+AV65+AL65+AB65+R65</f>
        <v>2400</v>
      </c>
      <c r="EC65">
        <f>IF(EA65&gt;0,50000,0)</f>
        <v>50000</v>
      </c>
      <c r="ED65">
        <v>0</v>
      </c>
      <c r="EE65">
        <f>EA65-EB65-EC65</f>
        <v>461456</v>
      </c>
      <c r="EF65">
        <f>DW65+DM65+DC65+CS65+CI65+BY65+BO65+BE65+AT65+AJ65+Z65+P65</f>
        <v>24000</v>
      </c>
      <c r="EG65">
        <f>DX65+DN65+DD65+CT65+CJ65+BZ65+BP65+BF65+AU65+AK65+AA65+Q65</f>
        <v>0</v>
      </c>
      <c r="EH65">
        <v>0</v>
      </c>
      <c r="EI65">
        <v>0</v>
      </c>
      <c r="EJ65">
        <v>0</v>
      </c>
      <c r="EK65">
        <v>0</v>
      </c>
      <c r="EL65">
        <v>0</v>
      </c>
      <c r="EM65">
        <v>0</v>
      </c>
      <c r="EN65">
        <v>0</v>
      </c>
      <c r="EO65">
        <v>0</v>
      </c>
      <c r="EP65">
        <v>0</v>
      </c>
      <c r="EQ65">
        <v>0</v>
      </c>
      <c r="ER65">
        <f>SUM(EF65:EQ65)</f>
        <v>24000</v>
      </c>
      <c r="ES65">
        <f>IF(ER65&gt;=150000,150000,ER65)</f>
        <v>24000</v>
      </c>
      <c r="ET65">
        <f>EE65-ES65</f>
        <v>437456</v>
      </c>
      <c r="EU65">
        <v>0</v>
      </c>
      <c r="EV65">
        <v>0</v>
      </c>
      <c r="EW65">
        <v>0</v>
      </c>
      <c r="EX65">
        <v>0</v>
      </c>
      <c r="EY65">
        <v>0</v>
      </c>
      <c r="EZ65">
        <v>0</v>
      </c>
      <c r="FA65">
        <v>0</v>
      </c>
      <c r="FB65">
        <f>SUM(EU65:FA65)+(IF(F65="YES",50000,0))</f>
        <v>0</v>
      </c>
      <c r="FC65">
        <f>ET65-FB65</f>
        <v>437456</v>
      </c>
      <c r="FD65">
        <f>ROUND(IF(FC65&gt;0,IF(FC65&gt;500000,12500,(FC65-250000)*0.05),0),0)</f>
        <v>9373</v>
      </c>
      <c r="FE65">
        <f>IF(ROUND(IF(FC65&gt;0,IF(FC65&gt;1000000,25000,(FC65-500000)*0.2),0),0)&lt;0,0,ROUND(IF(FC65&gt;0,IF(FC65&gt;1000000,25000,(FC65-500000)*0.2),0),0))</f>
        <v>0</v>
      </c>
      <c r="FF65">
        <f>FD65+FE65</f>
        <v>9373</v>
      </c>
      <c r="FG65">
        <f>IF(FF65&lt;12500,0,FF65)</f>
        <v>0</v>
      </c>
      <c r="FH65">
        <f>FG65*0.04</f>
        <v>0</v>
      </c>
      <c r="FI65">
        <f>ROUND(FH65+FG65,0)</f>
        <v>0</v>
      </c>
      <c r="FJ65">
        <v>0</v>
      </c>
      <c r="FK65">
        <f>FI65-FJ65</f>
        <v>0</v>
      </c>
      <c r="FL65" t="b">
        <f>IF(EA65&gt;500000,TRUE,FALSE)</f>
        <v>1</v>
      </c>
      <c r="FM65">
        <f ca="1">IF(FL65,RANDBETWEEN(500,1000),RANDBETWEEN(1000,3000))</f>
        <v>810</v>
      </c>
      <c r="FN65">
        <f ca="1">EA65+FM65</f>
        <v>514666</v>
      </c>
      <c r="FO65">
        <f>IF(EA65&gt;0,75000,0)</f>
        <v>75000</v>
      </c>
      <c r="FP65">
        <f ca="1">FN65-FO65</f>
        <v>439666</v>
      </c>
      <c r="FQ65">
        <f ca="1">IF(FP65&gt;2400000,FP65-2400000,0)</f>
        <v>0</v>
      </c>
      <c r="FR65">
        <f ca="1">FQ65*0.3</f>
        <v>0</v>
      </c>
      <c r="FS65">
        <f ca="1">IF(FP65&gt;2000000,FP65-2000000,0)</f>
        <v>0</v>
      </c>
      <c r="FT65">
        <f ca="1">FS65*0.25</f>
        <v>0</v>
      </c>
      <c r="FU65">
        <f ca="1">IF(FP65&gt;1600000,FP65-1600000-FQ65,0)</f>
        <v>0</v>
      </c>
      <c r="FV65">
        <f ca="1">FU65*0.2</f>
        <v>0</v>
      </c>
      <c r="FW65">
        <f ca="1">IF(FP65&gt;1200000,FP65-1200000-IF(F65="YES",50000,0)-FU65,0)</f>
        <v>0</v>
      </c>
      <c r="FX65">
        <f ca="1">FW65*0.15</f>
        <v>0</v>
      </c>
      <c r="FY65">
        <f ca="1">IF(FP65&gt;800000,FP65-800000-FQ65-FU65-FW65,0)</f>
        <v>0</v>
      </c>
      <c r="FZ65">
        <f ca="1">FY65*0.1</f>
        <v>0</v>
      </c>
      <c r="GA65">
        <f ca="1">IF(FP65&gt;400000,FP65-400000-FQ65-FU65-FW65-FY65,0)</f>
        <v>39666</v>
      </c>
      <c r="GB65">
        <f ca="1">GA65*0.05</f>
        <v>1983.3000000000002</v>
      </c>
      <c r="GC65">
        <f ca="1">ROUND(FR65+FT65+FV65+FX65+FZ65+GB65,0)</f>
        <v>1983</v>
      </c>
      <c r="GD65">
        <f ca="1">IF(FP65&gt;1200000,FP65,0)</f>
        <v>0</v>
      </c>
      <c r="GE65">
        <f ca="1">IF(FP65&gt;1200000,GD65-1200000,0)</f>
        <v>0</v>
      </c>
      <c r="GF65">
        <f ca="1">IF(FP65&lt;1200001,MIN(GC65,60000),0)</f>
        <v>1983</v>
      </c>
      <c r="GG65">
        <f ca="1">IF(FP65&gt;1200000,GC65-GE65,0)</f>
        <v>0</v>
      </c>
      <c r="GH65" t="b">
        <f ca="1">IF(GG65&gt;0,TRUE,FALSE)</f>
        <v>0</v>
      </c>
      <c r="GI65">
        <f ca="1">IF(GH65,GG65,0)</f>
        <v>0</v>
      </c>
      <c r="GJ65">
        <f ca="1">GF65+GI65</f>
        <v>1983</v>
      </c>
      <c r="GK65">
        <f ca="1">ROUND(GC65-GJ65,0)</f>
        <v>0</v>
      </c>
      <c r="GL65">
        <f ca="1">GK65*0.04</f>
        <v>0</v>
      </c>
      <c r="GM65">
        <f ca="1">ROUNDUP(GK65+GL65,0)</f>
        <v>0</v>
      </c>
    </row>
    <row r="66" spans="1:195" x14ac:dyDescent="0.25">
      <c r="A66">
        <f>_xlfn.AGGREGATE(3,5,$B$2:B66)</f>
        <v>65</v>
      </c>
      <c r="B66" t="s">
        <v>250</v>
      </c>
      <c r="C66" t="s">
        <v>251</v>
      </c>
      <c r="D66" t="s">
        <v>768</v>
      </c>
      <c r="E66" t="s">
        <v>836</v>
      </c>
      <c r="F66" t="s">
        <v>961</v>
      </c>
      <c r="G66" t="s">
        <v>881</v>
      </c>
      <c r="H66">
        <f>IF(_xlfn.DAYS("31-03-2025",G66)&gt;=180,6800,0)</f>
        <v>6800</v>
      </c>
      <c r="I66">
        <f>_xlfn.XLOOKUP(B66,'[1]march-2025'!$A:$A,'[1]march-2025'!$J:$J,0,0)</f>
        <v>0</v>
      </c>
      <c r="J66">
        <f>_xlfn.XLOOKUP(B66,'[1]march-2025'!$A:$A,'[1]march-2025'!$C:$C,0,0)</f>
        <v>30700</v>
      </c>
      <c r="K66">
        <f>J66*0.14</f>
        <v>4298</v>
      </c>
      <c r="L66">
        <f>J66*0.12</f>
        <v>3684</v>
      </c>
      <c r="M66">
        <f>_xlfn.XLOOKUP(B66,'[1]march-2025'!$A:$A,'[1]march-2025'!$D:$D,0,0)</f>
        <v>0</v>
      </c>
      <c r="N66">
        <f>_xlfn.XLOOKUP(B66,'[1]march-2025'!$A:$A,'[1]march-2025'!$G:$G,0,0)</f>
        <v>500</v>
      </c>
      <c r="O66">
        <f>IF(J66&gt;0,SUM(J66:N66),0)</f>
        <v>39182</v>
      </c>
      <c r="P66">
        <f>_xlfn.XLOOKUP(B66,'[1]march-2025'!$A:$A,'[1]march-2025'!$H:$H,0,0)</f>
        <v>2000</v>
      </c>
      <c r="Q66">
        <f>_xlfn.XLOOKUP(B66,'[1]march-2025'!$A:$A,'[1]march-2025'!$I:$I,0,0)</f>
        <v>0</v>
      </c>
      <c r="R66">
        <f>IF($F66="YES",0,IF(O66&gt;40000,200,IF(O66&gt;25000,150,IF(O66&gt;15000,130,IF(O66&gt;10000,110,0)))))</f>
        <v>150</v>
      </c>
      <c r="S66">
        <f>O66-P66-Q66-R66</f>
        <v>37032</v>
      </c>
      <c r="T66">
        <f>_xlfn.XLOOKUP(B66,'[2]april-2025'!$A:$A,'[2]april-2025'!$C:$C,0,0)</f>
        <v>30700</v>
      </c>
      <c r="U66">
        <f>T66*0.18</f>
        <v>5526</v>
      </c>
      <c r="V66">
        <f>T66*0.12</f>
        <v>3684</v>
      </c>
      <c r="W66">
        <f>_xlfn.XLOOKUP(B66,'[2]april-2025'!$A:$A,'[2]april-2025'!$D:$D,0,0)</f>
        <v>0</v>
      </c>
      <c r="X66">
        <f>_xlfn.XLOOKUP(B66,'[2]april-2025'!$A:$A,'[2]april-2025'!$G:$G,0,0)</f>
        <v>500</v>
      </c>
      <c r="Y66">
        <f>IF(T66&gt;0,SUM(T66:X66),0)</f>
        <v>40410</v>
      </c>
      <c r="Z66">
        <f>_xlfn.XLOOKUP(B66,'[2]april-2025'!$A:$A,'[2]april-2025'!$H:$H,0,0)</f>
        <v>2000</v>
      </c>
      <c r="AA66">
        <f>_xlfn.XLOOKUP(B66,'[2]april-2025'!$A:$A,'[2]april-2025'!$I:$I,0,0)</f>
        <v>0</v>
      </c>
      <c r="AB66">
        <f>IF($F66="YES",0,IF(Y66&gt;40000,200,IF(Y66&gt;25000,150,IF(Y66&gt;15000,130,IF(Y66&gt;10000,110,0)))))</f>
        <v>200</v>
      </c>
      <c r="AC66">
        <f>Y66-Z66-AA66-AB66</f>
        <v>38210</v>
      </c>
      <c r="AD66">
        <f>_xlfn.XLOOKUP(B66,'[3]may-2025'!$A:$A,'[3]may-2025'!$C:$C,0,0)</f>
        <v>30700</v>
      </c>
      <c r="AE66">
        <f>AD66*0.18</f>
        <v>5526</v>
      </c>
      <c r="AF66">
        <f>AD66*0.12</f>
        <v>3684</v>
      </c>
      <c r="AG66">
        <f>_xlfn.XLOOKUP(B66,'[3]may-2025'!$A:$A,'[3]may-2025'!$D:$D,0,0)</f>
        <v>0</v>
      </c>
      <c r="AH66">
        <f>_xlfn.XLOOKUP(B66,'[3]may-2025'!$A:$A,'[3]may-2025'!$G:$G,0,0)</f>
        <v>500</v>
      </c>
      <c r="AI66">
        <f>IF(AD66&gt;0,SUM(AD66:AH66),0)</f>
        <v>40410</v>
      </c>
      <c r="AJ66">
        <f>_xlfn.XLOOKUP(B66,'[3]may-2025'!$A:$A,'[3]may-2025'!$H:$H,0,0)</f>
        <v>2000</v>
      </c>
      <c r="AK66">
        <f>_xlfn.XLOOKUP(B66,'[3]may-2025'!$A:$A,'[3]may-2025'!$I:$I,0,0)</f>
        <v>0</v>
      </c>
      <c r="AL66">
        <f>IF($F66="YES",0,IF(AI66&gt;40000,200,IF(AI66&gt;25000,150,IF(AI66&gt;15000,130,IF(AI66&gt;10000,110,0)))))</f>
        <v>200</v>
      </c>
      <c r="AM66">
        <f>AI66-AJ66-AK66-AL66</f>
        <v>38210</v>
      </c>
      <c r="AN66">
        <f>_xlfn.XLOOKUP(B66,'[4]june-2025'!$A:$A,'[4]june-2025'!$C:$C,0,0)</f>
        <v>30700</v>
      </c>
      <c r="AO66">
        <f>AN66*0.18</f>
        <v>5526</v>
      </c>
      <c r="AP66">
        <f>AN66*0.12</f>
        <v>3684</v>
      </c>
      <c r="AQ66">
        <f>_xlfn.XLOOKUP(B66,'[4]june-2025'!$A:$A,'[4]june-2025'!$D:$D,0,0)</f>
        <v>0</v>
      </c>
      <c r="AR66">
        <f>_xlfn.XLOOKUP(B66,'[4]june-2025'!$A:$A,'[4]june-2025'!$G:$G,0,0)</f>
        <v>500</v>
      </c>
      <c r="AS66">
        <f>IF(AN66&gt;0,SUM(AN66:AR66),0)</f>
        <v>40410</v>
      </c>
      <c r="AT66">
        <f>_xlfn.XLOOKUP(B66,'[4]june-2025'!$A:$A,'[4]june-2025'!$H:$H,0,0)</f>
        <v>2000</v>
      </c>
      <c r="AU66">
        <f>_xlfn.XLOOKUP(B66,'[4]june-2025'!$A:$A,'[4]june-2025'!$I:$I,0,0)</f>
        <v>0</v>
      </c>
      <c r="AV66">
        <f>IF($F66="YES",0,IF(AS66&gt;40000,200,IF(AS66&gt;25000,150,IF(AS66&gt;15000,130,IF(AS66&gt;10000,110,0)))))</f>
        <v>200</v>
      </c>
      <c r="AW66">
        <f>AS66-AT66-AU66-AV66</f>
        <v>38210</v>
      </c>
      <c r="AX66">
        <f>_xlfn.XLOOKUP(B66,'[5]july-2025'!$A:$A,'[5]july-2025'!$C:$C,0,0)</f>
        <v>31600</v>
      </c>
      <c r="AY66">
        <f>AX66*0.18</f>
        <v>5688</v>
      </c>
      <c r="AZ66">
        <v>0</v>
      </c>
      <c r="BA66">
        <f>AX66*0.12</f>
        <v>3792</v>
      </c>
      <c r="BB66">
        <f>_xlfn.XLOOKUP(B66,'[5]july-2025'!$A:$A,'[5]july-2025'!$D:$D,0,0)</f>
        <v>0</v>
      </c>
      <c r="BC66">
        <f>_xlfn.XLOOKUP(B66,'[5]july-2025'!$A:$A,'[5]july-2025'!$G:$G,0,0)</f>
        <v>500</v>
      </c>
      <c r="BD66">
        <f>IF(AX66&gt;0,SUM(AX66:BC66),0)</f>
        <v>41580</v>
      </c>
      <c r="BE66">
        <f>_xlfn.XLOOKUP(B66,'[5]july-2025'!$A:$A,'[5]july-2025'!$H:$H,0,0)</f>
        <v>2000</v>
      </c>
      <c r="BF66">
        <f>_xlfn.XLOOKUP(B66,'[5]july-2025'!$A:$A,'[5]july-2025'!$I:$I,0,0)</f>
        <v>0</v>
      </c>
      <c r="BG66">
        <f>IF($F66="YES",0,IF(BD66&gt;40000,200,IF(BD66&gt;25000,150,IF(BD66&gt;15000,130,IF(BD66&gt;10000,110,0)))))</f>
        <v>200</v>
      </c>
      <c r="BH66">
        <f>BD66-BE66-BF66-BG66</f>
        <v>39380</v>
      </c>
      <c r="BI66">
        <f>_xlfn.XLOOKUP(B66,'[6]august-2025'!$A:$A,'[6]august-2025'!$C:$C,0,0)</f>
        <v>31600</v>
      </c>
      <c r="BJ66">
        <f>BI66*0.18</f>
        <v>5688</v>
      </c>
      <c r="BK66">
        <f>BI66*0.12</f>
        <v>3792</v>
      </c>
      <c r="BL66">
        <f>_xlfn.XLOOKUP(B66,'[6]august-2025'!$A:$A,'[6]august-2025'!$D:$D,0,0)</f>
        <v>0</v>
      </c>
      <c r="BM66">
        <f>_xlfn.XLOOKUP(B66,'[6]august-2025'!$A:$A,'[6]august-2025'!$G:$G,0,0)</f>
        <v>500</v>
      </c>
      <c r="BN66">
        <f>IF(BI66&gt;0,SUM(BI66:BM66),0)</f>
        <v>41580</v>
      </c>
      <c r="BO66">
        <f>_xlfn.XLOOKUP(B66,'[6]august-2025'!$A:$A,'[6]august-2025'!$H:$H,0,0)</f>
        <v>2000</v>
      </c>
      <c r="BP66">
        <f>_xlfn.XLOOKUP(B66,'[6]august-2025'!$A:$A,'[6]august-2025'!$I:$I,0,0)</f>
        <v>0</v>
      </c>
      <c r="BQ66">
        <f>IF($F66="YES",0,IF(BN66&gt;40000,200,IF(BN66&gt;25000,150,IF(BN66&gt;15000,130,IF(BN66&gt;10000,110,0)))))</f>
        <v>200</v>
      </c>
      <c r="BR66">
        <f>BN66-BO66-BP66-BQ66</f>
        <v>39380</v>
      </c>
      <c r="BS66">
        <f>_xlfn.XLOOKUP(B66,'[7]september-2025'!$A:$A,'[7]september-2025'!$C:$C,0,0)</f>
        <v>31600</v>
      </c>
      <c r="BT66">
        <f>BS66*0.18</f>
        <v>5688</v>
      </c>
      <c r="BU66">
        <f>BS66*0.12</f>
        <v>3792</v>
      </c>
      <c r="BV66">
        <f>_xlfn.XLOOKUP(B66,'[7]september-2025'!$A:$A,'[7]september-2025'!$D:$D,0,0)</f>
        <v>0</v>
      </c>
      <c r="BW66">
        <f>_xlfn.XLOOKUP(B66,'[7]september-2025'!$A:$A,'[7]september-2025'!$G:$G,0,0)</f>
        <v>500</v>
      </c>
      <c r="BX66">
        <f>IF(BS66&gt;0,SUM(BS66:BW66),0)</f>
        <v>41580</v>
      </c>
      <c r="BY66">
        <f>_xlfn.XLOOKUP(B66,'[7]september-2025'!$A:$A,'[7]september-2025'!$H:$H,0,0)</f>
        <v>2000</v>
      </c>
      <c r="BZ66">
        <f>_xlfn.XLOOKUP(B66,'[7]september-2025'!$A:$A,'[7]september-2025'!$I:$I,0,0)</f>
        <v>0</v>
      </c>
      <c r="CA66">
        <f>IF($F66="YES",0,IF(BX66&gt;40000,200,IF(BX66&gt;25000,150,IF(BX66&gt;15000,130,IF(BX66&gt;10000,110,0)))))</f>
        <v>200</v>
      </c>
      <c r="CB66">
        <f>BX66-BY66-BZ66-CA66</f>
        <v>39380</v>
      </c>
      <c r="CC66">
        <f>_xlfn.XLOOKUP(B66,'[8]october-2025'!$A:$A,'[8]october-2025'!$C:$C,0,0)</f>
        <v>31600</v>
      </c>
      <c r="CD66">
        <f>CC66*0.18</f>
        <v>5688</v>
      </c>
      <c r="CE66">
        <f>CC66*0.12</f>
        <v>3792</v>
      </c>
      <c r="CF66">
        <f>_xlfn.XLOOKUP(B66,'[8]october-2025'!$A:$A,'[8]october-2025'!$D:$D,0,0)</f>
        <v>0</v>
      </c>
      <c r="CG66">
        <f>_xlfn.XLOOKUP(B66,'[8]october-2025'!$A:$A,'[8]october-2025'!$G:$G,0,0)</f>
        <v>500</v>
      </c>
      <c r="CH66">
        <f>IF(CC66&gt;0,SUM(CC66:CG66),0)</f>
        <v>41580</v>
      </c>
      <c r="CI66">
        <f>_xlfn.XLOOKUP(B66,'[8]october-2025'!$A:$A,'[8]october-2025'!$H:$H,0,0)</f>
        <v>2000</v>
      </c>
      <c r="CJ66">
        <f>_xlfn.XLOOKUP(B66,'[8]october-2025'!$A:$A,'[8]october-2025'!$I:$I,0,0)</f>
        <v>0</v>
      </c>
      <c r="CK66">
        <f>IF($F66="YES",0,IF(CH66&gt;40000,200,IF(CH66&gt;25000,150,IF(CH66&gt;15000,130,IF(CH66&gt;10000,110,0)))))</f>
        <v>200</v>
      </c>
      <c r="CL66">
        <f>CH66-CI66-CJ66-CK66</f>
        <v>39380</v>
      </c>
      <c r="CM66">
        <f>_xlfn.XLOOKUP(B66,'[9]november-2025'!$A:$A,'[9]november-2025'!$C:$C,0,0)</f>
        <v>31600</v>
      </c>
      <c r="CN66">
        <f>CM66*0.18</f>
        <v>5688</v>
      </c>
      <c r="CO66">
        <f>CM66*0.12</f>
        <v>3792</v>
      </c>
      <c r="CP66">
        <f>_xlfn.XLOOKUP(B66,'[9]november-2025'!$A:$A,'[9]november-2025'!$D:$D,0,0)</f>
        <v>0</v>
      </c>
      <c r="CQ66">
        <f>_xlfn.XLOOKUP(B66,'[9]november-2025'!$A:$A,'[9]november-2025'!$G:$G,0,0)</f>
        <v>500</v>
      </c>
      <c r="CR66">
        <f>IF(CM66&gt;0,SUM(CM66:CQ66),0)</f>
        <v>41580</v>
      </c>
      <c r="CS66">
        <f>_xlfn.XLOOKUP(B66,'[9]november-2025'!$A:$A,'[9]november-2025'!$H:$H,0,0)</f>
        <v>2000</v>
      </c>
      <c r="CT66">
        <f>_xlfn.XLOOKUP(B66,'[9]november-2025'!$A:$A,'[9]november-2025'!$I:$I,0,0)</f>
        <v>0</v>
      </c>
      <c r="CU66">
        <f>IF($F66="YES",0,IF(CR66&gt;40000,200,IF(CR66&gt;25000,150,IF(CR66&gt;15000,130,IF(CR66&gt;10000,110,0)))))</f>
        <v>200</v>
      </c>
      <c r="CV66">
        <f>CR66-CS66-CT66-CU66</f>
        <v>39380</v>
      </c>
      <c r="CW66">
        <f>_xlfn.XLOOKUP(B66,'[10]december-2025'!$A:$A,'[10]december-2025'!$C:$C,0,0)</f>
        <v>31600</v>
      </c>
      <c r="CX66">
        <f>ROUND(CW66*0.18,0)</f>
        <v>5688</v>
      </c>
      <c r="CY66">
        <f>ROUND(CW66*0.12,0)</f>
        <v>3792</v>
      </c>
      <c r="CZ66">
        <f>_xlfn.XLOOKUP(B66,'[10]december-2025'!$A:$A,'[10]december-2025'!$D:$D,0,0)</f>
        <v>0</v>
      </c>
      <c r="DA66">
        <f>_xlfn.XLOOKUP(B66,'[10]december-2025'!$A:$A,'[10]december-2025'!$G:$G,0,0)</f>
        <v>500</v>
      </c>
      <c r="DB66">
        <f>IF(CW66&gt;0,SUM(CW66:DA66),0)</f>
        <v>41580</v>
      </c>
      <c r="DC66">
        <f>_xlfn.XLOOKUP(B66,'[10]december-2025'!$A:$A,'[10]december-2025'!$H:$H,0,0)</f>
        <v>2000</v>
      </c>
      <c r="DD66">
        <f>_xlfn.XLOOKUP(B66,'[10]december-2025'!$A:$A,'[10]december-2025'!$I:$I,0,0)</f>
        <v>0</v>
      </c>
      <c r="DE66">
        <f>IF($F66="YES",0,IF(DB66&gt;40000,200,IF(DB66&gt;25000,150,IF(DB66&gt;15000,130,IF(DB66&gt;10000,110,0)))))</f>
        <v>200</v>
      </c>
      <c r="DF66">
        <f>DB66-DC66-DD66-DE66</f>
        <v>39380</v>
      </c>
      <c r="DG66">
        <f>_xlfn.XLOOKUP(B66,'[11]january-2026'!$A:$A,'[11]january-2026'!$C:$C,0,0)</f>
        <v>31600</v>
      </c>
      <c r="DH66">
        <f>DG66*0.18</f>
        <v>5688</v>
      </c>
      <c r="DI66">
        <f>DG66*0.12</f>
        <v>3792</v>
      </c>
      <c r="DJ66">
        <f>_xlfn.XLOOKUP(B66,'[11]january-2026'!$A:$A,'[11]january-2026'!$D:$D,0,0)</f>
        <v>0</v>
      </c>
      <c r="DK66">
        <f>_xlfn.XLOOKUP(B66,'[11]january-2026'!$A:$A,'[11]january-2026'!$G:$G,0,0)</f>
        <v>500</v>
      </c>
      <c r="DL66">
        <f>IF(DG66&gt;0,SUM(DG66:DK66),0)</f>
        <v>41580</v>
      </c>
      <c r="DM66">
        <f>_xlfn.XLOOKUP(B66,'[11]january-2026'!$A:$A,'[11]january-2026'!$H:$H,0,0)</f>
        <v>2000</v>
      </c>
      <c r="DN66">
        <f>_xlfn.XLOOKUP(B66,'[11]january-2026'!$A:$A,'[11]january-2026'!$I:$I,0,0)</f>
        <v>0</v>
      </c>
      <c r="DO66">
        <f>IF($F66="YES",0,IF(DL66&gt;40000,200,IF(DL66&gt;25000,150,IF(DL66&gt;15000,130,IF(DL66&gt;10000,110,0)))))</f>
        <v>200</v>
      </c>
      <c r="DP66">
        <f>DL66-DM66-DN66-DO66</f>
        <v>39380</v>
      </c>
      <c r="DQ66">
        <f>_xlfn.XLOOKUP(B66,'[12]february-2026'!$A:$A,'[12]february-2026'!$C:$C,0,0)</f>
        <v>31600</v>
      </c>
      <c r="DR66">
        <f>DQ66*0.18</f>
        <v>5688</v>
      </c>
      <c r="DS66">
        <f>DQ66*0.12</f>
        <v>3792</v>
      </c>
      <c r="DT66">
        <f>_xlfn.XLOOKUP(B66,'[12]february-2026'!$A:$A,'[12]february-2026'!$D:$D,0,0)</f>
        <v>0</v>
      </c>
      <c r="DU66">
        <f>_xlfn.XLOOKUP(B66,'[12]february-2026'!$A:$A,'[12]february-2026'!$G:$G,0,0)</f>
        <v>500</v>
      </c>
      <c r="DV66">
        <f>IF(DQ66&gt;0,SUM(DQ66:DU66),0)</f>
        <v>41580</v>
      </c>
      <c r="DW66">
        <f>_xlfn.XLOOKUP(B66,'[12]february-2026'!$A:$A,'[12]february-2026'!$H:$H,0,0)</f>
        <v>2000</v>
      </c>
      <c r="DX66">
        <f>_xlfn.XLOOKUP(B66,'[12]february-2026'!$A:$A,'[12]february-2026'!$I:$I,0,0)</f>
        <v>0</v>
      </c>
      <c r="DY66">
        <f>IF($F66="YES",0,IF(DV66&gt;40000,200,IF(DV66&gt;25000,150,IF(DV66&gt;15000,130,IF(DV66&gt;10000,110,0)))))</f>
        <v>200</v>
      </c>
      <c r="DZ66">
        <f>DV66-DW66-DX66-DY66</f>
        <v>39380</v>
      </c>
      <c r="EA66">
        <f>DV66+DL66+DB66+CR66+CH66+BX66+BN66+BD66+AS66+AI66+Y66+O66+H66+I66</f>
        <v>499852</v>
      </c>
      <c r="EB66">
        <f>DY66+DO66+DE66+CU66+CK66+CA66+BQ66+BG66+AV66+AL66+AB66+R66</f>
        <v>2350</v>
      </c>
      <c r="EC66">
        <f>IF(EA66&gt;0,50000,0)</f>
        <v>50000</v>
      </c>
      <c r="ED66">
        <v>0</v>
      </c>
      <c r="EE66">
        <f>EA66-EB66-EC66</f>
        <v>447502</v>
      </c>
      <c r="EF66">
        <f>DW66+DM66+DC66+CS66+CI66+BY66+BO66+BE66+AT66+AJ66+Z66+P66</f>
        <v>24000</v>
      </c>
      <c r="EG66">
        <f>DX66+DN66+DD66+CT66+CJ66+BZ66+BP66+BF66+AU66+AK66+AA66+Q66</f>
        <v>0</v>
      </c>
      <c r="EH66">
        <v>0</v>
      </c>
      <c r="EI66">
        <v>0</v>
      </c>
      <c r="EJ66">
        <v>0</v>
      </c>
      <c r="EK66">
        <v>0</v>
      </c>
      <c r="EL66">
        <v>0</v>
      </c>
      <c r="EM66">
        <v>0</v>
      </c>
      <c r="EN66">
        <v>0</v>
      </c>
      <c r="EO66">
        <v>0</v>
      </c>
      <c r="EP66">
        <v>0</v>
      </c>
      <c r="EQ66">
        <v>0</v>
      </c>
      <c r="ER66">
        <f>SUM(EF66:EQ66)</f>
        <v>24000</v>
      </c>
      <c r="ES66">
        <f>IF(ER66&gt;=150000,150000,ER66)</f>
        <v>24000</v>
      </c>
      <c r="ET66">
        <f>EE66-ES66</f>
        <v>423502</v>
      </c>
      <c r="EU66">
        <v>0</v>
      </c>
      <c r="EV66">
        <v>0</v>
      </c>
      <c r="EW66">
        <v>0</v>
      </c>
      <c r="EX66">
        <v>0</v>
      </c>
      <c r="EY66">
        <v>0</v>
      </c>
      <c r="EZ66">
        <v>0</v>
      </c>
      <c r="FA66">
        <v>0</v>
      </c>
      <c r="FB66">
        <f>SUM(EU66:FA66)+(IF(F66="YES",50000,0))</f>
        <v>0</v>
      </c>
      <c r="FC66">
        <f>ET66-FB66</f>
        <v>423502</v>
      </c>
      <c r="FD66">
        <f>ROUND(IF(FC66&gt;0,IF(FC66&gt;500000,12500,(FC66-250000)*0.05),0),0)</f>
        <v>8675</v>
      </c>
      <c r="FE66">
        <f>IF(ROUND(IF(FC66&gt;0,IF(FC66&gt;1000000,25000,(FC66-500000)*0.2),0),0)&lt;0,0,ROUND(IF(FC66&gt;0,IF(FC66&gt;1000000,25000,(FC66-500000)*0.2),0),0))</f>
        <v>0</v>
      </c>
      <c r="FF66">
        <f>FD66+FE66</f>
        <v>8675</v>
      </c>
      <c r="FG66">
        <f>IF(FF66&lt;12500,0,FF66)</f>
        <v>0</v>
      </c>
      <c r="FH66">
        <f>FG66*0.04</f>
        <v>0</v>
      </c>
      <c r="FI66">
        <f>ROUND(FH66+FG66,0)</f>
        <v>0</v>
      </c>
      <c r="FJ66">
        <v>0</v>
      </c>
      <c r="FK66">
        <f>FI66-FJ66</f>
        <v>0</v>
      </c>
      <c r="FL66" t="b">
        <f>IF(EA66&gt;500000,TRUE,FALSE)</f>
        <v>0</v>
      </c>
      <c r="FM66">
        <f ca="1">IF(FL66,RANDBETWEEN(500,1000),RANDBETWEEN(1000,3000))</f>
        <v>2564</v>
      </c>
      <c r="FN66">
        <f ca="1">EA66+FM66</f>
        <v>502416</v>
      </c>
      <c r="FO66">
        <f>IF(EA66&gt;0,75000,0)</f>
        <v>75000</v>
      </c>
      <c r="FP66">
        <f ca="1">FN66-FO66</f>
        <v>427416</v>
      </c>
      <c r="FQ66">
        <f ca="1">IF(FP66&gt;2400000,FP66-2400000,0)</f>
        <v>0</v>
      </c>
      <c r="FR66">
        <f ca="1">FQ66*0.3</f>
        <v>0</v>
      </c>
      <c r="FS66">
        <f ca="1">IF(FP66&gt;2000000,FP66-2000000,0)</f>
        <v>0</v>
      </c>
      <c r="FT66">
        <f ca="1">FS66*0.25</f>
        <v>0</v>
      </c>
      <c r="FU66">
        <f ca="1">IF(FP66&gt;1600000,FP66-1600000-FQ66,0)</f>
        <v>0</v>
      </c>
      <c r="FV66">
        <f ca="1">FU66*0.2</f>
        <v>0</v>
      </c>
      <c r="FW66">
        <f ca="1">IF(FP66&gt;1200000,FP66-1200000-IF(F66="YES",50000,0)-FU66,0)</f>
        <v>0</v>
      </c>
      <c r="FX66">
        <f ca="1">FW66*0.15</f>
        <v>0</v>
      </c>
      <c r="FY66">
        <f ca="1">IF(FP66&gt;800000,FP66-800000-FQ66-FU66-FW66,0)</f>
        <v>0</v>
      </c>
      <c r="FZ66">
        <f ca="1">FY66*0.1</f>
        <v>0</v>
      </c>
      <c r="GA66">
        <f ca="1">IF(FP66&gt;400000,FP66-400000-FQ66-FU66-FW66-FY66,0)</f>
        <v>27416</v>
      </c>
      <c r="GB66">
        <f ca="1">GA66*0.05</f>
        <v>1370.8000000000002</v>
      </c>
      <c r="GC66">
        <f ca="1">ROUND(FR66+FT66+FV66+FX66+FZ66+GB66,0)</f>
        <v>1371</v>
      </c>
      <c r="GD66">
        <f ca="1">IF(FP66&gt;1200000,FP66,0)</f>
        <v>0</v>
      </c>
      <c r="GE66">
        <f ca="1">IF(FP66&gt;1200000,GD66-1200000,0)</f>
        <v>0</v>
      </c>
      <c r="GF66">
        <f ca="1">IF(FP66&lt;1200001,MIN(GC66,60000),0)</f>
        <v>1371</v>
      </c>
      <c r="GG66">
        <f ca="1">IF(FP66&gt;1200000,GC66-GE66,0)</f>
        <v>0</v>
      </c>
      <c r="GH66" t="b">
        <f ca="1">IF(GG66&gt;0,TRUE,FALSE)</f>
        <v>0</v>
      </c>
      <c r="GI66">
        <f ca="1">IF(GH66,GG66,0)</f>
        <v>0</v>
      </c>
      <c r="GJ66">
        <f ca="1">GF66+GI66</f>
        <v>1371</v>
      </c>
      <c r="GK66">
        <f ca="1">ROUND(GC66-GJ66,0)</f>
        <v>0</v>
      </c>
      <c r="GL66">
        <f ca="1">GK66*0.04</f>
        <v>0</v>
      </c>
      <c r="GM66">
        <f ca="1">ROUNDUP(GK66+GL66,0)</f>
        <v>0</v>
      </c>
    </row>
    <row r="67" spans="1:195" x14ac:dyDescent="0.25">
      <c r="A67">
        <f>_xlfn.AGGREGATE(3,5,$B$2:B67)</f>
        <v>66</v>
      </c>
      <c r="B67" t="s">
        <v>252</v>
      </c>
      <c r="C67" t="s">
        <v>253</v>
      </c>
      <c r="D67" t="s">
        <v>768</v>
      </c>
      <c r="E67" t="s">
        <v>833</v>
      </c>
      <c r="F67" t="s">
        <v>959</v>
      </c>
      <c r="G67" t="s">
        <v>906</v>
      </c>
      <c r="H67">
        <f>IF(_xlfn.DAYS("31-03-2025",G67)&gt;=180,6800,0)</f>
        <v>6800</v>
      </c>
      <c r="I67">
        <f>_xlfn.XLOOKUP(B67,'[1]march-2025'!$A:$A,'[1]march-2025'!$J:$J,0,0)</f>
        <v>0</v>
      </c>
      <c r="J67">
        <f>_xlfn.XLOOKUP(B67,'[1]march-2025'!$A:$A,'[1]march-2025'!$C:$C,0,0)</f>
        <v>28900</v>
      </c>
      <c r="K67">
        <f>J67*0.14</f>
        <v>4046.0000000000005</v>
      </c>
      <c r="L67">
        <f>J67*0.12</f>
        <v>3468</v>
      </c>
      <c r="M67">
        <f>_xlfn.XLOOKUP(B67,'[1]march-2025'!$A:$A,'[1]march-2025'!$D:$D,0,0)</f>
        <v>0</v>
      </c>
      <c r="N67">
        <f>_xlfn.XLOOKUP(B67,'[1]march-2025'!$A:$A,'[1]march-2025'!$G:$G,0,0)</f>
        <v>500</v>
      </c>
      <c r="O67">
        <f>IF(J67&gt;0,SUM(J67:N67),0)</f>
        <v>36914</v>
      </c>
      <c r="P67">
        <f>_xlfn.XLOOKUP(B67,'[1]march-2025'!$A:$A,'[1]march-2025'!$H:$H,0,0)</f>
        <v>2000</v>
      </c>
      <c r="Q67">
        <f>_xlfn.XLOOKUP(B67,'[1]march-2025'!$A:$A,'[1]march-2025'!$I:$I,0,0)</f>
        <v>0</v>
      </c>
      <c r="R67">
        <f>IF($F67="YES",0,IF(O67&gt;40000,200,IF(O67&gt;25000,150,IF(O67&gt;15000,130,IF(O67&gt;10000,110,0)))))</f>
        <v>150</v>
      </c>
      <c r="S67">
        <f>O67-P67-Q67-R67</f>
        <v>34764</v>
      </c>
      <c r="T67">
        <f>_xlfn.XLOOKUP(B67,'[2]april-2025'!$A:$A,'[2]april-2025'!$C:$C,0,0)</f>
        <v>28900</v>
      </c>
      <c r="U67">
        <f>T67*0.18</f>
        <v>5202</v>
      </c>
      <c r="V67">
        <f>T67*0.12</f>
        <v>3468</v>
      </c>
      <c r="W67">
        <f>_xlfn.XLOOKUP(B67,'[2]april-2025'!$A:$A,'[2]april-2025'!$D:$D,0,0)</f>
        <v>0</v>
      </c>
      <c r="X67">
        <f>_xlfn.XLOOKUP(B67,'[2]april-2025'!$A:$A,'[2]april-2025'!$G:$G,0,0)</f>
        <v>500</v>
      </c>
      <c r="Y67">
        <f>IF(T67&gt;0,SUM(T67:X67),0)</f>
        <v>38070</v>
      </c>
      <c r="Z67">
        <f>_xlfn.XLOOKUP(B67,'[2]april-2025'!$A:$A,'[2]april-2025'!$H:$H,0,0)</f>
        <v>2000</v>
      </c>
      <c r="AA67">
        <f>_xlfn.XLOOKUP(B67,'[2]april-2025'!$A:$A,'[2]april-2025'!$I:$I,0,0)</f>
        <v>0</v>
      </c>
      <c r="AB67">
        <f>IF($F67="YES",0,IF(Y67&gt;40000,200,IF(Y67&gt;25000,150,IF(Y67&gt;15000,130,IF(Y67&gt;10000,110,0)))))</f>
        <v>150</v>
      </c>
      <c r="AC67">
        <f>Y67-Z67-AA67-AB67</f>
        <v>35920</v>
      </c>
      <c r="AD67">
        <f>_xlfn.XLOOKUP(B67,'[3]may-2025'!$A:$A,'[3]may-2025'!$C:$C,0,0)</f>
        <v>28900</v>
      </c>
      <c r="AE67">
        <f>AD67*0.18</f>
        <v>5202</v>
      </c>
      <c r="AF67">
        <f>AD67*0.12</f>
        <v>3468</v>
      </c>
      <c r="AG67">
        <f>_xlfn.XLOOKUP(B67,'[3]may-2025'!$A:$A,'[3]may-2025'!$D:$D,0,0)</f>
        <v>0</v>
      </c>
      <c r="AH67">
        <f>_xlfn.XLOOKUP(B67,'[3]may-2025'!$A:$A,'[3]may-2025'!$G:$G,0,0)</f>
        <v>500</v>
      </c>
      <c r="AI67">
        <f>IF(AD67&gt;0,SUM(AD67:AH67),0)</f>
        <v>38070</v>
      </c>
      <c r="AJ67">
        <f>_xlfn.XLOOKUP(B67,'[3]may-2025'!$A:$A,'[3]may-2025'!$H:$H,0,0)</f>
        <v>2000</v>
      </c>
      <c r="AK67">
        <f>_xlfn.XLOOKUP(B67,'[3]may-2025'!$A:$A,'[3]may-2025'!$I:$I,0,0)</f>
        <v>0</v>
      </c>
      <c r="AL67">
        <f>IF($F67="YES",0,IF(AI67&gt;40000,200,IF(AI67&gt;25000,150,IF(AI67&gt;15000,130,IF(AI67&gt;10000,110,0)))))</f>
        <v>150</v>
      </c>
      <c r="AM67">
        <f>AI67-AJ67-AK67-AL67</f>
        <v>35920</v>
      </c>
      <c r="AN67">
        <f>_xlfn.XLOOKUP(B67,'[4]june-2025'!$A:$A,'[4]june-2025'!$C:$C,0,0)</f>
        <v>28900</v>
      </c>
      <c r="AO67">
        <f>AN67*0.18</f>
        <v>5202</v>
      </c>
      <c r="AP67">
        <f>AN67*0.12</f>
        <v>3468</v>
      </c>
      <c r="AQ67">
        <f>_xlfn.XLOOKUP(B67,'[4]june-2025'!$A:$A,'[4]june-2025'!$D:$D,0,0)</f>
        <v>0</v>
      </c>
      <c r="AR67">
        <f>_xlfn.XLOOKUP(B67,'[4]june-2025'!$A:$A,'[4]june-2025'!$G:$G,0,0)</f>
        <v>500</v>
      </c>
      <c r="AS67">
        <f>IF(AN67&gt;0,SUM(AN67:AR67),0)</f>
        <v>38070</v>
      </c>
      <c r="AT67">
        <f>_xlfn.XLOOKUP(B67,'[4]june-2025'!$A:$A,'[4]june-2025'!$H:$H,0,0)</f>
        <v>2000</v>
      </c>
      <c r="AU67">
        <f>_xlfn.XLOOKUP(B67,'[4]june-2025'!$A:$A,'[4]june-2025'!$I:$I,0,0)</f>
        <v>0</v>
      </c>
      <c r="AV67">
        <f>IF($F67="YES",0,IF(AS67&gt;40000,200,IF(AS67&gt;25000,150,IF(AS67&gt;15000,130,IF(AS67&gt;10000,110,0)))))</f>
        <v>150</v>
      </c>
      <c r="AW67">
        <f>AS67-AT67-AU67-AV67</f>
        <v>35920</v>
      </c>
      <c r="AX67">
        <f>_xlfn.XLOOKUP(B67,'[5]july-2025'!$A:$A,'[5]july-2025'!$C:$C,0,0)</f>
        <v>29800</v>
      </c>
      <c r="AY67">
        <f>AX67*0.18</f>
        <v>5364</v>
      </c>
      <c r="AZ67">
        <v>0</v>
      </c>
      <c r="BA67">
        <f>AX67*0.12</f>
        <v>3576</v>
      </c>
      <c r="BB67">
        <f>_xlfn.XLOOKUP(B67,'[5]july-2025'!$A:$A,'[5]july-2025'!$D:$D,0,0)</f>
        <v>0</v>
      </c>
      <c r="BC67">
        <f>_xlfn.XLOOKUP(B67,'[5]july-2025'!$A:$A,'[5]july-2025'!$G:$G,0,0)</f>
        <v>500</v>
      </c>
      <c r="BD67">
        <f>IF(AX67&gt;0,SUM(AX67:BC67),0)</f>
        <v>39240</v>
      </c>
      <c r="BE67">
        <f>_xlfn.XLOOKUP(B67,'[5]july-2025'!$A:$A,'[5]july-2025'!$H:$H,0,0)</f>
        <v>2000</v>
      </c>
      <c r="BF67">
        <f>_xlfn.XLOOKUP(B67,'[5]july-2025'!$A:$A,'[5]july-2025'!$I:$I,0,0)</f>
        <v>0</v>
      </c>
      <c r="BG67">
        <f>IF($F67="YES",0,IF(BD67&gt;40000,200,IF(BD67&gt;25000,150,IF(BD67&gt;15000,130,IF(BD67&gt;10000,110,0)))))</f>
        <v>150</v>
      </c>
      <c r="BH67">
        <f>BD67-BE67-BF67-BG67</f>
        <v>37090</v>
      </c>
      <c r="BI67">
        <f>_xlfn.XLOOKUP(B67,'[6]august-2025'!$A:$A,'[6]august-2025'!$C:$C,0,0)</f>
        <v>29800</v>
      </c>
      <c r="BJ67">
        <f>BI67*0.18</f>
        <v>5364</v>
      </c>
      <c r="BK67">
        <f>BI67*0.12</f>
        <v>3576</v>
      </c>
      <c r="BL67">
        <f>_xlfn.XLOOKUP(B67,'[6]august-2025'!$A:$A,'[6]august-2025'!$D:$D,0,0)</f>
        <v>0</v>
      </c>
      <c r="BM67">
        <f>_xlfn.XLOOKUP(B67,'[6]august-2025'!$A:$A,'[6]august-2025'!$G:$G,0,0)</f>
        <v>500</v>
      </c>
      <c r="BN67">
        <f>IF(BI67&gt;0,SUM(BI67:BM67),0)</f>
        <v>39240</v>
      </c>
      <c r="BO67">
        <f>_xlfn.XLOOKUP(B67,'[6]august-2025'!$A:$A,'[6]august-2025'!$H:$H,0,0)</f>
        <v>2000</v>
      </c>
      <c r="BP67">
        <f>_xlfn.XLOOKUP(B67,'[6]august-2025'!$A:$A,'[6]august-2025'!$I:$I,0,0)</f>
        <v>0</v>
      </c>
      <c r="BQ67">
        <f>IF($F67="YES",0,IF(BN67&gt;40000,200,IF(BN67&gt;25000,150,IF(BN67&gt;15000,130,IF(BN67&gt;10000,110,0)))))</f>
        <v>150</v>
      </c>
      <c r="BR67">
        <f>BN67-BO67-BP67-BQ67</f>
        <v>37090</v>
      </c>
      <c r="BS67">
        <f>_xlfn.XLOOKUP(B67,'[7]september-2025'!$A:$A,'[7]september-2025'!$C:$C,0,0)</f>
        <v>29800</v>
      </c>
      <c r="BT67">
        <f>BS67*0.18</f>
        <v>5364</v>
      </c>
      <c r="BU67">
        <f>BS67*0.12</f>
        <v>3576</v>
      </c>
      <c r="BV67">
        <f>_xlfn.XLOOKUP(B67,'[7]september-2025'!$A:$A,'[7]september-2025'!$D:$D,0,0)</f>
        <v>0</v>
      </c>
      <c r="BW67">
        <f>_xlfn.XLOOKUP(B67,'[7]september-2025'!$A:$A,'[7]september-2025'!$G:$G,0,0)</f>
        <v>500</v>
      </c>
      <c r="BX67">
        <f>IF(BS67&gt;0,SUM(BS67:BW67),0)</f>
        <v>39240</v>
      </c>
      <c r="BY67">
        <f>_xlfn.XLOOKUP(B67,'[7]september-2025'!$A:$A,'[7]september-2025'!$H:$H,0,0)</f>
        <v>2000</v>
      </c>
      <c r="BZ67">
        <f>_xlfn.XLOOKUP(B67,'[7]september-2025'!$A:$A,'[7]september-2025'!$I:$I,0,0)</f>
        <v>0</v>
      </c>
      <c r="CA67">
        <f>IF($F67="YES",0,IF(BX67&gt;40000,200,IF(BX67&gt;25000,150,IF(BX67&gt;15000,130,IF(BX67&gt;10000,110,0)))))</f>
        <v>150</v>
      </c>
      <c r="CB67">
        <f>BX67-BY67-BZ67-CA67</f>
        <v>37090</v>
      </c>
      <c r="CC67">
        <f>_xlfn.XLOOKUP(B67,'[8]october-2025'!$A:$A,'[8]october-2025'!$C:$C,0,0)</f>
        <v>29800</v>
      </c>
      <c r="CD67">
        <f>CC67*0.18</f>
        <v>5364</v>
      </c>
      <c r="CE67">
        <f>CC67*0.12</f>
        <v>3576</v>
      </c>
      <c r="CF67">
        <f>_xlfn.XLOOKUP(B67,'[8]october-2025'!$A:$A,'[8]october-2025'!$D:$D,0,0)</f>
        <v>0</v>
      </c>
      <c r="CG67">
        <f>_xlfn.XLOOKUP(B67,'[8]october-2025'!$A:$A,'[8]october-2025'!$G:$G,0,0)</f>
        <v>500</v>
      </c>
      <c r="CH67">
        <f>IF(CC67&gt;0,SUM(CC67:CG67),0)</f>
        <v>39240</v>
      </c>
      <c r="CI67">
        <f>_xlfn.XLOOKUP(B67,'[8]october-2025'!$A:$A,'[8]october-2025'!$H:$H,0,0)</f>
        <v>2000</v>
      </c>
      <c r="CJ67">
        <f>_xlfn.XLOOKUP(B67,'[8]october-2025'!$A:$A,'[8]october-2025'!$I:$I,0,0)</f>
        <v>0</v>
      </c>
      <c r="CK67">
        <f>IF($F67="YES",0,IF(CH67&gt;40000,200,IF(CH67&gt;25000,150,IF(CH67&gt;15000,130,IF(CH67&gt;10000,110,0)))))</f>
        <v>150</v>
      </c>
      <c r="CL67">
        <f>CH67-CI67-CJ67-CK67</f>
        <v>37090</v>
      </c>
      <c r="CM67">
        <f>_xlfn.XLOOKUP(B67,'[9]november-2025'!$A:$A,'[9]november-2025'!$C:$C,0,0)</f>
        <v>29800</v>
      </c>
      <c r="CN67">
        <f>CM67*0.18</f>
        <v>5364</v>
      </c>
      <c r="CO67">
        <f>CM67*0.12</f>
        <v>3576</v>
      </c>
      <c r="CP67">
        <f>_xlfn.XLOOKUP(B67,'[9]november-2025'!$A:$A,'[9]november-2025'!$D:$D,0,0)</f>
        <v>0</v>
      </c>
      <c r="CQ67">
        <f>_xlfn.XLOOKUP(B67,'[9]november-2025'!$A:$A,'[9]november-2025'!$G:$G,0,0)</f>
        <v>500</v>
      </c>
      <c r="CR67">
        <f>IF(CM67&gt;0,SUM(CM67:CQ67),0)</f>
        <v>39240</v>
      </c>
      <c r="CS67">
        <f>_xlfn.XLOOKUP(B67,'[9]november-2025'!$A:$A,'[9]november-2025'!$H:$H,0,0)</f>
        <v>2000</v>
      </c>
      <c r="CT67">
        <f>_xlfn.XLOOKUP(B67,'[9]november-2025'!$A:$A,'[9]november-2025'!$I:$I,0,0)</f>
        <v>0</v>
      </c>
      <c r="CU67">
        <f>IF($F67="YES",0,IF(CR67&gt;40000,200,IF(CR67&gt;25000,150,IF(CR67&gt;15000,130,IF(CR67&gt;10000,110,0)))))</f>
        <v>150</v>
      </c>
      <c r="CV67">
        <f>CR67-CS67-CT67-CU67</f>
        <v>37090</v>
      </c>
      <c r="CW67">
        <f>_xlfn.XLOOKUP(B67,'[10]december-2025'!$A:$A,'[10]december-2025'!$C:$C,0,0)</f>
        <v>29800</v>
      </c>
      <c r="CX67">
        <f>ROUND(CW67*0.18,0)</f>
        <v>5364</v>
      </c>
      <c r="CY67">
        <f>ROUND(CW67*0.12,0)</f>
        <v>3576</v>
      </c>
      <c r="CZ67">
        <f>_xlfn.XLOOKUP(B67,'[10]december-2025'!$A:$A,'[10]december-2025'!$D:$D,0,0)</f>
        <v>0</v>
      </c>
      <c r="DA67">
        <f>_xlfn.XLOOKUP(B67,'[10]december-2025'!$A:$A,'[10]december-2025'!$G:$G,0,0)</f>
        <v>500</v>
      </c>
      <c r="DB67">
        <f>IF(CW67&gt;0,SUM(CW67:DA67),0)</f>
        <v>39240</v>
      </c>
      <c r="DC67">
        <f>_xlfn.XLOOKUP(B67,'[10]december-2025'!$A:$A,'[10]december-2025'!$H:$H,0,0)</f>
        <v>2000</v>
      </c>
      <c r="DD67">
        <f>_xlfn.XLOOKUP(B67,'[10]december-2025'!$A:$A,'[10]december-2025'!$I:$I,0,0)</f>
        <v>0</v>
      </c>
      <c r="DE67">
        <f>IF($F67="YES",0,IF(DB67&gt;40000,200,IF(DB67&gt;25000,150,IF(DB67&gt;15000,130,IF(DB67&gt;10000,110,0)))))</f>
        <v>150</v>
      </c>
      <c r="DF67">
        <f>DB67-DC67-DD67-DE67</f>
        <v>37090</v>
      </c>
      <c r="DG67">
        <f>_xlfn.XLOOKUP(B67,'[11]january-2026'!$A:$A,'[11]january-2026'!$C:$C,0,0)</f>
        <v>29800</v>
      </c>
      <c r="DH67">
        <f>DG67*0.18</f>
        <v>5364</v>
      </c>
      <c r="DI67">
        <f>DG67*0.12</f>
        <v>3576</v>
      </c>
      <c r="DJ67">
        <f>_xlfn.XLOOKUP(B67,'[11]january-2026'!$A:$A,'[11]january-2026'!$D:$D,0,0)</f>
        <v>0</v>
      </c>
      <c r="DK67">
        <f>_xlfn.XLOOKUP(B67,'[11]january-2026'!$A:$A,'[11]january-2026'!$G:$G,0,0)</f>
        <v>500</v>
      </c>
      <c r="DL67">
        <f>IF(DG67&gt;0,SUM(DG67:DK67),0)</f>
        <v>39240</v>
      </c>
      <c r="DM67">
        <f>_xlfn.XLOOKUP(B67,'[11]january-2026'!$A:$A,'[11]january-2026'!$H:$H,0,0)</f>
        <v>2000</v>
      </c>
      <c r="DN67">
        <f>_xlfn.XLOOKUP(B67,'[11]january-2026'!$A:$A,'[11]january-2026'!$I:$I,0,0)</f>
        <v>0</v>
      </c>
      <c r="DO67">
        <f>IF($F67="YES",0,IF(DL67&gt;40000,200,IF(DL67&gt;25000,150,IF(DL67&gt;15000,130,IF(DL67&gt;10000,110,0)))))</f>
        <v>150</v>
      </c>
      <c r="DP67">
        <f>DL67-DM67-DN67-DO67</f>
        <v>37090</v>
      </c>
      <c r="DQ67">
        <f>_xlfn.XLOOKUP(B67,'[12]february-2026'!$A:$A,'[12]february-2026'!$C:$C,0,0)</f>
        <v>29800</v>
      </c>
      <c r="DR67">
        <f>DQ67*0.18</f>
        <v>5364</v>
      </c>
      <c r="DS67">
        <f>DQ67*0.12</f>
        <v>3576</v>
      </c>
      <c r="DT67">
        <f>_xlfn.XLOOKUP(B67,'[12]february-2026'!$A:$A,'[12]february-2026'!$D:$D,0,0)</f>
        <v>0</v>
      </c>
      <c r="DU67">
        <f>_xlfn.XLOOKUP(B67,'[12]february-2026'!$A:$A,'[12]february-2026'!$G:$G,0,0)</f>
        <v>500</v>
      </c>
      <c r="DV67">
        <f>IF(DQ67&gt;0,SUM(DQ67:DU67),0)</f>
        <v>39240</v>
      </c>
      <c r="DW67">
        <f>_xlfn.XLOOKUP(B67,'[12]february-2026'!$A:$A,'[12]february-2026'!$H:$H,0,0)</f>
        <v>2000</v>
      </c>
      <c r="DX67">
        <f>_xlfn.XLOOKUP(B67,'[12]february-2026'!$A:$A,'[12]february-2026'!$I:$I,0,0)</f>
        <v>0</v>
      </c>
      <c r="DY67">
        <f>IF($F67="YES",0,IF(DV67&gt;40000,200,IF(DV67&gt;25000,150,IF(DV67&gt;15000,130,IF(DV67&gt;10000,110,0)))))</f>
        <v>150</v>
      </c>
      <c r="DZ67">
        <f>DV67-DW67-DX67-DY67</f>
        <v>37090</v>
      </c>
      <c r="EA67">
        <f>DV67+DL67+DB67+CR67+CH67+BX67+BN67+BD67+AS67+AI67+Y67+O67+H67+I67</f>
        <v>471844</v>
      </c>
      <c r="EB67">
        <f>DY67+DO67+DE67+CU67+CK67+CA67+BQ67+BG67+AV67+AL67+AB67+R67</f>
        <v>1800</v>
      </c>
      <c r="EC67">
        <f>IF(EA67&gt;0,50000,0)</f>
        <v>50000</v>
      </c>
      <c r="ED67">
        <v>0</v>
      </c>
      <c r="EE67">
        <f>EA67-EB67-EC67</f>
        <v>420044</v>
      </c>
      <c r="EF67">
        <f>DW67+DM67+DC67+CS67+CI67+BY67+BO67+BE67+AT67+AJ67+Z67+P67</f>
        <v>24000</v>
      </c>
      <c r="EG67">
        <f>DX67+DN67+DD67+CT67+CJ67+BZ67+BP67+BF67+AU67+AK67+AA67+Q67</f>
        <v>0</v>
      </c>
      <c r="EH67">
        <v>0</v>
      </c>
      <c r="EI67">
        <v>0</v>
      </c>
      <c r="EJ67">
        <v>0</v>
      </c>
      <c r="EK67">
        <v>0</v>
      </c>
      <c r="EL67">
        <v>0</v>
      </c>
      <c r="EM67">
        <v>0</v>
      </c>
      <c r="EN67">
        <v>0</v>
      </c>
      <c r="EO67">
        <v>0</v>
      </c>
      <c r="EP67">
        <v>0</v>
      </c>
      <c r="EQ67">
        <v>0</v>
      </c>
      <c r="ER67">
        <f>SUM(EF67:EQ67)</f>
        <v>24000</v>
      </c>
      <c r="ES67">
        <f>IF(ER67&gt;=150000,150000,ER67)</f>
        <v>24000</v>
      </c>
      <c r="ET67">
        <f>EE67-ES67</f>
        <v>396044</v>
      </c>
      <c r="EU67">
        <v>0</v>
      </c>
      <c r="EV67">
        <v>0</v>
      </c>
      <c r="EW67">
        <v>0</v>
      </c>
      <c r="EX67">
        <v>0</v>
      </c>
      <c r="EY67">
        <v>0</v>
      </c>
      <c r="EZ67">
        <v>0</v>
      </c>
      <c r="FA67">
        <v>0</v>
      </c>
      <c r="FB67">
        <f>SUM(EU67:FA67)+(IF(F67="YES",50000,0))</f>
        <v>0</v>
      </c>
      <c r="FC67">
        <f>ET67-FB67</f>
        <v>396044</v>
      </c>
      <c r="FD67">
        <f>ROUND(IF(FC67&gt;0,IF(FC67&gt;500000,12500,(FC67-250000)*0.05),0),0)</f>
        <v>7302</v>
      </c>
      <c r="FE67">
        <f>IF(ROUND(IF(FC67&gt;0,IF(FC67&gt;1000000,25000,(FC67-500000)*0.2),0),0)&lt;0,0,ROUND(IF(FC67&gt;0,IF(FC67&gt;1000000,25000,(FC67-500000)*0.2),0),0))</f>
        <v>0</v>
      </c>
      <c r="FF67">
        <f>FD67+FE67</f>
        <v>7302</v>
      </c>
      <c r="FG67">
        <f>IF(FF67&lt;12500,0,FF67)</f>
        <v>0</v>
      </c>
      <c r="FH67">
        <f>FG67*0.04</f>
        <v>0</v>
      </c>
      <c r="FI67">
        <f>ROUND(FH67+FG67,0)</f>
        <v>0</v>
      </c>
      <c r="FJ67">
        <v>0</v>
      </c>
      <c r="FK67">
        <f>FI67-FJ67</f>
        <v>0</v>
      </c>
      <c r="FL67" t="b">
        <f>IF(EA67&gt;500000,TRUE,FALSE)</f>
        <v>0</v>
      </c>
      <c r="FM67">
        <f ca="1">IF(FL67,RANDBETWEEN(500,1000),RANDBETWEEN(1000,3000))</f>
        <v>2520</v>
      </c>
      <c r="FN67">
        <f ca="1">EA67+FM67</f>
        <v>474364</v>
      </c>
      <c r="FO67">
        <f>IF(EA67&gt;0,75000,0)</f>
        <v>75000</v>
      </c>
      <c r="FP67">
        <f ca="1">FN67-FO67</f>
        <v>399364</v>
      </c>
      <c r="FQ67">
        <f ca="1">IF(FP67&gt;2400000,FP67-2400000,0)</f>
        <v>0</v>
      </c>
      <c r="FR67">
        <f ca="1">FQ67*0.3</f>
        <v>0</v>
      </c>
      <c r="FS67">
        <f ca="1">IF(FP67&gt;2000000,FP67-2000000,0)</f>
        <v>0</v>
      </c>
      <c r="FT67">
        <f ca="1">FS67*0.25</f>
        <v>0</v>
      </c>
      <c r="FU67">
        <f ca="1">IF(FP67&gt;1600000,FP67-1600000-FQ67,0)</f>
        <v>0</v>
      </c>
      <c r="FV67">
        <f ca="1">FU67*0.2</f>
        <v>0</v>
      </c>
      <c r="FW67">
        <f ca="1">IF(FP67&gt;1200000,FP67-1200000-IF(F67="YES",50000,0)-FU67,0)</f>
        <v>0</v>
      </c>
      <c r="FX67">
        <f ca="1">FW67*0.15</f>
        <v>0</v>
      </c>
      <c r="FY67">
        <f ca="1">IF(FP67&gt;800000,FP67-800000-FQ67-FU67-FW67,0)</f>
        <v>0</v>
      </c>
      <c r="FZ67">
        <f ca="1">FY67*0.1</f>
        <v>0</v>
      </c>
      <c r="GA67">
        <f ca="1">IF(FP67&gt;400000,FP67-400000-FQ67-FU67-FW67-FY67,0)</f>
        <v>0</v>
      </c>
      <c r="GB67">
        <f ca="1">GA67*0.05</f>
        <v>0</v>
      </c>
      <c r="GC67">
        <f ca="1">ROUND(FR67+FT67+FV67+FX67+FZ67+GB67,0)</f>
        <v>0</v>
      </c>
      <c r="GD67">
        <f ca="1">IF(FP67&gt;1200000,FP67,0)</f>
        <v>0</v>
      </c>
      <c r="GE67">
        <f ca="1">IF(FP67&gt;1200000,GD67-1200000,0)</f>
        <v>0</v>
      </c>
      <c r="GF67">
        <f ca="1">IF(FP67&lt;1200001,MIN(GC67,60000),0)</f>
        <v>0</v>
      </c>
      <c r="GG67">
        <f ca="1">IF(FP67&gt;1200000,GC67-GE67,0)</f>
        <v>0</v>
      </c>
      <c r="GH67" t="b">
        <f ca="1">IF(GG67&gt;0,TRUE,FALSE)</f>
        <v>0</v>
      </c>
      <c r="GI67">
        <f ca="1">IF(GH67,GG67,0)</f>
        <v>0</v>
      </c>
      <c r="GJ67">
        <f ca="1">GF67+GI67</f>
        <v>0</v>
      </c>
      <c r="GK67">
        <f ca="1">ROUND(GC67-GJ67,0)</f>
        <v>0</v>
      </c>
      <c r="GL67">
        <f ca="1">GK67*0.04</f>
        <v>0</v>
      </c>
      <c r="GM67">
        <f ca="1">ROUNDUP(GK67+GL67,0)</f>
        <v>0</v>
      </c>
    </row>
    <row r="68" spans="1:195" x14ac:dyDescent="0.25">
      <c r="A68">
        <f>_xlfn.AGGREGATE(3,5,$B$2:B68)</f>
        <v>67</v>
      </c>
      <c r="B68" t="s">
        <v>254</v>
      </c>
      <c r="C68" t="s">
        <v>255</v>
      </c>
      <c r="D68" t="s">
        <v>769</v>
      </c>
      <c r="E68" t="s">
        <v>833</v>
      </c>
      <c r="F68" t="s">
        <v>959</v>
      </c>
      <c r="G68" t="s">
        <v>887</v>
      </c>
      <c r="H68">
        <f>IF(_xlfn.DAYS("31-03-2025",G68)&gt;=180,6800,0)</f>
        <v>6800</v>
      </c>
      <c r="I68">
        <f>_xlfn.XLOOKUP(B68,'[1]march-2025'!$A:$A,'[1]march-2025'!$J:$J,0,0)</f>
        <v>0</v>
      </c>
      <c r="J68">
        <f>_xlfn.XLOOKUP(B68,'[1]march-2025'!$A:$A,'[1]march-2025'!$C:$C,0,0)</f>
        <v>51700</v>
      </c>
      <c r="K68">
        <f>J68*0.14</f>
        <v>7238.0000000000009</v>
      </c>
      <c r="L68">
        <f>J68*0.12</f>
        <v>6204</v>
      </c>
      <c r="M68">
        <f>_xlfn.XLOOKUP(B68,'[1]march-2025'!$A:$A,'[1]march-2025'!$D:$D,0,0)</f>
        <v>400</v>
      </c>
      <c r="N68">
        <f>_xlfn.XLOOKUP(B68,'[1]march-2025'!$A:$A,'[1]march-2025'!$G:$G,0,0)</f>
        <v>500</v>
      </c>
      <c r="O68">
        <f>IF(J68&gt;0,SUM(J68:N68),0)</f>
        <v>66042</v>
      </c>
      <c r="P68">
        <f>_xlfn.XLOOKUP(B68,'[1]march-2025'!$A:$A,'[1]march-2025'!$H:$H,0,0)</f>
        <v>10000</v>
      </c>
      <c r="Q68">
        <f>_xlfn.XLOOKUP(B68,'[1]march-2025'!$A:$A,'[1]march-2025'!$I:$I,0,0)</f>
        <v>60</v>
      </c>
      <c r="R68">
        <f>IF($F68="YES",0,IF(O68&gt;40000,200,IF(O68&gt;25000,150,IF(O68&gt;15000,130,IF(O68&gt;10000,110,0)))))</f>
        <v>200</v>
      </c>
      <c r="S68">
        <f>O68-P68-Q68-R68</f>
        <v>55782</v>
      </c>
      <c r="T68">
        <f>_xlfn.XLOOKUP(B68,'[2]april-2025'!$A:$A,'[2]april-2025'!$C:$C,0,0)</f>
        <v>51700</v>
      </c>
      <c r="U68">
        <f>T68*0.18</f>
        <v>9306</v>
      </c>
      <c r="V68">
        <f>T68*0.12</f>
        <v>6204</v>
      </c>
      <c r="W68">
        <f>_xlfn.XLOOKUP(B68,'[2]april-2025'!$A:$A,'[2]april-2025'!$D:$D,0,0)</f>
        <v>400</v>
      </c>
      <c r="X68">
        <f>_xlfn.XLOOKUP(B68,'[2]april-2025'!$A:$A,'[2]april-2025'!$G:$G,0,0)</f>
        <v>500</v>
      </c>
      <c r="Y68">
        <f>IF(T68&gt;0,SUM(T68:X68),0)</f>
        <v>68110</v>
      </c>
      <c r="Z68">
        <f>_xlfn.XLOOKUP(B68,'[2]april-2025'!$A:$A,'[2]april-2025'!$H:$H,0,0)</f>
        <v>10000</v>
      </c>
      <c r="AA68">
        <f>_xlfn.XLOOKUP(B68,'[2]april-2025'!$A:$A,'[2]april-2025'!$I:$I,0,0)</f>
        <v>60</v>
      </c>
      <c r="AB68">
        <f>IF($F68="YES",0,IF(Y68&gt;40000,200,IF(Y68&gt;25000,150,IF(Y68&gt;15000,130,IF(Y68&gt;10000,110,0)))))</f>
        <v>200</v>
      </c>
      <c r="AC68">
        <f>Y68-Z68-AA68-AB68</f>
        <v>57850</v>
      </c>
      <c r="AD68">
        <f>_xlfn.XLOOKUP(B68,'[3]may-2025'!$A:$A,'[3]may-2025'!$C:$C,0,0)</f>
        <v>51700</v>
      </c>
      <c r="AE68">
        <f>AD68*0.18</f>
        <v>9306</v>
      </c>
      <c r="AF68">
        <f>AD68*0.12</f>
        <v>6204</v>
      </c>
      <c r="AG68">
        <f>_xlfn.XLOOKUP(B68,'[3]may-2025'!$A:$A,'[3]may-2025'!$D:$D,0,0)</f>
        <v>400</v>
      </c>
      <c r="AH68">
        <f>_xlfn.XLOOKUP(B68,'[3]may-2025'!$A:$A,'[3]may-2025'!$G:$G,0,0)</f>
        <v>500</v>
      </c>
      <c r="AI68">
        <f>IF(AD68&gt;0,SUM(AD68:AH68),0)</f>
        <v>68110</v>
      </c>
      <c r="AJ68">
        <f>_xlfn.XLOOKUP(B68,'[3]may-2025'!$A:$A,'[3]may-2025'!$H:$H,0,0)</f>
        <v>10000</v>
      </c>
      <c r="AK68">
        <f>_xlfn.XLOOKUP(B68,'[3]may-2025'!$A:$A,'[3]may-2025'!$I:$I,0,0)</f>
        <v>60</v>
      </c>
      <c r="AL68">
        <f>IF($F68="YES",0,IF(AI68&gt;40000,200,IF(AI68&gt;25000,150,IF(AI68&gt;15000,130,IF(AI68&gt;10000,110,0)))))</f>
        <v>200</v>
      </c>
      <c r="AM68">
        <f>AI68-AJ68-AK68-AL68</f>
        <v>57850</v>
      </c>
      <c r="AN68">
        <f>_xlfn.XLOOKUP(B68,'[4]june-2025'!$A:$A,'[4]june-2025'!$C:$C,0,0)</f>
        <v>51700</v>
      </c>
      <c r="AO68">
        <f>AN68*0.18</f>
        <v>9306</v>
      </c>
      <c r="AP68">
        <f>AN68*0.12</f>
        <v>6204</v>
      </c>
      <c r="AQ68">
        <f>_xlfn.XLOOKUP(B68,'[4]june-2025'!$A:$A,'[4]june-2025'!$D:$D,0,0)</f>
        <v>400</v>
      </c>
      <c r="AR68">
        <f>_xlfn.XLOOKUP(B68,'[4]june-2025'!$A:$A,'[4]june-2025'!$G:$G,0,0)</f>
        <v>500</v>
      </c>
      <c r="AS68">
        <f>IF(AN68&gt;0,SUM(AN68:AR68),0)</f>
        <v>68110</v>
      </c>
      <c r="AT68">
        <f>_xlfn.XLOOKUP(B68,'[4]june-2025'!$A:$A,'[4]june-2025'!$H:$H,0,0)</f>
        <v>10000</v>
      </c>
      <c r="AU68">
        <f>_xlfn.XLOOKUP(B68,'[4]june-2025'!$A:$A,'[4]june-2025'!$I:$I,0,0)</f>
        <v>60</v>
      </c>
      <c r="AV68">
        <f>IF($F68="YES",0,IF(AS68&gt;40000,200,IF(AS68&gt;25000,150,IF(AS68&gt;15000,130,IF(AS68&gt;10000,110,0)))))</f>
        <v>200</v>
      </c>
      <c r="AW68">
        <f>AS68-AT68-AU68-AV68</f>
        <v>57850</v>
      </c>
      <c r="AX68">
        <f>_xlfn.XLOOKUP(B68,'[5]july-2025'!$A:$A,'[5]july-2025'!$C:$C,0,0)</f>
        <v>53300</v>
      </c>
      <c r="AY68">
        <f>AX68*0.18</f>
        <v>9594</v>
      </c>
      <c r="AZ68">
        <v>0</v>
      </c>
      <c r="BA68">
        <f>AX68*0.12</f>
        <v>6396</v>
      </c>
      <c r="BB68">
        <f>_xlfn.XLOOKUP(B68,'[5]july-2025'!$A:$A,'[5]july-2025'!$D:$D,0,0)</f>
        <v>400</v>
      </c>
      <c r="BC68">
        <f>_xlfn.XLOOKUP(B68,'[5]july-2025'!$A:$A,'[5]july-2025'!$G:$G,0,0)</f>
        <v>500</v>
      </c>
      <c r="BD68">
        <f>IF(AX68&gt;0,SUM(AX68:BC68),0)</f>
        <v>70190</v>
      </c>
      <c r="BE68">
        <f>_xlfn.XLOOKUP(B68,'[5]july-2025'!$A:$A,'[5]july-2025'!$H:$H,0,0)</f>
        <v>10000</v>
      </c>
      <c r="BF68">
        <f>_xlfn.XLOOKUP(B68,'[5]july-2025'!$A:$A,'[5]july-2025'!$I:$I,0,0)</f>
        <v>60</v>
      </c>
      <c r="BG68">
        <f>IF($F68="YES",0,IF(BD68&gt;40000,200,IF(BD68&gt;25000,150,IF(BD68&gt;15000,130,IF(BD68&gt;10000,110,0)))))</f>
        <v>200</v>
      </c>
      <c r="BH68">
        <f>BD68-BE68-BF68-BG68</f>
        <v>59930</v>
      </c>
      <c r="BI68">
        <f>_xlfn.XLOOKUP(B68,'[6]august-2025'!$A:$A,'[6]august-2025'!$C:$C,0,0)</f>
        <v>53300</v>
      </c>
      <c r="BJ68">
        <f>BI68*0.18</f>
        <v>9594</v>
      </c>
      <c r="BK68">
        <f>BI68*0.12</f>
        <v>6396</v>
      </c>
      <c r="BL68">
        <f>_xlfn.XLOOKUP(B68,'[6]august-2025'!$A:$A,'[6]august-2025'!$D:$D,0,0)</f>
        <v>400</v>
      </c>
      <c r="BM68">
        <f>_xlfn.XLOOKUP(B68,'[6]august-2025'!$A:$A,'[6]august-2025'!$G:$G,0,0)</f>
        <v>500</v>
      </c>
      <c r="BN68">
        <f>IF(BI68&gt;0,SUM(BI68:BM68),0)</f>
        <v>70190</v>
      </c>
      <c r="BO68">
        <f>_xlfn.XLOOKUP(B68,'[6]august-2025'!$A:$A,'[6]august-2025'!$H:$H,0,0)</f>
        <v>10000</v>
      </c>
      <c r="BP68">
        <f>_xlfn.XLOOKUP(B68,'[6]august-2025'!$A:$A,'[6]august-2025'!$I:$I,0,0)</f>
        <v>60</v>
      </c>
      <c r="BQ68">
        <f>IF($F68="YES",0,IF(BN68&gt;40000,200,IF(BN68&gt;25000,150,IF(BN68&gt;15000,130,IF(BN68&gt;10000,110,0)))))</f>
        <v>200</v>
      </c>
      <c r="BR68">
        <f>BN68-BO68-BP68-BQ68</f>
        <v>59930</v>
      </c>
      <c r="BS68">
        <f>_xlfn.XLOOKUP(B68,'[7]september-2025'!$A:$A,'[7]september-2025'!$C:$C,0,0)</f>
        <v>53300</v>
      </c>
      <c r="BT68">
        <f>BS68*0.18</f>
        <v>9594</v>
      </c>
      <c r="BU68">
        <f>BS68*0.12</f>
        <v>6396</v>
      </c>
      <c r="BV68">
        <f>_xlfn.XLOOKUP(B68,'[7]september-2025'!$A:$A,'[7]september-2025'!$D:$D,0,0)</f>
        <v>400</v>
      </c>
      <c r="BW68">
        <f>_xlfn.XLOOKUP(B68,'[7]september-2025'!$A:$A,'[7]september-2025'!$G:$G,0,0)</f>
        <v>500</v>
      </c>
      <c r="BX68">
        <f>IF(BS68&gt;0,SUM(BS68:BW68),0)</f>
        <v>70190</v>
      </c>
      <c r="BY68">
        <f>_xlfn.XLOOKUP(B68,'[7]september-2025'!$A:$A,'[7]september-2025'!$H:$H,0,0)</f>
        <v>10000</v>
      </c>
      <c r="BZ68">
        <f>_xlfn.XLOOKUP(B68,'[7]september-2025'!$A:$A,'[7]september-2025'!$I:$I,0,0)</f>
        <v>60</v>
      </c>
      <c r="CA68">
        <f>IF($F68="YES",0,IF(BX68&gt;40000,200,IF(BX68&gt;25000,150,IF(BX68&gt;15000,130,IF(BX68&gt;10000,110,0)))))</f>
        <v>200</v>
      </c>
      <c r="CB68">
        <f>BX68-BY68-BZ68-CA68</f>
        <v>59930</v>
      </c>
      <c r="CC68">
        <f>_xlfn.XLOOKUP(B68,'[8]october-2025'!$A:$A,'[8]october-2025'!$C:$C,0,0)</f>
        <v>53300</v>
      </c>
      <c r="CD68">
        <f>CC68*0.18</f>
        <v>9594</v>
      </c>
      <c r="CE68">
        <f>CC68*0.12</f>
        <v>6396</v>
      </c>
      <c r="CF68">
        <f>_xlfn.XLOOKUP(B68,'[8]october-2025'!$A:$A,'[8]october-2025'!$D:$D,0,0)</f>
        <v>400</v>
      </c>
      <c r="CG68">
        <f>_xlfn.XLOOKUP(B68,'[8]october-2025'!$A:$A,'[8]october-2025'!$G:$G,0,0)</f>
        <v>500</v>
      </c>
      <c r="CH68">
        <f>IF(CC68&gt;0,SUM(CC68:CG68),0)</f>
        <v>70190</v>
      </c>
      <c r="CI68">
        <f>_xlfn.XLOOKUP(B68,'[8]october-2025'!$A:$A,'[8]october-2025'!$H:$H,0,0)</f>
        <v>10000</v>
      </c>
      <c r="CJ68">
        <f>_xlfn.XLOOKUP(B68,'[8]october-2025'!$A:$A,'[8]october-2025'!$I:$I,0,0)</f>
        <v>60</v>
      </c>
      <c r="CK68">
        <f>IF($F68="YES",0,IF(CH68&gt;40000,200,IF(CH68&gt;25000,150,IF(CH68&gt;15000,130,IF(CH68&gt;10000,110,0)))))</f>
        <v>200</v>
      </c>
      <c r="CL68">
        <f>CH68-CI68-CJ68-CK68</f>
        <v>59930</v>
      </c>
      <c r="CM68">
        <f>_xlfn.XLOOKUP(B68,'[9]november-2025'!$A:$A,'[9]november-2025'!$C:$C,0,0)</f>
        <v>53300</v>
      </c>
      <c r="CN68">
        <f>CM68*0.18</f>
        <v>9594</v>
      </c>
      <c r="CO68">
        <f>CM68*0.12</f>
        <v>6396</v>
      </c>
      <c r="CP68">
        <f>_xlfn.XLOOKUP(B68,'[9]november-2025'!$A:$A,'[9]november-2025'!$D:$D,0,0)</f>
        <v>400</v>
      </c>
      <c r="CQ68">
        <f>_xlfn.XLOOKUP(B68,'[9]november-2025'!$A:$A,'[9]november-2025'!$G:$G,0,0)</f>
        <v>500</v>
      </c>
      <c r="CR68">
        <f>IF(CM68&gt;0,SUM(CM68:CQ68),0)</f>
        <v>70190</v>
      </c>
      <c r="CS68">
        <f>_xlfn.XLOOKUP(B68,'[9]november-2025'!$A:$A,'[9]november-2025'!$H:$H,0,0)</f>
        <v>10000</v>
      </c>
      <c r="CT68">
        <f>_xlfn.XLOOKUP(B68,'[9]november-2025'!$A:$A,'[9]november-2025'!$I:$I,0,0)</f>
        <v>60</v>
      </c>
      <c r="CU68">
        <f>IF($F68="YES",0,IF(CR68&gt;40000,200,IF(CR68&gt;25000,150,IF(CR68&gt;15000,130,IF(CR68&gt;10000,110,0)))))</f>
        <v>200</v>
      </c>
      <c r="CV68">
        <f>CR68-CS68-CT68-CU68</f>
        <v>59930</v>
      </c>
      <c r="CW68">
        <f>_xlfn.XLOOKUP(B68,'[10]december-2025'!$A:$A,'[10]december-2025'!$C:$C,0,0)</f>
        <v>53300</v>
      </c>
      <c r="CX68">
        <f>ROUND(CW68*0.18,0)</f>
        <v>9594</v>
      </c>
      <c r="CY68">
        <f>ROUND(CW68*0.12,0)</f>
        <v>6396</v>
      </c>
      <c r="CZ68">
        <f>_xlfn.XLOOKUP(B68,'[10]december-2025'!$A:$A,'[10]december-2025'!$D:$D,0,0)</f>
        <v>400</v>
      </c>
      <c r="DA68">
        <f>_xlfn.XLOOKUP(B68,'[10]december-2025'!$A:$A,'[10]december-2025'!$G:$G,0,0)</f>
        <v>500</v>
      </c>
      <c r="DB68">
        <f>IF(CW68&gt;0,SUM(CW68:DA68),0)</f>
        <v>70190</v>
      </c>
      <c r="DC68">
        <f>_xlfn.XLOOKUP(B68,'[10]december-2025'!$A:$A,'[10]december-2025'!$H:$H,0,0)</f>
        <v>10000</v>
      </c>
      <c r="DD68">
        <f>_xlfn.XLOOKUP(B68,'[10]december-2025'!$A:$A,'[10]december-2025'!$I:$I,0,0)</f>
        <v>60</v>
      </c>
      <c r="DE68">
        <f>IF($F68="YES",0,IF(DB68&gt;40000,200,IF(DB68&gt;25000,150,IF(DB68&gt;15000,130,IF(DB68&gt;10000,110,0)))))</f>
        <v>200</v>
      </c>
      <c r="DF68">
        <f>DB68-DC68-DD68-DE68</f>
        <v>59930</v>
      </c>
      <c r="DG68">
        <f>_xlfn.XLOOKUP(B68,'[11]january-2026'!$A:$A,'[11]january-2026'!$C:$C,0,0)</f>
        <v>53300</v>
      </c>
      <c r="DH68">
        <f>DG68*0.18</f>
        <v>9594</v>
      </c>
      <c r="DI68">
        <f>DG68*0.12</f>
        <v>6396</v>
      </c>
      <c r="DJ68">
        <f>_xlfn.XLOOKUP(B68,'[11]january-2026'!$A:$A,'[11]january-2026'!$D:$D,0,0)</f>
        <v>400</v>
      </c>
      <c r="DK68">
        <f>_xlfn.XLOOKUP(B68,'[11]january-2026'!$A:$A,'[11]january-2026'!$G:$G,0,0)</f>
        <v>500</v>
      </c>
      <c r="DL68">
        <f>IF(DG68&gt;0,SUM(DG68:DK68),0)</f>
        <v>70190</v>
      </c>
      <c r="DM68">
        <f>_xlfn.XLOOKUP(B68,'[11]january-2026'!$A:$A,'[11]january-2026'!$H:$H,0,0)</f>
        <v>10000</v>
      </c>
      <c r="DN68">
        <f>_xlfn.XLOOKUP(B68,'[11]january-2026'!$A:$A,'[11]january-2026'!$I:$I,0,0)</f>
        <v>60</v>
      </c>
      <c r="DO68">
        <f>IF($F68="YES",0,IF(DL68&gt;40000,200,IF(DL68&gt;25000,150,IF(DL68&gt;15000,130,IF(DL68&gt;10000,110,0)))))</f>
        <v>200</v>
      </c>
      <c r="DP68">
        <f>DL68-DM68-DN68-DO68</f>
        <v>59930</v>
      </c>
      <c r="DQ68">
        <f>_xlfn.XLOOKUP(B68,'[12]february-2026'!$A:$A,'[12]february-2026'!$C:$C,0,0)</f>
        <v>53300</v>
      </c>
      <c r="DR68">
        <f>DQ68*0.18</f>
        <v>9594</v>
      </c>
      <c r="DS68">
        <f>DQ68*0.12</f>
        <v>6396</v>
      </c>
      <c r="DT68">
        <f>_xlfn.XLOOKUP(B68,'[12]february-2026'!$A:$A,'[12]february-2026'!$D:$D,0,0)</f>
        <v>400</v>
      </c>
      <c r="DU68">
        <f>_xlfn.XLOOKUP(B68,'[12]february-2026'!$A:$A,'[12]february-2026'!$G:$G,0,0)</f>
        <v>500</v>
      </c>
      <c r="DV68">
        <f>IF(DQ68&gt;0,SUM(DQ68:DU68),0)</f>
        <v>70190</v>
      </c>
      <c r="DW68">
        <f>_xlfn.XLOOKUP(B68,'[12]february-2026'!$A:$A,'[12]february-2026'!$H:$H,0,0)</f>
        <v>10000</v>
      </c>
      <c r="DX68">
        <f>_xlfn.XLOOKUP(B68,'[12]february-2026'!$A:$A,'[12]february-2026'!$I:$I,0,0)</f>
        <v>60</v>
      </c>
      <c r="DY68">
        <f>IF($F68="YES",0,IF(DV68&gt;40000,200,IF(DV68&gt;25000,150,IF(DV68&gt;15000,130,IF(DV68&gt;10000,110,0)))))</f>
        <v>200</v>
      </c>
      <c r="DZ68">
        <f>DV68-DW68-DX68-DY68</f>
        <v>59930</v>
      </c>
      <c r="EA68">
        <f>DV68+DL68+DB68+CR68+CH68+BX68+BN68+BD68+AS68+AI68+Y68+O68+H68+I68</f>
        <v>838692</v>
      </c>
      <c r="EB68">
        <f>DY68+DO68+DE68+CU68+CK68+CA68+BQ68+BG68+AV68+AL68+AB68+R68</f>
        <v>2400</v>
      </c>
      <c r="EC68">
        <f>IF(EA68&gt;0,50000,0)</f>
        <v>50000</v>
      </c>
      <c r="ED68">
        <v>0</v>
      </c>
      <c r="EE68">
        <f>EA68-EB68-EC68</f>
        <v>786292</v>
      </c>
      <c r="EF68">
        <f>DW68+DM68+DC68+CS68+CI68+BY68+BO68+BE68+AT68+AJ68+Z68+P68</f>
        <v>120000</v>
      </c>
      <c r="EG68">
        <f>DX68+DN68+DD68+CT68+CJ68+BZ68+BP68+BF68+AU68+AK68+AA68+Q68</f>
        <v>720</v>
      </c>
      <c r="EH68">
        <v>0</v>
      </c>
      <c r="EI68">
        <v>0</v>
      </c>
      <c r="EJ68">
        <v>0</v>
      </c>
      <c r="EK68">
        <v>0</v>
      </c>
      <c r="EL68">
        <v>0</v>
      </c>
      <c r="EM68">
        <v>0</v>
      </c>
      <c r="EN68">
        <v>0</v>
      </c>
      <c r="EO68">
        <v>0</v>
      </c>
      <c r="EP68">
        <v>0</v>
      </c>
      <c r="EQ68">
        <v>0</v>
      </c>
      <c r="ER68">
        <f>SUM(EF68:EQ68)</f>
        <v>120720</v>
      </c>
      <c r="ES68">
        <f>IF(ER68&gt;=150000,150000,ER68)</f>
        <v>120720</v>
      </c>
      <c r="ET68">
        <f>EE68-ES68</f>
        <v>665572</v>
      </c>
      <c r="EU68">
        <v>0</v>
      </c>
      <c r="EV68">
        <v>0</v>
      </c>
      <c r="EW68">
        <v>0</v>
      </c>
      <c r="EX68">
        <v>0</v>
      </c>
      <c r="EY68">
        <v>0</v>
      </c>
      <c r="EZ68">
        <v>0</v>
      </c>
      <c r="FA68">
        <v>0</v>
      </c>
      <c r="FB68">
        <f>SUM(EU68:FA68)+(IF(F68="YES",50000,0))</f>
        <v>0</v>
      </c>
      <c r="FC68">
        <f>ET68-FB68</f>
        <v>665572</v>
      </c>
      <c r="FD68">
        <f>ROUND(IF(FC68&gt;0,IF(FC68&gt;500000,12500,(FC68-250000)*0.05),0),0)</f>
        <v>12500</v>
      </c>
      <c r="FE68">
        <f>IF(ROUND(IF(FC68&gt;0,IF(FC68&gt;1000000,25000,(FC68-500000)*0.2),0),0)&lt;0,0,ROUND(IF(FC68&gt;0,IF(FC68&gt;1000000,25000,(FC68-500000)*0.2),0),0))</f>
        <v>33114</v>
      </c>
      <c r="FF68">
        <f>FD68+FE68</f>
        <v>45614</v>
      </c>
      <c r="FG68">
        <f>IF(FF68&lt;12500,0,FF68)</f>
        <v>45614</v>
      </c>
      <c r="FH68">
        <f>FG68*0.04</f>
        <v>1824.56</v>
      </c>
      <c r="FI68">
        <f>ROUND(FH68+FG68,0)</f>
        <v>47439</v>
      </c>
      <c r="FJ68">
        <v>0</v>
      </c>
      <c r="FK68">
        <f>FI68-FJ68</f>
        <v>47439</v>
      </c>
      <c r="FL68" t="b">
        <f>IF(EA68&gt;500000,TRUE,FALSE)</f>
        <v>1</v>
      </c>
      <c r="FM68">
        <f ca="1">IF(FL68,RANDBETWEEN(500,1000),RANDBETWEEN(1000,3000))</f>
        <v>954</v>
      </c>
      <c r="FN68">
        <f ca="1">EA68+FM68</f>
        <v>839646</v>
      </c>
      <c r="FO68">
        <f>IF(EA68&gt;0,75000,0)</f>
        <v>75000</v>
      </c>
      <c r="FP68">
        <f ca="1">FN68-FO68</f>
        <v>764646</v>
      </c>
      <c r="FQ68">
        <f ca="1">IF(FP68&gt;2400000,FP68-2400000,0)</f>
        <v>0</v>
      </c>
      <c r="FR68">
        <f ca="1">FQ68*0.3</f>
        <v>0</v>
      </c>
      <c r="FS68">
        <f ca="1">IF(FP68&gt;2000000,FP68-2000000,0)</f>
        <v>0</v>
      </c>
      <c r="FT68">
        <f ca="1">FS68*0.25</f>
        <v>0</v>
      </c>
      <c r="FU68">
        <f ca="1">IF(FP68&gt;1600000,FP68-1600000-FQ68,0)</f>
        <v>0</v>
      </c>
      <c r="FV68">
        <f ca="1">FU68*0.2</f>
        <v>0</v>
      </c>
      <c r="FW68">
        <f ca="1">IF(FP68&gt;1200000,FP68-1200000-IF(F68="YES",50000,0)-FU68,0)</f>
        <v>0</v>
      </c>
      <c r="FX68">
        <f ca="1">FW68*0.15</f>
        <v>0</v>
      </c>
      <c r="FY68">
        <f ca="1">IF(FP68&gt;800000,FP68-800000-FQ68-FU68-FW68,0)</f>
        <v>0</v>
      </c>
      <c r="FZ68">
        <f ca="1">FY68*0.1</f>
        <v>0</v>
      </c>
      <c r="GA68">
        <f ca="1">IF(FP68&gt;400000,FP68-400000-FQ68-FU68-FW68-FY68,0)</f>
        <v>364646</v>
      </c>
      <c r="GB68">
        <f ca="1">GA68*0.05</f>
        <v>18232.3</v>
      </c>
      <c r="GC68">
        <f ca="1">ROUND(FR68+FT68+FV68+FX68+FZ68+GB68,0)</f>
        <v>18232</v>
      </c>
      <c r="GD68">
        <f ca="1">IF(FP68&gt;1200000,FP68,0)</f>
        <v>0</v>
      </c>
      <c r="GE68">
        <f ca="1">IF(FP68&gt;1200000,GD68-1200000,0)</f>
        <v>0</v>
      </c>
      <c r="GF68">
        <f ca="1">IF(FP68&lt;1200001,MIN(GC68,60000),0)</f>
        <v>18232</v>
      </c>
      <c r="GG68">
        <f ca="1">IF(FP68&gt;1200000,GC68-GE68,0)</f>
        <v>0</v>
      </c>
      <c r="GH68" t="b">
        <f ca="1">IF(GG68&gt;0,TRUE,FALSE)</f>
        <v>0</v>
      </c>
      <c r="GI68">
        <f ca="1">IF(GH68,GG68,0)</f>
        <v>0</v>
      </c>
      <c r="GJ68">
        <f ca="1">GF68+GI68</f>
        <v>18232</v>
      </c>
      <c r="GK68">
        <f ca="1">ROUND(GC68-GJ68,0)</f>
        <v>0</v>
      </c>
      <c r="GL68">
        <f ca="1">GK68*0.04</f>
        <v>0</v>
      </c>
      <c r="GM68">
        <f ca="1">ROUNDUP(GK68+GL68,0)</f>
        <v>0</v>
      </c>
    </row>
    <row r="69" spans="1:195" x14ac:dyDescent="0.25">
      <c r="A69">
        <f>_xlfn.AGGREGATE(3,5,$B$2:B69)</f>
        <v>68</v>
      </c>
      <c r="B69" t="s">
        <v>256</v>
      </c>
      <c r="C69" t="s">
        <v>257</v>
      </c>
      <c r="D69" t="s">
        <v>769</v>
      </c>
      <c r="E69" t="s">
        <v>834</v>
      </c>
      <c r="F69" t="s">
        <v>959</v>
      </c>
      <c r="G69" t="s">
        <v>907</v>
      </c>
      <c r="H69">
        <f>IF(_xlfn.DAYS("31-03-2025",G69)&gt;=180,6800,0)</f>
        <v>6800</v>
      </c>
      <c r="I69">
        <f>_xlfn.XLOOKUP(B69,'[1]march-2025'!$A:$A,'[1]march-2025'!$J:$J,0,0)</f>
        <v>0</v>
      </c>
      <c r="J69">
        <f>_xlfn.XLOOKUP(B69,'[1]march-2025'!$A:$A,'[1]march-2025'!$C:$C,0,0)</f>
        <v>37700</v>
      </c>
      <c r="K69">
        <f>J69*0.14</f>
        <v>5278.0000000000009</v>
      </c>
      <c r="L69">
        <f>J69*0.12</f>
        <v>4524</v>
      </c>
      <c r="M69">
        <f>_xlfn.XLOOKUP(B69,'[1]march-2025'!$A:$A,'[1]march-2025'!$D:$D,0,0)</f>
        <v>0</v>
      </c>
      <c r="N69">
        <f>_xlfn.XLOOKUP(B69,'[1]march-2025'!$A:$A,'[1]march-2025'!$G:$G,0,0)</f>
        <v>500</v>
      </c>
      <c r="O69">
        <f>IF(J69&gt;0,SUM(J69:N69),0)</f>
        <v>48002</v>
      </c>
      <c r="P69">
        <f>_xlfn.XLOOKUP(B69,'[1]march-2025'!$A:$A,'[1]march-2025'!$H:$H,0,0)</f>
        <v>7000</v>
      </c>
      <c r="Q69">
        <f>_xlfn.XLOOKUP(B69,'[1]march-2025'!$A:$A,'[1]march-2025'!$I:$I,0,0)</f>
        <v>0</v>
      </c>
      <c r="R69">
        <f>IF($F69="YES",0,IF(O69&gt;40000,200,IF(O69&gt;25000,150,IF(O69&gt;15000,130,IF(O69&gt;10000,110,0)))))</f>
        <v>200</v>
      </c>
      <c r="S69">
        <f>O69-P69-Q69-R69</f>
        <v>40802</v>
      </c>
      <c r="T69">
        <f>_xlfn.XLOOKUP(B69,'[2]april-2025'!$A:$A,'[2]april-2025'!$C:$C,0,0)</f>
        <v>37700</v>
      </c>
      <c r="U69">
        <f>T69*0.18</f>
        <v>6786</v>
      </c>
      <c r="V69">
        <f>T69*0.12</f>
        <v>4524</v>
      </c>
      <c r="W69">
        <f>_xlfn.XLOOKUP(B69,'[2]april-2025'!$A:$A,'[2]april-2025'!$D:$D,0,0)</f>
        <v>0</v>
      </c>
      <c r="X69">
        <f>_xlfn.XLOOKUP(B69,'[2]april-2025'!$A:$A,'[2]april-2025'!$G:$G,0,0)</f>
        <v>500</v>
      </c>
      <c r="Y69">
        <f>IF(T69&gt;0,SUM(T69:X69),0)</f>
        <v>49510</v>
      </c>
      <c r="Z69">
        <f>_xlfn.XLOOKUP(B69,'[2]april-2025'!$A:$A,'[2]april-2025'!$H:$H,0,0)</f>
        <v>7000</v>
      </c>
      <c r="AA69">
        <f>_xlfn.XLOOKUP(B69,'[2]april-2025'!$A:$A,'[2]april-2025'!$I:$I,0,0)</f>
        <v>0</v>
      </c>
      <c r="AB69">
        <f>IF($F69="YES",0,IF(Y69&gt;40000,200,IF(Y69&gt;25000,150,IF(Y69&gt;15000,130,IF(Y69&gt;10000,110,0)))))</f>
        <v>200</v>
      </c>
      <c r="AC69">
        <f>Y69-Z69-AA69-AB69</f>
        <v>42310</v>
      </c>
      <c r="AD69">
        <f>_xlfn.XLOOKUP(B69,'[3]may-2025'!$A:$A,'[3]may-2025'!$C:$C,0,0)</f>
        <v>37700</v>
      </c>
      <c r="AE69">
        <f>AD69*0.18</f>
        <v>6786</v>
      </c>
      <c r="AF69">
        <f>AD69*0.12</f>
        <v>4524</v>
      </c>
      <c r="AG69">
        <f>_xlfn.XLOOKUP(B69,'[3]may-2025'!$A:$A,'[3]may-2025'!$D:$D,0,0)</f>
        <v>0</v>
      </c>
      <c r="AH69">
        <f>_xlfn.XLOOKUP(B69,'[3]may-2025'!$A:$A,'[3]may-2025'!$G:$G,0,0)</f>
        <v>500</v>
      </c>
      <c r="AI69">
        <f>IF(AD69&gt;0,SUM(AD69:AH69),0)</f>
        <v>49510</v>
      </c>
      <c r="AJ69">
        <f>_xlfn.XLOOKUP(B69,'[3]may-2025'!$A:$A,'[3]may-2025'!$H:$H,0,0)</f>
        <v>7000</v>
      </c>
      <c r="AK69">
        <f>_xlfn.XLOOKUP(B69,'[3]may-2025'!$A:$A,'[3]may-2025'!$I:$I,0,0)</f>
        <v>0</v>
      </c>
      <c r="AL69">
        <f>IF($F69="YES",0,IF(AI69&gt;40000,200,IF(AI69&gt;25000,150,IF(AI69&gt;15000,130,IF(AI69&gt;10000,110,0)))))</f>
        <v>200</v>
      </c>
      <c r="AM69">
        <f>AI69-AJ69-AK69-AL69</f>
        <v>42310</v>
      </c>
      <c r="AN69">
        <f>_xlfn.XLOOKUP(B69,'[4]june-2025'!$A:$A,'[4]june-2025'!$C:$C,0,0)</f>
        <v>37700</v>
      </c>
      <c r="AO69">
        <f>AN69*0.18</f>
        <v>6786</v>
      </c>
      <c r="AP69">
        <f>AN69*0.12</f>
        <v>4524</v>
      </c>
      <c r="AQ69">
        <f>_xlfn.XLOOKUP(B69,'[4]june-2025'!$A:$A,'[4]june-2025'!$D:$D,0,0)</f>
        <v>0</v>
      </c>
      <c r="AR69">
        <f>_xlfn.XLOOKUP(B69,'[4]june-2025'!$A:$A,'[4]june-2025'!$G:$G,0,0)</f>
        <v>500</v>
      </c>
      <c r="AS69">
        <f>IF(AN69&gt;0,SUM(AN69:AR69),0)</f>
        <v>49510</v>
      </c>
      <c r="AT69">
        <f>_xlfn.XLOOKUP(B69,'[4]june-2025'!$A:$A,'[4]june-2025'!$H:$H,0,0)</f>
        <v>7000</v>
      </c>
      <c r="AU69">
        <f>_xlfn.XLOOKUP(B69,'[4]june-2025'!$A:$A,'[4]june-2025'!$I:$I,0,0)</f>
        <v>0</v>
      </c>
      <c r="AV69">
        <f>IF($F69="YES",0,IF(AS69&gt;40000,200,IF(AS69&gt;25000,150,IF(AS69&gt;15000,130,IF(AS69&gt;10000,110,0)))))</f>
        <v>200</v>
      </c>
      <c r="AW69">
        <f>AS69-AT69-AU69-AV69</f>
        <v>42310</v>
      </c>
      <c r="AX69">
        <f>_xlfn.XLOOKUP(B69,'[5]july-2025'!$A:$A,'[5]july-2025'!$C:$C,0,0)</f>
        <v>38800</v>
      </c>
      <c r="AY69">
        <f>AX69*0.18</f>
        <v>6984</v>
      </c>
      <c r="AZ69">
        <v>0</v>
      </c>
      <c r="BA69">
        <f>AX69*0.12</f>
        <v>4656</v>
      </c>
      <c r="BB69">
        <f>_xlfn.XLOOKUP(B69,'[5]july-2025'!$A:$A,'[5]july-2025'!$D:$D,0,0)</f>
        <v>0</v>
      </c>
      <c r="BC69">
        <f>_xlfn.XLOOKUP(B69,'[5]july-2025'!$A:$A,'[5]july-2025'!$G:$G,0,0)</f>
        <v>500</v>
      </c>
      <c r="BD69">
        <f>IF(AX69&gt;0,SUM(AX69:BC69),0)</f>
        <v>50940</v>
      </c>
      <c r="BE69">
        <f>_xlfn.XLOOKUP(B69,'[5]july-2025'!$A:$A,'[5]july-2025'!$H:$H,0,0)</f>
        <v>7000</v>
      </c>
      <c r="BF69">
        <f>_xlfn.XLOOKUP(B69,'[5]july-2025'!$A:$A,'[5]july-2025'!$I:$I,0,0)</f>
        <v>0</v>
      </c>
      <c r="BG69">
        <f>IF($F69="YES",0,IF(BD69&gt;40000,200,IF(BD69&gt;25000,150,IF(BD69&gt;15000,130,IF(BD69&gt;10000,110,0)))))</f>
        <v>200</v>
      </c>
      <c r="BH69">
        <f>BD69-BE69-BF69-BG69</f>
        <v>43740</v>
      </c>
      <c r="BI69">
        <f>_xlfn.XLOOKUP(B69,'[6]august-2025'!$A:$A,'[6]august-2025'!$C:$C,0,0)</f>
        <v>38800</v>
      </c>
      <c r="BJ69">
        <f>BI69*0.18</f>
        <v>6984</v>
      </c>
      <c r="BK69">
        <f>BI69*0.12</f>
        <v>4656</v>
      </c>
      <c r="BL69">
        <f>_xlfn.XLOOKUP(B69,'[6]august-2025'!$A:$A,'[6]august-2025'!$D:$D,0,0)</f>
        <v>0</v>
      </c>
      <c r="BM69">
        <f>_xlfn.XLOOKUP(B69,'[6]august-2025'!$A:$A,'[6]august-2025'!$G:$G,0,0)</f>
        <v>500</v>
      </c>
      <c r="BN69">
        <f>IF(BI69&gt;0,SUM(BI69:BM69),0)</f>
        <v>50940</v>
      </c>
      <c r="BO69">
        <f>_xlfn.XLOOKUP(B69,'[6]august-2025'!$A:$A,'[6]august-2025'!$H:$H,0,0)</f>
        <v>7000</v>
      </c>
      <c r="BP69">
        <f>_xlfn.XLOOKUP(B69,'[6]august-2025'!$A:$A,'[6]august-2025'!$I:$I,0,0)</f>
        <v>0</v>
      </c>
      <c r="BQ69">
        <f>IF($F69="YES",0,IF(BN69&gt;40000,200,IF(BN69&gt;25000,150,IF(BN69&gt;15000,130,IF(BN69&gt;10000,110,0)))))</f>
        <v>200</v>
      </c>
      <c r="BR69">
        <f>BN69-BO69-BP69-BQ69</f>
        <v>43740</v>
      </c>
      <c r="BS69">
        <f>_xlfn.XLOOKUP(B69,'[7]september-2025'!$A:$A,'[7]september-2025'!$C:$C,0,0)</f>
        <v>38800</v>
      </c>
      <c r="BT69">
        <f>BS69*0.18</f>
        <v>6984</v>
      </c>
      <c r="BU69">
        <f>BS69*0.12</f>
        <v>4656</v>
      </c>
      <c r="BV69">
        <f>_xlfn.XLOOKUP(B69,'[7]september-2025'!$A:$A,'[7]september-2025'!$D:$D,0,0)</f>
        <v>0</v>
      </c>
      <c r="BW69">
        <f>_xlfn.XLOOKUP(B69,'[7]september-2025'!$A:$A,'[7]september-2025'!$G:$G,0,0)</f>
        <v>500</v>
      </c>
      <c r="BX69">
        <f>IF(BS69&gt;0,SUM(BS69:BW69),0)</f>
        <v>50940</v>
      </c>
      <c r="BY69">
        <f>_xlfn.XLOOKUP(B69,'[7]september-2025'!$A:$A,'[7]september-2025'!$H:$H,0,0)</f>
        <v>7000</v>
      </c>
      <c r="BZ69">
        <f>_xlfn.XLOOKUP(B69,'[7]september-2025'!$A:$A,'[7]september-2025'!$I:$I,0,0)</f>
        <v>0</v>
      </c>
      <c r="CA69">
        <f>IF($F69="YES",0,IF(BX69&gt;40000,200,IF(BX69&gt;25000,150,IF(BX69&gt;15000,130,IF(BX69&gt;10000,110,0)))))</f>
        <v>200</v>
      </c>
      <c r="CB69">
        <f>BX69-BY69-BZ69-CA69</f>
        <v>43740</v>
      </c>
      <c r="CC69">
        <f>_xlfn.XLOOKUP(B69,'[8]october-2025'!$A:$A,'[8]october-2025'!$C:$C,0,0)</f>
        <v>38800</v>
      </c>
      <c r="CD69">
        <f>CC69*0.18</f>
        <v>6984</v>
      </c>
      <c r="CE69">
        <f>CC69*0.12</f>
        <v>4656</v>
      </c>
      <c r="CF69">
        <f>_xlfn.XLOOKUP(B69,'[8]october-2025'!$A:$A,'[8]october-2025'!$D:$D,0,0)</f>
        <v>0</v>
      </c>
      <c r="CG69">
        <f>_xlfn.XLOOKUP(B69,'[8]october-2025'!$A:$A,'[8]october-2025'!$G:$G,0,0)</f>
        <v>500</v>
      </c>
      <c r="CH69">
        <f>IF(CC69&gt;0,SUM(CC69:CG69),0)</f>
        <v>50940</v>
      </c>
      <c r="CI69">
        <f>_xlfn.XLOOKUP(B69,'[8]october-2025'!$A:$A,'[8]october-2025'!$H:$H,0,0)</f>
        <v>7000</v>
      </c>
      <c r="CJ69">
        <f>_xlfn.XLOOKUP(B69,'[8]october-2025'!$A:$A,'[8]october-2025'!$I:$I,0,0)</f>
        <v>0</v>
      </c>
      <c r="CK69">
        <f>IF($F69="YES",0,IF(CH69&gt;40000,200,IF(CH69&gt;25000,150,IF(CH69&gt;15000,130,IF(CH69&gt;10000,110,0)))))</f>
        <v>200</v>
      </c>
      <c r="CL69">
        <f>CH69-CI69-CJ69-CK69</f>
        <v>43740</v>
      </c>
      <c r="CM69">
        <f>_xlfn.XLOOKUP(B69,'[9]november-2025'!$A:$A,'[9]november-2025'!$C:$C,0,0)</f>
        <v>38800</v>
      </c>
      <c r="CN69">
        <f>CM69*0.18</f>
        <v>6984</v>
      </c>
      <c r="CO69">
        <f>CM69*0.12</f>
        <v>4656</v>
      </c>
      <c r="CP69">
        <f>_xlfn.XLOOKUP(B69,'[9]november-2025'!$A:$A,'[9]november-2025'!$D:$D,0,0)</f>
        <v>0</v>
      </c>
      <c r="CQ69">
        <f>_xlfn.XLOOKUP(B69,'[9]november-2025'!$A:$A,'[9]november-2025'!$G:$G,0,0)</f>
        <v>500</v>
      </c>
      <c r="CR69">
        <f>IF(CM69&gt;0,SUM(CM69:CQ69),0)</f>
        <v>50940</v>
      </c>
      <c r="CS69">
        <f>_xlfn.XLOOKUP(B69,'[9]november-2025'!$A:$A,'[9]november-2025'!$H:$H,0,0)</f>
        <v>7000</v>
      </c>
      <c r="CT69">
        <f>_xlfn.XLOOKUP(B69,'[9]november-2025'!$A:$A,'[9]november-2025'!$I:$I,0,0)</f>
        <v>0</v>
      </c>
      <c r="CU69">
        <f>IF($F69="YES",0,IF(CR69&gt;40000,200,IF(CR69&gt;25000,150,IF(CR69&gt;15000,130,IF(CR69&gt;10000,110,0)))))</f>
        <v>200</v>
      </c>
      <c r="CV69">
        <f>CR69-CS69-CT69-CU69</f>
        <v>43740</v>
      </c>
      <c r="CW69">
        <f>_xlfn.XLOOKUP(B69,'[10]december-2025'!$A:$A,'[10]december-2025'!$C:$C,0,0)</f>
        <v>38800</v>
      </c>
      <c r="CX69">
        <f>ROUND(CW69*0.18,0)</f>
        <v>6984</v>
      </c>
      <c r="CY69">
        <f>ROUND(CW69*0.12,0)</f>
        <v>4656</v>
      </c>
      <c r="CZ69">
        <f>_xlfn.XLOOKUP(B69,'[10]december-2025'!$A:$A,'[10]december-2025'!$D:$D,0,0)</f>
        <v>0</v>
      </c>
      <c r="DA69">
        <f>_xlfn.XLOOKUP(B69,'[10]december-2025'!$A:$A,'[10]december-2025'!$G:$G,0,0)</f>
        <v>500</v>
      </c>
      <c r="DB69">
        <f>IF(CW69&gt;0,SUM(CW69:DA69),0)</f>
        <v>50940</v>
      </c>
      <c r="DC69">
        <f>_xlfn.XLOOKUP(B69,'[10]december-2025'!$A:$A,'[10]december-2025'!$H:$H,0,0)</f>
        <v>7000</v>
      </c>
      <c r="DD69">
        <f>_xlfn.XLOOKUP(B69,'[10]december-2025'!$A:$A,'[10]december-2025'!$I:$I,0,0)</f>
        <v>0</v>
      </c>
      <c r="DE69">
        <f>IF($F69="YES",0,IF(DB69&gt;40000,200,IF(DB69&gt;25000,150,IF(DB69&gt;15000,130,IF(DB69&gt;10000,110,0)))))</f>
        <v>200</v>
      </c>
      <c r="DF69">
        <f>DB69-DC69-DD69-DE69</f>
        <v>43740</v>
      </c>
      <c r="DG69">
        <f>_xlfn.XLOOKUP(B69,'[11]january-2026'!$A:$A,'[11]january-2026'!$C:$C,0,0)</f>
        <v>38800</v>
      </c>
      <c r="DH69">
        <f>DG69*0.18</f>
        <v>6984</v>
      </c>
      <c r="DI69">
        <f>DG69*0.12</f>
        <v>4656</v>
      </c>
      <c r="DJ69">
        <f>_xlfn.XLOOKUP(B69,'[11]january-2026'!$A:$A,'[11]january-2026'!$D:$D,0,0)</f>
        <v>0</v>
      </c>
      <c r="DK69">
        <f>_xlfn.XLOOKUP(B69,'[11]january-2026'!$A:$A,'[11]january-2026'!$G:$G,0,0)</f>
        <v>500</v>
      </c>
      <c r="DL69">
        <f>IF(DG69&gt;0,SUM(DG69:DK69),0)</f>
        <v>50940</v>
      </c>
      <c r="DM69">
        <f>_xlfn.XLOOKUP(B69,'[11]january-2026'!$A:$A,'[11]january-2026'!$H:$H,0,0)</f>
        <v>7000</v>
      </c>
      <c r="DN69">
        <f>_xlfn.XLOOKUP(B69,'[11]january-2026'!$A:$A,'[11]january-2026'!$I:$I,0,0)</f>
        <v>0</v>
      </c>
      <c r="DO69">
        <f>IF($F69="YES",0,IF(DL69&gt;40000,200,IF(DL69&gt;25000,150,IF(DL69&gt;15000,130,IF(DL69&gt;10000,110,0)))))</f>
        <v>200</v>
      </c>
      <c r="DP69">
        <f>DL69-DM69-DN69-DO69</f>
        <v>43740</v>
      </c>
      <c r="DQ69">
        <f>_xlfn.XLOOKUP(B69,'[12]february-2026'!$A:$A,'[12]february-2026'!$C:$C,0,0)</f>
        <v>38800</v>
      </c>
      <c r="DR69">
        <f>DQ69*0.18</f>
        <v>6984</v>
      </c>
      <c r="DS69">
        <f>DQ69*0.12</f>
        <v>4656</v>
      </c>
      <c r="DT69">
        <f>_xlfn.XLOOKUP(B69,'[12]february-2026'!$A:$A,'[12]february-2026'!$D:$D,0,0)</f>
        <v>0</v>
      </c>
      <c r="DU69">
        <f>_xlfn.XLOOKUP(B69,'[12]february-2026'!$A:$A,'[12]february-2026'!$G:$G,0,0)</f>
        <v>500</v>
      </c>
      <c r="DV69">
        <f>IF(DQ69&gt;0,SUM(DQ69:DU69),0)</f>
        <v>50940</v>
      </c>
      <c r="DW69">
        <f>_xlfn.XLOOKUP(B69,'[12]february-2026'!$A:$A,'[12]february-2026'!$H:$H,0,0)</f>
        <v>7000</v>
      </c>
      <c r="DX69">
        <f>_xlfn.XLOOKUP(B69,'[12]february-2026'!$A:$A,'[12]february-2026'!$I:$I,0,0)</f>
        <v>0</v>
      </c>
      <c r="DY69">
        <f>IF($F69="YES",0,IF(DV69&gt;40000,200,IF(DV69&gt;25000,150,IF(DV69&gt;15000,130,IF(DV69&gt;10000,110,0)))))</f>
        <v>200</v>
      </c>
      <c r="DZ69">
        <f>DV69-DW69-DX69-DY69</f>
        <v>43740</v>
      </c>
      <c r="EA69">
        <f>DV69+DL69+DB69+CR69+CH69+BX69+BN69+BD69+AS69+AI69+Y69+O69+H69+I69</f>
        <v>610852</v>
      </c>
      <c r="EB69">
        <f>DY69+DO69+DE69+CU69+CK69+CA69+BQ69+BG69+AV69+AL69+AB69+R69</f>
        <v>2400</v>
      </c>
      <c r="EC69">
        <f>IF(EA69&gt;0,50000,0)</f>
        <v>50000</v>
      </c>
      <c r="ED69">
        <v>0</v>
      </c>
      <c r="EE69">
        <f>EA69-EB69-EC69</f>
        <v>558452</v>
      </c>
      <c r="EF69">
        <f>DW69+DM69+DC69+CS69+CI69+BY69+BO69+BE69+AT69+AJ69+Z69+P69</f>
        <v>84000</v>
      </c>
      <c r="EG69">
        <f>DX69+DN69+DD69+CT69+CJ69+BZ69+BP69+BF69+AU69+AK69+AA69+Q69</f>
        <v>0</v>
      </c>
      <c r="EH69">
        <v>0</v>
      </c>
      <c r="EI69">
        <v>0</v>
      </c>
      <c r="EJ69">
        <v>0</v>
      </c>
      <c r="EK69">
        <v>0</v>
      </c>
      <c r="EL69">
        <v>0</v>
      </c>
      <c r="EM69">
        <v>0</v>
      </c>
      <c r="EN69">
        <v>0</v>
      </c>
      <c r="EO69">
        <v>0</v>
      </c>
      <c r="EP69">
        <v>0</v>
      </c>
      <c r="EQ69">
        <v>0</v>
      </c>
      <c r="ER69">
        <f>SUM(EF69:EQ69)</f>
        <v>84000</v>
      </c>
      <c r="ES69">
        <f>IF(ER69&gt;=150000,150000,ER69)</f>
        <v>84000</v>
      </c>
      <c r="ET69">
        <f>EE69-ES69</f>
        <v>474452</v>
      </c>
      <c r="EU69">
        <v>0</v>
      </c>
      <c r="EV69">
        <v>0</v>
      </c>
      <c r="EW69">
        <v>0</v>
      </c>
      <c r="EX69">
        <v>0</v>
      </c>
      <c r="EY69">
        <v>0</v>
      </c>
      <c r="EZ69">
        <v>0</v>
      </c>
      <c r="FA69">
        <v>0</v>
      </c>
      <c r="FB69">
        <f>SUM(EU69:FA69)+(IF(F69="YES",50000,0))</f>
        <v>0</v>
      </c>
      <c r="FC69">
        <f>ET69-FB69</f>
        <v>474452</v>
      </c>
      <c r="FD69">
        <f>ROUND(IF(FC69&gt;0,IF(FC69&gt;500000,12500,(FC69-250000)*0.05),0),0)</f>
        <v>11223</v>
      </c>
      <c r="FE69">
        <f>IF(ROUND(IF(FC69&gt;0,IF(FC69&gt;1000000,25000,(FC69-500000)*0.2),0),0)&lt;0,0,ROUND(IF(FC69&gt;0,IF(FC69&gt;1000000,25000,(FC69-500000)*0.2),0),0))</f>
        <v>0</v>
      </c>
      <c r="FF69">
        <f>FD69+FE69</f>
        <v>11223</v>
      </c>
      <c r="FG69">
        <f>IF(FF69&lt;12500,0,FF69)</f>
        <v>0</v>
      </c>
      <c r="FH69">
        <f>FG69*0.04</f>
        <v>0</v>
      </c>
      <c r="FI69">
        <f>ROUND(FH69+FG69,0)</f>
        <v>0</v>
      </c>
      <c r="FJ69">
        <v>0</v>
      </c>
      <c r="FK69">
        <f>FI69-FJ69</f>
        <v>0</v>
      </c>
      <c r="FL69" t="b">
        <f>IF(EA69&gt;500000,TRUE,FALSE)</f>
        <v>1</v>
      </c>
      <c r="FM69">
        <f ca="1">IF(FL69,RANDBETWEEN(500,1000),RANDBETWEEN(1000,3000))</f>
        <v>615</v>
      </c>
      <c r="FN69">
        <f ca="1">EA69+FM69</f>
        <v>611467</v>
      </c>
      <c r="FO69">
        <f>IF(EA69&gt;0,75000,0)</f>
        <v>75000</v>
      </c>
      <c r="FP69">
        <f ca="1">FN69-FO69</f>
        <v>536467</v>
      </c>
      <c r="FQ69">
        <f ca="1">IF(FP69&gt;2400000,FP69-2400000,0)</f>
        <v>0</v>
      </c>
      <c r="FR69">
        <f ca="1">FQ69*0.3</f>
        <v>0</v>
      </c>
      <c r="FS69">
        <f ca="1">IF(FP69&gt;2000000,FP69-2000000,0)</f>
        <v>0</v>
      </c>
      <c r="FT69">
        <f ca="1">FS69*0.25</f>
        <v>0</v>
      </c>
      <c r="FU69">
        <f ca="1">IF(FP69&gt;1600000,FP69-1600000-FQ69,0)</f>
        <v>0</v>
      </c>
      <c r="FV69">
        <f ca="1">FU69*0.2</f>
        <v>0</v>
      </c>
      <c r="FW69">
        <f ca="1">IF(FP69&gt;1200000,FP69-1200000-IF(F69="YES",50000,0)-FU69,0)</f>
        <v>0</v>
      </c>
      <c r="FX69">
        <f ca="1">FW69*0.15</f>
        <v>0</v>
      </c>
      <c r="FY69">
        <f ca="1">IF(FP69&gt;800000,FP69-800000-FQ69-FU69-FW69,0)</f>
        <v>0</v>
      </c>
      <c r="FZ69">
        <f ca="1">FY69*0.1</f>
        <v>0</v>
      </c>
      <c r="GA69">
        <f ca="1">IF(FP69&gt;400000,FP69-400000-FQ69-FU69-FW69-FY69,0)</f>
        <v>136467</v>
      </c>
      <c r="GB69">
        <f ca="1">GA69*0.05</f>
        <v>6823.35</v>
      </c>
      <c r="GC69">
        <f ca="1">ROUND(FR69+FT69+FV69+FX69+FZ69+GB69,0)</f>
        <v>6823</v>
      </c>
      <c r="GD69">
        <f ca="1">IF(FP69&gt;1200000,FP69,0)</f>
        <v>0</v>
      </c>
      <c r="GE69">
        <f ca="1">IF(FP69&gt;1200000,GD69-1200000,0)</f>
        <v>0</v>
      </c>
      <c r="GF69">
        <f ca="1">IF(FP69&lt;1200001,MIN(GC69,60000),0)</f>
        <v>6823</v>
      </c>
      <c r="GG69">
        <f ca="1">IF(FP69&gt;1200000,GC69-GE69,0)</f>
        <v>0</v>
      </c>
      <c r="GH69" t="b">
        <f ca="1">IF(GG69&gt;0,TRUE,FALSE)</f>
        <v>0</v>
      </c>
      <c r="GI69">
        <f ca="1">IF(GH69,GG69,0)</f>
        <v>0</v>
      </c>
      <c r="GJ69">
        <f ca="1">GF69+GI69</f>
        <v>6823</v>
      </c>
      <c r="GK69">
        <f ca="1">ROUND(GC69-GJ69,0)</f>
        <v>0</v>
      </c>
      <c r="GL69">
        <f ca="1">GK69*0.04</f>
        <v>0</v>
      </c>
      <c r="GM69">
        <f ca="1">ROUNDUP(GK69+GL69,0)</f>
        <v>0</v>
      </c>
    </row>
    <row r="70" spans="1:195" x14ac:dyDescent="0.25">
      <c r="A70">
        <f>_xlfn.AGGREGATE(3,5,$B$2:B70)</f>
        <v>69</v>
      </c>
      <c r="B70" t="s">
        <v>258</v>
      </c>
      <c r="C70" t="s">
        <v>259</v>
      </c>
      <c r="D70" t="s">
        <v>770</v>
      </c>
      <c r="E70" t="s">
        <v>834</v>
      </c>
      <c r="F70" t="s">
        <v>959</v>
      </c>
      <c r="G70" t="s">
        <v>887</v>
      </c>
      <c r="H70">
        <f>IF(_xlfn.DAYS("31-03-2025",G70)&gt;=180,6800,0)</f>
        <v>6800</v>
      </c>
      <c r="I70">
        <f>_xlfn.XLOOKUP(B70,'[1]march-2025'!$A:$A,'[1]march-2025'!$J:$J,0,0)</f>
        <v>0</v>
      </c>
      <c r="J70">
        <f>_xlfn.XLOOKUP(B70,'[1]march-2025'!$A:$A,'[1]march-2025'!$C:$C,0,0)</f>
        <v>51700</v>
      </c>
      <c r="K70">
        <f>J70*0.14</f>
        <v>7238.0000000000009</v>
      </c>
      <c r="L70">
        <f>J70*0.12</f>
        <v>6204</v>
      </c>
      <c r="M70">
        <f>_xlfn.XLOOKUP(B70,'[1]march-2025'!$A:$A,'[1]march-2025'!$D:$D,0,0)</f>
        <v>400</v>
      </c>
      <c r="N70">
        <f>_xlfn.XLOOKUP(B70,'[1]march-2025'!$A:$A,'[1]march-2025'!$G:$G,0,0)</f>
        <v>500</v>
      </c>
      <c r="O70">
        <f>IF(J70&gt;0,SUM(J70:N70),0)</f>
        <v>66042</v>
      </c>
      <c r="P70">
        <f>_xlfn.XLOOKUP(B70,'[1]march-2025'!$A:$A,'[1]march-2025'!$H:$H,0,0)</f>
        <v>4000</v>
      </c>
      <c r="Q70">
        <f>_xlfn.XLOOKUP(B70,'[1]march-2025'!$A:$A,'[1]march-2025'!$I:$I,0,0)</f>
        <v>0</v>
      </c>
      <c r="R70">
        <f>IF($F70="YES",0,IF(O70&gt;40000,200,IF(O70&gt;25000,150,IF(O70&gt;15000,130,IF(O70&gt;10000,110,0)))))</f>
        <v>200</v>
      </c>
      <c r="S70">
        <f>O70-P70-Q70-R70</f>
        <v>61842</v>
      </c>
      <c r="T70">
        <f>_xlfn.XLOOKUP(B70,'[2]april-2025'!$A:$A,'[2]april-2025'!$C:$C,0,0)</f>
        <v>51700</v>
      </c>
      <c r="U70">
        <f>T70*0.18</f>
        <v>9306</v>
      </c>
      <c r="V70">
        <f>T70*0.12</f>
        <v>6204</v>
      </c>
      <c r="W70">
        <f>_xlfn.XLOOKUP(B70,'[2]april-2025'!$A:$A,'[2]april-2025'!$D:$D,0,0)</f>
        <v>400</v>
      </c>
      <c r="X70">
        <f>_xlfn.XLOOKUP(B70,'[2]april-2025'!$A:$A,'[2]april-2025'!$G:$G,0,0)</f>
        <v>500</v>
      </c>
      <c r="Y70">
        <f>IF(T70&gt;0,SUM(T70:X70),0)</f>
        <v>68110</v>
      </c>
      <c r="Z70">
        <f>_xlfn.XLOOKUP(B70,'[2]april-2025'!$A:$A,'[2]april-2025'!$H:$H,0,0)</f>
        <v>4000</v>
      </c>
      <c r="AA70">
        <f>_xlfn.XLOOKUP(B70,'[2]april-2025'!$A:$A,'[2]april-2025'!$I:$I,0,0)</f>
        <v>0</v>
      </c>
      <c r="AB70">
        <f>IF($F70="YES",0,IF(Y70&gt;40000,200,IF(Y70&gt;25000,150,IF(Y70&gt;15000,130,IF(Y70&gt;10000,110,0)))))</f>
        <v>200</v>
      </c>
      <c r="AC70">
        <f>Y70-Z70-AA70-AB70</f>
        <v>63910</v>
      </c>
      <c r="AD70">
        <f>_xlfn.XLOOKUP(B70,'[3]may-2025'!$A:$A,'[3]may-2025'!$C:$C,0,0)</f>
        <v>51700</v>
      </c>
      <c r="AE70">
        <f>AD70*0.18</f>
        <v>9306</v>
      </c>
      <c r="AF70">
        <f>AD70*0.12</f>
        <v>6204</v>
      </c>
      <c r="AG70">
        <f>_xlfn.XLOOKUP(B70,'[3]may-2025'!$A:$A,'[3]may-2025'!$D:$D,0,0)</f>
        <v>400</v>
      </c>
      <c r="AH70">
        <f>_xlfn.XLOOKUP(B70,'[3]may-2025'!$A:$A,'[3]may-2025'!$G:$G,0,0)</f>
        <v>500</v>
      </c>
      <c r="AI70">
        <f>IF(AD70&gt;0,SUM(AD70:AH70),0)</f>
        <v>68110</v>
      </c>
      <c r="AJ70">
        <f>_xlfn.XLOOKUP(B70,'[3]may-2025'!$A:$A,'[3]may-2025'!$H:$H,0,0)</f>
        <v>4000</v>
      </c>
      <c r="AK70">
        <f>_xlfn.XLOOKUP(B70,'[3]may-2025'!$A:$A,'[3]may-2025'!$I:$I,0,0)</f>
        <v>0</v>
      </c>
      <c r="AL70">
        <f>IF($F70="YES",0,IF(AI70&gt;40000,200,IF(AI70&gt;25000,150,IF(AI70&gt;15000,130,IF(AI70&gt;10000,110,0)))))</f>
        <v>200</v>
      </c>
      <c r="AM70">
        <f>AI70-AJ70-AK70-AL70</f>
        <v>63910</v>
      </c>
      <c r="AN70">
        <f>_xlfn.XLOOKUP(B70,'[4]june-2025'!$A:$A,'[4]june-2025'!$C:$C,0,0)</f>
        <v>51700</v>
      </c>
      <c r="AO70">
        <f>AN70*0.18</f>
        <v>9306</v>
      </c>
      <c r="AP70">
        <f>AN70*0.12</f>
        <v>6204</v>
      </c>
      <c r="AQ70">
        <f>_xlfn.XLOOKUP(B70,'[4]june-2025'!$A:$A,'[4]june-2025'!$D:$D,0,0)</f>
        <v>400</v>
      </c>
      <c r="AR70">
        <f>_xlfn.XLOOKUP(B70,'[4]june-2025'!$A:$A,'[4]june-2025'!$G:$G,0,0)</f>
        <v>500</v>
      </c>
      <c r="AS70">
        <f>IF(AN70&gt;0,SUM(AN70:AR70),0)</f>
        <v>68110</v>
      </c>
      <c r="AT70">
        <f>_xlfn.XLOOKUP(B70,'[4]june-2025'!$A:$A,'[4]june-2025'!$H:$H,0,0)</f>
        <v>4000</v>
      </c>
      <c r="AU70">
        <f>_xlfn.XLOOKUP(B70,'[4]june-2025'!$A:$A,'[4]june-2025'!$I:$I,0,0)</f>
        <v>0</v>
      </c>
      <c r="AV70">
        <f>IF($F70="YES",0,IF(AS70&gt;40000,200,IF(AS70&gt;25000,150,IF(AS70&gt;15000,130,IF(AS70&gt;10000,110,0)))))</f>
        <v>200</v>
      </c>
      <c r="AW70">
        <f>AS70-AT70-AU70-AV70</f>
        <v>63910</v>
      </c>
      <c r="AX70">
        <f>_xlfn.XLOOKUP(B70,'[5]july-2025'!$A:$A,'[5]july-2025'!$C:$C,0,0)</f>
        <v>53300</v>
      </c>
      <c r="AY70">
        <f>AX70*0.18</f>
        <v>9594</v>
      </c>
      <c r="AZ70">
        <v>0</v>
      </c>
      <c r="BA70">
        <f>AX70*0.12</f>
        <v>6396</v>
      </c>
      <c r="BB70">
        <f>_xlfn.XLOOKUP(B70,'[5]july-2025'!$A:$A,'[5]july-2025'!$D:$D,0,0)</f>
        <v>400</v>
      </c>
      <c r="BC70">
        <f>_xlfn.XLOOKUP(B70,'[5]july-2025'!$A:$A,'[5]july-2025'!$G:$G,0,0)</f>
        <v>500</v>
      </c>
      <c r="BD70">
        <f>IF(AX70&gt;0,SUM(AX70:BC70),0)</f>
        <v>70190</v>
      </c>
      <c r="BE70">
        <f>_xlfn.XLOOKUP(B70,'[5]july-2025'!$A:$A,'[5]july-2025'!$H:$H,0,0)</f>
        <v>4000</v>
      </c>
      <c r="BF70">
        <f>_xlfn.XLOOKUP(B70,'[5]july-2025'!$A:$A,'[5]july-2025'!$I:$I,0,0)</f>
        <v>0</v>
      </c>
      <c r="BG70">
        <f>IF($F70="YES",0,IF(BD70&gt;40000,200,IF(BD70&gt;25000,150,IF(BD70&gt;15000,130,IF(BD70&gt;10000,110,0)))))</f>
        <v>200</v>
      </c>
      <c r="BH70">
        <f>BD70-BE70-BF70-BG70</f>
        <v>65990</v>
      </c>
      <c r="BI70">
        <f>_xlfn.XLOOKUP(B70,'[6]august-2025'!$A:$A,'[6]august-2025'!$C:$C,0,0)</f>
        <v>53300</v>
      </c>
      <c r="BJ70">
        <f>BI70*0.18</f>
        <v>9594</v>
      </c>
      <c r="BK70">
        <f>BI70*0.12</f>
        <v>6396</v>
      </c>
      <c r="BL70">
        <f>_xlfn.XLOOKUP(B70,'[6]august-2025'!$A:$A,'[6]august-2025'!$D:$D,0,0)</f>
        <v>400</v>
      </c>
      <c r="BM70">
        <f>_xlfn.XLOOKUP(B70,'[6]august-2025'!$A:$A,'[6]august-2025'!$G:$G,0,0)</f>
        <v>500</v>
      </c>
      <c r="BN70">
        <f>IF(BI70&gt;0,SUM(BI70:BM70),0)</f>
        <v>70190</v>
      </c>
      <c r="BO70">
        <f>_xlfn.XLOOKUP(B70,'[6]august-2025'!$A:$A,'[6]august-2025'!$H:$H,0,0)</f>
        <v>4000</v>
      </c>
      <c r="BP70">
        <f>_xlfn.XLOOKUP(B70,'[6]august-2025'!$A:$A,'[6]august-2025'!$I:$I,0,0)</f>
        <v>0</v>
      </c>
      <c r="BQ70">
        <f>IF($F70="YES",0,IF(BN70&gt;40000,200,IF(BN70&gt;25000,150,IF(BN70&gt;15000,130,IF(BN70&gt;10000,110,0)))))</f>
        <v>200</v>
      </c>
      <c r="BR70">
        <f>BN70-BO70-BP70-BQ70</f>
        <v>65990</v>
      </c>
      <c r="BS70">
        <f>_xlfn.XLOOKUP(B70,'[7]september-2025'!$A:$A,'[7]september-2025'!$C:$C,0,0)</f>
        <v>53300</v>
      </c>
      <c r="BT70">
        <f>BS70*0.18</f>
        <v>9594</v>
      </c>
      <c r="BU70">
        <f>BS70*0.12</f>
        <v>6396</v>
      </c>
      <c r="BV70">
        <f>_xlfn.XLOOKUP(B70,'[7]september-2025'!$A:$A,'[7]september-2025'!$D:$D,0,0)</f>
        <v>400</v>
      </c>
      <c r="BW70">
        <f>_xlfn.XLOOKUP(B70,'[7]september-2025'!$A:$A,'[7]september-2025'!$G:$G,0,0)</f>
        <v>500</v>
      </c>
      <c r="BX70">
        <f>IF(BS70&gt;0,SUM(BS70:BW70),0)</f>
        <v>70190</v>
      </c>
      <c r="BY70">
        <f>_xlfn.XLOOKUP(B70,'[7]september-2025'!$A:$A,'[7]september-2025'!$H:$H,0,0)</f>
        <v>4000</v>
      </c>
      <c r="BZ70">
        <f>_xlfn.XLOOKUP(B70,'[7]september-2025'!$A:$A,'[7]september-2025'!$I:$I,0,0)</f>
        <v>0</v>
      </c>
      <c r="CA70">
        <f>IF($F70="YES",0,IF(BX70&gt;40000,200,IF(BX70&gt;25000,150,IF(BX70&gt;15000,130,IF(BX70&gt;10000,110,0)))))</f>
        <v>200</v>
      </c>
      <c r="CB70">
        <f>BX70-BY70-BZ70-CA70</f>
        <v>65990</v>
      </c>
      <c r="CC70">
        <f>_xlfn.XLOOKUP(B70,'[8]october-2025'!$A:$A,'[8]october-2025'!$C:$C,0,0)</f>
        <v>53300</v>
      </c>
      <c r="CD70">
        <f>CC70*0.18</f>
        <v>9594</v>
      </c>
      <c r="CE70">
        <f>CC70*0.12</f>
        <v>6396</v>
      </c>
      <c r="CF70">
        <f>_xlfn.XLOOKUP(B70,'[8]october-2025'!$A:$A,'[8]october-2025'!$D:$D,0,0)</f>
        <v>400</v>
      </c>
      <c r="CG70">
        <f>_xlfn.XLOOKUP(B70,'[8]october-2025'!$A:$A,'[8]october-2025'!$G:$G,0,0)</f>
        <v>500</v>
      </c>
      <c r="CH70">
        <f>IF(CC70&gt;0,SUM(CC70:CG70),0)</f>
        <v>70190</v>
      </c>
      <c r="CI70">
        <f>_xlfn.XLOOKUP(B70,'[8]october-2025'!$A:$A,'[8]october-2025'!$H:$H,0,0)</f>
        <v>4000</v>
      </c>
      <c r="CJ70">
        <f>_xlfn.XLOOKUP(B70,'[8]october-2025'!$A:$A,'[8]october-2025'!$I:$I,0,0)</f>
        <v>0</v>
      </c>
      <c r="CK70">
        <f>IF($F70="YES",0,IF(CH70&gt;40000,200,IF(CH70&gt;25000,150,IF(CH70&gt;15000,130,IF(CH70&gt;10000,110,0)))))</f>
        <v>200</v>
      </c>
      <c r="CL70">
        <f>CH70-CI70-CJ70-CK70</f>
        <v>65990</v>
      </c>
      <c r="CM70">
        <f>_xlfn.XLOOKUP(B70,'[9]november-2025'!$A:$A,'[9]november-2025'!$C:$C,0,0)</f>
        <v>53300</v>
      </c>
      <c r="CN70">
        <f>CM70*0.18</f>
        <v>9594</v>
      </c>
      <c r="CO70">
        <f>CM70*0.12</f>
        <v>6396</v>
      </c>
      <c r="CP70">
        <f>_xlfn.XLOOKUP(B70,'[9]november-2025'!$A:$A,'[9]november-2025'!$D:$D,0,0)</f>
        <v>400</v>
      </c>
      <c r="CQ70">
        <f>_xlfn.XLOOKUP(B70,'[9]november-2025'!$A:$A,'[9]november-2025'!$G:$G,0,0)</f>
        <v>500</v>
      </c>
      <c r="CR70">
        <f>IF(CM70&gt;0,SUM(CM70:CQ70),0)</f>
        <v>70190</v>
      </c>
      <c r="CS70">
        <f>_xlfn.XLOOKUP(B70,'[9]november-2025'!$A:$A,'[9]november-2025'!$H:$H,0,0)</f>
        <v>4000</v>
      </c>
      <c r="CT70">
        <f>_xlfn.XLOOKUP(B70,'[9]november-2025'!$A:$A,'[9]november-2025'!$I:$I,0,0)</f>
        <v>0</v>
      </c>
      <c r="CU70">
        <f>IF($F70="YES",0,IF(CR70&gt;40000,200,IF(CR70&gt;25000,150,IF(CR70&gt;15000,130,IF(CR70&gt;10000,110,0)))))</f>
        <v>200</v>
      </c>
      <c r="CV70">
        <f>CR70-CS70-CT70-CU70</f>
        <v>65990</v>
      </c>
      <c r="CW70">
        <f>_xlfn.XLOOKUP(B70,'[10]december-2025'!$A:$A,'[10]december-2025'!$C:$C,0,0)</f>
        <v>53300</v>
      </c>
      <c r="CX70">
        <f>ROUND(CW70*0.18,0)</f>
        <v>9594</v>
      </c>
      <c r="CY70">
        <f>ROUND(CW70*0.12,0)</f>
        <v>6396</v>
      </c>
      <c r="CZ70">
        <f>_xlfn.XLOOKUP(B70,'[10]december-2025'!$A:$A,'[10]december-2025'!$D:$D,0,0)</f>
        <v>400</v>
      </c>
      <c r="DA70">
        <f>_xlfn.XLOOKUP(B70,'[10]december-2025'!$A:$A,'[10]december-2025'!$G:$G,0,0)</f>
        <v>500</v>
      </c>
      <c r="DB70">
        <f>IF(CW70&gt;0,SUM(CW70:DA70),0)</f>
        <v>70190</v>
      </c>
      <c r="DC70">
        <f>_xlfn.XLOOKUP(B70,'[10]december-2025'!$A:$A,'[10]december-2025'!$H:$H,0,0)</f>
        <v>4000</v>
      </c>
      <c r="DD70">
        <f>_xlfn.XLOOKUP(B70,'[10]december-2025'!$A:$A,'[10]december-2025'!$I:$I,0,0)</f>
        <v>0</v>
      </c>
      <c r="DE70">
        <f>IF($F70="YES",0,IF(DB70&gt;40000,200,IF(DB70&gt;25000,150,IF(DB70&gt;15000,130,IF(DB70&gt;10000,110,0)))))</f>
        <v>200</v>
      </c>
      <c r="DF70">
        <f>DB70-DC70-DD70-DE70</f>
        <v>65990</v>
      </c>
      <c r="DG70">
        <f>_xlfn.XLOOKUP(B70,'[11]january-2026'!$A:$A,'[11]january-2026'!$C:$C,0,0)</f>
        <v>53300</v>
      </c>
      <c r="DH70">
        <f>DG70*0.18</f>
        <v>9594</v>
      </c>
      <c r="DI70">
        <f>DG70*0.12</f>
        <v>6396</v>
      </c>
      <c r="DJ70">
        <f>_xlfn.XLOOKUP(B70,'[11]january-2026'!$A:$A,'[11]january-2026'!$D:$D,0,0)</f>
        <v>400</v>
      </c>
      <c r="DK70">
        <f>_xlfn.XLOOKUP(B70,'[11]january-2026'!$A:$A,'[11]january-2026'!$G:$G,0,0)</f>
        <v>500</v>
      </c>
      <c r="DL70">
        <f>IF(DG70&gt;0,SUM(DG70:DK70),0)</f>
        <v>70190</v>
      </c>
      <c r="DM70">
        <f>_xlfn.XLOOKUP(B70,'[11]january-2026'!$A:$A,'[11]january-2026'!$H:$H,0,0)</f>
        <v>4000</v>
      </c>
      <c r="DN70">
        <f>_xlfn.XLOOKUP(B70,'[11]january-2026'!$A:$A,'[11]january-2026'!$I:$I,0,0)</f>
        <v>0</v>
      </c>
      <c r="DO70">
        <f>IF($F70="YES",0,IF(DL70&gt;40000,200,IF(DL70&gt;25000,150,IF(DL70&gt;15000,130,IF(DL70&gt;10000,110,0)))))</f>
        <v>200</v>
      </c>
      <c r="DP70">
        <f>DL70-DM70-DN70-DO70</f>
        <v>65990</v>
      </c>
      <c r="DQ70">
        <f>_xlfn.XLOOKUP(B70,'[12]february-2026'!$A:$A,'[12]february-2026'!$C:$C,0,0)</f>
        <v>53300</v>
      </c>
      <c r="DR70">
        <f>DQ70*0.18</f>
        <v>9594</v>
      </c>
      <c r="DS70">
        <f>DQ70*0.12</f>
        <v>6396</v>
      </c>
      <c r="DT70">
        <f>_xlfn.XLOOKUP(B70,'[12]february-2026'!$A:$A,'[12]february-2026'!$D:$D,0,0)</f>
        <v>400</v>
      </c>
      <c r="DU70">
        <f>_xlfn.XLOOKUP(B70,'[12]february-2026'!$A:$A,'[12]february-2026'!$G:$G,0,0)</f>
        <v>500</v>
      </c>
      <c r="DV70">
        <f>IF(DQ70&gt;0,SUM(DQ70:DU70),0)</f>
        <v>70190</v>
      </c>
      <c r="DW70">
        <f>_xlfn.XLOOKUP(B70,'[12]february-2026'!$A:$A,'[12]february-2026'!$H:$H,0,0)</f>
        <v>4000</v>
      </c>
      <c r="DX70">
        <f>_xlfn.XLOOKUP(B70,'[12]february-2026'!$A:$A,'[12]february-2026'!$I:$I,0,0)</f>
        <v>0</v>
      </c>
      <c r="DY70">
        <f>IF($F70="YES",0,IF(DV70&gt;40000,200,IF(DV70&gt;25000,150,IF(DV70&gt;15000,130,IF(DV70&gt;10000,110,0)))))</f>
        <v>200</v>
      </c>
      <c r="DZ70">
        <f>DV70-DW70-DX70-DY70</f>
        <v>65990</v>
      </c>
      <c r="EA70">
        <f>DV70+DL70+DB70+CR70+CH70+BX70+BN70+BD70+AS70+AI70+Y70+O70+H70+I70</f>
        <v>838692</v>
      </c>
      <c r="EB70">
        <f>DY70+DO70+DE70+CU70+CK70+CA70+BQ70+BG70+AV70+AL70+AB70+R70</f>
        <v>2400</v>
      </c>
      <c r="EC70">
        <f>IF(EA70&gt;0,50000,0)</f>
        <v>50000</v>
      </c>
      <c r="ED70">
        <v>0</v>
      </c>
      <c r="EE70">
        <f>EA70-EB70-EC70</f>
        <v>786292</v>
      </c>
      <c r="EF70">
        <f>DW70+DM70+DC70+CS70+CI70+BY70+BO70+BE70+AT70+AJ70+Z70+P70</f>
        <v>48000</v>
      </c>
      <c r="EG70">
        <f>DX70+DN70+DD70+CT70+CJ70+BZ70+BP70+BF70+AU70+AK70+AA70+Q70</f>
        <v>0</v>
      </c>
      <c r="EH70">
        <v>0</v>
      </c>
      <c r="EI70">
        <v>0</v>
      </c>
      <c r="EJ70">
        <v>0</v>
      </c>
      <c r="EK70">
        <v>0</v>
      </c>
      <c r="EL70">
        <v>0</v>
      </c>
      <c r="EM70">
        <v>0</v>
      </c>
      <c r="EN70">
        <v>0</v>
      </c>
      <c r="EO70">
        <v>0</v>
      </c>
      <c r="EP70">
        <v>0</v>
      </c>
      <c r="EQ70">
        <v>0</v>
      </c>
      <c r="ER70">
        <f>SUM(EF70:EQ70)</f>
        <v>48000</v>
      </c>
      <c r="ES70">
        <f>IF(ER70&gt;=150000,150000,ER70)</f>
        <v>48000</v>
      </c>
      <c r="ET70">
        <f>EE70-ES70</f>
        <v>738292</v>
      </c>
      <c r="EU70">
        <v>0</v>
      </c>
      <c r="EV70">
        <v>0</v>
      </c>
      <c r="EW70">
        <v>0</v>
      </c>
      <c r="EX70">
        <v>0</v>
      </c>
      <c r="EY70">
        <v>0</v>
      </c>
      <c r="EZ70">
        <v>0</v>
      </c>
      <c r="FA70">
        <v>0</v>
      </c>
      <c r="FB70">
        <f>SUM(EU70:FA70)+(IF(F70="YES",50000,0))</f>
        <v>0</v>
      </c>
      <c r="FC70">
        <f>ET70-FB70</f>
        <v>738292</v>
      </c>
      <c r="FD70">
        <f>ROUND(IF(FC70&gt;0,IF(FC70&gt;500000,12500,(FC70-250000)*0.05),0),0)</f>
        <v>12500</v>
      </c>
      <c r="FE70">
        <f>IF(ROUND(IF(FC70&gt;0,IF(FC70&gt;1000000,25000,(FC70-500000)*0.2),0),0)&lt;0,0,ROUND(IF(FC70&gt;0,IF(FC70&gt;1000000,25000,(FC70-500000)*0.2),0),0))</f>
        <v>47658</v>
      </c>
      <c r="FF70">
        <f>FD70+FE70</f>
        <v>60158</v>
      </c>
      <c r="FG70">
        <f>IF(FF70&lt;12500,0,FF70)</f>
        <v>60158</v>
      </c>
      <c r="FH70">
        <f>FG70*0.04</f>
        <v>2406.3200000000002</v>
      </c>
      <c r="FI70">
        <f>ROUND(FH70+FG70,0)</f>
        <v>62564</v>
      </c>
      <c r="FJ70">
        <v>0</v>
      </c>
      <c r="FK70">
        <f>FI70-FJ70</f>
        <v>62564</v>
      </c>
      <c r="FL70" t="b">
        <f>IF(EA70&gt;500000,TRUE,FALSE)</f>
        <v>1</v>
      </c>
      <c r="FM70">
        <f ca="1">IF(FL70,RANDBETWEEN(500,1000),RANDBETWEEN(1000,3000))</f>
        <v>559</v>
      </c>
      <c r="FN70">
        <f ca="1">EA70+FM70</f>
        <v>839251</v>
      </c>
      <c r="FO70">
        <f>IF(EA70&gt;0,75000,0)</f>
        <v>75000</v>
      </c>
      <c r="FP70">
        <f ca="1">FN70-FO70</f>
        <v>764251</v>
      </c>
      <c r="FQ70">
        <f ca="1">IF(FP70&gt;2400000,FP70-2400000,0)</f>
        <v>0</v>
      </c>
      <c r="FR70">
        <f ca="1">FQ70*0.3</f>
        <v>0</v>
      </c>
      <c r="FS70">
        <f ca="1">IF(FP70&gt;2000000,FP70-2000000,0)</f>
        <v>0</v>
      </c>
      <c r="FT70">
        <f ca="1">FS70*0.25</f>
        <v>0</v>
      </c>
      <c r="FU70">
        <f ca="1">IF(FP70&gt;1600000,FP70-1600000-FQ70,0)</f>
        <v>0</v>
      </c>
      <c r="FV70">
        <f ca="1">FU70*0.2</f>
        <v>0</v>
      </c>
      <c r="FW70">
        <f ca="1">IF(FP70&gt;1200000,FP70-1200000-IF(F70="YES",50000,0)-FU70,0)</f>
        <v>0</v>
      </c>
      <c r="FX70">
        <f ca="1">FW70*0.15</f>
        <v>0</v>
      </c>
      <c r="FY70">
        <f ca="1">IF(FP70&gt;800000,FP70-800000-FQ70-FU70-FW70,0)</f>
        <v>0</v>
      </c>
      <c r="FZ70">
        <f ca="1">FY70*0.1</f>
        <v>0</v>
      </c>
      <c r="GA70">
        <f ca="1">IF(FP70&gt;400000,FP70-400000-FQ70-FU70-FW70-FY70,0)</f>
        <v>364251</v>
      </c>
      <c r="GB70">
        <f ca="1">GA70*0.05</f>
        <v>18212.55</v>
      </c>
      <c r="GC70">
        <f ca="1">ROUND(FR70+FT70+FV70+FX70+FZ70+GB70,0)</f>
        <v>18213</v>
      </c>
      <c r="GD70">
        <f ca="1">IF(FP70&gt;1200000,FP70,0)</f>
        <v>0</v>
      </c>
      <c r="GE70">
        <f ca="1">IF(FP70&gt;1200000,GD70-1200000,0)</f>
        <v>0</v>
      </c>
      <c r="GF70">
        <f ca="1">IF(FP70&lt;1200001,MIN(GC70,60000),0)</f>
        <v>18213</v>
      </c>
      <c r="GG70">
        <f ca="1">IF(FP70&gt;1200000,GC70-GE70,0)</f>
        <v>0</v>
      </c>
      <c r="GH70" t="b">
        <f ca="1">IF(GG70&gt;0,TRUE,FALSE)</f>
        <v>0</v>
      </c>
      <c r="GI70">
        <f ca="1">IF(GH70,GG70,0)</f>
        <v>0</v>
      </c>
      <c r="GJ70">
        <f ca="1">GF70+GI70</f>
        <v>18213</v>
      </c>
      <c r="GK70">
        <f ca="1">ROUND(GC70-GJ70,0)</f>
        <v>0</v>
      </c>
      <c r="GL70">
        <f ca="1">GK70*0.04</f>
        <v>0</v>
      </c>
      <c r="GM70">
        <f ca="1">ROUNDUP(GK70+GL70,0)</f>
        <v>0</v>
      </c>
    </row>
    <row r="71" spans="1:195" x14ac:dyDescent="0.25">
      <c r="A71">
        <f>_xlfn.AGGREGATE(3,5,$B$2:B71)</f>
        <v>70</v>
      </c>
      <c r="B71" t="s">
        <v>260</v>
      </c>
      <c r="C71" t="s">
        <v>261</v>
      </c>
      <c r="D71" t="s">
        <v>770</v>
      </c>
      <c r="E71" t="s">
        <v>833</v>
      </c>
      <c r="F71" t="s">
        <v>959</v>
      </c>
      <c r="G71" t="s">
        <v>908</v>
      </c>
      <c r="H71">
        <f>IF(_xlfn.DAYS("31-03-2025",G71)&gt;=180,6800,0)</f>
        <v>6800</v>
      </c>
      <c r="I71">
        <f>_xlfn.XLOOKUP(B71,'[1]march-2025'!$A:$A,'[1]march-2025'!$J:$J,0,0)</f>
        <v>0</v>
      </c>
      <c r="J71">
        <f>_xlfn.XLOOKUP(B71,'[1]march-2025'!$A:$A,'[1]march-2025'!$C:$C,0,0)</f>
        <v>34500</v>
      </c>
      <c r="K71">
        <f>J71*0.14</f>
        <v>4830.0000000000009</v>
      </c>
      <c r="L71">
        <f>J71*0.12</f>
        <v>4140</v>
      </c>
      <c r="M71">
        <f>_xlfn.XLOOKUP(B71,'[1]march-2025'!$A:$A,'[1]march-2025'!$D:$D,0,0)</f>
        <v>0</v>
      </c>
      <c r="N71">
        <f>_xlfn.XLOOKUP(B71,'[1]march-2025'!$A:$A,'[1]march-2025'!$G:$G,0,0)</f>
        <v>500</v>
      </c>
      <c r="O71">
        <f>IF(J71&gt;0,SUM(J71:N71),0)</f>
        <v>43970</v>
      </c>
      <c r="P71">
        <f>_xlfn.XLOOKUP(B71,'[1]march-2025'!$A:$A,'[1]march-2025'!$H:$H,0,0)</f>
        <v>2500</v>
      </c>
      <c r="Q71">
        <f>_xlfn.XLOOKUP(B71,'[1]march-2025'!$A:$A,'[1]march-2025'!$I:$I,0,0)</f>
        <v>0</v>
      </c>
      <c r="R71">
        <f>IF($F71="YES",0,IF(O71&gt;40000,200,IF(O71&gt;25000,150,IF(O71&gt;15000,130,IF(O71&gt;10000,110,0)))))</f>
        <v>200</v>
      </c>
      <c r="S71">
        <f>O71-P71-Q71-R71</f>
        <v>41270</v>
      </c>
      <c r="T71">
        <f>_xlfn.XLOOKUP(B71,'[2]april-2025'!$A:$A,'[2]april-2025'!$C:$C,0,0)</f>
        <v>34500</v>
      </c>
      <c r="U71">
        <f>T71*0.18</f>
        <v>6210</v>
      </c>
      <c r="V71">
        <f>T71*0.12</f>
        <v>4140</v>
      </c>
      <c r="W71">
        <f>_xlfn.XLOOKUP(B71,'[2]april-2025'!$A:$A,'[2]april-2025'!$D:$D,0,0)</f>
        <v>0</v>
      </c>
      <c r="X71">
        <f>_xlfn.XLOOKUP(B71,'[2]april-2025'!$A:$A,'[2]april-2025'!$G:$G,0,0)</f>
        <v>500</v>
      </c>
      <c r="Y71">
        <f>IF(T71&gt;0,SUM(T71:X71),0)</f>
        <v>45350</v>
      </c>
      <c r="Z71">
        <f>_xlfn.XLOOKUP(B71,'[2]april-2025'!$A:$A,'[2]april-2025'!$H:$H,0,0)</f>
        <v>2500</v>
      </c>
      <c r="AA71">
        <f>_xlfn.XLOOKUP(B71,'[2]april-2025'!$A:$A,'[2]april-2025'!$I:$I,0,0)</f>
        <v>0</v>
      </c>
      <c r="AB71">
        <f>IF($F71="YES",0,IF(Y71&gt;40000,200,IF(Y71&gt;25000,150,IF(Y71&gt;15000,130,IF(Y71&gt;10000,110,0)))))</f>
        <v>200</v>
      </c>
      <c r="AC71">
        <f>Y71-Z71-AA71-AB71</f>
        <v>42650</v>
      </c>
      <c r="AD71">
        <f>_xlfn.XLOOKUP(B71,'[3]may-2025'!$A:$A,'[3]may-2025'!$C:$C,0,0)</f>
        <v>34500</v>
      </c>
      <c r="AE71">
        <f>AD71*0.18</f>
        <v>6210</v>
      </c>
      <c r="AF71">
        <f>AD71*0.12</f>
        <v>4140</v>
      </c>
      <c r="AG71">
        <f>_xlfn.XLOOKUP(B71,'[3]may-2025'!$A:$A,'[3]may-2025'!$D:$D,0,0)</f>
        <v>0</v>
      </c>
      <c r="AH71">
        <f>_xlfn.XLOOKUP(B71,'[3]may-2025'!$A:$A,'[3]may-2025'!$G:$G,0,0)</f>
        <v>500</v>
      </c>
      <c r="AI71">
        <f>IF(AD71&gt;0,SUM(AD71:AH71),0)</f>
        <v>45350</v>
      </c>
      <c r="AJ71">
        <f>_xlfn.XLOOKUP(B71,'[3]may-2025'!$A:$A,'[3]may-2025'!$H:$H,0,0)</f>
        <v>2500</v>
      </c>
      <c r="AK71">
        <f>_xlfn.XLOOKUP(B71,'[3]may-2025'!$A:$A,'[3]may-2025'!$I:$I,0,0)</f>
        <v>0</v>
      </c>
      <c r="AL71">
        <f>IF($F71="YES",0,IF(AI71&gt;40000,200,IF(AI71&gt;25000,150,IF(AI71&gt;15000,130,IF(AI71&gt;10000,110,0)))))</f>
        <v>200</v>
      </c>
      <c r="AM71">
        <f>AI71-AJ71-AK71-AL71</f>
        <v>42650</v>
      </c>
      <c r="AN71">
        <f>_xlfn.XLOOKUP(B71,'[4]june-2025'!$A:$A,'[4]june-2025'!$C:$C,0,0)</f>
        <v>34500</v>
      </c>
      <c r="AO71">
        <f>AN71*0.18</f>
        <v>6210</v>
      </c>
      <c r="AP71">
        <f>AN71*0.12</f>
        <v>4140</v>
      </c>
      <c r="AQ71">
        <f>_xlfn.XLOOKUP(B71,'[4]june-2025'!$A:$A,'[4]june-2025'!$D:$D,0,0)</f>
        <v>0</v>
      </c>
      <c r="AR71">
        <f>_xlfn.XLOOKUP(B71,'[4]june-2025'!$A:$A,'[4]june-2025'!$G:$G,0,0)</f>
        <v>500</v>
      </c>
      <c r="AS71">
        <f>IF(AN71&gt;0,SUM(AN71:AR71),0)</f>
        <v>45350</v>
      </c>
      <c r="AT71">
        <f>_xlfn.XLOOKUP(B71,'[4]june-2025'!$A:$A,'[4]june-2025'!$H:$H,0,0)</f>
        <v>2500</v>
      </c>
      <c r="AU71">
        <f>_xlfn.XLOOKUP(B71,'[4]june-2025'!$A:$A,'[4]june-2025'!$I:$I,0,0)</f>
        <v>0</v>
      </c>
      <c r="AV71">
        <f>IF($F71="YES",0,IF(AS71&gt;40000,200,IF(AS71&gt;25000,150,IF(AS71&gt;15000,130,IF(AS71&gt;10000,110,0)))))</f>
        <v>200</v>
      </c>
      <c r="AW71">
        <f>AS71-AT71-AU71-AV71</f>
        <v>42650</v>
      </c>
      <c r="AX71">
        <f>_xlfn.XLOOKUP(B71,'[5]july-2025'!$A:$A,'[5]july-2025'!$C:$C,0,0)</f>
        <v>35500</v>
      </c>
      <c r="AY71">
        <f>AX71*0.18</f>
        <v>6390</v>
      </c>
      <c r="AZ71">
        <v>0</v>
      </c>
      <c r="BA71">
        <f>AX71*0.12</f>
        <v>4260</v>
      </c>
      <c r="BB71">
        <f>_xlfn.XLOOKUP(B71,'[5]july-2025'!$A:$A,'[5]july-2025'!$D:$D,0,0)</f>
        <v>0</v>
      </c>
      <c r="BC71">
        <f>_xlfn.XLOOKUP(B71,'[5]july-2025'!$A:$A,'[5]july-2025'!$G:$G,0,0)</f>
        <v>500</v>
      </c>
      <c r="BD71">
        <f>IF(AX71&gt;0,SUM(AX71:BC71),0)</f>
        <v>46650</v>
      </c>
      <c r="BE71">
        <f>_xlfn.XLOOKUP(B71,'[5]july-2025'!$A:$A,'[5]july-2025'!$H:$H,0,0)</f>
        <v>2500</v>
      </c>
      <c r="BF71">
        <f>_xlfn.XLOOKUP(B71,'[5]july-2025'!$A:$A,'[5]july-2025'!$I:$I,0,0)</f>
        <v>0</v>
      </c>
      <c r="BG71">
        <f>IF($F71="YES",0,IF(BD71&gt;40000,200,IF(BD71&gt;25000,150,IF(BD71&gt;15000,130,IF(BD71&gt;10000,110,0)))))</f>
        <v>200</v>
      </c>
      <c r="BH71">
        <f>BD71-BE71-BF71-BG71</f>
        <v>43950</v>
      </c>
      <c r="BI71">
        <f>_xlfn.XLOOKUP(B71,'[6]august-2025'!$A:$A,'[6]august-2025'!$C:$C,0,0)</f>
        <v>35500</v>
      </c>
      <c r="BJ71">
        <f>BI71*0.18</f>
        <v>6390</v>
      </c>
      <c r="BK71">
        <f>BI71*0.12</f>
        <v>4260</v>
      </c>
      <c r="BL71">
        <f>_xlfn.XLOOKUP(B71,'[6]august-2025'!$A:$A,'[6]august-2025'!$D:$D,0,0)</f>
        <v>0</v>
      </c>
      <c r="BM71">
        <f>_xlfn.XLOOKUP(B71,'[6]august-2025'!$A:$A,'[6]august-2025'!$G:$G,0,0)</f>
        <v>500</v>
      </c>
      <c r="BN71">
        <f>IF(BI71&gt;0,SUM(BI71:BM71),0)</f>
        <v>46650</v>
      </c>
      <c r="BO71">
        <f>_xlfn.XLOOKUP(B71,'[6]august-2025'!$A:$A,'[6]august-2025'!$H:$H,0,0)</f>
        <v>2500</v>
      </c>
      <c r="BP71">
        <f>_xlfn.XLOOKUP(B71,'[6]august-2025'!$A:$A,'[6]august-2025'!$I:$I,0,0)</f>
        <v>0</v>
      </c>
      <c r="BQ71">
        <f>IF($F71="YES",0,IF(BN71&gt;40000,200,IF(BN71&gt;25000,150,IF(BN71&gt;15000,130,IF(BN71&gt;10000,110,0)))))</f>
        <v>200</v>
      </c>
      <c r="BR71">
        <f>BN71-BO71-BP71-BQ71</f>
        <v>43950</v>
      </c>
      <c r="BS71">
        <f>_xlfn.XLOOKUP(B71,'[7]september-2025'!$A:$A,'[7]september-2025'!$C:$C,0,0)</f>
        <v>35500</v>
      </c>
      <c r="BT71">
        <f>BS71*0.18</f>
        <v>6390</v>
      </c>
      <c r="BU71">
        <f>BS71*0.12</f>
        <v>4260</v>
      </c>
      <c r="BV71">
        <f>_xlfn.XLOOKUP(B71,'[7]september-2025'!$A:$A,'[7]september-2025'!$D:$D,0,0)</f>
        <v>0</v>
      </c>
      <c r="BW71">
        <f>_xlfn.XLOOKUP(B71,'[7]september-2025'!$A:$A,'[7]september-2025'!$G:$G,0,0)</f>
        <v>500</v>
      </c>
      <c r="BX71">
        <f>IF(BS71&gt;0,SUM(BS71:BW71),0)</f>
        <v>46650</v>
      </c>
      <c r="BY71">
        <f>_xlfn.XLOOKUP(B71,'[7]september-2025'!$A:$A,'[7]september-2025'!$H:$H,0,0)</f>
        <v>2500</v>
      </c>
      <c r="BZ71">
        <f>_xlfn.XLOOKUP(B71,'[7]september-2025'!$A:$A,'[7]september-2025'!$I:$I,0,0)</f>
        <v>0</v>
      </c>
      <c r="CA71">
        <f>IF($F71="YES",0,IF(BX71&gt;40000,200,IF(BX71&gt;25000,150,IF(BX71&gt;15000,130,IF(BX71&gt;10000,110,0)))))</f>
        <v>200</v>
      </c>
      <c r="CB71">
        <f>BX71-BY71-BZ71-CA71</f>
        <v>43950</v>
      </c>
      <c r="CC71">
        <f>_xlfn.XLOOKUP(B71,'[8]october-2025'!$A:$A,'[8]october-2025'!$C:$C,0,0)</f>
        <v>35500</v>
      </c>
      <c r="CD71">
        <f>CC71*0.18</f>
        <v>6390</v>
      </c>
      <c r="CE71">
        <f>CC71*0.12</f>
        <v>4260</v>
      </c>
      <c r="CF71">
        <f>_xlfn.XLOOKUP(B71,'[8]october-2025'!$A:$A,'[8]october-2025'!$D:$D,0,0)</f>
        <v>0</v>
      </c>
      <c r="CG71">
        <f>_xlfn.XLOOKUP(B71,'[8]october-2025'!$A:$A,'[8]october-2025'!$G:$G,0,0)</f>
        <v>500</v>
      </c>
      <c r="CH71">
        <f>IF(CC71&gt;0,SUM(CC71:CG71),0)</f>
        <v>46650</v>
      </c>
      <c r="CI71">
        <f>_xlfn.XLOOKUP(B71,'[8]october-2025'!$A:$A,'[8]october-2025'!$H:$H,0,0)</f>
        <v>2500</v>
      </c>
      <c r="CJ71">
        <f>_xlfn.XLOOKUP(B71,'[8]october-2025'!$A:$A,'[8]october-2025'!$I:$I,0,0)</f>
        <v>0</v>
      </c>
      <c r="CK71">
        <f>IF($F71="YES",0,IF(CH71&gt;40000,200,IF(CH71&gt;25000,150,IF(CH71&gt;15000,130,IF(CH71&gt;10000,110,0)))))</f>
        <v>200</v>
      </c>
      <c r="CL71">
        <f>CH71-CI71-CJ71-CK71</f>
        <v>43950</v>
      </c>
      <c r="CM71">
        <f>_xlfn.XLOOKUP(B71,'[9]november-2025'!$A:$A,'[9]november-2025'!$C:$C,0,0)</f>
        <v>35500</v>
      </c>
      <c r="CN71">
        <f>CM71*0.18</f>
        <v>6390</v>
      </c>
      <c r="CO71">
        <f>CM71*0.12</f>
        <v>4260</v>
      </c>
      <c r="CP71">
        <f>_xlfn.XLOOKUP(B71,'[9]november-2025'!$A:$A,'[9]november-2025'!$D:$D,0,0)</f>
        <v>0</v>
      </c>
      <c r="CQ71">
        <f>_xlfn.XLOOKUP(B71,'[9]november-2025'!$A:$A,'[9]november-2025'!$G:$G,0,0)</f>
        <v>500</v>
      </c>
      <c r="CR71">
        <f>IF(CM71&gt;0,SUM(CM71:CQ71),0)</f>
        <v>46650</v>
      </c>
      <c r="CS71">
        <f>_xlfn.XLOOKUP(B71,'[9]november-2025'!$A:$A,'[9]november-2025'!$H:$H,0,0)</f>
        <v>2500</v>
      </c>
      <c r="CT71">
        <f>_xlfn.XLOOKUP(B71,'[9]november-2025'!$A:$A,'[9]november-2025'!$I:$I,0,0)</f>
        <v>0</v>
      </c>
      <c r="CU71">
        <f>IF($F71="YES",0,IF(CR71&gt;40000,200,IF(CR71&gt;25000,150,IF(CR71&gt;15000,130,IF(CR71&gt;10000,110,0)))))</f>
        <v>200</v>
      </c>
      <c r="CV71">
        <f>CR71-CS71-CT71-CU71</f>
        <v>43950</v>
      </c>
      <c r="CW71">
        <f>_xlfn.XLOOKUP(B71,'[10]december-2025'!$A:$A,'[10]december-2025'!$C:$C,0,0)</f>
        <v>35500</v>
      </c>
      <c r="CX71">
        <f>ROUND(CW71*0.18,0)</f>
        <v>6390</v>
      </c>
      <c r="CY71">
        <f>ROUND(CW71*0.12,0)</f>
        <v>4260</v>
      </c>
      <c r="CZ71">
        <f>_xlfn.XLOOKUP(B71,'[10]december-2025'!$A:$A,'[10]december-2025'!$D:$D,0,0)</f>
        <v>0</v>
      </c>
      <c r="DA71">
        <f>_xlfn.XLOOKUP(B71,'[10]december-2025'!$A:$A,'[10]december-2025'!$G:$G,0,0)</f>
        <v>500</v>
      </c>
      <c r="DB71">
        <f>IF(CW71&gt;0,SUM(CW71:DA71),0)</f>
        <v>46650</v>
      </c>
      <c r="DC71">
        <f>_xlfn.XLOOKUP(B71,'[10]december-2025'!$A:$A,'[10]december-2025'!$H:$H,0,0)</f>
        <v>2500</v>
      </c>
      <c r="DD71">
        <f>_xlfn.XLOOKUP(B71,'[10]december-2025'!$A:$A,'[10]december-2025'!$I:$I,0,0)</f>
        <v>0</v>
      </c>
      <c r="DE71">
        <f>IF($F71="YES",0,IF(DB71&gt;40000,200,IF(DB71&gt;25000,150,IF(DB71&gt;15000,130,IF(DB71&gt;10000,110,0)))))</f>
        <v>200</v>
      </c>
      <c r="DF71">
        <f>DB71-DC71-DD71-DE71</f>
        <v>43950</v>
      </c>
      <c r="DG71">
        <f>_xlfn.XLOOKUP(B71,'[11]january-2026'!$A:$A,'[11]january-2026'!$C:$C,0,0)</f>
        <v>35500</v>
      </c>
      <c r="DH71">
        <f>DG71*0.18</f>
        <v>6390</v>
      </c>
      <c r="DI71">
        <f>DG71*0.12</f>
        <v>4260</v>
      </c>
      <c r="DJ71">
        <f>_xlfn.XLOOKUP(B71,'[11]january-2026'!$A:$A,'[11]january-2026'!$D:$D,0,0)</f>
        <v>0</v>
      </c>
      <c r="DK71">
        <f>_xlfn.XLOOKUP(B71,'[11]january-2026'!$A:$A,'[11]january-2026'!$G:$G,0,0)</f>
        <v>500</v>
      </c>
      <c r="DL71">
        <f>IF(DG71&gt;0,SUM(DG71:DK71),0)</f>
        <v>46650</v>
      </c>
      <c r="DM71">
        <f>_xlfn.XLOOKUP(B71,'[11]january-2026'!$A:$A,'[11]january-2026'!$H:$H,0,0)</f>
        <v>2500</v>
      </c>
      <c r="DN71">
        <f>_xlfn.XLOOKUP(B71,'[11]january-2026'!$A:$A,'[11]january-2026'!$I:$I,0,0)</f>
        <v>0</v>
      </c>
      <c r="DO71">
        <f>IF($F71="YES",0,IF(DL71&gt;40000,200,IF(DL71&gt;25000,150,IF(DL71&gt;15000,130,IF(DL71&gt;10000,110,0)))))</f>
        <v>200</v>
      </c>
      <c r="DP71">
        <f>DL71-DM71-DN71-DO71</f>
        <v>43950</v>
      </c>
      <c r="DQ71">
        <f>_xlfn.XLOOKUP(B71,'[12]february-2026'!$A:$A,'[12]february-2026'!$C:$C,0,0)</f>
        <v>35500</v>
      </c>
      <c r="DR71">
        <f>DQ71*0.18</f>
        <v>6390</v>
      </c>
      <c r="DS71">
        <f>DQ71*0.12</f>
        <v>4260</v>
      </c>
      <c r="DT71">
        <f>_xlfn.XLOOKUP(B71,'[12]february-2026'!$A:$A,'[12]february-2026'!$D:$D,0,0)</f>
        <v>0</v>
      </c>
      <c r="DU71">
        <f>_xlfn.XLOOKUP(B71,'[12]february-2026'!$A:$A,'[12]february-2026'!$G:$G,0,0)</f>
        <v>500</v>
      </c>
      <c r="DV71">
        <f>IF(DQ71&gt;0,SUM(DQ71:DU71),0)</f>
        <v>46650</v>
      </c>
      <c r="DW71">
        <f>_xlfn.XLOOKUP(B71,'[12]february-2026'!$A:$A,'[12]february-2026'!$H:$H,0,0)</f>
        <v>2500</v>
      </c>
      <c r="DX71">
        <f>_xlfn.XLOOKUP(B71,'[12]february-2026'!$A:$A,'[12]february-2026'!$I:$I,0,0)</f>
        <v>0</v>
      </c>
      <c r="DY71">
        <f>IF($F71="YES",0,IF(DV71&gt;40000,200,IF(DV71&gt;25000,150,IF(DV71&gt;15000,130,IF(DV71&gt;10000,110,0)))))</f>
        <v>200</v>
      </c>
      <c r="DZ71">
        <f>DV71-DW71-DX71-DY71</f>
        <v>43950</v>
      </c>
      <c r="EA71">
        <f>DV71+DL71+DB71+CR71+CH71+BX71+BN71+BD71+AS71+AI71+Y71+O71+H71+I71</f>
        <v>560020</v>
      </c>
      <c r="EB71">
        <f>DY71+DO71+DE71+CU71+CK71+CA71+BQ71+BG71+AV71+AL71+AB71+R71</f>
        <v>2400</v>
      </c>
      <c r="EC71">
        <f>IF(EA71&gt;0,50000,0)</f>
        <v>50000</v>
      </c>
      <c r="ED71">
        <v>0</v>
      </c>
      <c r="EE71">
        <f>EA71-EB71-EC71</f>
        <v>507620</v>
      </c>
      <c r="EF71">
        <f>DW71+DM71+DC71+CS71+CI71+BY71+BO71+BE71+AT71+AJ71+Z71+P71</f>
        <v>30000</v>
      </c>
      <c r="EG71">
        <f>DX71+DN71+DD71+CT71+CJ71+BZ71+BP71+BF71+AU71+AK71+AA71+Q71</f>
        <v>0</v>
      </c>
      <c r="EH71">
        <v>0</v>
      </c>
      <c r="EI71">
        <v>0</v>
      </c>
      <c r="EJ71">
        <v>0</v>
      </c>
      <c r="EK71">
        <v>0</v>
      </c>
      <c r="EL71">
        <v>0</v>
      </c>
      <c r="EM71">
        <v>0</v>
      </c>
      <c r="EN71">
        <v>0</v>
      </c>
      <c r="EO71">
        <v>0</v>
      </c>
      <c r="EP71">
        <v>0</v>
      </c>
      <c r="EQ71">
        <v>0</v>
      </c>
      <c r="ER71">
        <f>SUM(EF71:EQ71)</f>
        <v>30000</v>
      </c>
      <c r="ES71">
        <f>IF(ER71&gt;=150000,150000,ER71)</f>
        <v>30000</v>
      </c>
      <c r="ET71">
        <f>EE71-ES71</f>
        <v>477620</v>
      </c>
      <c r="EU71">
        <v>0</v>
      </c>
      <c r="EV71">
        <v>0</v>
      </c>
      <c r="EW71">
        <v>0</v>
      </c>
      <c r="EX71">
        <v>0</v>
      </c>
      <c r="EY71">
        <v>0</v>
      </c>
      <c r="EZ71">
        <v>0</v>
      </c>
      <c r="FA71">
        <v>0</v>
      </c>
      <c r="FB71">
        <f>SUM(EU71:FA71)+(IF(F71="YES",50000,0))</f>
        <v>0</v>
      </c>
      <c r="FC71">
        <f>ET71-FB71</f>
        <v>477620</v>
      </c>
      <c r="FD71">
        <f>ROUND(IF(FC71&gt;0,IF(FC71&gt;500000,12500,(FC71-250000)*0.05),0),0)</f>
        <v>11381</v>
      </c>
      <c r="FE71">
        <f>IF(ROUND(IF(FC71&gt;0,IF(FC71&gt;1000000,25000,(FC71-500000)*0.2),0),0)&lt;0,0,ROUND(IF(FC71&gt;0,IF(FC71&gt;1000000,25000,(FC71-500000)*0.2),0),0))</f>
        <v>0</v>
      </c>
      <c r="FF71">
        <f>FD71+FE71</f>
        <v>11381</v>
      </c>
      <c r="FG71">
        <f>IF(FF71&lt;12500,0,FF71)</f>
        <v>0</v>
      </c>
      <c r="FH71">
        <f>FG71*0.04</f>
        <v>0</v>
      </c>
      <c r="FI71">
        <f>ROUND(FH71+FG71,0)</f>
        <v>0</v>
      </c>
      <c r="FJ71">
        <v>0</v>
      </c>
      <c r="FK71">
        <f>FI71-FJ71</f>
        <v>0</v>
      </c>
      <c r="FL71" t="b">
        <f>IF(EA71&gt;500000,TRUE,FALSE)</f>
        <v>1</v>
      </c>
      <c r="FM71">
        <f ca="1">IF(FL71,RANDBETWEEN(500,1000),RANDBETWEEN(1000,3000))</f>
        <v>664</v>
      </c>
      <c r="FN71">
        <f ca="1">EA71+FM71</f>
        <v>560684</v>
      </c>
      <c r="FO71">
        <f>IF(EA71&gt;0,75000,0)</f>
        <v>75000</v>
      </c>
      <c r="FP71">
        <f ca="1">FN71-FO71</f>
        <v>485684</v>
      </c>
      <c r="FQ71">
        <f ca="1">IF(FP71&gt;2400000,FP71-2400000,0)</f>
        <v>0</v>
      </c>
      <c r="FR71">
        <f ca="1">FQ71*0.3</f>
        <v>0</v>
      </c>
      <c r="FS71">
        <f ca="1">IF(FP71&gt;2000000,FP71-2000000,0)</f>
        <v>0</v>
      </c>
      <c r="FT71">
        <f ca="1">FS71*0.25</f>
        <v>0</v>
      </c>
      <c r="FU71">
        <f ca="1">IF(FP71&gt;1600000,FP71-1600000-FQ71,0)</f>
        <v>0</v>
      </c>
      <c r="FV71">
        <f ca="1">FU71*0.2</f>
        <v>0</v>
      </c>
      <c r="FW71">
        <f ca="1">IF(FP71&gt;1200000,FP71-1200000-IF(F71="YES",50000,0)-FU71,0)</f>
        <v>0</v>
      </c>
      <c r="FX71">
        <f ca="1">FW71*0.15</f>
        <v>0</v>
      </c>
      <c r="FY71">
        <f ca="1">IF(FP71&gt;800000,FP71-800000-FQ71-FU71-FW71,0)</f>
        <v>0</v>
      </c>
      <c r="FZ71">
        <f ca="1">FY71*0.1</f>
        <v>0</v>
      </c>
      <c r="GA71">
        <f ca="1">IF(FP71&gt;400000,FP71-400000-FQ71-FU71-FW71-FY71,0)</f>
        <v>85684</v>
      </c>
      <c r="GB71">
        <f ca="1">GA71*0.05</f>
        <v>4284.2</v>
      </c>
      <c r="GC71">
        <f ca="1">ROUND(FR71+FT71+FV71+FX71+FZ71+GB71,0)</f>
        <v>4284</v>
      </c>
      <c r="GD71">
        <f ca="1">IF(FP71&gt;1200000,FP71,0)</f>
        <v>0</v>
      </c>
      <c r="GE71">
        <f ca="1">IF(FP71&gt;1200000,GD71-1200000,0)</f>
        <v>0</v>
      </c>
      <c r="GF71">
        <f ca="1">IF(FP71&lt;1200001,MIN(GC71,60000),0)</f>
        <v>4284</v>
      </c>
      <c r="GG71">
        <f ca="1">IF(FP71&gt;1200000,GC71-GE71,0)</f>
        <v>0</v>
      </c>
      <c r="GH71" t="b">
        <f ca="1">IF(GG71&gt;0,TRUE,FALSE)</f>
        <v>0</v>
      </c>
      <c r="GI71">
        <f ca="1">IF(GH71,GG71,0)</f>
        <v>0</v>
      </c>
      <c r="GJ71">
        <f ca="1">GF71+GI71</f>
        <v>4284</v>
      </c>
      <c r="GK71">
        <f ca="1">ROUND(GC71-GJ71,0)</f>
        <v>0</v>
      </c>
      <c r="GL71">
        <f ca="1">GK71*0.04</f>
        <v>0</v>
      </c>
      <c r="GM71">
        <f ca="1">ROUNDUP(GK71+GL71,0)</f>
        <v>0</v>
      </c>
    </row>
    <row r="72" spans="1:195" x14ac:dyDescent="0.25">
      <c r="A72">
        <f>_xlfn.AGGREGATE(3,5,$B$2:B72)</f>
        <v>71</v>
      </c>
      <c r="B72" t="s">
        <v>262</v>
      </c>
      <c r="C72" t="s">
        <v>263</v>
      </c>
      <c r="D72" t="s">
        <v>770</v>
      </c>
      <c r="E72" t="s">
        <v>833</v>
      </c>
      <c r="F72" t="s">
        <v>959</v>
      </c>
      <c r="G72" t="s">
        <v>909</v>
      </c>
      <c r="H72">
        <f>IF(_xlfn.DAYS("31-03-2025",G72)&gt;=180,6800,0)</f>
        <v>6800</v>
      </c>
      <c r="I72">
        <f>_xlfn.XLOOKUP(B72,'[1]march-2025'!$A:$A,'[1]march-2025'!$J:$J,0,0)</f>
        <v>0</v>
      </c>
      <c r="J72">
        <f>_xlfn.XLOOKUP(B72,'[1]march-2025'!$A:$A,'[1]march-2025'!$C:$C,0,0)</f>
        <v>33500</v>
      </c>
      <c r="K72">
        <f>J72*0.14</f>
        <v>4690</v>
      </c>
      <c r="L72">
        <f>J72*0.12</f>
        <v>4020</v>
      </c>
      <c r="M72">
        <f>_xlfn.XLOOKUP(B72,'[1]march-2025'!$A:$A,'[1]march-2025'!$D:$D,0,0)</f>
        <v>0</v>
      </c>
      <c r="N72">
        <f>_xlfn.XLOOKUP(B72,'[1]march-2025'!$A:$A,'[1]march-2025'!$G:$G,0,0)</f>
        <v>500</v>
      </c>
      <c r="O72">
        <f>IF(J72&gt;0,SUM(J72:N72),0)</f>
        <v>42710</v>
      </c>
      <c r="P72">
        <f>_xlfn.XLOOKUP(B72,'[1]march-2025'!$A:$A,'[1]march-2025'!$H:$H,0,0)</f>
        <v>2500</v>
      </c>
      <c r="Q72">
        <f>_xlfn.XLOOKUP(B72,'[1]march-2025'!$A:$A,'[1]march-2025'!$I:$I,0,0)</f>
        <v>0</v>
      </c>
      <c r="R72">
        <f>IF($F72="YES",0,IF(O72&gt;40000,200,IF(O72&gt;25000,150,IF(O72&gt;15000,130,IF(O72&gt;10000,110,0)))))</f>
        <v>200</v>
      </c>
      <c r="S72">
        <f>O72-P72-Q72-R72</f>
        <v>40010</v>
      </c>
      <c r="T72">
        <f>_xlfn.XLOOKUP(B72,'[2]april-2025'!$A:$A,'[2]april-2025'!$C:$C,0,0)</f>
        <v>33500</v>
      </c>
      <c r="U72">
        <f>T72*0.18</f>
        <v>6030</v>
      </c>
      <c r="V72">
        <f>T72*0.12</f>
        <v>4020</v>
      </c>
      <c r="W72">
        <f>_xlfn.XLOOKUP(B72,'[2]april-2025'!$A:$A,'[2]april-2025'!$D:$D,0,0)</f>
        <v>0</v>
      </c>
      <c r="X72">
        <f>_xlfn.XLOOKUP(B72,'[2]april-2025'!$A:$A,'[2]april-2025'!$G:$G,0,0)</f>
        <v>500</v>
      </c>
      <c r="Y72">
        <f>IF(T72&gt;0,SUM(T72:X72),0)</f>
        <v>44050</v>
      </c>
      <c r="Z72">
        <f>_xlfn.XLOOKUP(B72,'[2]april-2025'!$A:$A,'[2]april-2025'!$H:$H,0,0)</f>
        <v>2500</v>
      </c>
      <c r="AA72">
        <f>_xlfn.XLOOKUP(B72,'[2]april-2025'!$A:$A,'[2]april-2025'!$I:$I,0,0)</f>
        <v>0</v>
      </c>
      <c r="AB72">
        <f>IF($F72="YES",0,IF(Y72&gt;40000,200,IF(Y72&gt;25000,150,IF(Y72&gt;15000,130,IF(Y72&gt;10000,110,0)))))</f>
        <v>200</v>
      </c>
      <c r="AC72">
        <f>Y72-Z72-AA72-AB72</f>
        <v>41350</v>
      </c>
      <c r="AD72">
        <f>_xlfn.XLOOKUP(B72,'[3]may-2025'!$A:$A,'[3]may-2025'!$C:$C,0,0)</f>
        <v>33500</v>
      </c>
      <c r="AE72">
        <f>AD72*0.18</f>
        <v>6030</v>
      </c>
      <c r="AF72">
        <f>AD72*0.12</f>
        <v>4020</v>
      </c>
      <c r="AG72">
        <f>_xlfn.XLOOKUP(B72,'[3]may-2025'!$A:$A,'[3]may-2025'!$D:$D,0,0)</f>
        <v>0</v>
      </c>
      <c r="AH72">
        <f>_xlfn.XLOOKUP(B72,'[3]may-2025'!$A:$A,'[3]may-2025'!$G:$G,0,0)</f>
        <v>500</v>
      </c>
      <c r="AI72">
        <f>IF(AD72&gt;0,SUM(AD72:AH72),0)</f>
        <v>44050</v>
      </c>
      <c r="AJ72">
        <f>_xlfn.XLOOKUP(B72,'[3]may-2025'!$A:$A,'[3]may-2025'!$H:$H,0,0)</f>
        <v>2500</v>
      </c>
      <c r="AK72">
        <f>_xlfn.XLOOKUP(B72,'[3]may-2025'!$A:$A,'[3]may-2025'!$I:$I,0,0)</f>
        <v>0</v>
      </c>
      <c r="AL72">
        <f>IF($F72="YES",0,IF(AI72&gt;40000,200,IF(AI72&gt;25000,150,IF(AI72&gt;15000,130,IF(AI72&gt;10000,110,0)))))</f>
        <v>200</v>
      </c>
      <c r="AM72">
        <f>AI72-AJ72-AK72-AL72</f>
        <v>41350</v>
      </c>
      <c r="AN72">
        <f>_xlfn.XLOOKUP(B72,'[4]june-2025'!$A:$A,'[4]june-2025'!$C:$C,0,0)</f>
        <v>33500</v>
      </c>
      <c r="AO72">
        <f>AN72*0.18</f>
        <v>6030</v>
      </c>
      <c r="AP72">
        <f>AN72*0.12</f>
        <v>4020</v>
      </c>
      <c r="AQ72">
        <f>_xlfn.XLOOKUP(B72,'[4]june-2025'!$A:$A,'[4]june-2025'!$D:$D,0,0)</f>
        <v>0</v>
      </c>
      <c r="AR72">
        <f>_xlfn.XLOOKUP(B72,'[4]june-2025'!$A:$A,'[4]june-2025'!$G:$G,0,0)</f>
        <v>500</v>
      </c>
      <c r="AS72">
        <f>IF(AN72&gt;0,SUM(AN72:AR72),0)</f>
        <v>44050</v>
      </c>
      <c r="AT72">
        <f>_xlfn.XLOOKUP(B72,'[4]june-2025'!$A:$A,'[4]june-2025'!$H:$H,0,0)</f>
        <v>2500</v>
      </c>
      <c r="AU72">
        <f>_xlfn.XLOOKUP(B72,'[4]june-2025'!$A:$A,'[4]june-2025'!$I:$I,0,0)</f>
        <v>0</v>
      </c>
      <c r="AV72">
        <f>IF($F72="YES",0,IF(AS72&gt;40000,200,IF(AS72&gt;25000,150,IF(AS72&gt;15000,130,IF(AS72&gt;10000,110,0)))))</f>
        <v>200</v>
      </c>
      <c r="AW72">
        <f>AS72-AT72-AU72-AV72</f>
        <v>41350</v>
      </c>
      <c r="AX72">
        <f>_xlfn.XLOOKUP(B72,'[5]july-2025'!$A:$A,'[5]july-2025'!$C:$C,0,0)</f>
        <v>35500</v>
      </c>
      <c r="AY72">
        <f>AX72*0.18</f>
        <v>6390</v>
      </c>
      <c r="AZ72">
        <v>0</v>
      </c>
      <c r="BA72">
        <f>AX72*0.12</f>
        <v>4260</v>
      </c>
      <c r="BB72">
        <f>_xlfn.XLOOKUP(B72,'[5]july-2025'!$A:$A,'[5]july-2025'!$D:$D,0,0)</f>
        <v>0</v>
      </c>
      <c r="BC72">
        <f>_xlfn.XLOOKUP(B72,'[5]july-2025'!$A:$A,'[5]july-2025'!$G:$G,0,0)</f>
        <v>500</v>
      </c>
      <c r="BD72">
        <f>IF(AX72&gt;0,SUM(AX72:BC72),0)</f>
        <v>46650</v>
      </c>
      <c r="BE72">
        <f>_xlfn.XLOOKUP(B72,'[5]july-2025'!$A:$A,'[5]july-2025'!$H:$H,0,0)</f>
        <v>2500</v>
      </c>
      <c r="BF72">
        <f>_xlfn.XLOOKUP(B72,'[5]july-2025'!$A:$A,'[5]july-2025'!$I:$I,0,0)</f>
        <v>0</v>
      </c>
      <c r="BG72">
        <f>IF($F72="YES",0,IF(BD72&gt;40000,200,IF(BD72&gt;25000,150,IF(BD72&gt;15000,130,IF(BD72&gt;10000,110,0)))))</f>
        <v>200</v>
      </c>
      <c r="BH72">
        <f>BD72-BE72-BF72-BG72</f>
        <v>43950</v>
      </c>
      <c r="BI72">
        <f>_xlfn.XLOOKUP(B72,'[6]august-2025'!$A:$A,'[6]august-2025'!$C:$C,0,0)</f>
        <v>35500</v>
      </c>
      <c r="BJ72">
        <f>BI72*0.18</f>
        <v>6390</v>
      </c>
      <c r="BK72">
        <f>BI72*0.12</f>
        <v>4260</v>
      </c>
      <c r="BL72">
        <f>_xlfn.XLOOKUP(B72,'[6]august-2025'!$A:$A,'[6]august-2025'!$D:$D,0,0)</f>
        <v>0</v>
      </c>
      <c r="BM72">
        <f>_xlfn.XLOOKUP(B72,'[6]august-2025'!$A:$A,'[6]august-2025'!$G:$G,0,0)</f>
        <v>500</v>
      </c>
      <c r="BN72">
        <f>IF(BI72&gt;0,SUM(BI72:BM72),0)</f>
        <v>46650</v>
      </c>
      <c r="BO72">
        <f>_xlfn.XLOOKUP(B72,'[6]august-2025'!$A:$A,'[6]august-2025'!$H:$H,0,0)</f>
        <v>2500</v>
      </c>
      <c r="BP72">
        <f>_xlfn.XLOOKUP(B72,'[6]august-2025'!$A:$A,'[6]august-2025'!$I:$I,0,0)</f>
        <v>0</v>
      </c>
      <c r="BQ72">
        <f>IF($F72="YES",0,IF(BN72&gt;40000,200,IF(BN72&gt;25000,150,IF(BN72&gt;15000,130,IF(BN72&gt;10000,110,0)))))</f>
        <v>200</v>
      </c>
      <c r="BR72">
        <f>BN72-BO72-BP72-BQ72</f>
        <v>43950</v>
      </c>
      <c r="BS72">
        <f>_xlfn.XLOOKUP(B72,'[7]september-2025'!$A:$A,'[7]september-2025'!$C:$C,0,0)</f>
        <v>35500</v>
      </c>
      <c r="BT72">
        <f>BS72*0.18</f>
        <v>6390</v>
      </c>
      <c r="BU72">
        <f>BS72*0.12</f>
        <v>4260</v>
      </c>
      <c r="BV72">
        <f>_xlfn.XLOOKUP(B72,'[7]september-2025'!$A:$A,'[7]september-2025'!$D:$D,0,0)</f>
        <v>0</v>
      </c>
      <c r="BW72">
        <f>_xlfn.XLOOKUP(B72,'[7]september-2025'!$A:$A,'[7]september-2025'!$G:$G,0,0)</f>
        <v>500</v>
      </c>
      <c r="BX72">
        <f>IF(BS72&gt;0,SUM(BS72:BW72),0)</f>
        <v>46650</v>
      </c>
      <c r="BY72">
        <f>_xlfn.XLOOKUP(B72,'[7]september-2025'!$A:$A,'[7]september-2025'!$H:$H,0,0)</f>
        <v>2500</v>
      </c>
      <c r="BZ72">
        <f>_xlfn.XLOOKUP(B72,'[7]september-2025'!$A:$A,'[7]september-2025'!$I:$I,0,0)</f>
        <v>0</v>
      </c>
      <c r="CA72">
        <f>IF($F72="YES",0,IF(BX72&gt;40000,200,IF(BX72&gt;25000,150,IF(BX72&gt;15000,130,IF(BX72&gt;10000,110,0)))))</f>
        <v>200</v>
      </c>
      <c r="CB72">
        <f>BX72-BY72-BZ72-CA72</f>
        <v>43950</v>
      </c>
      <c r="CC72">
        <f>_xlfn.XLOOKUP(B72,'[8]october-2025'!$A:$A,'[8]october-2025'!$C:$C,0,0)</f>
        <v>35500</v>
      </c>
      <c r="CD72">
        <f>CC72*0.18</f>
        <v>6390</v>
      </c>
      <c r="CE72">
        <f>CC72*0.12</f>
        <v>4260</v>
      </c>
      <c r="CF72">
        <f>_xlfn.XLOOKUP(B72,'[8]october-2025'!$A:$A,'[8]october-2025'!$D:$D,0,0)</f>
        <v>0</v>
      </c>
      <c r="CG72">
        <f>_xlfn.XLOOKUP(B72,'[8]october-2025'!$A:$A,'[8]october-2025'!$G:$G,0,0)</f>
        <v>500</v>
      </c>
      <c r="CH72">
        <f>IF(CC72&gt;0,SUM(CC72:CG72),0)</f>
        <v>46650</v>
      </c>
      <c r="CI72">
        <f>_xlfn.XLOOKUP(B72,'[8]october-2025'!$A:$A,'[8]october-2025'!$H:$H,0,0)</f>
        <v>2500</v>
      </c>
      <c r="CJ72">
        <f>_xlfn.XLOOKUP(B72,'[8]october-2025'!$A:$A,'[8]october-2025'!$I:$I,0,0)</f>
        <v>0</v>
      </c>
      <c r="CK72">
        <f>IF($F72="YES",0,IF(CH72&gt;40000,200,IF(CH72&gt;25000,150,IF(CH72&gt;15000,130,IF(CH72&gt;10000,110,0)))))</f>
        <v>200</v>
      </c>
      <c r="CL72">
        <f>CH72-CI72-CJ72-CK72</f>
        <v>43950</v>
      </c>
      <c r="CM72">
        <f>_xlfn.XLOOKUP(B72,'[9]november-2025'!$A:$A,'[9]november-2025'!$C:$C,0,0)</f>
        <v>35500</v>
      </c>
      <c r="CN72">
        <f>CM72*0.18</f>
        <v>6390</v>
      </c>
      <c r="CO72">
        <f>CM72*0.12</f>
        <v>4260</v>
      </c>
      <c r="CP72">
        <f>_xlfn.XLOOKUP(B72,'[9]november-2025'!$A:$A,'[9]november-2025'!$D:$D,0,0)</f>
        <v>0</v>
      </c>
      <c r="CQ72">
        <f>_xlfn.XLOOKUP(B72,'[9]november-2025'!$A:$A,'[9]november-2025'!$G:$G,0,0)</f>
        <v>500</v>
      </c>
      <c r="CR72">
        <f>IF(CM72&gt;0,SUM(CM72:CQ72),0)</f>
        <v>46650</v>
      </c>
      <c r="CS72">
        <f>_xlfn.XLOOKUP(B72,'[9]november-2025'!$A:$A,'[9]november-2025'!$H:$H,0,0)</f>
        <v>2500</v>
      </c>
      <c r="CT72">
        <f>_xlfn.XLOOKUP(B72,'[9]november-2025'!$A:$A,'[9]november-2025'!$I:$I,0,0)</f>
        <v>0</v>
      </c>
      <c r="CU72">
        <f>IF($F72="YES",0,IF(CR72&gt;40000,200,IF(CR72&gt;25000,150,IF(CR72&gt;15000,130,IF(CR72&gt;10000,110,0)))))</f>
        <v>200</v>
      </c>
      <c r="CV72">
        <f>CR72-CS72-CT72-CU72</f>
        <v>43950</v>
      </c>
      <c r="CW72">
        <f>_xlfn.XLOOKUP(B72,'[10]december-2025'!$A:$A,'[10]december-2025'!$C:$C,0,0)</f>
        <v>35500</v>
      </c>
      <c r="CX72">
        <f>ROUND(CW72*0.18,0)</f>
        <v>6390</v>
      </c>
      <c r="CY72">
        <f>ROUND(CW72*0.12,0)</f>
        <v>4260</v>
      </c>
      <c r="CZ72">
        <f>_xlfn.XLOOKUP(B72,'[10]december-2025'!$A:$A,'[10]december-2025'!$D:$D,0,0)</f>
        <v>0</v>
      </c>
      <c r="DA72">
        <f>_xlfn.XLOOKUP(B72,'[10]december-2025'!$A:$A,'[10]december-2025'!$G:$G,0,0)</f>
        <v>500</v>
      </c>
      <c r="DB72">
        <f>IF(CW72&gt;0,SUM(CW72:DA72),0)</f>
        <v>46650</v>
      </c>
      <c r="DC72">
        <f>_xlfn.XLOOKUP(B72,'[10]december-2025'!$A:$A,'[10]december-2025'!$H:$H,0,0)</f>
        <v>2500</v>
      </c>
      <c r="DD72">
        <f>_xlfn.XLOOKUP(B72,'[10]december-2025'!$A:$A,'[10]december-2025'!$I:$I,0,0)</f>
        <v>0</v>
      </c>
      <c r="DE72">
        <f>IF($F72="YES",0,IF(DB72&gt;40000,200,IF(DB72&gt;25000,150,IF(DB72&gt;15000,130,IF(DB72&gt;10000,110,0)))))</f>
        <v>200</v>
      </c>
      <c r="DF72">
        <f>DB72-DC72-DD72-DE72</f>
        <v>43950</v>
      </c>
      <c r="DG72">
        <f>_xlfn.XLOOKUP(B72,'[11]january-2026'!$A:$A,'[11]january-2026'!$C:$C,0,0)</f>
        <v>35500</v>
      </c>
      <c r="DH72">
        <f>DG72*0.18</f>
        <v>6390</v>
      </c>
      <c r="DI72">
        <f>DG72*0.12</f>
        <v>4260</v>
      </c>
      <c r="DJ72">
        <f>_xlfn.XLOOKUP(B72,'[11]january-2026'!$A:$A,'[11]january-2026'!$D:$D,0,0)</f>
        <v>0</v>
      </c>
      <c r="DK72">
        <f>_xlfn.XLOOKUP(B72,'[11]january-2026'!$A:$A,'[11]january-2026'!$G:$G,0,0)</f>
        <v>500</v>
      </c>
      <c r="DL72">
        <f>IF(DG72&gt;0,SUM(DG72:DK72),0)</f>
        <v>46650</v>
      </c>
      <c r="DM72">
        <f>_xlfn.XLOOKUP(B72,'[11]january-2026'!$A:$A,'[11]january-2026'!$H:$H,0,0)</f>
        <v>2500</v>
      </c>
      <c r="DN72">
        <f>_xlfn.XLOOKUP(B72,'[11]january-2026'!$A:$A,'[11]january-2026'!$I:$I,0,0)</f>
        <v>0</v>
      </c>
      <c r="DO72">
        <f>IF($F72="YES",0,IF(DL72&gt;40000,200,IF(DL72&gt;25000,150,IF(DL72&gt;15000,130,IF(DL72&gt;10000,110,0)))))</f>
        <v>200</v>
      </c>
      <c r="DP72">
        <f>DL72-DM72-DN72-DO72</f>
        <v>43950</v>
      </c>
      <c r="DQ72">
        <f>_xlfn.XLOOKUP(B72,'[12]february-2026'!$A:$A,'[12]february-2026'!$C:$C,0,0)</f>
        <v>35500</v>
      </c>
      <c r="DR72">
        <f>DQ72*0.18</f>
        <v>6390</v>
      </c>
      <c r="DS72">
        <f>DQ72*0.12</f>
        <v>4260</v>
      </c>
      <c r="DT72">
        <f>_xlfn.XLOOKUP(B72,'[12]february-2026'!$A:$A,'[12]february-2026'!$D:$D,0,0)</f>
        <v>0</v>
      </c>
      <c r="DU72">
        <f>_xlfn.XLOOKUP(B72,'[12]february-2026'!$A:$A,'[12]february-2026'!$G:$G,0,0)</f>
        <v>500</v>
      </c>
      <c r="DV72">
        <f>IF(DQ72&gt;0,SUM(DQ72:DU72),0)</f>
        <v>46650</v>
      </c>
      <c r="DW72">
        <f>_xlfn.XLOOKUP(B72,'[12]february-2026'!$A:$A,'[12]february-2026'!$H:$H,0,0)</f>
        <v>2500</v>
      </c>
      <c r="DX72">
        <f>_xlfn.XLOOKUP(B72,'[12]february-2026'!$A:$A,'[12]february-2026'!$I:$I,0,0)</f>
        <v>0</v>
      </c>
      <c r="DY72">
        <f>IF($F72="YES",0,IF(DV72&gt;40000,200,IF(DV72&gt;25000,150,IF(DV72&gt;15000,130,IF(DV72&gt;10000,110,0)))))</f>
        <v>200</v>
      </c>
      <c r="DZ72">
        <f>DV72-DW72-DX72-DY72</f>
        <v>43950</v>
      </c>
      <c r="EA72">
        <f>DV72+DL72+DB72+CR72+CH72+BX72+BN72+BD72+AS72+AI72+Y72+O72+H72+I72</f>
        <v>554860</v>
      </c>
      <c r="EB72">
        <f>DY72+DO72+DE72+CU72+CK72+CA72+BQ72+BG72+AV72+AL72+AB72+R72</f>
        <v>2400</v>
      </c>
      <c r="EC72">
        <f>IF(EA72&gt;0,50000,0)</f>
        <v>50000</v>
      </c>
      <c r="ED72">
        <v>0</v>
      </c>
      <c r="EE72">
        <f>EA72-EB72-EC72</f>
        <v>502460</v>
      </c>
      <c r="EF72">
        <f>DW72+DM72+DC72+CS72+CI72+BY72+BO72+BE72+AT72+AJ72+Z72+P72</f>
        <v>30000</v>
      </c>
      <c r="EG72">
        <f>DX72+DN72+DD72+CT72+CJ72+BZ72+BP72+BF72+AU72+AK72+AA72+Q72</f>
        <v>0</v>
      </c>
      <c r="EH72">
        <v>0</v>
      </c>
      <c r="EI72">
        <v>0</v>
      </c>
      <c r="EJ72">
        <v>0</v>
      </c>
      <c r="EK72">
        <v>0</v>
      </c>
      <c r="EL72">
        <v>0</v>
      </c>
      <c r="EM72">
        <v>0</v>
      </c>
      <c r="EN72">
        <v>0</v>
      </c>
      <c r="EO72">
        <v>0</v>
      </c>
      <c r="EP72">
        <v>0</v>
      </c>
      <c r="EQ72">
        <v>0</v>
      </c>
      <c r="ER72">
        <f>SUM(EF72:EQ72)</f>
        <v>30000</v>
      </c>
      <c r="ES72">
        <f>IF(ER72&gt;=150000,150000,ER72)</f>
        <v>30000</v>
      </c>
      <c r="ET72">
        <f>EE72-ES72</f>
        <v>472460</v>
      </c>
      <c r="EU72">
        <v>0</v>
      </c>
      <c r="EV72">
        <v>0</v>
      </c>
      <c r="EW72">
        <v>0</v>
      </c>
      <c r="EX72">
        <v>0</v>
      </c>
      <c r="EY72">
        <v>0</v>
      </c>
      <c r="EZ72">
        <v>0</v>
      </c>
      <c r="FA72">
        <v>0</v>
      </c>
      <c r="FB72">
        <f>SUM(EU72:FA72)+(IF(F72="YES",50000,0))</f>
        <v>0</v>
      </c>
      <c r="FC72">
        <f>ET72-FB72</f>
        <v>472460</v>
      </c>
      <c r="FD72">
        <f>ROUND(IF(FC72&gt;0,IF(FC72&gt;500000,12500,(FC72-250000)*0.05),0),0)</f>
        <v>11123</v>
      </c>
      <c r="FE72">
        <f>IF(ROUND(IF(FC72&gt;0,IF(FC72&gt;1000000,25000,(FC72-500000)*0.2),0),0)&lt;0,0,ROUND(IF(FC72&gt;0,IF(FC72&gt;1000000,25000,(FC72-500000)*0.2),0),0))</f>
        <v>0</v>
      </c>
      <c r="FF72">
        <f>FD72+FE72</f>
        <v>11123</v>
      </c>
      <c r="FG72">
        <f>IF(FF72&lt;12500,0,FF72)</f>
        <v>0</v>
      </c>
      <c r="FH72">
        <f>FG72*0.04</f>
        <v>0</v>
      </c>
      <c r="FI72">
        <f>ROUND(FH72+FG72,0)</f>
        <v>0</v>
      </c>
      <c r="FJ72">
        <v>0</v>
      </c>
      <c r="FK72">
        <f>FI72-FJ72</f>
        <v>0</v>
      </c>
      <c r="FL72" t="b">
        <f>IF(EA72&gt;500000,TRUE,FALSE)</f>
        <v>1</v>
      </c>
      <c r="FM72">
        <f ca="1">IF(FL72,RANDBETWEEN(500,1000),RANDBETWEEN(1000,3000))</f>
        <v>716</v>
      </c>
      <c r="FN72">
        <f ca="1">EA72+FM72</f>
        <v>555576</v>
      </c>
      <c r="FO72">
        <f>IF(EA72&gt;0,75000,0)</f>
        <v>75000</v>
      </c>
      <c r="FP72">
        <f ca="1">FN72-FO72</f>
        <v>480576</v>
      </c>
      <c r="FQ72">
        <f ca="1">IF(FP72&gt;2400000,FP72-2400000,0)</f>
        <v>0</v>
      </c>
      <c r="FR72">
        <f ca="1">FQ72*0.3</f>
        <v>0</v>
      </c>
      <c r="FS72">
        <f ca="1">IF(FP72&gt;2000000,FP72-2000000,0)</f>
        <v>0</v>
      </c>
      <c r="FT72">
        <f ca="1">FS72*0.25</f>
        <v>0</v>
      </c>
      <c r="FU72">
        <f ca="1">IF(FP72&gt;1600000,FP72-1600000-FQ72,0)</f>
        <v>0</v>
      </c>
      <c r="FV72">
        <f ca="1">FU72*0.2</f>
        <v>0</v>
      </c>
      <c r="FW72">
        <f ca="1">IF(FP72&gt;1200000,FP72-1200000-IF(F72="YES",50000,0)-FU72,0)</f>
        <v>0</v>
      </c>
      <c r="FX72">
        <f ca="1">FW72*0.15</f>
        <v>0</v>
      </c>
      <c r="FY72">
        <f ca="1">IF(FP72&gt;800000,FP72-800000-FQ72-FU72-FW72,0)</f>
        <v>0</v>
      </c>
      <c r="FZ72">
        <f ca="1">FY72*0.1</f>
        <v>0</v>
      </c>
      <c r="GA72">
        <f ca="1">IF(FP72&gt;400000,FP72-400000-FQ72-FU72-FW72-FY72,0)</f>
        <v>80576</v>
      </c>
      <c r="GB72">
        <f ca="1">GA72*0.05</f>
        <v>4028.8</v>
      </c>
      <c r="GC72">
        <f ca="1">ROUND(FR72+FT72+FV72+FX72+FZ72+GB72,0)</f>
        <v>4029</v>
      </c>
      <c r="GD72">
        <f ca="1">IF(FP72&gt;1200000,FP72,0)</f>
        <v>0</v>
      </c>
      <c r="GE72">
        <f ca="1">IF(FP72&gt;1200000,GD72-1200000,0)</f>
        <v>0</v>
      </c>
      <c r="GF72">
        <f ca="1">IF(FP72&lt;1200001,MIN(GC72,60000),0)</f>
        <v>4029</v>
      </c>
      <c r="GG72">
        <f ca="1">IF(FP72&gt;1200000,GC72-GE72,0)</f>
        <v>0</v>
      </c>
      <c r="GH72" t="b">
        <f ca="1">IF(GG72&gt;0,TRUE,FALSE)</f>
        <v>0</v>
      </c>
      <c r="GI72">
        <f ca="1">IF(GH72,GG72,0)</f>
        <v>0</v>
      </c>
      <c r="GJ72">
        <f ca="1">GF72+GI72</f>
        <v>4029</v>
      </c>
      <c r="GK72">
        <f ca="1">ROUND(GC72-GJ72,0)</f>
        <v>0</v>
      </c>
      <c r="GL72">
        <f ca="1">GK72*0.04</f>
        <v>0</v>
      </c>
      <c r="GM72">
        <f ca="1">ROUNDUP(GK72+GL72,0)</f>
        <v>0</v>
      </c>
    </row>
    <row r="73" spans="1:195" x14ac:dyDescent="0.25">
      <c r="A73">
        <f>_xlfn.AGGREGATE(3,5,$B$2:B73)</f>
        <v>72</v>
      </c>
      <c r="B73" t="s">
        <v>264</v>
      </c>
      <c r="C73" t="s">
        <v>265</v>
      </c>
      <c r="D73" t="s">
        <v>771</v>
      </c>
      <c r="E73" t="s">
        <v>834</v>
      </c>
      <c r="F73" t="s">
        <v>959</v>
      </c>
      <c r="G73" t="s">
        <v>901</v>
      </c>
      <c r="H73">
        <f>IF(_xlfn.DAYS("31-03-2025",G73)&gt;=180,6800,0)</f>
        <v>6800</v>
      </c>
      <c r="I73">
        <f>_xlfn.XLOOKUP(B73,'[1]march-2025'!$A:$A,'[1]march-2025'!$J:$J,0,0)</f>
        <v>0</v>
      </c>
      <c r="J73">
        <f>_xlfn.XLOOKUP(B73,'[1]march-2025'!$A:$A,'[1]march-2025'!$C:$C,0,0)</f>
        <v>48700</v>
      </c>
      <c r="K73">
        <f>J73*0.14</f>
        <v>6818.0000000000009</v>
      </c>
      <c r="L73">
        <f>J73*0.12</f>
        <v>5844</v>
      </c>
      <c r="M73">
        <f>_xlfn.XLOOKUP(B73,'[1]march-2025'!$A:$A,'[1]march-2025'!$D:$D,0,0)</f>
        <v>400</v>
      </c>
      <c r="N73">
        <f>_xlfn.XLOOKUP(B73,'[1]march-2025'!$A:$A,'[1]march-2025'!$G:$G,0,0)</f>
        <v>500</v>
      </c>
      <c r="O73">
        <f>IF(J73&gt;0,SUM(J73:N73),0)</f>
        <v>62262</v>
      </c>
      <c r="P73">
        <f>_xlfn.XLOOKUP(B73,'[1]march-2025'!$A:$A,'[1]march-2025'!$H:$H,0,0)</f>
        <v>6000</v>
      </c>
      <c r="Q73">
        <f>_xlfn.XLOOKUP(B73,'[1]march-2025'!$A:$A,'[1]march-2025'!$I:$I,0,0)</f>
        <v>0</v>
      </c>
      <c r="R73">
        <f>IF($F73="YES",0,IF(O73&gt;40000,200,IF(O73&gt;25000,150,IF(O73&gt;15000,130,IF(O73&gt;10000,110,0)))))</f>
        <v>200</v>
      </c>
      <c r="S73">
        <f>O73-P73-Q73-R73</f>
        <v>56062</v>
      </c>
      <c r="T73">
        <f>_xlfn.XLOOKUP(B73,'[2]april-2025'!$A:$A,'[2]april-2025'!$C:$C,0,0)</f>
        <v>48700</v>
      </c>
      <c r="U73">
        <f>T73*0.18</f>
        <v>8766</v>
      </c>
      <c r="V73">
        <f>T73*0.12</f>
        <v>5844</v>
      </c>
      <c r="W73">
        <f>_xlfn.XLOOKUP(B73,'[2]april-2025'!$A:$A,'[2]april-2025'!$D:$D,0,0)</f>
        <v>400</v>
      </c>
      <c r="X73">
        <f>_xlfn.XLOOKUP(B73,'[2]april-2025'!$A:$A,'[2]april-2025'!$G:$G,0,0)</f>
        <v>500</v>
      </c>
      <c r="Y73">
        <f>IF(T73&gt;0,SUM(T73:X73),0)</f>
        <v>64210</v>
      </c>
      <c r="Z73">
        <f>_xlfn.XLOOKUP(B73,'[2]april-2025'!$A:$A,'[2]april-2025'!$H:$H,0,0)</f>
        <v>6000</v>
      </c>
      <c r="AA73">
        <f>_xlfn.XLOOKUP(B73,'[2]april-2025'!$A:$A,'[2]april-2025'!$I:$I,0,0)</f>
        <v>0</v>
      </c>
      <c r="AB73">
        <f>IF($F73="YES",0,IF(Y73&gt;40000,200,IF(Y73&gt;25000,150,IF(Y73&gt;15000,130,IF(Y73&gt;10000,110,0)))))</f>
        <v>200</v>
      </c>
      <c r="AC73">
        <f>Y73-Z73-AA73-AB73</f>
        <v>58010</v>
      </c>
      <c r="AD73">
        <f>_xlfn.XLOOKUP(B73,'[3]may-2025'!$A:$A,'[3]may-2025'!$C:$C,0,0)</f>
        <v>48700</v>
      </c>
      <c r="AE73">
        <f>AD73*0.18</f>
        <v>8766</v>
      </c>
      <c r="AF73">
        <f>AD73*0.12</f>
        <v>5844</v>
      </c>
      <c r="AG73">
        <f>_xlfn.XLOOKUP(B73,'[3]may-2025'!$A:$A,'[3]may-2025'!$D:$D,0,0)</f>
        <v>400</v>
      </c>
      <c r="AH73">
        <f>_xlfn.XLOOKUP(B73,'[3]may-2025'!$A:$A,'[3]may-2025'!$G:$G,0,0)</f>
        <v>500</v>
      </c>
      <c r="AI73">
        <f>IF(AD73&gt;0,SUM(AD73:AH73),0)</f>
        <v>64210</v>
      </c>
      <c r="AJ73">
        <f>_xlfn.XLOOKUP(B73,'[3]may-2025'!$A:$A,'[3]may-2025'!$H:$H,0,0)</f>
        <v>6000</v>
      </c>
      <c r="AK73">
        <f>_xlfn.XLOOKUP(B73,'[3]may-2025'!$A:$A,'[3]may-2025'!$I:$I,0,0)</f>
        <v>0</v>
      </c>
      <c r="AL73">
        <f>IF($F73="YES",0,IF(AI73&gt;40000,200,IF(AI73&gt;25000,150,IF(AI73&gt;15000,130,IF(AI73&gt;10000,110,0)))))</f>
        <v>200</v>
      </c>
      <c r="AM73">
        <f>AI73-AJ73-AK73-AL73</f>
        <v>58010</v>
      </c>
      <c r="AN73">
        <f>_xlfn.XLOOKUP(B73,'[4]june-2025'!$A:$A,'[4]june-2025'!$C:$C,0,0)</f>
        <v>48700</v>
      </c>
      <c r="AO73">
        <f>AN73*0.18</f>
        <v>8766</v>
      </c>
      <c r="AP73">
        <f>AN73*0.12</f>
        <v>5844</v>
      </c>
      <c r="AQ73">
        <f>_xlfn.XLOOKUP(B73,'[4]june-2025'!$A:$A,'[4]june-2025'!$D:$D,0,0)</f>
        <v>400</v>
      </c>
      <c r="AR73">
        <f>_xlfn.XLOOKUP(B73,'[4]june-2025'!$A:$A,'[4]june-2025'!$G:$G,0,0)</f>
        <v>500</v>
      </c>
      <c r="AS73">
        <f>IF(AN73&gt;0,SUM(AN73:AR73),0)</f>
        <v>64210</v>
      </c>
      <c r="AT73">
        <f>_xlfn.XLOOKUP(B73,'[4]june-2025'!$A:$A,'[4]june-2025'!$H:$H,0,0)</f>
        <v>6000</v>
      </c>
      <c r="AU73">
        <f>_xlfn.XLOOKUP(B73,'[4]june-2025'!$A:$A,'[4]june-2025'!$I:$I,0,0)</f>
        <v>0</v>
      </c>
      <c r="AV73">
        <f>IF($F73="YES",0,IF(AS73&gt;40000,200,IF(AS73&gt;25000,150,IF(AS73&gt;15000,130,IF(AS73&gt;10000,110,0)))))</f>
        <v>200</v>
      </c>
      <c r="AW73">
        <f>AS73-AT73-AU73-AV73</f>
        <v>58010</v>
      </c>
      <c r="AX73">
        <f>_xlfn.XLOOKUP(B73,'[5]july-2025'!$A:$A,'[5]july-2025'!$C:$C,0,0)</f>
        <v>51700</v>
      </c>
      <c r="AY73">
        <f>AX73*0.18</f>
        <v>9306</v>
      </c>
      <c r="AZ73">
        <v>0</v>
      </c>
      <c r="BA73">
        <f>AX73*0.12</f>
        <v>6204</v>
      </c>
      <c r="BB73">
        <f>_xlfn.XLOOKUP(B73,'[5]july-2025'!$A:$A,'[5]july-2025'!$D:$D,0,0)</f>
        <v>400</v>
      </c>
      <c r="BC73">
        <f>_xlfn.XLOOKUP(B73,'[5]july-2025'!$A:$A,'[5]july-2025'!$G:$G,0,0)</f>
        <v>500</v>
      </c>
      <c r="BD73">
        <f>IF(AX73&gt;0,SUM(AX73:BC73),0)</f>
        <v>68110</v>
      </c>
      <c r="BE73">
        <f>_xlfn.XLOOKUP(B73,'[5]july-2025'!$A:$A,'[5]july-2025'!$H:$H,0,0)</f>
        <v>6000</v>
      </c>
      <c r="BF73">
        <f>_xlfn.XLOOKUP(B73,'[5]july-2025'!$A:$A,'[5]july-2025'!$I:$I,0,0)</f>
        <v>0</v>
      </c>
      <c r="BG73">
        <f>IF($F73="YES",0,IF(BD73&gt;40000,200,IF(BD73&gt;25000,150,IF(BD73&gt;15000,130,IF(BD73&gt;10000,110,0)))))</f>
        <v>200</v>
      </c>
      <c r="BH73">
        <f>BD73-BE73-BF73-BG73</f>
        <v>61910</v>
      </c>
      <c r="BI73">
        <f>_xlfn.XLOOKUP(B73,'[6]august-2025'!$A:$A,'[6]august-2025'!$C:$C,0,0)</f>
        <v>51700</v>
      </c>
      <c r="BJ73">
        <f>BI73*0.18</f>
        <v>9306</v>
      </c>
      <c r="BK73">
        <f>BI73*0.12</f>
        <v>6204</v>
      </c>
      <c r="BL73">
        <f>_xlfn.XLOOKUP(B73,'[6]august-2025'!$A:$A,'[6]august-2025'!$D:$D,0,0)</f>
        <v>400</v>
      </c>
      <c r="BM73">
        <f>_xlfn.XLOOKUP(B73,'[6]august-2025'!$A:$A,'[6]august-2025'!$G:$G,0,0)</f>
        <v>500</v>
      </c>
      <c r="BN73">
        <f>IF(BI73&gt;0,SUM(BI73:BM73),0)</f>
        <v>68110</v>
      </c>
      <c r="BO73">
        <f>_xlfn.XLOOKUP(B73,'[6]august-2025'!$A:$A,'[6]august-2025'!$H:$H,0,0)</f>
        <v>6000</v>
      </c>
      <c r="BP73">
        <f>_xlfn.XLOOKUP(B73,'[6]august-2025'!$A:$A,'[6]august-2025'!$I:$I,0,0)</f>
        <v>0</v>
      </c>
      <c r="BQ73">
        <f>IF($F73="YES",0,IF(BN73&gt;40000,200,IF(BN73&gt;25000,150,IF(BN73&gt;15000,130,IF(BN73&gt;10000,110,0)))))</f>
        <v>200</v>
      </c>
      <c r="BR73">
        <f>BN73-BO73-BP73-BQ73</f>
        <v>61910</v>
      </c>
      <c r="BS73">
        <f>_xlfn.XLOOKUP(B73,'[7]september-2025'!$A:$A,'[7]september-2025'!$C:$C,0,0)</f>
        <v>51700</v>
      </c>
      <c r="BT73">
        <f>BS73*0.18</f>
        <v>9306</v>
      </c>
      <c r="BU73">
        <f>BS73*0.12</f>
        <v>6204</v>
      </c>
      <c r="BV73">
        <f>_xlfn.XLOOKUP(B73,'[7]september-2025'!$A:$A,'[7]september-2025'!$D:$D,0,0)</f>
        <v>400</v>
      </c>
      <c r="BW73">
        <f>_xlfn.XLOOKUP(B73,'[7]september-2025'!$A:$A,'[7]september-2025'!$G:$G,0,0)</f>
        <v>500</v>
      </c>
      <c r="BX73">
        <f>IF(BS73&gt;0,SUM(BS73:BW73),0)</f>
        <v>68110</v>
      </c>
      <c r="BY73">
        <f>_xlfn.XLOOKUP(B73,'[7]september-2025'!$A:$A,'[7]september-2025'!$H:$H,0,0)</f>
        <v>6000</v>
      </c>
      <c r="BZ73">
        <f>_xlfn.XLOOKUP(B73,'[7]september-2025'!$A:$A,'[7]september-2025'!$I:$I,0,0)</f>
        <v>0</v>
      </c>
      <c r="CA73">
        <f>IF($F73="YES",0,IF(BX73&gt;40000,200,IF(BX73&gt;25000,150,IF(BX73&gt;15000,130,IF(BX73&gt;10000,110,0)))))</f>
        <v>200</v>
      </c>
      <c r="CB73">
        <f>BX73-BY73-BZ73-CA73</f>
        <v>61910</v>
      </c>
      <c r="CC73">
        <f>_xlfn.XLOOKUP(B73,'[8]october-2025'!$A:$A,'[8]october-2025'!$C:$C,0,0)</f>
        <v>51700</v>
      </c>
      <c r="CD73">
        <f>CC73*0.18</f>
        <v>9306</v>
      </c>
      <c r="CE73">
        <f>CC73*0.12</f>
        <v>6204</v>
      </c>
      <c r="CF73">
        <f>_xlfn.XLOOKUP(B73,'[8]october-2025'!$A:$A,'[8]october-2025'!$D:$D,0,0)</f>
        <v>400</v>
      </c>
      <c r="CG73">
        <f>_xlfn.XLOOKUP(B73,'[8]october-2025'!$A:$A,'[8]october-2025'!$G:$G,0,0)</f>
        <v>500</v>
      </c>
      <c r="CH73">
        <f>IF(CC73&gt;0,SUM(CC73:CG73),0)</f>
        <v>68110</v>
      </c>
      <c r="CI73">
        <f>_xlfn.XLOOKUP(B73,'[8]october-2025'!$A:$A,'[8]october-2025'!$H:$H,0,0)</f>
        <v>6000</v>
      </c>
      <c r="CJ73">
        <f>_xlfn.XLOOKUP(B73,'[8]october-2025'!$A:$A,'[8]october-2025'!$I:$I,0,0)</f>
        <v>0</v>
      </c>
      <c r="CK73">
        <f>IF($F73="YES",0,IF(CH73&gt;40000,200,IF(CH73&gt;25000,150,IF(CH73&gt;15000,130,IF(CH73&gt;10000,110,0)))))</f>
        <v>200</v>
      </c>
      <c r="CL73">
        <f>CH73-CI73-CJ73-CK73</f>
        <v>61910</v>
      </c>
      <c r="CM73">
        <f>_xlfn.XLOOKUP(B73,'[9]november-2025'!$A:$A,'[9]november-2025'!$C:$C,0,0)</f>
        <v>51700</v>
      </c>
      <c r="CN73">
        <f>CM73*0.18</f>
        <v>9306</v>
      </c>
      <c r="CO73">
        <f>CM73*0.12</f>
        <v>6204</v>
      </c>
      <c r="CP73">
        <f>_xlfn.XLOOKUP(B73,'[9]november-2025'!$A:$A,'[9]november-2025'!$D:$D,0,0)</f>
        <v>400</v>
      </c>
      <c r="CQ73">
        <f>_xlfn.XLOOKUP(B73,'[9]november-2025'!$A:$A,'[9]november-2025'!$G:$G,0,0)</f>
        <v>500</v>
      </c>
      <c r="CR73">
        <f>IF(CM73&gt;0,SUM(CM73:CQ73),0)</f>
        <v>68110</v>
      </c>
      <c r="CS73">
        <f>_xlfn.XLOOKUP(B73,'[9]november-2025'!$A:$A,'[9]november-2025'!$H:$H,0,0)</f>
        <v>6000</v>
      </c>
      <c r="CT73">
        <f>_xlfn.XLOOKUP(B73,'[9]november-2025'!$A:$A,'[9]november-2025'!$I:$I,0,0)</f>
        <v>0</v>
      </c>
      <c r="CU73">
        <f>IF($F73="YES",0,IF(CR73&gt;40000,200,IF(CR73&gt;25000,150,IF(CR73&gt;15000,130,IF(CR73&gt;10000,110,0)))))</f>
        <v>200</v>
      </c>
      <c r="CV73">
        <f>CR73-CS73-CT73-CU73</f>
        <v>61910</v>
      </c>
      <c r="CW73">
        <f>_xlfn.XLOOKUP(B73,'[10]december-2025'!$A:$A,'[10]december-2025'!$C:$C,0,0)</f>
        <v>51700</v>
      </c>
      <c r="CX73">
        <f>ROUND(CW73*0.18,0)</f>
        <v>9306</v>
      </c>
      <c r="CY73">
        <f>ROUND(CW73*0.12,0)</f>
        <v>6204</v>
      </c>
      <c r="CZ73">
        <f>_xlfn.XLOOKUP(B73,'[10]december-2025'!$A:$A,'[10]december-2025'!$D:$D,0,0)</f>
        <v>400</v>
      </c>
      <c r="DA73">
        <f>_xlfn.XLOOKUP(B73,'[10]december-2025'!$A:$A,'[10]december-2025'!$G:$G,0,0)</f>
        <v>500</v>
      </c>
      <c r="DB73">
        <f>IF(CW73&gt;0,SUM(CW73:DA73),0)</f>
        <v>68110</v>
      </c>
      <c r="DC73">
        <f>_xlfn.XLOOKUP(B73,'[10]december-2025'!$A:$A,'[10]december-2025'!$H:$H,0,0)</f>
        <v>6000</v>
      </c>
      <c r="DD73">
        <f>_xlfn.XLOOKUP(B73,'[10]december-2025'!$A:$A,'[10]december-2025'!$I:$I,0,0)</f>
        <v>0</v>
      </c>
      <c r="DE73">
        <f>IF($F73="YES",0,IF(DB73&gt;40000,200,IF(DB73&gt;25000,150,IF(DB73&gt;15000,130,IF(DB73&gt;10000,110,0)))))</f>
        <v>200</v>
      </c>
      <c r="DF73">
        <f>DB73-DC73-DD73-DE73</f>
        <v>61910</v>
      </c>
      <c r="DG73">
        <f>_xlfn.XLOOKUP(B73,'[11]january-2026'!$A:$A,'[11]january-2026'!$C:$C,0,0)</f>
        <v>51700</v>
      </c>
      <c r="DH73">
        <f>DG73*0.18</f>
        <v>9306</v>
      </c>
      <c r="DI73">
        <f>DG73*0.12</f>
        <v>6204</v>
      </c>
      <c r="DJ73">
        <f>_xlfn.XLOOKUP(B73,'[11]january-2026'!$A:$A,'[11]january-2026'!$D:$D,0,0)</f>
        <v>400</v>
      </c>
      <c r="DK73">
        <f>_xlfn.XLOOKUP(B73,'[11]january-2026'!$A:$A,'[11]january-2026'!$G:$G,0,0)</f>
        <v>500</v>
      </c>
      <c r="DL73">
        <f>IF(DG73&gt;0,SUM(DG73:DK73),0)</f>
        <v>68110</v>
      </c>
      <c r="DM73">
        <f>_xlfn.XLOOKUP(B73,'[11]january-2026'!$A:$A,'[11]january-2026'!$H:$H,0,0)</f>
        <v>6000</v>
      </c>
      <c r="DN73">
        <f>_xlfn.XLOOKUP(B73,'[11]january-2026'!$A:$A,'[11]january-2026'!$I:$I,0,0)</f>
        <v>0</v>
      </c>
      <c r="DO73">
        <f>IF($F73="YES",0,IF(DL73&gt;40000,200,IF(DL73&gt;25000,150,IF(DL73&gt;15000,130,IF(DL73&gt;10000,110,0)))))</f>
        <v>200</v>
      </c>
      <c r="DP73">
        <f>DL73-DM73-DN73-DO73</f>
        <v>61910</v>
      </c>
      <c r="DQ73">
        <f>_xlfn.XLOOKUP(B73,'[12]february-2026'!$A:$A,'[12]february-2026'!$C:$C,0,0)</f>
        <v>51700</v>
      </c>
      <c r="DR73">
        <f>DQ73*0.18</f>
        <v>9306</v>
      </c>
      <c r="DS73">
        <f>DQ73*0.12</f>
        <v>6204</v>
      </c>
      <c r="DT73">
        <f>_xlfn.XLOOKUP(B73,'[12]february-2026'!$A:$A,'[12]february-2026'!$D:$D,0,0)</f>
        <v>400</v>
      </c>
      <c r="DU73">
        <f>_xlfn.XLOOKUP(B73,'[12]february-2026'!$A:$A,'[12]february-2026'!$G:$G,0,0)</f>
        <v>500</v>
      </c>
      <c r="DV73">
        <f>IF(DQ73&gt;0,SUM(DQ73:DU73),0)</f>
        <v>68110</v>
      </c>
      <c r="DW73">
        <f>_xlfn.XLOOKUP(B73,'[12]february-2026'!$A:$A,'[12]february-2026'!$H:$H,0,0)</f>
        <v>6000</v>
      </c>
      <c r="DX73">
        <f>_xlfn.XLOOKUP(B73,'[12]february-2026'!$A:$A,'[12]february-2026'!$I:$I,0,0)</f>
        <v>0</v>
      </c>
      <c r="DY73">
        <f>IF($F73="YES",0,IF(DV73&gt;40000,200,IF(DV73&gt;25000,150,IF(DV73&gt;15000,130,IF(DV73&gt;10000,110,0)))))</f>
        <v>200</v>
      </c>
      <c r="DZ73">
        <f>DV73-DW73-DX73-DY73</f>
        <v>61910</v>
      </c>
      <c r="EA73">
        <f>DV73+DL73+DB73+CR73+CH73+BX73+BN73+BD73+AS73+AI73+Y73+O73+H73+I73</f>
        <v>806572</v>
      </c>
      <c r="EB73">
        <f>DY73+DO73+DE73+CU73+CK73+CA73+BQ73+BG73+AV73+AL73+AB73+R73</f>
        <v>2400</v>
      </c>
      <c r="EC73">
        <f>IF(EA73&gt;0,50000,0)</f>
        <v>50000</v>
      </c>
      <c r="ED73">
        <v>0</v>
      </c>
      <c r="EE73">
        <f>EA73-EB73-EC73</f>
        <v>754172</v>
      </c>
      <c r="EF73">
        <f>DW73+DM73+DC73+CS73+CI73+BY73+BO73+BE73+AT73+AJ73+Z73+P73</f>
        <v>72000</v>
      </c>
      <c r="EG73">
        <f>DX73+DN73+DD73+CT73+CJ73+BZ73+BP73+BF73+AU73+AK73+AA73+Q73</f>
        <v>0</v>
      </c>
      <c r="EH73">
        <v>0</v>
      </c>
      <c r="EI73">
        <v>0</v>
      </c>
      <c r="EJ73">
        <v>0</v>
      </c>
      <c r="EK73">
        <v>0</v>
      </c>
      <c r="EL73">
        <v>0</v>
      </c>
      <c r="EM73">
        <v>0</v>
      </c>
      <c r="EN73">
        <v>0</v>
      </c>
      <c r="EO73">
        <v>0</v>
      </c>
      <c r="EP73">
        <v>0</v>
      </c>
      <c r="EQ73">
        <v>0</v>
      </c>
      <c r="ER73">
        <f>SUM(EF73:EQ73)</f>
        <v>72000</v>
      </c>
      <c r="ES73">
        <f>IF(ER73&gt;=150000,150000,ER73)</f>
        <v>72000</v>
      </c>
      <c r="ET73">
        <f>EE73-ES73</f>
        <v>682172</v>
      </c>
      <c r="EU73">
        <v>0</v>
      </c>
      <c r="EV73">
        <v>0</v>
      </c>
      <c r="EW73">
        <v>0</v>
      </c>
      <c r="EX73">
        <v>0</v>
      </c>
      <c r="EY73">
        <v>0</v>
      </c>
      <c r="EZ73">
        <v>0</v>
      </c>
      <c r="FA73">
        <v>0</v>
      </c>
      <c r="FB73">
        <f>SUM(EU73:FA73)+(IF(F73="YES",50000,0))</f>
        <v>0</v>
      </c>
      <c r="FC73">
        <f>ET73-FB73</f>
        <v>682172</v>
      </c>
      <c r="FD73">
        <f>ROUND(IF(FC73&gt;0,IF(FC73&gt;500000,12500,(FC73-250000)*0.05),0),0)</f>
        <v>12500</v>
      </c>
      <c r="FE73">
        <f>IF(ROUND(IF(FC73&gt;0,IF(FC73&gt;1000000,25000,(FC73-500000)*0.2),0),0)&lt;0,0,ROUND(IF(FC73&gt;0,IF(FC73&gt;1000000,25000,(FC73-500000)*0.2),0),0))</f>
        <v>36434</v>
      </c>
      <c r="FF73">
        <f>FD73+FE73</f>
        <v>48934</v>
      </c>
      <c r="FG73">
        <f>IF(FF73&lt;12500,0,FF73)</f>
        <v>48934</v>
      </c>
      <c r="FH73">
        <f>FG73*0.04</f>
        <v>1957.3600000000001</v>
      </c>
      <c r="FI73">
        <f>ROUND(FH73+FG73,0)</f>
        <v>50891</v>
      </c>
      <c r="FJ73">
        <v>0</v>
      </c>
      <c r="FK73">
        <f>FI73-FJ73</f>
        <v>50891</v>
      </c>
      <c r="FL73" t="b">
        <f>IF(EA73&gt;500000,TRUE,FALSE)</f>
        <v>1</v>
      </c>
      <c r="FM73">
        <f ca="1">IF(FL73,RANDBETWEEN(500,1000),RANDBETWEEN(1000,3000))</f>
        <v>569</v>
      </c>
      <c r="FN73">
        <f ca="1">EA73+FM73</f>
        <v>807141</v>
      </c>
      <c r="FO73">
        <f>IF(EA73&gt;0,75000,0)</f>
        <v>75000</v>
      </c>
      <c r="FP73">
        <f ca="1">FN73-FO73</f>
        <v>732141</v>
      </c>
      <c r="FQ73">
        <f ca="1">IF(FP73&gt;2400000,FP73-2400000,0)</f>
        <v>0</v>
      </c>
      <c r="FR73">
        <f ca="1">FQ73*0.3</f>
        <v>0</v>
      </c>
      <c r="FS73">
        <f ca="1">IF(FP73&gt;2000000,FP73-2000000,0)</f>
        <v>0</v>
      </c>
      <c r="FT73">
        <f ca="1">FS73*0.25</f>
        <v>0</v>
      </c>
      <c r="FU73">
        <f ca="1">IF(FP73&gt;1600000,FP73-1600000-FQ73,0)</f>
        <v>0</v>
      </c>
      <c r="FV73">
        <f ca="1">FU73*0.2</f>
        <v>0</v>
      </c>
      <c r="FW73">
        <f ca="1">IF(FP73&gt;1200000,FP73-1200000-IF(F73="YES",50000,0)-FU73,0)</f>
        <v>0</v>
      </c>
      <c r="FX73">
        <f ca="1">FW73*0.15</f>
        <v>0</v>
      </c>
      <c r="FY73">
        <f ca="1">IF(FP73&gt;800000,FP73-800000-FQ73-FU73-FW73,0)</f>
        <v>0</v>
      </c>
      <c r="FZ73">
        <f ca="1">FY73*0.1</f>
        <v>0</v>
      </c>
      <c r="GA73">
        <f ca="1">IF(FP73&gt;400000,FP73-400000-FQ73-FU73-FW73-FY73,0)</f>
        <v>332141</v>
      </c>
      <c r="GB73">
        <f ca="1">GA73*0.05</f>
        <v>16607.05</v>
      </c>
      <c r="GC73">
        <f ca="1">ROUND(FR73+FT73+FV73+FX73+FZ73+GB73,0)</f>
        <v>16607</v>
      </c>
      <c r="GD73">
        <f ca="1">IF(FP73&gt;1200000,FP73,0)</f>
        <v>0</v>
      </c>
      <c r="GE73">
        <f ca="1">IF(FP73&gt;1200000,GD73-1200000,0)</f>
        <v>0</v>
      </c>
      <c r="GF73">
        <f ca="1">IF(FP73&lt;1200001,MIN(GC73,60000),0)</f>
        <v>16607</v>
      </c>
      <c r="GG73">
        <f ca="1">IF(FP73&gt;1200000,GC73-GE73,0)</f>
        <v>0</v>
      </c>
      <c r="GH73" t="b">
        <f ca="1">IF(GG73&gt;0,TRUE,FALSE)</f>
        <v>0</v>
      </c>
      <c r="GI73">
        <f ca="1">IF(GH73,GG73,0)</f>
        <v>0</v>
      </c>
      <c r="GJ73">
        <f ca="1">GF73+GI73</f>
        <v>16607</v>
      </c>
      <c r="GK73">
        <f ca="1">ROUND(GC73-GJ73,0)</f>
        <v>0</v>
      </c>
      <c r="GL73">
        <f ca="1">GK73*0.04</f>
        <v>0</v>
      </c>
      <c r="GM73">
        <f ca="1">ROUNDUP(GK73+GL73,0)</f>
        <v>0</v>
      </c>
    </row>
    <row r="74" spans="1:195" x14ac:dyDescent="0.25">
      <c r="A74">
        <f>_xlfn.AGGREGATE(3,5,$B$2:B74)</f>
        <v>73</v>
      </c>
      <c r="B74" t="s">
        <v>266</v>
      </c>
      <c r="C74" t="s">
        <v>267</v>
      </c>
      <c r="D74" t="s">
        <v>771</v>
      </c>
      <c r="E74" t="s">
        <v>833</v>
      </c>
      <c r="F74" t="s">
        <v>959</v>
      </c>
      <c r="G74" t="s">
        <v>910</v>
      </c>
      <c r="H74">
        <f>IF(_xlfn.DAYS("31-03-2025",G74)&gt;=180,6800,0)</f>
        <v>6800</v>
      </c>
      <c r="I74">
        <f>_xlfn.XLOOKUP(B74,'[1]march-2025'!$A:$A,'[1]march-2025'!$J:$J,0,0)</f>
        <v>0</v>
      </c>
      <c r="J74">
        <f>_xlfn.XLOOKUP(B74,'[1]march-2025'!$A:$A,'[1]march-2025'!$C:$C,0,0)</f>
        <v>47300</v>
      </c>
      <c r="K74">
        <f>J74*0.14</f>
        <v>6622.0000000000009</v>
      </c>
      <c r="L74">
        <f>J74*0.12</f>
        <v>5676</v>
      </c>
      <c r="M74">
        <f>_xlfn.XLOOKUP(B74,'[1]march-2025'!$A:$A,'[1]march-2025'!$D:$D,0,0)</f>
        <v>0</v>
      </c>
      <c r="N74">
        <f>_xlfn.XLOOKUP(B74,'[1]march-2025'!$A:$A,'[1]march-2025'!$G:$G,0,0)</f>
        <v>0</v>
      </c>
      <c r="O74">
        <f>IF(J74&gt;0,SUM(J74:N74),0)</f>
        <v>59598</v>
      </c>
      <c r="P74">
        <f>_xlfn.XLOOKUP(B74,'[1]march-2025'!$A:$A,'[1]march-2025'!$H:$H,0,0)</f>
        <v>3000</v>
      </c>
      <c r="Q74">
        <f>_xlfn.XLOOKUP(B74,'[1]march-2025'!$A:$A,'[1]march-2025'!$I:$I,0,0)</f>
        <v>0</v>
      </c>
      <c r="R74">
        <f>IF($F74="YES",0,IF(O74&gt;40000,200,IF(O74&gt;25000,150,IF(O74&gt;15000,130,IF(O74&gt;10000,110,0)))))</f>
        <v>200</v>
      </c>
      <c r="S74">
        <f>O74-P74-Q74-R74</f>
        <v>56398</v>
      </c>
      <c r="T74">
        <f>_xlfn.XLOOKUP(B74,'[2]april-2025'!$A:$A,'[2]april-2025'!$C:$C,0,0)</f>
        <v>47300</v>
      </c>
      <c r="U74">
        <f>T74*0.18</f>
        <v>8514</v>
      </c>
      <c r="V74">
        <f>T74*0.12</f>
        <v>5676</v>
      </c>
      <c r="W74">
        <f>_xlfn.XLOOKUP(B74,'[2]april-2025'!$A:$A,'[2]april-2025'!$D:$D,0,0)</f>
        <v>0</v>
      </c>
      <c r="X74">
        <f>_xlfn.XLOOKUP(B74,'[2]april-2025'!$A:$A,'[2]april-2025'!$G:$G,0,0)</f>
        <v>0</v>
      </c>
      <c r="Y74">
        <f>IF(T74&gt;0,SUM(T74:X74),0)</f>
        <v>61490</v>
      </c>
      <c r="Z74">
        <f>_xlfn.XLOOKUP(B74,'[2]april-2025'!$A:$A,'[2]april-2025'!$H:$H,0,0)</f>
        <v>3000</v>
      </c>
      <c r="AA74">
        <f>_xlfn.XLOOKUP(B74,'[2]april-2025'!$A:$A,'[2]april-2025'!$I:$I,0,0)</f>
        <v>0</v>
      </c>
      <c r="AB74">
        <f>IF($F74="YES",0,IF(Y74&gt;40000,200,IF(Y74&gt;25000,150,IF(Y74&gt;15000,130,IF(Y74&gt;10000,110,0)))))</f>
        <v>200</v>
      </c>
      <c r="AC74">
        <f>Y74-Z74-AA74-AB74</f>
        <v>58290</v>
      </c>
      <c r="AD74">
        <f>_xlfn.XLOOKUP(B74,'[3]may-2025'!$A:$A,'[3]may-2025'!$C:$C,0,0)</f>
        <v>47300</v>
      </c>
      <c r="AE74">
        <f>AD74*0.18</f>
        <v>8514</v>
      </c>
      <c r="AF74">
        <f>AD74*0.12</f>
        <v>5676</v>
      </c>
      <c r="AG74">
        <f>_xlfn.XLOOKUP(B74,'[3]may-2025'!$A:$A,'[3]may-2025'!$D:$D,0,0)</f>
        <v>0</v>
      </c>
      <c r="AH74">
        <f>_xlfn.XLOOKUP(B74,'[3]may-2025'!$A:$A,'[3]may-2025'!$G:$G,0,0)</f>
        <v>0</v>
      </c>
      <c r="AI74">
        <f>IF(AD74&gt;0,SUM(AD74:AH74),0)</f>
        <v>61490</v>
      </c>
      <c r="AJ74">
        <f>_xlfn.XLOOKUP(B74,'[3]may-2025'!$A:$A,'[3]may-2025'!$H:$H,0,0)</f>
        <v>3000</v>
      </c>
      <c r="AK74">
        <f>_xlfn.XLOOKUP(B74,'[3]may-2025'!$A:$A,'[3]may-2025'!$I:$I,0,0)</f>
        <v>0</v>
      </c>
      <c r="AL74">
        <f>IF($F74="YES",0,IF(AI74&gt;40000,200,IF(AI74&gt;25000,150,IF(AI74&gt;15000,130,IF(AI74&gt;10000,110,0)))))</f>
        <v>200</v>
      </c>
      <c r="AM74">
        <f>AI74-AJ74-AK74-AL74</f>
        <v>58290</v>
      </c>
      <c r="AN74">
        <f>_xlfn.XLOOKUP(B74,'[4]june-2025'!$A:$A,'[4]june-2025'!$C:$C,0,0)</f>
        <v>47300</v>
      </c>
      <c r="AO74">
        <f>AN74*0.18</f>
        <v>8514</v>
      </c>
      <c r="AP74">
        <f>AN74*0.12</f>
        <v>5676</v>
      </c>
      <c r="AQ74">
        <f>_xlfn.XLOOKUP(B74,'[4]june-2025'!$A:$A,'[4]june-2025'!$D:$D,0,0)</f>
        <v>0</v>
      </c>
      <c r="AR74">
        <f>_xlfn.XLOOKUP(B74,'[4]june-2025'!$A:$A,'[4]june-2025'!$G:$G,0,0)</f>
        <v>0</v>
      </c>
      <c r="AS74">
        <f>IF(AN74&gt;0,SUM(AN74:AR74),0)</f>
        <v>61490</v>
      </c>
      <c r="AT74">
        <f>_xlfn.XLOOKUP(B74,'[4]june-2025'!$A:$A,'[4]june-2025'!$H:$H,0,0)</f>
        <v>3000</v>
      </c>
      <c r="AU74">
        <f>_xlfn.XLOOKUP(B74,'[4]june-2025'!$A:$A,'[4]june-2025'!$I:$I,0,0)</f>
        <v>0</v>
      </c>
      <c r="AV74">
        <f>IF($F74="YES",0,IF(AS74&gt;40000,200,IF(AS74&gt;25000,150,IF(AS74&gt;15000,130,IF(AS74&gt;10000,110,0)))))</f>
        <v>200</v>
      </c>
      <c r="AW74">
        <f>AS74-AT74-AU74-AV74</f>
        <v>58290</v>
      </c>
      <c r="AX74">
        <f>_xlfn.XLOOKUP(B74,'[5]july-2025'!$A:$A,'[5]july-2025'!$C:$C,0,0)</f>
        <v>48700</v>
      </c>
      <c r="AY74">
        <f>AX74*0.18</f>
        <v>8766</v>
      </c>
      <c r="AZ74">
        <v>0</v>
      </c>
      <c r="BA74">
        <f>AX74*0.12</f>
        <v>5844</v>
      </c>
      <c r="BB74">
        <f>_xlfn.XLOOKUP(B74,'[5]july-2025'!$A:$A,'[5]july-2025'!$D:$D,0,0)</f>
        <v>0</v>
      </c>
      <c r="BC74">
        <f>_xlfn.XLOOKUP(B74,'[5]july-2025'!$A:$A,'[5]july-2025'!$G:$G,0,0)</f>
        <v>0</v>
      </c>
      <c r="BD74">
        <f>IF(AX74&gt;0,SUM(AX74:BC74),0)</f>
        <v>63310</v>
      </c>
      <c r="BE74">
        <f>_xlfn.XLOOKUP(B74,'[5]july-2025'!$A:$A,'[5]july-2025'!$H:$H,0,0)</f>
        <v>3000</v>
      </c>
      <c r="BF74">
        <f>_xlfn.XLOOKUP(B74,'[5]july-2025'!$A:$A,'[5]july-2025'!$I:$I,0,0)</f>
        <v>0</v>
      </c>
      <c r="BG74">
        <f>IF($F74="YES",0,IF(BD74&gt;40000,200,IF(BD74&gt;25000,150,IF(BD74&gt;15000,130,IF(BD74&gt;10000,110,0)))))</f>
        <v>200</v>
      </c>
      <c r="BH74">
        <f>BD74-BE74-BF74-BG74</f>
        <v>60110</v>
      </c>
      <c r="BI74">
        <f>_xlfn.XLOOKUP(B74,'[6]august-2025'!$A:$A,'[6]august-2025'!$C:$C,0,0)</f>
        <v>48700</v>
      </c>
      <c r="BJ74">
        <f>BI74*0.18</f>
        <v>8766</v>
      </c>
      <c r="BK74">
        <f>BI74*0.12</f>
        <v>5844</v>
      </c>
      <c r="BL74">
        <f>_xlfn.XLOOKUP(B74,'[6]august-2025'!$A:$A,'[6]august-2025'!$D:$D,0,0)</f>
        <v>0</v>
      </c>
      <c r="BM74">
        <f>_xlfn.XLOOKUP(B74,'[6]august-2025'!$A:$A,'[6]august-2025'!$G:$G,0,0)</f>
        <v>0</v>
      </c>
      <c r="BN74">
        <f>IF(BI74&gt;0,SUM(BI74:BM74),0)</f>
        <v>63310</v>
      </c>
      <c r="BO74">
        <f>_xlfn.XLOOKUP(B74,'[6]august-2025'!$A:$A,'[6]august-2025'!$H:$H,0,0)</f>
        <v>3000</v>
      </c>
      <c r="BP74">
        <f>_xlfn.XLOOKUP(B74,'[6]august-2025'!$A:$A,'[6]august-2025'!$I:$I,0,0)</f>
        <v>0</v>
      </c>
      <c r="BQ74">
        <f>IF($F74="YES",0,IF(BN74&gt;40000,200,IF(BN74&gt;25000,150,IF(BN74&gt;15000,130,IF(BN74&gt;10000,110,0)))))</f>
        <v>200</v>
      </c>
      <c r="BR74">
        <f>BN74-BO74-BP74-BQ74</f>
        <v>60110</v>
      </c>
      <c r="BS74">
        <f>_xlfn.XLOOKUP(B74,'[7]september-2025'!$A:$A,'[7]september-2025'!$C:$C,0,0)</f>
        <v>48700</v>
      </c>
      <c r="BT74">
        <f>BS74*0.18</f>
        <v>8766</v>
      </c>
      <c r="BU74">
        <f>BS74*0.12</f>
        <v>5844</v>
      </c>
      <c r="BV74">
        <f>_xlfn.XLOOKUP(B74,'[7]september-2025'!$A:$A,'[7]september-2025'!$D:$D,0,0)</f>
        <v>0</v>
      </c>
      <c r="BW74">
        <f>_xlfn.XLOOKUP(B74,'[7]september-2025'!$A:$A,'[7]september-2025'!$G:$G,0,0)</f>
        <v>0</v>
      </c>
      <c r="BX74">
        <f>IF(BS74&gt;0,SUM(BS74:BW74),0)</f>
        <v>63310</v>
      </c>
      <c r="BY74">
        <f>_xlfn.XLOOKUP(B74,'[7]september-2025'!$A:$A,'[7]september-2025'!$H:$H,0,0)</f>
        <v>3000</v>
      </c>
      <c r="BZ74">
        <f>_xlfn.XLOOKUP(B74,'[7]september-2025'!$A:$A,'[7]september-2025'!$I:$I,0,0)</f>
        <v>0</v>
      </c>
      <c r="CA74">
        <f>IF($F74="YES",0,IF(BX74&gt;40000,200,IF(BX74&gt;25000,150,IF(BX74&gt;15000,130,IF(BX74&gt;10000,110,0)))))</f>
        <v>200</v>
      </c>
      <c r="CB74">
        <f>BX74-BY74-BZ74-CA74</f>
        <v>60110</v>
      </c>
      <c r="CC74">
        <f>_xlfn.XLOOKUP(B74,'[8]october-2025'!$A:$A,'[8]october-2025'!$C:$C,0,0)</f>
        <v>48700</v>
      </c>
      <c r="CD74">
        <f>CC74*0.18</f>
        <v>8766</v>
      </c>
      <c r="CE74">
        <f>CC74*0.12</f>
        <v>5844</v>
      </c>
      <c r="CF74">
        <f>_xlfn.XLOOKUP(B74,'[8]october-2025'!$A:$A,'[8]october-2025'!$D:$D,0,0)</f>
        <v>0</v>
      </c>
      <c r="CG74">
        <f>_xlfn.XLOOKUP(B74,'[8]october-2025'!$A:$A,'[8]october-2025'!$G:$G,0,0)</f>
        <v>0</v>
      </c>
      <c r="CH74">
        <f>IF(CC74&gt;0,SUM(CC74:CG74),0)</f>
        <v>63310</v>
      </c>
      <c r="CI74">
        <f>_xlfn.XLOOKUP(B74,'[8]october-2025'!$A:$A,'[8]october-2025'!$H:$H,0,0)</f>
        <v>3000</v>
      </c>
      <c r="CJ74">
        <f>_xlfn.XLOOKUP(B74,'[8]october-2025'!$A:$A,'[8]october-2025'!$I:$I,0,0)</f>
        <v>0</v>
      </c>
      <c r="CK74">
        <f>IF($F74="YES",0,IF(CH74&gt;40000,200,IF(CH74&gt;25000,150,IF(CH74&gt;15000,130,IF(CH74&gt;10000,110,0)))))</f>
        <v>200</v>
      </c>
      <c r="CL74">
        <f>CH74-CI74-CJ74-CK74</f>
        <v>60110</v>
      </c>
      <c r="CM74">
        <f>_xlfn.XLOOKUP(B74,'[9]november-2025'!$A:$A,'[9]november-2025'!$C:$C,0,0)</f>
        <v>48700</v>
      </c>
      <c r="CN74">
        <f>CM74*0.18</f>
        <v>8766</v>
      </c>
      <c r="CO74">
        <f>CM74*0.12</f>
        <v>5844</v>
      </c>
      <c r="CP74">
        <f>_xlfn.XLOOKUP(B74,'[9]november-2025'!$A:$A,'[9]november-2025'!$D:$D,0,0)</f>
        <v>0</v>
      </c>
      <c r="CQ74">
        <f>_xlfn.XLOOKUP(B74,'[9]november-2025'!$A:$A,'[9]november-2025'!$G:$G,0,0)</f>
        <v>0</v>
      </c>
      <c r="CR74">
        <f>IF(CM74&gt;0,SUM(CM74:CQ74),0)</f>
        <v>63310</v>
      </c>
      <c r="CS74">
        <f>_xlfn.XLOOKUP(B74,'[9]november-2025'!$A:$A,'[9]november-2025'!$H:$H,0,0)</f>
        <v>3000</v>
      </c>
      <c r="CT74">
        <f>_xlfn.XLOOKUP(B74,'[9]november-2025'!$A:$A,'[9]november-2025'!$I:$I,0,0)</f>
        <v>0</v>
      </c>
      <c r="CU74">
        <f>IF($F74="YES",0,IF(CR74&gt;40000,200,IF(CR74&gt;25000,150,IF(CR74&gt;15000,130,IF(CR74&gt;10000,110,0)))))</f>
        <v>200</v>
      </c>
      <c r="CV74">
        <f>CR74-CS74-CT74-CU74</f>
        <v>60110</v>
      </c>
      <c r="CW74">
        <f>_xlfn.XLOOKUP(B74,'[10]december-2025'!$A:$A,'[10]december-2025'!$C:$C,0,0)</f>
        <v>48700</v>
      </c>
      <c r="CX74">
        <f>ROUND(CW74*0.18,0)</f>
        <v>8766</v>
      </c>
      <c r="CY74">
        <f>ROUND(CW74*0.12,0)</f>
        <v>5844</v>
      </c>
      <c r="CZ74">
        <f>_xlfn.XLOOKUP(B74,'[10]december-2025'!$A:$A,'[10]december-2025'!$D:$D,0,0)</f>
        <v>0</v>
      </c>
      <c r="DA74">
        <f>_xlfn.XLOOKUP(B74,'[10]december-2025'!$A:$A,'[10]december-2025'!$G:$G,0,0)</f>
        <v>0</v>
      </c>
      <c r="DB74">
        <f>IF(CW74&gt;0,SUM(CW74:DA74),0)</f>
        <v>63310</v>
      </c>
      <c r="DC74">
        <f>_xlfn.XLOOKUP(B74,'[10]december-2025'!$A:$A,'[10]december-2025'!$H:$H,0,0)</f>
        <v>3000</v>
      </c>
      <c r="DD74">
        <f>_xlfn.XLOOKUP(B74,'[10]december-2025'!$A:$A,'[10]december-2025'!$I:$I,0,0)</f>
        <v>0</v>
      </c>
      <c r="DE74">
        <f>IF($F74="YES",0,IF(DB74&gt;40000,200,IF(DB74&gt;25000,150,IF(DB74&gt;15000,130,IF(DB74&gt;10000,110,0)))))</f>
        <v>200</v>
      </c>
      <c r="DF74">
        <f>DB74-DC74-DD74-DE74</f>
        <v>60110</v>
      </c>
      <c r="DG74">
        <f>_xlfn.XLOOKUP(B74,'[11]january-2026'!$A:$A,'[11]january-2026'!$C:$C,0,0)</f>
        <v>48700</v>
      </c>
      <c r="DH74">
        <f>DG74*0.18</f>
        <v>8766</v>
      </c>
      <c r="DI74">
        <f>DG74*0.12</f>
        <v>5844</v>
      </c>
      <c r="DJ74">
        <f>_xlfn.XLOOKUP(B74,'[11]january-2026'!$A:$A,'[11]january-2026'!$D:$D,0,0)</f>
        <v>0</v>
      </c>
      <c r="DK74">
        <f>_xlfn.XLOOKUP(B74,'[11]january-2026'!$A:$A,'[11]january-2026'!$G:$G,0,0)</f>
        <v>0</v>
      </c>
      <c r="DL74">
        <f>IF(DG74&gt;0,SUM(DG74:DK74),0)</f>
        <v>63310</v>
      </c>
      <c r="DM74">
        <f>_xlfn.XLOOKUP(B74,'[11]january-2026'!$A:$A,'[11]january-2026'!$H:$H,0,0)</f>
        <v>3000</v>
      </c>
      <c r="DN74">
        <f>_xlfn.XLOOKUP(B74,'[11]january-2026'!$A:$A,'[11]january-2026'!$I:$I,0,0)</f>
        <v>0</v>
      </c>
      <c r="DO74">
        <f>IF($F74="YES",0,IF(DL74&gt;40000,200,IF(DL74&gt;25000,150,IF(DL74&gt;15000,130,IF(DL74&gt;10000,110,0)))))</f>
        <v>200</v>
      </c>
      <c r="DP74">
        <f>DL74-DM74-DN74-DO74</f>
        <v>60110</v>
      </c>
      <c r="DQ74">
        <f>_xlfn.XLOOKUP(B74,'[12]february-2026'!$A:$A,'[12]february-2026'!$C:$C,0,0)</f>
        <v>48700</v>
      </c>
      <c r="DR74">
        <f>DQ74*0.18</f>
        <v>8766</v>
      </c>
      <c r="DS74">
        <f>DQ74*0.12</f>
        <v>5844</v>
      </c>
      <c r="DT74">
        <f>_xlfn.XLOOKUP(B74,'[12]february-2026'!$A:$A,'[12]february-2026'!$D:$D,0,0)</f>
        <v>0</v>
      </c>
      <c r="DU74">
        <f>_xlfn.XLOOKUP(B74,'[12]february-2026'!$A:$A,'[12]february-2026'!$G:$G,0,0)</f>
        <v>0</v>
      </c>
      <c r="DV74">
        <f>IF(DQ74&gt;0,SUM(DQ74:DU74),0)</f>
        <v>63310</v>
      </c>
      <c r="DW74">
        <f>_xlfn.XLOOKUP(B74,'[12]february-2026'!$A:$A,'[12]february-2026'!$H:$H,0,0)</f>
        <v>3000</v>
      </c>
      <c r="DX74">
        <f>_xlfn.XLOOKUP(B74,'[12]february-2026'!$A:$A,'[12]february-2026'!$I:$I,0,0)</f>
        <v>0</v>
      </c>
      <c r="DY74">
        <f>IF($F74="YES",0,IF(DV74&gt;40000,200,IF(DV74&gt;25000,150,IF(DV74&gt;15000,130,IF(DV74&gt;10000,110,0)))))</f>
        <v>200</v>
      </c>
      <c r="DZ74">
        <f>DV74-DW74-DX74-DY74</f>
        <v>60110</v>
      </c>
      <c r="EA74">
        <f>DV74+DL74+DB74+CR74+CH74+BX74+BN74+BD74+AS74+AI74+Y74+O74+H74+I74</f>
        <v>757348</v>
      </c>
      <c r="EB74">
        <f>DY74+DO74+DE74+CU74+CK74+CA74+BQ74+BG74+AV74+AL74+AB74+R74</f>
        <v>2400</v>
      </c>
      <c r="EC74">
        <f>IF(EA74&gt;0,50000,0)</f>
        <v>50000</v>
      </c>
      <c r="ED74">
        <v>0</v>
      </c>
      <c r="EE74">
        <f>EA74-EB74-EC74</f>
        <v>704948</v>
      </c>
      <c r="EF74">
        <f>DW74+DM74+DC74+CS74+CI74+BY74+BO74+BE74+AT74+AJ74+Z74+P74</f>
        <v>36000</v>
      </c>
      <c r="EG74">
        <f>DX74+DN74+DD74+CT74+CJ74+BZ74+BP74+BF74+AU74+AK74+AA74+Q74</f>
        <v>0</v>
      </c>
      <c r="EH74">
        <v>0</v>
      </c>
      <c r="EI74">
        <v>0</v>
      </c>
      <c r="EJ74">
        <v>0</v>
      </c>
      <c r="EK74">
        <v>0</v>
      </c>
      <c r="EL74">
        <v>0</v>
      </c>
      <c r="EM74">
        <v>0</v>
      </c>
      <c r="EN74">
        <v>0</v>
      </c>
      <c r="EO74">
        <v>0</v>
      </c>
      <c r="EP74">
        <v>0</v>
      </c>
      <c r="EQ74">
        <v>0</v>
      </c>
      <c r="ER74">
        <f>SUM(EF74:EQ74)</f>
        <v>36000</v>
      </c>
      <c r="ES74">
        <f>IF(ER74&gt;=150000,150000,ER74)</f>
        <v>36000</v>
      </c>
      <c r="ET74">
        <f>EE74-ES74</f>
        <v>668948</v>
      </c>
      <c r="EU74">
        <v>0</v>
      </c>
      <c r="EV74">
        <v>0</v>
      </c>
      <c r="EW74">
        <v>0</v>
      </c>
      <c r="EX74">
        <v>0</v>
      </c>
      <c r="EY74">
        <v>0</v>
      </c>
      <c r="EZ74">
        <v>0</v>
      </c>
      <c r="FA74">
        <v>0</v>
      </c>
      <c r="FB74">
        <f>SUM(EU74:FA74)+(IF(F74="YES",50000,0))</f>
        <v>0</v>
      </c>
      <c r="FC74">
        <f>ET74-FB74</f>
        <v>668948</v>
      </c>
      <c r="FD74">
        <f>ROUND(IF(FC74&gt;0,IF(FC74&gt;500000,12500,(FC74-250000)*0.05),0),0)</f>
        <v>12500</v>
      </c>
      <c r="FE74">
        <f>IF(ROUND(IF(FC74&gt;0,IF(FC74&gt;1000000,25000,(FC74-500000)*0.2),0),0)&lt;0,0,ROUND(IF(FC74&gt;0,IF(FC74&gt;1000000,25000,(FC74-500000)*0.2),0),0))</f>
        <v>33790</v>
      </c>
      <c r="FF74">
        <f>FD74+FE74</f>
        <v>46290</v>
      </c>
      <c r="FG74">
        <f>IF(FF74&lt;12500,0,FF74)</f>
        <v>46290</v>
      </c>
      <c r="FH74">
        <f>FG74*0.04</f>
        <v>1851.6000000000001</v>
      </c>
      <c r="FI74">
        <f>ROUND(FH74+FG74,0)</f>
        <v>48142</v>
      </c>
      <c r="FJ74">
        <v>0</v>
      </c>
      <c r="FK74">
        <f>FI74-FJ74</f>
        <v>48142</v>
      </c>
      <c r="FL74" t="b">
        <f>IF(EA74&gt;500000,TRUE,FALSE)</f>
        <v>1</v>
      </c>
      <c r="FM74">
        <f ca="1">IF(FL74,RANDBETWEEN(500,1000),RANDBETWEEN(1000,3000))</f>
        <v>556</v>
      </c>
      <c r="FN74">
        <f ca="1">EA74+FM74</f>
        <v>757904</v>
      </c>
      <c r="FO74">
        <f>IF(EA74&gt;0,75000,0)</f>
        <v>75000</v>
      </c>
      <c r="FP74">
        <f ca="1">FN74-FO74</f>
        <v>682904</v>
      </c>
      <c r="FQ74">
        <f ca="1">IF(FP74&gt;2400000,FP74-2400000,0)</f>
        <v>0</v>
      </c>
      <c r="FR74">
        <f ca="1">FQ74*0.3</f>
        <v>0</v>
      </c>
      <c r="FS74">
        <f ca="1">IF(FP74&gt;2000000,FP74-2000000,0)</f>
        <v>0</v>
      </c>
      <c r="FT74">
        <f ca="1">FS74*0.25</f>
        <v>0</v>
      </c>
      <c r="FU74">
        <f ca="1">IF(FP74&gt;1600000,FP74-1600000-FQ74,0)</f>
        <v>0</v>
      </c>
      <c r="FV74">
        <f ca="1">FU74*0.2</f>
        <v>0</v>
      </c>
      <c r="FW74">
        <f ca="1">IF(FP74&gt;1200000,FP74-1200000-IF(F74="YES",50000,0)-FU74,0)</f>
        <v>0</v>
      </c>
      <c r="FX74">
        <f ca="1">FW74*0.15</f>
        <v>0</v>
      </c>
      <c r="FY74">
        <f ca="1">IF(FP74&gt;800000,FP74-800000-FQ74-FU74-FW74,0)</f>
        <v>0</v>
      </c>
      <c r="FZ74">
        <f ca="1">FY74*0.1</f>
        <v>0</v>
      </c>
      <c r="GA74">
        <f ca="1">IF(FP74&gt;400000,FP74-400000-FQ74-FU74-FW74-FY74,0)</f>
        <v>282904</v>
      </c>
      <c r="GB74">
        <f ca="1">GA74*0.05</f>
        <v>14145.2</v>
      </c>
      <c r="GC74">
        <f ca="1">ROUND(FR74+FT74+FV74+FX74+FZ74+GB74,0)</f>
        <v>14145</v>
      </c>
      <c r="GD74">
        <f ca="1">IF(FP74&gt;1200000,FP74,0)</f>
        <v>0</v>
      </c>
      <c r="GE74">
        <f ca="1">IF(FP74&gt;1200000,GD74-1200000,0)</f>
        <v>0</v>
      </c>
      <c r="GF74">
        <f ca="1">IF(FP74&lt;1200001,MIN(GC74,60000),0)</f>
        <v>14145</v>
      </c>
      <c r="GG74">
        <f ca="1">IF(FP74&gt;1200000,GC74-GE74,0)</f>
        <v>0</v>
      </c>
      <c r="GH74" t="b">
        <f ca="1">IF(GG74&gt;0,TRUE,FALSE)</f>
        <v>0</v>
      </c>
      <c r="GI74">
        <f ca="1">IF(GH74,GG74,0)</f>
        <v>0</v>
      </c>
      <c r="GJ74">
        <f ca="1">GF74+GI74</f>
        <v>14145</v>
      </c>
      <c r="GK74">
        <f ca="1">ROUND(GC74-GJ74,0)</f>
        <v>0</v>
      </c>
      <c r="GL74">
        <f ca="1">GK74*0.04</f>
        <v>0</v>
      </c>
      <c r="GM74">
        <f ca="1">ROUNDUP(GK74+GL74,0)</f>
        <v>0</v>
      </c>
    </row>
    <row r="75" spans="1:195" x14ac:dyDescent="0.25">
      <c r="A75">
        <f>_xlfn.AGGREGATE(3,5,$B$2:B75)</f>
        <v>74</v>
      </c>
      <c r="B75" t="s">
        <v>268</v>
      </c>
      <c r="C75" t="s">
        <v>269</v>
      </c>
      <c r="D75" t="s">
        <v>771</v>
      </c>
      <c r="E75" t="s">
        <v>833</v>
      </c>
      <c r="F75" t="s">
        <v>959</v>
      </c>
      <c r="G75" t="s">
        <v>885</v>
      </c>
      <c r="H75">
        <f>IF(_xlfn.DAYS("31-03-2025",G75)&gt;=180,6800,0)</f>
        <v>6800</v>
      </c>
      <c r="I75">
        <f>_xlfn.XLOOKUP(B75,'[1]march-2025'!$A:$A,'[1]march-2025'!$J:$J,0,0)</f>
        <v>0</v>
      </c>
      <c r="J75">
        <f>_xlfn.XLOOKUP(B75,'[1]march-2025'!$A:$A,'[1]march-2025'!$C:$C,0,0)</f>
        <v>28900</v>
      </c>
      <c r="K75">
        <f>J75*0.14</f>
        <v>4046.0000000000005</v>
      </c>
      <c r="L75">
        <f>J75*0.12</f>
        <v>3468</v>
      </c>
      <c r="M75">
        <f>_xlfn.XLOOKUP(B75,'[1]march-2025'!$A:$A,'[1]march-2025'!$D:$D,0,0)</f>
        <v>0</v>
      </c>
      <c r="N75">
        <f>_xlfn.XLOOKUP(B75,'[1]march-2025'!$A:$A,'[1]march-2025'!$G:$G,0,0)</f>
        <v>500</v>
      </c>
      <c r="O75">
        <f>IF(J75&gt;0,SUM(J75:N75),0)</f>
        <v>36914</v>
      </c>
      <c r="P75">
        <f>_xlfn.XLOOKUP(B75,'[1]march-2025'!$A:$A,'[1]march-2025'!$H:$H,0,0)</f>
        <v>0</v>
      </c>
      <c r="Q75">
        <f>_xlfn.XLOOKUP(B75,'[1]march-2025'!$A:$A,'[1]march-2025'!$I:$I,0,0)</f>
        <v>0</v>
      </c>
      <c r="R75">
        <f>IF($F75="YES",0,IF(O75&gt;40000,200,IF(O75&gt;25000,150,IF(O75&gt;15000,130,IF(O75&gt;10000,110,0)))))</f>
        <v>150</v>
      </c>
      <c r="S75">
        <f>O75-P75-Q75-R75</f>
        <v>36764</v>
      </c>
      <c r="T75">
        <f>_xlfn.XLOOKUP(B75,'[2]april-2025'!$A:$A,'[2]april-2025'!$C:$C,0,0)</f>
        <v>28900</v>
      </c>
      <c r="U75">
        <f>T75*0.18</f>
        <v>5202</v>
      </c>
      <c r="V75">
        <f>T75*0.12</f>
        <v>3468</v>
      </c>
      <c r="W75">
        <f>_xlfn.XLOOKUP(B75,'[2]april-2025'!$A:$A,'[2]april-2025'!$D:$D,0,0)</f>
        <v>0</v>
      </c>
      <c r="X75">
        <f>_xlfn.XLOOKUP(B75,'[2]april-2025'!$A:$A,'[2]april-2025'!$G:$G,0,0)</f>
        <v>500</v>
      </c>
      <c r="Y75">
        <f>IF(T75&gt;0,SUM(T75:X75),0)</f>
        <v>38070</v>
      </c>
      <c r="Z75">
        <f>_xlfn.XLOOKUP(B75,'[2]april-2025'!$A:$A,'[2]april-2025'!$H:$H,0,0)</f>
        <v>0</v>
      </c>
      <c r="AA75">
        <f>_xlfn.XLOOKUP(B75,'[2]april-2025'!$A:$A,'[2]april-2025'!$I:$I,0,0)</f>
        <v>0</v>
      </c>
      <c r="AB75">
        <f>IF($F75="YES",0,IF(Y75&gt;40000,200,IF(Y75&gt;25000,150,IF(Y75&gt;15000,130,IF(Y75&gt;10000,110,0)))))</f>
        <v>150</v>
      </c>
      <c r="AC75">
        <f>Y75-Z75-AA75-AB75</f>
        <v>37920</v>
      </c>
      <c r="AD75">
        <f>_xlfn.XLOOKUP(B75,'[3]may-2025'!$A:$A,'[3]may-2025'!$C:$C,0,0)</f>
        <v>28900</v>
      </c>
      <c r="AE75">
        <f>AD75*0.18</f>
        <v>5202</v>
      </c>
      <c r="AF75">
        <f>AD75*0.12</f>
        <v>3468</v>
      </c>
      <c r="AG75">
        <f>_xlfn.XLOOKUP(B75,'[3]may-2025'!$A:$A,'[3]may-2025'!$D:$D,0,0)</f>
        <v>0</v>
      </c>
      <c r="AH75">
        <f>_xlfn.XLOOKUP(B75,'[3]may-2025'!$A:$A,'[3]may-2025'!$G:$G,0,0)</f>
        <v>500</v>
      </c>
      <c r="AI75">
        <f>IF(AD75&gt;0,SUM(AD75:AH75),0)</f>
        <v>38070</v>
      </c>
      <c r="AJ75">
        <f>_xlfn.XLOOKUP(B75,'[3]may-2025'!$A:$A,'[3]may-2025'!$H:$H,0,0)</f>
        <v>0</v>
      </c>
      <c r="AK75">
        <f>_xlfn.XLOOKUP(B75,'[3]may-2025'!$A:$A,'[3]may-2025'!$I:$I,0,0)</f>
        <v>0</v>
      </c>
      <c r="AL75">
        <f>IF($F75="YES",0,IF(AI75&gt;40000,200,IF(AI75&gt;25000,150,IF(AI75&gt;15000,130,IF(AI75&gt;10000,110,0)))))</f>
        <v>150</v>
      </c>
      <c r="AM75">
        <f>AI75-AJ75-AK75-AL75</f>
        <v>37920</v>
      </c>
      <c r="AN75">
        <f>_xlfn.XLOOKUP(B75,'[4]june-2025'!$A:$A,'[4]june-2025'!$C:$C,0,0)</f>
        <v>28900</v>
      </c>
      <c r="AO75">
        <f>AN75*0.18</f>
        <v>5202</v>
      </c>
      <c r="AP75">
        <f>AN75*0.12</f>
        <v>3468</v>
      </c>
      <c r="AQ75">
        <f>_xlfn.XLOOKUP(B75,'[4]june-2025'!$A:$A,'[4]june-2025'!$D:$D,0,0)</f>
        <v>0</v>
      </c>
      <c r="AR75">
        <f>_xlfn.XLOOKUP(B75,'[4]june-2025'!$A:$A,'[4]june-2025'!$G:$G,0,0)</f>
        <v>500</v>
      </c>
      <c r="AS75">
        <f>IF(AN75&gt;0,SUM(AN75:AR75),0)</f>
        <v>38070</v>
      </c>
      <c r="AT75">
        <f>_xlfn.XLOOKUP(B75,'[4]june-2025'!$A:$A,'[4]june-2025'!$H:$H,0,0)</f>
        <v>0</v>
      </c>
      <c r="AU75">
        <f>_xlfn.XLOOKUP(B75,'[4]june-2025'!$A:$A,'[4]june-2025'!$I:$I,0,0)</f>
        <v>0</v>
      </c>
      <c r="AV75">
        <f>IF($F75="YES",0,IF(AS75&gt;40000,200,IF(AS75&gt;25000,150,IF(AS75&gt;15000,130,IF(AS75&gt;10000,110,0)))))</f>
        <v>150</v>
      </c>
      <c r="AW75">
        <f>AS75-AT75-AU75-AV75</f>
        <v>37920</v>
      </c>
      <c r="AX75">
        <f>_xlfn.XLOOKUP(B75,'[5]july-2025'!$A:$A,'[5]july-2025'!$C:$C,0,0)</f>
        <v>29800</v>
      </c>
      <c r="AY75">
        <f>AX75*0.18</f>
        <v>5364</v>
      </c>
      <c r="AZ75">
        <v>0</v>
      </c>
      <c r="BA75">
        <f>AX75*0.12</f>
        <v>3576</v>
      </c>
      <c r="BB75">
        <f>_xlfn.XLOOKUP(B75,'[5]july-2025'!$A:$A,'[5]july-2025'!$D:$D,0,0)</f>
        <v>0</v>
      </c>
      <c r="BC75">
        <f>_xlfn.XLOOKUP(B75,'[5]july-2025'!$A:$A,'[5]july-2025'!$G:$G,0,0)</f>
        <v>500</v>
      </c>
      <c r="BD75">
        <f>IF(AX75&gt;0,SUM(AX75:BC75),0)</f>
        <v>39240</v>
      </c>
      <c r="BE75">
        <f>_xlfn.XLOOKUP(B75,'[5]july-2025'!$A:$A,'[5]july-2025'!$H:$H,0,0)</f>
        <v>0</v>
      </c>
      <c r="BF75">
        <f>_xlfn.XLOOKUP(B75,'[5]july-2025'!$A:$A,'[5]july-2025'!$I:$I,0,0)</f>
        <v>0</v>
      </c>
      <c r="BG75">
        <f>IF($F75="YES",0,IF(BD75&gt;40000,200,IF(BD75&gt;25000,150,IF(BD75&gt;15000,130,IF(BD75&gt;10000,110,0)))))</f>
        <v>150</v>
      </c>
      <c r="BH75">
        <f>BD75-BE75-BF75-BG75</f>
        <v>39090</v>
      </c>
      <c r="BI75">
        <f>_xlfn.XLOOKUP(B75,'[6]august-2025'!$A:$A,'[6]august-2025'!$C:$C,0,0)</f>
        <v>29800</v>
      </c>
      <c r="BJ75">
        <f>BI75*0.18</f>
        <v>5364</v>
      </c>
      <c r="BK75">
        <f>BI75*0.12</f>
        <v>3576</v>
      </c>
      <c r="BL75">
        <f>_xlfn.XLOOKUP(B75,'[6]august-2025'!$A:$A,'[6]august-2025'!$D:$D,0,0)</f>
        <v>0</v>
      </c>
      <c r="BM75">
        <f>_xlfn.XLOOKUP(B75,'[6]august-2025'!$A:$A,'[6]august-2025'!$G:$G,0,0)</f>
        <v>500</v>
      </c>
      <c r="BN75">
        <f>IF(BI75&gt;0,SUM(BI75:BM75),0)</f>
        <v>39240</v>
      </c>
      <c r="BO75">
        <f>_xlfn.XLOOKUP(B75,'[6]august-2025'!$A:$A,'[6]august-2025'!$H:$H,0,0)</f>
        <v>0</v>
      </c>
      <c r="BP75">
        <f>_xlfn.XLOOKUP(B75,'[6]august-2025'!$A:$A,'[6]august-2025'!$I:$I,0,0)</f>
        <v>0</v>
      </c>
      <c r="BQ75">
        <f>IF($F75="YES",0,IF(BN75&gt;40000,200,IF(BN75&gt;25000,150,IF(BN75&gt;15000,130,IF(BN75&gt;10000,110,0)))))</f>
        <v>150</v>
      </c>
      <c r="BR75">
        <f>BN75-BO75-BP75-BQ75</f>
        <v>39090</v>
      </c>
      <c r="BS75">
        <f>_xlfn.XLOOKUP(B75,'[7]september-2025'!$A:$A,'[7]september-2025'!$C:$C,0,0)</f>
        <v>29800</v>
      </c>
      <c r="BT75">
        <f>BS75*0.18</f>
        <v>5364</v>
      </c>
      <c r="BU75">
        <f>BS75*0.12</f>
        <v>3576</v>
      </c>
      <c r="BV75">
        <f>_xlfn.XLOOKUP(B75,'[7]september-2025'!$A:$A,'[7]september-2025'!$D:$D,0,0)</f>
        <v>0</v>
      </c>
      <c r="BW75">
        <f>_xlfn.XLOOKUP(B75,'[7]september-2025'!$A:$A,'[7]september-2025'!$G:$G,0,0)</f>
        <v>500</v>
      </c>
      <c r="BX75">
        <f>IF(BS75&gt;0,SUM(BS75:BW75),0)</f>
        <v>39240</v>
      </c>
      <c r="BY75">
        <f>_xlfn.XLOOKUP(B75,'[7]september-2025'!$A:$A,'[7]september-2025'!$H:$H,0,0)</f>
        <v>2000</v>
      </c>
      <c r="BZ75">
        <f>_xlfn.XLOOKUP(B75,'[7]september-2025'!$A:$A,'[7]september-2025'!$I:$I,0,0)</f>
        <v>0</v>
      </c>
      <c r="CA75">
        <f>IF($F75="YES",0,IF(BX75&gt;40000,200,IF(BX75&gt;25000,150,IF(BX75&gt;15000,130,IF(BX75&gt;10000,110,0)))))</f>
        <v>150</v>
      </c>
      <c r="CB75">
        <f>BX75-BY75-BZ75-CA75</f>
        <v>37090</v>
      </c>
      <c r="CC75">
        <f>_xlfn.XLOOKUP(B75,'[8]october-2025'!$A:$A,'[8]october-2025'!$C:$C,0,0)</f>
        <v>29800</v>
      </c>
      <c r="CD75">
        <f>CC75*0.18</f>
        <v>5364</v>
      </c>
      <c r="CE75">
        <f>CC75*0.12</f>
        <v>3576</v>
      </c>
      <c r="CF75">
        <f>_xlfn.XLOOKUP(B75,'[8]october-2025'!$A:$A,'[8]october-2025'!$D:$D,0,0)</f>
        <v>0</v>
      </c>
      <c r="CG75">
        <f>_xlfn.XLOOKUP(B75,'[8]october-2025'!$A:$A,'[8]october-2025'!$G:$G,0,0)</f>
        <v>500</v>
      </c>
      <c r="CH75">
        <f>IF(CC75&gt;0,SUM(CC75:CG75),0)</f>
        <v>39240</v>
      </c>
      <c r="CI75">
        <f>_xlfn.XLOOKUP(B75,'[8]october-2025'!$A:$A,'[8]october-2025'!$H:$H,0,0)</f>
        <v>2000</v>
      </c>
      <c r="CJ75">
        <f>_xlfn.XLOOKUP(B75,'[8]october-2025'!$A:$A,'[8]october-2025'!$I:$I,0,0)</f>
        <v>0</v>
      </c>
      <c r="CK75">
        <f>IF($F75="YES",0,IF(CH75&gt;40000,200,IF(CH75&gt;25000,150,IF(CH75&gt;15000,130,IF(CH75&gt;10000,110,0)))))</f>
        <v>150</v>
      </c>
      <c r="CL75">
        <f>CH75-CI75-CJ75-CK75</f>
        <v>37090</v>
      </c>
      <c r="CM75">
        <f>_xlfn.XLOOKUP(B75,'[9]november-2025'!$A:$A,'[9]november-2025'!$C:$C,0,0)</f>
        <v>29800</v>
      </c>
      <c r="CN75">
        <f>CM75*0.18</f>
        <v>5364</v>
      </c>
      <c r="CO75">
        <f>CM75*0.12</f>
        <v>3576</v>
      </c>
      <c r="CP75">
        <f>_xlfn.XLOOKUP(B75,'[9]november-2025'!$A:$A,'[9]november-2025'!$D:$D,0,0)</f>
        <v>0</v>
      </c>
      <c r="CQ75">
        <f>_xlfn.XLOOKUP(B75,'[9]november-2025'!$A:$A,'[9]november-2025'!$G:$G,0,0)</f>
        <v>500</v>
      </c>
      <c r="CR75">
        <f>IF(CM75&gt;0,SUM(CM75:CQ75),0)</f>
        <v>39240</v>
      </c>
      <c r="CS75">
        <f>_xlfn.XLOOKUP(B75,'[9]november-2025'!$A:$A,'[9]november-2025'!$H:$H,0,0)</f>
        <v>2000</v>
      </c>
      <c r="CT75">
        <f>_xlfn.XLOOKUP(B75,'[9]november-2025'!$A:$A,'[9]november-2025'!$I:$I,0,0)</f>
        <v>0</v>
      </c>
      <c r="CU75">
        <f>IF($F75="YES",0,IF(CR75&gt;40000,200,IF(CR75&gt;25000,150,IF(CR75&gt;15000,130,IF(CR75&gt;10000,110,0)))))</f>
        <v>150</v>
      </c>
      <c r="CV75">
        <f>CR75-CS75-CT75-CU75</f>
        <v>37090</v>
      </c>
      <c r="CW75">
        <f>_xlfn.XLOOKUP(B75,'[10]december-2025'!$A:$A,'[10]december-2025'!$C:$C,0,0)</f>
        <v>29800</v>
      </c>
      <c r="CX75">
        <f>ROUND(CW75*0.18,0)</f>
        <v>5364</v>
      </c>
      <c r="CY75">
        <f>ROUND(CW75*0.12,0)</f>
        <v>3576</v>
      </c>
      <c r="CZ75">
        <f>_xlfn.XLOOKUP(B75,'[10]december-2025'!$A:$A,'[10]december-2025'!$D:$D,0,0)</f>
        <v>0</v>
      </c>
      <c r="DA75">
        <f>_xlfn.XLOOKUP(B75,'[10]december-2025'!$A:$A,'[10]december-2025'!$G:$G,0,0)</f>
        <v>500</v>
      </c>
      <c r="DB75">
        <f>IF(CW75&gt;0,SUM(CW75:DA75),0)</f>
        <v>39240</v>
      </c>
      <c r="DC75">
        <f>_xlfn.XLOOKUP(B75,'[10]december-2025'!$A:$A,'[10]december-2025'!$H:$H,0,0)</f>
        <v>2000</v>
      </c>
      <c r="DD75">
        <f>_xlfn.XLOOKUP(B75,'[10]december-2025'!$A:$A,'[10]december-2025'!$I:$I,0,0)</f>
        <v>0</v>
      </c>
      <c r="DE75">
        <f>IF($F75="YES",0,IF(DB75&gt;40000,200,IF(DB75&gt;25000,150,IF(DB75&gt;15000,130,IF(DB75&gt;10000,110,0)))))</f>
        <v>150</v>
      </c>
      <c r="DF75">
        <f>DB75-DC75-DD75-DE75</f>
        <v>37090</v>
      </c>
      <c r="DG75">
        <f>_xlfn.XLOOKUP(B75,'[11]january-2026'!$A:$A,'[11]january-2026'!$C:$C,0,0)</f>
        <v>29800</v>
      </c>
      <c r="DH75">
        <f>DG75*0.18</f>
        <v>5364</v>
      </c>
      <c r="DI75">
        <f>DG75*0.12</f>
        <v>3576</v>
      </c>
      <c r="DJ75">
        <f>_xlfn.XLOOKUP(B75,'[11]january-2026'!$A:$A,'[11]january-2026'!$D:$D,0,0)</f>
        <v>0</v>
      </c>
      <c r="DK75">
        <f>_xlfn.XLOOKUP(B75,'[11]january-2026'!$A:$A,'[11]january-2026'!$G:$G,0,0)</f>
        <v>500</v>
      </c>
      <c r="DL75">
        <f>IF(DG75&gt;0,SUM(DG75:DK75),0)</f>
        <v>39240</v>
      </c>
      <c r="DM75">
        <f>_xlfn.XLOOKUP(B75,'[11]january-2026'!$A:$A,'[11]january-2026'!$H:$H,0,0)</f>
        <v>2000</v>
      </c>
      <c r="DN75">
        <f>_xlfn.XLOOKUP(B75,'[11]january-2026'!$A:$A,'[11]january-2026'!$I:$I,0,0)</f>
        <v>0</v>
      </c>
      <c r="DO75">
        <f>IF($F75="YES",0,IF(DL75&gt;40000,200,IF(DL75&gt;25000,150,IF(DL75&gt;15000,130,IF(DL75&gt;10000,110,0)))))</f>
        <v>150</v>
      </c>
      <c r="DP75">
        <f>DL75-DM75-DN75-DO75</f>
        <v>37090</v>
      </c>
      <c r="DQ75">
        <f>_xlfn.XLOOKUP(B75,'[12]february-2026'!$A:$A,'[12]february-2026'!$C:$C,0,0)</f>
        <v>29800</v>
      </c>
      <c r="DR75">
        <f>DQ75*0.18</f>
        <v>5364</v>
      </c>
      <c r="DS75">
        <f>DQ75*0.12</f>
        <v>3576</v>
      </c>
      <c r="DT75">
        <f>_xlfn.XLOOKUP(B75,'[12]february-2026'!$A:$A,'[12]february-2026'!$D:$D,0,0)</f>
        <v>0</v>
      </c>
      <c r="DU75">
        <f>_xlfn.XLOOKUP(B75,'[12]february-2026'!$A:$A,'[12]february-2026'!$G:$G,0,0)</f>
        <v>500</v>
      </c>
      <c r="DV75">
        <f>IF(DQ75&gt;0,SUM(DQ75:DU75),0)</f>
        <v>39240</v>
      </c>
      <c r="DW75">
        <f>_xlfn.XLOOKUP(B75,'[12]february-2026'!$A:$A,'[12]february-2026'!$H:$H,0,0)</f>
        <v>2000</v>
      </c>
      <c r="DX75">
        <f>_xlfn.XLOOKUP(B75,'[12]february-2026'!$A:$A,'[12]february-2026'!$I:$I,0,0)</f>
        <v>0</v>
      </c>
      <c r="DY75">
        <f>IF($F75="YES",0,IF(DV75&gt;40000,200,IF(DV75&gt;25000,150,IF(DV75&gt;15000,130,IF(DV75&gt;10000,110,0)))))</f>
        <v>150</v>
      </c>
      <c r="DZ75">
        <f>DV75-DW75-DX75-DY75</f>
        <v>37090</v>
      </c>
      <c r="EA75">
        <f>DV75+DL75+DB75+CR75+CH75+BX75+BN75+BD75+AS75+AI75+Y75+O75+H75+I75</f>
        <v>471844</v>
      </c>
      <c r="EB75">
        <f>DY75+DO75+DE75+CU75+CK75+CA75+BQ75+BG75+AV75+AL75+AB75+R75</f>
        <v>1800</v>
      </c>
      <c r="EC75">
        <f>IF(EA75&gt;0,50000,0)</f>
        <v>50000</v>
      </c>
      <c r="ED75">
        <v>0</v>
      </c>
      <c r="EE75">
        <f>EA75-EB75-EC75</f>
        <v>420044</v>
      </c>
      <c r="EF75">
        <f>DW75+DM75+DC75+CS75+CI75+BY75+BO75+BE75+AT75+AJ75+Z75+P75</f>
        <v>12000</v>
      </c>
      <c r="EG75">
        <f>DX75+DN75+DD75+CT75+CJ75+BZ75+BP75+BF75+AU75+AK75+AA75+Q75</f>
        <v>0</v>
      </c>
      <c r="EH75">
        <v>0</v>
      </c>
      <c r="EI75">
        <v>0</v>
      </c>
      <c r="EJ75">
        <v>0</v>
      </c>
      <c r="EK75">
        <v>0</v>
      </c>
      <c r="EL75">
        <v>0</v>
      </c>
      <c r="EM75">
        <v>0</v>
      </c>
      <c r="EN75">
        <v>0</v>
      </c>
      <c r="EO75">
        <v>0</v>
      </c>
      <c r="EP75">
        <v>0</v>
      </c>
      <c r="EQ75">
        <v>0</v>
      </c>
      <c r="ER75">
        <f>SUM(EF75:EQ75)</f>
        <v>12000</v>
      </c>
      <c r="ES75">
        <f>IF(ER75&gt;=150000,150000,ER75)</f>
        <v>12000</v>
      </c>
      <c r="ET75">
        <f>EE75-ES75</f>
        <v>408044</v>
      </c>
      <c r="EU75">
        <v>0</v>
      </c>
      <c r="EV75">
        <v>0</v>
      </c>
      <c r="EW75">
        <v>0</v>
      </c>
      <c r="EX75">
        <v>0</v>
      </c>
      <c r="EY75">
        <v>0</v>
      </c>
      <c r="EZ75">
        <v>0</v>
      </c>
      <c r="FA75">
        <v>0</v>
      </c>
      <c r="FB75">
        <f>SUM(EU75:FA75)+(IF(F75="YES",50000,0))</f>
        <v>0</v>
      </c>
      <c r="FC75">
        <f>ET75-FB75</f>
        <v>408044</v>
      </c>
      <c r="FD75">
        <f>ROUND(IF(FC75&gt;0,IF(FC75&gt;500000,12500,(FC75-250000)*0.05),0),0)</f>
        <v>7902</v>
      </c>
      <c r="FE75">
        <f>IF(ROUND(IF(FC75&gt;0,IF(FC75&gt;1000000,25000,(FC75-500000)*0.2),0),0)&lt;0,0,ROUND(IF(FC75&gt;0,IF(FC75&gt;1000000,25000,(FC75-500000)*0.2),0),0))</f>
        <v>0</v>
      </c>
      <c r="FF75">
        <f>FD75+FE75</f>
        <v>7902</v>
      </c>
      <c r="FG75">
        <f>IF(FF75&lt;12500,0,FF75)</f>
        <v>0</v>
      </c>
      <c r="FH75">
        <f>FG75*0.04</f>
        <v>0</v>
      </c>
      <c r="FI75">
        <f>ROUND(FH75+FG75,0)</f>
        <v>0</v>
      </c>
      <c r="FJ75">
        <v>0</v>
      </c>
      <c r="FK75">
        <f>FI75-FJ75</f>
        <v>0</v>
      </c>
      <c r="FL75" t="b">
        <f>IF(EA75&gt;500000,TRUE,FALSE)</f>
        <v>0</v>
      </c>
      <c r="FM75">
        <f ca="1">IF(FL75,RANDBETWEEN(500,1000),RANDBETWEEN(1000,3000))</f>
        <v>1722</v>
      </c>
      <c r="FN75">
        <f ca="1">EA75+FM75</f>
        <v>473566</v>
      </c>
      <c r="FO75">
        <f>IF(EA75&gt;0,75000,0)</f>
        <v>75000</v>
      </c>
      <c r="FP75">
        <f ca="1">FN75-FO75</f>
        <v>398566</v>
      </c>
      <c r="FQ75">
        <f ca="1">IF(FP75&gt;2400000,FP75-2400000,0)</f>
        <v>0</v>
      </c>
      <c r="FR75">
        <f ca="1">FQ75*0.3</f>
        <v>0</v>
      </c>
      <c r="FS75">
        <f ca="1">IF(FP75&gt;2000000,FP75-2000000,0)</f>
        <v>0</v>
      </c>
      <c r="FT75">
        <f ca="1">FS75*0.25</f>
        <v>0</v>
      </c>
      <c r="FU75">
        <f ca="1">IF(FP75&gt;1600000,FP75-1600000-FQ75,0)</f>
        <v>0</v>
      </c>
      <c r="FV75">
        <f ca="1">FU75*0.2</f>
        <v>0</v>
      </c>
      <c r="FW75">
        <f ca="1">IF(FP75&gt;1200000,FP75-1200000-IF(F75="YES",50000,0)-FU75,0)</f>
        <v>0</v>
      </c>
      <c r="FX75">
        <f ca="1">FW75*0.15</f>
        <v>0</v>
      </c>
      <c r="FY75">
        <f ca="1">IF(FP75&gt;800000,FP75-800000-FQ75-FU75-FW75,0)</f>
        <v>0</v>
      </c>
      <c r="FZ75">
        <f ca="1">FY75*0.1</f>
        <v>0</v>
      </c>
      <c r="GA75">
        <f ca="1">IF(FP75&gt;400000,FP75-400000-FQ75-FU75-FW75-FY75,0)</f>
        <v>0</v>
      </c>
      <c r="GB75">
        <f ca="1">GA75*0.05</f>
        <v>0</v>
      </c>
      <c r="GC75">
        <f ca="1">ROUND(FR75+FT75+FV75+FX75+FZ75+GB75,0)</f>
        <v>0</v>
      </c>
      <c r="GD75">
        <f ca="1">IF(FP75&gt;1200000,FP75,0)</f>
        <v>0</v>
      </c>
      <c r="GE75">
        <f ca="1">IF(FP75&gt;1200000,GD75-1200000,0)</f>
        <v>0</v>
      </c>
      <c r="GF75">
        <f ca="1">IF(FP75&lt;1200001,MIN(GC75,60000),0)</f>
        <v>0</v>
      </c>
      <c r="GG75">
        <f ca="1">IF(FP75&gt;1200000,GC75-GE75,0)</f>
        <v>0</v>
      </c>
      <c r="GH75" t="b">
        <f ca="1">IF(GG75&gt;0,TRUE,FALSE)</f>
        <v>0</v>
      </c>
      <c r="GI75">
        <f ca="1">IF(GH75,GG75,0)</f>
        <v>0</v>
      </c>
      <c r="GJ75">
        <f ca="1">GF75+GI75</f>
        <v>0</v>
      </c>
      <c r="GK75">
        <f ca="1">ROUND(GC75-GJ75,0)</f>
        <v>0</v>
      </c>
      <c r="GL75">
        <f ca="1">GK75*0.04</f>
        <v>0</v>
      </c>
      <c r="GM75">
        <f ca="1">ROUNDUP(GK75+GL75,0)</f>
        <v>0</v>
      </c>
    </row>
    <row r="76" spans="1:195" x14ac:dyDescent="0.25">
      <c r="A76">
        <f>_xlfn.AGGREGATE(3,5,$B$2:B76)</f>
        <v>75</v>
      </c>
      <c r="B76" t="s">
        <v>270</v>
      </c>
      <c r="C76" t="s">
        <v>271</v>
      </c>
      <c r="D76" t="s">
        <v>772</v>
      </c>
      <c r="E76" t="s">
        <v>835</v>
      </c>
      <c r="F76" t="s">
        <v>959</v>
      </c>
      <c r="G76" t="s">
        <v>893</v>
      </c>
      <c r="H76">
        <f>IF(_xlfn.DAYS("31-03-2025",G76)&gt;=180,6800,0)</f>
        <v>6800</v>
      </c>
      <c r="I76">
        <f>_xlfn.XLOOKUP(B76,'[1]march-2025'!$A:$A,'[1]march-2025'!$J:$J,0,0)</f>
        <v>0</v>
      </c>
      <c r="J76">
        <f>_xlfn.XLOOKUP(B76,'[1]march-2025'!$A:$A,'[1]march-2025'!$C:$C,0,0)</f>
        <v>33500</v>
      </c>
      <c r="K76">
        <f>J76*0.14</f>
        <v>4690</v>
      </c>
      <c r="L76">
        <f>J76*0.12</f>
        <v>4020</v>
      </c>
      <c r="M76">
        <f>_xlfn.XLOOKUP(B76,'[1]march-2025'!$A:$A,'[1]march-2025'!$D:$D,0,0)</f>
        <v>400</v>
      </c>
      <c r="N76">
        <f>_xlfn.XLOOKUP(B76,'[1]march-2025'!$A:$A,'[1]march-2025'!$G:$G,0,0)</f>
        <v>500</v>
      </c>
      <c r="O76">
        <f>IF(J76&gt;0,SUM(J76:N76),0)</f>
        <v>43110</v>
      </c>
      <c r="P76">
        <f>_xlfn.XLOOKUP(B76,'[1]march-2025'!$A:$A,'[1]march-2025'!$H:$H,0,0)</f>
        <v>5000</v>
      </c>
      <c r="Q76">
        <f>_xlfn.XLOOKUP(B76,'[1]march-2025'!$A:$A,'[1]march-2025'!$I:$I,0,0)</f>
        <v>0</v>
      </c>
      <c r="R76">
        <f>IF($F76="YES",0,IF(O76&gt;40000,200,IF(O76&gt;25000,150,IF(O76&gt;15000,130,IF(O76&gt;10000,110,0)))))</f>
        <v>200</v>
      </c>
      <c r="S76">
        <f>O76-P76-Q76-R76</f>
        <v>37910</v>
      </c>
      <c r="T76">
        <f>_xlfn.XLOOKUP(B76,'[2]april-2025'!$A:$A,'[2]april-2025'!$C:$C,0,0)</f>
        <v>33500</v>
      </c>
      <c r="U76">
        <f>T76*0.18</f>
        <v>6030</v>
      </c>
      <c r="V76">
        <f>T76*0.12</f>
        <v>4020</v>
      </c>
      <c r="W76">
        <f>_xlfn.XLOOKUP(B76,'[2]april-2025'!$A:$A,'[2]april-2025'!$D:$D,0,0)</f>
        <v>400</v>
      </c>
      <c r="X76">
        <f>_xlfn.XLOOKUP(B76,'[2]april-2025'!$A:$A,'[2]april-2025'!$G:$G,0,0)</f>
        <v>500</v>
      </c>
      <c r="Y76">
        <f>IF(T76&gt;0,SUM(T76:X76),0)</f>
        <v>44450</v>
      </c>
      <c r="Z76">
        <f>_xlfn.XLOOKUP(B76,'[2]april-2025'!$A:$A,'[2]april-2025'!$H:$H,0,0)</f>
        <v>5000</v>
      </c>
      <c r="AA76">
        <f>_xlfn.XLOOKUP(B76,'[2]april-2025'!$A:$A,'[2]april-2025'!$I:$I,0,0)</f>
        <v>0</v>
      </c>
      <c r="AB76">
        <f>IF($F76="YES",0,IF(Y76&gt;40000,200,IF(Y76&gt;25000,150,IF(Y76&gt;15000,130,IF(Y76&gt;10000,110,0)))))</f>
        <v>200</v>
      </c>
      <c r="AC76">
        <f>Y76-Z76-AA76-AB76</f>
        <v>39250</v>
      </c>
      <c r="AD76">
        <f>_xlfn.XLOOKUP(B76,'[3]may-2025'!$A:$A,'[3]may-2025'!$C:$C,0,0)</f>
        <v>33500</v>
      </c>
      <c r="AE76">
        <f>AD76*0.18</f>
        <v>6030</v>
      </c>
      <c r="AF76">
        <f>AD76*0.12</f>
        <v>4020</v>
      </c>
      <c r="AG76">
        <f>_xlfn.XLOOKUP(B76,'[3]may-2025'!$A:$A,'[3]may-2025'!$D:$D,0,0)</f>
        <v>400</v>
      </c>
      <c r="AH76">
        <f>_xlfn.XLOOKUP(B76,'[3]may-2025'!$A:$A,'[3]may-2025'!$G:$G,0,0)</f>
        <v>500</v>
      </c>
      <c r="AI76">
        <f>IF(AD76&gt;0,SUM(AD76:AH76),0)</f>
        <v>44450</v>
      </c>
      <c r="AJ76">
        <f>_xlfn.XLOOKUP(B76,'[3]may-2025'!$A:$A,'[3]may-2025'!$H:$H,0,0)</f>
        <v>5000</v>
      </c>
      <c r="AK76">
        <f>_xlfn.XLOOKUP(B76,'[3]may-2025'!$A:$A,'[3]may-2025'!$I:$I,0,0)</f>
        <v>0</v>
      </c>
      <c r="AL76">
        <f>IF($F76="YES",0,IF(AI76&gt;40000,200,IF(AI76&gt;25000,150,IF(AI76&gt;15000,130,IF(AI76&gt;10000,110,0)))))</f>
        <v>200</v>
      </c>
      <c r="AM76">
        <f>AI76-AJ76-AK76-AL76</f>
        <v>39250</v>
      </c>
      <c r="AN76">
        <f>_xlfn.XLOOKUP(B76,'[4]june-2025'!$A:$A,'[4]june-2025'!$C:$C,0,0)</f>
        <v>33500</v>
      </c>
      <c r="AO76">
        <f>AN76*0.18</f>
        <v>6030</v>
      </c>
      <c r="AP76">
        <f>AN76*0.12</f>
        <v>4020</v>
      </c>
      <c r="AQ76">
        <f>_xlfn.XLOOKUP(B76,'[4]june-2025'!$A:$A,'[4]june-2025'!$D:$D,0,0)</f>
        <v>400</v>
      </c>
      <c r="AR76">
        <f>_xlfn.XLOOKUP(B76,'[4]june-2025'!$A:$A,'[4]june-2025'!$G:$G,0,0)</f>
        <v>500</v>
      </c>
      <c r="AS76">
        <f>IF(AN76&gt;0,SUM(AN76:AR76),0)</f>
        <v>44450</v>
      </c>
      <c r="AT76">
        <f>_xlfn.XLOOKUP(B76,'[4]june-2025'!$A:$A,'[4]june-2025'!$H:$H,0,0)</f>
        <v>5000</v>
      </c>
      <c r="AU76">
        <f>_xlfn.XLOOKUP(B76,'[4]june-2025'!$A:$A,'[4]june-2025'!$I:$I,0,0)</f>
        <v>0</v>
      </c>
      <c r="AV76">
        <f>IF($F76="YES",0,IF(AS76&gt;40000,200,IF(AS76&gt;25000,150,IF(AS76&gt;15000,130,IF(AS76&gt;10000,110,0)))))</f>
        <v>200</v>
      </c>
      <c r="AW76">
        <f>AS76-AT76-AU76-AV76</f>
        <v>39250</v>
      </c>
      <c r="AX76">
        <f>_xlfn.XLOOKUP(B76,'[5]july-2025'!$A:$A,'[5]july-2025'!$C:$C,0,0)</f>
        <v>35500</v>
      </c>
      <c r="AY76">
        <f>AX76*0.18</f>
        <v>6390</v>
      </c>
      <c r="AZ76">
        <v>0</v>
      </c>
      <c r="BA76">
        <f>AX76*0.12</f>
        <v>4260</v>
      </c>
      <c r="BB76">
        <f>_xlfn.XLOOKUP(B76,'[5]july-2025'!$A:$A,'[5]july-2025'!$D:$D,0,0)</f>
        <v>400</v>
      </c>
      <c r="BC76">
        <f>_xlfn.XLOOKUP(B76,'[5]july-2025'!$A:$A,'[5]july-2025'!$G:$G,0,0)</f>
        <v>500</v>
      </c>
      <c r="BD76">
        <f>IF(AX76&gt;0,SUM(AX76:BC76),0)</f>
        <v>47050</v>
      </c>
      <c r="BE76">
        <f>_xlfn.XLOOKUP(B76,'[5]july-2025'!$A:$A,'[5]july-2025'!$H:$H,0,0)</f>
        <v>5000</v>
      </c>
      <c r="BF76">
        <f>_xlfn.XLOOKUP(B76,'[5]july-2025'!$A:$A,'[5]july-2025'!$I:$I,0,0)</f>
        <v>0</v>
      </c>
      <c r="BG76">
        <f>IF($F76="YES",0,IF(BD76&gt;40000,200,IF(BD76&gt;25000,150,IF(BD76&gt;15000,130,IF(BD76&gt;10000,110,0)))))</f>
        <v>200</v>
      </c>
      <c r="BH76">
        <f>BD76-BE76-BF76-BG76</f>
        <v>41850</v>
      </c>
      <c r="BI76">
        <f>_xlfn.XLOOKUP(B76,'[6]august-2025'!$A:$A,'[6]august-2025'!$C:$C,0,0)</f>
        <v>35500</v>
      </c>
      <c r="BJ76">
        <f>BI76*0.18</f>
        <v>6390</v>
      </c>
      <c r="BK76">
        <f>BI76*0.12</f>
        <v>4260</v>
      </c>
      <c r="BL76">
        <f>_xlfn.XLOOKUP(B76,'[6]august-2025'!$A:$A,'[6]august-2025'!$D:$D,0,0)</f>
        <v>400</v>
      </c>
      <c r="BM76">
        <f>_xlfn.XLOOKUP(B76,'[6]august-2025'!$A:$A,'[6]august-2025'!$G:$G,0,0)</f>
        <v>500</v>
      </c>
      <c r="BN76">
        <f>IF(BI76&gt;0,SUM(BI76:BM76),0)</f>
        <v>47050</v>
      </c>
      <c r="BO76">
        <f>_xlfn.XLOOKUP(B76,'[6]august-2025'!$A:$A,'[6]august-2025'!$H:$H,0,0)</f>
        <v>5000</v>
      </c>
      <c r="BP76">
        <f>_xlfn.XLOOKUP(B76,'[6]august-2025'!$A:$A,'[6]august-2025'!$I:$I,0,0)</f>
        <v>0</v>
      </c>
      <c r="BQ76">
        <f>IF($F76="YES",0,IF(BN76&gt;40000,200,IF(BN76&gt;25000,150,IF(BN76&gt;15000,130,IF(BN76&gt;10000,110,0)))))</f>
        <v>200</v>
      </c>
      <c r="BR76">
        <f>BN76-BO76-BP76-BQ76</f>
        <v>41850</v>
      </c>
      <c r="BS76">
        <f>_xlfn.XLOOKUP(B76,'[7]september-2025'!$A:$A,'[7]september-2025'!$C:$C,0,0)</f>
        <v>35500</v>
      </c>
      <c r="BT76">
        <f>BS76*0.18</f>
        <v>6390</v>
      </c>
      <c r="BU76">
        <f>BS76*0.12</f>
        <v>4260</v>
      </c>
      <c r="BV76">
        <f>_xlfn.XLOOKUP(B76,'[7]september-2025'!$A:$A,'[7]september-2025'!$D:$D,0,0)</f>
        <v>400</v>
      </c>
      <c r="BW76">
        <f>_xlfn.XLOOKUP(B76,'[7]september-2025'!$A:$A,'[7]september-2025'!$G:$G,0,0)</f>
        <v>500</v>
      </c>
      <c r="BX76">
        <f>IF(BS76&gt;0,SUM(BS76:BW76),0)</f>
        <v>47050</v>
      </c>
      <c r="BY76">
        <f>_xlfn.XLOOKUP(B76,'[7]september-2025'!$A:$A,'[7]september-2025'!$H:$H,0,0)</f>
        <v>5000</v>
      </c>
      <c r="BZ76">
        <f>_xlfn.XLOOKUP(B76,'[7]september-2025'!$A:$A,'[7]september-2025'!$I:$I,0,0)</f>
        <v>0</v>
      </c>
      <c r="CA76">
        <f>IF($F76="YES",0,IF(BX76&gt;40000,200,IF(BX76&gt;25000,150,IF(BX76&gt;15000,130,IF(BX76&gt;10000,110,0)))))</f>
        <v>200</v>
      </c>
      <c r="CB76">
        <f>BX76-BY76-BZ76-CA76</f>
        <v>41850</v>
      </c>
      <c r="CC76">
        <f>_xlfn.XLOOKUP(B76,'[8]october-2025'!$A:$A,'[8]october-2025'!$C:$C,0,0)</f>
        <v>35500</v>
      </c>
      <c r="CD76">
        <f>CC76*0.18</f>
        <v>6390</v>
      </c>
      <c r="CE76">
        <f>CC76*0.12</f>
        <v>4260</v>
      </c>
      <c r="CF76">
        <f>_xlfn.XLOOKUP(B76,'[8]october-2025'!$A:$A,'[8]october-2025'!$D:$D,0,0)</f>
        <v>400</v>
      </c>
      <c r="CG76">
        <f>_xlfn.XLOOKUP(B76,'[8]october-2025'!$A:$A,'[8]october-2025'!$G:$G,0,0)</f>
        <v>500</v>
      </c>
      <c r="CH76">
        <f>IF(CC76&gt;0,SUM(CC76:CG76),0)</f>
        <v>47050</v>
      </c>
      <c r="CI76">
        <f>_xlfn.XLOOKUP(B76,'[8]october-2025'!$A:$A,'[8]october-2025'!$H:$H,0,0)</f>
        <v>5000</v>
      </c>
      <c r="CJ76">
        <f>_xlfn.XLOOKUP(B76,'[8]october-2025'!$A:$A,'[8]october-2025'!$I:$I,0,0)</f>
        <v>0</v>
      </c>
      <c r="CK76">
        <f>IF($F76="YES",0,IF(CH76&gt;40000,200,IF(CH76&gt;25000,150,IF(CH76&gt;15000,130,IF(CH76&gt;10000,110,0)))))</f>
        <v>200</v>
      </c>
      <c r="CL76">
        <f>CH76-CI76-CJ76-CK76</f>
        <v>41850</v>
      </c>
      <c r="CM76">
        <f>_xlfn.XLOOKUP(B76,'[9]november-2025'!$A:$A,'[9]november-2025'!$C:$C,0,0)</f>
        <v>35500</v>
      </c>
      <c r="CN76">
        <f>CM76*0.18</f>
        <v>6390</v>
      </c>
      <c r="CO76">
        <f>CM76*0.12</f>
        <v>4260</v>
      </c>
      <c r="CP76">
        <f>_xlfn.XLOOKUP(B76,'[9]november-2025'!$A:$A,'[9]november-2025'!$D:$D,0,0)</f>
        <v>400</v>
      </c>
      <c r="CQ76">
        <f>_xlfn.XLOOKUP(B76,'[9]november-2025'!$A:$A,'[9]november-2025'!$G:$G,0,0)</f>
        <v>500</v>
      </c>
      <c r="CR76">
        <f>IF(CM76&gt;0,SUM(CM76:CQ76),0)</f>
        <v>47050</v>
      </c>
      <c r="CS76">
        <f>_xlfn.XLOOKUP(B76,'[9]november-2025'!$A:$A,'[9]november-2025'!$H:$H,0,0)</f>
        <v>5000</v>
      </c>
      <c r="CT76">
        <f>_xlfn.XLOOKUP(B76,'[9]november-2025'!$A:$A,'[9]november-2025'!$I:$I,0,0)</f>
        <v>0</v>
      </c>
      <c r="CU76">
        <f>IF($F76="YES",0,IF(CR76&gt;40000,200,IF(CR76&gt;25000,150,IF(CR76&gt;15000,130,IF(CR76&gt;10000,110,0)))))</f>
        <v>200</v>
      </c>
      <c r="CV76">
        <f>CR76-CS76-CT76-CU76</f>
        <v>41850</v>
      </c>
      <c r="CW76">
        <f>_xlfn.XLOOKUP(B76,'[10]december-2025'!$A:$A,'[10]december-2025'!$C:$C,0,0)</f>
        <v>35500</v>
      </c>
      <c r="CX76">
        <f>ROUND(CW76*0.18,0)</f>
        <v>6390</v>
      </c>
      <c r="CY76">
        <f>ROUND(CW76*0.12,0)</f>
        <v>4260</v>
      </c>
      <c r="CZ76">
        <f>_xlfn.XLOOKUP(B76,'[10]december-2025'!$A:$A,'[10]december-2025'!$D:$D,0,0)</f>
        <v>400</v>
      </c>
      <c r="DA76">
        <f>_xlfn.XLOOKUP(B76,'[10]december-2025'!$A:$A,'[10]december-2025'!$G:$G,0,0)</f>
        <v>500</v>
      </c>
      <c r="DB76">
        <f>IF(CW76&gt;0,SUM(CW76:DA76),0)</f>
        <v>47050</v>
      </c>
      <c r="DC76">
        <f>_xlfn.XLOOKUP(B76,'[10]december-2025'!$A:$A,'[10]december-2025'!$H:$H,0,0)</f>
        <v>5000</v>
      </c>
      <c r="DD76">
        <f>_xlfn.XLOOKUP(B76,'[10]december-2025'!$A:$A,'[10]december-2025'!$I:$I,0,0)</f>
        <v>0</v>
      </c>
      <c r="DE76">
        <f>IF($F76="YES",0,IF(DB76&gt;40000,200,IF(DB76&gt;25000,150,IF(DB76&gt;15000,130,IF(DB76&gt;10000,110,0)))))</f>
        <v>200</v>
      </c>
      <c r="DF76">
        <f>DB76-DC76-DD76-DE76</f>
        <v>41850</v>
      </c>
      <c r="DG76">
        <f>_xlfn.XLOOKUP(B76,'[11]january-2026'!$A:$A,'[11]january-2026'!$C:$C,0,0)</f>
        <v>35500</v>
      </c>
      <c r="DH76">
        <f>DG76*0.18</f>
        <v>6390</v>
      </c>
      <c r="DI76">
        <f>DG76*0.12</f>
        <v>4260</v>
      </c>
      <c r="DJ76">
        <f>_xlfn.XLOOKUP(B76,'[11]january-2026'!$A:$A,'[11]january-2026'!$D:$D,0,0)</f>
        <v>400</v>
      </c>
      <c r="DK76">
        <f>_xlfn.XLOOKUP(B76,'[11]january-2026'!$A:$A,'[11]january-2026'!$G:$G,0,0)</f>
        <v>500</v>
      </c>
      <c r="DL76">
        <f>IF(DG76&gt;0,SUM(DG76:DK76),0)</f>
        <v>47050</v>
      </c>
      <c r="DM76">
        <f>_xlfn.XLOOKUP(B76,'[11]january-2026'!$A:$A,'[11]january-2026'!$H:$H,0,0)</f>
        <v>5000</v>
      </c>
      <c r="DN76">
        <f>_xlfn.XLOOKUP(B76,'[11]january-2026'!$A:$A,'[11]january-2026'!$I:$I,0,0)</f>
        <v>0</v>
      </c>
      <c r="DO76">
        <f>IF($F76="YES",0,IF(DL76&gt;40000,200,IF(DL76&gt;25000,150,IF(DL76&gt;15000,130,IF(DL76&gt;10000,110,0)))))</f>
        <v>200</v>
      </c>
      <c r="DP76">
        <f>DL76-DM76-DN76-DO76</f>
        <v>41850</v>
      </c>
      <c r="DQ76">
        <f>_xlfn.XLOOKUP(B76,'[12]february-2026'!$A:$A,'[12]february-2026'!$C:$C,0,0)</f>
        <v>35500</v>
      </c>
      <c r="DR76">
        <f>DQ76*0.18</f>
        <v>6390</v>
      </c>
      <c r="DS76">
        <f>DQ76*0.12</f>
        <v>4260</v>
      </c>
      <c r="DT76">
        <f>_xlfn.XLOOKUP(B76,'[12]february-2026'!$A:$A,'[12]february-2026'!$D:$D,0,0)</f>
        <v>400</v>
      </c>
      <c r="DU76">
        <f>_xlfn.XLOOKUP(B76,'[12]february-2026'!$A:$A,'[12]february-2026'!$G:$G,0,0)</f>
        <v>500</v>
      </c>
      <c r="DV76">
        <f>IF(DQ76&gt;0,SUM(DQ76:DU76),0)</f>
        <v>47050</v>
      </c>
      <c r="DW76">
        <f>_xlfn.XLOOKUP(B76,'[12]february-2026'!$A:$A,'[12]february-2026'!$H:$H,0,0)</f>
        <v>5000</v>
      </c>
      <c r="DX76">
        <f>_xlfn.XLOOKUP(B76,'[12]february-2026'!$A:$A,'[12]february-2026'!$I:$I,0,0)</f>
        <v>0</v>
      </c>
      <c r="DY76">
        <f>IF($F76="YES",0,IF(DV76&gt;40000,200,IF(DV76&gt;25000,150,IF(DV76&gt;15000,130,IF(DV76&gt;10000,110,0)))))</f>
        <v>200</v>
      </c>
      <c r="DZ76">
        <f>DV76-DW76-DX76-DY76</f>
        <v>41850</v>
      </c>
      <c r="EA76">
        <f>DV76+DL76+DB76+CR76+CH76+BX76+BN76+BD76+AS76+AI76+Y76+O76+H76+I76</f>
        <v>559660</v>
      </c>
      <c r="EB76">
        <f>DY76+DO76+DE76+CU76+CK76+CA76+BQ76+BG76+AV76+AL76+AB76+R76</f>
        <v>2400</v>
      </c>
      <c r="EC76">
        <f>IF(EA76&gt;0,50000,0)</f>
        <v>50000</v>
      </c>
      <c r="ED76">
        <v>0</v>
      </c>
      <c r="EE76">
        <f>EA76-EB76-EC76</f>
        <v>507260</v>
      </c>
      <c r="EF76">
        <f>DW76+DM76+DC76+CS76+CI76+BY76+BO76+BE76+AT76+AJ76+Z76+P76</f>
        <v>60000</v>
      </c>
      <c r="EG76">
        <f>DX76+DN76+DD76+CT76+CJ76+BZ76+BP76+BF76+AU76+AK76+AA76+Q76</f>
        <v>0</v>
      </c>
      <c r="EH76">
        <v>0</v>
      </c>
      <c r="EI76">
        <v>0</v>
      </c>
      <c r="EJ76">
        <v>0</v>
      </c>
      <c r="EK76">
        <v>0</v>
      </c>
      <c r="EL76">
        <v>0</v>
      </c>
      <c r="EM76">
        <v>0</v>
      </c>
      <c r="EN76">
        <v>0</v>
      </c>
      <c r="EO76">
        <v>0</v>
      </c>
      <c r="EP76">
        <v>0</v>
      </c>
      <c r="EQ76">
        <v>0</v>
      </c>
      <c r="ER76">
        <f>SUM(EF76:EQ76)</f>
        <v>60000</v>
      </c>
      <c r="ES76">
        <f>IF(ER76&gt;=150000,150000,ER76)</f>
        <v>60000</v>
      </c>
      <c r="ET76">
        <f>EE76-ES76</f>
        <v>447260</v>
      </c>
      <c r="EU76">
        <v>0</v>
      </c>
      <c r="EV76">
        <v>0</v>
      </c>
      <c r="EW76">
        <v>0</v>
      </c>
      <c r="EX76">
        <v>0</v>
      </c>
      <c r="EY76">
        <v>0</v>
      </c>
      <c r="EZ76">
        <v>0</v>
      </c>
      <c r="FA76">
        <v>0</v>
      </c>
      <c r="FB76">
        <f>SUM(EU76:FA76)+(IF(F76="YES",50000,0))</f>
        <v>0</v>
      </c>
      <c r="FC76">
        <f>ET76-FB76</f>
        <v>447260</v>
      </c>
      <c r="FD76">
        <f>ROUND(IF(FC76&gt;0,IF(FC76&gt;500000,12500,(FC76-250000)*0.05),0),0)</f>
        <v>9863</v>
      </c>
      <c r="FE76">
        <f>IF(ROUND(IF(FC76&gt;0,IF(FC76&gt;1000000,25000,(FC76-500000)*0.2),0),0)&lt;0,0,ROUND(IF(FC76&gt;0,IF(FC76&gt;1000000,25000,(FC76-500000)*0.2),0),0))</f>
        <v>0</v>
      </c>
      <c r="FF76">
        <f>FD76+FE76</f>
        <v>9863</v>
      </c>
      <c r="FG76">
        <f>IF(FF76&lt;12500,0,FF76)</f>
        <v>0</v>
      </c>
      <c r="FH76">
        <f>FG76*0.04</f>
        <v>0</v>
      </c>
      <c r="FI76">
        <f>ROUND(FH76+FG76,0)</f>
        <v>0</v>
      </c>
      <c r="FJ76">
        <v>0</v>
      </c>
      <c r="FK76">
        <f>FI76-FJ76</f>
        <v>0</v>
      </c>
      <c r="FL76" t="b">
        <f>IF(EA76&gt;500000,TRUE,FALSE)</f>
        <v>1</v>
      </c>
      <c r="FM76">
        <f ca="1">IF(FL76,RANDBETWEEN(500,1000),RANDBETWEEN(1000,3000))</f>
        <v>954</v>
      </c>
      <c r="FN76">
        <f ca="1">EA76+FM76</f>
        <v>560614</v>
      </c>
      <c r="FO76">
        <f>IF(EA76&gt;0,75000,0)</f>
        <v>75000</v>
      </c>
      <c r="FP76">
        <f ca="1">FN76-FO76</f>
        <v>485614</v>
      </c>
      <c r="FQ76">
        <f ca="1">IF(FP76&gt;2400000,FP76-2400000,0)</f>
        <v>0</v>
      </c>
      <c r="FR76">
        <f ca="1">FQ76*0.3</f>
        <v>0</v>
      </c>
      <c r="FS76">
        <f ca="1">IF(FP76&gt;2000000,FP76-2000000,0)</f>
        <v>0</v>
      </c>
      <c r="FT76">
        <f ca="1">FS76*0.25</f>
        <v>0</v>
      </c>
      <c r="FU76">
        <f ca="1">IF(FP76&gt;1600000,FP76-1600000-FQ76,0)</f>
        <v>0</v>
      </c>
      <c r="FV76">
        <f ca="1">FU76*0.2</f>
        <v>0</v>
      </c>
      <c r="FW76">
        <f ca="1">IF(FP76&gt;1200000,FP76-1200000-IF(F76="YES",50000,0)-FU76,0)</f>
        <v>0</v>
      </c>
      <c r="FX76">
        <f ca="1">FW76*0.15</f>
        <v>0</v>
      </c>
      <c r="FY76">
        <f ca="1">IF(FP76&gt;800000,FP76-800000-FQ76-FU76-FW76,0)</f>
        <v>0</v>
      </c>
      <c r="FZ76">
        <f ca="1">FY76*0.1</f>
        <v>0</v>
      </c>
      <c r="GA76">
        <f ca="1">IF(FP76&gt;400000,FP76-400000-FQ76-FU76-FW76-FY76,0)</f>
        <v>85614</v>
      </c>
      <c r="GB76">
        <f ca="1">GA76*0.05</f>
        <v>4280.7</v>
      </c>
      <c r="GC76">
        <f ca="1">ROUND(FR76+FT76+FV76+FX76+FZ76+GB76,0)</f>
        <v>4281</v>
      </c>
      <c r="GD76">
        <f ca="1">IF(FP76&gt;1200000,FP76,0)</f>
        <v>0</v>
      </c>
      <c r="GE76">
        <f ca="1">IF(FP76&gt;1200000,GD76-1200000,0)</f>
        <v>0</v>
      </c>
      <c r="GF76">
        <f ca="1">IF(FP76&lt;1200001,MIN(GC76,60000),0)</f>
        <v>4281</v>
      </c>
      <c r="GG76">
        <f ca="1">IF(FP76&gt;1200000,GC76-GE76,0)</f>
        <v>0</v>
      </c>
      <c r="GH76" t="b">
        <f ca="1">IF(GG76&gt;0,TRUE,FALSE)</f>
        <v>0</v>
      </c>
      <c r="GI76">
        <f ca="1">IF(GH76,GG76,0)</f>
        <v>0</v>
      </c>
      <c r="GJ76">
        <f ca="1">GF76+GI76</f>
        <v>4281</v>
      </c>
      <c r="GK76">
        <f ca="1">ROUND(GC76-GJ76,0)</f>
        <v>0</v>
      </c>
      <c r="GL76">
        <f ca="1">GK76*0.04</f>
        <v>0</v>
      </c>
      <c r="GM76">
        <f ca="1">ROUNDUP(GK76+GL76,0)</f>
        <v>0</v>
      </c>
    </row>
    <row r="77" spans="1:195" x14ac:dyDescent="0.25">
      <c r="A77">
        <f>_xlfn.AGGREGATE(3,5,$B$2:B77)</f>
        <v>76</v>
      </c>
      <c r="B77" t="s">
        <v>272</v>
      </c>
      <c r="C77" t="s">
        <v>273</v>
      </c>
      <c r="D77" t="s">
        <v>772</v>
      </c>
      <c r="E77" t="s">
        <v>833</v>
      </c>
      <c r="F77" t="s">
        <v>959</v>
      </c>
      <c r="G77" t="s">
        <v>895</v>
      </c>
      <c r="H77">
        <f>IF(_xlfn.DAYS("31-03-2025",G77)&gt;=180,6800,0)</f>
        <v>6800</v>
      </c>
      <c r="I77">
        <f>_xlfn.XLOOKUP(B77,'[1]march-2025'!$A:$A,'[1]march-2025'!$J:$J,0,0)</f>
        <v>0</v>
      </c>
      <c r="J77">
        <f>_xlfn.XLOOKUP(B77,'[1]march-2025'!$A:$A,'[1]march-2025'!$C:$C,0,0)</f>
        <v>34500</v>
      </c>
      <c r="K77">
        <f>J77*0.14</f>
        <v>4830.0000000000009</v>
      </c>
      <c r="L77">
        <f>J77*0.12</f>
        <v>4140</v>
      </c>
      <c r="M77">
        <f>_xlfn.XLOOKUP(B77,'[1]march-2025'!$A:$A,'[1]march-2025'!$D:$D,0,0)</f>
        <v>0</v>
      </c>
      <c r="N77">
        <f>_xlfn.XLOOKUP(B77,'[1]march-2025'!$A:$A,'[1]march-2025'!$G:$G,0,0)</f>
        <v>500</v>
      </c>
      <c r="O77">
        <f>IF(J77&gt;0,SUM(J77:N77),0)</f>
        <v>43970</v>
      </c>
      <c r="P77">
        <f>_xlfn.XLOOKUP(B77,'[1]march-2025'!$A:$A,'[1]march-2025'!$H:$H,0,0)</f>
        <v>2500</v>
      </c>
      <c r="Q77">
        <f>_xlfn.XLOOKUP(B77,'[1]march-2025'!$A:$A,'[1]march-2025'!$I:$I,0,0)</f>
        <v>0</v>
      </c>
      <c r="R77">
        <f>IF($F77="YES",0,IF(O77&gt;40000,200,IF(O77&gt;25000,150,IF(O77&gt;15000,130,IF(O77&gt;10000,110,0)))))</f>
        <v>200</v>
      </c>
      <c r="S77">
        <f>O77-P77-Q77-R77</f>
        <v>41270</v>
      </c>
      <c r="T77">
        <f>_xlfn.XLOOKUP(B77,'[2]april-2025'!$A:$A,'[2]april-2025'!$C:$C,0,0)</f>
        <v>34500</v>
      </c>
      <c r="U77">
        <f>T77*0.18</f>
        <v>6210</v>
      </c>
      <c r="V77">
        <f>T77*0.12</f>
        <v>4140</v>
      </c>
      <c r="W77">
        <f>_xlfn.XLOOKUP(B77,'[2]april-2025'!$A:$A,'[2]april-2025'!$D:$D,0,0)</f>
        <v>0</v>
      </c>
      <c r="X77">
        <f>_xlfn.XLOOKUP(B77,'[2]april-2025'!$A:$A,'[2]april-2025'!$G:$G,0,0)</f>
        <v>500</v>
      </c>
      <c r="Y77">
        <f>IF(T77&gt;0,SUM(T77:X77),0)</f>
        <v>45350</v>
      </c>
      <c r="Z77">
        <f>_xlfn.XLOOKUP(B77,'[2]april-2025'!$A:$A,'[2]april-2025'!$H:$H,0,0)</f>
        <v>2500</v>
      </c>
      <c r="AA77">
        <f>_xlfn.XLOOKUP(B77,'[2]april-2025'!$A:$A,'[2]april-2025'!$I:$I,0,0)</f>
        <v>0</v>
      </c>
      <c r="AB77">
        <f>IF($F77="YES",0,IF(Y77&gt;40000,200,IF(Y77&gt;25000,150,IF(Y77&gt;15000,130,IF(Y77&gt;10000,110,0)))))</f>
        <v>200</v>
      </c>
      <c r="AC77">
        <f>Y77-Z77-AA77-AB77</f>
        <v>42650</v>
      </c>
      <c r="AD77">
        <f>_xlfn.XLOOKUP(B77,'[3]may-2025'!$A:$A,'[3]may-2025'!$C:$C,0,0)</f>
        <v>34500</v>
      </c>
      <c r="AE77">
        <f>AD77*0.18</f>
        <v>6210</v>
      </c>
      <c r="AF77">
        <f>AD77*0.12</f>
        <v>4140</v>
      </c>
      <c r="AG77">
        <f>_xlfn.XLOOKUP(B77,'[3]may-2025'!$A:$A,'[3]may-2025'!$D:$D,0,0)</f>
        <v>0</v>
      </c>
      <c r="AH77">
        <f>_xlfn.XLOOKUP(B77,'[3]may-2025'!$A:$A,'[3]may-2025'!$G:$G,0,0)</f>
        <v>500</v>
      </c>
      <c r="AI77">
        <f>IF(AD77&gt;0,SUM(AD77:AH77),0)</f>
        <v>45350</v>
      </c>
      <c r="AJ77">
        <f>_xlfn.XLOOKUP(B77,'[3]may-2025'!$A:$A,'[3]may-2025'!$H:$H,0,0)</f>
        <v>2500</v>
      </c>
      <c r="AK77">
        <f>_xlfn.XLOOKUP(B77,'[3]may-2025'!$A:$A,'[3]may-2025'!$I:$I,0,0)</f>
        <v>0</v>
      </c>
      <c r="AL77">
        <f>IF($F77="YES",0,IF(AI77&gt;40000,200,IF(AI77&gt;25000,150,IF(AI77&gt;15000,130,IF(AI77&gt;10000,110,0)))))</f>
        <v>200</v>
      </c>
      <c r="AM77">
        <f>AI77-AJ77-AK77-AL77</f>
        <v>42650</v>
      </c>
      <c r="AN77">
        <f>_xlfn.XLOOKUP(B77,'[4]june-2025'!$A:$A,'[4]june-2025'!$C:$C,0,0)</f>
        <v>34500</v>
      </c>
      <c r="AO77">
        <f>AN77*0.18</f>
        <v>6210</v>
      </c>
      <c r="AP77">
        <f>AN77*0.12</f>
        <v>4140</v>
      </c>
      <c r="AQ77">
        <f>_xlfn.XLOOKUP(B77,'[4]june-2025'!$A:$A,'[4]june-2025'!$D:$D,0,0)</f>
        <v>0</v>
      </c>
      <c r="AR77">
        <f>_xlfn.XLOOKUP(B77,'[4]june-2025'!$A:$A,'[4]june-2025'!$G:$G,0,0)</f>
        <v>500</v>
      </c>
      <c r="AS77">
        <f>IF(AN77&gt;0,SUM(AN77:AR77),0)</f>
        <v>45350</v>
      </c>
      <c r="AT77">
        <f>_xlfn.XLOOKUP(B77,'[4]june-2025'!$A:$A,'[4]june-2025'!$H:$H,0,0)</f>
        <v>2500</v>
      </c>
      <c r="AU77">
        <f>_xlfn.XLOOKUP(B77,'[4]june-2025'!$A:$A,'[4]june-2025'!$I:$I,0,0)</f>
        <v>0</v>
      </c>
      <c r="AV77">
        <f>IF($F77="YES",0,IF(AS77&gt;40000,200,IF(AS77&gt;25000,150,IF(AS77&gt;15000,130,IF(AS77&gt;10000,110,0)))))</f>
        <v>200</v>
      </c>
      <c r="AW77">
        <f>AS77-AT77-AU77-AV77</f>
        <v>42650</v>
      </c>
      <c r="AX77">
        <f>_xlfn.XLOOKUP(B77,'[5]july-2025'!$A:$A,'[5]july-2025'!$C:$C,0,0)</f>
        <v>35500</v>
      </c>
      <c r="AY77">
        <f>AX77*0.18</f>
        <v>6390</v>
      </c>
      <c r="AZ77">
        <v>0</v>
      </c>
      <c r="BA77">
        <f>AX77*0.12</f>
        <v>4260</v>
      </c>
      <c r="BB77">
        <f>_xlfn.XLOOKUP(B77,'[5]july-2025'!$A:$A,'[5]july-2025'!$D:$D,0,0)</f>
        <v>0</v>
      </c>
      <c r="BC77">
        <f>_xlfn.XLOOKUP(B77,'[5]july-2025'!$A:$A,'[5]july-2025'!$G:$G,0,0)</f>
        <v>500</v>
      </c>
      <c r="BD77">
        <f>IF(AX77&gt;0,SUM(AX77:BC77),0)</f>
        <v>46650</v>
      </c>
      <c r="BE77">
        <f>_xlfn.XLOOKUP(B77,'[5]july-2025'!$A:$A,'[5]july-2025'!$H:$H,0,0)</f>
        <v>2500</v>
      </c>
      <c r="BF77">
        <f>_xlfn.XLOOKUP(B77,'[5]july-2025'!$A:$A,'[5]july-2025'!$I:$I,0,0)</f>
        <v>0</v>
      </c>
      <c r="BG77">
        <f>IF($F77="YES",0,IF(BD77&gt;40000,200,IF(BD77&gt;25000,150,IF(BD77&gt;15000,130,IF(BD77&gt;10000,110,0)))))</f>
        <v>200</v>
      </c>
      <c r="BH77">
        <f>BD77-BE77-BF77-BG77</f>
        <v>43950</v>
      </c>
      <c r="BI77">
        <f>_xlfn.XLOOKUP(B77,'[6]august-2025'!$A:$A,'[6]august-2025'!$C:$C,0,0)</f>
        <v>35500</v>
      </c>
      <c r="BJ77">
        <f>BI77*0.18</f>
        <v>6390</v>
      </c>
      <c r="BK77">
        <f>BI77*0.12</f>
        <v>4260</v>
      </c>
      <c r="BL77">
        <f>_xlfn.XLOOKUP(B77,'[6]august-2025'!$A:$A,'[6]august-2025'!$D:$D,0,0)</f>
        <v>0</v>
      </c>
      <c r="BM77">
        <f>_xlfn.XLOOKUP(B77,'[6]august-2025'!$A:$A,'[6]august-2025'!$G:$G,0,0)</f>
        <v>500</v>
      </c>
      <c r="BN77">
        <f>IF(BI77&gt;0,SUM(BI77:BM77),0)</f>
        <v>46650</v>
      </c>
      <c r="BO77">
        <f>_xlfn.XLOOKUP(B77,'[6]august-2025'!$A:$A,'[6]august-2025'!$H:$H,0,0)</f>
        <v>2500</v>
      </c>
      <c r="BP77">
        <f>_xlfn.XLOOKUP(B77,'[6]august-2025'!$A:$A,'[6]august-2025'!$I:$I,0,0)</f>
        <v>0</v>
      </c>
      <c r="BQ77">
        <f>IF($F77="YES",0,IF(BN77&gt;40000,200,IF(BN77&gt;25000,150,IF(BN77&gt;15000,130,IF(BN77&gt;10000,110,0)))))</f>
        <v>200</v>
      </c>
      <c r="BR77">
        <f>BN77-BO77-BP77-BQ77</f>
        <v>43950</v>
      </c>
      <c r="BS77">
        <f>_xlfn.XLOOKUP(B77,'[7]september-2025'!$A:$A,'[7]september-2025'!$C:$C,0,0)</f>
        <v>35500</v>
      </c>
      <c r="BT77">
        <f>BS77*0.18</f>
        <v>6390</v>
      </c>
      <c r="BU77">
        <f>BS77*0.12</f>
        <v>4260</v>
      </c>
      <c r="BV77">
        <f>_xlfn.XLOOKUP(B77,'[7]september-2025'!$A:$A,'[7]september-2025'!$D:$D,0,0)</f>
        <v>0</v>
      </c>
      <c r="BW77">
        <f>_xlfn.XLOOKUP(B77,'[7]september-2025'!$A:$A,'[7]september-2025'!$G:$G,0,0)</f>
        <v>500</v>
      </c>
      <c r="BX77">
        <f>IF(BS77&gt;0,SUM(BS77:BW77),0)</f>
        <v>46650</v>
      </c>
      <c r="BY77">
        <f>_xlfn.XLOOKUP(B77,'[7]september-2025'!$A:$A,'[7]september-2025'!$H:$H,0,0)</f>
        <v>2500</v>
      </c>
      <c r="BZ77">
        <f>_xlfn.XLOOKUP(B77,'[7]september-2025'!$A:$A,'[7]september-2025'!$I:$I,0,0)</f>
        <v>0</v>
      </c>
      <c r="CA77">
        <f>IF($F77="YES",0,IF(BX77&gt;40000,200,IF(BX77&gt;25000,150,IF(BX77&gt;15000,130,IF(BX77&gt;10000,110,0)))))</f>
        <v>200</v>
      </c>
      <c r="CB77">
        <f>BX77-BY77-BZ77-CA77</f>
        <v>43950</v>
      </c>
      <c r="CC77">
        <f>_xlfn.XLOOKUP(B77,'[8]october-2025'!$A:$A,'[8]october-2025'!$C:$C,0,0)</f>
        <v>35500</v>
      </c>
      <c r="CD77">
        <f>CC77*0.18</f>
        <v>6390</v>
      </c>
      <c r="CE77">
        <f>CC77*0.12</f>
        <v>4260</v>
      </c>
      <c r="CF77">
        <f>_xlfn.XLOOKUP(B77,'[8]october-2025'!$A:$A,'[8]october-2025'!$D:$D,0,0)</f>
        <v>0</v>
      </c>
      <c r="CG77">
        <f>_xlfn.XLOOKUP(B77,'[8]october-2025'!$A:$A,'[8]october-2025'!$G:$G,0,0)</f>
        <v>500</v>
      </c>
      <c r="CH77">
        <f>IF(CC77&gt;0,SUM(CC77:CG77),0)</f>
        <v>46650</v>
      </c>
      <c r="CI77">
        <f>_xlfn.XLOOKUP(B77,'[8]october-2025'!$A:$A,'[8]october-2025'!$H:$H,0,0)</f>
        <v>2500</v>
      </c>
      <c r="CJ77">
        <f>_xlfn.XLOOKUP(B77,'[8]october-2025'!$A:$A,'[8]october-2025'!$I:$I,0,0)</f>
        <v>0</v>
      </c>
      <c r="CK77">
        <f>IF($F77="YES",0,IF(CH77&gt;40000,200,IF(CH77&gt;25000,150,IF(CH77&gt;15000,130,IF(CH77&gt;10000,110,0)))))</f>
        <v>200</v>
      </c>
      <c r="CL77">
        <f>CH77-CI77-CJ77-CK77</f>
        <v>43950</v>
      </c>
      <c r="CM77">
        <f>_xlfn.XLOOKUP(B77,'[9]november-2025'!$A:$A,'[9]november-2025'!$C:$C,0,0)</f>
        <v>35500</v>
      </c>
      <c r="CN77">
        <f>CM77*0.18</f>
        <v>6390</v>
      </c>
      <c r="CO77">
        <f>CM77*0.12</f>
        <v>4260</v>
      </c>
      <c r="CP77">
        <f>_xlfn.XLOOKUP(B77,'[9]november-2025'!$A:$A,'[9]november-2025'!$D:$D,0,0)</f>
        <v>0</v>
      </c>
      <c r="CQ77">
        <f>_xlfn.XLOOKUP(B77,'[9]november-2025'!$A:$A,'[9]november-2025'!$G:$G,0,0)</f>
        <v>500</v>
      </c>
      <c r="CR77">
        <f>IF(CM77&gt;0,SUM(CM77:CQ77),0)</f>
        <v>46650</v>
      </c>
      <c r="CS77">
        <f>_xlfn.XLOOKUP(B77,'[9]november-2025'!$A:$A,'[9]november-2025'!$H:$H,0,0)</f>
        <v>2500</v>
      </c>
      <c r="CT77">
        <f>_xlfn.XLOOKUP(B77,'[9]november-2025'!$A:$A,'[9]november-2025'!$I:$I,0,0)</f>
        <v>0</v>
      </c>
      <c r="CU77">
        <f>IF($F77="YES",0,IF(CR77&gt;40000,200,IF(CR77&gt;25000,150,IF(CR77&gt;15000,130,IF(CR77&gt;10000,110,0)))))</f>
        <v>200</v>
      </c>
      <c r="CV77">
        <f>CR77-CS77-CT77-CU77</f>
        <v>43950</v>
      </c>
      <c r="CW77">
        <f>_xlfn.XLOOKUP(B77,'[10]december-2025'!$A:$A,'[10]december-2025'!$C:$C,0,0)</f>
        <v>35500</v>
      </c>
      <c r="CX77">
        <f>ROUND(CW77*0.18,0)</f>
        <v>6390</v>
      </c>
      <c r="CY77">
        <f>ROUND(CW77*0.12,0)</f>
        <v>4260</v>
      </c>
      <c r="CZ77">
        <f>_xlfn.XLOOKUP(B77,'[10]december-2025'!$A:$A,'[10]december-2025'!$D:$D,0,0)</f>
        <v>0</v>
      </c>
      <c r="DA77">
        <f>_xlfn.XLOOKUP(B77,'[10]december-2025'!$A:$A,'[10]december-2025'!$G:$G,0,0)</f>
        <v>500</v>
      </c>
      <c r="DB77">
        <f>IF(CW77&gt;0,SUM(CW77:DA77),0)</f>
        <v>46650</v>
      </c>
      <c r="DC77">
        <f>_xlfn.XLOOKUP(B77,'[10]december-2025'!$A:$A,'[10]december-2025'!$H:$H,0,0)</f>
        <v>2500</v>
      </c>
      <c r="DD77">
        <f>_xlfn.XLOOKUP(B77,'[10]december-2025'!$A:$A,'[10]december-2025'!$I:$I,0,0)</f>
        <v>0</v>
      </c>
      <c r="DE77">
        <f>IF($F77="YES",0,IF(DB77&gt;40000,200,IF(DB77&gt;25000,150,IF(DB77&gt;15000,130,IF(DB77&gt;10000,110,0)))))</f>
        <v>200</v>
      </c>
      <c r="DF77">
        <f>DB77-DC77-DD77-DE77</f>
        <v>43950</v>
      </c>
      <c r="DG77">
        <f>_xlfn.XLOOKUP(B77,'[11]january-2026'!$A:$A,'[11]january-2026'!$C:$C,0,0)</f>
        <v>35500</v>
      </c>
      <c r="DH77">
        <f>DG77*0.18</f>
        <v>6390</v>
      </c>
      <c r="DI77">
        <f>DG77*0.12</f>
        <v>4260</v>
      </c>
      <c r="DJ77">
        <f>_xlfn.XLOOKUP(B77,'[11]january-2026'!$A:$A,'[11]january-2026'!$D:$D,0,0)</f>
        <v>0</v>
      </c>
      <c r="DK77">
        <f>_xlfn.XLOOKUP(B77,'[11]january-2026'!$A:$A,'[11]january-2026'!$G:$G,0,0)</f>
        <v>500</v>
      </c>
      <c r="DL77">
        <f>IF(DG77&gt;0,SUM(DG77:DK77),0)</f>
        <v>46650</v>
      </c>
      <c r="DM77">
        <f>_xlfn.XLOOKUP(B77,'[11]january-2026'!$A:$A,'[11]january-2026'!$H:$H,0,0)</f>
        <v>2500</v>
      </c>
      <c r="DN77">
        <f>_xlfn.XLOOKUP(B77,'[11]january-2026'!$A:$A,'[11]january-2026'!$I:$I,0,0)</f>
        <v>0</v>
      </c>
      <c r="DO77">
        <f>IF($F77="YES",0,IF(DL77&gt;40000,200,IF(DL77&gt;25000,150,IF(DL77&gt;15000,130,IF(DL77&gt;10000,110,0)))))</f>
        <v>200</v>
      </c>
      <c r="DP77">
        <f>DL77-DM77-DN77-DO77</f>
        <v>43950</v>
      </c>
      <c r="DQ77">
        <f>_xlfn.XLOOKUP(B77,'[12]february-2026'!$A:$A,'[12]february-2026'!$C:$C,0,0)</f>
        <v>35500</v>
      </c>
      <c r="DR77">
        <f>DQ77*0.18</f>
        <v>6390</v>
      </c>
      <c r="DS77">
        <f>DQ77*0.12</f>
        <v>4260</v>
      </c>
      <c r="DT77">
        <f>_xlfn.XLOOKUP(B77,'[12]february-2026'!$A:$A,'[12]february-2026'!$D:$D,0,0)</f>
        <v>0</v>
      </c>
      <c r="DU77">
        <f>_xlfn.XLOOKUP(B77,'[12]february-2026'!$A:$A,'[12]february-2026'!$G:$G,0,0)</f>
        <v>500</v>
      </c>
      <c r="DV77">
        <f>IF(DQ77&gt;0,SUM(DQ77:DU77),0)</f>
        <v>46650</v>
      </c>
      <c r="DW77">
        <f>_xlfn.XLOOKUP(B77,'[12]february-2026'!$A:$A,'[12]february-2026'!$H:$H,0,0)</f>
        <v>2500</v>
      </c>
      <c r="DX77">
        <f>_xlfn.XLOOKUP(B77,'[12]february-2026'!$A:$A,'[12]february-2026'!$I:$I,0,0)</f>
        <v>0</v>
      </c>
      <c r="DY77">
        <f>IF($F77="YES",0,IF(DV77&gt;40000,200,IF(DV77&gt;25000,150,IF(DV77&gt;15000,130,IF(DV77&gt;10000,110,0)))))</f>
        <v>200</v>
      </c>
      <c r="DZ77">
        <f>DV77-DW77-DX77-DY77</f>
        <v>43950</v>
      </c>
      <c r="EA77">
        <f>DV77+DL77+DB77+CR77+CH77+BX77+BN77+BD77+AS77+AI77+Y77+O77+H77+I77</f>
        <v>560020</v>
      </c>
      <c r="EB77">
        <f>DY77+DO77+DE77+CU77+CK77+CA77+BQ77+BG77+AV77+AL77+AB77+R77</f>
        <v>2400</v>
      </c>
      <c r="EC77">
        <f>IF(EA77&gt;0,50000,0)</f>
        <v>50000</v>
      </c>
      <c r="ED77">
        <v>0</v>
      </c>
      <c r="EE77">
        <f>EA77-EB77-EC77</f>
        <v>507620</v>
      </c>
      <c r="EF77">
        <f>DW77+DM77+DC77+CS77+CI77+BY77+BO77+BE77+AT77+AJ77+Z77+P77</f>
        <v>30000</v>
      </c>
      <c r="EG77">
        <f>DX77+DN77+DD77+CT77+CJ77+BZ77+BP77+BF77+AU77+AK77+AA77+Q77</f>
        <v>0</v>
      </c>
      <c r="EH77">
        <v>0</v>
      </c>
      <c r="EI77">
        <v>0</v>
      </c>
      <c r="EJ77">
        <v>0</v>
      </c>
      <c r="EK77">
        <v>0</v>
      </c>
      <c r="EL77">
        <v>0</v>
      </c>
      <c r="EM77">
        <v>0</v>
      </c>
      <c r="EN77">
        <v>0</v>
      </c>
      <c r="EO77">
        <v>0</v>
      </c>
      <c r="EP77">
        <v>0</v>
      </c>
      <c r="EQ77">
        <v>0</v>
      </c>
      <c r="ER77">
        <f>SUM(EF77:EQ77)</f>
        <v>30000</v>
      </c>
      <c r="ES77">
        <f>IF(ER77&gt;=150000,150000,ER77)</f>
        <v>30000</v>
      </c>
      <c r="ET77">
        <f>EE77-ES77</f>
        <v>477620</v>
      </c>
      <c r="EU77">
        <v>0</v>
      </c>
      <c r="EV77">
        <v>0</v>
      </c>
      <c r="EW77">
        <v>0</v>
      </c>
      <c r="EX77">
        <v>0</v>
      </c>
      <c r="EY77">
        <v>0</v>
      </c>
      <c r="EZ77">
        <v>0</v>
      </c>
      <c r="FA77">
        <v>0</v>
      </c>
      <c r="FB77">
        <f>SUM(EU77:FA77)+(IF(F77="YES",50000,0))</f>
        <v>0</v>
      </c>
      <c r="FC77">
        <f>ET77-FB77</f>
        <v>477620</v>
      </c>
      <c r="FD77">
        <f>ROUND(IF(FC77&gt;0,IF(FC77&gt;500000,12500,(FC77-250000)*0.05),0),0)</f>
        <v>11381</v>
      </c>
      <c r="FE77">
        <f>IF(ROUND(IF(FC77&gt;0,IF(FC77&gt;1000000,25000,(FC77-500000)*0.2),0),0)&lt;0,0,ROUND(IF(FC77&gt;0,IF(FC77&gt;1000000,25000,(FC77-500000)*0.2),0),0))</f>
        <v>0</v>
      </c>
      <c r="FF77">
        <f>FD77+FE77</f>
        <v>11381</v>
      </c>
      <c r="FG77">
        <f>IF(FF77&lt;12500,0,FF77)</f>
        <v>0</v>
      </c>
      <c r="FH77">
        <f>FG77*0.04</f>
        <v>0</v>
      </c>
      <c r="FI77">
        <f>ROUND(FH77+FG77,0)</f>
        <v>0</v>
      </c>
      <c r="FJ77">
        <v>0</v>
      </c>
      <c r="FK77">
        <f>FI77-FJ77</f>
        <v>0</v>
      </c>
      <c r="FL77" t="b">
        <f>IF(EA77&gt;500000,TRUE,FALSE)</f>
        <v>1</v>
      </c>
      <c r="FM77">
        <f ca="1">IF(FL77,RANDBETWEEN(500,1000),RANDBETWEEN(1000,3000))</f>
        <v>924</v>
      </c>
      <c r="FN77">
        <f ca="1">EA77+FM77</f>
        <v>560944</v>
      </c>
      <c r="FO77">
        <f>IF(EA77&gt;0,75000,0)</f>
        <v>75000</v>
      </c>
      <c r="FP77">
        <f ca="1">FN77-FO77</f>
        <v>485944</v>
      </c>
      <c r="FQ77">
        <f ca="1">IF(FP77&gt;2400000,FP77-2400000,0)</f>
        <v>0</v>
      </c>
      <c r="FR77">
        <f ca="1">FQ77*0.3</f>
        <v>0</v>
      </c>
      <c r="FS77">
        <f ca="1">IF(FP77&gt;2000000,FP77-2000000,0)</f>
        <v>0</v>
      </c>
      <c r="FT77">
        <f ca="1">FS77*0.25</f>
        <v>0</v>
      </c>
      <c r="FU77">
        <f ca="1">IF(FP77&gt;1600000,FP77-1600000-FQ77,0)</f>
        <v>0</v>
      </c>
      <c r="FV77">
        <f ca="1">FU77*0.2</f>
        <v>0</v>
      </c>
      <c r="FW77">
        <f ca="1">IF(FP77&gt;1200000,FP77-1200000-IF(F77="YES",50000,0)-FU77,0)</f>
        <v>0</v>
      </c>
      <c r="FX77">
        <f ca="1">FW77*0.15</f>
        <v>0</v>
      </c>
      <c r="FY77">
        <f ca="1">IF(FP77&gt;800000,FP77-800000-FQ77-FU77-FW77,0)</f>
        <v>0</v>
      </c>
      <c r="FZ77">
        <f ca="1">FY77*0.1</f>
        <v>0</v>
      </c>
      <c r="GA77">
        <f ca="1">IF(FP77&gt;400000,FP77-400000-FQ77-FU77-FW77-FY77,0)</f>
        <v>85944</v>
      </c>
      <c r="GB77">
        <f ca="1">GA77*0.05</f>
        <v>4297.2</v>
      </c>
      <c r="GC77">
        <f ca="1">ROUND(FR77+FT77+FV77+FX77+FZ77+GB77,0)</f>
        <v>4297</v>
      </c>
      <c r="GD77">
        <f ca="1">IF(FP77&gt;1200000,FP77,0)</f>
        <v>0</v>
      </c>
      <c r="GE77">
        <f ca="1">IF(FP77&gt;1200000,GD77-1200000,0)</f>
        <v>0</v>
      </c>
      <c r="GF77">
        <f ca="1">IF(FP77&lt;1200001,MIN(GC77,60000),0)</f>
        <v>4297</v>
      </c>
      <c r="GG77">
        <f ca="1">IF(FP77&gt;1200000,GC77-GE77,0)</f>
        <v>0</v>
      </c>
      <c r="GH77" t="b">
        <f ca="1">IF(GG77&gt;0,TRUE,FALSE)</f>
        <v>0</v>
      </c>
      <c r="GI77">
        <f ca="1">IF(GH77,GG77,0)</f>
        <v>0</v>
      </c>
      <c r="GJ77">
        <f ca="1">GF77+GI77</f>
        <v>4297</v>
      </c>
      <c r="GK77">
        <f ca="1">ROUND(GC77-GJ77,0)</f>
        <v>0</v>
      </c>
      <c r="GL77">
        <f ca="1">GK77*0.04</f>
        <v>0</v>
      </c>
      <c r="GM77">
        <f ca="1">ROUNDUP(GK77+GL77,0)</f>
        <v>0</v>
      </c>
    </row>
    <row r="78" spans="1:195" x14ac:dyDescent="0.25">
      <c r="A78">
        <f>_xlfn.AGGREGATE(3,5,$B$2:B78)</f>
        <v>77</v>
      </c>
      <c r="B78" t="s">
        <v>274</v>
      </c>
      <c r="C78" t="s">
        <v>275</v>
      </c>
      <c r="D78" t="s">
        <v>772</v>
      </c>
      <c r="E78" t="s">
        <v>833</v>
      </c>
      <c r="F78" t="s">
        <v>959</v>
      </c>
      <c r="G78" t="s">
        <v>881</v>
      </c>
      <c r="H78">
        <f>IF(_xlfn.DAYS("31-03-2025",G78)&gt;=180,6800,0)</f>
        <v>6800</v>
      </c>
      <c r="I78">
        <f>_xlfn.XLOOKUP(B78,'[1]march-2025'!$A:$A,'[1]march-2025'!$J:$J,0,0)</f>
        <v>0</v>
      </c>
      <c r="J78">
        <f>_xlfn.XLOOKUP(B78,'[1]march-2025'!$A:$A,'[1]march-2025'!$C:$C,0,0)</f>
        <v>27000</v>
      </c>
      <c r="K78">
        <f>J78*0.14</f>
        <v>3780.0000000000005</v>
      </c>
      <c r="L78">
        <f>J78*0.12</f>
        <v>3240</v>
      </c>
      <c r="M78">
        <f>_xlfn.XLOOKUP(B78,'[1]march-2025'!$A:$A,'[1]march-2025'!$D:$D,0,0)</f>
        <v>0</v>
      </c>
      <c r="N78">
        <f>_xlfn.XLOOKUP(B78,'[1]march-2025'!$A:$A,'[1]march-2025'!$G:$G,0,0)</f>
        <v>500</v>
      </c>
      <c r="O78">
        <f>IF(J78&gt;0,SUM(J78:N78),0)</f>
        <v>34520</v>
      </c>
      <c r="P78">
        <f>_xlfn.XLOOKUP(B78,'[1]march-2025'!$A:$A,'[1]march-2025'!$H:$H,0,0)</f>
        <v>2000</v>
      </c>
      <c r="Q78">
        <f>_xlfn.XLOOKUP(B78,'[1]march-2025'!$A:$A,'[1]march-2025'!$I:$I,0,0)</f>
        <v>0</v>
      </c>
      <c r="R78">
        <f>IF($F78="YES",0,IF(O78&gt;40000,200,IF(O78&gt;25000,150,IF(O78&gt;15000,130,IF(O78&gt;10000,110,0)))))</f>
        <v>150</v>
      </c>
      <c r="S78">
        <f>O78-P78-Q78-R78</f>
        <v>32370</v>
      </c>
      <c r="T78">
        <f>_xlfn.XLOOKUP(B78,'[2]april-2025'!$A:$A,'[2]april-2025'!$C:$C,0,0)</f>
        <v>27000</v>
      </c>
      <c r="U78">
        <f>T78*0.18</f>
        <v>4860</v>
      </c>
      <c r="V78">
        <f>T78*0.12</f>
        <v>3240</v>
      </c>
      <c r="W78">
        <f>_xlfn.XLOOKUP(B78,'[2]april-2025'!$A:$A,'[2]april-2025'!$D:$D,0,0)</f>
        <v>0</v>
      </c>
      <c r="X78">
        <f>_xlfn.XLOOKUP(B78,'[2]april-2025'!$A:$A,'[2]april-2025'!$G:$G,0,0)</f>
        <v>500</v>
      </c>
      <c r="Y78">
        <f>IF(T78&gt;0,SUM(T78:X78),0)</f>
        <v>35600</v>
      </c>
      <c r="Z78">
        <f>_xlfn.XLOOKUP(B78,'[2]april-2025'!$A:$A,'[2]april-2025'!$H:$H,0,0)</f>
        <v>2000</v>
      </c>
      <c r="AA78">
        <f>_xlfn.XLOOKUP(B78,'[2]april-2025'!$A:$A,'[2]april-2025'!$I:$I,0,0)</f>
        <v>0</v>
      </c>
      <c r="AB78">
        <f>IF($F78="YES",0,IF(Y78&gt;40000,200,IF(Y78&gt;25000,150,IF(Y78&gt;15000,130,IF(Y78&gt;10000,110,0)))))</f>
        <v>150</v>
      </c>
      <c r="AC78">
        <f>Y78-Z78-AA78-AB78</f>
        <v>33450</v>
      </c>
      <c r="AD78">
        <f>_xlfn.XLOOKUP(B78,'[3]may-2025'!$A:$A,'[3]may-2025'!$C:$C,0,0)</f>
        <v>31600</v>
      </c>
      <c r="AE78">
        <f>AD78*0.18</f>
        <v>5688</v>
      </c>
      <c r="AF78">
        <f>AD78*0.12</f>
        <v>3792</v>
      </c>
      <c r="AG78">
        <f>_xlfn.XLOOKUP(B78,'[3]may-2025'!$A:$A,'[3]may-2025'!$D:$D,0,0)</f>
        <v>0</v>
      </c>
      <c r="AH78">
        <f>_xlfn.XLOOKUP(B78,'[3]may-2025'!$A:$A,'[3]may-2025'!$G:$G,0,0)</f>
        <v>500</v>
      </c>
      <c r="AI78">
        <f>IF(AD78&gt;0,SUM(AD78:AH78),0)</f>
        <v>41580</v>
      </c>
      <c r="AJ78">
        <f>_xlfn.XLOOKUP(B78,'[3]may-2025'!$A:$A,'[3]may-2025'!$H:$H,0,0)</f>
        <v>2000</v>
      </c>
      <c r="AK78">
        <f>_xlfn.XLOOKUP(B78,'[3]may-2025'!$A:$A,'[3]may-2025'!$I:$I,0,0)</f>
        <v>0</v>
      </c>
      <c r="AL78">
        <f>IF($F78="YES",0,IF(AI78&gt;40000,200,IF(AI78&gt;25000,150,IF(AI78&gt;15000,130,IF(AI78&gt;10000,110,0)))))</f>
        <v>200</v>
      </c>
      <c r="AM78">
        <f>AI78-AJ78-AK78-AL78</f>
        <v>39380</v>
      </c>
      <c r="AN78">
        <f>_xlfn.XLOOKUP(B78,'[4]june-2025'!$A:$A,'[4]june-2025'!$C:$C,0,0)</f>
        <v>31600</v>
      </c>
      <c r="AO78">
        <f>AN78*0.18</f>
        <v>5688</v>
      </c>
      <c r="AP78">
        <f>AN78*0.12</f>
        <v>3792</v>
      </c>
      <c r="AQ78">
        <f>_xlfn.XLOOKUP(B78,'[4]june-2025'!$A:$A,'[4]june-2025'!$D:$D,0,0)</f>
        <v>0</v>
      </c>
      <c r="AR78">
        <f>_xlfn.XLOOKUP(B78,'[4]june-2025'!$A:$A,'[4]june-2025'!$G:$G,0,0)</f>
        <v>500</v>
      </c>
      <c r="AS78">
        <f>IF(AN78&gt;0,SUM(AN78:AR78),0)</f>
        <v>41580</v>
      </c>
      <c r="AT78">
        <f>_xlfn.XLOOKUP(B78,'[4]june-2025'!$A:$A,'[4]june-2025'!$H:$H,0,0)</f>
        <v>2000</v>
      </c>
      <c r="AU78">
        <f>_xlfn.XLOOKUP(B78,'[4]june-2025'!$A:$A,'[4]june-2025'!$I:$I,0,0)</f>
        <v>0</v>
      </c>
      <c r="AV78">
        <f>IF($F78="YES",0,IF(AS78&gt;40000,200,IF(AS78&gt;25000,150,IF(AS78&gt;15000,130,IF(AS78&gt;10000,110,0)))))</f>
        <v>200</v>
      </c>
      <c r="AW78">
        <f>AS78-AT78-AU78-AV78</f>
        <v>39380</v>
      </c>
      <c r="AX78">
        <f>_xlfn.XLOOKUP(B78,'[5]july-2025'!$A:$A,'[5]july-2025'!$C:$C,0,0)</f>
        <v>32500</v>
      </c>
      <c r="AY78">
        <f>AX78*0.18</f>
        <v>5850</v>
      </c>
      <c r="AZ78">
        <v>0</v>
      </c>
      <c r="BA78">
        <f>AX78*0.12</f>
        <v>3900</v>
      </c>
      <c r="BB78">
        <f>_xlfn.XLOOKUP(B78,'[5]july-2025'!$A:$A,'[5]july-2025'!$D:$D,0,0)</f>
        <v>0</v>
      </c>
      <c r="BC78">
        <f>_xlfn.XLOOKUP(B78,'[5]july-2025'!$A:$A,'[5]july-2025'!$G:$G,0,0)</f>
        <v>500</v>
      </c>
      <c r="BD78">
        <f>IF(AX78&gt;0,SUM(AX78:BC78),0)</f>
        <v>42750</v>
      </c>
      <c r="BE78">
        <f>_xlfn.XLOOKUP(B78,'[5]july-2025'!$A:$A,'[5]july-2025'!$H:$H,0,0)</f>
        <v>2000</v>
      </c>
      <c r="BF78">
        <f>_xlfn.XLOOKUP(B78,'[5]july-2025'!$A:$A,'[5]july-2025'!$I:$I,0,0)</f>
        <v>0</v>
      </c>
      <c r="BG78">
        <f>IF($F78="YES",0,IF(BD78&gt;40000,200,IF(BD78&gt;25000,150,IF(BD78&gt;15000,130,IF(BD78&gt;10000,110,0)))))</f>
        <v>200</v>
      </c>
      <c r="BH78">
        <f>BD78-BE78-BF78-BG78</f>
        <v>40550</v>
      </c>
      <c r="BI78">
        <f>_xlfn.XLOOKUP(B78,'[6]august-2025'!$A:$A,'[6]august-2025'!$C:$C,0,0)</f>
        <v>27800</v>
      </c>
      <c r="BJ78">
        <f>BI78*0.18</f>
        <v>5004</v>
      </c>
      <c r="BK78">
        <f>BI78*0.12</f>
        <v>3336</v>
      </c>
      <c r="BL78">
        <f>_xlfn.XLOOKUP(B78,'[6]august-2025'!$A:$A,'[6]august-2025'!$D:$D,0,0)</f>
        <v>0</v>
      </c>
      <c r="BM78">
        <f>_xlfn.XLOOKUP(B78,'[6]august-2025'!$A:$A,'[6]august-2025'!$G:$G,0,0)</f>
        <v>500</v>
      </c>
      <c r="BN78">
        <f>IF(BI78&gt;0,SUM(BI78:BM78),0)</f>
        <v>36640</v>
      </c>
      <c r="BO78">
        <f>_xlfn.XLOOKUP(B78,'[6]august-2025'!$A:$A,'[6]august-2025'!$H:$H,0,0)</f>
        <v>2000</v>
      </c>
      <c r="BP78">
        <f>_xlfn.XLOOKUP(B78,'[6]august-2025'!$A:$A,'[6]august-2025'!$I:$I,0,0)</f>
        <v>0</v>
      </c>
      <c r="BQ78">
        <f>IF($F78="YES",0,IF(BN78&gt;40000,200,IF(BN78&gt;25000,150,IF(BN78&gt;15000,130,IF(BN78&gt;10000,110,0)))))</f>
        <v>150</v>
      </c>
      <c r="BR78">
        <f>BN78-BO78-BP78-BQ78</f>
        <v>34490</v>
      </c>
      <c r="BS78">
        <f>_xlfn.XLOOKUP(B78,'[7]september-2025'!$A:$A,'[7]september-2025'!$C:$C,0,0)</f>
        <v>32500</v>
      </c>
      <c r="BT78">
        <f>BS78*0.18</f>
        <v>5850</v>
      </c>
      <c r="BU78">
        <f>BS78*0.12</f>
        <v>3900</v>
      </c>
      <c r="BV78">
        <f>_xlfn.XLOOKUP(B78,'[7]september-2025'!$A:$A,'[7]september-2025'!$D:$D,0,0)</f>
        <v>0</v>
      </c>
      <c r="BW78">
        <f>_xlfn.XLOOKUP(B78,'[7]september-2025'!$A:$A,'[7]september-2025'!$G:$G,0,0)</f>
        <v>500</v>
      </c>
      <c r="BX78">
        <f>IF(BS78&gt;0,SUM(BS78:BW78),0)</f>
        <v>42750</v>
      </c>
      <c r="BY78">
        <f>_xlfn.XLOOKUP(B78,'[7]september-2025'!$A:$A,'[7]september-2025'!$H:$H,0,0)</f>
        <v>2000</v>
      </c>
      <c r="BZ78">
        <f>_xlfn.XLOOKUP(B78,'[7]september-2025'!$A:$A,'[7]september-2025'!$I:$I,0,0)</f>
        <v>0</v>
      </c>
      <c r="CA78">
        <f>IF($F78="YES",0,IF(BX78&gt;40000,200,IF(BX78&gt;25000,150,IF(BX78&gt;15000,130,IF(BX78&gt;10000,110,0)))))</f>
        <v>200</v>
      </c>
      <c r="CB78">
        <f>BX78-BY78-BZ78-CA78</f>
        <v>40550</v>
      </c>
      <c r="CC78">
        <f>_xlfn.XLOOKUP(B78,'[8]october-2025'!$A:$A,'[8]october-2025'!$C:$C,0,0)</f>
        <v>27800</v>
      </c>
      <c r="CD78">
        <f>CC78*0.18</f>
        <v>5004</v>
      </c>
      <c r="CE78">
        <f>CC78*0.12</f>
        <v>3336</v>
      </c>
      <c r="CF78">
        <f>_xlfn.XLOOKUP(B78,'[8]october-2025'!$A:$A,'[8]october-2025'!$D:$D,0,0)</f>
        <v>0</v>
      </c>
      <c r="CG78">
        <f>_xlfn.XLOOKUP(B78,'[8]october-2025'!$A:$A,'[8]october-2025'!$G:$G,0,0)</f>
        <v>500</v>
      </c>
      <c r="CH78">
        <f>IF(CC78&gt;0,SUM(CC78:CG78),0)</f>
        <v>36640</v>
      </c>
      <c r="CI78">
        <f>_xlfn.XLOOKUP(B78,'[8]october-2025'!$A:$A,'[8]october-2025'!$H:$H,0,0)</f>
        <v>2000</v>
      </c>
      <c r="CJ78">
        <f>_xlfn.XLOOKUP(B78,'[8]october-2025'!$A:$A,'[8]october-2025'!$I:$I,0,0)</f>
        <v>0</v>
      </c>
      <c r="CK78">
        <f>IF($F78="YES",0,IF(CH78&gt;40000,200,IF(CH78&gt;25000,150,IF(CH78&gt;15000,130,IF(CH78&gt;10000,110,0)))))</f>
        <v>150</v>
      </c>
      <c r="CL78">
        <f>CH78-CI78-CJ78-CK78</f>
        <v>34490</v>
      </c>
      <c r="CM78">
        <f>_xlfn.XLOOKUP(B78,'[9]november-2025'!$A:$A,'[9]november-2025'!$C:$C,0,0)</f>
        <v>27800</v>
      </c>
      <c r="CN78">
        <f>CM78*0.18</f>
        <v>5004</v>
      </c>
      <c r="CO78">
        <f>CM78*0.12</f>
        <v>3336</v>
      </c>
      <c r="CP78">
        <f>_xlfn.XLOOKUP(B78,'[9]november-2025'!$A:$A,'[9]november-2025'!$D:$D,0,0)</f>
        <v>0</v>
      </c>
      <c r="CQ78">
        <f>_xlfn.XLOOKUP(B78,'[9]november-2025'!$A:$A,'[9]november-2025'!$G:$G,0,0)</f>
        <v>500</v>
      </c>
      <c r="CR78">
        <f>IF(CM78&gt;0,SUM(CM78:CQ78),0)</f>
        <v>36640</v>
      </c>
      <c r="CS78">
        <f>_xlfn.XLOOKUP(B78,'[9]november-2025'!$A:$A,'[9]november-2025'!$H:$H,0,0)</f>
        <v>2000</v>
      </c>
      <c r="CT78">
        <f>_xlfn.XLOOKUP(B78,'[9]november-2025'!$A:$A,'[9]november-2025'!$I:$I,0,0)</f>
        <v>0</v>
      </c>
      <c r="CU78">
        <f>IF($F78="YES",0,IF(CR78&gt;40000,200,IF(CR78&gt;25000,150,IF(CR78&gt;15000,130,IF(CR78&gt;10000,110,0)))))</f>
        <v>150</v>
      </c>
      <c r="CV78">
        <f>CR78-CS78-CT78-CU78</f>
        <v>34490</v>
      </c>
      <c r="CW78">
        <f>_xlfn.XLOOKUP(B78,'[10]december-2025'!$A:$A,'[10]december-2025'!$C:$C,0,0)</f>
        <v>27800</v>
      </c>
      <c r="CX78">
        <f>ROUND(CW78*0.18,0)</f>
        <v>5004</v>
      </c>
      <c r="CY78">
        <f>ROUND(CW78*0.12,0)</f>
        <v>3336</v>
      </c>
      <c r="CZ78">
        <f>_xlfn.XLOOKUP(B78,'[10]december-2025'!$A:$A,'[10]december-2025'!$D:$D,0,0)</f>
        <v>0</v>
      </c>
      <c r="DA78">
        <f>_xlfn.XLOOKUP(B78,'[10]december-2025'!$A:$A,'[10]december-2025'!$G:$G,0,0)</f>
        <v>500</v>
      </c>
      <c r="DB78">
        <f>IF(CW78&gt;0,SUM(CW78:DA78),0)</f>
        <v>36640</v>
      </c>
      <c r="DC78">
        <f>_xlfn.XLOOKUP(B78,'[10]december-2025'!$A:$A,'[10]december-2025'!$H:$H,0,0)</f>
        <v>2000</v>
      </c>
      <c r="DD78">
        <f>_xlfn.XLOOKUP(B78,'[10]december-2025'!$A:$A,'[10]december-2025'!$I:$I,0,0)</f>
        <v>0</v>
      </c>
      <c r="DE78">
        <f>IF($F78="YES",0,IF(DB78&gt;40000,200,IF(DB78&gt;25000,150,IF(DB78&gt;15000,130,IF(DB78&gt;10000,110,0)))))</f>
        <v>150</v>
      </c>
      <c r="DF78">
        <f>DB78-DC78-DD78-DE78</f>
        <v>34490</v>
      </c>
      <c r="DG78">
        <f>_xlfn.XLOOKUP(B78,'[11]january-2026'!$A:$A,'[11]january-2026'!$C:$C,0,0)</f>
        <v>27800</v>
      </c>
      <c r="DH78">
        <f>DG78*0.18</f>
        <v>5004</v>
      </c>
      <c r="DI78">
        <f>DG78*0.12</f>
        <v>3336</v>
      </c>
      <c r="DJ78">
        <f>_xlfn.XLOOKUP(B78,'[11]january-2026'!$A:$A,'[11]january-2026'!$D:$D,0,0)</f>
        <v>0</v>
      </c>
      <c r="DK78">
        <f>_xlfn.XLOOKUP(B78,'[11]january-2026'!$A:$A,'[11]january-2026'!$G:$G,0,0)</f>
        <v>500</v>
      </c>
      <c r="DL78">
        <f>IF(DG78&gt;0,SUM(DG78:DK78),0)</f>
        <v>36640</v>
      </c>
      <c r="DM78">
        <f>_xlfn.XLOOKUP(B78,'[11]january-2026'!$A:$A,'[11]january-2026'!$H:$H,0,0)</f>
        <v>2000</v>
      </c>
      <c r="DN78">
        <f>_xlfn.XLOOKUP(B78,'[11]january-2026'!$A:$A,'[11]january-2026'!$I:$I,0,0)</f>
        <v>0</v>
      </c>
      <c r="DO78">
        <f>IF($F78="YES",0,IF(DL78&gt;40000,200,IF(DL78&gt;25000,150,IF(DL78&gt;15000,130,IF(DL78&gt;10000,110,0)))))</f>
        <v>150</v>
      </c>
      <c r="DP78">
        <f>DL78-DM78-DN78-DO78</f>
        <v>34490</v>
      </c>
      <c r="DQ78">
        <f>_xlfn.XLOOKUP(B78,'[12]february-2026'!$A:$A,'[12]february-2026'!$C:$C,0,0)</f>
        <v>27800</v>
      </c>
      <c r="DR78">
        <f>DQ78*0.18</f>
        <v>5004</v>
      </c>
      <c r="DS78">
        <f>DQ78*0.12</f>
        <v>3336</v>
      </c>
      <c r="DT78">
        <f>_xlfn.XLOOKUP(B78,'[12]february-2026'!$A:$A,'[12]february-2026'!$D:$D,0,0)</f>
        <v>0</v>
      </c>
      <c r="DU78">
        <f>_xlfn.XLOOKUP(B78,'[12]february-2026'!$A:$A,'[12]february-2026'!$G:$G,0,0)</f>
        <v>500</v>
      </c>
      <c r="DV78">
        <f>IF(DQ78&gt;0,SUM(DQ78:DU78),0)</f>
        <v>36640</v>
      </c>
      <c r="DW78">
        <f>_xlfn.XLOOKUP(B78,'[12]february-2026'!$A:$A,'[12]february-2026'!$H:$H,0,0)</f>
        <v>2000</v>
      </c>
      <c r="DX78">
        <f>_xlfn.XLOOKUP(B78,'[12]february-2026'!$A:$A,'[12]february-2026'!$I:$I,0,0)</f>
        <v>0</v>
      </c>
      <c r="DY78">
        <f>IF($F78="YES",0,IF(DV78&gt;40000,200,IF(DV78&gt;25000,150,IF(DV78&gt;15000,130,IF(DV78&gt;10000,110,0)))))</f>
        <v>150</v>
      </c>
      <c r="DZ78">
        <f>DV78-DW78-DX78-DY78</f>
        <v>34490</v>
      </c>
      <c r="EA78">
        <f>DV78+DL78+DB78+CR78+CH78+BX78+BN78+BD78+AS78+AI78+Y78+O78+H78+I78</f>
        <v>465420</v>
      </c>
      <c r="EB78">
        <f>DY78+DO78+DE78+CU78+CK78+CA78+BQ78+BG78+AV78+AL78+AB78+R78</f>
        <v>2000</v>
      </c>
      <c r="EC78">
        <f>IF(EA78&gt;0,50000,0)</f>
        <v>50000</v>
      </c>
      <c r="ED78">
        <v>0</v>
      </c>
      <c r="EE78">
        <f>EA78-EB78-EC78</f>
        <v>413420</v>
      </c>
      <c r="EF78">
        <f>DW78+DM78+DC78+CS78+CI78+BY78+BO78+BE78+AT78+AJ78+Z78+P78</f>
        <v>24000</v>
      </c>
      <c r="EG78">
        <f>DX78+DN78+DD78+CT78+CJ78+BZ78+BP78+BF78+AU78+AK78+AA78+Q78</f>
        <v>0</v>
      </c>
      <c r="EH78">
        <v>0</v>
      </c>
      <c r="EI78">
        <v>0</v>
      </c>
      <c r="EJ78">
        <v>0</v>
      </c>
      <c r="EK78">
        <v>0</v>
      </c>
      <c r="EL78">
        <v>0</v>
      </c>
      <c r="EM78">
        <v>0</v>
      </c>
      <c r="EN78">
        <v>0</v>
      </c>
      <c r="EO78">
        <v>0</v>
      </c>
      <c r="EP78">
        <v>0</v>
      </c>
      <c r="EQ78">
        <v>0</v>
      </c>
      <c r="ER78">
        <f>SUM(EF78:EQ78)</f>
        <v>24000</v>
      </c>
      <c r="ES78">
        <f>IF(ER78&gt;=150000,150000,ER78)</f>
        <v>24000</v>
      </c>
      <c r="ET78">
        <f>EE78-ES78</f>
        <v>389420</v>
      </c>
      <c r="EU78">
        <v>0</v>
      </c>
      <c r="EV78">
        <v>0</v>
      </c>
      <c r="EW78">
        <v>0</v>
      </c>
      <c r="EX78">
        <v>0</v>
      </c>
      <c r="EY78">
        <v>0</v>
      </c>
      <c r="EZ78">
        <v>0</v>
      </c>
      <c r="FA78">
        <v>0</v>
      </c>
      <c r="FB78">
        <f>SUM(EU78:FA78)+(IF(F78="YES",50000,0))</f>
        <v>0</v>
      </c>
      <c r="FC78">
        <f>ET78-FB78</f>
        <v>389420</v>
      </c>
      <c r="FD78">
        <f>ROUND(IF(FC78&gt;0,IF(FC78&gt;500000,12500,(FC78-250000)*0.05),0),0)</f>
        <v>6971</v>
      </c>
      <c r="FE78">
        <f>IF(ROUND(IF(FC78&gt;0,IF(FC78&gt;1000000,25000,(FC78-500000)*0.2),0),0)&lt;0,0,ROUND(IF(FC78&gt;0,IF(FC78&gt;1000000,25000,(FC78-500000)*0.2),0),0))</f>
        <v>0</v>
      </c>
      <c r="FF78">
        <f>FD78+FE78</f>
        <v>6971</v>
      </c>
      <c r="FG78">
        <f>IF(FF78&lt;12500,0,FF78)</f>
        <v>0</v>
      </c>
      <c r="FH78">
        <f>FG78*0.04</f>
        <v>0</v>
      </c>
      <c r="FI78">
        <f>ROUND(FH78+FG78,0)</f>
        <v>0</v>
      </c>
      <c r="FJ78">
        <v>0</v>
      </c>
      <c r="FK78">
        <f>FI78-FJ78</f>
        <v>0</v>
      </c>
      <c r="FL78" t="b">
        <f>IF(EA78&gt;500000,TRUE,FALSE)</f>
        <v>0</v>
      </c>
      <c r="FM78">
        <f ca="1">IF(FL78,RANDBETWEEN(500,1000),RANDBETWEEN(1000,3000))</f>
        <v>2796</v>
      </c>
      <c r="FN78">
        <f ca="1">EA78+FM78</f>
        <v>468216</v>
      </c>
      <c r="FO78">
        <f>IF(EA78&gt;0,75000,0)</f>
        <v>75000</v>
      </c>
      <c r="FP78">
        <f ca="1">FN78-FO78</f>
        <v>393216</v>
      </c>
      <c r="FQ78">
        <f ca="1">IF(FP78&gt;2400000,FP78-2400000,0)</f>
        <v>0</v>
      </c>
      <c r="FR78">
        <f ca="1">FQ78*0.3</f>
        <v>0</v>
      </c>
      <c r="FS78">
        <f ca="1">IF(FP78&gt;2000000,FP78-2000000,0)</f>
        <v>0</v>
      </c>
      <c r="FT78">
        <f ca="1">FS78*0.25</f>
        <v>0</v>
      </c>
      <c r="FU78">
        <f ca="1">IF(FP78&gt;1600000,FP78-1600000-FQ78,0)</f>
        <v>0</v>
      </c>
      <c r="FV78">
        <f ca="1">FU78*0.2</f>
        <v>0</v>
      </c>
      <c r="FW78">
        <f ca="1">IF(FP78&gt;1200000,FP78-1200000-IF(F78="YES",50000,0)-FU78,0)</f>
        <v>0</v>
      </c>
      <c r="FX78">
        <f ca="1">FW78*0.15</f>
        <v>0</v>
      </c>
      <c r="FY78">
        <f ca="1">IF(FP78&gt;800000,FP78-800000-FQ78-FU78-FW78,0)</f>
        <v>0</v>
      </c>
      <c r="FZ78">
        <f ca="1">FY78*0.1</f>
        <v>0</v>
      </c>
      <c r="GA78">
        <f ca="1">IF(FP78&gt;400000,FP78-400000-FQ78-FU78-FW78-FY78,0)</f>
        <v>0</v>
      </c>
      <c r="GB78">
        <f ca="1">GA78*0.05</f>
        <v>0</v>
      </c>
      <c r="GC78">
        <f ca="1">ROUND(FR78+FT78+FV78+FX78+FZ78+GB78,0)</f>
        <v>0</v>
      </c>
      <c r="GD78">
        <f ca="1">IF(FP78&gt;1200000,FP78,0)</f>
        <v>0</v>
      </c>
      <c r="GE78">
        <f ca="1">IF(FP78&gt;1200000,GD78-1200000,0)</f>
        <v>0</v>
      </c>
      <c r="GF78">
        <f ca="1">IF(FP78&lt;1200001,MIN(GC78,60000),0)</f>
        <v>0</v>
      </c>
      <c r="GG78">
        <f ca="1">IF(FP78&gt;1200000,GC78-GE78,0)</f>
        <v>0</v>
      </c>
      <c r="GH78" t="b">
        <f ca="1">IF(GG78&gt;0,TRUE,FALSE)</f>
        <v>0</v>
      </c>
      <c r="GI78">
        <f ca="1">IF(GH78,GG78,0)</f>
        <v>0</v>
      </c>
      <c r="GJ78">
        <f ca="1">GF78+GI78</f>
        <v>0</v>
      </c>
      <c r="GK78">
        <f ca="1">ROUND(GC78-GJ78,0)</f>
        <v>0</v>
      </c>
      <c r="GL78">
        <f ca="1">GK78*0.04</f>
        <v>0</v>
      </c>
      <c r="GM78">
        <f ca="1">ROUNDUP(GK78+GL78,0)</f>
        <v>0</v>
      </c>
    </row>
    <row r="79" spans="1:195" x14ac:dyDescent="0.25">
      <c r="A79">
        <f>_xlfn.AGGREGATE(3,5,$B$2:B79)</f>
        <v>78</v>
      </c>
      <c r="B79" t="s">
        <v>276</v>
      </c>
      <c r="C79" t="s">
        <v>277</v>
      </c>
      <c r="D79" t="s">
        <v>772</v>
      </c>
      <c r="E79" t="s">
        <v>833</v>
      </c>
      <c r="F79" t="s">
        <v>959</v>
      </c>
      <c r="G79" t="s">
        <v>881</v>
      </c>
      <c r="H79">
        <f>IF(_xlfn.DAYS("31-03-2025",G79)&gt;=180,6800,0)</f>
        <v>6800</v>
      </c>
      <c r="I79">
        <f>_xlfn.XLOOKUP(B79,'[1]march-2025'!$A:$A,'[1]march-2025'!$J:$J,0,0)</f>
        <v>0</v>
      </c>
      <c r="J79">
        <f>_xlfn.XLOOKUP(B79,'[1]march-2025'!$A:$A,'[1]march-2025'!$C:$C,0,0)</f>
        <v>27000</v>
      </c>
      <c r="K79">
        <f>J79*0.14</f>
        <v>3780.0000000000005</v>
      </c>
      <c r="L79">
        <f>J79*0.12</f>
        <v>3240</v>
      </c>
      <c r="M79">
        <f>_xlfn.XLOOKUP(B79,'[1]march-2025'!$A:$A,'[1]march-2025'!$D:$D,0,0)</f>
        <v>0</v>
      </c>
      <c r="N79">
        <f>_xlfn.XLOOKUP(B79,'[1]march-2025'!$A:$A,'[1]march-2025'!$G:$G,0,0)</f>
        <v>500</v>
      </c>
      <c r="O79">
        <f>IF(J79&gt;0,SUM(J79:N79),0)</f>
        <v>34520</v>
      </c>
      <c r="P79">
        <f>_xlfn.XLOOKUP(B79,'[1]march-2025'!$A:$A,'[1]march-2025'!$H:$H,0,0)</f>
        <v>2000</v>
      </c>
      <c r="Q79">
        <f>_xlfn.XLOOKUP(B79,'[1]march-2025'!$A:$A,'[1]march-2025'!$I:$I,0,0)</f>
        <v>0</v>
      </c>
      <c r="R79">
        <f>IF($F79="YES",0,IF(O79&gt;40000,200,IF(O79&gt;25000,150,IF(O79&gt;15000,130,IF(O79&gt;10000,110,0)))))</f>
        <v>150</v>
      </c>
      <c r="S79">
        <f>O79-P79-Q79-R79</f>
        <v>32370</v>
      </c>
      <c r="T79">
        <f>_xlfn.XLOOKUP(B79,'[2]april-2025'!$A:$A,'[2]april-2025'!$C:$C,0,0)</f>
        <v>27000</v>
      </c>
      <c r="U79">
        <f>T79*0.18</f>
        <v>4860</v>
      </c>
      <c r="V79">
        <f>T79*0.12</f>
        <v>3240</v>
      </c>
      <c r="W79">
        <f>_xlfn.XLOOKUP(B79,'[2]april-2025'!$A:$A,'[2]april-2025'!$D:$D,0,0)</f>
        <v>0</v>
      </c>
      <c r="X79">
        <f>_xlfn.XLOOKUP(B79,'[2]april-2025'!$A:$A,'[2]april-2025'!$G:$G,0,0)</f>
        <v>500</v>
      </c>
      <c r="Y79">
        <f>IF(T79&gt;0,SUM(T79:X79),0)</f>
        <v>35600</v>
      </c>
      <c r="Z79">
        <f>_xlfn.XLOOKUP(B79,'[2]april-2025'!$A:$A,'[2]april-2025'!$H:$H,0,0)</f>
        <v>2000</v>
      </c>
      <c r="AA79">
        <f>_xlfn.XLOOKUP(B79,'[2]april-2025'!$A:$A,'[2]april-2025'!$I:$I,0,0)</f>
        <v>0</v>
      </c>
      <c r="AB79">
        <f>IF($F79="YES",0,IF(Y79&gt;40000,200,IF(Y79&gt;25000,150,IF(Y79&gt;15000,130,IF(Y79&gt;10000,110,0)))))</f>
        <v>150</v>
      </c>
      <c r="AC79">
        <f>Y79-Z79-AA79-AB79</f>
        <v>33450</v>
      </c>
      <c r="AD79">
        <f>_xlfn.XLOOKUP(B79,'[3]may-2025'!$A:$A,'[3]may-2025'!$C:$C,0,0)</f>
        <v>31600</v>
      </c>
      <c r="AE79">
        <f>AD79*0.18</f>
        <v>5688</v>
      </c>
      <c r="AF79">
        <f>AD79*0.12</f>
        <v>3792</v>
      </c>
      <c r="AG79">
        <f>_xlfn.XLOOKUP(B79,'[3]may-2025'!$A:$A,'[3]may-2025'!$D:$D,0,0)</f>
        <v>0</v>
      </c>
      <c r="AH79">
        <f>_xlfn.XLOOKUP(B79,'[3]may-2025'!$A:$A,'[3]may-2025'!$G:$G,0,0)</f>
        <v>500</v>
      </c>
      <c r="AI79">
        <f>IF(AD79&gt;0,SUM(AD79:AH79),0)</f>
        <v>41580</v>
      </c>
      <c r="AJ79">
        <f>_xlfn.XLOOKUP(B79,'[3]may-2025'!$A:$A,'[3]may-2025'!$H:$H,0,0)</f>
        <v>2000</v>
      </c>
      <c r="AK79">
        <f>_xlfn.XLOOKUP(B79,'[3]may-2025'!$A:$A,'[3]may-2025'!$I:$I,0,0)</f>
        <v>0</v>
      </c>
      <c r="AL79">
        <f>IF($F79="YES",0,IF(AI79&gt;40000,200,IF(AI79&gt;25000,150,IF(AI79&gt;15000,130,IF(AI79&gt;10000,110,0)))))</f>
        <v>200</v>
      </c>
      <c r="AM79">
        <f>AI79-AJ79-AK79-AL79</f>
        <v>39380</v>
      </c>
      <c r="AN79">
        <f>_xlfn.XLOOKUP(B79,'[4]june-2025'!$A:$A,'[4]june-2025'!$C:$C,0,0)</f>
        <v>31600</v>
      </c>
      <c r="AO79">
        <f>AN79*0.18</f>
        <v>5688</v>
      </c>
      <c r="AP79">
        <f>AN79*0.12</f>
        <v>3792</v>
      </c>
      <c r="AQ79">
        <f>_xlfn.XLOOKUP(B79,'[4]june-2025'!$A:$A,'[4]june-2025'!$D:$D,0,0)</f>
        <v>0</v>
      </c>
      <c r="AR79">
        <f>_xlfn.XLOOKUP(B79,'[4]june-2025'!$A:$A,'[4]june-2025'!$G:$G,0,0)</f>
        <v>500</v>
      </c>
      <c r="AS79">
        <f>IF(AN79&gt;0,SUM(AN79:AR79),0)</f>
        <v>41580</v>
      </c>
      <c r="AT79">
        <f>_xlfn.XLOOKUP(B79,'[4]june-2025'!$A:$A,'[4]june-2025'!$H:$H,0,0)</f>
        <v>2000</v>
      </c>
      <c r="AU79">
        <f>_xlfn.XLOOKUP(B79,'[4]june-2025'!$A:$A,'[4]june-2025'!$I:$I,0,0)</f>
        <v>0</v>
      </c>
      <c r="AV79">
        <f>IF($F79="YES",0,IF(AS79&gt;40000,200,IF(AS79&gt;25000,150,IF(AS79&gt;15000,130,IF(AS79&gt;10000,110,0)))))</f>
        <v>200</v>
      </c>
      <c r="AW79">
        <f>AS79-AT79-AU79-AV79</f>
        <v>39380</v>
      </c>
      <c r="AX79">
        <f>_xlfn.XLOOKUP(B79,'[5]july-2025'!$A:$A,'[5]july-2025'!$C:$C,0,0)</f>
        <v>32500</v>
      </c>
      <c r="AY79">
        <f>AX79*0.18</f>
        <v>5850</v>
      </c>
      <c r="AZ79">
        <v>0</v>
      </c>
      <c r="BA79">
        <f>AX79*0.12</f>
        <v>3900</v>
      </c>
      <c r="BB79">
        <f>_xlfn.XLOOKUP(B79,'[5]july-2025'!$A:$A,'[5]july-2025'!$D:$D,0,0)</f>
        <v>0</v>
      </c>
      <c r="BC79">
        <f>_xlfn.XLOOKUP(B79,'[5]july-2025'!$A:$A,'[5]july-2025'!$G:$G,0,0)</f>
        <v>500</v>
      </c>
      <c r="BD79">
        <f>IF(AX79&gt;0,SUM(AX79:BC79),0)</f>
        <v>42750</v>
      </c>
      <c r="BE79">
        <f>_xlfn.XLOOKUP(B79,'[5]july-2025'!$A:$A,'[5]july-2025'!$H:$H,0,0)</f>
        <v>2000</v>
      </c>
      <c r="BF79">
        <f>_xlfn.XLOOKUP(B79,'[5]july-2025'!$A:$A,'[5]july-2025'!$I:$I,0,0)</f>
        <v>0</v>
      </c>
      <c r="BG79">
        <f>IF($F79="YES",0,IF(BD79&gt;40000,200,IF(BD79&gt;25000,150,IF(BD79&gt;15000,130,IF(BD79&gt;10000,110,0)))))</f>
        <v>200</v>
      </c>
      <c r="BH79">
        <f>BD79-BE79-BF79-BG79</f>
        <v>40550</v>
      </c>
      <c r="BI79">
        <f>_xlfn.XLOOKUP(B79,'[6]august-2025'!$A:$A,'[6]august-2025'!$C:$C,0,0)</f>
        <v>27800</v>
      </c>
      <c r="BJ79">
        <f>BI79*0.18</f>
        <v>5004</v>
      </c>
      <c r="BK79">
        <f>BI79*0.12</f>
        <v>3336</v>
      </c>
      <c r="BL79">
        <f>_xlfn.XLOOKUP(B79,'[6]august-2025'!$A:$A,'[6]august-2025'!$D:$D,0,0)</f>
        <v>0</v>
      </c>
      <c r="BM79">
        <f>_xlfn.XLOOKUP(B79,'[6]august-2025'!$A:$A,'[6]august-2025'!$G:$G,0,0)</f>
        <v>500</v>
      </c>
      <c r="BN79">
        <f>IF(BI79&gt;0,SUM(BI79:BM79),0)</f>
        <v>36640</v>
      </c>
      <c r="BO79">
        <f>_xlfn.XLOOKUP(B79,'[6]august-2025'!$A:$A,'[6]august-2025'!$H:$H,0,0)</f>
        <v>2000</v>
      </c>
      <c r="BP79">
        <f>_xlfn.XLOOKUP(B79,'[6]august-2025'!$A:$A,'[6]august-2025'!$I:$I,0,0)</f>
        <v>0</v>
      </c>
      <c r="BQ79">
        <f>IF($F79="YES",0,IF(BN79&gt;40000,200,IF(BN79&gt;25000,150,IF(BN79&gt;15000,130,IF(BN79&gt;10000,110,0)))))</f>
        <v>150</v>
      </c>
      <c r="BR79">
        <f>BN79-BO79-BP79-BQ79</f>
        <v>34490</v>
      </c>
      <c r="BS79">
        <f>_xlfn.XLOOKUP(B79,'[7]september-2025'!$A:$A,'[7]september-2025'!$C:$C,0,0)</f>
        <v>32500</v>
      </c>
      <c r="BT79">
        <f>BS79*0.18</f>
        <v>5850</v>
      </c>
      <c r="BU79">
        <f>BS79*0.12</f>
        <v>3900</v>
      </c>
      <c r="BV79">
        <f>_xlfn.XLOOKUP(B79,'[7]september-2025'!$A:$A,'[7]september-2025'!$D:$D,0,0)</f>
        <v>0</v>
      </c>
      <c r="BW79">
        <f>_xlfn.XLOOKUP(B79,'[7]september-2025'!$A:$A,'[7]september-2025'!$G:$G,0,0)</f>
        <v>500</v>
      </c>
      <c r="BX79">
        <f>IF(BS79&gt;0,SUM(BS79:BW79),0)</f>
        <v>42750</v>
      </c>
      <c r="BY79">
        <f>_xlfn.XLOOKUP(B79,'[7]september-2025'!$A:$A,'[7]september-2025'!$H:$H,0,0)</f>
        <v>2000</v>
      </c>
      <c r="BZ79">
        <f>_xlfn.XLOOKUP(B79,'[7]september-2025'!$A:$A,'[7]september-2025'!$I:$I,0,0)</f>
        <v>0</v>
      </c>
      <c r="CA79">
        <f>IF($F79="YES",0,IF(BX79&gt;40000,200,IF(BX79&gt;25000,150,IF(BX79&gt;15000,130,IF(BX79&gt;10000,110,0)))))</f>
        <v>200</v>
      </c>
      <c r="CB79">
        <f>BX79-BY79-BZ79-CA79</f>
        <v>40550</v>
      </c>
      <c r="CC79">
        <f>_xlfn.XLOOKUP(B79,'[8]october-2025'!$A:$A,'[8]october-2025'!$C:$C,0,0)</f>
        <v>27800</v>
      </c>
      <c r="CD79">
        <f>CC79*0.18</f>
        <v>5004</v>
      </c>
      <c r="CE79">
        <f>CC79*0.12</f>
        <v>3336</v>
      </c>
      <c r="CF79">
        <f>_xlfn.XLOOKUP(B79,'[8]october-2025'!$A:$A,'[8]october-2025'!$D:$D,0,0)</f>
        <v>0</v>
      </c>
      <c r="CG79">
        <f>_xlfn.XLOOKUP(B79,'[8]october-2025'!$A:$A,'[8]october-2025'!$G:$G,0,0)</f>
        <v>500</v>
      </c>
      <c r="CH79">
        <f>IF(CC79&gt;0,SUM(CC79:CG79),0)</f>
        <v>36640</v>
      </c>
      <c r="CI79">
        <f>_xlfn.XLOOKUP(B79,'[8]october-2025'!$A:$A,'[8]october-2025'!$H:$H,0,0)</f>
        <v>2000</v>
      </c>
      <c r="CJ79">
        <f>_xlfn.XLOOKUP(B79,'[8]october-2025'!$A:$A,'[8]october-2025'!$I:$I,0,0)</f>
        <v>0</v>
      </c>
      <c r="CK79">
        <f>IF($F79="YES",0,IF(CH79&gt;40000,200,IF(CH79&gt;25000,150,IF(CH79&gt;15000,130,IF(CH79&gt;10000,110,0)))))</f>
        <v>150</v>
      </c>
      <c r="CL79">
        <f>CH79-CI79-CJ79-CK79</f>
        <v>34490</v>
      </c>
      <c r="CM79">
        <f>_xlfn.XLOOKUP(B79,'[9]november-2025'!$A:$A,'[9]november-2025'!$C:$C,0,0)</f>
        <v>27800</v>
      </c>
      <c r="CN79">
        <f>CM79*0.18</f>
        <v>5004</v>
      </c>
      <c r="CO79">
        <f>CM79*0.12</f>
        <v>3336</v>
      </c>
      <c r="CP79">
        <f>_xlfn.XLOOKUP(B79,'[9]november-2025'!$A:$A,'[9]november-2025'!$D:$D,0,0)</f>
        <v>0</v>
      </c>
      <c r="CQ79">
        <f>_xlfn.XLOOKUP(B79,'[9]november-2025'!$A:$A,'[9]november-2025'!$G:$G,0,0)</f>
        <v>500</v>
      </c>
      <c r="CR79">
        <f>IF(CM79&gt;0,SUM(CM79:CQ79),0)</f>
        <v>36640</v>
      </c>
      <c r="CS79">
        <f>_xlfn.XLOOKUP(B79,'[9]november-2025'!$A:$A,'[9]november-2025'!$H:$H,0,0)</f>
        <v>2000</v>
      </c>
      <c r="CT79">
        <f>_xlfn.XLOOKUP(B79,'[9]november-2025'!$A:$A,'[9]november-2025'!$I:$I,0,0)</f>
        <v>0</v>
      </c>
      <c r="CU79">
        <f>IF($F79="YES",0,IF(CR79&gt;40000,200,IF(CR79&gt;25000,150,IF(CR79&gt;15000,130,IF(CR79&gt;10000,110,0)))))</f>
        <v>150</v>
      </c>
      <c r="CV79">
        <f>CR79-CS79-CT79-CU79</f>
        <v>34490</v>
      </c>
      <c r="CW79">
        <f>_xlfn.XLOOKUP(B79,'[10]december-2025'!$A:$A,'[10]december-2025'!$C:$C,0,0)</f>
        <v>27800</v>
      </c>
      <c r="CX79">
        <f>ROUND(CW79*0.18,0)</f>
        <v>5004</v>
      </c>
      <c r="CY79">
        <f>ROUND(CW79*0.12,0)</f>
        <v>3336</v>
      </c>
      <c r="CZ79">
        <f>_xlfn.XLOOKUP(B79,'[10]december-2025'!$A:$A,'[10]december-2025'!$D:$D,0,0)</f>
        <v>0</v>
      </c>
      <c r="DA79">
        <f>_xlfn.XLOOKUP(B79,'[10]december-2025'!$A:$A,'[10]december-2025'!$G:$G,0,0)</f>
        <v>500</v>
      </c>
      <c r="DB79">
        <f>IF(CW79&gt;0,SUM(CW79:DA79),0)</f>
        <v>36640</v>
      </c>
      <c r="DC79">
        <f>_xlfn.XLOOKUP(B79,'[10]december-2025'!$A:$A,'[10]december-2025'!$H:$H,0,0)</f>
        <v>2000</v>
      </c>
      <c r="DD79">
        <f>_xlfn.XLOOKUP(B79,'[10]december-2025'!$A:$A,'[10]december-2025'!$I:$I,0,0)</f>
        <v>0</v>
      </c>
      <c r="DE79">
        <f>IF($F79="YES",0,IF(DB79&gt;40000,200,IF(DB79&gt;25000,150,IF(DB79&gt;15000,130,IF(DB79&gt;10000,110,0)))))</f>
        <v>150</v>
      </c>
      <c r="DF79">
        <f>DB79-DC79-DD79-DE79</f>
        <v>34490</v>
      </c>
      <c r="DG79">
        <f>_xlfn.XLOOKUP(B79,'[11]january-2026'!$A:$A,'[11]january-2026'!$C:$C,0,0)</f>
        <v>27800</v>
      </c>
      <c r="DH79">
        <f>DG79*0.18</f>
        <v>5004</v>
      </c>
      <c r="DI79">
        <f>DG79*0.12</f>
        <v>3336</v>
      </c>
      <c r="DJ79">
        <f>_xlfn.XLOOKUP(B79,'[11]january-2026'!$A:$A,'[11]january-2026'!$D:$D,0,0)</f>
        <v>0</v>
      </c>
      <c r="DK79">
        <f>_xlfn.XLOOKUP(B79,'[11]january-2026'!$A:$A,'[11]january-2026'!$G:$G,0,0)</f>
        <v>500</v>
      </c>
      <c r="DL79">
        <f>IF(DG79&gt;0,SUM(DG79:DK79),0)</f>
        <v>36640</v>
      </c>
      <c r="DM79">
        <f>_xlfn.XLOOKUP(B79,'[11]january-2026'!$A:$A,'[11]january-2026'!$H:$H,0,0)</f>
        <v>2000</v>
      </c>
      <c r="DN79">
        <f>_xlfn.XLOOKUP(B79,'[11]january-2026'!$A:$A,'[11]january-2026'!$I:$I,0,0)</f>
        <v>0</v>
      </c>
      <c r="DO79">
        <f>IF($F79="YES",0,IF(DL79&gt;40000,200,IF(DL79&gt;25000,150,IF(DL79&gt;15000,130,IF(DL79&gt;10000,110,0)))))</f>
        <v>150</v>
      </c>
      <c r="DP79">
        <f>DL79-DM79-DN79-DO79</f>
        <v>34490</v>
      </c>
      <c r="DQ79">
        <f>_xlfn.XLOOKUP(B79,'[12]february-2026'!$A:$A,'[12]february-2026'!$C:$C,0,0)</f>
        <v>27800</v>
      </c>
      <c r="DR79">
        <f>DQ79*0.18</f>
        <v>5004</v>
      </c>
      <c r="DS79">
        <f>DQ79*0.12</f>
        <v>3336</v>
      </c>
      <c r="DT79">
        <f>_xlfn.XLOOKUP(B79,'[12]february-2026'!$A:$A,'[12]february-2026'!$D:$D,0,0)</f>
        <v>0</v>
      </c>
      <c r="DU79">
        <f>_xlfn.XLOOKUP(B79,'[12]february-2026'!$A:$A,'[12]february-2026'!$G:$G,0,0)</f>
        <v>500</v>
      </c>
      <c r="DV79">
        <f>IF(DQ79&gt;0,SUM(DQ79:DU79),0)</f>
        <v>36640</v>
      </c>
      <c r="DW79">
        <f>_xlfn.XLOOKUP(B79,'[12]february-2026'!$A:$A,'[12]february-2026'!$H:$H,0,0)</f>
        <v>2000</v>
      </c>
      <c r="DX79">
        <f>_xlfn.XLOOKUP(B79,'[12]february-2026'!$A:$A,'[12]february-2026'!$I:$I,0,0)</f>
        <v>0</v>
      </c>
      <c r="DY79">
        <f>IF($F79="YES",0,IF(DV79&gt;40000,200,IF(DV79&gt;25000,150,IF(DV79&gt;15000,130,IF(DV79&gt;10000,110,0)))))</f>
        <v>150</v>
      </c>
      <c r="DZ79">
        <f>DV79-DW79-DX79-DY79</f>
        <v>34490</v>
      </c>
      <c r="EA79">
        <f>DV79+DL79+DB79+CR79+CH79+BX79+BN79+BD79+AS79+AI79+Y79+O79+H79+I79</f>
        <v>465420</v>
      </c>
      <c r="EB79">
        <f>DY79+DO79+DE79+CU79+CK79+CA79+BQ79+BG79+AV79+AL79+AB79+R79</f>
        <v>2000</v>
      </c>
      <c r="EC79">
        <f>IF(EA79&gt;0,50000,0)</f>
        <v>50000</v>
      </c>
      <c r="ED79">
        <v>0</v>
      </c>
      <c r="EE79">
        <f>EA79-EB79-EC79</f>
        <v>413420</v>
      </c>
      <c r="EF79">
        <f>DW79+DM79+DC79+CS79+CI79+BY79+BO79+BE79+AT79+AJ79+Z79+P79</f>
        <v>24000</v>
      </c>
      <c r="EG79">
        <f>DX79+DN79+DD79+CT79+CJ79+BZ79+BP79+BF79+AU79+AK79+AA79+Q79</f>
        <v>0</v>
      </c>
      <c r="EH79">
        <v>0</v>
      </c>
      <c r="EI79">
        <v>0</v>
      </c>
      <c r="EJ79">
        <v>0</v>
      </c>
      <c r="EK79">
        <v>0</v>
      </c>
      <c r="EL79">
        <v>0</v>
      </c>
      <c r="EM79">
        <v>0</v>
      </c>
      <c r="EN79">
        <v>0</v>
      </c>
      <c r="EO79">
        <v>0</v>
      </c>
      <c r="EP79">
        <v>0</v>
      </c>
      <c r="EQ79">
        <v>0</v>
      </c>
      <c r="ER79">
        <f>SUM(EF79:EQ79)</f>
        <v>24000</v>
      </c>
      <c r="ES79">
        <f>IF(ER79&gt;=150000,150000,ER79)</f>
        <v>24000</v>
      </c>
      <c r="ET79">
        <f>EE79-ES79</f>
        <v>389420</v>
      </c>
      <c r="EU79">
        <v>0</v>
      </c>
      <c r="EV79">
        <v>0</v>
      </c>
      <c r="EW79">
        <v>0</v>
      </c>
      <c r="EX79">
        <v>0</v>
      </c>
      <c r="EY79">
        <v>0</v>
      </c>
      <c r="EZ79">
        <v>0</v>
      </c>
      <c r="FA79">
        <v>0</v>
      </c>
      <c r="FB79">
        <f>SUM(EU79:FA79)+(IF(F79="YES",50000,0))</f>
        <v>0</v>
      </c>
      <c r="FC79">
        <f>ET79-FB79</f>
        <v>389420</v>
      </c>
      <c r="FD79">
        <f>ROUND(IF(FC79&gt;0,IF(FC79&gt;500000,12500,(FC79-250000)*0.05),0),0)</f>
        <v>6971</v>
      </c>
      <c r="FE79">
        <f>IF(ROUND(IF(FC79&gt;0,IF(FC79&gt;1000000,25000,(FC79-500000)*0.2),0),0)&lt;0,0,ROUND(IF(FC79&gt;0,IF(FC79&gt;1000000,25000,(FC79-500000)*0.2),0),0))</f>
        <v>0</v>
      </c>
      <c r="FF79">
        <f>FD79+FE79</f>
        <v>6971</v>
      </c>
      <c r="FG79">
        <f>IF(FF79&lt;12500,0,FF79)</f>
        <v>0</v>
      </c>
      <c r="FH79">
        <f>FG79*0.04</f>
        <v>0</v>
      </c>
      <c r="FI79">
        <f>ROUND(FH79+FG79,0)</f>
        <v>0</v>
      </c>
      <c r="FJ79">
        <v>0</v>
      </c>
      <c r="FK79">
        <f>FI79-FJ79</f>
        <v>0</v>
      </c>
      <c r="FL79" t="b">
        <f>IF(EA79&gt;500000,TRUE,FALSE)</f>
        <v>0</v>
      </c>
      <c r="FM79">
        <f ca="1">IF(FL79,RANDBETWEEN(500,1000),RANDBETWEEN(1000,3000))</f>
        <v>1733</v>
      </c>
      <c r="FN79">
        <f ca="1">EA79+FM79</f>
        <v>467153</v>
      </c>
      <c r="FO79">
        <f>IF(EA79&gt;0,75000,0)</f>
        <v>75000</v>
      </c>
      <c r="FP79">
        <f ca="1">FN79-FO79</f>
        <v>392153</v>
      </c>
      <c r="FQ79">
        <f ca="1">IF(FP79&gt;2400000,FP79-2400000,0)</f>
        <v>0</v>
      </c>
      <c r="FR79">
        <f ca="1">FQ79*0.3</f>
        <v>0</v>
      </c>
      <c r="FS79">
        <f ca="1">IF(FP79&gt;2000000,FP79-2000000,0)</f>
        <v>0</v>
      </c>
      <c r="FT79">
        <f ca="1">FS79*0.25</f>
        <v>0</v>
      </c>
      <c r="FU79">
        <f ca="1">IF(FP79&gt;1600000,FP79-1600000-FQ79,0)</f>
        <v>0</v>
      </c>
      <c r="FV79">
        <f ca="1">FU79*0.2</f>
        <v>0</v>
      </c>
      <c r="FW79">
        <f ca="1">IF(FP79&gt;1200000,FP79-1200000-IF(F79="YES",50000,0)-FU79,0)</f>
        <v>0</v>
      </c>
      <c r="FX79">
        <f ca="1">FW79*0.15</f>
        <v>0</v>
      </c>
      <c r="FY79">
        <f ca="1">IF(FP79&gt;800000,FP79-800000-FQ79-FU79-FW79,0)</f>
        <v>0</v>
      </c>
      <c r="FZ79">
        <f ca="1">FY79*0.1</f>
        <v>0</v>
      </c>
      <c r="GA79">
        <f ca="1">IF(FP79&gt;400000,FP79-400000-FQ79-FU79-FW79-FY79,0)</f>
        <v>0</v>
      </c>
      <c r="GB79">
        <f ca="1">GA79*0.05</f>
        <v>0</v>
      </c>
      <c r="GC79">
        <f ca="1">ROUND(FR79+FT79+FV79+FX79+FZ79+GB79,0)</f>
        <v>0</v>
      </c>
      <c r="GD79">
        <f ca="1">IF(FP79&gt;1200000,FP79,0)</f>
        <v>0</v>
      </c>
      <c r="GE79">
        <f ca="1">IF(FP79&gt;1200000,GD79-1200000,0)</f>
        <v>0</v>
      </c>
      <c r="GF79">
        <f ca="1">IF(FP79&lt;1200001,MIN(GC79,60000),0)</f>
        <v>0</v>
      </c>
      <c r="GG79">
        <f ca="1">IF(FP79&gt;1200000,GC79-GE79,0)</f>
        <v>0</v>
      </c>
      <c r="GH79" t="b">
        <f ca="1">IF(GG79&gt;0,TRUE,FALSE)</f>
        <v>0</v>
      </c>
      <c r="GI79">
        <f ca="1">IF(GH79,GG79,0)</f>
        <v>0</v>
      </c>
      <c r="GJ79">
        <f ca="1">GF79+GI79</f>
        <v>0</v>
      </c>
      <c r="GK79">
        <f ca="1">ROUND(GC79-GJ79,0)</f>
        <v>0</v>
      </c>
      <c r="GL79">
        <f ca="1">GK79*0.04</f>
        <v>0</v>
      </c>
      <c r="GM79">
        <f ca="1">ROUNDUP(GK79+GL79,0)</f>
        <v>0</v>
      </c>
    </row>
    <row r="80" spans="1:195" x14ac:dyDescent="0.25">
      <c r="A80">
        <f>_xlfn.AGGREGATE(3,5,$B$2:B80)</f>
        <v>79</v>
      </c>
      <c r="B80" t="s">
        <v>278</v>
      </c>
      <c r="C80" t="s">
        <v>279</v>
      </c>
      <c r="D80" t="s">
        <v>772</v>
      </c>
      <c r="E80" t="s">
        <v>833</v>
      </c>
      <c r="F80" t="s">
        <v>959</v>
      </c>
      <c r="G80" t="s">
        <v>891</v>
      </c>
      <c r="H80">
        <f>IF(_xlfn.DAYS("31-03-2025",G80)&gt;=180,6800,0)</f>
        <v>6800</v>
      </c>
      <c r="I80">
        <f>_xlfn.XLOOKUP(B80,'[1]march-2025'!$A:$A,'[1]march-2025'!$J:$J,0,0)</f>
        <v>0</v>
      </c>
      <c r="J80">
        <f>_xlfn.XLOOKUP(B80,'[1]march-2025'!$A:$A,'[1]march-2025'!$C:$C,0,0)</f>
        <v>28900</v>
      </c>
      <c r="K80">
        <f>J80*0.14</f>
        <v>4046.0000000000005</v>
      </c>
      <c r="L80">
        <f>J80*0.12</f>
        <v>3468</v>
      </c>
      <c r="M80">
        <f>_xlfn.XLOOKUP(B80,'[1]march-2025'!$A:$A,'[1]march-2025'!$D:$D,0,0)</f>
        <v>0</v>
      </c>
      <c r="N80">
        <f>_xlfn.XLOOKUP(B80,'[1]march-2025'!$A:$A,'[1]march-2025'!$G:$G,0,0)</f>
        <v>0</v>
      </c>
      <c r="O80">
        <f>IF(J80&gt;0,SUM(J80:N80),0)</f>
        <v>36414</v>
      </c>
      <c r="P80">
        <f>_xlfn.XLOOKUP(B80,'[1]march-2025'!$A:$A,'[1]march-2025'!$H:$H,0,0)</f>
        <v>2000</v>
      </c>
      <c r="Q80">
        <f>_xlfn.XLOOKUP(B80,'[1]march-2025'!$A:$A,'[1]march-2025'!$I:$I,0,0)</f>
        <v>0</v>
      </c>
      <c r="R80">
        <f>IF($F80="YES",0,IF(O80&gt;40000,200,IF(O80&gt;25000,150,IF(O80&gt;15000,130,IF(O80&gt;10000,110,0)))))</f>
        <v>150</v>
      </c>
      <c r="S80">
        <f>O80-P80-Q80-R80</f>
        <v>34264</v>
      </c>
      <c r="T80">
        <f>_xlfn.XLOOKUP(B80,'[2]april-2025'!$A:$A,'[2]april-2025'!$C:$C,0,0)</f>
        <v>28900</v>
      </c>
      <c r="U80">
        <f>T80*0.18</f>
        <v>5202</v>
      </c>
      <c r="V80">
        <f>T80*0.12</f>
        <v>3468</v>
      </c>
      <c r="W80">
        <f>_xlfn.XLOOKUP(B80,'[2]april-2025'!$A:$A,'[2]april-2025'!$D:$D,0,0)</f>
        <v>0</v>
      </c>
      <c r="X80">
        <f>_xlfn.XLOOKUP(B80,'[2]april-2025'!$A:$A,'[2]april-2025'!$G:$G,0,0)</f>
        <v>0</v>
      </c>
      <c r="Y80">
        <f>IF(T80&gt;0,SUM(T80:X80),0)</f>
        <v>37570</v>
      </c>
      <c r="Z80">
        <f>_xlfn.XLOOKUP(B80,'[2]april-2025'!$A:$A,'[2]april-2025'!$H:$H,0,0)</f>
        <v>2000</v>
      </c>
      <c r="AA80">
        <f>_xlfn.XLOOKUP(B80,'[2]april-2025'!$A:$A,'[2]april-2025'!$I:$I,0,0)</f>
        <v>0</v>
      </c>
      <c r="AB80">
        <f>IF($F80="YES",0,IF(Y80&gt;40000,200,IF(Y80&gt;25000,150,IF(Y80&gt;15000,130,IF(Y80&gt;10000,110,0)))))</f>
        <v>150</v>
      </c>
      <c r="AC80">
        <f>Y80-Z80-AA80-AB80</f>
        <v>35420</v>
      </c>
      <c r="AD80">
        <f>_xlfn.XLOOKUP(B80,'[3]may-2025'!$A:$A,'[3]may-2025'!$C:$C,0,0)</f>
        <v>28900</v>
      </c>
      <c r="AE80">
        <f>AD80*0.18</f>
        <v>5202</v>
      </c>
      <c r="AF80">
        <f>AD80*0.12</f>
        <v>3468</v>
      </c>
      <c r="AG80">
        <f>_xlfn.XLOOKUP(B80,'[3]may-2025'!$A:$A,'[3]may-2025'!$D:$D,0,0)</f>
        <v>0</v>
      </c>
      <c r="AH80">
        <f>_xlfn.XLOOKUP(B80,'[3]may-2025'!$A:$A,'[3]may-2025'!$G:$G,0,0)</f>
        <v>0</v>
      </c>
      <c r="AI80">
        <f>IF(AD80&gt;0,SUM(AD80:AH80),0)</f>
        <v>37570</v>
      </c>
      <c r="AJ80">
        <f>_xlfn.XLOOKUP(B80,'[3]may-2025'!$A:$A,'[3]may-2025'!$H:$H,0,0)</f>
        <v>2000</v>
      </c>
      <c r="AK80">
        <f>_xlfn.XLOOKUP(B80,'[3]may-2025'!$A:$A,'[3]may-2025'!$I:$I,0,0)</f>
        <v>0</v>
      </c>
      <c r="AL80">
        <f>IF($F80="YES",0,IF(AI80&gt;40000,200,IF(AI80&gt;25000,150,IF(AI80&gt;15000,130,IF(AI80&gt;10000,110,0)))))</f>
        <v>150</v>
      </c>
      <c r="AM80">
        <f>AI80-AJ80-AK80-AL80</f>
        <v>35420</v>
      </c>
      <c r="AN80">
        <f>_xlfn.XLOOKUP(B80,'[4]june-2025'!$A:$A,'[4]june-2025'!$C:$C,0,0)</f>
        <v>28900</v>
      </c>
      <c r="AO80">
        <f>AN80*0.18</f>
        <v>5202</v>
      </c>
      <c r="AP80">
        <f>AN80*0.12</f>
        <v>3468</v>
      </c>
      <c r="AQ80">
        <f>_xlfn.XLOOKUP(B80,'[4]june-2025'!$A:$A,'[4]june-2025'!$D:$D,0,0)</f>
        <v>0</v>
      </c>
      <c r="AR80">
        <f>_xlfn.XLOOKUP(B80,'[4]june-2025'!$A:$A,'[4]june-2025'!$G:$G,0,0)</f>
        <v>0</v>
      </c>
      <c r="AS80">
        <f>IF(AN80&gt;0,SUM(AN80:AR80),0)</f>
        <v>37570</v>
      </c>
      <c r="AT80">
        <f>_xlfn.XLOOKUP(B80,'[4]june-2025'!$A:$A,'[4]june-2025'!$H:$H,0,0)</f>
        <v>2000</v>
      </c>
      <c r="AU80">
        <f>_xlfn.XLOOKUP(B80,'[4]june-2025'!$A:$A,'[4]june-2025'!$I:$I,0,0)</f>
        <v>0</v>
      </c>
      <c r="AV80">
        <f>IF($F80="YES",0,IF(AS80&gt;40000,200,IF(AS80&gt;25000,150,IF(AS80&gt;15000,130,IF(AS80&gt;10000,110,0)))))</f>
        <v>150</v>
      </c>
      <c r="AW80">
        <f>AS80-AT80-AU80-AV80</f>
        <v>35420</v>
      </c>
      <c r="AX80">
        <f>_xlfn.XLOOKUP(B80,'[5]july-2025'!$A:$A,'[5]july-2025'!$C:$C,0,0)</f>
        <v>29800</v>
      </c>
      <c r="AY80">
        <f>AX80*0.18</f>
        <v>5364</v>
      </c>
      <c r="AZ80">
        <v>0</v>
      </c>
      <c r="BA80">
        <f>AX80*0.12</f>
        <v>3576</v>
      </c>
      <c r="BB80">
        <f>_xlfn.XLOOKUP(B80,'[5]july-2025'!$A:$A,'[5]july-2025'!$D:$D,0,0)</f>
        <v>0</v>
      </c>
      <c r="BC80">
        <f>_xlfn.XLOOKUP(B80,'[5]july-2025'!$A:$A,'[5]july-2025'!$G:$G,0,0)</f>
        <v>0</v>
      </c>
      <c r="BD80">
        <f>IF(AX80&gt;0,SUM(AX80:BC80),0)</f>
        <v>38740</v>
      </c>
      <c r="BE80">
        <f>_xlfn.XLOOKUP(B80,'[5]july-2025'!$A:$A,'[5]july-2025'!$H:$H,0,0)</f>
        <v>2000</v>
      </c>
      <c r="BF80">
        <f>_xlfn.XLOOKUP(B80,'[5]july-2025'!$A:$A,'[5]july-2025'!$I:$I,0,0)</f>
        <v>0</v>
      </c>
      <c r="BG80">
        <f>IF($F80="YES",0,IF(BD80&gt;40000,200,IF(BD80&gt;25000,150,IF(BD80&gt;15000,130,IF(BD80&gt;10000,110,0)))))</f>
        <v>150</v>
      </c>
      <c r="BH80">
        <f>BD80-BE80-BF80-BG80</f>
        <v>36590</v>
      </c>
      <c r="BI80">
        <f>_xlfn.XLOOKUP(B80,'[6]august-2025'!$A:$A,'[6]august-2025'!$C:$C,0,0)</f>
        <v>29800</v>
      </c>
      <c r="BJ80">
        <f>BI80*0.18</f>
        <v>5364</v>
      </c>
      <c r="BK80">
        <f>BI80*0.12</f>
        <v>3576</v>
      </c>
      <c r="BL80">
        <f>_xlfn.XLOOKUP(B80,'[6]august-2025'!$A:$A,'[6]august-2025'!$D:$D,0,0)</f>
        <v>0</v>
      </c>
      <c r="BM80">
        <f>_xlfn.XLOOKUP(B80,'[6]august-2025'!$A:$A,'[6]august-2025'!$G:$G,0,0)</f>
        <v>0</v>
      </c>
      <c r="BN80">
        <f>IF(BI80&gt;0,SUM(BI80:BM80),0)</f>
        <v>38740</v>
      </c>
      <c r="BO80">
        <f>_xlfn.XLOOKUP(B80,'[6]august-2025'!$A:$A,'[6]august-2025'!$H:$H,0,0)</f>
        <v>2000</v>
      </c>
      <c r="BP80">
        <f>_xlfn.XLOOKUP(B80,'[6]august-2025'!$A:$A,'[6]august-2025'!$I:$I,0,0)</f>
        <v>0</v>
      </c>
      <c r="BQ80">
        <f>IF($F80="YES",0,IF(BN80&gt;40000,200,IF(BN80&gt;25000,150,IF(BN80&gt;15000,130,IF(BN80&gt;10000,110,0)))))</f>
        <v>150</v>
      </c>
      <c r="BR80">
        <f>BN80-BO80-BP80-BQ80</f>
        <v>36590</v>
      </c>
      <c r="BS80">
        <f>_xlfn.XLOOKUP(B80,'[7]september-2025'!$A:$A,'[7]september-2025'!$C:$C,0,0)</f>
        <v>29800</v>
      </c>
      <c r="BT80">
        <f>BS80*0.18</f>
        <v>5364</v>
      </c>
      <c r="BU80">
        <f>BS80*0.12</f>
        <v>3576</v>
      </c>
      <c r="BV80">
        <f>_xlfn.XLOOKUP(B80,'[7]september-2025'!$A:$A,'[7]september-2025'!$D:$D,0,0)</f>
        <v>0</v>
      </c>
      <c r="BW80">
        <f>_xlfn.XLOOKUP(B80,'[7]september-2025'!$A:$A,'[7]september-2025'!$G:$G,0,0)</f>
        <v>0</v>
      </c>
      <c r="BX80">
        <f>IF(BS80&gt;0,SUM(BS80:BW80),0)</f>
        <v>38740</v>
      </c>
      <c r="BY80">
        <f>_xlfn.XLOOKUP(B80,'[7]september-2025'!$A:$A,'[7]september-2025'!$H:$H,0,0)</f>
        <v>2000</v>
      </c>
      <c r="BZ80">
        <f>_xlfn.XLOOKUP(B80,'[7]september-2025'!$A:$A,'[7]september-2025'!$I:$I,0,0)</f>
        <v>0</v>
      </c>
      <c r="CA80">
        <f>IF($F80="YES",0,IF(BX80&gt;40000,200,IF(BX80&gt;25000,150,IF(BX80&gt;15000,130,IF(BX80&gt;10000,110,0)))))</f>
        <v>150</v>
      </c>
      <c r="CB80">
        <f>BX80-BY80-BZ80-CA80</f>
        <v>36590</v>
      </c>
      <c r="CC80">
        <f>_xlfn.XLOOKUP(B80,'[8]october-2025'!$A:$A,'[8]october-2025'!$C:$C,0,0)</f>
        <v>29800</v>
      </c>
      <c r="CD80">
        <f>CC80*0.18</f>
        <v>5364</v>
      </c>
      <c r="CE80">
        <f>CC80*0.12</f>
        <v>3576</v>
      </c>
      <c r="CF80">
        <f>_xlfn.XLOOKUP(B80,'[8]october-2025'!$A:$A,'[8]october-2025'!$D:$D,0,0)</f>
        <v>0</v>
      </c>
      <c r="CG80">
        <f>_xlfn.XLOOKUP(B80,'[8]october-2025'!$A:$A,'[8]october-2025'!$G:$G,0,0)</f>
        <v>0</v>
      </c>
      <c r="CH80">
        <f>IF(CC80&gt;0,SUM(CC80:CG80),0)</f>
        <v>38740</v>
      </c>
      <c r="CI80">
        <f>_xlfn.XLOOKUP(B80,'[8]october-2025'!$A:$A,'[8]october-2025'!$H:$H,0,0)</f>
        <v>2000</v>
      </c>
      <c r="CJ80">
        <f>_xlfn.XLOOKUP(B80,'[8]october-2025'!$A:$A,'[8]october-2025'!$I:$I,0,0)</f>
        <v>0</v>
      </c>
      <c r="CK80">
        <f>IF($F80="YES",0,IF(CH80&gt;40000,200,IF(CH80&gt;25000,150,IF(CH80&gt;15000,130,IF(CH80&gt;10000,110,0)))))</f>
        <v>150</v>
      </c>
      <c r="CL80">
        <f>CH80-CI80-CJ80-CK80</f>
        <v>36590</v>
      </c>
      <c r="CM80">
        <f>_xlfn.XLOOKUP(B80,'[9]november-2025'!$A:$A,'[9]november-2025'!$C:$C,0,0)</f>
        <v>29800</v>
      </c>
      <c r="CN80">
        <f>CM80*0.18</f>
        <v>5364</v>
      </c>
      <c r="CO80">
        <f>CM80*0.12</f>
        <v>3576</v>
      </c>
      <c r="CP80">
        <f>_xlfn.XLOOKUP(B80,'[9]november-2025'!$A:$A,'[9]november-2025'!$D:$D,0,0)</f>
        <v>0</v>
      </c>
      <c r="CQ80">
        <f>_xlfn.XLOOKUP(B80,'[9]november-2025'!$A:$A,'[9]november-2025'!$G:$G,0,0)</f>
        <v>0</v>
      </c>
      <c r="CR80">
        <f>IF(CM80&gt;0,SUM(CM80:CQ80),0)</f>
        <v>38740</v>
      </c>
      <c r="CS80">
        <f>_xlfn.XLOOKUP(B80,'[9]november-2025'!$A:$A,'[9]november-2025'!$H:$H,0,0)</f>
        <v>2000</v>
      </c>
      <c r="CT80">
        <f>_xlfn.XLOOKUP(B80,'[9]november-2025'!$A:$A,'[9]november-2025'!$I:$I,0,0)</f>
        <v>0</v>
      </c>
      <c r="CU80">
        <f>IF($F80="YES",0,IF(CR80&gt;40000,200,IF(CR80&gt;25000,150,IF(CR80&gt;15000,130,IF(CR80&gt;10000,110,0)))))</f>
        <v>150</v>
      </c>
      <c r="CV80">
        <f>CR80-CS80-CT80-CU80</f>
        <v>36590</v>
      </c>
      <c r="CW80">
        <f>_xlfn.XLOOKUP(B80,'[10]december-2025'!$A:$A,'[10]december-2025'!$C:$C,0,0)</f>
        <v>29800</v>
      </c>
      <c r="CX80">
        <f>ROUND(CW80*0.18,0)</f>
        <v>5364</v>
      </c>
      <c r="CY80">
        <f>ROUND(CW80*0.12,0)</f>
        <v>3576</v>
      </c>
      <c r="CZ80">
        <f>_xlfn.XLOOKUP(B80,'[10]december-2025'!$A:$A,'[10]december-2025'!$D:$D,0,0)</f>
        <v>0</v>
      </c>
      <c r="DA80">
        <f>_xlfn.XLOOKUP(B80,'[10]december-2025'!$A:$A,'[10]december-2025'!$G:$G,0,0)</f>
        <v>0</v>
      </c>
      <c r="DB80">
        <f>IF(CW80&gt;0,SUM(CW80:DA80),0)</f>
        <v>38740</v>
      </c>
      <c r="DC80">
        <f>_xlfn.XLOOKUP(B80,'[10]december-2025'!$A:$A,'[10]december-2025'!$H:$H,0,0)</f>
        <v>2000</v>
      </c>
      <c r="DD80">
        <f>_xlfn.XLOOKUP(B80,'[10]december-2025'!$A:$A,'[10]december-2025'!$I:$I,0,0)</f>
        <v>0</v>
      </c>
      <c r="DE80">
        <f>IF($F80="YES",0,IF(DB80&gt;40000,200,IF(DB80&gt;25000,150,IF(DB80&gt;15000,130,IF(DB80&gt;10000,110,0)))))</f>
        <v>150</v>
      </c>
      <c r="DF80">
        <f>DB80-DC80-DD80-DE80</f>
        <v>36590</v>
      </c>
      <c r="DG80">
        <f>_xlfn.XLOOKUP(B80,'[11]january-2026'!$A:$A,'[11]january-2026'!$C:$C,0,0)</f>
        <v>29800</v>
      </c>
      <c r="DH80">
        <f>DG80*0.18</f>
        <v>5364</v>
      </c>
      <c r="DI80">
        <f>DG80*0.12</f>
        <v>3576</v>
      </c>
      <c r="DJ80">
        <f>_xlfn.XLOOKUP(B80,'[11]january-2026'!$A:$A,'[11]january-2026'!$D:$D,0,0)</f>
        <v>0</v>
      </c>
      <c r="DK80">
        <f>_xlfn.XLOOKUP(B80,'[11]january-2026'!$A:$A,'[11]january-2026'!$G:$G,0,0)</f>
        <v>0</v>
      </c>
      <c r="DL80">
        <f>IF(DG80&gt;0,SUM(DG80:DK80),0)</f>
        <v>38740</v>
      </c>
      <c r="DM80">
        <f>_xlfn.XLOOKUP(B80,'[11]january-2026'!$A:$A,'[11]january-2026'!$H:$H,0,0)</f>
        <v>2000</v>
      </c>
      <c r="DN80">
        <f>_xlfn.XLOOKUP(B80,'[11]january-2026'!$A:$A,'[11]january-2026'!$I:$I,0,0)</f>
        <v>0</v>
      </c>
      <c r="DO80">
        <f>IF($F80="YES",0,IF(DL80&gt;40000,200,IF(DL80&gt;25000,150,IF(DL80&gt;15000,130,IF(DL80&gt;10000,110,0)))))</f>
        <v>150</v>
      </c>
      <c r="DP80">
        <f>DL80-DM80-DN80-DO80</f>
        <v>36590</v>
      </c>
      <c r="DQ80">
        <f>_xlfn.XLOOKUP(B80,'[12]february-2026'!$A:$A,'[12]february-2026'!$C:$C,0,0)</f>
        <v>29800</v>
      </c>
      <c r="DR80">
        <f>DQ80*0.18</f>
        <v>5364</v>
      </c>
      <c r="DS80">
        <f>DQ80*0.12</f>
        <v>3576</v>
      </c>
      <c r="DT80">
        <f>_xlfn.XLOOKUP(B80,'[12]february-2026'!$A:$A,'[12]february-2026'!$D:$D,0,0)</f>
        <v>0</v>
      </c>
      <c r="DU80">
        <f>_xlfn.XLOOKUP(B80,'[12]february-2026'!$A:$A,'[12]february-2026'!$G:$G,0,0)</f>
        <v>0</v>
      </c>
      <c r="DV80">
        <f>IF(DQ80&gt;0,SUM(DQ80:DU80),0)</f>
        <v>38740</v>
      </c>
      <c r="DW80">
        <f>_xlfn.XLOOKUP(B80,'[12]february-2026'!$A:$A,'[12]february-2026'!$H:$H,0,0)</f>
        <v>2000</v>
      </c>
      <c r="DX80">
        <f>_xlfn.XLOOKUP(B80,'[12]february-2026'!$A:$A,'[12]february-2026'!$I:$I,0,0)</f>
        <v>0</v>
      </c>
      <c r="DY80">
        <f>IF($F80="YES",0,IF(DV80&gt;40000,200,IF(DV80&gt;25000,150,IF(DV80&gt;15000,130,IF(DV80&gt;10000,110,0)))))</f>
        <v>150</v>
      </c>
      <c r="DZ80">
        <f>DV80-DW80-DX80-DY80</f>
        <v>36590</v>
      </c>
      <c r="EA80">
        <f>DV80+DL80+DB80+CR80+CH80+BX80+BN80+BD80+AS80+AI80+Y80+O80+H80+I80</f>
        <v>465844</v>
      </c>
      <c r="EB80">
        <f>DY80+DO80+DE80+CU80+CK80+CA80+BQ80+BG80+AV80+AL80+AB80+R80</f>
        <v>1800</v>
      </c>
      <c r="EC80">
        <f>IF(EA80&gt;0,50000,0)</f>
        <v>50000</v>
      </c>
      <c r="ED80">
        <v>0</v>
      </c>
      <c r="EE80">
        <f>EA80-EB80-EC80</f>
        <v>414044</v>
      </c>
      <c r="EF80">
        <f>DW80+DM80+DC80+CS80+CI80+BY80+BO80+BE80+AT80+AJ80+Z80+P80</f>
        <v>24000</v>
      </c>
      <c r="EG80">
        <f>DX80+DN80+DD80+CT80+CJ80+BZ80+BP80+BF80+AU80+AK80+AA80+Q80</f>
        <v>0</v>
      </c>
      <c r="EH80">
        <v>0</v>
      </c>
      <c r="EI80">
        <v>0</v>
      </c>
      <c r="EJ80">
        <v>0</v>
      </c>
      <c r="EK80">
        <v>0</v>
      </c>
      <c r="EL80">
        <v>0</v>
      </c>
      <c r="EM80">
        <v>0</v>
      </c>
      <c r="EN80">
        <v>0</v>
      </c>
      <c r="EO80">
        <v>0</v>
      </c>
      <c r="EP80">
        <v>0</v>
      </c>
      <c r="EQ80">
        <v>0</v>
      </c>
      <c r="ER80">
        <f>SUM(EF80:EQ80)</f>
        <v>24000</v>
      </c>
      <c r="ES80">
        <f>IF(ER80&gt;=150000,150000,ER80)</f>
        <v>24000</v>
      </c>
      <c r="ET80">
        <f>EE80-ES80</f>
        <v>390044</v>
      </c>
      <c r="EU80">
        <v>0</v>
      </c>
      <c r="EV80">
        <v>0</v>
      </c>
      <c r="EW80">
        <v>0</v>
      </c>
      <c r="EX80">
        <v>0</v>
      </c>
      <c r="EY80">
        <v>0</v>
      </c>
      <c r="EZ80">
        <v>0</v>
      </c>
      <c r="FA80">
        <v>0</v>
      </c>
      <c r="FB80">
        <f>SUM(EU80:FA80)+(IF(F80="YES",50000,0))</f>
        <v>0</v>
      </c>
      <c r="FC80">
        <f>ET80-FB80</f>
        <v>390044</v>
      </c>
      <c r="FD80">
        <f>ROUND(IF(FC80&gt;0,IF(FC80&gt;500000,12500,(FC80-250000)*0.05),0),0)</f>
        <v>7002</v>
      </c>
      <c r="FE80">
        <f>IF(ROUND(IF(FC80&gt;0,IF(FC80&gt;1000000,25000,(FC80-500000)*0.2),0),0)&lt;0,0,ROUND(IF(FC80&gt;0,IF(FC80&gt;1000000,25000,(FC80-500000)*0.2),0),0))</f>
        <v>0</v>
      </c>
      <c r="FF80">
        <f>FD80+FE80</f>
        <v>7002</v>
      </c>
      <c r="FG80">
        <f>IF(FF80&lt;12500,0,FF80)</f>
        <v>0</v>
      </c>
      <c r="FH80">
        <f>FG80*0.04</f>
        <v>0</v>
      </c>
      <c r="FI80">
        <f>ROUND(FH80+FG80,0)</f>
        <v>0</v>
      </c>
      <c r="FJ80">
        <v>0</v>
      </c>
      <c r="FK80">
        <f>FI80-FJ80</f>
        <v>0</v>
      </c>
      <c r="FL80" t="b">
        <f>IF(EA80&gt;500000,TRUE,FALSE)</f>
        <v>0</v>
      </c>
      <c r="FM80">
        <f ca="1">IF(FL80,RANDBETWEEN(500,1000),RANDBETWEEN(1000,3000))</f>
        <v>1043</v>
      </c>
      <c r="FN80">
        <f ca="1">EA80+FM80</f>
        <v>466887</v>
      </c>
      <c r="FO80">
        <f>IF(EA80&gt;0,75000,0)</f>
        <v>75000</v>
      </c>
      <c r="FP80">
        <f ca="1">FN80-FO80</f>
        <v>391887</v>
      </c>
      <c r="FQ80">
        <f ca="1">IF(FP80&gt;2400000,FP80-2400000,0)</f>
        <v>0</v>
      </c>
      <c r="FR80">
        <f ca="1">FQ80*0.3</f>
        <v>0</v>
      </c>
      <c r="FS80">
        <f ca="1">IF(FP80&gt;2000000,FP80-2000000,0)</f>
        <v>0</v>
      </c>
      <c r="FT80">
        <f ca="1">FS80*0.25</f>
        <v>0</v>
      </c>
      <c r="FU80">
        <f ca="1">IF(FP80&gt;1600000,FP80-1600000-FQ80,0)</f>
        <v>0</v>
      </c>
      <c r="FV80">
        <f ca="1">FU80*0.2</f>
        <v>0</v>
      </c>
      <c r="FW80">
        <f ca="1">IF(FP80&gt;1200000,FP80-1200000-IF(F80="YES",50000,0)-FU80,0)</f>
        <v>0</v>
      </c>
      <c r="FX80">
        <f ca="1">FW80*0.15</f>
        <v>0</v>
      </c>
      <c r="FY80">
        <f ca="1">IF(FP80&gt;800000,FP80-800000-FQ80-FU80-FW80,0)</f>
        <v>0</v>
      </c>
      <c r="FZ80">
        <f ca="1">FY80*0.1</f>
        <v>0</v>
      </c>
      <c r="GA80">
        <f ca="1">IF(FP80&gt;400000,FP80-400000-FQ80-FU80-FW80-FY80,0)</f>
        <v>0</v>
      </c>
      <c r="GB80">
        <f ca="1">GA80*0.05</f>
        <v>0</v>
      </c>
      <c r="GC80">
        <f ca="1">ROUND(FR80+FT80+FV80+FX80+FZ80+GB80,0)</f>
        <v>0</v>
      </c>
      <c r="GD80">
        <f ca="1">IF(FP80&gt;1200000,FP80,0)</f>
        <v>0</v>
      </c>
      <c r="GE80">
        <f ca="1">IF(FP80&gt;1200000,GD80-1200000,0)</f>
        <v>0</v>
      </c>
      <c r="GF80">
        <f ca="1">IF(FP80&lt;1200001,MIN(GC80,60000),0)</f>
        <v>0</v>
      </c>
      <c r="GG80">
        <f ca="1">IF(FP80&gt;1200000,GC80-GE80,0)</f>
        <v>0</v>
      </c>
      <c r="GH80" t="b">
        <f ca="1">IF(GG80&gt;0,TRUE,FALSE)</f>
        <v>0</v>
      </c>
      <c r="GI80">
        <f ca="1">IF(GH80,GG80,0)</f>
        <v>0</v>
      </c>
      <c r="GJ80">
        <f ca="1">GF80+GI80</f>
        <v>0</v>
      </c>
      <c r="GK80">
        <f ca="1">ROUND(GC80-GJ80,0)</f>
        <v>0</v>
      </c>
      <c r="GL80">
        <f ca="1">GK80*0.04</f>
        <v>0</v>
      </c>
      <c r="GM80">
        <f ca="1">ROUNDUP(GK80+GL80,0)</f>
        <v>0</v>
      </c>
    </row>
    <row r="81" spans="1:195" x14ac:dyDescent="0.25">
      <c r="A81">
        <f>_xlfn.AGGREGATE(3,5,$B$2:B81)</f>
        <v>80</v>
      </c>
      <c r="B81" t="s">
        <v>280</v>
      </c>
      <c r="C81" t="s">
        <v>281</v>
      </c>
      <c r="D81" t="s">
        <v>773</v>
      </c>
      <c r="E81" t="s">
        <v>833</v>
      </c>
      <c r="F81" t="s">
        <v>959</v>
      </c>
      <c r="G81" t="s">
        <v>911</v>
      </c>
      <c r="H81">
        <f>IF(_xlfn.DAYS("31-03-2025",G81)&gt;=180,6800,0)</f>
        <v>6800</v>
      </c>
      <c r="I81">
        <f>_xlfn.XLOOKUP(B81,'[1]march-2025'!$A:$A,'[1]march-2025'!$J:$J,0,0)</f>
        <v>0</v>
      </c>
      <c r="J81">
        <f>_xlfn.XLOOKUP(B81,'[1]march-2025'!$A:$A,'[1]march-2025'!$C:$C,0,0)</f>
        <v>33500</v>
      </c>
      <c r="K81">
        <f>J81*0.14</f>
        <v>4690</v>
      </c>
      <c r="L81">
        <f>J81*0.12</f>
        <v>4020</v>
      </c>
      <c r="M81">
        <f>_xlfn.XLOOKUP(B81,'[1]march-2025'!$A:$A,'[1]march-2025'!$D:$D,0,0)</f>
        <v>400</v>
      </c>
      <c r="N81">
        <f>_xlfn.XLOOKUP(B81,'[1]march-2025'!$A:$A,'[1]march-2025'!$G:$G,0,0)</f>
        <v>500</v>
      </c>
      <c r="O81">
        <f>IF(J81&gt;0,SUM(J81:N81),0)</f>
        <v>43110</v>
      </c>
      <c r="P81">
        <f>_xlfn.XLOOKUP(B81,'[1]march-2025'!$A:$A,'[1]march-2025'!$H:$H,0,0)</f>
        <v>2500</v>
      </c>
      <c r="Q81">
        <f>_xlfn.XLOOKUP(B81,'[1]march-2025'!$A:$A,'[1]march-2025'!$I:$I,0,0)</f>
        <v>0</v>
      </c>
      <c r="R81">
        <f>IF($F81="YES",0,IF(O81&gt;40000,200,IF(O81&gt;25000,150,IF(O81&gt;15000,130,IF(O81&gt;10000,110,0)))))</f>
        <v>200</v>
      </c>
      <c r="S81">
        <f>O81-P81-Q81-R81</f>
        <v>40410</v>
      </c>
      <c r="T81">
        <f>_xlfn.XLOOKUP(B81,'[2]april-2025'!$A:$A,'[2]april-2025'!$C:$C,0,0)</f>
        <v>33500</v>
      </c>
      <c r="U81">
        <f>T81*0.18</f>
        <v>6030</v>
      </c>
      <c r="V81">
        <f>T81*0.12</f>
        <v>4020</v>
      </c>
      <c r="W81">
        <f>_xlfn.XLOOKUP(B81,'[2]april-2025'!$A:$A,'[2]april-2025'!$D:$D,0,0)</f>
        <v>400</v>
      </c>
      <c r="X81">
        <f>_xlfn.XLOOKUP(B81,'[2]april-2025'!$A:$A,'[2]april-2025'!$G:$G,0,0)</f>
        <v>500</v>
      </c>
      <c r="Y81">
        <f>IF(T81&gt;0,SUM(T81:X81),0)</f>
        <v>44450</v>
      </c>
      <c r="Z81">
        <f>_xlfn.XLOOKUP(B81,'[2]april-2025'!$A:$A,'[2]april-2025'!$H:$H,0,0)</f>
        <v>2500</v>
      </c>
      <c r="AA81">
        <f>_xlfn.XLOOKUP(B81,'[2]april-2025'!$A:$A,'[2]april-2025'!$I:$I,0,0)</f>
        <v>0</v>
      </c>
      <c r="AB81">
        <f>IF($F81="YES",0,IF(Y81&gt;40000,200,IF(Y81&gt;25000,150,IF(Y81&gt;15000,130,IF(Y81&gt;10000,110,0)))))</f>
        <v>200</v>
      </c>
      <c r="AC81">
        <f>Y81-Z81-AA81-AB81</f>
        <v>41750</v>
      </c>
      <c r="AD81">
        <f>_xlfn.XLOOKUP(B81,'[3]may-2025'!$A:$A,'[3]may-2025'!$C:$C,0,0)</f>
        <v>33500</v>
      </c>
      <c r="AE81">
        <f>AD81*0.18</f>
        <v>6030</v>
      </c>
      <c r="AF81">
        <f>AD81*0.12</f>
        <v>4020</v>
      </c>
      <c r="AG81">
        <f>_xlfn.XLOOKUP(B81,'[3]may-2025'!$A:$A,'[3]may-2025'!$D:$D,0,0)</f>
        <v>400</v>
      </c>
      <c r="AH81">
        <f>_xlfn.XLOOKUP(B81,'[3]may-2025'!$A:$A,'[3]may-2025'!$G:$G,0,0)</f>
        <v>500</v>
      </c>
      <c r="AI81">
        <f>IF(AD81&gt;0,SUM(AD81:AH81),0)</f>
        <v>44450</v>
      </c>
      <c r="AJ81">
        <f>_xlfn.XLOOKUP(B81,'[3]may-2025'!$A:$A,'[3]may-2025'!$H:$H,0,0)</f>
        <v>2500</v>
      </c>
      <c r="AK81">
        <f>_xlfn.XLOOKUP(B81,'[3]may-2025'!$A:$A,'[3]may-2025'!$I:$I,0,0)</f>
        <v>0</v>
      </c>
      <c r="AL81">
        <f>IF($F81="YES",0,IF(AI81&gt;40000,200,IF(AI81&gt;25000,150,IF(AI81&gt;15000,130,IF(AI81&gt;10000,110,0)))))</f>
        <v>200</v>
      </c>
      <c r="AM81">
        <f>AI81-AJ81-AK81-AL81</f>
        <v>41750</v>
      </c>
      <c r="AN81">
        <f>_xlfn.XLOOKUP(B81,'[4]june-2025'!$A:$A,'[4]june-2025'!$C:$C,0,0)</f>
        <v>33500</v>
      </c>
      <c r="AO81">
        <f>AN81*0.18</f>
        <v>6030</v>
      </c>
      <c r="AP81">
        <f>AN81*0.12</f>
        <v>4020</v>
      </c>
      <c r="AQ81">
        <f>_xlfn.XLOOKUP(B81,'[4]june-2025'!$A:$A,'[4]june-2025'!$D:$D,0,0)</f>
        <v>400</v>
      </c>
      <c r="AR81">
        <f>_xlfn.XLOOKUP(B81,'[4]june-2025'!$A:$A,'[4]june-2025'!$G:$G,0,0)</f>
        <v>500</v>
      </c>
      <c r="AS81">
        <f>IF(AN81&gt;0,SUM(AN81:AR81),0)</f>
        <v>44450</v>
      </c>
      <c r="AT81">
        <f>_xlfn.XLOOKUP(B81,'[4]june-2025'!$A:$A,'[4]june-2025'!$H:$H,0,0)</f>
        <v>2500</v>
      </c>
      <c r="AU81">
        <f>_xlfn.XLOOKUP(B81,'[4]june-2025'!$A:$A,'[4]june-2025'!$I:$I,0,0)</f>
        <v>0</v>
      </c>
      <c r="AV81">
        <f>IF($F81="YES",0,IF(AS81&gt;40000,200,IF(AS81&gt;25000,150,IF(AS81&gt;15000,130,IF(AS81&gt;10000,110,0)))))</f>
        <v>200</v>
      </c>
      <c r="AW81">
        <f>AS81-AT81-AU81-AV81</f>
        <v>41750</v>
      </c>
      <c r="AX81">
        <f>_xlfn.XLOOKUP(B81,'[5]july-2025'!$A:$A,'[5]july-2025'!$C:$C,0,0)</f>
        <v>35500</v>
      </c>
      <c r="AY81">
        <f>AX81*0.18</f>
        <v>6390</v>
      </c>
      <c r="AZ81">
        <v>0</v>
      </c>
      <c r="BA81">
        <f>AX81*0.12</f>
        <v>4260</v>
      </c>
      <c r="BB81">
        <f>_xlfn.XLOOKUP(B81,'[5]july-2025'!$A:$A,'[5]july-2025'!$D:$D,0,0)</f>
        <v>400</v>
      </c>
      <c r="BC81">
        <f>_xlfn.XLOOKUP(B81,'[5]july-2025'!$A:$A,'[5]july-2025'!$G:$G,0,0)</f>
        <v>500</v>
      </c>
      <c r="BD81">
        <f>IF(AX81&gt;0,SUM(AX81:BC81),0)</f>
        <v>47050</v>
      </c>
      <c r="BE81">
        <f>_xlfn.XLOOKUP(B81,'[5]july-2025'!$A:$A,'[5]july-2025'!$H:$H,0,0)</f>
        <v>2500</v>
      </c>
      <c r="BF81">
        <f>_xlfn.XLOOKUP(B81,'[5]july-2025'!$A:$A,'[5]july-2025'!$I:$I,0,0)</f>
        <v>0</v>
      </c>
      <c r="BG81">
        <f>IF($F81="YES",0,IF(BD81&gt;40000,200,IF(BD81&gt;25000,150,IF(BD81&gt;15000,130,IF(BD81&gt;10000,110,0)))))</f>
        <v>200</v>
      </c>
      <c r="BH81">
        <f>BD81-BE81-BF81-BG81</f>
        <v>44350</v>
      </c>
      <c r="BI81">
        <f>_xlfn.XLOOKUP(B81,'[6]august-2025'!$A:$A,'[6]august-2025'!$C:$C,0,0)</f>
        <v>35500</v>
      </c>
      <c r="BJ81">
        <f>BI81*0.18</f>
        <v>6390</v>
      </c>
      <c r="BK81">
        <f>BI81*0.12</f>
        <v>4260</v>
      </c>
      <c r="BL81">
        <f>_xlfn.XLOOKUP(B81,'[6]august-2025'!$A:$A,'[6]august-2025'!$D:$D,0,0)</f>
        <v>400</v>
      </c>
      <c r="BM81">
        <f>_xlfn.XLOOKUP(B81,'[6]august-2025'!$A:$A,'[6]august-2025'!$G:$G,0,0)</f>
        <v>500</v>
      </c>
      <c r="BN81">
        <f>IF(BI81&gt;0,SUM(BI81:BM81),0)</f>
        <v>47050</v>
      </c>
      <c r="BO81">
        <f>_xlfn.XLOOKUP(B81,'[6]august-2025'!$A:$A,'[6]august-2025'!$H:$H,0,0)</f>
        <v>2500</v>
      </c>
      <c r="BP81">
        <f>_xlfn.XLOOKUP(B81,'[6]august-2025'!$A:$A,'[6]august-2025'!$I:$I,0,0)</f>
        <v>0</v>
      </c>
      <c r="BQ81">
        <f>IF($F81="YES",0,IF(BN81&gt;40000,200,IF(BN81&gt;25000,150,IF(BN81&gt;15000,130,IF(BN81&gt;10000,110,0)))))</f>
        <v>200</v>
      </c>
      <c r="BR81">
        <f>BN81-BO81-BP81-BQ81</f>
        <v>44350</v>
      </c>
      <c r="BS81">
        <f>_xlfn.XLOOKUP(B81,'[7]september-2025'!$A:$A,'[7]september-2025'!$C:$C,0,0)</f>
        <v>35500</v>
      </c>
      <c r="BT81">
        <f>BS81*0.18</f>
        <v>6390</v>
      </c>
      <c r="BU81">
        <f>BS81*0.12</f>
        <v>4260</v>
      </c>
      <c r="BV81">
        <f>_xlfn.XLOOKUP(B81,'[7]september-2025'!$A:$A,'[7]september-2025'!$D:$D,0,0)</f>
        <v>400</v>
      </c>
      <c r="BW81">
        <f>_xlfn.XLOOKUP(B81,'[7]september-2025'!$A:$A,'[7]september-2025'!$G:$G,0,0)</f>
        <v>500</v>
      </c>
      <c r="BX81">
        <f>IF(BS81&gt;0,SUM(BS81:BW81),0)</f>
        <v>47050</v>
      </c>
      <c r="BY81">
        <f>_xlfn.XLOOKUP(B81,'[7]september-2025'!$A:$A,'[7]september-2025'!$H:$H,0,0)</f>
        <v>2500</v>
      </c>
      <c r="BZ81">
        <f>_xlfn.XLOOKUP(B81,'[7]september-2025'!$A:$A,'[7]september-2025'!$I:$I,0,0)</f>
        <v>0</v>
      </c>
      <c r="CA81">
        <f>IF($F81="YES",0,IF(BX81&gt;40000,200,IF(BX81&gt;25000,150,IF(BX81&gt;15000,130,IF(BX81&gt;10000,110,0)))))</f>
        <v>200</v>
      </c>
      <c r="CB81">
        <f>BX81-BY81-BZ81-CA81</f>
        <v>44350</v>
      </c>
      <c r="CC81">
        <f>_xlfn.XLOOKUP(B81,'[8]october-2025'!$A:$A,'[8]october-2025'!$C:$C,0,0)</f>
        <v>35500</v>
      </c>
      <c r="CD81">
        <f>CC81*0.18</f>
        <v>6390</v>
      </c>
      <c r="CE81">
        <f>CC81*0.12</f>
        <v>4260</v>
      </c>
      <c r="CF81">
        <f>_xlfn.XLOOKUP(B81,'[8]october-2025'!$A:$A,'[8]october-2025'!$D:$D,0,0)</f>
        <v>400</v>
      </c>
      <c r="CG81">
        <f>_xlfn.XLOOKUP(B81,'[8]october-2025'!$A:$A,'[8]october-2025'!$G:$G,0,0)</f>
        <v>500</v>
      </c>
      <c r="CH81">
        <f>IF(CC81&gt;0,SUM(CC81:CG81),0)</f>
        <v>47050</v>
      </c>
      <c r="CI81">
        <f>_xlfn.XLOOKUP(B81,'[8]october-2025'!$A:$A,'[8]october-2025'!$H:$H,0,0)</f>
        <v>2500</v>
      </c>
      <c r="CJ81">
        <f>_xlfn.XLOOKUP(B81,'[8]october-2025'!$A:$A,'[8]october-2025'!$I:$I,0,0)</f>
        <v>0</v>
      </c>
      <c r="CK81">
        <f>IF($F81="YES",0,IF(CH81&gt;40000,200,IF(CH81&gt;25000,150,IF(CH81&gt;15000,130,IF(CH81&gt;10000,110,0)))))</f>
        <v>200</v>
      </c>
      <c r="CL81">
        <f>CH81-CI81-CJ81-CK81</f>
        <v>44350</v>
      </c>
      <c r="CM81">
        <f>_xlfn.XLOOKUP(B81,'[9]november-2025'!$A:$A,'[9]november-2025'!$C:$C,0,0)</f>
        <v>35500</v>
      </c>
      <c r="CN81">
        <f>CM81*0.18</f>
        <v>6390</v>
      </c>
      <c r="CO81">
        <f>CM81*0.12</f>
        <v>4260</v>
      </c>
      <c r="CP81">
        <f>_xlfn.XLOOKUP(B81,'[9]november-2025'!$A:$A,'[9]november-2025'!$D:$D,0,0)</f>
        <v>400</v>
      </c>
      <c r="CQ81">
        <f>_xlfn.XLOOKUP(B81,'[9]november-2025'!$A:$A,'[9]november-2025'!$G:$G,0,0)</f>
        <v>500</v>
      </c>
      <c r="CR81">
        <f>IF(CM81&gt;0,SUM(CM81:CQ81),0)</f>
        <v>47050</v>
      </c>
      <c r="CS81">
        <f>_xlfn.XLOOKUP(B81,'[9]november-2025'!$A:$A,'[9]november-2025'!$H:$H,0,0)</f>
        <v>2500</v>
      </c>
      <c r="CT81">
        <f>_xlfn.XLOOKUP(B81,'[9]november-2025'!$A:$A,'[9]november-2025'!$I:$I,0,0)</f>
        <v>0</v>
      </c>
      <c r="CU81">
        <f>IF($F81="YES",0,IF(CR81&gt;40000,200,IF(CR81&gt;25000,150,IF(CR81&gt;15000,130,IF(CR81&gt;10000,110,0)))))</f>
        <v>200</v>
      </c>
      <c r="CV81">
        <f>CR81-CS81-CT81-CU81</f>
        <v>44350</v>
      </c>
      <c r="CW81">
        <f>_xlfn.XLOOKUP(B81,'[10]december-2025'!$A:$A,'[10]december-2025'!$C:$C,0,0)</f>
        <v>35500</v>
      </c>
      <c r="CX81">
        <f>ROUND(CW81*0.18,0)</f>
        <v>6390</v>
      </c>
      <c r="CY81">
        <f>ROUND(CW81*0.12,0)</f>
        <v>4260</v>
      </c>
      <c r="CZ81">
        <f>_xlfn.XLOOKUP(B81,'[10]december-2025'!$A:$A,'[10]december-2025'!$D:$D,0,0)</f>
        <v>400</v>
      </c>
      <c r="DA81">
        <f>_xlfn.XLOOKUP(B81,'[10]december-2025'!$A:$A,'[10]december-2025'!$G:$G,0,0)</f>
        <v>500</v>
      </c>
      <c r="DB81">
        <f>IF(CW81&gt;0,SUM(CW81:DA81),0)</f>
        <v>47050</v>
      </c>
      <c r="DC81">
        <f>_xlfn.XLOOKUP(B81,'[10]december-2025'!$A:$A,'[10]december-2025'!$H:$H,0,0)</f>
        <v>2500</v>
      </c>
      <c r="DD81">
        <f>_xlfn.XLOOKUP(B81,'[10]december-2025'!$A:$A,'[10]december-2025'!$I:$I,0,0)</f>
        <v>0</v>
      </c>
      <c r="DE81">
        <f>IF($F81="YES",0,IF(DB81&gt;40000,200,IF(DB81&gt;25000,150,IF(DB81&gt;15000,130,IF(DB81&gt;10000,110,0)))))</f>
        <v>200</v>
      </c>
      <c r="DF81">
        <f>DB81-DC81-DD81-DE81</f>
        <v>44350</v>
      </c>
      <c r="DG81">
        <f>_xlfn.XLOOKUP(B81,'[11]january-2026'!$A:$A,'[11]january-2026'!$C:$C,0,0)</f>
        <v>35500</v>
      </c>
      <c r="DH81">
        <f>DG81*0.18</f>
        <v>6390</v>
      </c>
      <c r="DI81">
        <f>DG81*0.12</f>
        <v>4260</v>
      </c>
      <c r="DJ81">
        <f>_xlfn.XLOOKUP(B81,'[11]january-2026'!$A:$A,'[11]january-2026'!$D:$D,0,0)</f>
        <v>400</v>
      </c>
      <c r="DK81">
        <f>_xlfn.XLOOKUP(B81,'[11]january-2026'!$A:$A,'[11]january-2026'!$G:$G,0,0)</f>
        <v>500</v>
      </c>
      <c r="DL81">
        <f>IF(DG81&gt;0,SUM(DG81:DK81),0)</f>
        <v>47050</v>
      </c>
      <c r="DM81">
        <f>_xlfn.XLOOKUP(B81,'[11]january-2026'!$A:$A,'[11]january-2026'!$H:$H,0,0)</f>
        <v>2500</v>
      </c>
      <c r="DN81">
        <f>_xlfn.XLOOKUP(B81,'[11]january-2026'!$A:$A,'[11]january-2026'!$I:$I,0,0)</f>
        <v>0</v>
      </c>
      <c r="DO81">
        <f>IF($F81="YES",0,IF(DL81&gt;40000,200,IF(DL81&gt;25000,150,IF(DL81&gt;15000,130,IF(DL81&gt;10000,110,0)))))</f>
        <v>200</v>
      </c>
      <c r="DP81">
        <f>DL81-DM81-DN81-DO81</f>
        <v>44350</v>
      </c>
      <c r="DQ81">
        <f>_xlfn.XLOOKUP(B81,'[12]february-2026'!$A:$A,'[12]february-2026'!$C:$C,0,0)</f>
        <v>35500</v>
      </c>
      <c r="DR81">
        <f>DQ81*0.18</f>
        <v>6390</v>
      </c>
      <c r="DS81">
        <f>DQ81*0.12</f>
        <v>4260</v>
      </c>
      <c r="DT81">
        <f>_xlfn.XLOOKUP(B81,'[12]february-2026'!$A:$A,'[12]february-2026'!$D:$D,0,0)</f>
        <v>400</v>
      </c>
      <c r="DU81">
        <f>_xlfn.XLOOKUP(B81,'[12]february-2026'!$A:$A,'[12]february-2026'!$G:$G,0,0)</f>
        <v>500</v>
      </c>
      <c r="DV81">
        <f>IF(DQ81&gt;0,SUM(DQ81:DU81),0)</f>
        <v>47050</v>
      </c>
      <c r="DW81">
        <f>_xlfn.XLOOKUP(B81,'[12]february-2026'!$A:$A,'[12]february-2026'!$H:$H,0,0)</f>
        <v>2500</v>
      </c>
      <c r="DX81">
        <f>_xlfn.XLOOKUP(B81,'[12]february-2026'!$A:$A,'[12]february-2026'!$I:$I,0,0)</f>
        <v>0</v>
      </c>
      <c r="DY81">
        <f>IF($F81="YES",0,IF(DV81&gt;40000,200,IF(DV81&gt;25000,150,IF(DV81&gt;15000,130,IF(DV81&gt;10000,110,0)))))</f>
        <v>200</v>
      </c>
      <c r="DZ81">
        <f>DV81-DW81-DX81-DY81</f>
        <v>44350</v>
      </c>
      <c r="EA81">
        <f>DV81+DL81+DB81+CR81+CH81+BX81+BN81+BD81+AS81+AI81+Y81+O81+H81+I81</f>
        <v>559660</v>
      </c>
      <c r="EB81">
        <f>DY81+DO81+DE81+CU81+CK81+CA81+BQ81+BG81+AV81+AL81+AB81+R81</f>
        <v>2400</v>
      </c>
      <c r="EC81">
        <f>IF(EA81&gt;0,50000,0)</f>
        <v>50000</v>
      </c>
      <c r="ED81">
        <v>0</v>
      </c>
      <c r="EE81">
        <f>EA81-EB81-EC81</f>
        <v>507260</v>
      </c>
      <c r="EF81">
        <f>DW81+DM81+DC81+CS81+CI81+BY81+BO81+BE81+AT81+AJ81+Z81+P81</f>
        <v>30000</v>
      </c>
      <c r="EG81">
        <f>DX81+DN81+DD81+CT81+CJ81+BZ81+BP81+BF81+AU81+AK81+AA81+Q81</f>
        <v>0</v>
      </c>
      <c r="EH81">
        <v>0</v>
      </c>
      <c r="EI81">
        <v>0</v>
      </c>
      <c r="EJ81">
        <v>0</v>
      </c>
      <c r="EK81">
        <v>0</v>
      </c>
      <c r="EL81">
        <v>0</v>
      </c>
      <c r="EM81">
        <v>0</v>
      </c>
      <c r="EN81">
        <v>0</v>
      </c>
      <c r="EO81">
        <v>0</v>
      </c>
      <c r="EP81">
        <v>0</v>
      </c>
      <c r="EQ81">
        <v>0</v>
      </c>
      <c r="ER81">
        <f>SUM(EF81:EQ81)</f>
        <v>30000</v>
      </c>
      <c r="ES81">
        <f>IF(ER81&gt;=150000,150000,ER81)</f>
        <v>30000</v>
      </c>
      <c r="ET81">
        <f>EE81-ES81</f>
        <v>477260</v>
      </c>
      <c r="EU81">
        <v>0</v>
      </c>
      <c r="EV81">
        <v>0</v>
      </c>
      <c r="EW81">
        <v>0</v>
      </c>
      <c r="EX81">
        <v>0</v>
      </c>
      <c r="EY81">
        <v>0</v>
      </c>
      <c r="EZ81">
        <v>0</v>
      </c>
      <c r="FA81">
        <v>0</v>
      </c>
      <c r="FB81">
        <f>SUM(EU81:FA81)+(IF(F81="YES",50000,0))</f>
        <v>0</v>
      </c>
      <c r="FC81">
        <f>ET81-FB81</f>
        <v>477260</v>
      </c>
      <c r="FD81">
        <f>ROUND(IF(FC81&gt;0,IF(FC81&gt;500000,12500,(FC81-250000)*0.05),0),0)</f>
        <v>11363</v>
      </c>
      <c r="FE81">
        <f>IF(ROUND(IF(FC81&gt;0,IF(FC81&gt;1000000,25000,(FC81-500000)*0.2),0),0)&lt;0,0,ROUND(IF(FC81&gt;0,IF(FC81&gt;1000000,25000,(FC81-500000)*0.2),0),0))</f>
        <v>0</v>
      </c>
      <c r="FF81">
        <f>FD81+FE81</f>
        <v>11363</v>
      </c>
      <c r="FG81">
        <f>IF(FF81&lt;12500,0,FF81)</f>
        <v>0</v>
      </c>
      <c r="FH81">
        <f>FG81*0.04</f>
        <v>0</v>
      </c>
      <c r="FI81">
        <f>ROUND(FH81+FG81,0)</f>
        <v>0</v>
      </c>
      <c r="FJ81">
        <v>0</v>
      </c>
      <c r="FK81">
        <f>FI81-FJ81</f>
        <v>0</v>
      </c>
      <c r="FL81" t="b">
        <f>IF(EA81&gt;500000,TRUE,FALSE)</f>
        <v>1</v>
      </c>
      <c r="FM81">
        <f ca="1">IF(FL81,RANDBETWEEN(500,1000),RANDBETWEEN(1000,3000))</f>
        <v>516</v>
      </c>
      <c r="FN81">
        <f ca="1">EA81+FM81</f>
        <v>560176</v>
      </c>
      <c r="FO81">
        <f>IF(EA81&gt;0,75000,0)</f>
        <v>75000</v>
      </c>
      <c r="FP81">
        <f ca="1">FN81-FO81</f>
        <v>485176</v>
      </c>
      <c r="FQ81">
        <f ca="1">IF(FP81&gt;2400000,FP81-2400000,0)</f>
        <v>0</v>
      </c>
      <c r="FR81">
        <f ca="1">FQ81*0.3</f>
        <v>0</v>
      </c>
      <c r="FS81">
        <f ca="1">IF(FP81&gt;2000000,FP81-2000000,0)</f>
        <v>0</v>
      </c>
      <c r="FT81">
        <f ca="1">FS81*0.25</f>
        <v>0</v>
      </c>
      <c r="FU81">
        <f ca="1">IF(FP81&gt;1600000,FP81-1600000-FQ81,0)</f>
        <v>0</v>
      </c>
      <c r="FV81">
        <f ca="1">FU81*0.2</f>
        <v>0</v>
      </c>
      <c r="FW81">
        <f ca="1">IF(FP81&gt;1200000,FP81-1200000-IF(F81="YES",50000,0)-FU81,0)</f>
        <v>0</v>
      </c>
      <c r="FX81">
        <f ca="1">FW81*0.15</f>
        <v>0</v>
      </c>
      <c r="FY81">
        <f ca="1">IF(FP81&gt;800000,FP81-800000-FQ81-FU81-FW81,0)</f>
        <v>0</v>
      </c>
      <c r="FZ81">
        <f ca="1">FY81*0.1</f>
        <v>0</v>
      </c>
      <c r="GA81">
        <f ca="1">IF(FP81&gt;400000,FP81-400000-FQ81-FU81-FW81-FY81,0)</f>
        <v>85176</v>
      </c>
      <c r="GB81">
        <f ca="1">GA81*0.05</f>
        <v>4258.8</v>
      </c>
      <c r="GC81">
        <f ca="1">ROUND(FR81+FT81+FV81+FX81+FZ81+GB81,0)</f>
        <v>4259</v>
      </c>
      <c r="GD81">
        <f ca="1">IF(FP81&gt;1200000,FP81,0)</f>
        <v>0</v>
      </c>
      <c r="GE81">
        <f ca="1">IF(FP81&gt;1200000,GD81-1200000,0)</f>
        <v>0</v>
      </c>
      <c r="GF81">
        <f ca="1">IF(FP81&lt;1200001,MIN(GC81,60000),0)</f>
        <v>4259</v>
      </c>
      <c r="GG81">
        <f ca="1">IF(FP81&gt;1200000,GC81-GE81,0)</f>
        <v>0</v>
      </c>
      <c r="GH81" t="b">
        <f ca="1">IF(GG81&gt;0,TRUE,FALSE)</f>
        <v>0</v>
      </c>
      <c r="GI81">
        <f ca="1">IF(GH81,GG81,0)</f>
        <v>0</v>
      </c>
      <c r="GJ81">
        <f ca="1">GF81+GI81</f>
        <v>4259</v>
      </c>
      <c r="GK81">
        <f ca="1">ROUND(GC81-GJ81,0)</f>
        <v>0</v>
      </c>
      <c r="GL81">
        <f ca="1">GK81*0.04</f>
        <v>0</v>
      </c>
      <c r="GM81">
        <f ca="1">ROUNDUP(GK81+GL81,0)</f>
        <v>0</v>
      </c>
    </row>
    <row r="82" spans="1:195" x14ac:dyDescent="0.25">
      <c r="A82">
        <f>_xlfn.AGGREGATE(3,5,$B$2:B82)</f>
        <v>81</v>
      </c>
      <c r="B82" t="s">
        <v>282</v>
      </c>
      <c r="C82" t="s">
        <v>283</v>
      </c>
      <c r="D82" t="s">
        <v>773</v>
      </c>
      <c r="E82" t="s">
        <v>833</v>
      </c>
      <c r="F82" t="s">
        <v>959</v>
      </c>
      <c r="G82" t="s">
        <v>912</v>
      </c>
      <c r="H82">
        <f>IF(_xlfn.DAYS("31-03-2025",G82)&gt;=180,6800,0)</f>
        <v>6800</v>
      </c>
      <c r="I82">
        <f>_xlfn.XLOOKUP(B82,'[1]march-2025'!$A:$A,'[1]march-2025'!$J:$J,0,0)</f>
        <v>0</v>
      </c>
      <c r="J82">
        <f>_xlfn.XLOOKUP(B82,'[1]march-2025'!$A:$A,'[1]march-2025'!$C:$C,0,0)</f>
        <v>33500</v>
      </c>
      <c r="K82">
        <f>J82*0.14</f>
        <v>4690</v>
      </c>
      <c r="L82">
        <f>J82*0.12</f>
        <v>4020</v>
      </c>
      <c r="M82">
        <f>_xlfn.XLOOKUP(B82,'[1]march-2025'!$A:$A,'[1]march-2025'!$D:$D,0,0)</f>
        <v>0</v>
      </c>
      <c r="N82">
        <f>_xlfn.XLOOKUP(B82,'[1]march-2025'!$A:$A,'[1]march-2025'!$G:$G,0,0)</f>
        <v>0</v>
      </c>
      <c r="O82">
        <f>IF(J82&gt;0,SUM(J82:N82),0)</f>
        <v>42210</v>
      </c>
      <c r="P82">
        <f>_xlfn.XLOOKUP(B82,'[1]march-2025'!$A:$A,'[1]march-2025'!$H:$H,0,0)</f>
        <v>2500</v>
      </c>
      <c r="Q82">
        <f>_xlfn.XLOOKUP(B82,'[1]march-2025'!$A:$A,'[1]march-2025'!$I:$I,0,0)</f>
        <v>0</v>
      </c>
      <c r="R82">
        <f>IF($F82="YES",0,IF(O82&gt;40000,200,IF(O82&gt;25000,150,IF(O82&gt;15000,130,IF(O82&gt;10000,110,0)))))</f>
        <v>200</v>
      </c>
      <c r="S82">
        <f>O82-P82-Q82-R82</f>
        <v>39510</v>
      </c>
      <c r="T82">
        <f>_xlfn.XLOOKUP(B82,'[2]april-2025'!$A:$A,'[2]april-2025'!$C:$C,0,0)</f>
        <v>33500</v>
      </c>
      <c r="U82">
        <f>T82*0.18</f>
        <v>6030</v>
      </c>
      <c r="V82">
        <f>T82*0.12</f>
        <v>4020</v>
      </c>
      <c r="W82">
        <f>_xlfn.XLOOKUP(B82,'[2]april-2025'!$A:$A,'[2]april-2025'!$D:$D,0,0)</f>
        <v>0</v>
      </c>
      <c r="X82">
        <f>_xlfn.XLOOKUP(B82,'[2]april-2025'!$A:$A,'[2]april-2025'!$G:$G,0,0)</f>
        <v>0</v>
      </c>
      <c r="Y82">
        <f>IF(T82&gt;0,SUM(T82:X82),0)</f>
        <v>43550</v>
      </c>
      <c r="Z82">
        <f>_xlfn.XLOOKUP(B82,'[2]april-2025'!$A:$A,'[2]april-2025'!$H:$H,0,0)</f>
        <v>2500</v>
      </c>
      <c r="AA82">
        <f>_xlfn.XLOOKUP(B82,'[2]april-2025'!$A:$A,'[2]april-2025'!$I:$I,0,0)</f>
        <v>0</v>
      </c>
      <c r="AB82">
        <f>IF($F82="YES",0,IF(Y82&gt;40000,200,IF(Y82&gt;25000,150,IF(Y82&gt;15000,130,IF(Y82&gt;10000,110,0)))))</f>
        <v>200</v>
      </c>
      <c r="AC82">
        <f>Y82-Z82-AA82-AB82</f>
        <v>40850</v>
      </c>
      <c r="AD82">
        <f>_xlfn.XLOOKUP(B82,'[3]may-2025'!$A:$A,'[3]may-2025'!$C:$C,0,0)</f>
        <v>33500</v>
      </c>
      <c r="AE82">
        <f>AD82*0.18</f>
        <v>6030</v>
      </c>
      <c r="AF82">
        <f>AD82*0.12</f>
        <v>4020</v>
      </c>
      <c r="AG82">
        <f>_xlfn.XLOOKUP(B82,'[3]may-2025'!$A:$A,'[3]may-2025'!$D:$D,0,0)</f>
        <v>0</v>
      </c>
      <c r="AH82">
        <f>_xlfn.XLOOKUP(B82,'[3]may-2025'!$A:$A,'[3]may-2025'!$G:$G,0,0)</f>
        <v>0</v>
      </c>
      <c r="AI82">
        <f>IF(AD82&gt;0,SUM(AD82:AH82),0)</f>
        <v>43550</v>
      </c>
      <c r="AJ82">
        <f>_xlfn.XLOOKUP(B82,'[3]may-2025'!$A:$A,'[3]may-2025'!$H:$H,0,0)</f>
        <v>2500</v>
      </c>
      <c r="AK82">
        <f>_xlfn.XLOOKUP(B82,'[3]may-2025'!$A:$A,'[3]may-2025'!$I:$I,0,0)</f>
        <v>0</v>
      </c>
      <c r="AL82">
        <f>IF($F82="YES",0,IF(AI82&gt;40000,200,IF(AI82&gt;25000,150,IF(AI82&gt;15000,130,IF(AI82&gt;10000,110,0)))))</f>
        <v>200</v>
      </c>
      <c r="AM82">
        <f>AI82-AJ82-AK82-AL82</f>
        <v>40850</v>
      </c>
      <c r="AN82">
        <f>_xlfn.XLOOKUP(B82,'[4]june-2025'!$A:$A,'[4]june-2025'!$C:$C,0,0)</f>
        <v>33500</v>
      </c>
      <c r="AO82">
        <f>AN82*0.18</f>
        <v>6030</v>
      </c>
      <c r="AP82">
        <f>AN82*0.12</f>
        <v>4020</v>
      </c>
      <c r="AQ82">
        <f>_xlfn.XLOOKUP(B82,'[4]june-2025'!$A:$A,'[4]june-2025'!$D:$D,0,0)</f>
        <v>0</v>
      </c>
      <c r="AR82">
        <f>_xlfn.XLOOKUP(B82,'[4]june-2025'!$A:$A,'[4]june-2025'!$G:$G,0,0)</f>
        <v>0</v>
      </c>
      <c r="AS82">
        <f>IF(AN82&gt;0,SUM(AN82:AR82),0)</f>
        <v>43550</v>
      </c>
      <c r="AT82">
        <f>_xlfn.XLOOKUP(B82,'[4]june-2025'!$A:$A,'[4]june-2025'!$H:$H,0,0)</f>
        <v>2500</v>
      </c>
      <c r="AU82">
        <f>_xlfn.XLOOKUP(B82,'[4]june-2025'!$A:$A,'[4]june-2025'!$I:$I,0,0)</f>
        <v>0</v>
      </c>
      <c r="AV82">
        <f>IF($F82="YES",0,IF(AS82&gt;40000,200,IF(AS82&gt;25000,150,IF(AS82&gt;15000,130,IF(AS82&gt;10000,110,0)))))</f>
        <v>200</v>
      </c>
      <c r="AW82">
        <f>AS82-AT82-AU82-AV82</f>
        <v>40850</v>
      </c>
      <c r="AX82">
        <f>_xlfn.XLOOKUP(B82,'[5]july-2025'!$A:$A,'[5]july-2025'!$C:$C,0,0)</f>
        <v>34500</v>
      </c>
      <c r="AY82">
        <f>AX82*0.18</f>
        <v>6210</v>
      </c>
      <c r="AZ82">
        <v>0</v>
      </c>
      <c r="BA82">
        <f>AX82*0.12</f>
        <v>4140</v>
      </c>
      <c r="BB82">
        <f>_xlfn.XLOOKUP(B82,'[5]july-2025'!$A:$A,'[5]july-2025'!$D:$D,0,0)</f>
        <v>0</v>
      </c>
      <c r="BC82">
        <f>_xlfn.XLOOKUP(B82,'[5]july-2025'!$A:$A,'[5]july-2025'!$G:$G,0,0)</f>
        <v>0</v>
      </c>
      <c r="BD82">
        <f>IF(AX82&gt;0,SUM(AX82:BC82),0)</f>
        <v>44850</v>
      </c>
      <c r="BE82">
        <f>_xlfn.XLOOKUP(B82,'[5]july-2025'!$A:$A,'[5]july-2025'!$H:$H,0,0)</f>
        <v>2500</v>
      </c>
      <c r="BF82">
        <f>_xlfn.XLOOKUP(B82,'[5]july-2025'!$A:$A,'[5]july-2025'!$I:$I,0,0)</f>
        <v>0</v>
      </c>
      <c r="BG82">
        <f>IF($F82="YES",0,IF(BD82&gt;40000,200,IF(BD82&gt;25000,150,IF(BD82&gt;15000,130,IF(BD82&gt;10000,110,0)))))</f>
        <v>200</v>
      </c>
      <c r="BH82">
        <f>BD82-BE82-BF82-BG82</f>
        <v>42150</v>
      </c>
      <c r="BI82">
        <f>_xlfn.XLOOKUP(B82,'[6]august-2025'!$A:$A,'[6]august-2025'!$C:$C,0,0)</f>
        <v>34500</v>
      </c>
      <c r="BJ82">
        <f>BI82*0.18</f>
        <v>6210</v>
      </c>
      <c r="BK82">
        <f>BI82*0.12</f>
        <v>4140</v>
      </c>
      <c r="BL82">
        <f>_xlfn.XLOOKUP(B82,'[6]august-2025'!$A:$A,'[6]august-2025'!$D:$D,0,0)</f>
        <v>0</v>
      </c>
      <c r="BM82">
        <f>_xlfn.XLOOKUP(B82,'[6]august-2025'!$A:$A,'[6]august-2025'!$G:$G,0,0)</f>
        <v>0</v>
      </c>
      <c r="BN82">
        <f>IF(BI82&gt;0,SUM(BI82:BM82),0)</f>
        <v>44850</v>
      </c>
      <c r="BO82">
        <f>_xlfn.XLOOKUP(B82,'[6]august-2025'!$A:$A,'[6]august-2025'!$H:$H,0,0)</f>
        <v>2500</v>
      </c>
      <c r="BP82">
        <f>_xlfn.XLOOKUP(B82,'[6]august-2025'!$A:$A,'[6]august-2025'!$I:$I,0,0)</f>
        <v>0</v>
      </c>
      <c r="BQ82">
        <f>IF($F82="YES",0,IF(BN82&gt;40000,200,IF(BN82&gt;25000,150,IF(BN82&gt;15000,130,IF(BN82&gt;10000,110,0)))))</f>
        <v>200</v>
      </c>
      <c r="BR82">
        <f>BN82-BO82-BP82-BQ82</f>
        <v>42150</v>
      </c>
      <c r="BS82">
        <f>_xlfn.XLOOKUP(B82,'[7]september-2025'!$A:$A,'[7]september-2025'!$C:$C,0,0)</f>
        <v>34500</v>
      </c>
      <c r="BT82">
        <f>BS82*0.18</f>
        <v>6210</v>
      </c>
      <c r="BU82">
        <f>BS82*0.12</f>
        <v>4140</v>
      </c>
      <c r="BV82">
        <f>_xlfn.XLOOKUP(B82,'[7]september-2025'!$A:$A,'[7]september-2025'!$D:$D,0,0)</f>
        <v>0</v>
      </c>
      <c r="BW82">
        <f>_xlfn.XLOOKUP(B82,'[7]september-2025'!$A:$A,'[7]september-2025'!$G:$G,0,0)</f>
        <v>0</v>
      </c>
      <c r="BX82">
        <f>IF(BS82&gt;0,SUM(BS82:BW82),0)</f>
        <v>44850</v>
      </c>
      <c r="BY82">
        <f>_xlfn.XLOOKUP(B82,'[7]september-2025'!$A:$A,'[7]september-2025'!$H:$H,0,0)</f>
        <v>2500</v>
      </c>
      <c r="BZ82">
        <f>_xlfn.XLOOKUP(B82,'[7]september-2025'!$A:$A,'[7]september-2025'!$I:$I,0,0)</f>
        <v>0</v>
      </c>
      <c r="CA82">
        <f>IF($F82="YES",0,IF(BX82&gt;40000,200,IF(BX82&gt;25000,150,IF(BX82&gt;15000,130,IF(BX82&gt;10000,110,0)))))</f>
        <v>200</v>
      </c>
      <c r="CB82">
        <f>BX82-BY82-BZ82-CA82</f>
        <v>42150</v>
      </c>
      <c r="CC82">
        <f>_xlfn.XLOOKUP(B82,'[8]october-2025'!$A:$A,'[8]october-2025'!$C:$C,0,0)</f>
        <v>34500</v>
      </c>
      <c r="CD82">
        <f>CC82*0.18</f>
        <v>6210</v>
      </c>
      <c r="CE82">
        <f>CC82*0.12</f>
        <v>4140</v>
      </c>
      <c r="CF82">
        <f>_xlfn.XLOOKUP(B82,'[8]october-2025'!$A:$A,'[8]october-2025'!$D:$D,0,0)</f>
        <v>0</v>
      </c>
      <c r="CG82">
        <f>_xlfn.XLOOKUP(B82,'[8]october-2025'!$A:$A,'[8]october-2025'!$G:$G,0,0)</f>
        <v>0</v>
      </c>
      <c r="CH82">
        <f>IF(CC82&gt;0,SUM(CC82:CG82),0)</f>
        <v>44850</v>
      </c>
      <c r="CI82">
        <f>_xlfn.XLOOKUP(B82,'[8]october-2025'!$A:$A,'[8]october-2025'!$H:$H,0,0)</f>
        <v>2500</v>
      </c>
      <c r="CJ82">
        <f>_xlfn.XLOOKUP(B82,'[8]october-2025'!$A:$A,'[8]october-2025'!$I:$I,0,0)</f>
        <v>0</v>
      </c>
      <c r="CK82">
        <f>IF($F82="YES",0,IF(CH82&gt;40000,200,IF(CH82&gt;25000,150,IF(CH82&gt;15000,130,IF(CH82&gt;10000,110,0)))))</f>
        <v>200</v>
      </c>
      <c r="CL82">
        <f>CH82-CI82-CJ82-CK82</f>
        <v>42150</v>
      </c>
      <c r="CM82">
        <f>_xlfn.XLOOKUP(B82,'[9]november-2025'!$A:$A,'[9]november-2025'!$C:$C,0,0)</f>
        <v>34500</v>
      </c>
      <c r="CN82">
        <f>CM82*0.18</f>
        <v>6210</v>
      </c>
      <c r="CO82">
        <f>CM82*0.12</f>
        <v>4140</v>
      </c>
      <c r="CP82">
        <f>_xlfn.XLOOKUP(B82,'[9]november-2025'!$A:$A,'[9]november-2025'!$D:$D,0,0)</f>
        <v>0</v>
      </c>
      <c r="CQ82">
        <f>_xlfn.XLOOKUP(B82,'[9]november-2025'!$A:$A,'[9]november-2025'!$G:$G,0,0)</f>
        <v>0</v>
      </c>
      <c r="CR82">
        <f>IF(CM82&gt;0,SUM(CM82:CQ82),0)</f>
        <v>44850</v>
      </c>
      <c r="CS82">
        <f>_xlfn.XLOOKUP(B82,'[9]november-2025'!$A:$A,'[9]november-2025'!$H:$H,0,0)</f>
        <v>2500</v>
      </c>
      <c r="CT82">
        <f>_xlfn.XLOOKUP(B82,'[9]november-2025'!$A:$A,'[9]november-2025'!$I:$I,0,0)</f>
        <v>0</v>
      </c>
      <c r="CU82">
        <f>IF($F82="YES",0,IF(CR82&gt;40000,200,IF(CR82&gt;25000,150,IF(CR82&gt;15000,130,IF(CR82&gt;10000,110,0)))))</f>
        <v>200</v>
      </c>
      <c r="CV82">
        <f>CR82-CS82-CT82-CU82</f>
        <v>42150</v>
      </c>
      <c r="CW82">
        <f>_xlfn.XLOOKUP(B82,'[10]december-2025'!$A:$A,'[10]december-2025'!$C:$C,0,0)</f>
        <v>34500</v>
      </c>
      <c r="CX82">
        <f>ROUND(CW82*0.18,0)</f>
        <v>6210</v>
      </c>
      <c r="CY82">
        <f>ROUND(CW82*0.12,0)</f>
        <v>4140</v>
      </c>
      <c r="CZ82">
        <f>_xlfn.XLOOKUP(B82,'[10]december-2025'!$A:$A,'[10]december-2025'!$D:$D,0,0)</f>
        <v>0</v>
      </c>
      <c r="DA82">
        <f>_xlfn.XLOOKUP(B82,'[10]december-2025'!$A:$A,'[10]december-2025'!$G:$G,0,0)</f>
        <v>0</v>
      </c>
      <c r="DB82">
        <f>IF(CW82&gt;0,SUM(CW82:DA82),0)</f>
        <v>44850</v>
      </c>
      <c r="DC82">
        <f>_xlfn.XLOOKUP(B82,'[10]december-2025'!$A:$A,'[10]december-2025'!$H:$H,0,0)</f>
        <v>2500</v>
      </c>
      <c r="DD82">
        <f>_xlfn.XLOOKUP(B82,'[10]december-2025'!$A:$A,'[10]december-2025'!$I:$I,0,0)</f>
        <v>0</v>
      </c>
      <c r="DE82">
        <f>IF($F82="YES",0,IF(DB82&gt;40000,200,IF(DB82&gt;25000,150,IF(DB82&gt;15000,130,IF(DB82&gt;10000,110,0)))))</f>
        <v>200</v>
      </c>
      <c r="DF82">
        <f>DB82-DC82-DD82-DE82</f>
        <v>42150</v>
      </c>
      <c r="DG82">
        <f>_xlfn.XLOOKUP(B82,'[11]january-2026'!$A:$A,'[11]january-2026'!$C:$C,0,0)</f>
        <v>34500</v>
      </c>
      <c r="DH82">
        <f>DG82*0.18</f>
        <v>6210</v>
      </c>
      <c r="DI82">
        <f>DG82*0.12</f>
        <v>4140</v>
      </c>
      <c r="DJ82">
        <f>_xlfn.XLOOKUP(B82,'[11]january-2026'!$A:$A,'[11]january-2026'!$D:$D,0,0)</f>
        <v>0</v>
      </c>
      <c r="DK82">
        <f>_xlfn.XLOOKUP(B82,'[11]january-2026'!$A:$A,'[11]january-2026'!$G:$G,0,0)</f>
        <v>0</v>
      </c>
      <c r="DL82">
        <f>IF(DG82&gt;0,SUM(DG82:DK82),0)</f>
        <v>44850</v>
      </c>
      <c r="DM82">
        <f>_xlfn.XLOOKUP(B82,'[11]january-2026'!$A:$A,'[11]january-2026'!$H:$H,0,0)</f>
        <v>2500</v>
      </c>
      <c r="DN82">
        <f>_xlfn.XLOOKUP(B82,'[11]january-2026'!$A:$A,'[11]january-2026'!$I:$I,0,0)</f>
        <v>0</v>
      </c>
      <c r="DO82">
        <f>IF($F82="YES",0,IF(DL82&gt;40000,200,IF(DL82&gt;25000,150,IF(DL82&gt;15000,130,IF(DL82&gt;10000,110,0)))))</f>
        <v>200</v>
      </c>
      <c r="DP82">
        <f>DL82-DM82-DN82-DO82</f>
        <v>42150</v>
      </c>
      <c r="DQ82">
        <f>_xlfn.XLOOKUP(B82,'[12]february-2026'!$A:$A,'[12]february-2026'!$C:$C,0,0)</f>
        <v>34500</v>
      </c>
      <c r="DR82">
        <f>DQ82*0.18</f>
        <v>6210</v>
      </c>
      <c r="DS82">
        <f>DQ82*0.12</f>
        <v>4140</v>
      </c>
      <c r="DT82">
        <f>_xlfn.XLOOKUP(B82,'[12]february-2026'!$A:$A,'[12]february-2026'!$D:$D,0,0)</f>
        <v>0</v>
      </c>
      <c r="DU82">
        <f>_xlfn.XLOOKUP(B82,'[12]february-2026'!$A:$A,'[12]february-2026'!$G:$G,0,0)</f>
        <v>0</v>
      </c>
      <c r="DV82">
        <f>IF(DQ82&gt;0,SUM(DQ82:DU82),0)</f>
        <v>44850</v>
      </c>
      <c r="DW82">
        <f>_xlfn.XLOOKUP(B82,'[12]february-2026'!$A:$A,'[12]february-2026'!$H:$H,0,0)</f>
        <v>2500</v>
      </c>
      <c r="DX82">
        <f>_xlfn.XLOOKUP(B82,'[12]february-2026'!$A:$A,'[12]february-2026'!$I:$I,0,0)</f>
        <v>0</v>
      </c>
      <c r="DY82">
        <f>IF($F82="YES",0,IF(DV82&gt;40000,200,IF(DV82&gt;25000,150,IF(DV82&gt;15000,130,IF(DV82&gt;10000,110,0)))))</f>
        <v>200</v>
      </c>
      <c r="DZ82">
        <f>DV82-DW82-DX82-DY82</f>
        <v>42150</v>
      </c>
      <c r="EA82">
        <f>DV82+DL82+DB82+CR82+CH82+BX82+BN82+BD82+AS82+AI82+Y82+O82+H82+I82</f>
        <v>538460</v>
      </c>
      <c r="EB82">
        <f>DY82+DO82+DE82+CU82+CK82+CA82+BQ82+BG82+AV82+AL82+AB82+R82</f>
        <v>2400</v>
      </c>
      <c r="EC82">
        <f>IF(EA82&gt;0,50000,0)</f>
        <v>50000</v>
      </c>
      <c r="ED82">
        <v>0</v>
      </c>
      <c r="EE82">
        <f>EA82-EB82-EC82</f>
        <v>486060</v>
      </c>
      <c r="EF82">
        <f>DW82+DM82+DC82+CS82+CI82+BY82+BO82+BE82+AT82+AJ82+Z82+P82</f>
        <v>30000</v>
      </c>
      <c r="EG82">
        <f>DX82+DN82+DD82+CT82+CJ82+BZ82+BP82+BF82+AU82+AK82+AA82+Q82</f>
        <v>0</v>
      </c>
      <c r="EH82">
        <v>0</v>
      </c>
      <c r="EI82">
        <v>0</v>
      </c>
      <c r="EJ82">
        <v>0</v>
      </c>
      <c r="EK82">
        <v>0</v>
      </c>
      <c r="EL82">
        <v>0</v>
      </c>
      <c r="EM82">
        <v>0</v>
      </c>
      <c r="EN82">
        <v>0</v>
      </c>
      <c r="EO82">
        <v>0</v>
      </c>
      <c r="EP82">
        <v>0</v>
      </c>
      <c r="EQ82">
        <v>0</v>
      </c>
      <c r="ER82">
        <f>SUM(EF82:EQ82)</f>
        <v>30000</v>
      </c>
      <c r="ES82">
        <f>IF(ER82&gt;=150000,150000,ER82)</f>
        <v>30000</v>
      </c>
      <c r="ET82">
        <f>EE82-ES82</f>
        <v>456060</v>
      </c>
      <c r="EU82">
        <v>0</v>
      </c>
      <c r="EV82">
        <v>0</v>
      </c>
      <c r="EW82">
        <v>0</v>
      </c>
      <c r="EX82">
        <v>0</v>
      </c>
      <c r="EY82">
        <v>0</v>
      </c>
      <c r="EZ82">
        <v>0</v>
      </c>
      <c r="FA82">
        <v>0</v>
      </c>
      <c r="FB82">
        <f>SUM(EU82:FA82)+(IF(F82="YES",50000,0))</f>
        <v>0</v>
      </c>
      <c r="FC82">
        <f>ET82-FB82</f>
        <v>456060</v>
      </c>
      <c r="FD82">
        <f>ROUND(IF(FC82&gt;0,IF(FC82&gt;500000,12500,(FC82-250000)*0.05),0),0)</f>
        <v>10303</v>
      </c>
      <c r="FE82">
        <f>IF(ROUND(IF(FC82&gt;0,IF(FC82&gt;1000000,25000,(FC82-500000)*0.2),0),0)&lt;0,0,ROUND(IF(FC82&gt;0,IF(FC82&gt;1000000,25000,(FC82-500000)*0.2),0),0))</f>
        <v>0</v>
      </c>
      <c r="FF82">
        <f>FD82+FE82</f>
        <v>10303</v>
      </c>
      <c r="FG82">
        <f>IF(FF82&lt;12500,0,FF82)</f>
        <v>0</v>
      </c>
      <c r="FH82">
        <f>FG82*0.04</f>
        <v>0</v>
      </c>
      <c r="FI82">
        <f>ROUND(FH82+FG82,0)</f>
        <v>0</v>
      </c>
      <c r="FJ82">
        <v>0</v>
      </c>
      <c r="FK82">
        <f>FI82-FJ82</f>
        <v>0</v>
      </c>
      <c r="FL82" t="b">
        <f>IF(EA82&gt;500000,TRUE,FALSE)</f>
        <v>1</v>
      </c>
      <c r="FM82">
        <f ca="1">IF(FL82,RANDBETWEEN(500,1000),RANDBETWEEN(1000,3000))</f>
        <v>918</v>
      </c>
      <c r="FN82">
        <f ca="1">EA82+FM82</f>
        <v>539378</v>
      </c>
      <c r="FO82">
        <f>IF(EA82&gt;0,75000,0)</f>
        <v>75000</v>
      </c>
      <c r="FP82">
        <f ca="1">FN82-FO82</f>
        <v>464378</v>
      </c>
      <c r="FQ82">
        <f ca="1">IF(FP82&gt;2400000,FP82-2400000,0)</f>
        <v>0</v>
      </c>
      <c r="FR82">
        <f ca="1">FQ82*0.3</f>
        <v>0</v>
      </c>
      <c r="FS82">
        <f ca="1">IF(FP82&gt;2000000,FP82-2000000,0)</f>
        <v>0</v>
      </c>
      <c r="FT82">
        <f ca="1">FS82*0.25</f>
        <v>0</v>
      </c>
      <c r="FU82">
        <f ca="1">IF(FP82&gt;1600000,FP82-1600000-FQ82,0)</f>
        <v>0</v>
      </c>
      <c r="FV82">
        <f ca="1">FU82*0.2</f>
        <v>0</v>
      </c>
      <c r="FW82">
        <f ca="1">IF(FP82&gt;1200000,FP82-1200000-IF(F82="YES",50000,0)-FU82,0)</f>
        <v>0</v>
      </c>
      <c r="FX82">
        <f ca="1">FW82*0.15</f>
        <v>0</v>
      </c>
      <c r="FY82">
        <f ca="1">IF(FP82&gt;800000,FP82-800000-FQ82-FU82-FW82,0)</f>
        <v>0</v>
      </c>
      <c r="FZ82">
        <f ca="1">FY82*0.1</f>
        <v>0</v>
      </c>
      <c r="GA82">
        <f ca="1">IF(FP82&gt;400000,FP82-400000-FQ82-FU82-FW82-FY82,0)</f>
        <v>64378</v>
      </c>
      <c r="GB82">
        <f ca="1">GA82*0.05</f>
        <v>3218.9</v>
      </c>
      <c r="GC82">
        <f ca="1">ROUND(FR82+FT82+FV82+FX82+FZ82+GB82,0)</f>
        <v>3219</v>
      </c>
      <c r="GD82">
        <f ca="1">IF(FP82&gt;1200000,FP82,0)</f>
        <v>0</v>
      </c>
      <c r="GE82">
        <f ca="1">IF(FP82&gt;1200000,GD82-1200000,0)</f>
        <v>0</v>
      </c>
      <c r="GF82">
        <f ca="1">IF(FP82&lt;1200001,MIN(GC82,60000),0)</f>
        <v>3219</v>
      </c>
      <c r="GG82">
        <f ca="1">IF(FP82&gt;1200000,GC82-GE82,0)</f>
        <v>0</v>
      </c>
      <c r="GH82" t="b">
        <f ca="1">IF(GG82&gt;0,TRUE,FALSE)</f>
        <v>0</v>
      </c>
      <c r="GI82">
        <f ca="1">IF(GH82,GG82,0)</f>
        <v>0</v>
      </c>
      <c r="GJ82">
        <f ca="1">GF82+GI82</f>
        <v>3219</v>
      </c>
      <c r="GK82">
        <f ca="1">ROUND(GC82-GJ82,0)</f>
        <v>0</v>
      </c>
      <c r="GL82">
        <f ca="1">GK82*0.04</f>
        <v>0</v>
      </c>
      <c r="GM82">
        <f ca="1">ROUNDUP(GK82+GL82,0)</f>
        <v>0</v>
      </c>
    </row>
    <row r="83" spans="1:195" x14ac:dyDescent="0.25">
      <c r="A83">
        <f>_xlfn.AGGREGATE(3,5,$B$2:B83)</f>
        <v>82</v>
      </c>
      <c r="B83" t="s">
        <v>284</v>
      </c>
      <c r="C83" t="s">
        <v>285</v>
      </c>
      <c r="D83" t="s">
        <v>774</v>
      </c>
      <c r="E83" t="s">
        <v>833</v>
      </c>
      <c r="F83" t="s">
        <v>959</v>
      </c>
      <c r="G83" t="s">
        <v>913</v>
      </c>
      <c r="H83">
        <f>IF(_xlfn.DAYS("31-03-2025",G83)&gt;=180,6800,0)</f>
        <v>6800</v>
      </c>
      <c r="I83">
        <f>_xlfn.XLOOKUP(B83,'[1]march-2025'!$A:$A,'[1]march-2025'!$J:$J,0,0)</f>
        <v>0</v>
      </c>
      <c r="J83">
        <f>_xlfn.XLOOKUP(B83,'[1]march-2025'!$A:$A,'[1]march-2025'!$C:$C,0,0)</f>
        <v>33500</v>
      </c>
      <c r="K83">
        <f>J83*0.14</f>
        <v>4690</v>
      </c>
      <c r="L83">
        <f>J83*0.12</f>
        <v>4020</v>
      </c>
      <c r="M83">
        <f>_xlfn.XLOOKUP(B83,'[1]march-2025'!$A:$A,'[1]march-2025'!$D:$D,0,0)</f>
        <v>400</v>
      </c>
      <c r="N83">
        <f>_xlfn.XLOOKUP(B83,'[1]march-2025'!$A:$A,'[1]march-2025'!$G:$G,0,0)</f>
        <v>0</v>
      </c>
      <c r="O83">
        <f>IF(J83&gt;0,SUM(J83:N83),0)</f>
        <v>42610</v>
      </c>
      <c r="P83">
        <f>_xlfn.XLOOKUP(B83,'[1]march-2025'!$A:$A,'[1]march-2025'!$H:$H,0,0)</f>
        <v>3000</v>
      </c>
      <c r="Q83">
        <f>_xlfn.XLOOKUP(B83,'[1]march-2025'!$A:$A,'[1]march-2025'!$I:$I,0,0)</f>
        <v>0</v>
      </c>
      <c r="R83">
        <f>IF($F83="YES",0,IF(O83&gt;40000,200,IF(O83&gt;25000,150,IF(O83&gt;15000,130,IF(O83&gt;10000,110,0)))))</f>
        <v>200</v>
      </c>
      <c r="S83">
        <f>O83-P83-Q83-R83</f>
        <v>39410</v>
      </c>
      <c r="T83">
        <f>_xlfn.XLOOKUP(B83,'[2]april-2025'!$A:$A,'[2]april-2025'!$C:$C,0,0)</f>
        <v>33500</v>
      </c>
      <c r="U83">
        <f>T83*0.18</f>
        <v>6030</v>
      </c>
      <c r="V83">
        <f>T83*0.12</f>
        <v>4020</v>
      </c>
      <c r="W83">
        <f>_xlfn.XLOOKUP(B83,'[2]april-2025'!$A:$A,'[2]april-2025'!$D:$D,0,0)</f>
        <v>400</v>
      </c>
      <c r="X83">
        <f>_xlfn.XLOOKUP(B83,'[2]april-2025'!$A:$A,'[2]april-2025'!$G:$G,0,0)</f>
        <v>500</v>
      </c>
      <c r="Y83">
        <f>IF(T83&gt;0,SUM(T83:X83),0)</f>
        <v>44450</v>
      </c>
      <c r="Z83">
        <f>_xlfn.XLOOKUP(B83,'[2]april-2025'!$A:$A,'[2]april-2025'!$H:$H,0,0)</f>
        <v>3000</v>
      </c>
      <c r="AA83">
        <f>_xlfn.XLOOKUP(B83,'[2]april-2025'!$A:$A,'[2]april-2025'!$I:$I,0,0)</f>
        <v>0</v>
      </c>
      <c r="AB83">
        <f>IF($F83="YES",0,IF(Y83&gt;40000,200,IF(Y83&gt;25000,150,IF(Y83&gt;15000,130,IF(Y83&gt;10000,110,0)))))</f>
        <v>200</v>
      </c>
      <c r="AC83">
        <f>Y83-Z83-AA83-AB83</f>
        <v>41250</v>
      </c>
      <c r="AD83">
        <f>_xlfn.XLOOKUP(B83,'[3]may-2025'!$A:$A,'[3]may-2025'!$C:$C,0,0)</f>
        <v>33500</v>
      </c>
      <c r="AE83">
        <f>AD83*0.18</f>
        <v>6030</v>
      </c>
      <c r="AF83">
        <f>AD83*0.12</f>
        <v>4020</v>
      </c>
      <c r="AG83">
        <f>_xlfn.XLOOKUP(B83,'[3]may-2025'!$A:$A,'[3]may-2025'!$D:$D,0,0)</f>
        <v>400</v>
      </c>
      <c r="AH83">
        <f>_xlfn.XLOOKUP(B83,'[3]may-2025'!$A:$A,'[3]may-2025'!$G:$G,0,0)</f>
        <v>500</v>
      </c>
      <c r="AI83">
        <f>IF(AD83&gt;0,SUM(AD83:AH83),0)</f>
        <v>44450</v>
      </c>
      <c r="AJ83">
        <f>_xlfn.XLOOKUP(B83,'[3]may-2025'!$A:$A,'[3]may-2025'!$H:$H,0,0)</f>
        <v>3000</v>
      </c>
      <c r="AK83">
        <f>_xlfn.XLOOKUP(B83,'[3]may-2025'!$A:$A,'[3]may-2025'!$I:$I,0,0)</f>
        <v>0</v>
      </c>
      <c r="AL83">
        <f>IF($F83="YES",0,IF(AI83&gt;40000,200,IF(AI83&gt;25000,150,IF(AI83&gt;15000,130,IF(AI83&gt;10000,110,0)))))</f>
        <v>200</v>
      </c>
      <c r="AM83">
        <f>AI83-AJ83-AK83-AL83</f>
        <v>41250</v>
      </c>
      <c r="AN83">
        <f>_xlfn.XLOOKUP(B83,'[4]june-2025'!$A:$A,'[4]june-2025'!$C:$C,0,0)</f>
        <v>33500</v>
      </c>
      <c r="AO83">
        <f>AN83*0.18</f>
        <v>6030</v>
      </c>
      <c r="AP83">
        <f>AN83*0.12</f>
        <v>4020</v>
      </c>
      <c r="AQ83">
        <f>_xlfn.XLOOKUP(B83,'[4]june-2025'!$A:$A,'[4]june-2025'!$D:$D,0,0)</f>
        <v>400</v>
      </c>
      <c r="AR83">
        <f>_xlfn.XLOOKUP(B83,'[4]june-2025'!$A:$A,'[4]june-2025'!$G:$G,0,0)</f>
        <v>500</v>
      </c>
      <c r="AS83">
        <f>IF(AN83&gt;0,SUM(AN83:AR83),0)</f>
        <v>44450</v>
      </c>
      <c r="AT83">
        <f>_xlfn.XLOOKUP(B83,'[4]june-2025'!$A:$A,'[4]june-2025'!$H:$H,0,0)</f>
        <v>3000</v>
      </c>
      <c r="AU83">
        <f>_xlfn.XLOOKUP(B83,'[4]june-2025'!$A:$A,'[4]june-2025'!$I:$I,0,0)</f>
        <v>0</v>
      </c>
      <c r="AV83">
        <f>IF($F83="YES",0,IF(AS83&gt;40000,200,IF(AS83&gt;25000,150,IF(AS83&gt;15000,130,IF(AS83&gt;10000,110,0)))))</f>
        <v>200</v>
      </c>
      <c r="AW83">
        <f>AS83-AT83-AU83-AV83</f>
        <v>41250</v>
      </c>
      <c r="AX83">
        <f>_xlfn.XLOOKUP(B83,'[5]july-2025'!$A:$A,'[5]july-2025'!$C:$C,0,0)</f>
        <v>34500</v>
      </c>
      <c r="AY83">
        <f>AX83*0.18</f>
        <v>6210</v>
      </c>
      <c r="AZ83">
        <v>0</v>
      </c>
      <c r="BA83">
        <f>AX83*0.12</f>
        <v>4140</v>
      </c>
      <c r="BB83">
        <f>_xlfn.XLOOKUP(B83,'[5]july-2025'!$A:$A,'[5]july-2025'!$D:$D,0,0)</f>
        <v>400</v>
      </c>
      <c r="BC83">
        <f>_xlfn.XLOOKUP(B83,'[5]july-2025'!$A:$A,'[5]july-2025'!$G:$G,0,0)</f>
        <v>500</v>
      </c>
      <c r="BD83">
        <f>IF(AX83&gt;0,SUM(AX83:BC83),0)</f>
        <v>45750</v>
      </c>
      <c r="BE83">
        <f>_xlfn.XLOOKUP(B83,'[5]july-2025'!$A:$A,'[5]july-2025'!$H:$H,0,0)</f>
        <v>3000</v>
      </c>
      <c r="BF83">
        <f>_xlfn.XLOOKUP(B83,'[5]july-2025'!$A:$A,'[5]july-2025'!$I:$I,0,0)</f>
        <v>0</v>
      </c>
      <c r="BG83">
        <f>IF($F83="YES",0,IF(BD83&gt;40000,200,IF(BD83&gt;25000,150,IF(BD83&gt;15000,130,IF(BD83&gt;10000,110,0)))))</f>
        <v>200</v>
      </c>
      <c r="BH83">
        <f>BD83-BE83-BF83-BG83</f>
        <v>42550</v>
      </c>
      <c r="BI83">
        <f>_xlfn.XLOOKUP(B83,'[6]august-2025'!$A:$A,'[6]august-2025'!$C:$C,0,0)</f>
        <v>34500</v>
      </c>
      <c r="BJ83">
        <f>BI83*0.18</f>
        <v>6210</v>
      </c>
      <c r="BK83">
        <f>BI83*0.12</f>
        <v>4140</v>
      </c>
      <c r="BL83">
        <f>_xlfn.XLOOKUP(B83,'[6]august-2025'!$A:$A,'[6]august-2025'!$D:$D,0,0)</f>
        <v>400</v>
      </c>
      <c r="BM83">
        <f>_xlfn.XLOOKUP(B83,'[6]august-2025'!$A:$A,'[6]august-2025'!$G:$G,0,0)</f>
        <v>500</v>
      </c>
      <c r="BN83">
        <f>IF(BI83&gt;0,SUM(BI83:BM83),0)</f>
        <v>45750</v>
      </c>
      <c r="BO83">
        <f>_xlfn.XLOOKUP(B83,'[6]august-2025'!$A:$A,'[6]august-2025'!$H:$H,0,0)</f>
        <v>3000</v>
      </c>
      <c r="BP83">
        <f>_xlfn.XLOOKUP(B83,'[6]august-2025'!$A:$A,'[6]august-2025'!$I:$I,0,0)</f>
        <v>0</v>
      </c>
      <c r="BQ83">
        <f>IF($F83="YES",0,IF(BN83&gt;40000,200,IF(BN83&gt;25000,150,IF(BN83&gt;15000,130,IF(BN83&gt;10000,110,0)))))</f>
        <v>200</v>
      </c>
      <c r="BR83">
        <f>BN83-BO83-BP83-BQ83</f>
        <v>42550</v>
      </c>
      <c r="BS83">
        <f>_xlfn.XLOOKUP(B83,'[7]september-2025'!$A:$A,'[7]september-2025'!$C:$C,0,0)</f>
        <v>34500</v>
      </c>
      <c r="BT83">
        <f>BS83*0.18</f>
        <v>6210</v>
      </c>
      <c r="BU83">
        <f>BS83*0.12</f>
        <v>4140</v>
      </c>
      <c r="BV83">
        <f>_xlfn.XLOOKUP(B83,'[7]september-2025'!$A:$A,'[7]september-2025'!$D:$D,0,0)</f>
        <v>400</v>
      </c>
      <c r="BW83">
        <f>_xlfn.XLOOKUP(B83,'[7]september-2025'!$A:$A,'[7]september-2025'!$G:$G,0,0)</f>
        <v>500</v>
      </c>
      <c r="BX83">
        <f>IF(BS83&gt;0,SUM(BS83:BW83),0)</f>
        <v>45750</v>
      </c>
      <c r="BY83">
        <f>_xlfn.XLOOKUP(B83,'[7]september-2025'!$A:$A,'[7]september-2025'!$H:$H,0,0)</f>
        <v>3000</v>
      </c>
      <c r="BZ83">
        <f>_xlfn.XLOOKUP(B83,'[7]september-2025'!$A:$A,'[7]september-2025'!$I:$I,0,0)</f>
        <v>0</v>
      </c>
      <c r="CA83">
        <f>IF($F83="YES",0,IF(BX83&gt;40000,200,IF(BX83&gt;25000,150,IF(BX83&gt;15000,130,IF(BX83&gt;10000,110,0)))))</f>
        <v>200</v>
      </c>
      <c r="CB83">
        <f>BX83-BY83-BZ83-CA83</f>
        <v>42550</v>
      </c>
      <c r="CC83">
        <f>_xlfn.XLOOKUP(B83,'[8]october-2025'!$A:$A,'[8]october-2025'!$C:$C,0,0)</f>
        <v>34500</v>
      </c>
      <c r="CD83">
        <f>CC83*0.18</f>
        <v>6210</v>
      </c>
      <c r="CE83">
        <f>CC83*0.12</f>
        <v>4140</v>
      </c>
      <c r="CF83">
        <f>_xlfn.XLOOKUP(B83,'[8]october-2025'!$A:$A,'[8]october-2025'!$D:$D,0,0)</f>
        <v>400</v>
      </c>
      <c r="CG83">
        <f>_xlfn.XLOOKUP(B83,'[8]october-2025'!$A:$A,'[8]october-2025'!$G:$G,0,0)</f>
        <v>500</v>
      </c>
      <c r="CH83">
        <f>IF(CC83&gt;0,SUM(CC83:CG83),0)</f>
        <v>45750</v>
      </c>
      <c r="CI83">
        <f>_xlfn.XLOOKUP(B83,'[8]october-2025'!$A:$A,'[8]october-2025'!$H:$H,0,0)</f>
        <v>3000</v>
      </c>
      <c r="CJ83">
        <f>_xlfn.XLOOKUP(B83,'[8]october-2025'!$A:$A,'[8]october-2025'!$I:$I,0,0)</f>
        <v>0</v>
      </c>
      <c r="CK83">
        <f>IF($F83="YES",0,IF(CH83&gt;40000,200,IF(CH83&gt;25000,150,IF(CH83&gt;15000,130,IF(CH83&gt;10000,110,0)))))</f>
        <v>200</v>
      </c>
      <c r="CL83">
        <f>CH83-CI83-CJ83-CK83</f>
        <v>42550</v>
      </c>
      <c r="CM83">
        <f>_xlfn.XLOOKUP(B83,'[9]november-2025'!$A:$A,'[9]november-2025'!$C:$C,0,0)</f>
        <v>34500</v>
      </c>
      <c r="CN83">
        <f>CM83*0.18</f>
        <v>6210</v>
      </c>
      <c r="CO83">
        <f>CM83*0.12</f>
        <v>4140</v>
      </c>
      <c r="CP83">
        <f>_xlfn.XLOOKUP(B83,'[9]november-2025'!$A:$A,'[9]november-2025'!$D:$D,0,0)</f>
        <v>400</v>
      </c>
      <c r="CQ83">
        <f>_xlfn.XLOOKUP(B83,'[9]november-2025'!$A:$A,'[9]november-2025'!$G:$G,0,0)</f>
        <v>500</v>
      </c>
      <c r="CR83">
        <f>IF(CM83&gt;0,SUM(CM83:CQ83),0)</f>
        <v>45750</v>
      </c>
      <c r="CS83">
        <f>_xlfn.XLOOKUP(B83,'[9]november-2025'!$A:$A,'[9]november-2025'!$H:$H,0,0)</f>
        <v>3000</v>
      </c>
      <c r="CT83">
        <f>_xlfn.XLOOKUP(B83,'[9]november-2025'!$A:$A,'[9]november-2025'!$I:$I,0,0)</f>
        <v>0</v>
      </c>
      <c r="CU83">
        <f>IF($F83="YES",0,IF(CR83&gt;40000,200,IF(CR83&gt;25000,150,IF(CR83&gt;15000,130,IF(CR83&gt;10000,110,0)))))</f>
        <v>200</v>
      </c>
      <c r="CV83">
        <f>CR83-CS83-CT83-CU83</f>
        <v>42550</v>
      </c>
      <c r="CW83">
        <f>_xlfn.XLOOKUP(B83,'[10]december-2025'!$A:$A,'[10]december-2025'!$C:$C,0,0)</f>
        <v>34500</v>
      </c>
      <c r="CX83">
        <f>ROUND(CW83*0.18,0)</f>
        <v>6210</v>
      </c>
      <c r="CY83">
        <f>ROUND(CW83*0.12,0)</f>
        <v>4140</v>
      </c>
      <c r="CZ83">
        <f>_xlfn.XLOOKUP(B83,'[10]december-2025'!$A:$A,'[10]december-2025'!$D:$D,0,0)</f>
        <v>400</v>
      </c>
      <c r="DA83">
        <f>_xlfn.XLOOKUP(B83,'[10]december-2025'!$A:$A,'[10]december-2025'!$G:$G,0,0)</f>
        <v>500</v>
      </c>
      <c r="DB83">
        <f>IF(CW83&gt;0,SUM(CW83:DA83),0)</f>
        <v>45750</v>
      </c>
      <c r="DC83">
        <f>_xlfn.XLOOKUP(B83,'[10]december-2025'!$A:$A,'[10]december-2025'!$H:$H,0,0)</f>
        <v>3000</v>
      </c>
      <c r="DD83">
        <f>_xlfn.XLOOKUP(B83,'[10]december-2025'!$A:$A,'[10]december-2025'!$I:$I,0,0)</f>
        <v>0</v>
      </c>
      <c r="DE83">
        <f>IF($F83="YES",0,IF(DB83&gt;40000,200,IF(DB83&gt;25000,150,IF(DB83&gt;15000,130,IF(DB83&gt;10000,110,0)))))</f>
        <v>200</v>
      </c>
      <c r="DF83">
        <f>DB83-DC83-DD83-DE83</f>
        <v>42550</v>
      </c>
      <c r="DG83">
        <f>_xlfn.XLOOKUP(B83,'[11]january-2026'!$A:$A,'[11]january-2026'!$C:$C,0,0)</f>
        <v>34500</v>
      </c>
      <c r="DH83">
        <f>DG83*0.18</f>
        <v>6210</v>
      </c>
      <c r="DI83">
        <f>DG83*0.12</f>
        <v>4140</v>
      </c>
      <c r="DJ83">
        <f>_xlfn.XLOOKUP(B83,'[11]january-2026'!$A:$A,'[11]january-2026'!$D:$D,0,0)</f>
        <v>400</v>
      </c>
      <c r="DK83">
        <f>_xlfn.XLOOKUP(B83,'[11]january-2026'!$A:$A,'[11]january-2026'!$G:$G,0,0)</f>
        <v>500</v>
      </c>
      <c r="DL83">
        <f>IF(DG83&gt;0,SUM(DG83:DK83),0)</f>
        <v>45750</v>
      </c>
      <c r="DM83">
        <f>_xlfn.XLOOKUP(B83,'[11]january-2026'!$A:$A,'[11]january-2026'!$H:$H,0,0)</f>
        <v>3000</v>
      </c>
      <c r="DN83">
        <f>_xlfn.XLOOKUP(B83,'[11]january-2026'!$A:$A,'[11]january-2026'!$I:$I,0,0)</f>
        <v>0</v>
      </c>
      <c r="DO83">
        <f>IF($F83="YES",0,IF(DL83&gt;40000,200,IF(DL83&gt;25000,150,IF(DL83&gt;15000,130,IF(DL83&gt;10000,110,0)))))</f>
        <v>200</v>
      </c>
      <c r="DP83">
        <f>DL83-DM83-DN83-DO83</f>
        <v>42550</v>
      </c>
      <c r="DQ83">
        <f>_xlfn.XLOOKUP(B83,'[12]february-2026'!$A:$A,'[12]february-2026'!$C:$C,0,0)</f>
        <v>34500</v>
      </c>
      <c r="DR83">
        <f>DQ83*0.18</f>
        <v>6210</v>
      </c>
      <c r="DS83">
        <f>DQ83*0.12</f>
        <v>4140</v>
      </c>
      <c r="DT83">
        <f>_xlfn.XLOOKUP(B83,'[12]february-2026'!$A:$A,'[12]february-2026'!$D:$D,0,0)</f>
        <v>400</v>
      </c>
      <c r="DU83">
        <f>_xlfn.XLOOKUP(B83,'[12]february-2026'!$A:$A,'[12]february-2026'!$G:$G,0,0)</f>
        <v>500</v>
      </c>
      <c r="DV83">
        <f>IF(DQ83&gt;0,SUM(DQ83:DU83),0)</f>
        <v>45750</v>
      </c>
      <c r="DW83">
        <f>_xlfn.XLOOKUP(B83,'[12]february-2026'!$A:$A,'[12]february-2026'!$H:$H,0,0)</f>
        <v>3000</v>
      </c>
      <c r="DX83">
        <f>_xlfn.XLOOKUP(B83,'[12]february-2026'!$A:$A,'[12]february-2026'!$I:$I,0,0)</f>
        <v>0</v>
      </c>
      <c r="DY83">
        <f>IF($F83="YES",0,IF(DV83&gt;40000,200,IF(DV83&gt;25000,150,IF(DV83&gt;15000,130,IF(DV83&gt;10000,110,0)))))</f>
        <v>200</v>
      </c>
      <c r="DZ83">
        <f>DV83-DW83-DX83-DY83</f>
        <v>42550</v>
      </c>
      <c r="EA83">
        <f>DV83+DL83+DB83+CR83+CH83+BX83+BN83+BD83+AS83+AI83+Y83+O83+H83+I83</f>
        <v>548760</v>
      </c>
      <c r="EB83">
        <f>DY83+DO83+DE83+CU83+CK83+CA83+BQ83+BG83+AV83+AL83+AB83+R83</f>
        <v>2400</v>
      </c>
      <c r="EC83">
        <f>IF(EA83&gt;0,50000,0)</f>
        <v>50000</v>
      </c>
      <c r="ED83">
        <v>0</v>
      </c>
      <c r="EE83">
        <f>EA83-EB83-EC83</f>
        <v>496360</v>
      </c>
      <c r="EF83">
        <f>DW83+DM83+DC83+CS83+CI83+BY83+BO83+BE83+AT83+AJ83+Z83+P83</f>
        <v>36000</v>
      </c>
      <c r="EG83">
        <f>DX83+DN83+DD83+CT83+CJ83+BZ83+BP83+BF83+AU83+AK83+AA83+Q83</f>
        <v>0</v>
      </c>
      <c r="EH83">
        <v>0</v>
      </c>
      <c r="EI83">
        <v>0</v>
      </c>
      <c r="EJ83">
        <v>0</v>
      </c>
      <c r="EK83">
        <v>0</v>
      </c>
      <c r="EL83">
        <v>0</v>
      </c>
      <c r="EM83">
        <v>0</v>
      </c>
      <c r="EN83">
        <v>0</v>
      </c>
      <c r="EO83">
        <v>0</v>
      </c>
      <c r="EP83">
        <v>0</v>
      </c>
      <c r="EQ83">
        <v>0</v>
      </c>
      <c r="ER83">
        <f>SUM(EF83:EQ83)</f>
        <v>36000</v>
      </c>
      <c r="ES83">
        <f>IF(ER83&gt;=150000,150000,ER83)</f>
        <v>36000</v>
      </c>
      <c r="ET83">
        <f>EE83-ES83</f>
        <v>460360</v>
      </c>
      <c r="EU83">
        <v>0</v>
      </c>
      <c r="EV83">
        <v>0</v>
      </c>
      <c r="EW83">
        <v>0</v>
      </c>
      <c r="EX83">
        <v>0</v>
      </c>
      <c r="EY83">
        <v>0</v>
      </c>
      <c r="EZ83">
        <v>0</v>
      </c>
      <c r="FA83">
        <v>0</v>
      </c>
      <c r="FB83">
        <f>SUM(EU83:FA83)+(IF(F83="YES",50000,0))</f>
        <v>0</v>
      </c>
      <c r="FC83">
        <f>ET83-FB83</f>
        <v>460360</v>
      </c>
      <c r="FD83">
        <f>ROUND(IF(FC83&gt;0,IF(FC83&gt;500000,12500,(FC83-250000)*0.05),0),0)</f>
        <v>10518</v>
      </c>
      <c r="FE83">
        <f>IF(ROUND(IF(FC83&gt;0,IF(FC83&gt;1000000,25000,(FC83-500000)*0.2),0),0)&lt;0,0,ROUND(IF(FC83&gt;0,IF(FC83&gt;1000000,25000,(FC83-500000)*0.2),0),0))</f>
        <v>0</v>
      </c>
      <c r="FF83">
        <f>FD83+FE83</f>
        <v>10518</v>
      </c>
      <c r="FG83">
        <f>IF(FF83&lt;12500,0,FF83)</f>
        <v>0</v>
      </c>
      <c r="FH83">
        <f>FG83*0.04</f>
        <v>0</v>
      </c>
      <c r="FI83">
        <f>ROUND(FH83+FG83,0)</f>
        <v>0</v>
      </c>
      <c r="FJ83">
        <v>0</v>
      </c>
      <c r="FK83">
        <f>FI83-FJ83</f>
        <v>0</v>
      </c>
      <c r="FL83" t="b">
        <f>IF(EA83&gt;500000,TRUE,FALSE)</f>
        <v>1</v>
      </c>
      <c r="FM83">
        <f ca="1">IF(FL83,RANDBETWEEN(500,1000),RANDBETWEEN(1000,3000))</f>
        <v>606</v>
      </c>
      <c r="FN83">
        <f ca="1">EA83+FM83</f>
        <v>549366</v>
      </c>
      <c r="FO83">
        <f>IF(EA83&gt;0,75000,0)</f>
        <v>75000</v>
      </c>
      <c r="FP83">
        <f ca="1">FN83-FO83</f>
        <v>474366</v>
      </c>
      <c r="FQ83">
        <f ca="1">IF(FP83&gt;2400000,FP83-2400000,0)</f>
        <v>0</v>
      </c>
      <c r="FR83">
        <f ca="1">FQ83*0.3</f>
        <v>0</v>
      </c>
      <c r="FS83">
        <f ca="1">IF(FP83&gt;2000000,FP83-2000000,0)</f>
        <v>0</v>
      </c>
      <c r="FT83">
        <f ca="1">FS83*0.25</f>
        <v>0</v>
      </c>
      <c r="FU83">
        <f ca="1">IF(FP83&gt;1600000,FP83-1600000-FQ83,0)</f>
        <v>0</v>
      </c>
      <c r="FV83">
        <f ca="1">FU83*0.2</f>
        <v>0</v>
      </c>
      <c r="FW83">
        <f ca="1">IF(FP83&gt;1200000,FP83-1200000-IF(F83="YES",50000,0)-FU83,0)</f>
        <v>0</v>
      </c>
      <c r="FX83">
        <f ca="1">FW83*0.15</f>
        <v>0</v>
      </c>
      <c r="FY83">
        <f ca="1">IF(FP83&gt;800000,FP83-800000-FQ83-FU83-FW83,0)</f>
        <v>0</v>
      </c>
      <c r="FZ83">
        <f ca="1">FY83*0.1</f>
        <v>0</v>
      </c>
      <c r="GA83">
        <f ca="1">IF(FP83&gt;400000,FP83-400000-FQ83-FU83-FW83-FY83,0)</f>
        <v>74366</v>
      </c>
      <c r="GB83">
        <f ca="1">GA83*0.05</f>
        <v>3718.3</v>
      </c>
      <c r="GC83">
        <f ca="1">ROUND(FR83+FT83+FV83+FX83+FZ83+GB83,0)</f>
        <v>3718</v>
      </c>
      <c r="GD83">
        <f ca="1">IF(FP83&gt;1200000,FP83,0)</f>
        <v>0</v>
      </c>
      <c r="GE83">
        <f ca="1">IF(FP83&gt;1200000,GD83-1200000,0)</f>
        <v>0</v>
      </c>
      <c r="GF83">
        <f ca="1">IF(FP83&lt;1200001,MIN(GC83,60000),0)</f>
        <v>3718</v>
      </c>
      <c r="GG83">
        <f ca="1">IF(FP83&gt;1200000,GC83-GE83,0)</f>
        <v>0</v>
      </c>
      <c r="GH83" t="b">
        <f ca="1">IF(GG83&gt;0,TRUE,FALSE)</f>
        <v>0</v>
      </c>
      <c r="GI83">
        <f ca="1">IF(GH83,GG83,0)</f>
        <v>0</v>
      </c>
      <c r="GJ83">
        <f ca="1">GF83+GI83</f>
        <v>3718</v>
      </c>
      <c r="GK83">
        <f ca="1">ROUND(GC83-GJ83,0)</f>
        <v>0</v>
      </c>
      <c r="GL83">
        <f ca="1">GK83*0.04</f>
        <v>0</v>
      </c>
      <c r="GM83">
        <f ca="1">ROUNDUP(GK83+GL83,0)</f>
        <v>0</v>
      </c>
    </row>
    <row r="84" spans="1:195" x14ac:dyDescent="0.25">
      <c r="A84">
        <f>_xlfn.AGGREGATE(3,5,$B$2:B84)</f>
        <v>83</v>
      </c>
      <c r="B84" t="s">
        <v>286</v>
      </c>
      <c r="C84" t="s">
        <v>287</v>
      </c>
      <c r="D84" t="s">
        <v>774</v>
      </c>
      <c r="E84" t="s">
        <v>833</v>
      </c>
      <c r="F84" t="s">
        <v>959</v>
      </c>
      <c r="G84" t="s">
        <v>914</v>
      </c>
      <c r="H84">
        <f>IF(_xlfn.DAYS("31-03-2025",G84)&gt;=180,6800,0)</f>
        <v>6800</v>
      </c>
      <c r="I84">
        <f>_xlfn.XLOOKUP(B84,'[1]march-2025'!$A:$A,'[1]march-2025'!$J:$J,0,0)</f>
        <v>0</v>
      </c>
      <c r="J84">
        <f>_xlfn.XLOOKUP(B84,'[1]march-2025'!$A:$A,'[1]march-2025'!$C:$C,0,0)</f>
        <v>29800</v>
      </c>
      <c r="K84">
        <f>J84*0.14</f>
        <v>4172</v>
      </c>
      <c r="L84">
        <f>J84*0.12</f>
        <v>3576</v>
      </c>
      <c r="M84">
        <f>_xlfn.XLOOKUP(B84,'[1]march-2025'!$A:$A,'[1]march-2025'!$D:$D,0,0)</f>
        <v>0</v>
      </c>
      <c r="N84">
        <f>_xlfn.XLOOKUP(B84,'[1]march-2025'!$A:$A,'[1]march-2025'!$G:$G,0,0)</f>
        <v>500</v>
      </c>
      <c r="O84">
        <f>IF(J84&gt;0,SUM(J84:N84),0)</f>
        <v>38048</v>
      </c>
      <c r="P84">
        <f>_xlfn.XLOOKUP(B84,'[1]march-2025'!$A:$A,'[1]march-2025'!$H:$H,0,0)</f>
        <v>2000</v>
      </c>
      <c r="Q84">
        <f>_xlfn.XLOOKUP(B84,'[1]march-2025'!$A:$A,'[1]march-2025'!$I:$I,0,0)</f>
        <v>0</v>
      </c>
      <c r="R84">
        <f>IF($F84="YES",0,IF(O84&gt;40000,200,IF(O84&gt;25000,150,IF(O84&gt;15000,130,IF(O84&gt;10000,110,0)))))</f>
        <v>150</v>
      </c>
      <c r="S84">
        <f>O84-P84-Q84-R84</f>
        <v>35898</v>
      </c>
      <c r="T84">
        <f>_xlfn.XLOOKUP(B84,'[2]april-2025'!$A:$A,'[2]april-2025'!$C:$C,0,0)</f>
        <v>29800</v>
      </c>
      <c r="U84">
        <f>T84*0.18</f>
        <v>5364</v>
      </c>
      <c r="V84">
        <f>T84*0.12</f>
        <v>3576</v>
      </c>
      <c r="W84">
        <f>_xlfn.XLOOKUP(B84,'[2]april-2025'!$A:$A,'[2]april-2025'!$D:$D,0,0)</f>
        <v>0</v>
      </c>
      <c r="X84">
        <f>_xlfn.XLOOKUP(B84,'[2]april-2025'!$A:$A,'[2]april-2025'!$G:$G,0,0)</f>
        <v>500</v>
      </c>
      <c r="Y84">
        <f>IF(T84&gt;0,SUM(T84:X84),0)</f>
        <v>39240</v>
      </c>
      <c r="Z84">
        <f>_xlfn.XLOOKUP(B84,'[2]april-2025'!$A:$A,'[2]april-2025'!$H:$H,0,0)</f>
        <v>2000</v>
      </c>
      <c r="AA84">
        <f>_xlfn.XLOOKUP(B84,'[2]april-2025'!$A:$A,'[2]april-2025'!$I:$I,0,0)</f>
        <v>0</v>
      </c>
      <c r="AB84">
        <f>IF($F84="YES",0,IF(Y84&gt;40000,200,IF(Y84&gt;25000,150,IF(Y84&gt;15000,130,IF(Y84&gt;10000,110,0)))))</f>
        <v>150</v>
      </c>
      <c r="AC84">
        <f>Y84-Z84-AA84-AB84</f>
        <v>37090</v>
      </c>
      <c r="AD84">
        <f>_xlfn.XLOOKUP(B84,'[3]may-2025'!$A:$A,'[3]may-2025'!$C:$C,0,0)</f>
        <v>29800</v>
      </c>
      <c r="AE84">
        <f>AD84*0.18</f>
        <v>5364</v>
      </c>
      <c r="AF84">
        <f>AD84*0.12</f>
        <v>3576</v>
      </c>
      <c r="AG84">
        <f>_xlfn.XLOOKUP(B84,'[3]may-2025'!$A:$A,'[3]may-2025'!$D:$D,0,0)</f>
        <v>0</v>
      </c>
      <c r="AH84">
        <f>_xlfn.XLOOKUP(B84,'[3]may-2025'!$A:$A,'[3]may-2025'!$G:$G,0,0)</f>
        <v>500</v>
      </c>
      <c r="AI84">
        <f>IF(AD84&gt;0,SUM(AD84:AH84),0)</f>
        <v>39240</v>
      </c>
      <c r="AJ84">
        <f>_xlfn.XLOOKUP(B84,'[3]may-2025'!$A:$A,'[3]may-2025'!$H:$H,0,0)</f>
        <v>2000</v>
      </c>
      <c r="AK84">
        <f>_xlfn.XLOOKUP(B84,'[3]may-2025'!$A:$A,'[3]may-2025'!$I:$I,0,0)</f>
        <v>0</v>
      </c>
      <c r="AL84">
        <f>IF($F84="YES",0,IF(AI84&gt;40000,200,IF(AI84&gt;25000,150,IF(AI84&gt;15000,130,IF(AI84&gt;10000,110,0)))))</f>
        <v>150</v>
      </c>
      <c r="AM84">
        <f>AI84-AJ84-AK84-AL84</f>
        <v>37090</v>
      </c>
      <c r="AN84">
        <f>_xlfn.XLOOKUP(B84,'[4]june-2025'!$A:$A,'[4]june-2025'!$C:$C,0,0)</f>
        <v>29800</v>
      </c>
      <c r="AO84">
        <f>AN84*0.18</f>
        <v>5364</v>
      </c>
      <c r="AP84">
        <f>AN84*0.12</f>
        <v>3576</v>
      </c>
      <c r="AQ84">
        <f>_xlfn.XLOOKUP(B84,'[4]june-2025'!$A:$A,'[4]june-2025'!$D:$D,0,0)</f>
        <v>0</v>
      </c>
      <c r="AR84">
        <f>_xlfn.XLOOKUP(B84,'[4]june-2025'!$A:$A,'[4]june-2025'!$G:$G,0,0)</f>
        <v>500</v>
      </c>
      <c r="AS84">
        <f>IF(AN84&gt;0,SUM(AN84:AR84),0)</f>
        <v>39240</v>
      </c>
      <c r="AT84">
        <f>_xlfn.XLOOKUP(B84,'[4]june-2025'!$A:$A,'[4]june-2025'!$H:$H,0,0)</f>
        <v>2000</v>
      </c>
      <c r="AU84">
        <f>_xlfn.XLOOKUP(B84,'[4]june-2025'!$A:$A,'[4]june-2025'!$I:$I,0,0)</f>
        <v>0</v>
      </c>
      <c r="AV84">
        <f>IF($F84="YES",0,IF(AS84&gt;40000,200,IF(AS84&gt;25000,150,IF(AS84&gt;15000,130,IF(AS84&gt;10000,110,0)))))</f>
        <v>150</v>
      </c>
      <c r="AW84">
        <f>AS84-AT84-AU84-AV84</f>
        <v>37090</v>
      </c>
      <c r="AX84">
        <f>_xlfn.XLOOKUP(B84,'[5]july-2025'!$A:$A,'[5]july-2025'!$C:$C,0,0)</f>
        <v>30700</v>
      </c>
      <c r="AY84">
        <f>AX84*0.18</f>
        <v>5526</v>
      </c>
      <c r="AZ84">
        <v>0</v>
      </c>
      <c r="BA84">
        <f>AX84*0.12</f>
        <v>3684</v>
      </c>
      <c r="BB84">
        <f>_xlfn.XLOOKUP(B84,'[5]july-2025'!$A:$A,'[5]july-2025'!$D:$D,0,0)</f>
        <v>0</v>
      </c>
      <c r="BC84">
        <f>_xlfn.XLOOKUP(B84,'[5]july-2025'!$A:$A,'[5]july-2025'!$G:$G,0,0)</f>
        <v>500</v>
      </c>
      <c r="BD84">
        <f>IF(AX84&gt;0,SUM(AX84:BC84),0)</f>
        <v>40410</v>
      </c>
      <c r="BE84">
        <f>_xlfn.XLOOKUP(B84,'[5]july-2025'!$A:$A,'[5]july-2025'!$H:$H,0,0)</f>
        <v>2000</v>
      </c>
      <c r="BF84">
        <f>_xlfn.XLOOKUP(B84,'[5]july-2025'!$A:$A,'[5]july-2025'!$I:$I,0,0)</f>
        <v>0</v>
      </c>
      <c r="BG84">
        <f>IF($F84="YES",0,IF(BD84&gt;40000,200,IF(BD84&gt;25000,150,IF(BD84&gt;15000,130,IF(BD84&gt;10000,110,0)))))</f>
        <v>200</v>
      </c>
      <c r="BH84">
        <f>BD84-BE84-BF84-BG84</f>
        <v>38210</v>
      </c>
      <c r="BI84">
        <f>_xlfn.XLOOKUP(B84,'[6]august-2025'!$A:$A,'[6]august-2025'!$C:$C,0,0)</f>
        <v>30700</v>
      </c>
      <c r="BJ84">
        <f>BI84*0.18</f>
        <v>5526</v>
      </c>
      <c r="BK84">
        <f>BI84*0.12</f>
        <v>3684</v>
      </c>
      <c r="BL84">
        <f>_xlfn.XLOOKUP(B84,'[6]august-2025'!$A:$A,'[6]august-2025'!$D:$D,0,0)</f>
        <v>0</v>
      </c>
      <c r="BM84">
        <f>_xlfn.XLOOKUP(B84,'[6]august-2025'!$A:$A,'[6]august-2025'!$G:$G,0,0)</f>
        <v>500</v>
      </c>
      <c r="BN84">
        <f>IF(BI84&gt;0,SUM(BI84:BM84),0)</f>
        <v>40410</v>
      </c>
      <c r="BO84">
        <f>_xlfn.XLOOKUP(B84,'[6]august-2025'!$A:$A,'[6]august-2025'!$H:$H,0,0)</f>
        <v>2000</v>
      </c>
      <c r="BP84">
        <f>_xlfn.XLOOKUP(B84,'[6]august-2025'!$A:$A,'[6]august-2025'!$I:$I,0,0)</f>
        <v>0</v>
      </c>
      <c r="BQ84">
        <f>IF($F84="YES",0,IF(BN84&gt;40000,200,IF(BN84&gt;25000,150,IF(BN84&gt;15000,130,IF(BN84&gt;10000,110,0)))))</f>
        <v>200</v>
      </c>
      <c r="BR84">
        <f>BN84-BO84-BP84-BQ84</f>
        <v>38210</v>
      </c>
      <c r="BS84">
        <f>_xlfn.XLOOKUP(B84,'[7]september-2025'!$A:$A,'[7]september-2025'!$C:$C,0,0)</f>
        <v>30700</v>
      </c>
      <c r="BT84">
        <f>BS84*0.18</f>
        <v>5526</v>
      </c>
      <c r="BU84">
        <f>BS84*0.12</f>
        <v>3684</v>
      </c>
      <c r="BV84">
        <f>_xlfn.XLOOKUP(B84,'[7]september-2025'!$A:$A,'[7]september-2025'!$D:$D,0,0)</f>
        <v>0</v>
      </c>
      <c r="BW84">
        <f>_xlfn.XLOOKUP(B84,'[7]september-2025'!$A:$A,'[7]september-2025'!$G:$G,0,0)</f>
        <v>500</v>
      </c>
      <c r="BX84">
        <f>IF(BS84&gt;0,SUM(BS84:BW84),0)</f>
        <v>40410</v>
      </c>
      <c r="BY84">
        <f>_xlfn.XLOOKUP(B84,'[7]september-2025'!$A:$A,'[7]september-2025'!$H:$H,0,0)</f>
        <v>2000</v>
      </c>
      <c r="BZ84">
        <f>_xlfn.XLOOKUP(B84,'[7]september-2025'!$A:$A,'[7]september-2025'!$I:$I,0,0)</f>
        <v>0</v>
      </c>
      <c r="CA84">
        <f>IF($F84="YES",0,IF(BX84&gt;40000,200,IF(BX84&gt;25000,150,IF(BX84&gt;15000,130,IF(BX84&gt;10000,110,0)))))</f>
        <v>200</v>
      </c>
      <c r="CB84">
        <f>BX84-BY84-BZ84-CA84</f>
        <v>38210</v>
      </c>
      <c r="CC84">
        <f>_xlfn.XLOOKUP(B84,'[8]october-2025'!$A:$A,'[8]october-2025'!$C:$C,0,0)</f>
        <v>30700</v>
      </c>
      <c r="CD84">
        <f>CC84*0.18</f>
        <v>5526</v>
      </c>
      <c r="CE84">
        <f>CC84*0.12</f>
        <v>3684</v>
      </c>
      <c r="CF84">
        <f>_xlfn.XLOOKUP(B84,'[8]october-2025'!$A:$A,'[8]october-2025'!$D:$D,0,0)</f>
        <v>0</v>
      </c>
      <c r="CG84">
        <f>_xlfn.XLOOKUP(B84,'[8]october-2025'!$A:$A,'[8]october-2025'!$G:$G,0,0)</f>
        <v>500</v>
      </c>
      <c r="CH84">
        <f>IF(CC84&gt;0,SUM(CC84:CG84),0)</f>
        <v>40410</v>
      </c>
      <c r="CI84">
        <f>_xlfn.XLOOKUP(B84,'[8]october-2025'!$A:$A,'[8]october-2025'!$H:$H,0,0)</f>
        <v>2000</v>
      </c>
      <c r="CJ84">
        <f>_xlfn.XLOOKUP(B84,'[8]october-2025'!$A:$A,'[8]october-2025'!$I:$I,0,0)</f>
        <v>0</v>
      </c>
      <c r="CK84">
        <f>IF($F84="YES",0,IF(CH84&gt;40000,200,IF(CH84&gt;25000,150,IF(CH84&gt;15000,130,IF(CH84&gt;10000,110,0)))))</f>
        <v>200</v>
      </c>
      <c r="CL84">
        <f>CH84-CI84-CJ84-CK84</f>
        <v>38210</v>
      </c>
      <c r="CM84">
        <f>_xlfn.XLOOKUP(B84,'[9]november-2025'!$A:$A,'[9]november-2025'!$C:$C,0,0)</f>
        <v>30700</v>
      </c>
      <c r="CN84">
        <f>CM84*0.18</f>
        <v>5526</v>
      </c>
      <c r="CO84">
        <f>CM84*0.12</f>
        <v>3684</v>
      </c>
      <c r="CP84">
        <f>_xlfn.XLOOKUP(B84,'[9]november-2025'!$A:$A,'[9]november-2025'!$D:$D,0,0)</f>
        <v>0</v>
      </c>
      <c r="CQ84">
        <f>_xlfn.XLOOKUP(B84,'[9]november-2025'!$A:$A,'[9]november-2025'!$G:$G,0,0)</f>
        <v>500</v>
      </c>
      <c r="CR84">
        <f>IF(CM84&gt;0,SUM(CM84:CQ84),0)</f>
        <v>40410</v>
      </c>
      <c r="CS84">
        <f>_xlfn.XLOOKUP(B84,'[9]november-2025'!$A:$A,'[9]november-2025'!$H:$H,0,0)</f>
        <v>2000</v>
      </c>
      <c r="CT84">
        <f>_xlfn.XLOOKUP(B84,'[9]november-2025'!$A:$A,'[9]november-2025'!$I:$I,0,0)</f>
        <v>0</v>
      </c>
      <c r="CU84">
        <f>IF($F84="YES",0,IF(CR84&gt;40000,200,IF(CR84&gt;25000,150,IF(CR84&gt;15000,130,IF(CR84&gt;10000,110,0)))))</f>
        <v>200</v>
      </c>
      <c r="CV84">
        <f>CR84-CS84-CT84-CU84</f>
        <v>38210</v>
      </c>
      <c r="CW84">
        <f>_xlfn.XLOOKUP(B84,'[10]december-2025'!$A:$A,'[10]december-2025'!$C:$C,0,0)</f>
        <v>30700</v>
      </c>
      <c r="CX84">
        <f>ROUND(CW84*0.18,0)</f>
        <v>5526</v>
      </c>
      <c r="CY84">
        <f>ROUND(CW84*0.12,0)</f>
        <v>3684</v>
      </c>
      <c r="CZ84">
        <f>_xlfn.XLOOKUP(B84,'[10]december-2025'!$A:$A,'[10]december-2025'!$D:$D,0,0)</f>
        <v>0</v>
      </c>
      <c r="DA84">
        <f>_xlfn.XLOOKUP(B84,'[10]december-2025'!$A:$A,'[10]december-2025'!$G:$G,0,0)</f>
        <v>500</v>
      </c>
      <c r="DB84">
        <f>IF(CW84&gt;0,SUM(CW84:DA84),0)</f>
        <v>40410</v>
      </c>
      <c r="DC84">
        <f>_xlfn.XLOOKUP(B84,'[10]december-2025'!$A:$A,'[10]december-2025'!$H:$H,0,0)</f>
        <v>2000</v>
      </c>
      <c r="DD84">
        <f>_xlfn.XLOOKUP(B84,'[10]december-2025'!$A:$A,'[10]december-2025'!$I:$I,0,0)</f>
        <v>0</v>
      </c>
      <c r="DE84">
        <f>IF($F84="YES",0,IF(DB84&gt;40000,200,IF(DB84&gt;25000,150,IF(DB84&gt;15000,130,IF(DB84&gt;10000,110,0)))))</f>
        <v>200</v>
      </c>
      <c r="DF84">
        <f>DB84-DC84-DD84-DE84</f>
        <v>38210</v>
      </c>
      <c r="DG84">
        <f>_xlfn.XLOOKUP(B84,'[11]january-2026'!$A:$A,'[11]january-2026'!$C:$C,0,0)</f>
        <v>30700</v>
      </c>
      <c r="DH84">
        <f>DG84*0.18</f>
        <v>5526</v>
      </c>
      <c r="DI84">
        <f>DG84*0.12</f>
        <v>3684</v>
      </c>
      <c r="DJ84">
        <f>_xlfn.XLOOKUP(B84,'[11]january-2026'!$A:$A,'[11]january-2026'!$D:$D,0,0)</f>
        <v>0</v>
      </c>
      <c r="DK84">
        <f>_xlfn.XLOOKUP(B84,'[11]january-2026'!$A:$A,'[11]january-2026'!$G:$G,0,0)</f>
        <v>500</v>
      </c>
      <c r="DL84">
        <f>IF(DG84&gt;0,SUM(DG84:DK84),0)</f>
        <v>40410</v>
      </c>
      <c r="DM84">
        <f>_xlfn.XLOOKUP(B84,'[11]january-2026'!$A:$A,'[11]january-2026'!$H:$H,0,0)</f>
        <v>2000</v>
      </c>
      <c r="DN84">
        <f>_xlfn.XLOOKUP(B84,'[11]january-2026'!$A:$A,'[11]january-2026'!$I:$I,0,0)</f>
        <v>0</v>
      </c>
      <c r="DO84">
        <f>IF($F84="YES",0,IF(DL84&gt;40000,200,IF(DL84&gt;25000,150,IF(DL84&gt;15000,130,IF(DL84&gt;10000,110,0)))))</f>
        <v>200</v>
      </c>
      <c r="DP84">
        <f>DL84-DM84-DN84-DO84</f>
        <v>38210</v>
      </c>
      <c r="DQ84">
        <f>_xlfn.XLOOKUP(B84,'[12]february-2026'!$A:$A,'[12]february-2026'!$C:$C,0,0)</f>
        <v>30700</v>
      </c>
      <c r="DR84">
        <f>DQ84*0.18</f>
        <v>5526</v>
      </c>
      <c r="DS84">
        <f>DQ84*0.12</f>
        <v>3684</v>
      </c>
      <c r="DT84">
        <f>_xlfn.XLOOKUP(B84,'[12]february-2026'!$A:$A,'[12]february-2026'!$D:$D,0,0)</f>
        <v>0</v>
      </c>
      <c r="DU84">
        <f>_xlfn.XLOOKUP(B84,'[12]february-2026'!$A:$A,'[12]february-2026'!$G:$G,0,0)</f>
        <v>500</v>
      </c>
      <c r="DV84">
        <f>IF(DQ84&gt;0,SUM(DQ84:DU84),0)</f>
        <v>40410</v>
      </c>
      <c r="DW84">
        <f>_xlfn.XLOOKUP(B84,'[12]february-2026'!$A:$A,'[12]february-2026'!$H:$H,0,0)</f>
        <v>2000</v>
      </c>
      <c r="DX84">
        <f>_xlfn.XLOOKUP(B84,'[12]february-2026'!$A:$A,'[12]february-2026'!$I:$I,0,0)</f>
        <v>0</v>
      </c>
      <c r="DY84">
        <f>IF($F84="YES",0,IF(DV84&gt;40000,200,IF(DV84&gt;25000,150,IF(DV84&gt;15000,130,IF(DV84&gt;10000,110,0)))))</f>
        <v>200</v>
      </c>
      <c r="DZ84">
        <f>DV84-DW84-DX84-DY84</f>
        <v>38210</v>
      </c>
      <c r="EA84">
        <f>DV84+DL84+DB84+CR84+CH84+BX84+BN84+BD84+AS84+AI84+Y84+O84+H84+I84</f>
        <v>485848</v>
      </c>
      <c r="EB84">
        <f>DY84+DO84+DE84+CU84+CK84+CA84+BQ84+BG84+AV84+AL84+AB84+R84</f>
        <v>2200</v>
      </c>
      <c r="EC84">
        <f>IF(EA84&gt;0,50000,0)</f>
        <v>50000</v>
      </c>
      <c r="ED84">
        <v>0</v>
      </c>
      <c r="EE84">
        <f>EA84-EB84-EC84</f>
        <v>433648</v>
      </c>
      <c r="EF84">
        <f>DW84+DM84+DC84+CS84+CI84+BY84+BO84+BE84+AT84+AJ84+Z84+P84</f>
        <v>24000</v>
      </c>
      <c r="EG84">
        <f>DX84+DN84+DD84+CT84+CJ84+BZ84+BP84+BF84+AU84+AK84+AA84+Q84</f>
        <v>0</v>
      </c>
      <c r="EH84">
        <v>0</v>
      </c>
      <c r="EI84">
        <v>0</v>
      </c>
      <c r="EJ84">
        <v>0</v>
      </c>
      <c r="EK84">
        <v>0</v>
      </c>
      <c r="EL84">
        <v>0</v>
      </c>
      <c r="EM84">
        <v>0</v>
      </c>
      <c r="EN84">
        <v>0</v>
      </c>
      <c r="EO84">
        <v>0</v>
      </c>
      <c r="EP84">
        <v>0</v>
      </c>
      <c r="EQ84">
        <v>0</v>
      </c>
      <c r="ER84">
        <f>SUM(EF84:EQ84)</f>
        <v>24000</v>
      </c>
      <c r="ES84">
        <f>IF(ER84&gt;=150000,150000,ER84)</f>
        <v>24000</v>
      </c>
      <c r="ET84">
        <f>EE84-ES84</f>
        <v>409648</v>
      </c>
      <c r="EU84">
        <v>0</v>
      </c>
      <c r="EV84">
        <v>0</v>
      </c>
      <c r="EW84">
        <v>0</v>
      </c>
      <c r="EX84">
        <v>0</v>
      </c>
      <c r="EY84">
        <v>0</v>
      </c>
      <c r="EZ84">
        <v>0</v>
      </c>
      <c r="FA84">
        <v>0</v>
      </c>
      <c r="FB84">
        <f>SUM(EU84:FA84)+(IF(F84="YES",50000,0))</f>
        <v>0</v>
      </c>
      <c r="FC84">
        <f>ET84-FB84</f>
        <v>409648</v>
      </c>
      <c r="FD84">
        <f>ROUND(IF(FC84&gt;0,IF(FC84&gt;500000,12500,(FC84-250000)*0.05),0),0)</f>
        <v>7982</v>
      </c>
      <c r="FE84">
        <f>IF(ROUND(IF(FC84&gt;0,IF(FC84&gt;1000000,25000,(FC84-500000)*0.2),0),0)&lt;0,0,ROUND(IF(FC84&gt;0,IF(FC84&gt;1000000,25000,(FC84-500000)*0.2),0),0))</f>
        <v>0</v>
      </c>
      <c r="FF84">
        <f>FD84+FE84</f>
        <v>7982</v>
      </c>
      <c r="FG84">
        <f>IF(FF84&lt;12500,0,FF84)</f>
        <v>0</v>
      </c>
      <c r="FH84">
        <f>FG84*0.04</f>
        <v>0</v>
      </c>
      <c r="FI84">
        <f>ROUND(FH84+FG84,0)</f>
        <v>0</v>
      </c>
      <c r="FJ84">
        <v>0</v>
      </c>
      <c r="FK84">
        <f>FI84-FJ84</f>
        <v>0</v>
      </c>
      <c r="FL84" t="b">
        <f>IF(EA84&gt;500000,TRUE,FALSE)</f>
        <v>0</v>
      </c>
      <c r="FM84">
        <f ca="1">IF(FL84,RANDBETWEEN(500,1000),RANDBETWEEN(1000,3000))</f>
        <v>1463</v>
      </c>
      <c r="FN84">
        <f ca="1">EA84+FM84</f>
        <v>487311</v>
      </c>
      <c r="FO84">
        <f>IF(EA84&gt;0,75000,0)</f>
        <v>75000</v>
      </c>
      <c r="FP84">
        <f ca="1">FN84-FO84</f>
        <v>412311</v>
      </c>
      <c r="FQ84">
        <f ca="1">IF(FP84&gt;2400000,FP84-2400000,0)</f>
        <v>0</v>
      </c>
      <c r="FR84">
        <f ca="1">FQ84*0.3</f>
        <v>0</v>
      </c>
      <c r="FS84">
        <f ca="1">IF(FP84&gt;2000000,FP84-2000000,0)</f>
        <v>0</v>
      </c>
      <c r="FT84">
        <f ca="1">FS84*0.25</f>
        <v>0</v>
      </c>
      <c r="FU84">
        <f ca="1">IF(FP84&gt;1600000,FP84-1600000-FQ84,0)</f>
        <v>0</v>
      </c>
      <c r="FV84">
        <f ca="1">FU84*0.2</f>
        <v>0</v>
      </c>
      <c r="FW84">
        <f ca="1">IF(FP84&gt;1200000,FP84-1200000-IF(F84="YES",50000,0)-FU84,0)</f>
        <v>0</v>
      </c>
      <c r="FX84">
        <f ca="1">FW84*0.15</f>
        <v>0</v>
      </c>
      <c r="FY84">
        <f ca="1">IF(FP84&gt;800000,FP84-800000-FQ84-FU84-FW84,0)</f>
        <v>0</v>
      </c>
      <c r="FZ84">
        <f ca="1">FY84*0.1</f>
        <v>0</v>
      </c>
      <c r="GA84">
        <f ca="1">IF(FP84&gt;400000,FP84-400000-FQ84-FU84-FW84-FY84,0)</f>
        <v>12311</v>
      </c>
      <c r="GB84">
        <f ca="1">GA84*0.05</f>
        <v>615.55000000000007</v>
      </c>
      <c r="GC84">
        <f ca="1">ROUND(FR84+FT84+FV84+FX84+FZ84+GB84,0)</f>
        <v>616</v>
      </c>
      <c r="GD84">
        <f ca="1">IF(FP84&gt;1200000,FP84,0)</f>
        <v>0</v>
      </c>
      <c r="GE84">
        <f ca="1">IF(FP84&gt;1200000,GD84-1200000,0)</f>
        <v>0</v>
      </c>
      <c r="GF84">
        <f ca="1">IF(FP84&lt;1200001,MIN(GC84,60000),0)</f>
        <v>616</v>
      </c>
      <c r="GG84">
        <f ca="1">IF(FP84&gt;1200000,GC84-GE84,0)</f>
        <v>0</v>
      </c>
      <c r="GH84" t="b">
        <f ca="1">IF(GG84&gt;0,TRUE,FALSE)</f>
        <v>0</v>
      </c>
      <c r="GI84">
        <f ca="1">IF(GH84,GG84,0)</f>
        <v>0</v>
      </c>
      <c r="GJ84">
        <f ca="1">GF84+GI84</f>
        <v>616</v>
      </c>
      <c r="GK84">
        <f ca="1">ROUND(GC84-GJ84,0)</f>
        <v>0</v>
      </c>
      <c r="GL84">
        <f ca="1">GK84*0.04</f>
        <v>0</v>
      </c>
      <c r="GM84">
        <f ca="1">ROUNDUP(GK84+GL84,0)</f>
        <v>0</v>
      </c>
    </row>
    <row r="85" spans="1:195" x14ac:dyDescent="0.25">
      <c r="A85">
        <f>_xlfn.AGGREGATE(3,5,$B$2:B85)</f>
        <v>84</v>
      </c>
      <c r="B85" t="s">
        <v>288</v>
      </c>
      <c r="C85" t="s">
        <v>289</v>
      </c>
      <c r="D85" t="s">
        <v>775</v>
      </c>
      <c r="E85" t="s">
        <v>835</v>
      </c>
      <c r="F85" t="s">
        <v>959</v>
      </c>
      <c r="G85" t="s">
        <v>887</v>
      </c>
      <c r="H85">
        <f>IF(_xlfn.DAYS("31-03-2025",G85)&gt;=180,6800,0)</f>
        <v>6800</v>
      </c>
      <c r="I85">
        <f>_xlfn.XLOOKUP(B85,'[1]march-2025'!$A:$A,'[1]march-2025'!$J:$J,0,0)</f>
        <v>0</v>
      </c>
      <c r="J85">
        <f>_xlfn.XLOOKUP(B85,'[1]march-2025'!$A:$A,'[1]march-2025'!$C:$C,0,0)</f>
        <v>48700</v>
      </c>
      <c r="K85">
        <f>J85*0.14</f>
        <v>6818.0000000000009</v>
      </c>
      <c r="L85">
        <f>J85*0.12</f>
        <v>5844</v>
      </c>
      <c r="M85">
        <f>_xlfn.XLOOKUP(B85,'[1]march-2025'!$A:$A,'[1]march-2025'!$D:$D,0,0)</f>
        <v>400</v>
      </c>
      <c r="N85">
        <f>_xlfn.XLOOKUP(B85,'[1]march-2025'!$A:$A,'[1]march-2025'!$G:$G,0,0)</f>
        <v>500</v>
      </c>
      <c r="O85">
        <f>IF(J85&gt;0,SUM(J85:N85),0)</f>
        <v>62262</v>
      </c>
      <c r="P85">
        <f>_xlfn.XLOOKUP(B85,'[1]march-2025'!$A:$A,'[1]march-2025'!$H:$H,0,0)</f>
        <v>5000</v>
      </c>
      <c r="Q85">
        <f>_xlfn.XLOOKUP(B85,'[1]march-2025'!$A:$A,'[1]march-2025'!$I:$I,0,0)</f>
        <v>0</v>
      </c>
      <c r="R85">
        <f>IF($F85="YES",0,IF(O85&gt;40000,200,IF(O85&gt;25000,150,IF(O85&gt;15000,130,IF(O85&gt;10000,110,0)))))</f>
        <v>200</v>
      </c>
      <c r="S85">
        <f>O85-P85-Q85-R85</f>
        <v>57062</v>
      </c>
      <c r="T85">
        <f>_xlfn.XLOOKUP(B85,'[2]april-2025'!$A:$A,'[2]april-2025'!$C:$C,0,0)</f>
        <v>48700</v>
      </c>
      <c r="U85">
        <f>T85*0.18</f>
        <v>8766</v>
      </c>
      <c r="V85">
        <f>T85*0.12</f>
        <v>5844</v>
      </c>
      <c r="W85">
        <f>_xlfn.XLOOKUP(B85,'[2]april-2025'!$A:$A,'[2]april-2025'!$D:$D,0,0)</f>
        <v>400</v>
      </c>
      <c r="X85">
        <f>_xlfn.XLOOKUP(B85,'[2]april-2025'!$A:$A,'[2]april-2025'!$G:$G,0,0)</f>
        <v>500</v>
      </c>
      <c r="Y85">
        <f>IF(T85&gt;0,SUM(T85:X85),0)</f>
        <v>64210</v>
      </c>
      <c r="Z85">
        <f>_xlfn.XLOOKUP(B85,'[2]april-2025'!$A:$A,'[2]april-2025'!$H:$H,0,0)</f>
        <v>5000</v>
      </c>
      <c r="AA85">
        <f>_xlfn.XLOOKUP(B85,'[2]april-2025'!$A:$A,'[2]april-2025'!$I:$I,0,0)</f>
        <v>0</v>
      </c>
      <c r="AB85">
        <f>IF($F85="YES",0,IF(Y85&gt;40000,200,IF(Y85&gt;25000,150,IF(Y85&gt;15000,130,IF(Y85&gt;10000,110,0)))))</f>
        <v>200</v>
      </c>
      <c r="AC85">
        <f>Y85-Z85-AA85-AB85</f>
        <v>59010</v>
      </c>
      <c r="AD85">
        <f>_xlfn.XLOOKUP(B85,'[3]may-2025'!$A:$A,'[3]may-2025'!$C:$C,0,0)</f>
        <v>48700</v>
      </c>
      <c r="AE85">
        <f>AD85*0.18</f>
        <v>8766</v>
      </c>
      <c r="AF85">
        <f>AD85*0.12</f>
        <v>5844</v>
      </c>
      <c r="AG85">
        <f>_xlfn.XLOOKUP(B85,'[3]may-2025'!$A:$A,'[3]may-2025'!$D:$D,0,0)</f>
        <v>400</v>
      </c>
      <c r="AH85">
        <f>_xlfn.XLOOKUP(B85,'[3]may-2025'!$A:$A,'[3]may-2025'!$G:$G,0,0)</f>
        <v>500</v>
      </c>
      <c r="AI85">
        <f>IF(AD85&gt;0,SUM(AD85:AH85),0)</f>
        <v>64210</v>
      </c>
      <c r="AJ85">
        <f>_xlfn.XLOOKUP(B85,'[3]may-2025'!$A:$A,'[3]may-2025'!$H:$H,0,0)</f>
        <v>5000</v>
      </c>
      <c r="AK85">
        <f>_xlfn.XLOOKUP(B85,'[3]may-2025'!$A:$A,'[3]may-2025'!$I:$I,0,0)</f>
        <v>0</v>
      </c>
      <c r="AL85">
        <f>IF($F85="YES",0,IF(AI85&gt;40000,200,IF(AI85&gt;25000,150,IF(AI85&gt;15000,130,IF(AI85&gt;10000,110,0)))))</f>
        <v>200</v>
      </c>
      <c r="AM85">
        <f>AI85-AJ85-AK85-AL85</f>
        <v>59010</v>
      </c>
      <c r="AN85">
        <f>_xlfn.XLOOKUP(B85,'[4]june-2025'!$A:$A,'[4]june-2025'!$C:$C,0,0)</f>
        <v>48700</v>
      </c>
      <c r="AO85">
        <f>AN85*0.18</f>
        <v>8766</v>
      </c>
      <c r="AP85">
        <f>AN85*0.12</f>
        <v>5844</v>
      </c>
      <c r="AQ85">
        <f>_xlfn.XLOOKUP(B85,'[4]june-2025'!$A:$A,'[4]june-2025'!$D:$D,0,0)</f>
        <v>400</v>
      </c>
      <c r="AR85">
        <f>_xlfn.XLOOKUP(B85,'[4]june-2025'!$A:$A,'[4]june-2025'!$G:$G,0,0)</f>
        <v>500</v>
      </c>
      <c r="AS85">
        <f>IF(AN85&gt;0,SUM(AN85:AR85),0)</f>
        <v>64210</v>
      </c>
      <c r="AT85">
        <f>_xlfn.XLOOKUP(B85,'[4]june-2025'!$A:$A,'[4]june-2025'!$H:$H,0,0)</f>
        <v>5000</v>
      </c>
      <c r="AU85">
        <f>_xlfn.XLOOKUP(B85,'[4]june-2025'!$A:$A,'[4]june-2025'!$I:$I,0,0)</f>
        <v>0</v>
      </c>
      <c r="AV85">
        <f>IF($F85="YES",0,IF(AS85&gt;40000,200,IF(AS85&gt;25000,150,IF(AS85&gt;15000,130,IF(AS85&gt;10000,110,0)))))</f>
        <v>200</v>
      </c>
      <c r="AW85">
        <f>AS85-AT85-AU85-AV85</f>
        <v>59010</v>
      </c>
      <c r="AX85">
        <f>_xlfn.XLOOKUP(B85,'[5]july-2025'!$A:$A,'[5]july-2025'!$C:$C,0,0)</f>
        <v>50200</v>
      </c>
      <c r="AY85">
        <f>AX85*0.18</f>
        <v>9036</v>
      </c>
      <c r="AZ85">
        <v>0</v>
      </c>
      <c r="BA85">
        <f>AX85*0.12</f>
        <v>6024</v>
      </c>
      <c r="BB85">
        <f>_xlfn.XLOOKUP(B85,'[5]july-2025'!$A:$A,'[5]july-2025'!$D:$D,0,0)</f>
        <v>400</v>
      </c>
      <c r="BC85">
        <f>_xlfn.XLOOKUP(B85,'[5]july-2025'!$A:$A,'[5]july-2025'!$G:$G,0,0)</f>
        <v>500</v>
      </c>
      <c r="BD85">
        <f>IF(AX85&gt;0,SUM(AX85:BC85),0)</f>
        <v>66160</v>
      </c>
      <c r="BE85">
        <f>_xlfn.XLOOKUP(B85,'[5]july-2025'!$A:$A,'[5]july-2025'!$H:$H,0,0)</f>
        <v>5000</v>
      </c>
      <c r="BF85">
        <f>_xlfn.XLOOKUP(B85,'[5]july-2025'!$A:$A,'[5]july-2025'!$I:$I,0,0)</f>
        <v>0</v>
      </c>
      <c r="BG85">
        <f>IF($F85="YES",0,IF(BD85&gt;40000,200,IF(BD85&gt;25000,150,IF(BD85&gt;15000,130,IF(BD85&gt;10000,110,0)))))</f>
        <v>200</v>
      </c>
      <c r="BH85">
        <f>BD85-BE85-BF85-BG85</f>
        <v>60960</v>
      </c>
      <c r="BI85">
        <f>_xlfn.XLOOKUP(B85,'[6]august-2025'!$A:$A,'[6]august-2025'!$C:$C,0,0)</f>
        <v>50200</v>
      </c>
      <c r="BJ85">
        <f>BI85*0.18</f>
        <v>9036</v>
      </c>
      <c r="BK85">
        <f>BI85*0.12</f>
        <v>6024</v>
      </c>
      <c r="BL85">
        <f>_xlfn.XLOOKUP(B85,'[6]august-2025'!$A:$A,'[6]august-2025'!$D:$D,0,0)</f>
        <v>400</v>
      </c>
      <c r="BM85">
        <f>_xlfn.XLOOKUP(B85,'[6]august-2025'!$A:$A,'[6]august-2025'!$G:$G,0,0)</f>
        <v>500</v>
      </c>
      <c r="BN85">
        <f>IF(BI85&gt;0,SUM(BI85:BM85),0)</f>
        <v>66160</v>
      </c>
      <c r="BO85">
        <f>_xlfn.XLOOKUP(B85,'[6]august-2025'!$A:$A,'[6]august-2025'!$H:$H,0,0)</f>
        <v>5000</v>
      </c>
      <c r="BP85">
        <f>_xlfn.XLOOKUP(B85,'[6]august-2025'!$A:$A,'[6]august-2025'!$I:$I,0,0)</f>
        <v>0</v>
      </c>
      <c r="BQ85">
        <f>IF($F85="YES",0,IF(BN85&gt;40000,200,IF(BN85&gt;25000,150,IF(BN85&gt;15000,130,IF(BN85&gt;10000,110,0)))))</f>
        <v>200</v>
      </c>
      <c r="BR85">
        <f>BN85-BO85-BP85-BQ85</f>
        <v>60960</v>
      </c>
      <c r="BS85">
        <f>_xlfn.XLOOKUP(B85,'[7]september-2025'!$A:$A,'[7]september-2025'!$C:$C,0,0)</f>
        <v>50200</v>
      </c>
      <c r="BT85">
        <f>BS85*0.18</f>
        <v>9036</v>
      </c>
      <c r="BU85">
        <f>BS85*0.12</f>
        <v>6024</v>
      </c>
      <c r="BV85">
        <f>_xlfn.XLOOKUP(B85,'[7]september-2025'!$A:$A,'[7]september-2025'!$D:$D,0,0)</f>
        <v>400</v>
      </c>
      <c r="BW85">
        <f>_xlfn.XLOOKUP(B85,'[7]september-2025'!$A:$A,'[7]september-2025'!$G:$G,0,0)</f>
        <v>500</v>
      </c>
      <c r="BX85">
        <f>IF(BS85&gt;0,SUM(BS85:BW85),0)</f>
        <v>66160</v>
      </c>
      <c r="BY85">
        <f>_xlfn.XLOOKUP(B85,'[7]september-2025'!$A:$A,'[7]september-2025'!$H:$H,0,0)</f>
        <v>5000</v>
      </c>
      <c r="BZ85">
        <f>_xlfn.XLOOKUP(B85,'[7]september-2025'!$A:$A,'[7]september-2025'!$I:$I,0,0)</f>
        <v>0</v>
      </c>
      <c r="CA85">
        <f>IF($F85="YES",0,IF(BX85&gt;40000,200,IF(BX85&gt;25000,150,IF(BX85&gt;15000,130,IF(BX85&gt;10000,110,0)))))</f>
        <v>200</v>
      </c>
      <c r="CB85">
        <f>BX85-BY85-BZ85-CA85</f>
        <v>60960</v>
      </c>
      <c r="CC85">
        <f>_xlfn.XLOOKUP(B85,'[8]october-2025'!$A:$A,'[8]october-2025'!$C:$C,0,0)</f>
        <v>50200</v>
      </c>
      <c r="CD85">
        <f>CC85*0.18</f>
        <v>9036</v>
      </c>
      <c r="CE85">
        <f>CC85*0.12</f>
        <v>6024</v>
      </c>
      <c r="CF85">
        <f>_xlfn.XLOOKUP(B85,'[8]october-2025'!$A:$A,'[8]october-2025'!$D:$D,0,0)</f>
        <v>400</v>
      </c>
      <c r="CG85">
        <f>_xlfn.XLOOKUP(B85,'[8]october-2025'!$A:$A,'[8]october-2025'!$G:$G,0,0)</f>
        <v>500</v>
      </c>
      <c r="CH85">
        <f>IF(CC85&gt;0,SUM(CC85:CG85),0)</f>
        <v>66160</v>
      </c>
      <c r="CI85">
        <f>_xlfn.XLOOKUP(B85,'[8]october-2025'!$A:$A,'[8]october-2025'!$H:$H,0,0)</f>
        <v>5000</v>
      </c>
      <c r="CJ85">
        <f>_xlfn.XLOOKUP(B85,'[8]october-2025'!$A:$A,'[8]october-2025'!$I:$I,0,0)</f>
        <v>0</v>
      </c>
      <c r="CK85">
        <f>IF($F85="YES",0,IF(CH85&gt;40000,200,IF(CH85&gt;25000,150,IF(CH85&gt;15000,130,IF(CH85&gt;10000,110,0)))))</f>
        <v>200</v>
      </c>
      <c r="CL85">
        <f>CH85-CI85-CJ85-CK85</f>
        <v>60960</v>
      </c>
      <c r="CM85">
        <f>_xlfn.XLOOKUP(B85,'[9]november-2025'!$A:$A,'[9]november-2025'!$C:$C,0,0)</f>
        <v>50200</v>
      </c>
      <c r="CN85">
        <f>CM85*0.18</f>
        <v>9036</v>
      </c>
      <c r="CO85">
        <f>CM85*0.12</f>
        <v>6024</v>
      </c>
      <c r="CP85">
        <f>_xlfn.XLOOKUP(B85,'[9]november-2025'!$A:$A,'[9]november-2025'!$D:$D,0,0)</f>
        <v>400</v>
      </c>
      <c r="CQ85">
        <f>_xlfn.XLOOKUP(B85,'[9]november-2025'!$A:$A,'[9]november-2025'!$G:$G,0,0)</f>
        <v>500</v>
      </c>
      <c r="CR85">
        <f>IF(CM85&gt;0,SUM(CM85:CQ85),0)</f>
        <v>66160</v>
      </c>
      <c r="CS85">
        <f>_xlfn.XLOOKUP(B85,'[9]november-2025'!$A:$A,'[9]november-2025'!$H:$H,0,0)</f>
        <v>5000</v>
      </c>
      <c r="CT85">
        <f>_xlfn.XLOOKUP(B85,'[9]november-2025'!$A:$A,'[9]november-2025'!$I:$I,0,0)</f>
        <v>0</v>
      </c>
      <c r="CU85">
        <f>IF($F85="YES",0,IF(CR85&gt;40000,200,IF(CR85&gt;25000,150,IF(CR85&gt;15000,130,IF(CR85&gt;10000,110,0)))))</f>
        <v>200</v>
      </c>
      <c r="CV85">
        <f>CR85-CS85-CT85-CU85</f>
        <v>60960</v>
      </c>
      <c r="CW85">
        <f>_xlfn.XLOOKUP(B85,'[10]december-2025'!$A:$A,'[10]december-2025'!$C:$C,0,0)</f>
        <v>50200</v>
      </c>
      <c r="CX85">
        <f>ROUND(CW85*0.18,0)</f>
        <v>9036</v>
      </c>
      <c r="CY85">
        <f>ROUND(CW85*0.12,0)</f>
        <v>6024</v>
      </c>
      <c r="CZ85">
        <f>_xlfn.XLOOKUP(B85,'[10]december-2025'!$A:$A,'[10]december-2025'!$D:$D,0,0)</f>
        <v>400</v>
      </c>
      <c r="DA85">
        <f>_xlfn.XLOOKUP(B85,'[10]december-2025'!$A:$A,'[10]december-2025'!$G:$G,0,0)</f>
        <v>500</v>
      </c>
      <c r="DB85">
        <f>IF(CW85&gt;0,SUM(CW85:DA85),0)</f>
        <v>66160</v>
      </c>
      <c r="DC85">
        <f>_xlfn.XLOOKUP(B85,'[10]december-2025'!$A:$A,'[10]december-2025'!$H:$H,0,0)</f>
        <v>5000</v>
      </c>
      <c r="DD85">
        <f>_xlfn.XLOOKUP(B85,'[10]december-2025'!$A:$A,'[10]december-2025'!$I:$I,0,0)</f>
        <v>0</v>
      </c>
      <c r="DE85">
        <f>IF($F85="YES",0,IF(DB85&gt;40000,200,IF(DB85&gt;25000,150,IF(DB85&gt;15000,130,IF(DB85&gt;10000,110,0)))))</f>
        <v>200</v>
      </c>
      <c r="DF85">
        <f>DB85-DC85-DD85-DE85</f>
        <v>60960</v>
      </c>
      <c r="DG85">
        <f>_xlfn.XLOOKUP(B85,'[11]january-2026'!$A:$A,'[11]january-2026'!$C:$C,0,0)</f>
        <v>50200</v>
      </c>
      <c r="DH85">
        <f>DG85*0.18</f>
        <v>9036</v>
      </c>
      <c r="DI85">
        <f>DG85*0.12</f>
        <v>6024</v>
      </c>
      <c r="DJ85">
        <f>_xlfn.XLOOKUP(B85,'[11]january-2026'!$A:$A,'[11]january-2026'!$D:$D,0,0)</f>
        <v>400</v>
      </c>
      <c r="DK85">
        <f>_xlfn.XLOOKUP(B85,'[11]january-2026'!$A:$A,'[11]january-2026'!$G:$G,0,0)</f>
        <v>500</v>
      </c>
      <c r="DL85">
        <f>IF(DG85&gt;0,SUM(DG85:DK85),0)</f>
        <v>66160</v>
      </c>
      <c r="DM85">
        <f>_xlfn.XLOOKUP(B85,'[11]january-2026'!$A:$A,'[11]january-2026'!$H:$H,0,0)</f>
        <v>5000</v>
      </c>
      <c r="DN85">
        <f>_xlfn.XLOOKUP(B85,'[11]january-2026'!$A:$A,'[11]january-2026'!$I:$I,0,0)</f>
        <v>0</v>
      </c>
      <c r="DO85">
        <f>IF($F85="YES",0,IF(DL85&gt;40000,200,IF(DL85&gt;25000,150,IF(DL85&gt;15000,130,IF(DL85&gt;10000,110,0)))))</f>
        <v>200</v>
      </c>
      <c r="DP85">
        <f>DL85-DM85-DN85-DO85</f>
        <v>60960</v>
      </c>
      <c r="DQ85">
        <f>_xlfn.XLOOKUP(B85,'[12]february-2026'!$A:$A,'[12]february-2026'!$C:$C,0,0)</f>
        <v>50200</v>
      </c>
      <c r="DR85">
        <f>DQ85*0.18</f>
        <v>9036</v>
      </c>
      <c r="DS85">
        <f>DQ85*0.12</f>
        <v>6024</v>
      </c>
      <c r="DT85">
        <f>_xlfn.XLOOKUP(B85,'[12]february-2026'!$A:$A,'[12]february-2026'!$D:$D,0,0)</f>
        <v>400</v>
      </c>
      <c r="DU85">
        <f>_xlfn.XLOOKUP(B85,'[12]february-2026'!$A:$A,'[12]february-2026'!$G:$G,0,0)</f>
        <v>500</v>
      </c>
      <c r="DV85">
        <f>IF(DQ85&gt;0,SUM(DQ85:DU85),0)</f>
        <v>66160</v>
      </c>
      <c r="DW85">
        <f>_xlfn.XLOOKUP(B85,'[12]february-2026'!$A:$A,'[12]february-2026'!$H:$H,0,0)</f>
        <v>5000</v>
      </c>
      <c r="DX85">
        <f>_xlfn.XLOOKUP(B85,'[12]february-2026'!$A:$A,'[12]february-2026'!$I:$I,0,0)</f>
        <v>0</v>
      </c>
      <c r="DY85">
        <f>IF($F85="YES",0,IF(DV85&gt;40000,200,IF(DV85&gt;25000,150,IF(DV85&gt;15000,130,IF(DV85&gt;10000,110,0)))))</f>
        <v>200</v>
      </c>
      <c r="DZ85">
        <f>DV85-DW85-DX85-DY85</f>
        <v>60960</v>
      </c>
      <c r="EA85">
        <f>DV85+DL85+DB85+CR85+CH85+BX85+BN85+BD85+AS85+AI85+Y85+O85+H85+I85</f>
        <v>790972</v>
      </c>
      <c r="EB85">
        <f>DY85+DO85+DE85+CU85+CK85+CA85+BQ85+BG85+AV85+AL85+AB85+R85</f>
        <v>2400</v>
      </c>
      <c r="EC85">
        <f>IF(EA85&gt;0,50000,0)</f>
        <v>50000</v>
      </c>
      <c r="ED85">
        <v>0</v>
      </c>
      <c r="EE85">
        <f>EA85-EB85-EC85</f>
        <v>738572</v>
      </c>
      <c r="EF85">
        <f>DW85+DM85+DC85+CS85+CI85+BY85+BO85+BE85+AT85+AJ85+Z85+P85</f>
        <v>60000</v>
      </c>
      <c r="EG85">
        <f>DX85+DN85+DD85+CT85+CJ85+BZ85+BP85+BF85+AU85+AK85+AA85+Q85</f>
        <v>0</v>
      </c>
      <c r="EH85">
        <v>0</v>
      </c>
      <c r="EI85">
        <v>0</v>
      </c>
      <c r="EJ85">
        <v>0</v>
      </c>
      <c r="EK85">
        <v>0</v>
      </c>
      <c r="EL85">
        <v>0</v>
      </c>
      <c r="EM85">
        <v>0</v>
      </c>
      <c r="EN85">
        <v>0</v>
      </c>
      <c r="EO85">
        <v>0</v>
      </c>
      <c r="EP85">
        <v>0</v>
      </c>
      <c r="EQ85">
        <v>0</v>
      </c>
      <c r="ER85">
        <f>SUM(EF85:EQ85)</f>
        <v>60000</v>
      </c>
      <c r="ES85">
        <f>IF(ER85&gt;=150000,150000,ER85)</f>
        <v>60000</v>
      </c>
      <c r="ET85">
        <f>EE85-ES85</f>
        <v>678572</v>
      </c>
      <c r="EU85">
        <v>0</v>
      </c>
      <c r="EV85">
        <v>0</v>
      </c>
      <c r="EW85">
        <v>0</v>
      </c>
      <c r="EX85">
        <v>0</v>
      </c>
      <c r="EY85">
        <v>0</v>
      </c>
      <c r="EZ85">
        <v>0</v>
      </c>
      <c r="FA85">
        <v>0</v>
      </c>
      <c r="FB85">
        <f>SUM(EU85:FA85)+(IF(F85="YES",50000,0))</f>
        <v>0</v>
      </c>
      <c r="FC85">
        <f>ET85-FB85</f>
        <v>678572</v>
      </c>
      <c r="FD85">
        <f>ROUND(IF(FC85&gt;0,IF(FC85&gt;500000,12500,(FC85-250000)*0.05),0),0)</f>
        <v>12500</v>
      </c>
      <c r="FE85">
        <f>IF(ROUND(IF(FC85&gt;0,IF(FC85&gt;1000000,25000,(FC85-500000)*0.2),0),0)&lt;0,0,ROUND(IF(FC85&gt;0,IF(FC85&gt;1000000,25000,(FC85-500000)*0.2),0),0))</f>
        <v>35714</v>
      </c>
      <c r="FF85">
        <f>FD85+FE85</f>
        <v>48214</v>
      </c>
      <c r="FG85">
        <f>IF(FF85&lt;12500,0,FF85)</f>
        <v>48214</v>
      </c>
      <c r="FH85">
        <f>FG85*0.04</f>
        <v>1928.56</v>
      </c>
      <c r="FI85">
        <f>ROUND(FH85+FG85,0)</f>
        <v>50143</v>
      </c>
      <c r="FJ85">
        <v>0</v>
      </c>
      <c r="FK85">
        <f>FI85-FJ85</f>
        <v>50143</v>
      </c>
      <c r="FL85" t="b">
        <f>IF(EA85&gt;500000,TRUE,FALSE)</f>
        <v>1</v>
      </c>
      <c r="FM85">
        <f ca="1">IF(FL85,RANDBETWEEN(500,1000),RANDBETWEEN(1000,3000))</f>
        <v>918</v>
      </c>
      <c r="FN85">
        <f ca="1">EA85+FM85</f>
        <v>791890</v>
      </c>
      <c r="FO85">
        <f>IF(EA85&gt;0,75000,0)</f>
        <v>75000</v>
      </c>
      <c r="FP85">
        <f ca="1">FN85-FO85</f>
        <v>716890</v>
      </c>
      <c r="FQ85">
        <f ca="1">IF(FP85&gt;2400000,FP85-2400000,0)</f>
        <v>0</v>
      </c>
      <c r="FR85">
        <f ca="1">FQ85*0.3</f>
        <v>0</v>
      </c>
      <c r="FS85">
        <f ca="1">IF(FP85&gt;2000000,FP85-2000000,0)</f>
        <v>0</v>
      </c>
      <c r="FT85">
        <f ca="1">FS85*0.25</f>
        <v>0</v>
      </c>
      <c r="FU85">
        <f ca="1">IF(FP85&gt;1600000,FP85-1600000-FQ85,0)</f>
        <v>0</v>
      </c>
      <c r="FV85">
        <f ca="1">FU85*0.2</f>
        <v>0</v>
      </c>
      <c r="FW85">
        <f ca="1">IF(FP85&gt;1200000,FP85-1200000-IF(F85="YES",50000,0)-FU85,0)</f>
        <v>0</v>
      </c>
      <c r="FX85">
        <f ca="1">FW85*0.15</f>
        <v>0</v>
      </c>
      <c r="FY85">
        <f ca="1">IF(FP85&gt;800000,FP85-800000-FQ85-FU85-FW85,0)</f>
        <v>0</v>
      </c>
      <c r="FZ85">
        <f ca="1">FY85*0.1</f>
        <v>0</v>
      </c>
      <c r="GA85">
        <f ca="1">IF(FP85&gt;400000,FP85-400000-FQ85-FU85-FW85-FY85,0)</f>
        <v>316890</v>
      </c>
      <c r="GB85">
        <f ca="1">GA85*0.05</f>
        <v>15844.5</v>
      </c>
      <c r="GC85">
        <f ca="1">ROUND(FR85+FT85+FV85+FX85+FZ85+GB85,0)</f>
        <v>15845</v>
      </c>
      <c r="GD85">
        <f ca="1">IF(FP85&gt;1200000,FP85,0)</f>
        <v>0</v>
      </c>
      <c r="GE85">
        <f ca="1">IF(FP85&gt;1200000,GD85-1200000,0)</f>
        <v>0</v>
      </c>
      <c r="GF85">
        <f ca="1">IF(FP85&lt;1200001,MIN(GC85,60000),0)</f>
        <v>15845</v>
      </c>
      <c r="GG85">
        <f ca="1">IF(FP85&gt;1200000,GC85-GE85,0)</f>
        <v>0</v>
      </c>
      <c r="GH85" t="b">
        <f ca="1">IF(GG85&gt;0,TRUE,FALSE)</f>
        <v>0</v>
      </c>
      <c r="GI85">
        <f ca="1">IF(GH85,GG85,0)</f>
        <v>0</v>
      </c>
      <c r="GJ85">
        <f ca="1">GF85+GI85</f>
        <v>15845</v>
      </c>
      <c r="GK85">
        <f ca="1">ROUND(GC85-GJ85,0)</f>
        <v>0</v>
      </c>
      <c r="GL85">
        <f ca="1">GK85*0.04</f>
        <v>0</v>
      </c>
      <c r="GM85">
        <f ca="1">ROUNDUP(GK85+GL85,0)</f>
        <v>0</v>
      </c>
    </row>
    <row r="86" spans="1:195" x14ac:dyDescent="0.25">
      <c r="A86">
        <f>_xlfn.AGGREGATE(3,5,$B$2:B86)</f>
        <v>85</v>
      </c>
      <c r="B86" t="s">
        <v>290</v>
      </c>
      <c r="C86" t="s">
        <v>291</v>
      </c>
      <c r="D86" t="s">
        <v>775</v>
      </c>
      <c r="E86" t="s">
        <v>833</v>
      </c>
      <c r="F86" t="s">
        <v>959</v>
      </c>
      <c r="G86" t="s">
        <v>915</v>
      </c>
      <c r="H86">
        <f>IF(_xlfn.DAYS("31-03-2025",G86)&gt;=180,6800,0)</f>
        <v>6800</v>
      </c>
      <c r="I86">
        <f>_xlfn.XLOOKUP(B86,'[1]march-2025'!$A:$A,'[1]march-2025'!$J:$J,0,0)</f>
        <v>0</v>
      </c>
      <c r="J86">
        <f>_xlfn.XLOOKUP(B86,'[1]march-2025'!$A:$A,'[1]march-2025'!$C:$C,0,0)</f>
        <v>34500</v>
      </c>
      <c r="K86">
        <f>J86*0.14</f>
        <v>4830.0000000000009</v>
      </c>
      <c r="L86">
        <f>J86*0.12</f>
        <v>4140</v>
      </c>
      <c r="M86">
        <f>_xlfn.XLOOKUP(B86,'[1]march-2025'!$A:$A,'[1]march-2025'!$D:$D,0,0)</f>
        <v>0</v>
      </c>
      <c r="N86">
        <f>_xlfn.XLOOKUP(B86,'[1]march-2025'!$A:$A,'[1]march-2025'!$G:$G,0,0)</f>
        <v>0</v>
      </c>
      <c r="O86">
        <f>IF(J86&gt;0,SUM(J86:N86),0)</f>
        <v>43470</v>
      </c>
      <c r="P86">
        <f>_xlfn.XLOOKUP(B86,'[1]march-2025'!$A:$A,'[1]march-2025'!$H:$H,0,0)</f>
        <v>3000</v>
      </c>
      <c r="Q86">
        <f>_xlfn.XLOOKUP(B86,'[1]march-2025'!$A:$A,'[1]march-2025'!$I:$I,0,0)</f>
        <v>0</v>
      </c>
      <c r="R86">
        <f>IF($F86="YES",0,IF(O86&gt;40000,200,IF(O86&gt;25000,150,IF(O86&gt;15000,130,IF(O86&gt;10000,110,0)))))</f>
        <v>200</v>
      </c>
      <c r="S86">
        <f>O86-P86-Q86-R86</f>
        <v>40270</v>
      </c>
      <c r="T86">
        <f>_xlfn.XLOOKUP(B86,'[2]april-2025'!$A:$A,'[2]april-2025'!$C:$C,0,0)</f>
        <v>34500</v>
      </c>
      <c r="U86">
        <f>T86*0.18</f>
        <v>6210</v>
      </c>
      <c r="V86">
        <f>T86*0.12</f>
        <v>4140</v>
      </c>
      <c r="W86">
        <f>_xlfn.XLOOKUP(B86,'[2]april-2025'!$A:$A,'[2]april-2025'!$D:$D,0,0)</f>
        <v>0</v>
      </c>
      <c r="X86">
        <f>_xlfn.XLOOKUP(B86,'[2]april-2025'!$A:$A,'[2]april-2025'!$G:$G,0,0)</f>
        <v>0</v>
      </c>
      <c r="Y86">
        <f>IF(T86&gt;0,SUM(T86:X86),0)</f>
        <v>44850</v>
      </c>
      <c r="Z86">
        <f>_xlfn.XLOOKUP(B86,'[2]april-2025'!$A:$A,'[2]april-2025'!$H:$H,0,0)</f>
        <v>3000</v>
      </c>
      <c r="AA86">
        <f>_xlfn.XLOOKUP(B86,'[2]april-2025'!$A:$A,'[2]april-2025'!$I:$I,0,0)</f>
        <v>0</v>
      </c>
      <c r="AB86">
        <f>IF($F86="YES",0,IF(Y86&gt;40000,200,IF(Y86&gt;25000,150,IF(Y86&gt;15000,130,IF(Y86&gt;10000,110,0)))))</f>
        <v>200</v>
      </c>
      <c r="AC86">
        <f>Y86-Z86-AA86-AB86</f>
        <v>41650</v>
      </c>
      <c r="AD86">
        <f>_xlfn.XLOOKUP(B86,'[3]may-2025'!$A:$A,'[3]may-2025'!$C:$C,0,0)</f>
        <v>34500</v>
      </c>
      <c r="AE86">
        <f>AD86*0.18</f>
        <v>6210</v>
      </c>
      <c r="AF86">
        <f>AD86*0.12</f>
        <v>4140</v>
      </c>
      <c r="AG86">
        <f>_xlfn.XLOOKUP(B86,'[3]may-2025'!$A:$A,'[3]may-2025'!$D:$D,0,0)</f>
        <v>0</v>
      </c>
      <c r="AH86">
        <f>_xlfn.XLOOKUP(B86,'[3]may-2025'!$A:$A,'[3]may-2025'!$G:$G,0,0)</f>
        <v>0</v>
      </c>
      <c r="AI86">
        <f>IF(AD86&gt;0,SUM(AD86:AH86),0)</f>
        <v>44850</v>
      </c>
      <c r="AJ86">
        <f>_xlfn.XLOOKUP(B86,'[3]may-2025'!$A:$A,'[3]may-2025'!$H:$H,0,0)</f>
        <v>3000</v>
      </c>
      <c r="AK86">
        <f>_xlfn.XLOOKUP(B86,'[3]may-2025'!$A:$A,'[3]may-2025'!$I:$I,0,0)</f>
        <v>0</v>
      </c>
      <c r="AL86">
        <f>IF($F86="YES",0,IF(AI86&gt;40000,200,IF(AI86&gt;25000,150,IF(AI86&gt;15000,130,IF(AI86&gt;10000,110,0)))))</f>
        <v>200</v>
      </c>
      <c r="AM86">
        <f>AI86-AJ86-AK86-AL86</f>
        <v>41650</v>
      </c>
      <c r="AN86">
        <f>_xlfn.XLOOKUP(B86,'[4]june-2025'!$A:$A,'[4]june-2025'!$C:$C,0,0)</f>
        <v>34500</v>
      </c>
      <c r="AO86">
        <f>AN86*0.18</f>
        <v>6210</v>
      </c>
      <c r="AP86">
        <f>AN86*0.12</f>
        <v>4140</v>
      </c>
      <c r="AQ86">
        <f>_xlfn.XLOOKUP(B86,'[4]june-2025'!$A:$A,'[4]june-2025'!$D:$D,0,0)</f>
        <v>0</v>
      </c>
      <c r="AR86">
        <f>_xlfn.XLOOKUP(B86,'[4]june-2025'!$A:$A,'[4]june-2025'!$G:$G,0,0)</f>
        <v>0</v>
      </c>
      <c r="AS86">
        <f>IF(AN86&gt;0,SUM(AN86:AR86),0)</f>
        <v>44850</v>
      </c>
      <c r="AT86">
        <f>_xlfn.XLOOKUP(B86,'[4]june-2025'!$A:$A,'[4]june-2025'!$H:$H,0,0)</f>
        <v>3000</v>
      </c>
      <c r="AU86">
        <f>_xlfn.XLOOKUP(B86,'[4]june-2025'!$A:$A,'[4]june-2025'!$I:$I,0,0)</f>
        <v>0</v>
      </c>
      <c r="AV86">
        <f>IF($F86="YES",0,IF(AS86&gt;40000,200,IF(AS86&gt;25000,150,IF(AS86&gt;15000,130,IF(AS86&gt;10000,110,0)))))</f>
        <v>200</v>
      </c>
      <c r="AW86">
        <f>AS86-AT86-AU86-AV86</f>
        <v>41650</v>
      </c>
      <c r="AX86">
        <f>_xlfn.XLOOKUP(B86,'[5]july-2025'!$A:$A,'[5]july-2025'!$C:$C,0,0)</f>
        <v>35500</v>
      </c>
      <c r="AY86">
        <f>AX86*0.18</f>
        <v>6390</v>
      </c>
      <c r="AZ86">
        <v>0</v>
      </c>
      <c r="BA86">
        <f>AX86*0.12</f>
        <v>4260</v>
      </c>
      <c r="BB86">
        <f>_xlfn.XLOOKUP(B86,'[5]july-2025'!$A:$A,'[5]july-2025'!$D:$D,0,0)</f>
        <v>0</v>
      </c>
      <c r="BC86">
        <f>_xlfn.XLOOKUP(B86,'[5]july-2025'!$A:$A,'[5]july-2025'!$G:$G,0,0)</f>
        <v>0</v>
      </c>
      <c r="BD86">
        <f>IF(AX86&gt;0,SUM(AX86:BC86),0)</f>
        <v>46150</v>
      </c>
      <c r="BE86">
        <f>_xlfn.XLOOKUP(B86,'[5]july-2025'!$A:$A,'[5]july-2025'!$H:$H,0,0)</f>
        <v>3000</v>
      </c>
      <c r="BF86">
        <f>_xlfn.XLOOKUP(B86,'[5]july-2025'!$A:$A,'[5]july-2025'!$I:$I,0,0)</f>
        <v>0</v>
      </c>
      <c r="BG86">
        <f>IF($F86="YES",0,IF(BD86&gt;40000,200,IF(BD86&gt;25000,150,IF(BD86&gt;15000,130,IF(BD86&gt;10000,110,0)))))</f>
        <v>200</v>
      </c>
      <c r="BH86">
        <f>BD86-BE86-BF86-BG86</f>
        <v>42950</v>
      </c>
      <c r="BI86">
        <f>_xlfn.XLOOKUP(B86,'[6]august-2025'!$A:$A,'[6]august-2025'!$C:$C,0,0)</f>
        <v>35500</v>
      </c>
      <c r="BJ86">
        <f>BI86*0.18</f>
        <v>6390</v>
      </c>
      <c r="BK86">
        <f>BI86*0.12</f>
        <v>4260</v>
      </c>
      <c r="BL86">
        <f>_xlfn.XLOOKUP(B86,'[6]august-2025'!$A:$A,'[6]august-2025'!$D:$D,0,0)</f>
        <v>0</v>
      </c>
      <c r="BM86">
        <f>_xlfn.XLOOKUP(B86,'[6]august-2025'!$A:$A,'[6]august-2025'!$G:$G,0,0)</f>
        <v>0</v>
      </c>
      <c r="BN86">
        <f>IF(BI86&gt;0,SUM(BI86:BM86),0)</f>
        <v>46150</v>
      </c>
      <c r="BO86">
        <f>_xlfn.XLOOKUP(B86,'[6]august-2025'!$A:$A,'[6]august-2025'!$H:$H,0,0)</f>
        <v>3000</v>
      </c>
      <c r="BP86">
        <f>_xlfn.XLOOKUP(B86,'[6]august-2025'!$A:$A,'[6]august-2025'!$I:$I,0,0)</f>
        <v>0</v>
      </c>
      <c r="BQ86">
        <f>IF($F86="YES",0,IF(BN86&gt;40000,200,IF(BN86&gt;25000,150,IF(BN86&gt;15000,130,IF(BN86&gt;10000,110,0)))))</f>
        <v>200</v>
      </c>
      <c r="BR86">
        <f>BN86-BO86-BP86-BQ86</f>
        <v>42950</v>
      </c>
      <c r="BS86">
        <f>_xlfn.XLOOKUP(B86,'[7]september-2025'!$A:$A,'[7]september-2025'!$C:$C,0,0)</f>
        <v>35500</v>
      </c>
      <c r="BT86">
        <f>BS86*0.18</f>
        <v>6390</v>
      </c>
      <c r="BU86">
        <f>BS86*0.12</f>
        <v>4260</v>
      </c>
      <c r="BV86">
        <f>_xlfn.XLOOKUP(B86,'[7]september-2025'!$A:$A,'[7]september-2025'!$D:$D,0,0)</f>
        <v>0</v>
      </c>
      <c r="BW86">
        <f>_xlfn.XLOOKUP(B86,'[7]september-2025'!$A:$A,'[7]september-2025'!$G:$G,0,0)</f>
        <v>0</v>
      </c>
      <c r="BX86">
        <f>IF(BS86&gt;0,SUM(BS86:BW86),0)</f>
        <v>46150</v>
      </c>
      <c r="BY86">
        <f>_xlfn.XLOOKUP(B86,'[7]september-2025'!$A:$A,'[7]september-2025'!$H:$H,0,0)</f>
        <v>3000</v>
      </c>
      <c r="BZ86">
        <f>_xlfn.XLOOKUP(B86,'[7]september-2025'!$A:$A,'[7]september-2025'!$I:$I,0,0)</f>
        <v>0</v>
      </c>
      <c r="CA86">
        <f>IF($F86="YES",0,IF(BX86&gt;40000,200,IF(BX86&gt;25000,150,IF(BX86&gt;15000,130,IF(BX86&gt;10000,110,0)))))</f>
        <v>200</v>
      </c>
      <c r="CB86">
        <f>BX86-BY86-BZ86-CA86</f>
        <v>42950</v>
      </c>
      <c r="CC86">
        <f>_xlfn.XLOOKUP(B86,'[8]october-2025'!$A:$A,'[8]october-2025'!$C:$C,0,0)</f>
        <v>35500</v>
      </c>
      <c r="CD86">
        <f>CC86*0.18</f>
        <v>6390</v>
      </c>
      <c r="CE86">
        <f>CC86*0.12</f>
        <v>4260</v>
      </c>
      <c r="CF86">
        <f>_xlfn.XLOOKUP(B86,'[8]october-2025'!$A:$A,'[8]october-2025'!$D:$D,0,0)</f>
        <v>0</v>
      </c>
      <c r="CG86">
        <f>_xlfn.XLOOKUP(B86,'[8]october-2025'!$A:$A,'[8]october-2025'!$G:$G,0,0)</f>
        <v>0</v>
      </c>
      <c r="CH86">
        <f>IF(CC86&gt;0,SUM(CC86:CG86),0)</f>
        <v>46150</v>
      </c>
      <c r="CI86">
        <f>_xlfn.XLOOKUP(B86,'[8]october-2025'!$A:$A,'[8]october-2025'!$H:$H,0,0)</f>
        <v>3000</v>
      </c>
      <c r="CJ86">
        <f>_xlfn.XLOOKUP(B86,'[8]october-2025'!$A:$A,'[8]october-2025'!$I:$I,0,0)</f>
        <v>0</v>
      </c>
      <c r="CK86">
        <f>IF($F86="YES",0,IF(CH86&gt;40000,200,IF(CH86&gt;25000,150,IF(CH86&gt;15000,130,IF(CH86&gt;10000,110,0)))))</f>
        <v>200</v>
      </c>
      <c r="CL86">
        <f>CH86-CI86-CJ86-CK86</f>
        <v>42950</v>
      </c>
      <c r="CM86">
        <f>_xlfn.XLOOKUP(B86,'[9]november-2025'!$A:$A,'[9]november-2025'!$C:$C,0,0)</f>
        <v>35500</v>
      </c>
      <c r="CN86">
        <f>CM86*0.18</f>
        <v>6390</v>
      </c>
      <c r="CO86">
        <f>CM86*0.12</f>
        <v>4260</v>
      </c>
      <c r="CP86">
        <f>_xlfn.XLOOKUP(B86,'[9]november-2025'!$A:$A,'[9]november-2025'!$D:$D,0,0)</f>
        <v>0</v>
      </c>
      <c r="CQ86">
        <f>_xlfn.XLOOKUP(B86,'[9]november-2025'!$A:$A,'[9]november-2025'!$G:$G,0,0)</f>
        <v>0</v>
      </c>
      <c r="CR86">
        <f>IF(CM86&gt;0,SUM(CM86:CQ86),0)</f>
        <v>46150</v>
      </c>
      <c r="CS86">
        <f>_xlfn.XLOOKUP(B86,'[9]november-2025'!$A:$A,'[9]november-2025'!$H:$H,0,0)</f>
        <v>3000</v>
      </c>
      <c r="CT86">
        <f>_xlfn.XLOOKUP(B86,'[9]november-2025'!$A:$A,'[9]november-2025'!$I:$I,0,0)</f>
        <v>0</v>
      </c>
      <c r="CU86">
        <f>IF($F86="YES",0,IF(CR86&gt;40000,200,IF(CR86&gt;25000,150,IF(CR86&gt;15000,130,IF(CR86&gt;10000,110,0)))))</f>
        <v>200</v>
      </c>
      <c r="CV86">
        <f>CR86-CS86-CT86-CU86</f>
        <v>42950</v>
      </c>
      <c r="CW86">
        <f>_xlfn.XLOOKUP(B86,'[10]december-2025'!$A:$A,'[10]december-2025'!$C:$C,0,0)</f>
        <v>35500</v>
      </c>
      <c r="CX86">
        <f>ROUND(CW86*0.18,0)</f>
        <v>6390</v>
      </c>
      <c r="CY86">
        <f>ROUND(CW86*0.12,0)</f>
        <v>4260</v>
      </c>
      <c r="CZ86">
        <f>_xlfn.XLOOKUP(B86,'[10]december-2025'!$A:$A,'[10]december-2025'!$D:$D,0,0)</f>
        <v>0</v>
      </c>
      <c r="DA86">
        <f>_xlfn.XLOOKUP(B86,'[10]december-2025'!$A:$A,'[10]december-2025'!$G:$G,0,0)</f>
        <v>0</v>
      </c>
      <c r="DB86">
        <f>IF(CW86&gt;0,SUM(CW86:DA86),0)</f>
        <v>46150</v>
      </c>
      <c r="DC86">
        <f>_xlfn.XLOOKUP(B86,'[10]december-2025'!$A:$A,'[10]december-2025'!$H:$H,0,0)</f>
        <v>3000</v>
      </c>
      <c r="DD86">
        <f>_xlfn.XLOOKUP(B86,'[10]december-2025'!$A:$A,'[10]december-2025'!$I:$I,0,0)</f>
        <v>0</v>
      </c>
      <c r="DE86">
        <f>IF($F86="YES",0,IF(DB86&gt;40000,200,IF(DB86&gt;25000,150,IF(DB86&gt;15000,130,IF(DB86&gt;10000,110,0)))))</f>
        <v>200</v>
      </c>
      <c r="DF86">
        <f>DB86-DC86-DD86-DE86</f>
        <v>42950</v>
      </c>
      <c r="DG86">
        <f>_xlfn.XLOOKUP(B86,'[11]january-2026'!$A:$A,'[11]january-2026'!$C:$C,0,0)</f>
        <v>35500</v>
      </c>
      <c r="DH86">
        <f>DG86*0.18</f>
        <v>6390</v>
      </c>
      <c r="DI86">
        <f>DG86*0.12</f>
        <v>4260</v>
      </c>
      <c r="DJ86">
        <f>_xlfn.XLOOKUP(B86,'[11]january-2026'!$A:$A,'[11]january-2026'!$D:$D,0,0)</f>
        <v>0</v>
      </c>
      <c r="DK86">
        <f>_xlfn.XLOOKUP(B86,'[11]january-2026'!$A:$A,'[11]january-2026'!$G:$G,0,0)</f>
        <v>0</v>
      </c>
      <c r="DL86">
        <f>IF(DG86&gt;0,SUM(DG86:DK86),0)</f>
        <v>46150</v>
      </c>
      <c r="DM86">
        <f>_xlfn.XLOOKUP(B86,'[11]january-2026'!$A:$A,'[11]january-2026'!$H:$H,0,0)</f>
        <v>3000</v>
      </c>
      <c r="DN86">
        <f>_xlfn.XLOOKUP(B86,'[11]january-2026'!$A:$A,'[11]january-2026'!$I:$I,0,0)</f>
        <v>0</v>
      </c>
      <c r="DO86">
        <f>IF($F86="YES",0,IF(DL86&gt;40000,200,IF(DL86&gt;25000,150,IF(DL86&gt;15000,130,IF(DL86&gt;10000,110,0)))))</f>
        <v>200</v>
      </c>
      <c r="DP86">
        <f>DL86-DM86-DN86-DO86</f>
        <v>42950</v>
      </c>
      <c r="DQ86">
        <f>_xlfn.XLOOKUP(B86,'[12]february-2026'!$A:$A,'[12]february-2026'!$C:$C,0,0)</f>
        <v>35500</v>
      </c>
      <c r="DR86">
        <f>DQ86*0.18</f>
        <v>6390</v>
      </c>
      <c r="DS86">
        <f>DQ86*0.12</f>
        <v>4260</v>
      </c>
      <c r="DT86">
        <f>_xlfn.XLOOKUP(B86,'[12]february-2026'!$A:$A,'[12]february-2026'!$D:$D,0,0)</f>
        <v>0</v>
      </c>
      <c r="DU86">
        <f>_xlfn.XLOOKUP(B86,'[12]february-2026'!$A:$A,'[12]february-2026'!$G:$G,0,0)</f>
        <v>0</v>
      </c>
      <c r="DV86">
        <f>IF(DQ86&gt;0,SUM(DQ86:DU86),0)</f>
        <v>46150</v>
      </c>
      <c r="DW86">
        <f>_xlfn.XLOOKUP(B86,'[12]february-2026'!$A:$A,'[12]february-2026'!$H:$H,0,0)</f>
        <v>3000</v>
      </c>
      <c r="DX86">
        <f>_xlfn.XLOOKUP(B86,'[12]february-2026'!$A:$A,'[12]february-2026'!$I:$I,0,0)</f>
        <v>0</v>
      </c>
      <c r="DY86">
        <f>IF($F86="YES",0,IF(DV86&gt;40000,200,IF(DV86&gt;25000,150,IF(DV86&gt;15000,130,IF(DV86&gt;10000,110,0)))))</f>
        <v>200</v>
      </c>
      <c r="DZ86">
        <f>DV86-DW86-DX86-DY86</f>
        <v>42950</v>
      </c>
      <c r="EA86">
        <f>DV86+DL86+DB86+CR86+CH86+BX86+BN86+BD86+AS86+AI86+Y86+O86+H86+I86</f>
        <v>554020</v>
      </c>
      <c r="EB86">
        <f>DY86+DO86+DE86+CU86+CK86+CA86+BQ86+BG86+AV86+AL86+AB86+R86</f>
        <v>2400</v>
      </c>
      <c r="EC86">
        <f>IF(EA86&gt;0,50000,0)</f>
        <v>50000</v>
      </c>
      <c r="ED86">
        <v>0</v>
      </c>
      <c r="EE86">
        <f>EA86-EB86-EC86</f>
        <v>501620</v>
      </c>
      <c r="EF86">
        <f>DW86+DM86+DC86+CS86+CI86+BY86+BO86+BE86+AT86+AJ86+Z86+P86</f>
        <v>36000</v>
      </c>
      <c r="EG86">
        <f>DX86+DN86+DD86+CT86+CJ86+BZ86+BP86+BF86+AU86+AK86+AA86+Q86</f>
        <v>0</v>
      </c>
      <c r="EH86">
        <v>0</v>
      </c>
      <c r="EI86">
        <v>0</v>
      </c>
      <c r="EJ86">
        <v>0</v>
      </c>
      <c r="EK86">
        <v>0</v>
      </c>
      <c r="EL86">
        <v>0</v>
      </c>
      <c r="EM86">
        <v>0</v>
      </c>
      <c r="EN86">
        <v>0</v>
      </c>
      <c r="EO86">
        <v>0</v>
      </c>
      <c r="EP86">
        <v>0</v>
      </c>
      <c r="EQ86">
        <v>0</v>
      </c>
      <c r="ER86">
        <f>SUM(EF86:EQ86)</f>
        <v>36000</v>
      </c>
      <c r="ES86">
        <f>IF(ER86&gt;=150000,150000,ER86)</f>
        <v>36000</v>
      </c>
      <c r="ET86">
        <f>EE86-ES86</f>
        <v>465620</v>
      </c>
      <c r="EU86">
        <v>0</v>
      </c>
      <c r="EV86">
        <v>0</v>
      </c>
      <c r="EW86">
        <v>0</v>
      </c>
      <c r="EX86">
        <v>0</v>
      </c>
      <c r="EY86">
        <v>0</v>
      </c>
      <c r="EZ86">
        <v>0</v>
      </c>
      <c r="FA86">
        <v>0</v>
      </c>
      <c r="FB86">
        <f>SUM(EU86:FA86)+(IF(F86="YES",50000,0))</f>
        <v>0</v>
      </c>
      <c r="FC86">
        <f>ET86-FB86</f>
        <v>465620</v>
      </c>
      <c r="FD86">
        <f>ROUND(IF(FC86&gt;0,IF(FC86&gt;500000,12500,(FC86-250000)*0.05),0),0)</f>
        <v>10781</v>
      </c>
      <c r="FE86">
        <f>IF(ROUND(IF(FC86&gt;0,IF(FC86&gt;1000000,25000,(FC86-500000)*0.2),0),0)&lt;0,0,ROUND(IF(FC86&gt;0,IF(FC86&gt;1000000,25000,(FC86-500000)*0.2),0),0))</f>
        <v>0</v>
      </c>
      <c r="FF86">
        <f>FD86+FE86</f>
        <v>10781</v>
      </c>
      <c r="FG86">
        <f>IF(FF86&lt;12500,0,FF86)</f>
        <v>0</v>
      </c>
      <c r="FH86">
        <f>FG86*0.04</f>
        <v>0</v>
      </c>
      <c r="FI86">
        <f>ROUND(FH86+FG86,0)</f>
        <v>0</v>
      </c>
      <c r="FJ86">
        <v>0</v>
      </c>
      <c r="FK86">
        <f>FI86-FJ86</f>
        <v>0</v>
      </c>
      <c r="FL86" t="b">
        <f>IF(EA86&gt;500000,TRUE,FALSE)</f>
        <v>1</v>
      </c>
      <c r="FM86">
        <f ca="1">IF(FL86,RANDBETWEEN(500,1000),RANDBETWEEN(1000,3000))</f>
        <v>515</v>
      </c>
      <c r="FN86">
        <f ca="1">EA86+FM86</f>
        <v>554535</v>
      </c>
      <c r="FO86">
        <f>IF(EA86&gt;0,75000,0)</f>
        <v>75000</v>
      </c>
      <c r="FP86">
        <f ca="1">FN86-FO86</f>
        <v>479535</v>
      </c>
      <c r="FQ86">
        <f ca="1">IF(FP86&gt;2400000,FP86-2400000,0)</f>
        <v>0</v>
      </c>
      <c r="FR86">
        <f ca="1">FQ86*0.3</f>
        <v>0</v>
      </c>
      <c r="FS86">
        <f ca="1">IF(FP86&gt;2000000,FP86-2000000,0)</f>
        <v>0</v>
      </c>
      <c r="FT86">
        <f ca="1">FS86*0.25</f>
        <v>0</v>
      </c>
      <c r="FU86">
        <f ca="1">IF(FP86&gt;1600000,FP86-1600000-FQ86,0)</f>
        <v>0</v>
      </c>
      <c r="FV86">
        <f ca="1">FU86*0.2</f>
        <v>0</v>
      </c>
      <c r="FW86">
        <f ca="1">IF(FP86&gt;1200000,FP86-1200000-IF(F86="YES",50000,0)-FU86,0)</f>
        <v>0</v>
      </c>
      <c r="FX86">
        <f ca="1">FW86*0.15</f>
        <v>0</v>
      </c>
      <c r="FY86">
        <f ca="1">IF(FP86&gt;800000,FP86-800000-FQ86-FU86-FW86,0)</f>
        <v>0</v>
      </c>
      <c r="FZ86">
        <f ca="1">FY86*0.1</f>
        <v>0</v>
      </c>
      <c r="GA86">
        <f ca="1">IF(FP86&gt;400000,FP86-400000-FQ86-FU86-FW86-FY86,0)</f>
        <v>79535</v>
      </c>
      <c r="GB86">
        <f ca="1">GA86*0.05</f>
        <v>3976.75</v>
      </c>
      <c r="GC86">
        <f ca="1">ROUND(FR86+FT86+FV86+FX86+FZ86+GB86,0)</f>
        <v>3977</v>
      </c>
      <c r="GD86">
        <f ca="1">IF(FP86&gt;1200000,FP86,0)</f>
        <v>0</v>
      </c>
      <c r="GE86">
        <f ca="1">IF(FP86&gt;1200000,GD86-1200000,0)</f>
        <v>0</v>
      </c>
      <c r="GF86">
        <f ca="1">IF(FP86&lt;1200001,MIN(GC86,60000),0)</f>
        <v>3977</v>
      </c>
      <c r="GG86">
        <f ca="1">IF(FP86&gt;1200000,GC86-GE86,0)</f>
        <v>0</v>
      </c>
      <c r="GH86" t="b">
        <f ca="1">IF(GG86&gt;0,TRUE,FALSE)</f>
        <v>0</v>
      </c>
      <c r="GI86">
        <f ca="1">IF(GH86,GG86,0)</f>
        <v>0</v>
      </c>
      <c r="GJ86">
        <f ca="1">GF86+GI86</f>
        <v>3977</v>
      </c>
      <c r="GK86">
        <f ca="1">ROUND(GC86-GJ86,0)</f>
        <v>0</v>
      </c>
      <c r="GL86">
        <f ca="1">GK86*0.04</f>
        <v>0</v>
      </c>
      <c r="GM86">
        <f ca="1">ROUNDUP(GK86+GL86,0)</f>
        <v>0</v>
      </c>
    </row>
    <row r="87" spans="1:195" x14ac:dyDescent="0.25">
      <c r="A87">
        <f>_xlfn.AGGREGATE(3,5,$B$2:B87)</f>
        <v>86</v>
      </c>
      <c r="B87" t="s">
        <v>292</v>
      </c>
      <c r="C87" t="s">
        <v>293</v>
      </c>
      <c r="D87" t="s">
        <v>775</v>
      </c>
      <c r="E87" t="s">
        <v>833</v>
      </c>
      <c r="F87" t="s">
        <v>959</v>
      </c>
      <c r="G87" t="s">
        <v>881</v>
      </c>
      <c r="H87">
        <f>IF(_xlfn.DAYS("31-03-2025",G87)&gt;=180,6800,0)</f>
        <v>6800</v>
      </c>
      <c r="I87">
        <f>_xlfn.XLOOKUP(B87,'[1]march-2025'!$A:$A,'[1]march-2025'!$J:$J,0,0)</f>
        <v>0</v>
      </c>
      <c r="J87">
        <f>_xlfn.XLOOKUP(B87,'[1]march-2025'!$A:$A,'[1]march-2025'!$C:$C,0,0)</f>
        <v>27000</v>
      </c>
      <c r="K87">
        <f>J87*0.14</f>
        <v>3780.0000000000005</v>
      </c>
      <c r="L87">
        <f>J87*0.12</f>
        <v>3240</v>
      </c>
      <c r="M87">
        <f>_xlfn.XLOOKUP(B87,'[1]march-2025'!$A:$A,'[1]march-2025'!$D:$D,0,0)</f>
        <v>0</v>
      </c>
      <c r="N87">
        <f>_xlfn.XLOOKUP(B87,'[1]march-2025'!$A:$A,'[1]march-2025'!$G:$G,0,0)</f>
        <v>500</v>
      </c>
      <c r="O87">
        <f>IF(J87&gt;0,SUM(J87:N87),0)</f>
        <v>34520</v>
      </c>
      <c r="P87">
        <f>_xlfn.XLOOKUP(B87,'[1]march-2025'!$A:$A,'[1]march-2025'!$H:$H,0,0)</f>
        <v>2000</v>
      </c>
      <c r="Q87">
        <f>_xlfn.XLOOKUP(B87,'[1]march-2025'!$A:$A,'[1]march-2025'!$I:$I,0,0)</f>
        <v>0</v>
      </c>
      <c r="R87">
        <f>IF($F87="YES",0,IF(O87&gt;40000,200,IF(O87&gt;25000,150,IF(O87&gt;15000,130,IF(O87&gt;10000,110,0)))))</f>
        <v>150</v>
      </c>
      <c r="S87">
        <f>O87-P87-Q87-R87</f>
        <v>32370</v>
      </c>
      <c r="T87">
        <f>_xlfn.XLOOKUP(B87,'[2]april-2025'!$A:$A,'[2]april-2025'!$C:$C,0,0)</f>
        <v>27000</v>
      </c>
      <c r="U87">
        <f>T87*0.18</f>
        <v>4860</v>
      </c>
      <c r="V87">
        <f>T87*0.12</f>
        <v>3240</v>
      </c>
      <c r="W87">
        <f>_xlfn.XLOOKUP(B87,'[2]april-2025'!$A:$A,'[2]april-2025'!$D:$D,0,0)</f>
        <v>0</v>
      </c>
      <c r="X87">
        <f>_xlfn.XLOOKUP(B87,'[2]april-2025'!$A:$A,'[2]april-2025'!$G:$G,0,0)</f>
        <v>500</v>
      </c>
      <c r="Y87">
        <f>IF(T87&gt;0,SUM(T87:X87),0)</f>
        <v>35600</v>
      </c>
      <c r="Z87">
        <f>_xlfn.XLOOKUP(B87,'[2]april-2025'!$A:$A,'[2]april-2025'!$H:$H,0,0)</f>
        <v>2000</v>
      </c>
      <c r="AA87">
        <f>_xlfn.XLOOKUP(B87,'[2]april-2025'!$A:$A,'[2]april-2025'!$I:$I,0,0)</f>
        <v>0</v>
      </c>
      <c r="AB87">
        <f>IF($F87="YES",0,IF(Y87&gt;40000,200,IF(Y87&gt;25000,150,IF(Y87&gt;15000,130,IF(Y87&gt;10000,110,0)))))</f>
        <v>150</v>
      </c>
      <c r="AC87">
        <f>Y87-Z87-AA87-AB87</f>
        <v>33450</v>
      </c>
      <c r="AD87">
        <f>_xlfn.XLOOKUP(B87,'[3]may-2025'!$A:$A,'[3]may-2025'!$C:$C,0,0)</f>
        <v>31600</v>
      </c>
      <c r="AE87">
        <f>AD87*0.18</f>
        <v>5688</v>
      </c>
      <c r="AF87">
        <f>AD87*0.12</f>
        <v>3792</v>
      </c>
      <c r="AG87">
        <f>_xlfn.XLOOKUP(B87,'[3]may-2025'!$A:$A,'[3]may-2025'!$D:$D,0,0)</f>
        <v>0</v>
      </c>
      <c r="AH87">
        <f>_xlfn.XLOOKUP(B87,'[3]may-2025'!$A:$A,'[3]may-2025'!$G:$G,0,0)</f>
        <v>500</v>
      </c>
      <c r="AI87">
        <f>IF(AD87&gt;0,SUM(AD87:AH87),0)</f>
        <v>41580</v>
      </c>
      <c r="AJ87">
        <f>_xlfn.XLOOKUP(B87,'[3]may-2025'!$A:$A,'[3]may-2025'!$H:$H,0,0)</f>
        <v>2000</v>
      </c>
      <c r="AK87">
        <f>_xlfn.XLOOKUP(B87,'[3]may-2025'!$A:$A,'[3]may-2025'!$I:$I,0,0)</f>
        <v>0</v>
      </c>
      <c r="AL87">
        <f>IF($F87="YES",0,IF(AI87&gt;40000,200,IF(AI87&gt;25000,150,IF(AI87&gt;15000,130,IF(AI87&gt;10000,110,0)))))</f>
        <v>200</v>
      </c>
      <c r="AM87">
        <f>AI87-AJ87-AK87-AL87</f>
        <v>39380</v>
      </c>
      <c r="AN87">
        <f>_xlfn.XLOOKUP(B87,'[4]june-2025'!$A:$A,'[4]june-2025'!$C:$C,0,0)</f>
        <v>31600</v>
      </c>
      <c r="AO87">
        <f>AN87*0.18</f>
        <v>5688</v>
      </c>
      <c r="AP87">
        <f>AN87*0.12</f>
        <v>3792</v>
      </c>
      <c r="AQ87">
        <f>_xlfn.XLOOKUP(B87,'[4]june-2025'!$A:$A,'[4]june-2025'!$D:$D,0,0)</f>
        <v>0</v>
      </c>
      <c r="AR87">
        <f>_xlfn.XLOOKUP(B87,'[4]june-2025'!$A:$A,'[4]june-2025'!$G:$G,0,0)</f>
        <v>500</v>
      </c>
      <c r="AS87">
        <f>IF(AN87&gt;0,SUM(AN87:AR87),0)</f>
        <v>41580</v>
      </c>
      <c r="AT87">
        <f>_xlfn.XLOOKUP(B87,'[4]june-2025'!$A:$A,'[4]june-2025'!$H:$H,0,0)</f>
        <v>2000</v>
      </c>
      <c r="AU87">
        <f>_xlfn.XLOOKUP(B87,'[4]june-2025'!$A:$A,'[4]june-2025'!$I:$I,0,0)</f>
        <v>0</v>
      </c>
      <c r="AV87">
        <f>IF($F87="YES",0,IF(AS87&gt;40000,200,IF(AS87&gt;25000,150,IF(AS87&gt;15000,130,IF(AS87&gt;10000,110,0)))))</f>
        <v>200</v>
      </c>
      <c r="AW87">
        <f>AS87-AT87-AU87-AV87</f>
        <v>39380</v>
      </c>
      <c r="AX87">
        <f>_xlfn.XLOOKUP(B87,'[5]july-2025'!$A:$A,'[5]july-2025'!$C:$C,0,0)</f>
        <v>32500</v>
      </c>
      <c r="AY87">
        <f>AX87*0.18</f>
        <v>5850</v>
      </c>
      <c r="AZ87">
        <v>0</v>
      </c>
      <c r="BA87">
        <f>AX87*0.12</f>
        <v>3900</v>
      </c>
      <c r="BB87">
        <f>_xlfn.XLOOKUP(B87,'[5]july-2025'!$A:$A,'[5]july-2025'!$D:$D,0,0)</f>
        <v>0</v>
      </c>
      <c r="BC87">
        <f>_xlfn.XLOOKUP(B87,'[5]july-2025'!$A:$A,'[5]july-2025'!$G:$G,0,0)</f>
        <v>500</v>
      </c>
      <c r="BD87">
        <f>IF(AX87&gt;0,SUM(AX87:BC87),0)</f>
        <v>42750</v>
      </c>
      <c r="BE87">
        <f>_xlfn.XLOOKUP(B87,'[5]july-2025'!$A:$A,'[5]july-2025'!$H:$H,0,0)</f>
        <v>2000</v>
      </c>
      <c r="BF87">
        <f>_xlfn.XLOOKUP(B87,'[5]july-2025'!$A:$A,'[5]july-2025'!$I:$I,0,0)</f>
        <v>0</v>
      </c>
      <c r="BG87">
        <f>IF($F87="YES",0,IF(BD87&gt;40000,200,IF(BD87&gt;25000,150,IF(BD87&gt;15000,130,IF(BD87&gt;10000,110,0)))))</f>
        <v>200</v>
      </c>
      <c r="BH87">
        <f>BD87-BE87-BF87-BG87</f>
        <v>40550</v>
      </c>
      <c r="BI87">
        <f>_xlfn.XLOOKUP(B87,'[6]august-2025'!$A:$A,'[6]august-2025'!$C:$C,0,0)</f>
        <v>32500</v>
      </c>
      <c r="BJ87">
        <f>BI87*0.18</f>
        <v>5850</v>
      </c>
      <c r="BK87">
        <f>BI87*0.12</f>
        <v>3900</v>
      </c>
      <c r="BL87">
        <f>_xlfn.XLOOKUP(B87,'[6]august-2025'!$A:$A,'[6]august-2025'!$D:$D,0,0)</f>
        <v>0</v>
      </c>
      <c r="BM87">
        <f>_xlfn.XLOOKUP(B87,'[6]august-2025'!$A:$A,'[6]august-2025'!$G:$G,0,0)</f>
        <v>500</v>
      </c>
      <c r="BN87">
        <f>IF(BI87&gt;0,SUM(BI87:BM87),0)</f>
        <v>42750</v>
      </c>
      <c r="BO87">
        <f>_xlfn.XLOOKUP(B87,'[6]august-2025'!$A:$A,'[6]august-2025'!$H:$H,0,0)</f>
        <v>2000</v>
      </c>
      <c r="BP87">
        <f>_xlfn.XLOOKUP(B87,'[6]august-2025'!$A:$A,'[6]august-2025'!$I:$I,0,0)</f>
        <v>0</v>
      </c>
      <c r="BQ87">
        <f>IF($F87="YES",0,IF(BN87&gt;40000,200,IF(BN87&gt;25000,150,IF(BN87&gt;15000,130,IF(BN87&gt;10000,110,0)))))</f>
        <v>200</v>
      </c>
      <c r="BR87">
        <f>BN87-BO87-BP87-BQ87</f>
        <v>40550</v>
      </c>
      <c r="BS87">
        <f>_xlfn.XLOOKUP(B87,'[7]september-2025'!$A:$A,'[7]september-2025'!$C:$C,0,0)</f>
        <v>32500</v>
      </c>
      <c r="BT87">
        <f>BS87*0.18</f>
        <v>5850</v>
      </c>
      <c r="BU87">
        <f>BS87*0.12</f>
        <v>3900</v>
      </c>
      <c r="BV87">
        <f>_xlfn.XLOOKUP(B87,'[7]september-2025'!$A:$A,'[7]september-2025'!$D:$D,0,0)</f>
        <v>0</v>
      </c>
      <c r="BW87">
        <f>_xlfn.XLOOKUP(B87,'[7]september-2025'!$A:$A,'[7]september-2025'!$G:$G,0,0)</f>
        <v>500</v>
      </c>
      <c r="BX87">
        <f>IF(BS87&gt;0,SUM(BS87:BW87),0)</f>
        <v>42750</v>
      </c>
      <c r="BY87">
        <f>_xlfn.XLOOKUP(B87,'[7]september-2025'!$A:$A,'[7]september-2025'!$H:$H,0,0)</f>
        <v>2000</v>
      </c>
      <c r="BZ87">
        <f>_xlfn.XLOOKUP(B87,'[7]september-2025'!$A:$A,'[7]september-2025'!$I:$I,0,0)</f>
        <v>0</v>
      </c>
      <c r="CA87">
        <f>IF($F87="YES",0,IF(BX87&gt;40000,200,IF(BX87&gt;25000,150,IF(BX87&gt;15000,130,IF(BX87&gt;10000,110,0)))))</f>
        <v>200</v>
      </c>
      <c r="CB87">
        <f>BX87-BY87-BZ87-CA87</f>
        <v>40550</v>
      </c>
      <c r="CC87">
        <f>_xlfn.XLOOKUP(B87,'[8]october-2025'!$A:$A,'[8]october-2025'!$C:$C,0,0)</f>
        <v>32500</v>
      </c>
      <c r="CD87">
        <f>CC87*0.18</f>
        <v>5850</v>
      </c>
      <c r="CE87">
        <f>CC87*0.12</f>
        <v>3900</v>
      </c>
      <c r="CF87">
        <f>_xlfn.XLOOKUP(B87,'[8]october-2025'!$A:$A,'[8]october-2025'!$D:$D,0,0)</f>
        <v>0</v>
      </c>
      <c r="CG87">
        <f>_xlfn.XLOOKUP(B87,'[8]october-2025'!$A:$A,'[8]october-2025'!$G:$G,0,0)</f>
        <v>500</v>
      </c>
      <c r="CH87">
        <f>IF(CC87&gt;0,SUM(CC87:CG87),0)</f>
        <v>42750</v>
      </c>
      <c r="CI87">
        <f>_xlfn.XLOOKUP(B87,'[8]october-2025'!$A:$A,'[8]october-2025'!$H:$H,0,0)</f>
        <v>2000</v>
      </c>
      <c r="CJ87">
        <f>_xlfn.XLOOKUP(B87,'[8]october-2025'!$A:$A,'[8]october-2025'!$I:$I,0,0)</f>
        <v>0</v>
      </c>
      <c r="CK87">
        <f>IF($F87="YES",0,IF(CH87&gt;40000,200,IF(CH87&gt;25000,150,IF(CH87&gt;15000,130,IF(CH87&gt;10000,110,0)))))</f>
        <v>200</v>
      </c>
      <c r="CL87">
        <f>CH87-CI87-CJ87-CK87</f>
        <v>40550</v>
      </c>
      <c r="CM87">
        <f>_xlfn.XLOOKUP(B87,'[9]november-2025'!$A:$A,'[9]november-2025'!$C:$C,0,0)</f>
        <v>32500</v>
      </c>
      <c r="CN87">
        <f>CM87*0.18</f>
        <v>5850</v>
      </c>
      <c r="CO87">
        <f>CM87*0.12</f>
        <v>3900</v>
      </c>
      <c r="CP87">
        <f>_xlfn.XLOOKUP(B87,'[9]november-2025'!$A:$A,'[9]november-2025'!$D:$D,0,0)</f>
        <v>0</v>
      </c>
      <c r="CQ87">
        <f>_xlfn.XLOOKUP(B87,'[9]november-2025'!$A:$A,'[9]november-2025'!$G:$G,0,0)</f>
        <v>500</v>
      </c>
      <c r="CR87">
        <f>IF(CM87&gt;0,SUM(CM87:CQ87),0)</f>
        <v>42750</v>
      </c>
      <c r="CS87">
        <f>_xlfn.XLOOKUP(B87,'[9]november-2025'!$A:$A,'[9]november-2025'!$H:$H,0,0)</f>
        <v>2000</v>
      </c>
      <c r="CT87">
        <f>_xlfn.XLOOKUP(B87,'[9]november-2025'!$A:$A,'[9]november-2025'!$I:$I,0,0)</f>
        <v>0</v>
      </c>
      <c r="CU87">
        <f>IF($F87="YES",0,IF(CR87&gt;40000,200,IF(CR87&gt;25000,150,IF(CR87&gt;15000,130,IF(CR87&gt;10000,110,0)))))</f>
        <v>200</v>
      </c>
      <c r="CV87">
        <f>CR87-CS87-CT87-CU87</f>
        <v>40550</v>
      </c>
      <c r="CW87">
        <f>_xlfn.XLOOKUP(B87,'[10]december-2025'!$A:$A,'[10]december-2025'!$C:$C,0,0)</f>
        <v>32500</v>
      </c>
      <c r="CX87">
        <f>ROUND(CW87*0.18,0)</f>
        <v>5850</v>
      </c>
      <c r="CY87">
        <f>ROUND(CW87*0.12,0)</f>
        <v>3900</v>
      </c>
      <c r="CZ87">
        <f>_xlfn.XLOOKUP(B87,'[10]december-2025'!$A:$A,'[10]december-2025'!$D:$D,0,0)</f>
        <v>0</v>
      </c>
      <c r="DA87">
        <f>_xlfn.XLOOKUP(B87,'[10]december-2025'!$A:$A,'[10]december-2025'!$G:$G,0,0)</f>
        <v>500</v>
      </c>
      <c r="DB87">
        <f>IF(CW87&gt;0,SUM(CW87:DA87),0)</f>
        <v>42750</v>
      </c>
      <c r="DC87">
        <f>_xlfn.XLOOKUP(B87,'[10]december-2025'!$A:$A,'[10]december-2025'!$H:$H,0,0)</f>
        <v>2000</v>
      </c>
      <c r="DD87">
        <f>_xlfn.XLOOKUP(B87,'[10]december-2025'!$A:$A,'[10]december-2025'!$I:$I,0,0)</f>
        <v>0</v>
      </c>
      <c r="DE87">
        <f>IF($F87="YES",0,IF(DB87&gt;40000,200,IF(DB87&gt;25000,150,IF(DB87&gt;15000,130,IF(DB87&gt;10000,110,0)))))</f>
        <v>200</v>
      </c>
      <c r="DF87">
        <f>DB87-DC87-DD87-DE87</f>
        <v>40550</v>
      </c>
      <c r="DG87">
        <f>_xlfn.XLOOKUP(B87,'[11]january-2026'!$A:$A,'[11]january-2026'!$C:$C,0,0)</f>
        <v>32500</v>
      </c>
      <c r="DH87">
        <f>DG87*0.18</f>
        <v>5850</v>
      </c>
      <c r="DI87">
        <f>DG87*0.12</f>
        <v>3900</v>
      </c>
      <c r="DJ87">
        <f>_xlfn.XLOOKUP(B87,'[11]january-2026'!$A:$A,'[11]january-2026'!$D:$D,0,0)</f>
        <v>0</v>
      </c>
      <c r="DK87">
        <f>_xlfn.XLOOKUP(B87,'[11]january-2026'!$A:$A,'[11]january-2026'!$G:$G,0,0)</f>
        <v>500</v>
      </c>
      <c r="DL87">
        <f>IF(DG87&gt;0,SUM(DG87:DK87),0)</f>
        <v>42750</v>
      </c>
      <c r="DM87">
        <f>_xlfn.XLOOKUP(B87,'[11]january-2026'!$A:$A,'[11]january-2026'!$H:$H,0,0)</f>
        <v>2000</v>
      </c>
      <c r="DN87">
        <f>_xlfn.XLOOKUP(B87,'[11]january-2026'!$A:$A,'[11]january-2026'!$I:$I,0,0)</f>
        <v>0</v>
      </c>
      <c r="DO87">
        <f>IF($F87="YES",0,IF(DL87&gt;40000,200,IF(DL87&gt;25000,150,IF(DL87&gt;15000,130,IF(DL87&gt;10000,110,0)))))</f>
        <v>200</v>
      </c>
      <c r="DP87">
        <f>DL87-DM87-DN87-DO87</f>
        <v>40550</v>
      </c>
      <c r="DQ87">
        <f>_xlfn.XLOOKUP(B87,'[12]february-2026'!$A:$A,'[12]february-2026'!$C:$C,0,0)</f>
        <v>32500</v>
      </c>
      <c r="DR87">
        <f>DQ87*0.18</f>
        <v>5850</v>
      </c>
      <c r="DS87">
        <f>DQ87*0.12</f>
        <v>3900</v>
      </c>
      <c r="DT87">
        <f>_xlfn.XLOOKUP(B87,'[12]february-2026'!$A:$A,'[12]february-2026'!$D:$D,0,0)</f>
        <v>0</v>
      </c>
      <c r="DU87">
        <f>_xlfn.XLOOKUP(B87,'[12]february-2026'!$A:$A,'[12]february-2026'!$G:$G,0,0)</f>
        <v>500</v>
      </c>
      <c r="DV87">
        <f>IF(DQ87&gt;0,SUM(DQ87:DU87),0)</f>
        <v>42750</v>
      </c>
      <c r="DW87">
        <f>_xlfn.XLOOKUP(B87,'[12]february-2026'!$A:$A,'[12]february-2026'!$H:$H,0,0)</f>
        <v>2000</v>
      </c>
      <c r="DX87">
        <f>_xlfn.XLOOKUP(B87,'[12]february-2026'!$A:$A,'[12]february-2026'!$I:$I,0,0)</f>
        <v>0</v>
      </c>
      <c r="DY87">
        <f>IF($F87="YES",0,IF(DV87&gt;40000,200,IF(DV87&gt;25000,150,IF(DV87&gt;15000,130,IF(DV87&gt;10000,110,0)))))</f>
        <v>200</v>
      </c>
      <c r="DZ87">
        <f>DV87-DW87-DX87-DY87</f>
        <v>40550</v>
      </c>
      <c r="EA87">
        <f>DV87+DL87+DB87+CR87+CH87+BX87+BN87+BD87+AS87+AI87+Y87+O87+H87+I87</f>
        <v>502080</v>
      </c>
      <c r="EB87">
        <f>DY87+DO87+DE87+CU87+CK87+CA87+BQ87+BG87+AV87+AL87+AB87+R87</f>
        <v>2300</v>
      </c>
      <c r="EC87">
        <f>IF(EA87&gt;0,50000,0)</f>
        <v>50000</v>
      </c>
      <c r="ED87">
        <v>0</v>
      </c>
      <c r="EE87">
        <f>EA87-EB87-EC87</f>
        <v>449780</v>
      </c>
      <c r="EF87">
        <f>DW87+DM87+DC87+CS87+CI87+BY87+BO87+BE87+AT87+AJ87+Z87+P87</f>
        <v>24000</v>
      </c>
      <c r="EG87">
        <f>DX87+DN87+DD87+CT87+CJ87+BZ87+BP87+BF87+AU87+AK87+AA87+Q87</f>
        <v>0</v>
      </c>
      <c r="EH87">
        <v>0</v>
      </c>
      <c r="EI87">
        <v>0</v>
      </c>
      <c r="EJ87">
        <v>0</v>
      </c>
      <c r="EK87">
        <v>0</v>
      </c>
      <c r="EL87">
        <v>0</v>
      </c>
      <c r="EM87">
        <v>0</v>
      </c>
      <c r="EN87">
        <v>0</v>
      </c>
      <c r="EO87">
        <v>0</v>
      </c>
      <c r="EP87">
        <v>0</v>
      </c>
      <c r="EQ87">
        <v>0</v>
      </c>
      <c r="ER87">
        <f>SUM(EF87:EQ87)</f>
        <v>24000</v>
      </c>
      <c r="ES87">
        <f>IF(ER87&gt;=150000,150000,ER87)</f>
        <v>24000</v>
      </c>
      <c r="ET87">
        <f>EE87-ES87</f>
        <v>425780</v>
      </c>
      <c r="EU87">
        <v>0</v>
      </c>
      <c r="EV87">
        <v>0</v>
      </c>
      <c r="EW87">
        <v>0</v>
      </c>
      <c r="EX87">
        <v>0</v>
      </c>
      <c r="EY87">
        <v>0</v>
      </c>
      <c r="EZ87">
        <v>0</v>
      </c>
      <c r="FA87">
        <v>0</v>
      </c>
      <c r="FB87">
        <f>SUM(EU87:FA87)+(IF(F87="YES",50000,0))</f>
        <v>0</v>
      </c>
      <c r="FC87">
        <f>ET87-FB87</f>
        <v>425780</v>
      </c>
      <c r="FD87">
        <f>ROUND(IF(FC87&gt;0,IF(FC87&gt;500000,12500,(FC87-250000)*0.05),0),0)</f>
        <v>8789</v>
      </c>
      <c r="FE87">
        <f>IF(ROUND(IF(FC87&gt;0,IF(FC87&gt;1000000,25000,(FC87-500000)*0.2),0),0)&lt;0,0,ROUND(IF(FC87&gt;0,IF(FC87&gt;1000000,25000,(FC87-500000)*0.2),0),0))</f>
        <v>0</v>
      </c>
      <c r="FF87">
        <f>FD87+FE87</f>
        <v>8789</v>
      </c>
      <c r="FG87">
        <f>IF(FF87&lt;12500,0,FF87)</f>
        <v>0</v>
      </c>
      <c r="FH87">
        <f>FG87*0.04</f>
        <v>0</v>
      </c>
      <c r="FI87">
        <f>ROUND(FH87+FG87,0)</f>
        <v>0</v>
      </c>
      <c r="FJ87">
        <v>0</v>
      </c>
      <c r="FK87">
        <f>FI87-FJ87</f>
        <v>0</v>
      </c>
      <c r="FL87" t="b">
        <f>IF(EA87&gt;500000,TRUE,FALSE)</f>
        <v>1</v>
      </c>
      <c r="FM87">
        <f ca="1">IF(FL87,RANDBETWEEN(500,1000),RANDBETWEEN(1000,3000))</f>
        <v>665</v>
      </c>
      <c r="FN87">
        <f ca="1">EA87+FM87</f>
        <v>502745</v>
      </c>
      <c r="FO87">
        <f>IF(EA87&gt;0,75000,0)</f>
        <v>75000</v>
      </c>
      <c r="FP87">
        <f ca="1">FN87-FO87</f>
        <v>427745</v>
      </c>
      <c r="FQ87">
        <f ca="1">IF(FP87&gt;2400000,FP87-2400000,0)</f>
        <v>0</v>
      </c>
      <c r="FR87">
        <f ca="1">FQ87*0.3</f>
        <v>0</v>
      </c>
      <c r="FS87">
        <f ca="1">IF(FP87&gt;2000000,FP87-2000000,0)</f>
        <v>0</v>
      </c>
      <c r="FT87">
        <f ca="1">FS87*0.25</f>
        <v>0</v>
      </c>
      <c r="FU87">
        <f ca="1">IF(FP87&gt;1600000,FP87-1600000-FQ87,0)</f>
        <v>0</v>
      </c>
      <c r="FV87">
        <f ca="1">FU87*0.2</f>
        <v>0</v>
      </c>
      <c r="FW87">
        <f ca="1">IF(FP87&gt;1200000,FP87-1200000-IF(F87="YES",50000,0)-FU87,0)</f>
        <v>0</v>
      </c>
      <c r="FX87">
        <f ca="1">FW87*0.15</f>
        <v>0</v>
      </c>
      <c r="FY87">
        <f ca="1">IF(FP87&gt;800000,FP87-800000-FQ87-FU87-FW87,0)</f>
        <v>0</v>
      </c>
      <c r="FZ87">
        <f ca="1">FY87*0.1</f>
        <v>0</v>
      </c>
      <c r="GA87">
        <f ca="1">IF(FP87&gt;400000,FP87-400000-FQ87-FU87-FW87-FY87,0)</f>
        <v>27745</v>
      </c>
      <c r="GB87">
        <f ca="1">GA87*0.05</f>
        <v>1387.25</v>
      </c>
      <c r="GC87">
        <f ca="1">ROUND(FR87+FT87+FV87+FX87+FZ87+GB87,0)</f>
        <v>1387</v>
      </c>
      <c r="GD87">
        <f ca="1">IF(FP87&gt;1200000,FP87,0)</f>
        <v>0</v>
      </c>
      <c r="GE87">
        <f ca="1">IF(FP87&gt;1200000,GD87-1200000,0)</f>
        <v>0</v>
      </c>
      <c r="GF87">
        <f ca="1">IF(FP87&lt;1200001,MIN(GC87,60000),0)</f>
        <v>1387</v>
      </c>
      <c r="GG87">
        <f ca="1">IF(FP87&gt;1200000,GC87-GE87,0)</f>
        <v>0</v>
      </c>
      <c r="GH87" t="b">
        <f ca="1">IF(GG87&gt;0,TRUE,FALSE)</f>
        <v>0</v>
      </c>
      <c r="GI87">
        <f ca="1">IF(GH87,GG87,0)</f>
        <v>0</v>
      </c>
      <c r="GJ87">
        <f ca="1">GF87+GI87</f>
        <v>1387</v>
      </c>
      <c r="GK87">
        <f ca="1">ROUND(GC87-GJ87,0)</f>
        <v>0</v>
      </c>
      <c r="GL87">
        <f ca="1">GK87*0.04</f>
        <v>0</v>
      </c>
      <c r="GM87">
        <f ca="1">ROUNDUP(GK87+GL87,0)</f>
        <v>0</v>
      </c>
    </row>
    <row r="88" spans="1:195" x14ac:dyDescent="0.25">
      <c r="A88">
        <f>_xlfn.AGGREGATE(3,5,$B$2:B88)</f>
        <v>87</v>
      </c>
      <c r="B88" t="s">
        <v>294</v>
      </c>
      <c r="C88" t="s">
        <v>295</v>
      </c>
      <c r="D88" t="s">
        <v>776</v>
      </c>
      <c r="E88" t="s">
        <v>833</v>
      </c>
      <c r="F88" t="s">
        <v>959</v>
      </c>
      <c r="G88" t="s">
        <v>916</v>
      </c>
      <c r="H88">
        <f>IF(_xlfn.DAYS("31-03-2025",G88)&gt;=180,6800,0)</f>
        <v>6800</v>
      </c>
      <c r="I88">
        <f>_xlfn.XLOOKUP(B88,'[1]march-2025'!$A:$A,'[1]march-2025'!$J:$J,0,0)</f>
        <v>0</v>
      </c>
      <c r="J88">
        <f>_xlfn.XLOOKUP(B88,'[1]march-2025'!$A:$A,'[1]march-2025'!$C:$C,0,0)</f>
        <v>55400</v>
      </c>
      <c r="K88">
        <f>J88*0.14</f>
        <v>7756.0000000000009</v>
      </c>
      <c r="L88">
        <f>J88*0.12</f>
        <v>6648</v>
      </c>
      <c r="M88">
        <f>_xlfn.XLOOKUP(B88,'[1]march-2025'!$A:$A,'[1]march-2025'!$D:$D,0,0)</f>
        <v>400</v>
      </c>
      <c r="N88">
        <f>_xlfn.XLOOKUP(B88,'[1]march-2025'!$A:$A,'[1]march-2025'!$G:$G,0,0)</f>
        <v>500</v>
      </c>
      <c r="O88">
        <f>IF(J88&gt;0,SUM(J88:N88),0)</f>
        <v>70704</v>
      </c>
      <c r="P88">
        <f>_xlfn.XLOOKUP(B88,'[1]march-2025'!$A:$A,'[1]march-2025'!$H:$H,0,0)</f>
        <v>5000</v>
      </c>
      <c r="Q88">
        <f>_xlfn.XLOOKUP(B88,'[1]march-2025'!$A:$A,'[1]march-2025'!$I:$I,0,0)</f>
        <v>0</v>
      </c>
      <c r="R88">
        <f>IF($F88="YES",0,IF(O88&gt;40000,200,IF(O88&gt;25000,150,IF(O88&gt;15000,130,IF(O88&gt;10000,110,0)))))</f>
        <v>200</v>
      </c>
      <c r="S88">
        <f>O88-P88-Q88-R88</f>
        <v>65504</v>
      </c>
      <c r="T88">
        <f>_xlfn.XLOOKUP(B88,'[2]april-2025'!$A:$A,'[2]april-2025'!$C:$C,0,0)</f>
        <v>55400</v>
      </c>
      <c r="U88">
        <f>T88*0.18</f>
        <v>9972</v>
      </c>
      <c r="V88">
        <f>T88*0.12</f>
        <v>6648</v>
      </c>
      <c r="W88">
        <f>_xlfn.XLOOKUP(B88,'[2]april-2025'!$A:$A,'[2]april-2025'!$D:$D,0,0)</f>
        <v>400</v>
      </c>
      <c r="X88">
        <f>_xlfn.XLOOKUP(B88,'[2]april-2025'!$A:$A,'[2]april-2025'!$G:$G,0,0)</f>
        <v>500</v>
      </c>
      <c r="Y88">
        <f>IF(T88&gt;0,SUM(T88:X88),0)</f>
        <v>72920</v>
      </c>
      <c r="Z88">
        <f>_xlfn.XLOOKUP(B88,'[2]april-2025'!$A:$A,'[2]april-2025'!$H:$H,0,0)</f>
        <v>5000</v>
      </c>
      <c r="AA88">
        <f>_xlfn.XLOOKUP(B88,'[2]april-2025'!$A:$A,'[2]april-2025'!$I:$I,0,0)</f>
        <v>0</v>
      </c>
      <c r="AB88">
        <f>IF($F88="YES",0,IF(Y88&gt;40000,200,IF(Y88&gt;25000,150,IF(Y88&gt;15000,130,IF(Y88&gt;10000,110,0)))))</f>
        <v>200</v>
      </c>
      <c r="AC88">
        <f>Y88-Z88-AA88-AB88</f>
        <v>67720</v>
      </c>
      <c r="AD88">
        <f>_xlfn.XLOOKUP(B88,'[3]may-2025'!$A:$A,'[3]may-2025'!$C:$C,0,0)</f>
        <v>55400</v>
      </c>
      <c r="AE88">
        <f>AD88*0.18</f>
        <v>9972</v>
      </c>
      <c r="AF88">
        <f>AD88*0.12</f>
        <v>6648</v>
      </c>
      <c r="AG88">
        <f>_xlfn.XLOOKUP(B88,'[3]may-2025'!$A:$A,'[3]may-2025'!$D:$D,0,0)</f>
        <v>400</v>
      </c>
      <c r="AH88">
        <f>_xlfn.XLOOKUP(B88,'[3]may-2025'!$A:$A,'[3]may-2025'!$G:$G,0,0)</f>
        <v>500</v>
      </c>
      <c r="AI88">
        <f>IF(AD88&gt;0,SUM(AD88:AH88),0)</f>
        <v>72920</v>
      </c>
      <c r="AJ88">
        <f>_xlfn.XLOOKUP(B88,'[3]may-2025'!$A:$A,'[3]may-2025'!$H:$H,0,0)</f>
        <v>5000</v>
      </c>
      <c r="AK88">
        <f>_xlfn.XLOOKUP(B88,'[3]may-2025'!$A:$A,'[3]may-2025'!$I:$I,0,0)</f>
        <v>0</v>
      </c>
      <c r="AL88">
        <f>IF($F88="YES",0,IF(AI88&gt;40000,200,IF(AI88&gt;25000,150,IF(AI88&gt;15000,130,IF(AI88&gt;10000,110,0)))))</f>
        <v>200</v>
      </c>
      <c r="AM88">
        <f>AI88-AJ88-AK88-AL88</f>
        <v>67720</v>
      </c>
      <c r="AN88">
        <f>_xlfn.XLOOKUP(B88,'[4]june-2025'!$A:$A,'[4]june-2025'!$C:$C,0,0)</f>
        <v>55400</v>
      </c>
      <c r="AO88">
        <f>AN88*0.18</f>
        <v>9972</v>
      </c>
      <c r="AP88">
        <f>AN88*0.12</f>
        <v>6648</v>
      </c>
      <c r="AQ88">
        <f>_xlfn.XLOOKUP(B88,'[4]june-2025'!$A:$A,'[4]june-2025'!$D:$D,0,0)</f>
        <v>400</v>
      </c>
      <c r="AR88">
        <f>_xlfn.XLOOKUP(B88,'[4]june-2025'!$A:$A,'[4]june-2025'!$G:$G,0,0)</f>
        <v>500</v>
      </c>
      <c r="AS88">
        <f>IF(AN88&gt;0,SUM(AN88:AR88),0)</f>
        <v>72920</v>
      </c>
      <c r="AT88">
        <f>_xlfn.XLOOKUP(B88,'[4]june-2025'!$A:$A,'[4]june-2025'!$H:$H,0,0)</f>
        <v>5000</v>
      </c>
      <c r="AU88">
        <f>_xlfn.XLOOKUP(B88,'[4]june-2025'!$A:$A,'[4]june-2025'!$I:$I,0,0)</f>
        <v>0</v>
      </c>
      <c r="AV88">
        <f>IF($F88="YES",0,IF(AS88&gt;40000,200,IF(AS88&gt;25000,150,IF(AS88&gt;15000,130,IF(AS88&gt;10000,110,0)))))</f>
        <v>200</v>
      </c>
      <c r="AW88">
        <f>AS88-AT88-AU88-AV88</f>
        <v>67720</v>
      </c>
      <c r="AX88">
        <f>_xlfn.XLOOKUP(B88,'[5]july-2025'!$A:$A,'[5]july-2025'!$C:$C,0,0)</f>
        <v>57100</v>
      </c>
      <c r="AY88">
        <f>AX88*0.18</f>
        <v>10278</v>
      </c>
      <c r="AZ88">
        <v>0</v>
      </c>
      <c r="BA88">
        <f>AX88*0.12</f>
        <v>6852</v>
      </c>
      <c r="BB88">
        <f>_xlfn.XLOOKUP(B88,'[5]july-2025'!$A:$A,'[5]july-2025'!$D:$D,0,0)</f>
        <v>400</v>
      </c>
      <c r="BC88">
        <f>_xlfn.XLOOKUP(B88,'[5]july-2025'!$A:$A,'[5]july-2025'!$G:$G,0,0)</f>
        <v>500</v>
      </c>
      <c r="BD88">
        <f>IF(AX88&gt;0,SUM(AX88:BC88),0)</f>
        <v>75130</v>
      </c>
      <c r="BE88">
        <f>_xlfn.XLOOKUP(B88,'[5]july-2025'!$A:$A,'[5]july-2025'!$H:$H,0,0)</f>
        <v>5000</v>
      </c>
      <c r="BF88">
        <f>_xlfn.XLOOKUP(B88,'[5]july-2025'!$A:$A,'[5]july-2025'!$I:$I,0,0)</f>
        <v>0</v>
      </c>
      <c r="BG88">
        <f>IF($F88="YES",0,IF(BD88&gt;40000,200,IF(BD88&gt;25000,150,IF(BD88&gt;15000,130,IF(BD88&gt;10000,110,0)))))</f>
        <v>200</v>
      </c>
      <c r="BH88">
        <f>BD88-BE88-BF88-BG88</f>
        <v>69930</v>
      </c>
      <c r="BI88">
        <f>_xlfn.XLOOKUP(B88,'[6]august-2025'!$A:$A,'[6]august-2025'!$C:$C,0,0)</f>
        <v>57100</v>
      </c>
      <c r="BJ88">
        <f>BI88*0.18</f>
        <v>10278</v>
      </c>
      <c r="BK88">
        <f>BI88*0.12</f>
        <v>6852</v>
      </c>
      <c r="BL88">
        <f>_xlfn.XLOOKUP(B88,'[6]august-2025'!$A:$A,'[6]august-2025'!$D:$D,0,0)</f>
        <v>400</v>
      </c>
      <c r="BM88">
        <f>_xlfn.XLOOKUP(B88,'[6]august-2025'!$A:$A,'[6]august-2025'!$G:$G,0,0)</f>
        <v>500</v>
      </c>
      <c r="BN88">
        <f>IF(BI88&gt;0,SUM(BI88:BM88),0)</f>
        <v>75130</v>
      </c>
      <c r="BO88">
        <f>_xlfn.XLOOKUP(B88,'[6]august-2025'!$A:$A,'[6]august-2025'!$H:$H,0,0)</f>
        <v>5000</v>
      </c>
      <c r="BP88">
        <f>_xlfn.XLOOKUP(B88,'[6]august-2025'!$A:$A,'[6]august-2025'!$I:$I,0,0)</f>
        <v>0</v>
      </c>
      <c r="BQ88">
        <f>IF($F88="YES",0,IF(BN88&gt;40000,200,IF(BN88&gt;25000,150,IF(BN88&gt;15000,130,IF(BN88&gt;10000,110,0)))))</f>
        <v>200</v>
      </c>
      <c r="BR88">
        <f>BN88-BO88-BP88-BQ88</f>
        <v>69930</v>
      </c>
      <c r="BS88">
        <f>_xlfn.XLOOKUP(B88,'[7]september-2025'!$A:$A,'[7]september-2025'!$C:$C,0,0)</f>
        <v>57100</v>
      </c>
      <c r="BT88">
        <f>BS88*0.18</f>
        <v>10278</v>
      </c>
      <c r="BU88">
        <f>BS88*0.12</f>
        <v>6852</v>
      </c>
      <c r="BV88">
        <f>_xlfn.XLOOKUP(B88,'[7]september-2025'!$A:$A,'[7]september-2025'!$D:$D,0,0)</f>
        <v>400</v>
      </c>
      <c r="BW88">
        <f>_xlfn.XLOOKUP(B88,'[7]september-2025'!$A:$A,'[7]september-2025'!$G:$G,0,0)</f>
        <v>500</v>
      </c>
      <c r="BX88">
        <f>IF(BS88&gt;0,SUM(BS88:BW88),0)</f>
        <v>75130</v>
      </c>
      <c r="BY88">
        <f>_xlfn.XLOOKUP(B88,'[7]september-2025'!$A:$A,'[7]september-2025'!$H:$H,0,0)</f>
        <v>5000</v>
      </c>
      <c r="BZ88">
        <f>_xlfn.XLOOKUP(B88,'[7]september-2025'!$A:$A,'[7]september-2025'!$I:$I,0,0)</f>
        <v>0</v>
      </c>
      <c r="CA88">
        <f>IF($F88="YES",0,IF(BX88&gt;40000,200,IF(BX88&gt;25000,150,IF(BX88&gt;15000,130,IF(BX88&gt;10000,110,0)))))</f>
        <v>200</v>
      </c>
      <c r="CB88">
        <f>BX88-BY88-BZ88-CA88</f>
        <v>69930</v>
      </c>
      <c r="CC88">
        <f>_xlfn.XLOOKUP(B88,'[8]october-2025'!$A:$A,'[8]october-2025'!$C:$C,0,0)</f>
        <v>57100</v>
      </c>
      <c r="CD88">
        <f>CC88*0.18</f>
        <v>10278</v>
      </c>
      <c r="CE88">
        <f>CC88*0.12</f>
        <v>6852</v>
      </c>
      <c r="CF88">
        <f>_xlfn.XLOOKUP(B88,'[8]october-2025'!$A:$A,'[8]october-2025'!$D:$D,0,0)</f>
        <v>400</v>
      </c>
      <c r="CG88">
        <f>_xlfn.XLOOKUP(B88,'[8]october-2025'!$A:$A,'[8]october-2025'!$G:$G,0,0)</f>
        <v>500</v>
      </c>
      <c r="CH88">
        <f>IF(CC88&gt;0,SUM(CC88:CG88),0)</f>
        <v>75130</v>
      </c>
      <c r="CI88">
        <f>_xlfn.XLOOKUP(B88,'[8]october-2025'!$A:$A,'[8]october-2025'!$H:$H,0,0)</f>
        <v>5000</v>
      </c>
      <c r="CJ88">
        <f>_xlfn.XLOOKUP(B88,'[8]october-2025'!$A:$A,'[8]october-2025'!$I:$I,0,0)</f>
        <v>0</v>
      </c>
      <c r="CK88">
        <f>IF($F88="YES",0,IF(CH88&gt;40000,200,IF(CH88&gt;25000,150,IF(CH88&gt;15000,130,IF(CH88&gt;10000,110,0)))))</f>
        <v>200</v>
      </c>
      <c r="CL88">
        <f>CH88-CI88-CJ88-CK88</f>
        <v>69930</v>
      </c>
      <c r="CM88">
        <f>_xlfn.XLOOKUP(B88,'[9]november-2025'!$A:$A,'[9]november-2025'!$C:$C,0,0)</f>
        <v>57100</v>
      </c>
      <c r="CN88">
        <f>CM88*0.18</f>
        <v>10278</v>
      </c>
      <c r="CO88">
        <f>CM88*0.12</f>
        <v>6852</v>
      </c>
      <c r="CP88">
        <f>_xlfn.XLOOKUP(B88,'[9]november-2025'!$A:$A,'[9]november-2025'!$D:$D,0,0)</f>
        <v>400</v>
      </c>
      <c r="CQ88">
        <f>_xlfn.XLOOKUP(B88,'[9]november-2025'!$A:$A,'[9]november-2025'!$G:$G,0,0)</f>
        <v>500</v>
      </c>
      <c r="CR88">
        <f>IF(CM88&gt;0,SUM(CM88:CQ88),0)</f>
        <v>75130</v>
      </c>
      <c r="CS88">
        <f>_xlfn.XLOOKUP(B88,'[9]november-2025'!$A:$A,'[9]november-2025'!$H:$H,0,0)</f>
        <v>5000</v>
      </c>
      <c r="CT88">
        <f>_xlfn.XLOOKUP(B88,'[9]november-2025'!$A:$A,'[9]november-2025'!$I:$I,0,0)</f>
        <v>0</v>
      </c>
      <c r="CU88">
        <f>IF($F88="YES",0,IF(CR88&gt;40000,200,IF(CR88&gt;25000,150,IF(CR88&gt;15000,130,IF(CR88&gt;10000,110,0)))))</f>
        <v>200</v>
      </c>
      <c r="CV88">
        <f>CR88-CS88-CT88-CU88</f>
        <v>69930</v>
      </c>
      <c r="CW88">
        <f>_xlfn.XLOOKUP(B88,'[10]december-2025'!$A:$A,'[10]december-2025'!$C:$C,0,0)</f>
        <v>57100</v>
      </c>
      <c r="CX88">
        <f>ROUND(CW88*0.18,0)</f>
        <v>10278</v>
      </c>
      <c r="CY88">
        <f>ROUND(CW88*0.12,0)</f>
        <v>6852</v>
      </c>
      <c r="CZ88">
        <f>_xlfn.XLOOKUP(B88,'[10]december-2025'!$A:$A,'[10]december-2025'!$D:$D,0,0)</f>
        <v>400</v>
      </c>
      <c r="DA88">
        <f>_xlfn.XLOOKUP(B88,'[10]december-2025'!$A:$A,'[10]december-2025'!$G:$G,0,0)</f>
        <v>500</v>
      </c>
      <c r="DB88">
        <f>IF(CW88&gt;0,SUM(CW88:DA88),0)</f>
        <v>75130</v>
      </c>
      <c r="DC88">
        <f>_xlfn.XLOOKUP(B88,'[10]december-2025'!$A:$A,'[10]december-2025'!$H:$H,0,0)</f>
        <v>5000</v>
      </c>
      <c r="DD88">
        <f>_xlfn.XLOOKUP(B88,'[10]december-2025'!$A:$A,'[10]december-2025'!$I:$I,0,0)</f>
        <v>0</v>
      </c>
      <c r="DE88">
        <f>IF($F88="YES",0,IF(DB88&gt;40000,200,IF(DB88&gt;25000,150,IF(DB88&gt;15000,130,IF(DB88&gt;10000,110,0)))))</f>
        <v>200</v>
      </c>
      <c r="DF88">
        <f>DB88-DC88-DD88-DE88</f>
        <v>69930</v>
      </c>
      <c r="DG88">
        <f>_xlfn.XLOOKUP(B88,'[11]january-2026'!$A:$A,'[11]january-2026'!$C:$C,0,0)</f>
        <v>57100</v>
      </c>
      <c r="DH88">
        <f>DG88*0.18</f>
        <v>10278</v>
      </c>
      <c r="DI88">
        <f>DG88*0.12</f>
        <v>6852</v>
      </c>
      <c r="DJ88">
        <f>_xlfn.XLOOKUP(B88,'[11]january-2026'!$A:$A,'[11]january-2026'!$D:$D,0,0)</f>
        <v>400</v>
      </c>
      <c r="DK88">
        <f>_xlfn.XLOOKUP(B88,'[11]january-2026'!$A:$A,'[11]january-2026'!$G:$G,0,0)</f>
        <v>500</v>
      </c>
      <c r="DL88">
        <f>IF(DG88&gt;0,SUM(DG88:DK88),0)</f>
        <v>75130</v>
      </c>
      <c r="DM88">
        <f>_xlfn.XLOOKUP(B88,'[11]january-2026'!$A:$A,'[11]january-2026'!$H:$H,0,0)</f>
        <v>5000</v>
      </c>
      <c r="DN88">
        <f>_xlfn.XLOOKUP(B88,'[11]january-2026'!$A:$A,'[11]january-2026'!$I:$I,0,0)</f>
        <v>0</v>
      </c>
      <c r="DO88">
        <f>IF($F88="YES",0,IF(DL88&gt;40000,200,IF(DL88&gt;25000,150,IF(DL88&gt;15000,130,IF(DL88&gt;10000,110,0)))))</f>
        <v>200</v>
      </c>
      <c r="DP88">
        <f>DL88-DM88-DN88-DO88</f>
        <v>69930</v>
      </c>
      <c r="DQ88">
        <f>_xlfn.XLOOKUP(B88,'[12]february-2026'!$A:$A,'[12]february-2026'!$C:$C,0,0)</f>
        <v>57100</v>
      </c>
      <c r="DR88">
        <f>DQ88*0.18</f>
        <v>10278</v>
      </c>
      <c r="DS88">
        <f>DQ88*0.12</f>
        <v>6852</v>
      </c>
      <c r="DT88">
        <f>_xlfn.XLOOKUP(B88,'[12]february-2026'!$A:$A,'[12]february-2026'!$D:$D,0,0)</f>
        <v>400</v>
      </c>
      <c r="DU88">
        <f>_xlfn.XLOOKUP(B88,'[12]february-2026'!$A:$A,'[12]february-2026'!$G:$G,0,0)</f>
        <v>500</v>
      </c>
      <c r="DV88">
        <f>IF(DQ88&gt;0,SUM(DQ88:DU88),0)</f>
        <v>75130</v>
      </c>
      <c r="DW88">
        <f>_xlfn.XLOOKUP(B88,'[12]february-2026'!$A:$A,'[12]february-2026'!$H:$H,0,0)</f>
        <v>5000</v>
      </c>
      <c r="DX88">
        <f>_xlfn.XLOOKUP(B88,'[12]february-2026'!$A:$A,'[12]february-2026'!$I:$I,0,0)</f>
        <v>0</v>
      </c>
      <c r="DY88">
        <f>IF($F88="YES",0,IF(DV88&gt;40000,200,IF(DV88&gt;25000,150,IF(DV88&gt;15000,130,IF(DV88&gt;10000,110,0)))))</f>
        <v>200</v>
      </c>
      <c r="DZ88">
        <f>DV88-DW88-DX88-DY88</f>
        <v>69930</v>
      </c>
      <c r="EA88">
        <f>DV88+DL88+DB88+CR88+CH88+BX88+BN88+BD88+AS88+AI88+Y88+O88+H88+I88</f>
        <v>897304</v>
      </c>
      <c r="EB88">
        <f>DY88+DO88+DE88+CU88+CK88+CA88+BQ88+BG88+AV88+AL88+AB88+R88</f>
        <v>2400</v>
      </c>
      <c r="EC88">
        <f>IF(EA88&gt;0,50000,0)</f>
        <v>50000</v>
      </c>
      <c r="ED88">
        <v>0</v>
      </c>
      <c r="EE88">
        <f>EA88-EB88-EC88</f>
        <v>844904</v>
      </c>
      <c r="EF88">
        <f>DW88+DM88+DC88+CS88+CI88+BY88+BO88+BE88+AT88+AJ88+Z88+P88</f>
        <v>60000</v>
      </c>
      <c r="EG88">
        <f>DX88+DN88+DD88+CT88+CJ88+BZ88+BP88+BF88+AU88+AK88+AA88+Q88</f>
        <v>0</v>
      </c>
      <c r="EH88">
        <v>0</v>
      </c>
      <c r="EI88">
        <v>0</v>
      </c>
      <c r="EJ88">
        <v>0</v>
      </c>
      <c r="EK88">
        <v>0</v>
      </c>
      <c r="EL88">
        <v>0</v>
      </c>
      <c r="EM88">
        <v>0</v>
      </c>
      <c r="EN88">
        <v>0</v>
      </c>
      <c r="EO88">
        <v>0</v>
      </c>
      <c r="EP88">
        <v>0</v>
      </c>
      <c r="EQ88">
        <v>0</v>
      </c>
      <c r="ER88">
        <f>SUM(EF88:EQ88)</f>
        <v>60000</v>
      </c>
      <c r="ES88">
        <f>IF(ER88&gt;=150000,150000,ER88)</f>
        <v>60000</v>
      </c>
      <c r="ET88">
        <f>EE88-ES88</f>
        <v>784904</v>
      </c>
      <c r="EU88">
        <v>0</v>
      </c>
      <c r="EV88">
        <v>0</v>
      </c>
      <c r="EW88">
        <v>0</v>
      </c>
      <c r="EX88">
        <v>0</v>
      </c>
      <c r="EY88">
        <v>0</v>
      </c>
      <c r="EZ88">
        <v>0</v>
      </c>
      <c r="FA88">
        <v>0</v>
      </c>
      <c r="FB88">
        <f>SUM(EU88:FA88)+(IF(F88="YES",50000,0))</f>
        <v>0</v>
      </c>
      <c r="FC88">
        <f>ET88-FB88</f>
        <v>784904</v>
      </c>
      <c r="FD88">
        <f>ROUND(IF(FC88&gt;0,IF(FC88&gt;500000,12500,(FC88-250000)*0.05),0),0)</f>
        <v>12500</v>
      </c>
      <c r="FE88">
        <f>IF(ROUND(IF(FC88&gt;0,IF(FC88&gt;1000000,25000,(FC88-500000)*0.2),0),0)&lt;0,0,ROUND(IF(FC88&gt;0,IF(FC88&gt;1000000,25000,(FC88-500000)*0.2),0),0))</f>
        <v>56981</v>
      </c>
      <c r="FF88">
        <f>FD88+FE88</f>
        <v>69481</v>
      </c>
      <c r="FG88">
        <f>IF(FF88&lt;12500,0,FF88)</f>
        <v>69481</v>
      </c>
      <c r="FH88">
        <f>FG88*0.04</f>
        <v>2779.2400000000002</v>
      </c>
      <c r="FI88">
        <f>ROUND(FH88+FG88,0)</f>
        <v>72260</v>
      </c>
      <c r="FJ88">
        <v>0</v>
      </c>
      <c r="FK88">
        <f>FI88-FJ88</f>
        <v>72260</v>
      </c>
      <c r="FL88" t="b">
        <f>IF(EA88&gt;500000,TRUE,FALSE)</f>
        <v>1</v>
      </c>
      <c r="FM88">
        <f ca="1">IF(FL88,RANDBETWEEN(500,1000),RANDBETWEEN(1000,3000))</f>
        <v>529</v>
      </c>
      <c r="FN88">
        <f ca="1">EA88+FM88</f>
        <v>897833</v>
      </c>
      <c r="FO88">
        <f>IF(EA88&gt;0,75000,0)</f>
        <v>75000</v>
      </c>
      <c r="FP88">
        <f ca="1">FN88-FO88</f>
        <v>822833</v>
      </c>
      <c r="FQ88">
        <f ca="1">IF(FP88&gt;2400000,FP88-2400000,0)</f>
        <v>0</v>
      </c>
      <c r="FR88">
        <f ca="1">FQ88*0.3</f>
        <v>0</v>
      </c>
      <c r="FS88">
        <f ca="1">IF(FP88&gt;2000000,FP88-2000000,0)</f>
        <v>0</v>
      </c>
      <c r="FT88">
        <f ca="1">FS88*0.25</f>
        <v>0</v>
      </c>
      <c r="FU88">
        <f ca="1">IF(FP88&gt;1600000,FP88-1600000-FQ88,0)</f>
        <v>0</v>
      </c>
      <c r="FV88">
        <f ca="1">FU88*0.2</f>
        <v>0</v>
      </c>
      <c r="FW88">
        <f ca="1">IF(FP88&gt;1200000,FP88-1200000-IF(F88="YES",50000,0)-FU88,0)</f>
        <v>0</v>
      </c>
      <c r="FX88">
        <f ca="1">FW88*0.15</f>
        <v>0</v>
      </c>
      <c r="FY88">
        <f ca="1">IF(FP88&gt;800000,FP88-800000-FQ88-FU88-FW88,0)</f>
        <v>22833</v>
      </c>
      <c r="FZ88">
        <f ca="1">FY88*0.1</f>
        <v>2283.3000000000002</v>
      </c>
      <c r="GA88">
        <f ca="1">IF(FP88&gt;400000,FP88-400000-FQ88-FU88-FW88-FY88,0)</f>
        <v>400000</v>
      </c>
      <c r="GB88">
        <f ca="1">GA88*0.05</f>
        <v>20000</v>
      </c>
      <c r="GC88">
        <f ca="1">ROUND(FR88+FT88+FV88+FX88+FZ88+GB88,0)</f>
        <v>22283</v>
      </c>
      <c r="GD88">
        <f ca="1">IF(FP88&gt;1200000,FP88,0)</f>
        <v>0</v>
      </c>
      <c r="GE88">
        <f ca="1">IF(FP88&gt;1200000,GD88-1200000,0)</f>
        <v>0</v>
      </c>
      <c r="GF88">
        <f ca="1">IF(FP88&lt;1200001,MIN(GC88,60000),0)</f>
        <v>22283</v>
      </c>
      <c r="GG88">
        <f ca="1">IF(FP88&gt;1200000,GC88-GE88,0)</f>
        <v>0</v>
      </c>
      <c r="GH88" t="b">
        <f ca="1">IF(GG88&gt;0,TRUE,FALSE)</f>
        <v>0</v>
      </c>
      <c r="GI88">
        <f ca="1">IF(GH88,GG88,0)</f>
        <v>0</v>
      </c>
      <c r="GJ88">
        <f ca="1">GF88+GI88</f>
        <v>22283</v>
      </c>
      <c r="GK88">
        <f ca="1">ROUND(GC88-GJ88,0)</f>
        <v>0</v>
      </c>
      <c r="GL88">
        <f ca="1">GK88*0.04</f>
        <v>0</v>
      </c>
      <c r="GM88">
        <f ca="1">ROUNDUP(GK88+GL88,0)</f>
        <v>0</v>
      </c>
    </row>
    <row r="89" spans="1:195" x14ac:dyDescent="0.25">
      <c r="A89">
        <f>_xlfn.AGGREGATE(3,5,$B$2:B89)</f>
        <v>88</v>
      </c>
      <c r="B89" t="s">
        <v>296</v>
      </c>
      <c r="C89" t="s">
        <v>297</v>
      </c>
      <c r="D89" t="s">
        <v>776</v>
      </c>
      <c r="E89" t="s">
        <v>833</v>
      </c>
      <c r="F89" t="s">
        <v>959</v>
      </c>
      <c r="G89" t="s">
        <v>878</v>
      </c>
      <c r="H89">
        <f>IF(_xlfn.DAYS("31-03-2025",G89)&gt;=180,6800,0)</f>
        <v>6800</v>
      </c>
      <c r="I89">
        <f>_xlfn.XLOOKUP(B89,'[1]march-2025'!$A:$A,'[1]march-2025'!$J:$J,0,0)</f>
        <v>0</v>
      </c>
      <c r="J89">
        <f>_xlfn.XLOOKUP(B89,'[1]march-2025'!$A:$A,'[1]march-2025'!$C:$C,0,0)</f>
        <v>47300</v>
      </c>
      <c r="K89">
        <f>J89*0.14</f>
        <v>6622.0000000000009</v>
      </c>
      <c r="L89">
        <f>J89*0.12</f>
        <v>5676</v>
      </c>
      <c r="M89">
        <f>_xlfn.XLOOKUP(B89,'[1]march-2025'!$A:$A,'[1]march-2025'!$D:$D,0,0)</f>
        <v>0</v>
      </c>
      <c r="N89">
        <f>_xlfn.XLOOKUP(B89,'[1]march-2025'!$A:$A,'[1]march-2025'!$G:$G,0,0)</f>
        <v>500</v>
      </c>
      <c r="O89">
        <f>IF(J89&gt;0,SUM(J89:N89),0)</f>
        <v>60098</v>
      </c>
      <c r="P89">
        <f>_xlfn.XLOOKUP(B89,'[1]march-2025'!$A:$A,'[1]march-2025'!$H:$H,0,0)</f>
        <v>3000</v>
      </c>
      <c r="Q89">
        <f>_xlfn.XLOOKUP(B89,'[1]march-2025'!$A:$A,'[1]march-2025'!$I:$I,0,0)</f>
        <v>60</v>
      </c>
      <c r="R89">
        <f>IF($F89="YES",0,IF(O89&gt;40000,200,IF(O89&gt;25000,150,IF(O89&gt;15000,130,IF(O89&gt;10000,110,0)))))</f>
        <v>200</v>
      </c>
      <c r="S89">
        <f>O89-P89-Q89-R89</f>
        <v>56838</v>
      </c>
      <c r="T89">
        <f>_xlfn.XLOOKUP(B89,'[2]april-2025'!$A:$A,'[2]april-2025'!$C:$C,0,0)</f>
        <v>47300</v>
      </c>
      <c r="U89">
        <f>T89*0.18</f>
        <v>8514</v>
      </c>
      <c r="V89">
        <f>T89*0.12</f>
        <v>5676</v>
      </c>
      <c r="W89">
        <f>_xlfn.XLOOKUP(B89,'[2]april-2025'!$A:$A,'[2]april-2025'!$D:$D,0,0)</f>
        <v>0</v>
      </c>
      <c r="X89">
        <f>_xlfn.XLOOKUP(B89,'[2]april-2025'!$A:$A,'[2]april-2025'!$G:$G,0,0)</f>
        <v>500</v>
      </c>
      <c r="Y89">
        <f>IF(T89&gt;0,SUM(T89:X89),0)</f>
        <v>61990</v>
      </c>
      <c r="Z89">
        <f>_xlfn.XLOOKUP(B89,'[2]april-2025'!$A:$A,'[2]april-2025'!$H:$H,0,0)</f>
        <v>3000</v>
      </c>
      <c r="AA89">
        <f>_xlfn.XLOOKUP(B89,'[2]april-2025'!$A:$A,'[2]april-2025'!$I:$I,0,0)</f>
        <v>60</v>
      </c>
      <c r="AB89">
        <f>IF($F89="YES",0,IF(Y89&gt;40000,200,IF(Y89&gt;25000,150,IF(Y89&gt;15000,130,IF(Y89&gt;10000,110,0)))))</f>
        <v>200</v>
      </c>
      <c r="AC89">
        <f>Y89-Z89-AA89-AB89</f>
        <v>58730</v>
      </c>
      <c r="AD89">
        <f>_xlfn.XLOOKUP(B89,'[3]may-2025'!$A:$A,'[3]may-2025'!$C:$C,0,0)</f>
        <v>47300</v>
      </c>
      <c r="AE89">
        <f>AD89*0.18</f>
        <v>8514</v>
      </c>
      <c r="AF89">
        <f>AD89*0.12</f>
        <v>5676</v>
      </c>
      <c r="AG89">
        <f>_xlfn.XLOOKUP(B89,'[3]may-2025'!$A:$A,'[3]may-2025'!$D:$D,0,0)</f>
        <v>0</v>
      </c>
      <c r="AH89">
        <f>_xlfn.XLOOKUP(B89,'[3]may-2025'!$A:$A,'[3]may-2025'!$G:$G,0,0)</f>
        <v>500</v>
      </c>
      <c r="AI89">
        <f>IF(AD89&gt;0,SUM(AD89:AH89),0)</f>
        <v>61990</v>
      </c>
      <c r="AJ89">
        <f>_xlfn.XLOOKUP(B89,'[3]may-2025'!$A:$A,'[3]may-2025'!$H:$H,0,0)</f>
        <v>3000</v>
      </c>
      <c r="AK89">
        <f>_xlfn.XLOOKUP(B89,'[3]may-2025'!$A:$A,'[3]may-2025'!$I:$I,0,0)</f>
        <v>60</v>
      </c>
      <c r="AL89">
        <f>IF($F89="YES",0,IF(AI89&gt;40000,200,IF(AI89&gt;25000,150,IF(AI89&gt;15000,130,IF(AI89&gt;10000,110,0)))))</f>
        <v>200</v>
      </c>
      <c r="AM89">
        <f>AI89-AJ89-AK89-AL89</f>
        <v>58730</v>
      </c>
      <c r="AN89">
        <f>_xlfn.XLOOKUP(B89,'[4]june-2025'!$A:$A,'[4]june-2025'!$C:$C,0,0)</f>
        <v>47300</v>
      </c>
      <c r="AO89">
        <f>AN89*0.18</f>
        <v>8514</v>
      </c>
      <c r="AP89">
        <f>AN89*0.12</f>
        <v>5676</v>
      </c>
      <c r="AQ89">
        <f>_xlfn.XLOOKUP(B89,'[4]june-2025'!$A:$A,'[4]june-2025'!$D:$D,0,0)</f>
        <v>0</v>
      </c>
      <c r="AR89">
        <f>_xlfn.XLOOKUP(B89,'[4]june-2025'!$A:$A,'[4]june-2025'!$G:$G,0,0)</f>
        <v>500</v>
      </c>
      <c r="AS89">
        <f>IF(AN89&gt;0,SUM(AN89:AR89),0)</f>
        <v>61990</v>
      </c>
      <c r="AT89">
        <f>_xlfn.XLOOKUP(B89,'[4]june-2025'!$A:$A,'[4]june-2025'!$H:$H,0,0)</f>
        <v>3000</v>
      </c>
      <c r="AU89">
        <f>_xlfn.XLOOKUP(B89,'[4]june-2025'!$A:$A,'[4]june-2025'!$I:$I,0,0)</f>
        <v>60</v>
      </c>
      <c r="AV89">
        <f>IF($F89="YES",0,IF(AS89&gt;40000,200,IF(AS89&gt;25000,150,IF(AS89&gt;15000,130,IF(AS89&gt;10000,110,0)))))</f>
        <v>200</v>
      </c>
      <c r="AW89">
        <f>AS89-AT89-AU89-AV89</f>
        <v>58730</v>
      </c>
      <c r="AX89">
        <f>_xlfn.XLOOKUP(B89,'[5]july-2025'!$A:$A,'[5]july-2025'!$C:$C,0,0)</f>
        <v>48700</v>
      </c>
      <c r="AY89">
        <f>AX89*0.18</f>
        <v>8766</v>
      </c>
      <c r="AZ89">
        <v>0</v>
      </c>
      <c r="BA89">
        <f>AX89*0.12</f>
        <v>5844</v>
      </c>
      <c r="BB89">
        <f>_xlfn.XLOOKUP(B89,'[5]july-2025'!$A:$A,'[5]july-2025'!$D:$D,0,0)</f>
        <v>0</v>
      </c>
      <c r="BC89">
        <f>_xlfn.XLOOKUP(B89,'[5]july-2025'!$A:$A,'[5]july-2025'!$G:$G,0,0)</f>
        <v>500</v>
      </c>
      <c r="BD89">
        <f>IF(AX89&gt;0,SUM(AX89:BC89),0)</f>
        <v>63810</v>
      </c>
      <c r="BE89">
        <f>_xlfn.XLOOKUP(B89,'[5]july-2025'!$A:$A,'[5]july-2025'!$H:$H,0,0)</f>
        <v>3000</v>
      </c>
      <c r="BF89">
        <f>_xlfn.XLOOKUP(B89,'[5]july-2025'!$A:$A,'[5]july-2025'!$I:$I,0,0)</f>
        <v>60</v>
      </c>
      <c r="BG89">
        <f>IF($F89="YES",0,IF(BD89&gt;40000,200,IF(BD89&gt;25000,150,IF(BD89&gt;15000,130,IF(BD89&gt;10000,110,0)))))</f>
        <v>200</v>
      </c>
      <c r="BH89">
        <f>BD89-BE89-BF89-BG89</f>
        <v>60550</v>
      </c>
      <c r="BI89">
        <f>_xlfn.XLOOKUP(B89,'[6]august-2025'!$A:$A,'[6]august-2025'!$C:$C,0,0)</f>
        <v>48700</v>
      </c>
      <c r="BJ89">
        <f>BI89*0.18</f>
        <v>8766</v>
      </c>
      <c r="BK89">
        <f>BI89*0.12</f>
        <v>5844</v>
      </c>
      <c r="BL89">
        <f>_xlfn.XLOOKUP(B89,'[6]august-2025'!$A:$A,'[6]august-2025'!$D:$D,0,0)</f>
        <v>0</v>
      </c>
      <c r="BM89">
        <f>_xlfn.XLOOKUP(B89,'[6]august-2025'!$A:$A,'[6]august-2025'!$G:$G,0,0)</f>
        <v>500</v>
      </c>
      <c r="BN89">
        <f>IF(BI89&gt;0,SUM(BI89:BM89),0)</f>
        <v>63810</v>
      </c>
      <c r="BO89">
        <f>_xlfn.XLOOKUP(B89,'[6]august-2025'!$A:$A,'[6]august-2025'!$H:$H,0,0)</f>
        <v>3000</v>
      </c>
      <c r="BP89">
        <f>_xlfn.XLOOKUP(B89,'[6]august-2025'!$A:$A,'[6]august-2025'!$I:$I,0,0)</f>
        <v>60</v>
      </c>
      <c r="BQ89">
        <f>IF($F89="YES",0,IF(BN89&gt;40000,200,IF(BN89&gt;25000,150,IF(BN89&gt;15000,130,IF(BN89&gt;10000,110,0)))))</f>
        <v>200</v>
      </c>
      <c r="BR89">
        <f>BN89-BO89-BP89-BQ89</f>
        <v>60550</v>
      </c>
      <c r="BS89">
        <f>_xlfn.XLOOKUP(B89,'[7]september-2025'!$A:$A,'[7]september-2025'!$C:$C,0,0)</f>
        <v>48700</v>
      </c>
      <c r="BT89">
        <f>BS89*0.18</f>
        <v>8766</v>
      </c>
      <c r="BU89">
        <f>BS89*0.12</f>
        <v>5844</v>
      </c>
      <c r="BV89">
        <f>_xlfn.XLOOKUP(B89,'[7]september-2025'!$A:$A,'[7]september-2025'!$D:$D,0,0)</f>
        <v>0</v>
      </c>
      <c r="BW89">
        <f>_xlfn.XLOOKUP(B89,'[7]september-2025'!$A:$A,'[7]september-2025'!$G:$G,0,0)</f>
        <v>500</v>
      </c>
      <c r="BX89">
        <f>IF(BS89&gt;0,SUM(BS89:BW89),0)</f>
        <v>63810</v>
      </c>
      <c r="BY89">
        <f>_xlfn.XLOOKUP(B89,'[7]september-2025'!$A:$A,'[7]september-2025'!$H:$H,0,0)</f>
        <v>3000</v>
      </c>
      <c r="BZ89">
        <f>_xlfn.XLOOKUP(B89,'[7]september-2025'!$A:$A,'[7]september-2025'!$I:$I,0,0)</f>
        <v>60</v>
      </c>
      <c r="CA89">
        <f>IF($F89="YES",0,IF(BX89&gt;40000,200,IF(BX89&gt;25000,150,IF(BX89&gt;15000,130,IF(BX89&gt;10000,110,0)))))</f>
        <v>200</v>
      </c>
      <c r="CB89">
        <f>BX89-BY89-BZ89-CA89</f>
        <v>60550</v>
      </c>
      <c r="CC89">
        <f>_xlfn.XLOOKUP(B89,'[8]october-2025'!$A:$A,'[8]october-2025'!$C:$C,0,0)</f>
        <v>48700</v>
      </c>
      <c r="CD89">
        <f>CC89*0.18</f>
        <v>8766</v>
      </c>
      <c r="CE89">
        <f>CC89*0.12</f>
        <v>5844</v>
      </c>
      <c r="CF89">
        <f>_xlfn.XLOOKUP(B89,'[8]october-2025'!$A:$A,'[8]october-2025'!$D:$D,0,0)</f>
        <v>0</v>
      </c>
      <c r="CG89">
        <f>_xlfn.XLOOKUP(B89,'[8]october-2025'!$A:$A,'[8]october-2025'!$G:$G,0,0)</f>
        <v>500</v>
      </c>
      <c r="CH89">
        <f>IF(CC89&gt;0,SUM(CC89:CG89),0)</f>
        <v>63810</v>
      </c>
      <c r="CI89">
        <f>_xlfn.XLOOKUP(B89,'[8]october-2025'!$A:$A,'[8]october-2025'!$H:$H,0,0)</f>
        <v>3000</v>
      </c>
      <c r="CJ89">
        <f>_xlfn.XLOOKUP(B89,'[8]october-2025'!$A:$A,'[8]october-2025'!$I:$I,0,0)</f>
        <v>60</v>
      </c>
      <c r="CK89">
        <f>IF($F89="YES",0,IF(CH89&gt;40000,200,IF(CH89&gt;25000,150,IF(CH89&gt;15000,130,IF(CH89&gt;10000,110,0)))))</f>
        <v>200</v>
      </c>
      <c r="CL89">
        <f>CH89-CI89-CJ89-CK89</f>
        <v>60550</v>
      </c>
      <c r="CM89">
        <f>_xlfn.XLOOKUP(B89,'[9]november-2025'!$A:$A,'[9]november-2025'!$C:$C,0,0)</f>
        <v>48700</v>
      </c>
      <c r="CN89">
        <f>CM89*0.18</f>
        <v>8766</v>
      </c>
      <c r="CO89">
        <f>CM89*0.12</f>
        <v>5844</v>
      </c>
      <c r="CP89">
        <f>_xlfn.XLOOKUP(B89,'[9]november-2025'!$A:$A,'[9]november-2025'!$D:$D,0,0)</f>
        <v>0</v>
      </c>
      <c r="CQ89">
        <f>_xlfn.XLOOKUP(B89,'[9]november-2025'!$A:$A,'[9]november-2025'!$G:$G,0,0)</f>
        <v>500</v>
      </c>
      <c r="CR89">
        <f>IF(CM89&gt;0,SUM(CM89:CQ89),0)</f>
        <v>63810</v>
      </c>
      <c r="CS89">
        <f>_xlfn.XLOOKUP(B89,'[9]november-2025'!$A:$A,'[9]november-2025'!$H:$H,0,0)</f>
        <v>3000</v>
      </c>
      <c r="CT89">
        <f>_xlfn.XLOOKUP(B89,'[9]november-2025'!$A:$A,'[9]november-2025'!$I:$I,0,0)</f>
        <v>60</v>
      </c>
      <c r="CU89">
        <f>IF($F89="YES",0,IF(CR89&gt;40000,200,IF(CR89&gt;25000,150,IF(CR89&gt;15000,130,IF(CR89&gt;10000,110,0)))))</f>
        <v>200</v>
      </c>
      <c r="CV89">
        <f>CR89-CS89-CT89-CU89</f>
        <v>60550</v>
      </c>
      <c r="CW89">
        <f>_xlfn.XLOOKUP(B89,'[10]december-2025'!$A:$A,'[10]december-2025'!$C:$C,0,0)</f>
        <v>48700</v>
      </c>
      <c r="CX89">
        <f>ROUND(CW89*0.18,0)</f>
        <v>8766</v>
      </c>
      <c r="CY89">
        <f>ROUND(CW89*0.12,0)</f>
        <v>5844</v>
      </c>
      <c r="CZ89">
        <f>_xlfn.XLOOKUP(B89,'[10]december-2025'!$A:$A,'[10]december-2025'!$D:$D,0,0)</f>
        <v>0</v>
      </c>
      <c r="DA89">
        <f>_xlfn.XLOOKUP(B89,'[10]december-2025'!$A:$A,'[10]december-2025'!$G:$G,0,0)</f>
        <v>500</v>
      </c>
      <c r="DB89">
        <f>IF(CW89&gt;0,SUM(CW89:DA89),0)</f>
        <v>63810</v>
      </c>
      <c r="DC89">
        <f>_xlfn.XLOOKUP(B89,'[10]december-2025'!$A:$A,'[10]december-2025'!$H:$H,0,0)</f>
        <v>3000</v>
      </c>
      <c r="DD89">
        <f>_xlfn.XLOOKUP(B89,'[10]december-2025'!$A:$A,'[10]december-2025'!$I:$I,0,0)</f>
        <v>60</v>
      </c>
      <c r="DE89">
        <f>IF($F89="YES",0,IF(DB89&gt;40000,200,IF(DB89&gt;25000,150,IF(DB89&gt;15000,130,IF(DB89&gt;10000,110,0)))))</f>
        <v>200</v>
      </c>
      <c r="DF89">
        <f>DB89-DC89-DD89-DE89</f>
        <v>60550</v>
      </c>
      <c r="DG89">
        <f>_xlfn.XLOOKUP(B89,'[11]january-2026'!$A:$A,'[11]january-2026'!$C:$C,0,0)</f>
        <v>48700</v>
      </c>
      <c r="DH89">
        <f>DG89*0.18</f>
        <v>8766</v>
      </c>
      <c r="DI89">
        <f>DG89*0.12</f>
        <v>5844</v>
      </c>
      <c r="DJ89">
        <f>_xlfn.XLOOKUP(B89,'[11]january-2026'!$A:$A,'[11]january-2026'!$D:$D,0,0)</f>
        <v>0</v>
      </c>
      <c r="DK89">
        <f>_xlfn.XLOOKUP(B89,'[11]january-2026'!$A:$A,'[11]january-2026'!$G:$G,0,0)</f>
        <v>500</v>
      </c>
      <c r="DL89">
        <f>IF(DG89&gt;0,SUM(DG89:DK89),0)</f>
        <v>63810</v>
      </c>
      <c r="DM89">
        <f>_xlfn.XLOOKUP(B89,'[11]january-2026'!$A:$A,'[11]january-2026'!$H:$H,0,0)</f>
        <v>3000</v>
      </c>
      <c r="DN89">
        <f>_xlfn.XLOOKUP(B89,'[11]january-2026'!$A:$A,'[11]january-2026'!$I:$I,0,0)</f>
        <v>60</v>
      </c>
      <c r="DO89">
        <f>IF($F89="YES",0,IF(DL89&gt;40000,200,IF(DL89&gt;25000,150,IF(DL89&gt;15000,130,IF(DL89&gt;10000,110,0)))))</f>
        <v>200</v>
      </c>
      <c r="DP89">
        <f>DL89-DM89-DN89-DO89</f>
        <v>60550</v>
      </c>
      <c r="DQ89">
        <f>_xlfn.XLOOKUP(B89,'[12]february-2026'!$A:$A,'[12]february-2026'!$C:$C,0,0)</f>
        <v>48700</v>
      </c>
      <c r="DR89">
        <f>DQ89*0.18</f>
        <v>8766</v>
      </c>
      <c r="DS89">
        <f>DQ89*0.12</f>
        <v>5844</v>
      </c>
      <c r="DT89">
        <f>_xlfn.XLOOKUP(B89,'[12]february-2026'!$A:$A,'[12]february-2026'!$D:$D,0,0)</f>
        <v>0</v>
      </c>
      <c r="DU89">
        <f>_xlfn.XLOOKUP(B89,'[12]february-2026'!$A:$A,'[12]february-2026'!$G:$G,0,0)</f>
        <v>500</v>
      </c>
      <c r="DV89">
        <f>IF(DQ89&gt;0,SUM(DQ89:DU89),0)</f>
        <v>63810</v>
      </c>
      <c r="DW89">
        <f>_xlfn.XLOOKUP(B89,'[12]february-2026'!$A:$A,'[12]february-2026'!$H:$H,0,0)</f>
        <v>3000</v>
      </c>
      <c r="DX89">
        <f>_xlfn.XLOOKUP(B89,'[12]february-2026'!$A:$A,'[12]february-2026'!$I:$I,0,0)</f>
        <v>60</v>
      </c>
      <c r="DY89">
        <f>IF($F89="YES",0,IF(DV89&gt;40000,200,IF(DV89&gt;25000,150,IF(DV89&gt;15000,130,IF(DV89&gt;10000,110,0)))))</f>
        <v>200</v>
      </c>
      <c r="DZ89">
        <f>DV89-DW89-DX89-DY89</f>
        <v>60550</v>
      </c>
      <c r="EA89">
        <f>DV89+DL89+DB89+CR89+CH89+BX89+BN89+BD89+AS89+AI89+Y89+O89+H89+I89</f>
        <v>763348</v>
      </c>
      <c r="EB89">
        <f>DY89+DO89+DE89+CU89+CK89+CA89+BQ89+BG89+AV89+AL89+AB89+R89</f>
        <v>2400</v>
      </c>
      <c r="EC89">
        <f>IF(EA89&gt;0,50000,0)</f>
        <v>50000</v>
      </c>
      <c r="ED89">
        <v>0</v>
      </c>
      <c r="EE89">
        <f>EA89-EB89-EC89</f>
        <v>710948</v>
      </c>
      <c r="EF89">
        <f>DW89+DM89+DC89+CS89+CI89+BY89+BO89+BE89+AT89+AJ89+Z89+P89</f>
        <v>36000</v>
      </c>
      <c r="EG89">
        <f>DX89+DN89+DD89+CT89+CJ89+BZ89+BP89+BF89+AU89+AK89+AA89+Q89</f>
        <v>720</v>
      </c>
      <c r="EH89">
        <v>0</v>
      </c>
      <c r="EI89">
        <v>0</v>
      </c>
      <c r="EJ89">
        <v>0</v>
      </c>
      <c r="EK89">
        <v>0</v>
      </c>
      <c r="EL89">
        <v>0</v>
      </c>
      <c r="EM89">
        <v>0</v>
      </c>
      <c r="EN89">
        <v>0</v>
      </c>
      <c r="EO89">
        <v>0</v>
      </c>
      <c r="EP89">
        <v>0</v>
      </c>
      <c r="EQ89">
        <v>0</v>
      </c>
      <c r="ER89">
        <f>SUM(EF89:EQ89)</f>
        <v>36720</v>
      </c>
      <c r="ES89">
        <f>IF(ER89&gt;=150000,150000,ER89)</f>
        <v>36720</v>
      </c>
      <c r="ET89">
        <f>EE89-ES89</f>
        <v>674228</v>
      </c>
      <c r="EU89">
        <v>0</v>
      </c>
      <c r="EV89">
        <v>0</v>
      </c>
      <c r="EW89">
        <v>0</v>
      </c>
      <c r="EX89">
        <v>0</v>
      </c>
      <c r="EY89">
        <v>0</v>
      </c>
      <c r="EZ89">
        <v>0</v>
      </c>
      <c r="FA89">
        <v>0</v>
      </c>
      <c r="FB89">
        <f>SUM(EU89:FA89)+(IF(F89="YES",50000,0))</f>
        <v>0</v>
      </c>
      <c r="FC89">
        <f>ET89-FB89</f>
        <v>674228</v>
      </c>
      <c r="FD89">
        <f>ROUND(IF(FC89&gt;0,IF(FC89&gt;500000,12500,(FC89-250000)*0.05),0),0)</f>
        <v>12500</v>
      </c>
      <c r="FE89">
        <f>IF(ROUND(IF(FC89&gt;0,IF(FC89&gt;1000000,25000,(FC89-500000)*0.2),0),0)&lt;0,0,ROUND(IF(FC89&gt;0,IF(FC89&gt;1000000,25000,(FC89-500000)*0.2),0),0))</f>
        <v>34846</v>
      </c>
      <c r="FF89">
        <f>FD89+FE89</f>
        <v>47346</v>
      </c>
      <c r="FG89">
        <f>IF(FF89&lt;12500,0,FF89)</f>
        <v>47346</v>
      </c>
      <c r="FH89">
        <f>FG89*0.04</f>
        <v>1893.8400000000001</v>
      </c>
      <c r="FI89">
        <f>ROUND(FH89+FG89,0)</f>
        <v>49240</v>
      </c>
      <c r="FJ89">
        <v>0</v>
      </c>
      <c r="FK89">
        <f>FI89-FJ89</f>
        <v>49240</v>
      </c>
      <c r="FL89" t="b">
        <f>IF(EA89&gt;500000,TRUE,FALSE)</f>
        <v>1</v>
      </c>
      <c r="FM89">
        <f ca="1">IF(FL89,RANDBETWEEN(500,1000),RANDBETWEEN(1000,3000))</f>
        <v>886</v>
      </c>
      <c r="FN89">
        <f ca="1">EA89+FM89</f>
        <v>764234</v>
      </c>
      <c r="FO89">
        <f>IF(EA89&gt;0,75000,0)</f>
        <v>75000</v>
      </c>
      <c r="FP89">
        <f ca="1">FN89-FO89</f>
        <v>689234</v>
      </c>
      <c r="FQ89">
        <f ca="1">IF(FP89&gt;2400000,FP89-2400000,0)</f>
        <v>0</v>
      </c>
      <c r="FR89">
        <f ca="1">FQ89*0.3</f>
        <v>0</v>
      </c>
      <c r="FS89">
        <f ca="1">IF(FP89&gt;2000000,FP89-2000000,0)</f>
        <v>0</v>
      </c>
      <c r="FT89">
        <f ca="1">FS89*0.25</f>
        <v>0</v>
      </c>
      <c r="FU89">
        <f ca="1">IF(FP89&gt;1600000,FP89-1600000-FQ89,0)</f>
        <v>0</v>
      </c>
      <c r="FV89">
        <f ca="1">FU89*0.2</f>
        <v>0</v>
      </c>
      <c r="FW89">
        <f ca="1">IF(FP89&gt;1200000,FP89-1200000-IF(F89="YES",50000,0)-FU89,0)</f>
        <v>0</v>
      </c>
      <c r="FX89">
        <f ca="1">FW89*0.15</f>
        <v>0</v>
      </c>
      <c r="FY89">
        <f ca="1">IF(FP89&gt;800000,FP89-800000-FQ89-FU89-FW89,0)</f>
        <v>0</v>
      </c>
      <c r="FZ89">
        <f ca="1">FY89*0.1</f>
        <v>0</v>
      </c>
      <c r="GA89">
        <f ca="1">IF(FP89&gt;400000,FP89-400000-FQ89-FU89-FW89-FY89,0)</f>
        <v>289234</v>
      </c>
      <c r="GB89">
        <f ca="1">GA89*0.05</f>
        <v>14461.7</v>
      </c>
      <c r="GC89">
        <f ca="1">ROUND(FR89+FT89+FV89+FX89+FZ89+GB89,0)</f>
        <v>14462</v>
      </c>
      <c r="GD89">
        <f ca="1">IF(FP89&gt;1200000,FP89,0)</f>
        <v>0</v>
      </c>
      <c r="GE89">
        <f ca="1">IF(FP89&gt;1200000,GD89-1200000,0)</f>
        <v>0</v>
      </c>
      <c r="GF89">
        <f ca="1">IF(FP89&lt;1200001,MIN(GC89,60000),0)</f>
        <v>14462</v>
      </c>
      <c r="GG89">
        <f ca="1">IF(FP89&gt;1200000,GC89-GE89,0)</f>
        <v>0</v>
      </c>
      <c r="GH89" t="b">
        <f ca="1">IF(GG89&gt;0,TRUE,FALSE)</f>
        <v>0</v>
      </c>
      <c r="GI89">
        <f ca="1">IF(GH89,GG89,0)</f>
        <v>0</v>
      </c>
      <c r="GJ89">
        <f ca="1">GF89+GI89</f>
        <v>14462</v>
      </c>
      <c r="GK89">
        <f ca="1">ROUND(GC89-GJ89,0)</f>
        <v>0</v>
      </c>
      <c r="GL89">
        <f ca="1">GK89*0.04</f>
        <v>0</v>
      </c>
      <c r="GM89">
        <f ca="1">ROUNDUP(GK89+GL89,0)</f>
        <v>0</v>
      </c>
    </row>
    <row r="90" spans="1:195" x14ac:dyDescent="0.25">
      <c r="A90">
        <f>_xlfn.AGGREGATE(3,5,$B$2:B90)</f>
        <v>89</v>
      </c>
      <c r="B90" t="s">
        <v>298</v>
      </c>
      <c r="C90" t="s">
        <v>299</v>
      </c>
      <c r="D90" t="s">
        <v>776</v>
      </c>
      <c r="E90" t="s">
        <v>833</v>
      </c>
      <c r="F90" t="s">
        <v>959</v>
      </c>
      <c r="G90" t="s">
        <v>880</v>
      </c>
      <c r="H90">
        <f>IF(_xlfn.DAYS("31-03-2025",G90)&gt;=180,6800,0)</f>
        <v>6800</v>
      </c>
      <c r="I90">
        <f>_xlfn.XLOOKUP(B90,'[1]march-2025'!$A:$A,'[1]march-2025'!$J:$J,0,0)</f>
        <v>0</v>
      </c>
      <c r="J90">
        <f>_xlfn.XLOOKUP(B90,'[1]march-2025'!$A:$A,'[1]march-2025'!$C:$C,0,0)</f>
        <v>35500</v>
      </c>
      <c r="K90">
        <f>J90*0.14</f>
        <v>4970.0000000000009</v>
      </c>
      <c r="L90">
        <f>J90*0.12</f>
        <v>4260</v>
      </c>
      <c r="M90">
        <f>_xlfn.XLOOKUP(B90,'[1]march-2025'!$A:$A,'[1]march-2025'!$D:$D,0,0)</f>
        <v>0</v>
      </c>
      <c r="N90">
        <f>_xlfn.XLOOKUP(B90,'[1]march-2025'!$A:$A,'[1]march-2025'!$G:$G,0,0)</f>
        <v>500</v>
      </c>
      <c r="O90">
        <f>IF(J90&gt;0,SUM(J90:N90),0)</f>
        <v>45230</v>
      </c>
      <c r="P90">
        <f>_xlfn.XLOOKUP(B90,'[1]march-2025'!$A:$A,'[1]march-2025'!$H:$H,0,0)</f>
        <v>3000</v>
      </c>
      <c r="Q90">
        <f>_xlfn.XLOOKUP(B90,'[1]march-2025'!$A:$A,'[1]march-2025'!$I:$I,0,0)</f>
        <v>0</v>
      </c>
      <c r="R90">
        <f>IF($F90="YES",0,IF(O90&gt;40000,200,IF(O90&gt;25000,150,IF(O90&gt;15000,130,IF(O90&gt;10000,110,0)))))</f>
        <v>200</v>
      </c>
      <c r="S90">
        <f>O90-P90-Q90-R90</f>
        <v>42030</v>
      </c>
      <c r="T90">
        <f>_xlfn.XLOOKUP(B90,'[2]april-2025'!$A:$A,'[2]april-2025'!$C:$C,0,0)</f>
        <v>35500</v>
      </c>
      <c r="U90">
        <f>T90*0.18</f>
        <v>6390</v>
      </c>
      <c r="V90">
        <f>T90*0.12</f>
        <v>4260</v>
      </c>
      <c r="W90">
        <f>_xlfn.XLOOKUP(B90,'[2]april-2025'!$A:$A,'[2]april-2025'!$D:$D,0,0)</f>
        <v>0</v>
      </c>
      <c r="X90">
        <f>_xlfn.XLOOKUP(B90,'[2]april-2025'!$A:$A,'[2]april-2025'!$G:$G,0,0)</f>
        <v>500</v>
      </c>
      <c r="Y90">
        <f>IF(T90&gt;0,SUM(T90:X90),0)</f>
        <v>46650</v>
      </c>
      <c r="Z90">
        <f>_xlfn.XLOOKUP(B90,'[2]april-2025'!$A:$A,'[2]april-2025'!$H:$H,0,0)</f>
        <v>3000</v>
      </c>
      <c r="AA90">
        <f>_xlfn.XLOOKUP(B90,'[2]april-2025'!$A:$A,'[2]april-2025'!$I:$I,0,0)</f>
        <v>0</v>
      </c>
      <c r="AB90">
        <f>IF($F90="YES",0,IF(Y90&gt;40000,200,IF(Y90&gt;25000,150,IF(Y90&gt;15000,130,IF(Y90&gt;10000,110,0)))))</f>
        <v>200</v>
      </c>
      <c r="AC90">
        <f>Y90-Z90-AA90-AB90</f>
        <v>43450</v>
      </c>
      <c r="AD90">
        <f>_xlfn.XLOOKUP(B90,'[3]may-2025'!$A:$A,'[3]may-2025'!$C:$C,0,0)</f>
        <v>35500</v>
      </c>
      <c r="AE90">
        <f>AD90*0.18</f>
        <v>6390</v>
      </c>
      <c r="AF90">
        <f>AD90*0.12</f>
        <v>4260</v>
      </c>
      <c r="AG90">
        <f>_xlfn.XLOOKUP(B90,'[3]may-2025'!$A:$A,'[3]may-2025'!$D:$D,0,0)</f>
        <v>0</v>
      </c>
      <c r="AH90">
        <f>_xlfn.XLOOKUP(B90,'[3]may-2025'!$A:$A,'[3]may-2025'!$G:$G,0,0)</f>
        <v>500</v>
      </c>
      <c r="AI90">
        <f>IF(AD90&gt;0,SUM(AD90:AH90),0)</f>
        <v>46650</v>
      </c>
      <c r="AJ90">
        <f>_xlfn.XLOOKUP(B90,'[3]may-2025'!$A:$A,'[3]may-2025'!$H:$H,0,0)</f>
        <v>3000</v>
      </c>
      <c r="AK90">
        <f>_xlfn.XLOOKUP(B90,'[3]may-2025'!$A:$A,'[3]may-2025'!$I:$I,0,0)</f>
        <v>0</v>
      </c>
      <c r="AL90">
        <f>IF($F90="YES",0,IF(AI90&gt;40000,200,IF(AI90&gt;25000,150,IF(AI90&gt;15000,130,IF(AI90&gt;10000,110,0)))))</f>
        <v>200</v>
      </c>
      <c r="AM90">
        <f>AI90-AJ90-AK90-AL90</f>
        <v>43450</v>
      </c>
      <c r="AN90">
        <f>_xlfn.XLOOKUP(B90,'[4]june-2025'!$A:$A,'[4]june-2025'!$C:$C,0,0)</f>
        <v>35500</v>
      </c>
      <c r="AO90">
        <f>AN90*0.18</f>
        <v>6390</v>
      </c>
      <c r="AP90">
        <f>AN90*0.12</f>
        <v>4260</v>
      </c>
      <c r="AQ90">
        <f>_xlfn.XLOOKUP(B90,'[4]june-2025'!$A:$A,'[4]june-2025'!$D:$D,0,0)</f>
        <v>0</v>
      </c>
      <c r="AR90">
        <f>_xlfn.XLOOKUP(B90,'[4]june-2025'!$A:$A,'[4]june-2025'!$G:$G,0,0)</f>
        <v>500</v>
      </c>
      <c r="AS90">
        <f>IF(AN90&gt;0,SUM(AN90:AR90),0)</f>
        <v>46650</v>
      </c>
      <c r="AT90">
        <f>_xlfn.XLOOKUP(B90,'[4]june-2025'!$A:$A,'[4]june-2025'!$H:$H,0,0)</f>
        <v>3000</v>
      </c>
      <c r="AU90">
        <f>_xlfn.XLOOKUP(B90,'[4]june-2025'!$A:$A,'[4]june-2025'!$I:$I,0,0)</f>
        <v>0</v>
      </c>
      <c r="AV90">
        <f>IF($F90="YES",0,IF(AS90&gt;40000,200,IF(AS90&gt;25000,150,IF(AS90&gt;15000,130,IF(AS90&gt;10000,110,0)))))</f>
        <v>200</v>
      </c>
      <c r="AW90">
        <f>AS90-AT90-AU90-AV90</f>
        <v>43450</v>
      </c>
      <c r="AX90">
        <f>_xlfn.XLOOKUP(B90,'[5]july-2025'!$A:$A,'[5]july-2025'!$C:$C,0,0)</f>
        <v>36600</v>
      </c>
      <c r="AY90">
        <f>AX90*0.18</f>
        <v>6588</v>
      </c>
      <c r="AZ90">
        <v>0</v>
      </c>
      <c r="BA90">
        <f>AX90*0.12</f>
        <v>4392</v>
      </c>
      <c r="BB90">
        <f>_xlfn.XLOOKUP(B90,'[5]july-2025'!$A:$A,'[5]july-2025'!$D:$D,0,0)</f>
        <v>0</v>
      </c>
      <c r="BC90">
        <f>_xlfn.XLOOKUP(B90,'[5]july-2025'!$A:$A,'[5]july-2025'!$G:$G,0,0)</f>
        <v>500</v>
      </c>
      <c r="BD90">
        <f>IF(AX90&gt;0,SUM(AX90:BC90),0)</f>
        <v>48080</v>
      </c>
      <c r="BE90">
        <f>_xlfn.XLOOKUP(B90,'[5]july-2025'!$A:$A,'[5]july-2025'!$H:$H,0,0)</f>
        <v>3000</v>
      </c>
      <c r="BF90">
        <f>_xlfn.XLOOKUP(B90,'[5]july-2025'!$A:$A,'[5]july-2025'!$I:$I,0,0)</f>
        <v>0</v>
      </c>
      <c r="BG90">
        <f>IF($F90="YES",0,IF(BD90&gt;40000,200,IF(BD90&gt;25000,150,IF(BD90&gt;15000,130,IF(BD90&gt;10000,110,0)))))</f>
        <v>200</v>
      </c>
      <c r="BH90">
        <f>BD90-BE90-BF90-BG90</f>
        <v>44880</v>
      </c>
      <c r="BI90">
        <f>_xlfn.XLOOKUP(B90,'[6]august-2025'!$A:$A,'[6]august-2025'!$C:$C,0,0)</f>
        <v>36600</v>
      </c>
      <c r="BJ90">
        <f>BI90*0.18</f>
        <v>6588</v>
      </c>
      <c r="BK90">
        <f>BI90*0.12</f>
        <v>4392</v>
      </c>
      <c r="BL90">
        <f>_xlfn.XLOOKUP(B90,'[6]august-2025'!$A:$A,'[6]august-2025'!$D:$D,0,0)</f>
        <v>0</v>
      </c>
      <c r="BM90">
        <f>_xlfn.XLOOKUP(B90,'[6]august-2025'!$A:$A,'[6]august-2025'!$G:$G,0,0)</f>
        <v>500</v>
      </c>
      <c r="BN90">
        <f>IF(BI90&gt;0,SUM(BI90:BM90),0)</f>
        <v>48080</v>
      </c>
      <c r="BO90">
        <f>_xlfn.XLOOKUP(B90,'[6]august-2025'!$A:$A,'[6]august-2025'!$H:$H,0,0)</f>
        <v>3000</v>
      </c>
      <c r="BP90">
        <f>_xlfn.XLOOKUP(B90,'[6]august-2025'!$A:$A,'[6]august-2025'!$I:$I,0,0)</f>
        <v>0</v>
      </c>
      <c r="BQ90">
        <f>IF($F90="YES",0,IF(BN90&gt;40000,200,IF(BN90&gt;25000,150,IF(BN90&gt;15000,130,IF(BN90&gt;10000,110,0)))))</f>
        <v>200</v>
      </c>
      <c r="BR90">
        <f>BN90-BO90-BP90-BQ90</f>
        <v>44880</v>
      </c>
      <c r="BS90">
        <f>_xlfn.XLOOKUP(B90,'[7]september-2025'!$A:$A,'[7]september-2025'!$C:$C,0,0)</f>
        <v>36600</v>
      </c>
      <c r="BT90">
        <f>BS90*0.18</f>
        <v>6588</v>
      </c>
      <c r="BU90">
        <f>BS90*0.12</f>
        <v>4392</v>
      </c>
      <c r="BV90">
        <f>_xlfn.XLOOKUP(B90,'[7]september-2025'!$A:$A,'[7]september-2025'!$D:$D,0,0)</f>
        <v>0</v>
      </c>
      <c r="BW90">
        <f>_xlfn.XLOOKUP(B90,'[7]september-2025'!$A:$A,'[7]september-2025'!$G:$G,0,0)</f>
        <v>500</v>
      </c>
      <c r="BX90">
        <f>IF(BS90&gt;0,SUM(BS90:BW90),0)</f>
        <v>48080</v>
      </c>
      <c r="BY90">
        <f>_xlfn.XLOOKUP(B90,'[7]september-2025'!$A:$A,'[7]september-2025'!$H:$H,0,0)</f>
        <v>3000</v>
      </c>
      <c r="BZ90">
        <f>_xlfn.XLOOKUP(B90,'[7]september-2025'!$A:$A,'[7]september-2025'!$I:$I,0,0)</f>
        <v>0</v>
      </c>
      <c r="CA90">
        <f>IF($F90="YES",0,IF(BX90&gt;40000,200,IF(BX90&gt;25000,150,IF(BX90&gt;15000,130,IF(BX90&gt;10000,110,0)))))</f>
        <v>200</v>
      </c>
      <c r="CB90">
        <f>BX90-BY90-BZ90-CA90</f>
        <v>44880</v>
      </c>
      <c r="CC90">
        <f>_xlfn.XLOOKUP(B90,'[8]october-2025'!$A:$A,'[8]october-2025'!$C:$C,0,0)</f>
        <v>36600</v>
      </c>
      <c r="CD90">
        <f>CC90*0.18</f>
        <v>6588</v>
      </c>
      <c r="CE90">
        <f>CC90*0.12</f>
        <v>4392</v>
      </c>
      <c r="CF90">
        <f>_xlfn.XLOOKUP(B90,'[8]october-2025'!$A:$A,'[8]october-2025'!$D:$D,0,0)</f>
        <v>0</v>
      </c>
      <c r="CG90">
        <f>_xlfn.XLOOKUP(B90,'[8]october-2025'!$A:$A,'[8]october-2025'!$G:$G,0,0)</f>
        <v>500</v>
      </c>
      <c r="CH90">
        <f>IF(CC90&gt;0,SUM(CC90:CG90),0)</f>
        <v>48080</v>
      </c>
      <c r="CI90">
        <f>_xlfn.XLOOKUP(B90,'[8]october-2025'!$A:$A,'[8]october-2025'!$H:$H,0,0)</f>
        <v>3000</v>
      </c>
      <c r="CJ90">
        <f>_xlfn.XLOOKUP(B90,'[8]october-2025'!$A:$A,'[8]october-2025'!$I:$I,0,0)</f>
        <v>0</v>
      </c>
      <c r="CK90">
        <f>IF($F90="YES",0,IF(CH90&gt;40000,200,IF(CH90&gt;25000,150,IF(CH90&gt;15000,130,IF(CH90&gt;10000,110,0)))))</f>
        <v>200</v>
      </c>
      <c r="CL90">
        <f>CH90-CI90-CJ90-CK90</f>
        <v>44880</v>
      </c>
      <c r="CM90">
        <f>_xlfn.XLOOKUP(B90,'[9]november-2025'!$A:$A,'[9]november-2025'!$C:$C,0,0)</f>
        <v>36600</v>
      </c>
      <c r="CN90">
        <f>CM90*0.18</f>
        <v>6588</v>
      </c>
      <c r="CO90">
        <f>CM90*0.12</f>
        <v>4392</v>
      </c>
      <c r="CP90">
        <f>_xlfn.XLOOKUP(B90,'[9]november-2025'!$A:$A,'[9]november-2025'!$D:$D,0,0)</f>
        <v>0</v>
      </c>
      <c r="CQ90">
        <f>_xlfn.XLOOKUP(B90,'[9]november-2025'!$A:$A,'[9]november-2025'!$G:$G,0,0)</f>
        <v>500</v>
      </c>
      <c r="CR90">
        <f>IF(CM90&gt;0,SUM(CM90:CQ90),0)</f>
        <v>48080</v>
      </c>
      <c r="CS90">
        <f>_xlfn.XLOOKUP(B90,'[9]november-2025'!$A:$A,'[9]november-2025'!$H:$H,0,0)</f>
        <v>3000</v>
      </c>
      <c r="CT90">
        <f>_xlfn.XLOOKUP(B90,'[9]november-2025'!$A:$A,'[9]november-2025'!$I:$I,0,0)</f>
        <v>0</v>
      </c>
      <c r="CU90">
        <f>IF($F90="YES",0,IF(CR90&gt;40000,200,IF(CR90&gt;25000,150,IF(CR90&gt;15000,130,IF(CR90&gt;10000,110,0)))))</f>
        <v>200</v>
      </c>
      <c r="CV90">
        <f>CR90-CS90-CT90-CU90</f>
        <v>44880</v>
      </c>
      <c r="CW90">
        <f>_xlfn.XLOOKUP(B90,'[10]december-2025'!$A:$A,'[10]december-2025'!$C:$C,0,0)</f>
        <v>36600</v>
      </c>
      <c r="CX90">
        <f>ROUND(CW90*0.18,0)</f>
        <v>6588</v>
      </c>
      <c r="CY90">
        <f>ROUND(CW90*0.12,0)</f>
        <v>4392</v>
      </c>
      <c r="CZ90">
        <f>_xlfn.XLOOKUP(B90,'[10]december-2025'!$A:$A,'[10]december-2025'!$D:$D,0,0)</f>
        <v>0</v>
      </c>
      <c r="DA90">
        <f>_xlfn.XLOOKUP(B90,'[10]december-2025'!$A:$A,'[10]december-2025'!$G:$G,0,0)</f>
        <v>500</v>
      </c>
      <c r="DB90">
        <f>IF(CW90&gt;0,SUM(CW90:DA90),0)</f>
        <v>48080</v>
      </c>
      <c r="DC90">
        <f>_xlfn.XLOOKUP(B90,'[10]december-2025'!$A:$A,'[10]december-2025'!$H:$H,0,0)</f>
        <v>3000</v>
      </c>
      <c r="DD90">
        <f>_xlfn.XLOOKUP(B90,'[10]december-2025'!$A:$A,'[10]december-2025'!$I:$I,0,0)</f>
        <v>0</v>
      </c>
      <c r="DE90">
        <f>IF($F90="YES",0,IF(DB90&gt;40000,200,IF(DB90&gt;25000,150,IF(DB90&gt;15000,130,IF(DB90&gt;10000,110,0)))))</f>
        <v>200</v>
      </c>
      <c r="DF90">
        <f>DB90-DC90-DD90-DE90</f>
        <v>44880</v>
      </c>
      <c r="DG90">
        <f>_xlfn.XLOOKUP(B90,'[11]january-2026'!$A:$A,'[11]january-2026'!$C:$C,0,0)</f>
        <v>36600</v>
      </c>
      <c r="DH90">
        <f>DG90*0.18</f>
        <v>6588</v>
      </c>
      <c r="DI90">
        <f>DG90*0.12</f>
        <v>4392</v>
      </c>
      <c r="DJ90">
        <f>_xlfn.XLOOKUP(B90,'[11]january-2026'!$A:$A,'[11]january-2026'!$D:$D,0,0)</f>
        <v>0</v>
      </c>
      <c r="DK90">
        <f>_xlfn.XLOOKUP(B90,'[11]january-2026'!$A:$A,'[11]january-2026'!$G:$G,0,0)</f>
        <v>500</v>
      </c>
      <c r="DL90">
        <f>IF(DG90&gt;0,SUM(DG90:DK90),0)</f>
        <v>48080</v>
      </c>
      <c r="DM90">
        <f>_xlfn.XLOOKUP(B90,'[11]january-2026'!$A:$A,'[11]january-2026'!$H:$H,0,0)</f>
        <v>3000</v>
      </c>
      <c r="DN90">
        <f>_xlfn.XLOOKUP(B90,'[11]january-2026'!$A:$A,'[11]january-2026'!$I:$I,0,0)</f>
        <v>0</v>
      </c>
      <c r="DO90">
        <f>IF($F90="YES",0,IF(DL90&gt;40000,200,IF(DL90&gt;25000,150,IF(DL90&gt;15000,130,IF(DL90&gt;10000,110,0)))))</f>
        <v>200</v>
      </c>
      <c r="DP90">
        <f>DL90-DM90-DN90-DO90</f>
        <v>44880</v>
      </c>
      <c r="DQ90">
        <f>_xlfn.XLOOKUP(B90,'[12]february-2026'!$A:$A,'[12]february-2026'!$C:$C,0,0)</f>
        <v>36600</v>
      </c>
      <c r="DR90">
        <f>DQ90*0.18</f>
        <v>6588</v>
      </c>
      <c r="DS90">
        <f>DQ90*0.12</f>
        <v>4392</v>
      </c>
      <c r="DT90">
        <f>_xlfn.XLOOKUP(B90,'[12]february-2026'!$A:$A,'[12]february-2026'!$D:$D,0,0)</f>
        <v>0</v>
      </c>
      <c r="DU90">
        <f>_xlfn.XLOOKUP(B90,'[12]february-2026'!$A:$A,'[12]february-2026'!$G:$G,0,0)</f>
        <v>500</v>
      </c>
      <c r="DV90">
        <f>IF(DQ90&gt;0,SUM(DQ90:DU90),0)</f>
        <v>48080</v>
      </c>
      <c r="DW90">
        <f>_xlfn.XLOOKUP(B90,'[12]february-2026'!$A:$A,'[12]february-2026'!$H:$H,0,0)</f>
        <v>3000</v>
      </c>
      <c r="DX90">
        <f>_xlfn.XLOOKUP(B90,'[12]february-2026'!$A:$A,'[12]february-2026'!$I:$I,0,0)</f>
        <v>0</v>
      </c>
      <c r="DY90">
        <f>IF($F90="YES",0,IF(DV90&gt;40000,200,IF(DV90&gt;25000,150,IF(DV90&gt;15000,130,IF(DV90&gt;10000,110,0)))))</f>
        <v>200</v>
      </c>
      <c r="DZ90">
        <f>DV90-DW90-DX90-DY90</f>
        <v>44880</v>
      </c>
      <c r="EA90">
        <f>DV90+DL90+DB90+CR90+CH90+BX90+BN90+BD90+AS90+AI90+Y90+O90+H90+I90</f>
        <v>576620</v>
      </c>
      <c r="EB90">
        <f>DY90+DO90+DE90+CU90+CK90+CA90+BQ90+BG90+AV90+AL90+AB90+R90</f>
        <v>2400</v>
      </c>
      <c r="EC90">
        <f>IF(EA90&gt;0,50000,0)</f>
        <v>50000</v>
      </c>
      <c r="ED90">
        <v>0</v>
      </c>
      <c r="EE90">
        <f>EA90-EB90-EC90</f>
        <v>524220</v>
      </c>
      <c r="EF90">
        <f>DW90+DM90+DC90+CS90+CI90+BY90+BO90+BE90+AT90+AJ90+Z90+P90</f>
        <v>36000</v>
      </c>
      <c r="EG90">
        <f>DX90+DN90+DD90+CT90+CJ90+BZ90+BP90+BF90+AU90+AK90+AA90+Q90</f>
        <v>0</v>
      </c>
      <c r="EH90">
        <v>0</v>
      </c>
      <c r="EI90">
        <v>0</v>
      </c>
      <c r="EJ90">
        <v>0</v>
      </c>
      <c r="EK90">
        <v>0</v>
      </c>
      <c r="EL90">
        <v>0</v>
      </c>
      <c r="EM90">
        <v>0</v>
      </c>
      <c r="EN90">
        <v>0</v>
      </c>
      <c r="EO90">
        <v>0</v>
      </c>
      <c r="EP90">
        <v>0</v>
      </c>
      <c r="EQ90">
        <v>0</v>
      </c>
      <c r="ER90">
        <f>SUM(EF90:EQ90)</f>
        <v>36000</v>
      </c>
      <c r="ES90">
        <f>IF(ER90&gt;=150000,150000,ER90)</f>
        <v>36000</v>
      </c>
      <c r="ET90">
        <f>EE90-ES90</f>
        <v>488220</v>
      </c>
      <c r="EU90">
        <v>0</v>
      </c>
      <c r="EV90">
        <v>0</v>
      </c>
      <c r="EW90">
        <v>0</v>
      </c>
      <c r="EX90">
        <v>0</v>
      </c>
      <c r="EY90">
        <v>0</v>
      </c>
      <c r="EZ90">
        <v>0</v>
      </c>
      <c r="FA90">
        <v>0</v>
      </c>
      <c r="FB90">
        <f>SUM(EU90:FA90)+(IF(F90="YES",50000,0))</f>
        <v>0</v>
      </c>
      <c r="FC90">
        <f>ET90-FB90</f>
        <v>488220</v>
      </c>
      <c r="FD90">
        <f>ROUND(IF(FC90&gt;0,IF(FC90&gt;500000,12500,(FC90-250000)*0.05),0),0)</f>
        <v>11911</v>
      </c>
      <c r="FE90">
        <f>IF(ROUND(IF(FC90&gt;0,IF(FC90&gt;1000000,25000,(FC90-500000)*0.2),0),0)&lt;0,0,ROUND(IF(FC90&gt;0,IF(FC90&gt;1000000,25000,(FC90-500000)*0.2),0),0))</f>
        <v>0</v>
      </c>
      <c r="FF90">
        <f>FD90+FE90</f>
        <v>11911</v>
      </c>
      <c r="FG90">
        <f>IF(FF90&lt;12500,0,FF90)</f>
        <v>0</v>
      </c>
      <c r="FH90">
        <f>FG90*0.04</f>
        <v>0</v>
      </c>
      <c r="FI90">
        <f>ROUND(FH90+FG90,0)</f>
        <v>0</v>
      </c>
      <c r="FJ90">
        <v>0</v>
      </c>
      <c r="FK90">
        <f>FI90-FJ90</f>
        <v>0</v>
      </c>
      <c r="FL90" t="b">
        <f>IF(EA90&gt;500000,TRUE,FALSE)</f>
        <v>1</v>
      </c>
      <c r="FM90">
        <f ca="1">IF(FL90,RANDBETWEEN(500,1000),RANDBETWEEN(1000,3000))</f>
        <v>810</v>
      </c>
      <c r="FN90">
        <f ca="1">EA90+FM90</f>
        <v>577430</v>
      </c>
      <c r="FO90">
        <f>IF(EA90&gt;0,75000,0)</f>
        <v>75000</v>
      </c>
      <c r="FP90">
        <f ca="1">FN90-FO90</f>
        <v>502430</v>
      </c>
      <c r="FQ90">
        <f ca="1">IF(FP90&gt;2400000,FP90-2400000,0)</f>
        <v>0</v>
      </c>
      <c r="FR90">
        <f ca="1">FQ90*0.3</f>
        <v>0</v>
      </c>
      <c r="FS90">
        <f ca="1">IF(FP90&gt;2000000,FP90-2000000,0)</f>
        <v>0</v>
      </c>
      <c r="FT90">
        <f ca="1">FS90*0.25</f>
        <v>0</v>
      </c>
      <c r="FU90">
        <f ca="1">IF(FP90&gt;1600000,FP90-1600000-FQ90,0)</f>
        <v>0</v>
      </c>
      <c r="FV90">
        <f ca="1">FU90*0.2</f>
        <v>0</v>
      </c>
      <c r="FW90">
        <f ca="1">IF(FP90&gt;1200000,FP90-1200000-IF(F90="YES",50000,0)-FU90,0)</f>
        <v>0</v>
      </c>
      <c r="FX90">
        <f ca="1">FW90*0.15</f>
        <v>0</v>
      </c>
      <c r="FY90">
        <f ca="1">IF(FP90&gt;800000,FP90-800000-FQ90-FU90-FW90,0)</f>
        <v>0</v>
      </c>
      <c r="FZ90">
        <f ca="1">FY90*0.1</f>
        <v>0</v>
      </c>
      <c r="GA90">
        <f ca="1">IF(FP90&gt;400000,FP90-400000-FQ90-FU90-FW90-FY90,0)</f>
        <v>102430</v>
      </c>
      <c r="GB90">
        <f ca="1">GA90*0.05</f>
        <v>5121.5</v>
      </c>
      <c r="GC90">
        <f ca="1">ROUND(FR90+FT90+FV90+FX90+FZ90+GB90,0)</f>
        <v>5122</v>
      </c>
      <c r="GD90">
        <f ca="1">IF(FP90&gt;1200000,FP90,0)</f>
        <v>0</v>
      </c>
      <c r="GE90">
        <f ca="1">IF(FP90&gt;1200000,GD90-1200000,0)</f>
        <v>0</v>
      </c>
      <c r="GF90">
        <f ca="1">IF(FP90&lt;1200001,MIN(GC90,60000),0)</f>
        <v>5122</v>
      </c>
      <c r="GG90">
        <f ca="1">IF(FP90&gt;1200000,GC90-GE90,0)</f>
        <v>0</v>
      </c>
      <c r="GH90" t="b">
        <f ca="1">IF(GG90&gt;0,TRUE,FALSE)</f>
        <v>0</v>
      </c>
      <c r="GI90">
        <f ca="1">IF(GH90,GG90,0)</f>
        <v>0</v>
      </c>
      <c r="GJ90">
        <f ca="1">GF90+GI90</f>
        <v>5122</v>
      </c>
      <c r="GK90">
        <f ca="1">ROUND(GC90-GJ90,0)</f>
        <v>0</v>
      </c>
      <c r="GL90">
        <f ca="1">GK90*0.04</f>
        <v>0</v>
      </c>
      <c r="GM90">
        <f ca="1">ROUNDUP(GK90+GL90,0)</f>
        <v>0</v>
      </c>
    </row>
    <row r="91" spans="1:195" x14ac:dyDescent="0.25">
      <c r="A91">
        <f>_xlfn.AGGREGATE(3,5,$B$2:B91)</f>
        <v>90</v>
      </c>
      <c r="B91" t="s">
        <v>300</v>
      </c>
      <c r="C91" t="s">
        <v>301</v>
      </c>
      <c r="D91" t="s">
        <v>776</v>
      </c>
      <c r="E91" t="s">
        <v>833</v>
      </c>
      <c r="F91" t="s">
        <v>959</v>
      </c>
      <c r="G91" t="s">
        <v>880</v>
      </c>
      <c r="H91">
        <f>IF(_xlfn.DAYS("31-03-2025",G91)&gt;=180,6800,0)</f>
        <v>6800</v>
      </c>
      <c r="I91">
        <f>_xlfn.XLOOKUP(B91,'[1]march-2025'!$A:$A,'[1]march-2025'!$J:$J,0,0)</f>
        <v>0</v>
      </c>
      <c r="J91">
        <f>_xlfn.XLOOKUP(B91,'[1]march-2025'!$A:$A,'[1]march-2025'!$C:$C,0,0)</f>
        <v>34500</v>
      </c>
      <c r="K91">
        <f>J91*0.14</f>
        <v>4830.0000000000009</v>
      </c>
      <c r="L91">
        <f>J91*0.12</f>
        <v>4140</v>
      </c>
      <c r="M91">
        <f>_xlfn.XLOOKUP(B91,'[1]march-2025'!$A:$A,'[1]march-2025'!$D:$D,0,0)</f>
        <v>0</v>
      </c>
      <c r="N91">
        <f>_xlfn.XLOOKUP(B91,'[1]march-2025'!$A:$A,'[1]march-2025'!$G:$G,0,0)</f>
        <v>500</v>
      </c>
      <c r="O91">
        <f>IF(J91&gt;0,SUM(J91:N91),0)</f>
        <v>43970</v>
      </c>
      <c r="P91">
        <f>_xlfn.XLOOKUP(B91,'[1]march-2025'!$A:$A,'[1]march-2025'!$H:$H,0,0)</f>
        <v>3000</v>
      </c>
      <c r="Q91">
        <f>_xlfn.XLOOKUP(B91,'[1]march-2025'!$A:$A,'[1]march-2025'!$I:$I,0,0)</f>
        <v>0</v>
      </c>
      <c r="R91">
        <f>IF($F91="YES",0,IF(O91&gt;40000,200,IF(O91&gt;25000,150,IF(O91&gt;15000,130,IF(O91&gt;10000,110,0)))))</f>
        <v>200</v>
      </c>
      <c r="S91">
        <f>O91-P91-Q91-R91</f>
        <v>40770</v>
      </c>
      <c r="T91">
        <f>_xlfn.XLOOKUP(B91,'[2]april-2025'!$A:$A,'[2]april-2025'!$C:$C,0,0)</f>
        <v>34500</v>
      </c>
      <c r="U91">
        <f>T91*0.18</f>
        <v>6210</v>
      </c>
      <c r="V91">
        <f>T91*0.12</f>
        <v>4140</v>
      </c>
      <c r="W91">
        <f>_xlfn.XLOOKUP(B91,'[2]april-2025'!$A:$A,'[2]april-2025'!$D:$D,0,0)</f>
        <v>0</v>
      </c>
      <c r="X91">
        <f>_xlfn.XLOOKUP(B91,'[2]april-2025'!$A:$A,'[2]april-2025'!$G:$G,0,0)</f>
        <v>500</v>
      </c>
      <c r="Y91">
        <f>IF(T91&gt;0,SUM(T91:X91),0)</f>
        <v>45350</v>
      </c>
      <c r="Z91">
        <f>_xlfn.XLOOKUP(B91,'[2]april-2025'!$A:$A,'[2]april-2025'!$H:$H,0,0)</f>
        <v>3000</v>
      </c>
      <c r="AA91">
        <f>_xlfn.XLOOKUP(B91,'[2]april-2025'!$A:$A,'[2]april-2025'!$I:$I,0,0)</f>
        <v>0</v>
      </c>
      <c r="AB91">
        <f>IF($F91="YES",0,IF(Y91&gt;40000,200,IF(Y91&gt;25000,150,IF(Y91&gt;15000,130,IF(Y91&gt;10000,110,0)))))</f>
        <v>200</v>
      </c>
      <c r="AC91">
        <f>Y91-Z91-AA91-AB91</f>
        <v>42150</v>
      </c>
      <c r="AD91">
        <f>_xlfn.XLOOKUP(B91,'[3]may-2025'!$A:$A,'[3]may-2025'!$C:$C,0,0)</f>
        <v>34500</v>
      </c>
      <c r="AE91">
        <f>AD91*0.18</f>
        <v>6210</v>
      </c>
      <c r="AF91">
        <f>AD91*0.12</f>
        <v>4140</v>
      </c>
      <c r="AG91">
        <f>_xlfn.XLOOKUP(B91,'[3]may-2025'!$A:$A,'[3]may-2025'!$D:$D,0,0)</f>
        <v>0</v>
      </c>
      <c r="AH91">
        <f>_xlfn.XLOOKUP(B91,'[3]may-2025'!$A:$A,'[3]may-2025'!$G:$G,0,0)</f>
        <v>500</v>
      </c>
      <c r="AI91">
        <f>IF(AD91&gt;0,SUM(AD91:AH91),0)</f>
        <v>45350</v>
      </c>
      <c r="AJ91">
        <f>_xlfn.XLOOKUP(B91,'[3]may-2025'!$A:$A,'[3]may-2025'!$H:$H,0,0)</f>
        <v>3000</v>
      </c>
      <c r="AK91">
        <f>_xlfn.XLOOKUP(B91,'[3]may-2025'!$A:$A,'[3]may-2025'!$I:$I,0,0)</f>
        <v>0</v>
      </c>
      <c r="AL91">
        <f>IF($F91="YES",0,IF(AI91&gt;40000,200,IF(AI91&gt;25000,150,IF(AI91&gt;15000,130,IF(AI91&gt;10000,110,0)))))</f>
        <v>200</v>
      </c>
      <c r="AM91">
        <f>AI91-AJ91-AK91-AL91</f>
        <v>42150</v>
      </c>
      <c r="AN91">
        <f>_xlfn.XLOOKUP(B91,'[4]june-2025'!$A:$A,'[4]june-2025'!$C:$C,0,0)</f>
        <v>34500</v>
      </c>
      <c r="AO91">
        <f>AN91*0.18</f>
        <v>6210</v>
      </c>
      <c r="AP91">
        <f>AN91*0.12</f>
        <v>4140</v>
      </c>
      <c r="AQ91">
        <f>_xlfn.XLOOKUP(B91,'[4]june-2025'!$A:$A,'[4]june-2025'!$D:$D,0,0)</f>
        <v>0</v>
      </c>
      <c r="AR91">
        <f>_xlfn.XLOOKUP(B91,'[4]june-2025'!$A:$A,'[4]june-2025'!$G:$G,0,0)</f>
        <v>500</v>
      </c>
      <c r="AS91">
        <f>IF(AN91&gt;0,SUM(AN91:AR91),0)</f>
        <v>45350</v>
      </c>
      <c r="AT91">
        <f>_xlfn.XLOOKUP(B91,'[4]june-2025'!$A:$A,'[4]june-2025'!$H:$H,0,0)</f>
        <v>3000</v>
      </c>
      <c r="AU91">
        <f>_xlfn.XLOOKUP(B91,'[4]june-2025'!$A:$A,'[4]june-2025'!$I:$I,0,0)</f>
        <v>0</v>
      </c>
      <c r="AV91">
        <f>IF($F91="YES",0,IF(AS91&gt;40000,200,IF(AS91&gt;25000,150,IF(AS91&gt;15000,130,IF(AS91&gt;10000,110,0)))))</f>
        <v>200</v>
      </c>
      <c r="AW91">
        <f>AS91-AT91-AU91-AV91</f>
        <v>42150</v>
      </c>
      <c r="AX91">
        <f>_xlfn.XLOOKUP(B91,'[5]july-2025'!$A:$A,'[5]july-2025'!$C:$C,0,0)</f>
        <v>35500</v>
      </c>
      <c r="AY91">
        <f>AX91*0.18</f>
        <v>6390</v>
      </c>
      <c r="AZ91">
        <v>0</v>
      </c>
      <c r="BA91">
        <f>AX91*0.12</f>
        <v>4260</v>
      </c>
      <c r="BB91">
        <f>_xlfn.XLOOKUP(B91,'[5]july-2025'!$A:$A,'[5]july-2025'!$D:$D,0,0)</f>
        <v>0</v>
      </c>
      <c r="BC91">
        <f>_xlfn.XLOOKUP(B91,'[5]july-2025'!$A:$A,'[5]july-2025'!$G:$G,0,0)</f>
        <v>500</v>
      </c>
      <c r="BD91">
        <f>IF(AX91&gt;0,SUM(AX91:BC91),0)</f>
        <v>46650</v>
      </c>
      <c r="BE91">
        <f>_xlfn.XLOOKUP(B91,'[5]july-2025'!$A:$A,'[5]july-2025'!$H:$H,0,0)</f>
        <v>3000</v>
      </c>
      <c r="BF91">
        <f>_xlfn.XLOOKUP(B91,'[5]july-2025'!$A:$A,'[5]july-2025'!$I:$I,0,0)</f>
        <v>0</v>
      </c>
      <c r="BG91">
        <f>IF($F91="YES",0,IF(BD91&gt;40000,200,IF(BD91&gt;25000,150,IF(BD91&gt;15000,130,IF(BD91&gt;10000,110,0)))))</f>
        <v>200</v>
      </c>
      <c r="BH91">
        <f>BD91-BE91-BF91-BG91</f>
        <v>43450</v>
      </c>
      <c r="BI91">
        <f>_xlfn.XLOOKUP(B91,'[6]august-2025'!$A:$A,'[6]august-2025'!$C:$C,0,0)</f>
        <v>35500</v>
      </c>
      <c r="BJ91">
        <f>BI91*0.18</f>
        <v>6390</v>
      </c>
      <c r="BK91">
        <f>BI91*0.12</f>
        <v>4260</v>
      </c>
      <c r="BL91">
        <f>_xlfn.XLOOKUP(B91,'[6]august-2025'!$A:$A,'[6]august-2025'!$D:$D,0,0)</f>
        <v>0</v>
      </c>
      <c r="BM91">
        <f>_xlfn.XLOOKUP(B91,'[6]august-2025'!$A:$A,'[6]august-2025'!$G:$G,0,0)</f>
        <v>500</v>
      </c>
      <c r="BN91">
        <f>IF(BI91&gt;0,SUM(BI91:BM91),0)</f>
        <v>46650</v>
      </c>
      <c r="BO91">
        <f>_xlfn.XLOOKUP(B91,'[6]august-2025'!$A:$A,'[6]august-2025'!$H:$H,0,0)</f>
        <v>3000</v>
      </c>
      <c r="BP91">
        <f>_xlfn.XLOOKUP(B91,'[6]august-2025'!$A:$A,'[6]august-2025'!$I:$I,0,0)</f>
        <v>0</v>
      </c>
      <c r="BQ91">
        <f>IF($F91="YES",0,IF(BN91&gt;40000,200,IF(BN91&gt;25000,150,IF(BN91&gt;15000,130,IF(BN91&gt;10000,110,0)))))</f>
        <v>200</v>
      </c>
      <c r="BR91">
        <f>BN91-BO91-BP91-BQ91</f>
        <v>43450</v>
      </c>
      <c r="BS91">
        <f>_xlfn.XLOOKUP(B91,'[7]september-2025'!$A:$A,'[7]september-2025'!$C:$C,0,0)</f>
        <v>35500</v>
      </c>
      <c r="BT91">
        <f>BS91*0.18</f>
        <v>6390</v>
      </c>
      <c r="BU91">
        <f>BS91*0.12</f>
        <v>4260</v>
      </c>
      <c r="BV91">
        <f>_xlfn.XLOOKUP(B91,'[7]september-2025'!$A:$A,'[7]september-2025'!$D:$D,0,0)</f>
        <v>0</v>
      </c>
      <c r="BW91">
        <f>_xlfn.XLOOKUP(B91,'[7]september-2025'!$A:$A,'[7]september-2025'!$G:$G,0,0)</f>
        <v>500</v>
      </c>
      <c r="BX91">
        <f>IF(BS91&gt;0,SUM(BS91:BW91),0)</f>
        <v>46650</v>
      </c>
      <c r="BY91">
        <f>_xlfn.XLOOKUP(B91,'[7]september-2025'!$A:$A,'[7]september-2025'!$H:$H,0,0)</f>
        <v>3000</v>
      </c>
      <c r="BZ91">
        <f>_xlfn.XLOOKUP(B91,'[7]september-2025'!$A:$A,'[7]september-2025'!$I:$I,0,0)</f>
        <v>0</v>
      </c>
      <c r="CA91">
        <f>IF($F91="YES",0,IF(BX91&gt;40000,200,IF(BX91&gt;25000,150,IF(BX91&gt;15000,130,IF(BX91&gt;10000,110,0)))))</f>
        <v>200</v>
      </c>
      <c r="CB91">
        <f>BX91-BY91-BZ91-CA91</f>
        <v>43450</v>
      </c>
      <c r="CC91">
        <f>_xlfn.XLOOKUP(B91,'[8]october-2025'!$A:$A,'[8]october-2025'!$C:$C,0,0)</f>
        <v>35500</v>
      </c>
      <c r="CD91">
        <f>CC91*0.18</f>
        <v>6390</v>
      </c>
      <c r="CE91">
        <f>CC91*0.12</f>
        <v>4260</v>
      </c>
      <c r="CF91">
        <f>_xlfn.XLOOKUP(B91,'[8]october-2025'!$A:$A,'[8]october-2025'!$D:$D,0,0)</f>
        <v>0</v>
      </c>
      <c r="CG91">
        <f>_xlfn.XLOOKUP(B91,'[8]october-2025'!$A:$A,'[8]october-2025'!$G:$G,0,0)</f>
        <v>500</v>
      </c>
      <c r="CH91">
        <f>IF(CC91&gt;0,SUM(CC91:CG91),0)</f>
        <v>46650</v>
      </c>
      <c r="CI91">
        <f>_xlfn.XLOOKUP(B91,'[8]october-2025'!$A:$A,'[8]october-2025'!$H:$H,0,0)</f>
        <v>3000</v>
      </c>
      <c r="CJ91">
        <f>_xlfn.XLOOKUP(B91,'[8]october-2025'!$A:$A,'[8]october-2025'!$I:$I,0,0)</f>
        <v>0</v>
      </c>
      <c r="CK91">
        <f>IF($F91="YES",0,IF(CH91&gt;40000,200,IF(CH91&gt;25000,150,IF(CH91&gt;15000,130,IF(CH91&gt;10000,110,0)))))</f>
        <v>200</v>
      </c>
      <c r="CL91">
        <f>CH91-CI91-CJ91-CK91</f>
        <v>43450</v>
      </c>
      <c r="CM91">
        <f>_xlfn.XLOOKUP(B91,'[9]november-2025'!$A:$A,'[9]november-2025'!$C:$C,0,0)</f>
        <v>35500</v>
      </c>
      <c r="CN91">
        <f>CM91*0.18</f>
        <v>6390</v>
      </c>
      <c r="CO91">
        <f>CM91*0.12</f>
        <v>4260</v>
      </c>
      <c r="CP91">
        <f>_xlfn.XLOOKUP(B91,'[9]november-2025'!$A:$A,'[9]november-2025'!$D:$D,0,0)</f>
        <v>0</v>
      </c>
      <c r="CQ91">
        <f>_xlfn.XLOOKUP(B91,'[9]november-2025'!$A:$A,'[9]november-2025'!$G:$G,0,0)</f>
        <v>500</v>
      </c>
      <c r="CR91">
        <f>IF(CM91&gt;0,SUM(CM91:CQ91),0)</f>
        <v>46650</v>
      </c>
      <c r="CS91">
        <f>_xlfn.XLOOKUP(B91,'[9]november-2025'!$A:$A,'[9]november-2025'!$H:$H,0,0)</f>
        <v>3000</v>
      </c>
      <c r="CT91">
        <f>_xlfn.XLOOKUP(B91,'[9]november-2025'!$A:$A,'[9]november-2025'!$I:$I,0,0)</f>
        <v>0</v>
      </c>
      <c r="CU91">
        <f>IF($F91="YES",0,IF(CR91&gt;40000,200,IF(CR91&gt;25000,150,IF(CR91&gt;15000,130,IF(CR91&gt;10000,110,0)))))</f>
        <v>200</v>
      </c>
      <c r="CV91">
        <f>CR91-CS91-CT91-CU91</f>
        <v>43450</v>
      </c>
      <c r="CW91">
        <f>_xlfn.XLOOKUP(B91,'[10]december-2025'!$A:$A,'[10]december-2025'!$C:$C,0,0)</f>
        <v>35500</v>
      </c>
      <c r="CX91">
        <f>ROUND(CW91*0.18,0)</f>
        <v>6390</v>
      </c>
      <c r="CY91">
        <f>ROUND(CW91*0.12,0)</f>
        <v>4260</v>
      </c>
      <c r="CZ91">
        <f>_xlfn.XLOOKUP(B91,'[10]december-2025'!$A:$A,'[10]december-2025'!$D:$D,0,0)</f>
        <v>0</v>
      </c>
      <c r="DA91">
        <f>_xlfn.XLOOKUP(B91,'[10]december-2025'!$A:$A,'[10]december-2025'!$G:$G,0,0)</f>
        <v>500</v>
      </c>
      <c r="DB91">
        <f>IF(CW91&gt;0,SUM(CW91:DA91),0)</f>
        <v>46650</v>
      </c>
      <c r="DC91">
        <f>_xlfn.XLOOKUP(B91,'[10]december-2025'!$A:$A,'[10]december-2025'!$H:$H,0,0)</f>
        <v>3000</v>
      </c>
      <c r="DD91">
        <f>_xlfn.XLOOKUP(B91,'[10]december-2025'!$A:$A,'[10]december-2025'!$I:$I,0,0)</f>
        <v>0</v>
      </c>
      <c r="DE91">
        <f>IF($F91="YES",0,IF(DB91&gt;40000,200,IF(DB91&gt;25000,150,IF(DB91&gt;15000,130,IF(DB91&gt;10000,110,0)))))</f>
        <v>200</v>
      </c>
      <c r="DF91">
        <f>DB91-DC91-DD91-DE91</f>
        <v>43450</v>
      </c>
      <c r="DG91">
        <f>_xlfn.XLOOKUP(B91,'[11]january-2026'!$A:$A,'[11]january-2026'!$C:$C,0,0)</f>
        <v>35500</v>
      </c>
      <c r="DH91">
        <f>DG91*0.18</f>
        <v>6390</v>
      </c>
      <c r="DI91">
        <f>DG91*0.12</f>
        <v>4260</v>
      </c>
      <c r="DJ91">
        <f>_xlfn.XLOOKUP(B91,'[11]january-2026'!$A:$A,'[11]january-2026'!$D:$D,0,0)</f>
        <v>0</v>
      </c>
      <c r="DK91">
        <f>_xlfn.XLOOKUP(B91,'[11]january-2026'!$A:$A,'[11]january-2026'!$G:$G,0,0)</f>
        <v>500</v>
      </c>
      <c r="DL91">
        <f>IF(DG91&gt;0,SUM(DG91:DK91),0)</f>
        <v>46650</v>
      </c>
      <c r="DM91">
        <f>_xlfn.XLOOKUP(B91,'[11]january-2026'!$A:$A,'[11]january-2026'!$H:$H,0,0)</f>
        <v>3000</v>
      </c>
      <c r="DN91">
        <f>_xlfn.XLOOKUP(B91,'[11]january-2026'!$A:$A,'[11]january-2026'!$I:$I,0,0)</f>
        <v>0</v>
      </c>
      <c r="DO91">
        <f>IF($F91="YES",0,IF(DL91&gt;40000,200,IF(DL91&gt;25000,150,IF(DL91&gt;15000,130,IF(DL91&gt;10000,110,0)))))</f>
        <v>200</v>
      </c>
      <c r="DP91">
        <f>DL91-DM91-DN91-DO91</f>
        <v>43450</v>
      </c>
      <c r="DQ91">
        <f>_xlfn.XLOOKUP(B91,'[12]february-2026'!$A:$A,'[12]february-2026'!$C:$C,0,0)</f>
        <v>35500</v>
      </c>
      <c r="DR91">
        <f>DQ91*0.18</f>
        <v>6390</v>
      </c>
      <c r="DS91">
        <f>DQ91*0.12</f>
        <v>4260</v>
      </c>
      <c r="DT91">
        <f>_xlfn.XLOOKUP(B91,'[12]february-2026'!$A:$A,'[12]february-2026'!$D:$D,0,0)</f>
        <v>0</v>
      </c>
      <c r="DU91">
        <f>_xlfn.XLOOKUP(B91,'[12]february-2026'!$A:$A,'[12]february-2026'!$G:$G,0,0)</f>
        <v>500</v>
      </c>
      <c r="DV91">
        <f>IF(DQ91&gt;0,SUM(DQ91:DU91),0)</f>
        <v>46650</v>
      </c>
      <c r="DW91">
        <f>_xlfn.XLOOKUP(B91,'[12]february-2026'!$A:$A,'[12]february-2026'!$H:$H,0,0)</f>
        <v>3000</v>
      </c>
      <c r="DX91">
        <f>_xlfn.XLOOKUP(B91,'[12]february-2026'!$A:$A,'[12]february-2026'!$I:$I,0,0)</f>
        <v>0</v>
      </c>
      <c r="DY91">
        <f>IF($F91="YES",0,IF(DV91&gt;40000,200,IF(DV91&gt;25000,150,IF(DV91&gt;15000,130,IF(DV91&gt;10000,110,0)))))</f>
        <v>200</v>
      </c>
      <c r="DZ91">
        <f>DV91-DW91-DX91-DY91</f>
        <v>43450</v>
      </c>
      <c r="EA91">
        <f>DV91+DL91+DB91+CR91+CH91+BX91+BN91+BD91+AS91+AI91+Y91+O91+H91+I91</f>
        <v>560020</v>
      </c>
      <c r="EB91">
        <f>DY91+DO91+DE91+CU91+CK91+CA91+BQ91+BG91+AV91+AL91+AB91+R91</f>
        <v>2400</v>
      </c>
      <c r="EC91">
        <f>IF(EA91&gt;0,50000,0)</f>
        <v>50000</v>
      </c>
      <c r="ED91">
        <v>0</v>
      </c>
      <c r="EE91">
        <f>EA91-EB91-EC91</f>
        <v>507620</v>
      </c>
      <c r="EF91">
        <f>DW91+DM91+DC91+CS91+CI91+BY91+BO91+BE91+AT91+AJ91+Z91+P91</f>
        <v>36000</v>
      </c>
      <c r="EG91">
        <f>DX91+DN91+DD91+CT91+CJ91+BZ91+BP91+BF91+AU91+AK91+AA91+Q91</f>
        <v>0</v>
      </c>
      <c r="EH91">
        <v>0</v>
      </c>
      <c r="EI91">
        <v>0</v>
      </c>
      <c r="EJ91">
        <v>0</v>
      </c>
      <c r="EK91">
        <v>0</v>
      </c>
      <c r="EL91">
        <v>0</v>
      </c>
      <c r="EM91">
        <v>0</v>
      </c>
      <c r="EN91">
        <v>0</v>
      </c>
      <c r="EO91">
        <v>0</v>
      </c>
      <c r="EP91">
        <v>0</v>
      </c>
      <c r="EQ91">
        <v>0</v>
      </c>
      <c r="ER91">
        <f>SUM(EF91:EQ91)</f>
        <v>36000</v>
      </c>
      <c r="ES91">
        <f>IF(ER91&gt;=150000,150000,ER91)</f>
        <v>36000</v>
      </c>
      <c r="ET91">
        <f>EE91-ES91</f>
        <v>471620</v>
      </c>
      <c r="EU91">
        <v>0</v>
      </c>
      <c r="EV91">
        <v>0</v>
      </c>
      <c r="EW91">
        <v>0</v>
      </c>
      <c r="EX91">
        <v>0</v>
      </c>
      <c r="EY91">
        <v>0</v>
      </c>
      <c r="EZ91">
        <v>0</v>
      </c>
      <c r="FA91">
        <v>0</v>
      </c>
      <c r="FB91">
        <f>SUM(EU91:FA91)+(IF(F91="YES",50000,0))</f>
        <v>0</v>
      </c>
      <c r="FC91">
        <f>ET91-FB91</f>
        <v>471620</v>
      </c>
      <c r="FD91">
        <f>ROUND(IF(FC91&gt;0,IF(FC91&gt;500000,12500,(FC91-250000)*0.05),0),0)</f>
        <v>11081</v>
      </c>
      <c r="FE91">
        <f>IF(ROUND(IF(FC91&gt;0,IF(FC91&gt;1000000,25000,(FC91-500000)*0.2),0),0)&lt;0,0,ROUND(IF(FC91&gt;0,IF(FC91&gt;1000000,25000,(FC91-500000)*0.2),0),0))</f>
        <v>0</v>
      </c>
      <c r="FF91">
        <f>FD91+FE91</f>
        <v>11081</v>
      </c>
      <c r="FG91">
        <f>IF(FF91&lt;12500,0,FF91)</f>
        <v>0</v>
      </c>
      <c r="FH91">
        <f>FG91*0.04</f>
        <v>0</v>
      </c>
      <c r="FI91">
        <f>ROUND(FH91+FG91,0)</f>
        <v>0</v>
      </c>
      <c r="FJ91">
        <v>0</v>
      </c>
      <c r="FK91">
        <f>FI91-FJ91</f>
        <v>0</v>
      </c>
      <c r="FL91" t="b">
        <f>IF(EA91&gt;500000,TRUE,FALSE)</f>
        <v>1</v>
      </c>
      <c r="FM91">
        <f ca="1">IF(FL91,RANDBETWEEN(500,1000),RANDBETWEEN(1000,3000))</f>
        <v>756</v>
      </c>
      <c r="FN91">
        <f ca="1">EA91+FM91</f>
        <v>560776</v>
      </c>
      <c r="FO91">
        <f>IF(EA91&gt;0,75000,0)</f>
        <v>75000</v>
      </c>
      <c r="FP91">
        <f ca="1">FN91-FO91</f>
        <v>485776</v>
      </c>
      <c r="FQ91">
        <f ca="1">IF(FP91&gt;2400000,FP91-2400000,0)</f>
        <v>0</v>
      </c>
      <c r="FR91">
        <f ca="1">FQ91*0.3</f>
        <v>0</v>
      </c>
      <c r="FS91">
        <f ca="1">IF(FP91&gt;2000000,FP91-2000000,0)</f>
        <v>0</v>
      </c>
      <c r="FT91">
        <f ca="1">FS91*0.25</f>
        <v>0</v>
      </c>
      <c r="FU91">
        <f ca="1">IF(FP91&gt;1600000,FP91-1600000-FQ91,0)</f>
        <v>0</v>
      </c>
      <c r="FV91">
        <f ca="1">FU91*0.2</f>
        <v>0</v>
      </c>
      <c r="FW91">
        <f ca="1">IF(FP91&gt;1200000,FP91-1200000-IF(F91="YES",50000,0)-FU91,0)</f>
        <v>0</v>
      </c>
      <c r="FX91">
        <f ca="1">FW91*0.15</f>
        <v>0</v>
      </c>
      <c r="FY91">
        <f ca="1">IF(FP91&gt;800000,FP91-800000-FQ91-FU91-FW91,0)</f>
        <v>0</v>
      </c>
      <c r="FZ91">
        <f ca="1">FY91*0.1</f>
        <v>0</v>
      </c>
      <c r="GA91">
        <f ca="1">IF(FP91&gt;400000,FP91-400000-FQ91-FU91-FW91-FY91,0)</f>
        <v>85776</v>
      </c>
      <c r="GB91">
        <f ca="1">GA91*0.05</f>
        <v>4288.8</v>
      </c>
      <c r="GC91">
        <f ca="1">ROUND(FR91+FT91+FV91+FX91+FZ91+GB91,0)</f>
        <v>4289</v>
      </c>
      <c r="GD91">
        <f ca="1">IF(FP91&gt;1200000,FP91,0)</f>
        <v>0</v>
      </c>
      <c r="GE91">
        <f ca="1">IF(FP91&gt;1200000,GD91-1200000,0)</f>
        <v>0</v>
      </c>
      <c r="GF91">
        <f ca="1">IF(FP91&lt;1200001,MIN(GC91,60000),0)</f>
        <v>4289</v>
      </c>
      <c r="GG91">
        <f ca="1">IF(FP91&gt;1200000,GC91-GE91,0)</f>
        <v>0</v>
      </c>
      <c r="GH91" t="b">
        <f ca="1">IF(GG91&gt;0,TRUE,FALSE)</f>
        <v>0</v>
      </c>
      <c r="GI91">
        <f ca="1">IF(GH91,GG91,0)</f>
        <v>0</v>
      </c>
      <c r="GJ91">
        <f ca="1">GF91+GI91</f>
        <v>4289</v>
      </c>
      <c r="GK91">
        <f ca="1">ROUND(GC91-GJ91,0)</f>
        <v>0</v>
      </c>
      <c r="GL91">
        <f ca="1">GK91*0.04</f>
        <v>0</v>
      </c>
      <c r="GM91">
        <f ca="1">ROUNDUP(GK91+GL91,0)</f>
        <v>0</v>
      </c>
    </row>
    <row r="92" spans="1:195" x14ac:dyDescent="0.25">
      <c r="A92">
        <f>_xlfn.AGGREGATE(3,5,$B$2:B92)</f>
        <v>91</v>
      </c>
      <c r="B92" t="s">
        <v>302</v>
      </c>
      <c r="C92" t="s">
        <v>303</v>
      </c>
      <c r="D92" t="s">
        <v>776</v>
      </c>
      <c r="E92" t="s">
        <v>833</v>
      </c>
      <c r="F92" t="s">
        <v>959</v>
      </c>
      <c r="G92" t="s">
        <v>906</v>
      </c>
      <c r="H92">
        <f>IF(_xlfn.DAYS("31-03-2025",G92)&gt;=180,6800,0)</f>
        <v>6800</v>
      </c>
      <c r="I92">
        <f>_xlfn.XLOOKUP(B92,'[1]march-2025'!$A:$A,'[1]march-2025'!$J:$J,0,0)</f>
        <v>0</v>
      </c>
      <c r="J92">
        <f>_xlfn.XLOOKUP(B92,'[1]march-2025'!$A:$A,'[1]march-2025'!$C:$C,0,0)</f>
        <v>28900</v>
      </c>
      <c r="K92">
        <f>J92*0.14</f>
        <v>4046.0000000000005</v>
      </c>
      <c r="L92">
        <f>J92*0.12</f>
        <v>3468</v>
      </c>
      <c r="M92">
        <f>_xlfn.XLOOKUP(B92,'[1]march-2025'!$A:$A,'[1]march-2025'!$D:$D,0,0)</f>
        <v>0</v>
      </c>
      <c r="N92">
        <f>_xlfn.XLOOKUP(B92,'[1]march-2025'!$A:$A,'[1]march-2025'!$G:$G,0,0)</f>
        <v>500</v>
      </c>
      <c r="O92">
        <f>IF(J92&gt;0,SUM(J92:N92),0)</f>
        <v>36914</v>
      </c>
      <c r="P92">
        <f>_xlfn.XLOOKUP(B92,'[1]march-2025'!$A:$A,'[1]march-2025'!$H:$H,0,0)</f>
        <v>2000</v>
      </c>
      <c r="Q92">
        <f>_xlfn.XLOOKUP(B92,'[1]march-2025'!$A:$A,'[1]march-2025'!$I:$I,0,0)</f>
        <v>0</v>
      </c>
      <c r="R92">
        <f>IF($F92="YES",0,IF(O92&gt;40000,200,IF(O92&gt;25000,150,IF(O92&gt;15000,130,IF(O92&gt;10000,110,0)))))</f>
        <v>150</v>
      </c>
      <c r="S92">
        <f>O92-P92-Q92-R92</f>
        <v>34764</v>
      </c>
      <c r="T92">
        <f>_xlfn.XLOOKUP(B92,'[2]april-2025'!$A:$A,'[2]april-2025'!$C:$C,0,0)</f>
        <v>28900</v>
      </c>
      <c r="U92">
        <f>T92*0.18</f>
        <v>5202</v>
      </c>
      <c r="V92">
        <f>T92*0.12</f>
        <v>3468</v>
      </c>
      <c r="W92">
        <f>_xlfn.XLOOKUP(B92,'[2]april-2025'!$A:$A,'[2]april-2025'!$D:$D,0,0)</f>
        <v>0</v>
      </c>
      <c r="X92">
        <f>_xlfn.XLOOKUP(B92,'[2]april-2025'!$A:$A,'[2]april-2025'!$G:$G,0,0)</f>
        <v>500</v>
      </c>
      <c r="Y92">
        <f>IF(T92&gt;0,SUM(T92:X92),0)</f>
        <v>38070</v>
      </c>
      <c r="Z92">
        <f>_xlfn.XLOOKUP(B92,'[2]april-2025'!$A:$A,'[2]april-2025'!$H:$H,0,0)</f>
        <v>2000</v>
      </c>
      <c r="AA92">
        <f>_xlfn.XLOOKUP(B92,'[2]april-2025'!$A:$A,'[2]april-2025'!$I:$I,0,0)</f>
        <v>0</v>
      </c>
      <c r="AB92">
        <f>IF($F92="YES",0,IF(Y92&gt;40000,200,IF(Y92&gt;25000,150,IF(Y92&gt;15000,130,IF(Y92&gt;10000,110,0)))))</f>
        <v>150</v>
      </c>
      <c r="AC92">
        <f>Y92-Z92-AA92-AB92</f>
        <v>35920</v>
      </c>
      <c r="AD92">
        <f>_xlfn.XLOOKUP(B92,'[3]may-2025'!$A:$A,'[3]may-2025'!$C:$C,0,0)</f>
        <v>28900</v>
      </c>
      <c r="AE92">
        <f>AD92*0.18</f>
        <v>5202</v>
      </c>
      <c r="AF92">
        <f>AD92*0.12</f>
        <v>3468</v>
      </c>
      <c r="AG92">
        <f>_xlfn.XLOOKUP(B92,'[3]may-2025'!$A:$A,'[3]may-2025'!$D:$D,0,0)</f>
        <v>0</v>
      </c>
      <c r="AH92">
        <f>_xlfn.XLOOKUP(B92,'[3]may-2025'!$A:$A,'[3]may-2025'!$G:$G,0,0)</f>
        <v>500</v>
      </c>
      <c r="AI92">
        <f>IF(AD92&gt;0,SUM(AD92:AH92),0)</f>
        <v>38070</v>
      </c>
      <c r="AJ92">
        <f>_xlfn.XLOOKUP(B92,'[3]may-2025'!$A:$A,'[3]may-2025'!$H:$H,0,0)</f>
        <v>2000</v>
      </c>
      <c r="AK92">
        <f>_xlfn.XLOOKUP(B92,'[3]may-2025'!$A:$A,'[3]may-2025'!$I:$I,0,0)</f>
        <v>0</v>
      </c>
      <c r="AL92">
        <f>IF($F92="YES",0,IF(AI92&gt;40000,200,IF(AI92&gt;25000,150,IF(AI92&gt;15000,130,IF(AI92&gt;10000,110,0)))))</f>
        <v>150</v>
      </c>
      <c r="AM92">
        <f>AI92-AJ92-AK92-AL92</f>
        <v>35920</v>
      </c>
      <c r="AN92">
        <f>_xlfn.XLOOKUP(B92,'[4]june-2025'!$A:$A,'[4]june-2025'!$C:$C,0,0)</f>
        <v>28900</v>
      </c>
      <c r="AO92">
        <f>AN92*0.18</f>
        <v>5202</v>
      </c>
      <c r="AP92">
        <f>AN92*0.12</f>
        <v>3468</v>
      </c>
      <c r="AQ92">
        <f>_xlfn.XLOOKUP(B92,'[4]june-2025'!$A:$A,'[4]june-2025'!$D:$D,0,0)</f>
        <v>0</v>
      </c>
      <c r="AR92">
        <f>_xlfn.XLOOKUP(B92,'[4]june-2025'!$A:$A,'[4]june-2025'!$G:$G,0,0)</f>
        <v>500</v>
      </c>
      <c r="AS92">
        <f>IF(AN92&gt;0,SUM(AN92:AR92),0)</f>
        <v>38070</v>
      </c>
      <c r="AT92">
        <f>_xlfn.XLOOKUP(B92,'[4]june-2025'!$A:$A,'[4]june-2025'!$H:$H,0,0)</f>
        <v>2000</v>
      </c>
      <c r="AU92">
        <f>_xlfn.XLOOKUP(B92,'[4]june-2025'!$A:$A,'[4]june-2025'!$I:$I,0,0)</f>
        <v>0</v>
      </c>
      <c r="AV92">
        <f>IF($F92="YES",0,IF(AS92&gt;40000,200,IF(AS92&gt;25000,150,IF(AS92&gt;15000,130,IF(AS92&gt;10000,110,0)))))</f>
        <v>150</v>
      </c>
      <c r="AW92">
        <f>AS92-AT92-AU92-AV92</f>
        <v>35920</v>
      </c>
      <c r="AX92">
        <f>_xlfn.XLOOKUP(B92,'[5]july-2025'!$A:$A,'[5]july-2025'!$C:$C,0,0)</f>
        <v>29800</v>
      </c>
      <c r="AY92">
        <f>AX92*0.18</f>
        <v>5364</v>
      </c>
      <c r="AZ92">
        <v>0</v>
      </c>
      <c r="BA92">
        <f>AX92*0.12</f>
        <v>3576</v>
      </c>
      <c r="BB92">
        <f>_xlfn.XLOOKUP(B92,'[5]july-2025'!$A:$A,'[5]july-2025'!$D:$D,0,0)</f>
        <v>0</v>
      </c>
      <c r="BC92">
        <f>_xlfn.XLOOKUP(B92,'[5]july-2025'!$A:$A,'[5]july-2025'!$G:$G,0,0)</f>
        <v>500</v>
      </c>
      <c r="BD92">
        <f>IF(AX92&gt;0,SUM(AX92:BC92),0)</f>
        <v>39240</v>
      </c>
      <c r="BE92">
        <f>_xlfn.XLOOKUP(B92,'[5]july-2025'!$A:$A,'[5]july-2025'!$H:$H,0,0)</f>
        <v>2000</v>
      </c>
      <c r="BF92">
        <f>_xlfn.XLOOKUP(B92,'[5]july-2025'!$A:$A,'[5]july-2025'!$I:$I,0,0)</f>
        <v>0</v>
      </c>
      <c r="BG92">
        <f>IF($F92="YES",0,IF(BD92&gt;40000,200,IF(BD92&gt;25000,150,IF(BD92&gt;15000,130,IF(BD92&gt;10000,110,0)))))</f>
        <v>150</v>
      </c>
      <c r="BH92">
        <f>BD92-BE92-BF92-BG92</f>
        <v>37090</v>
      </c>
      <c r="BI92">
        <f>_xlfn.XLOOKUP(B92,'[6]august-2025'!$A:$A,'[6]august-2025'!$C:$C,0,0)</f>
        <v>29800</v>
      </c>
      <c r="BJ92">
        <f>BI92*0.18</f>
        <v>5364</v>
      </c>
      <c r="BK92">
        <f>BI92*0.12</f>
        <v>3576</v>
      </c>
      <c r="BL92">
        <f>_xlfn.XLOOKUP(B92,'[6]august-2025'!$A:$A,'[6]august-2025'!$D:$D,0,0)</f>
        <v>0</v>
      </c>
      <c r="BM92">
        <f>_xlfn.XLOOKUP(B92,'[6]august-2025'!$A:$A,'[6]august-2025'!$G:$G,0,0)</f>
        <v>500</v>
      </c>
      <c r="BN92">
        <f>IF(BI92&gt;0,SUM(BI92:BM92),0)</f>
        <v>39240</v>
      </c>
      <c r="BO92">
        <f>_xlfn.XLOOKUP(B92,'[6]august-2025'!$A:$A,'[6]august-2025'!$H:$H,0,0)</f>
        <v>2000</v>
      </c>
      <c r="BP92">
        <f>_xlfn.XLOOKUP(B92,'[6]august-2025'!$A:$A,'[6]august-2025'!$I:$I,0,0)</f>
        <v>0</v>
      </c>
      <c r="BQ92">
        <f>IF($F92="YES",0,IF(BN92&gt;40000,200,IF(BN92&gt;25000,150,IF(BN92&gt;15000,130,IF(BN92&gt;10000,110,0)))))</f>
        <v>150</v>
      </c>
      <c r="BR92">
        <f>BN92-BO92-BP92-BQ92</f>
        <v>37090</v>
      </c>
      <c r="BS92">
        <f>_xlfn.XLOOKUP(B92,'[7]september-2025'!$A:$A,'[7]september-2025'!$C:$C,0,0)</f>
        <v>29800</v>
      </c>
      <c r="BT92">
        <f>BS92*0.18</f>
        <v>5364</v>
      </c>
      <c r="BU92">
        <f>BS92*0.12</f>
        <v>3576</v>
      </c>
      <c r="BV92">
        <f>_xlfn.XLOOKUP(B92,'[7]september-2025'!$A:$A,'[7]september-2025'!$D:$D,0,0)</f>
        <v>0</v>
      </c>
      <c r="BW92">
        <f>_xlfn.XLOOKUP(B92,'[7]september-2025'!$A:$A,'[7]september-2025'!$G:$G,0,0)</f>
        <v>500</v>
      </c>
      <c r="BX92">
        <f>IF(BS92&gt;0,SUM(BS92:BW92),0)</f>
        <v>39240</v>
      </c>
      <c r="BY92">
        <f>_xlfn.XLOOKUP(B92,'[7]september-2025'!$A:$A,'[7]september-2025'!$H:$H,0,0)</f>
        <v>2000</v>
      </c>
      <c r="BZ92">
        <f>_xlfn.XLOOKUP(B92,'[7]september-2025'!$A:$A,'[7]september-2025'!$I:$I,0,0)</f>
        <v>0</v>
      </c>
      <c r="CA92">
        <f>IF($F92="YES",0,IF(BX92&gt;40000,200,IF(BX92&gt;25000,150,IF(BX92&gt;15000,130,IF(BX92&gt;10000,110,0)))))</f>
        <v>150</v>
      </c>
      <c r="CB92">
        <f>BX92-BY92-BZ92-CA92</f>
        <v>37090</v>
      </c>
      <c r="CC92">
        <f>_xlfn.XLOOKUP(B92,'[8]october-2025'!$A:$A,'[8]october-2025'!$C:$C,0,0)</f>
        <v>29800</v>
      </c>
      <c r="CD92">
        <f>CC92*0.18</f>
        <v>5364</v>
      </c>
      <c r="CE92">
        <f>CC92*0.12</f>
        <v>3576</v>
      </c>
      <c r="CF92">
        <f>_xlfn.XLOOKUP(B92,'[8]october-2025'!$A:$A,'[8]october-2025'!$D:$D,0,0)</f>
        <v>0</v>
      </c>
      <c r="CG92">
        <f>_xlfn.XLOOKUP(B92,'[8]october-2025'!$A:$A,'[8]october-2025'!$G:$G,0,0)</f>
        <v>500</v>
      </c>
      <c r="CH92">
        <f>IF(CC92&gt;0,SUM(CC92:CG92),0)</f>
        <v>39240</v>
      </c>
      <c r="CI92">
        <f>_xlfn.XLOOKUP(B92,'[8]october-2025'!$A:$A,'[8]october-2025'!$H:$H,0,0)</f>
        <v>2000</v>
      </c>
      <c r="CJ92">
        <f>_xlfn.XLOOKUP(B92,'[8]october-2025'!$A:$A,'[8]october-2025'!$I:$I,0,0)</f>
        <v>0</v>
      </c>
      <c r="CK92">
        <f>IF($F92="YES",0,IF(CH92&gt;40000,200,IF(CH92&gt;25000,150,IF(CH92&gt;15000,130,IF(CH92&gt;10000,110,0)))))</f>
        <v>150</v>
      </c>
      <c r="CL92">
        <f>CH92-CI92-CJ92-CK92</f>
        <v>37090</v>
      </c>
      <c r="CM92">
        <f>_xlfn.XLOOKUP(B92,'[9]november-2025'!$A:$A,'[9]november-2025'!$C:$C,0,0)</f>
        <v>29800</v>
      </c>
      <c r="CN92">
        <f>CM92*0.18</f>
        <v>5364</v>
      </c>
      <c r="CO92">
        <f>CM92*0.12</f>
        <v>3576</v>
      </c>
      <c r="CP92">
        <f>_xlfn.XLOOKUP(B92,'[9]november-2025'!$A:$A,'[9]november-2025'!$D:$D,0,0)</f>
        <v>0</v>
      </c>
      <c r="CQ92">
        <f>_xlfn.XLOOKUP(B92,'[9]november-2025'!$A:$A,'[9]november-2025'!$G:$G,0,0)</f>
        <v>500</v>
      </c>
      <c r="CR92">
        <f>IF(CM92&gt;0,SUM(CM92:CQ92),0)</f>
        <v>39240</v>
      </c>
      <c r="CS92">
        <f>_xlfn.XLOOKUP(B92,'[9]november-2025'!$A:$A,'[9]november-2025'!$H:$H,0,0)</f>
        <v>2000</v>
      </c>
      <c r="CT92">
        <f>_xlfn.XLOOKUP(B92,'[9]november-2025'!$A:$A,'[9]november-2025'!$I:$I,0,0)</f>
        <v>0</v>
      </c>
      <c r="CU92">
        <f>IF($F92="YES",0,IF(CR92&gt;40000,200,IF(CR92&gt;25000,150,IF(CR92&gt;15000,130,IF(CR92&gt;10000,110,0)))))</f>
        <v>150</v>
      </c>
      <c r="CV92">
        <f>CR92-CS92-CT92-CU92</f>
        <v>37090</v>
      </c>
      <c r="CW92">
        <f>_xlfn.XLOOKUP(B92,'[10]december-2025'!$A:$A,'[10]december-2025'!$C:$C,0,0)</f>
        <v>29800</v>
      </c>
      <c r="CX92">
        <f>ROUND(CW92*0.18,0)</f>
        <v>5364</v>
      </c>
      <c r="CY92">
        <f>ROUND(CW92*0.12,0)</f>
        <v>3576</v>
      </c>
      <c r="CZ92">
        <f>_xlfn.XLOOKUP(B92,'[10]december-2025'!$A:$A,'[10]december-2025'!$D:$D,0,0)</f>
        <v>0</v>
      </c>
      <c r="DA92">
        <f>_xlfn.XLOOKUP(B92,'[10]december-2025'!$A:$A,'[10]december-2025'!$G:$G,0,0)</f>
        <v>500</v>
      </c>
      <c r="DB92">
        <f>IF(CW92&gt;0,SUM(CW92:DA92),0)</f>
        <v>39240</v>
      </c>
      <c r="DC92">
        <f>_xlfn.XLOOKUP(B92,'[10]december-2025'!$A:$A,'[10]december-2025'!$H:$H,0,0)</f>
        <v>2000</v>
      </c>
      <c r="DD92">
        <f>_xlfn.XLOOKUP(B92,'[10]december-2025'!$A:$A,'[10]december-2025'!$I:$I,0,0)</f>
        <v>0</v>
      </c>
      <c r="DE92">
        <f>IF($F92="YES",0,IF(DB92&gt;40000,200,IF(DB92&gt;25000,150,IF(DB92&gt;15000,130,IF(DB92&gt;10000,110,0)))))</f>
        <v>150</v>
      </c>
      <c r="DF92">
        <f>DB92-DC92-DD92-DE92</f>
        <v>37090</v>
      </c>
      <c r="DG92">
        <f>_xlfn.XLOOKUP(B92,'[11]january-2026'!$A:$A,'[11]january-2026'!$C:$C,0,0)</f>
        <v>29800</v>
      </c>
      <c r="DH92">
        <f>DG92*0.18</f>
        <v>5364</v>
      </c>
      <c r="DI92">
        <f>DG92*0.12</f>
        <v>3576</v>
      </c>
      <c r="DJ92">
        <f>_xlfn.XLOOKUP(B92,'[11]january-2026'!$A:$A,'[11]january-2026'!$D:$D,0,0)</f>
        <v>0</v>
      </c>
      <c r="DK92">
        <f>_xlfn.XLOOKUP(B92,'[11]january-2026'!$A:$A,'[11]january-2026'!$G:$G,0,0)</f>
        <v>500</v>
      </c>
      <c r="DL92">
        <f>IF(DG92&gt;0,SUM(DG92:DK92),0)</f>
        <v>39240</v>
      </c>
      <c r="DM92">
        <f>_xlfn.XLOOKUP(B92,'[11]january-2026'!$A:$A,'[11]january-2026'!$H:$H,0,0)</f>
        <v>2000</v>
      </c>
      <c r="DN92">
        <f>_xlfn.XLOOKUP(B92,'[11]january-2026'!$A:$A,'[11]january-2026'!$I:$I,0,0)</f>
        <v>0</v>
      </c>
      <c r="DO92">
        <f>IF($F92="YES",0,IF(DL92&gt;40000,200,IF(DL92&gt;25000,150,IF(DL92&gt;15000,130,IF(DL92&gt;10000,110,0)))))</f>
        <v>150</v>
      </c>
      <c r="DP92">
        <f>DL92-DM92-DN92-DO92</f>
        <v>37090</v>
      </c>
      <c r="DQ92">
        <f>_xlfn.XLOOKUP(B92,'[12]february-2026'!$A:$A,'[12]february-2026'!$C:$C,0,0)</f>
        <v>29800</v>
      </c>
      <c r="DR92">
        <f>DQ92*0.18</f>
        <v>5364</v>
      </c>
      <c r="DS92">
        <f>DQ92*0.12</f>
        <v>3576</v>
      </c>
      <c r="DT92">
        <f>_xlfn.XLOOKUP(B92,'[12]february-2026'!$A:$A,'[12]february-2026'!$D:$D,0,0)</f>
        <v>0</v>
      </c>
      <c r="DU92">
        <f>_xlfn.XLOOKUP(B92,'[12]february-2026'!$A:$A,'[12]february-2026'!$G:$G,0,0)</f>
        <v>500</v>
      </c>
      <c r="DV92">
        <f>IF(DQ92&gt;0,SUM(DQ92:DU92),0)</f>
        <v>39240</v>
      </c>
      <c r="DW92">
        <f>_xlfn.XLOOKUP(B92,'[12]february-2026'!$A:$A,'[12]february-2026'!$H:$H,0,0)</f>
        <v>2000</v>
      </c>
      <c r="DX92">
        <f>_xlfn.XLOOKUP(B92,'[12]february-2026'!$A:$A,'[12]february-2026'!$I:$I,0,0)</f>
        <v>0</v>
      </c>
      <c r="DY92">
        <f>IF($F92="YES",0,IF(DV92&gt;40000,200,IF(DV92&gt;25000,150,IF(DV92&gt;15000,130,IF(DV92&gt;10000,110,0)))))</f>
        <v>150</v>
      </c>
      <c r="DZ92">
        <f>DV92-DW92-DX92-DY92</f>
        <v>37090</v>
      </c>
      <c r="EA92">
        <f>DV92+DL92+DB92+CR92+CH92+BX92+BN92+BD92+AS92+AI92+Y92+O92+H92+I92</f>
        <v>471844</v>
      </c>
      <c r="EB92">
        <f>DY92+DO92+DE92+CU92+CK92+CA92+BQ92+BG92+AV92+AL92+AB92+R92</f>
        <v>1800</v>
      </c>
      <c r="EC92">
        <f>IF(EA92&gt;0,50000,0)</f>
        <v>50000</v>
      </c>
      <c r="ED92">
        <v>0</v>
      </c>
      <c r="EE92">
        <f>EA92-EB92-EC92</f>
        <v>420044</v>
      </c>
      <c r="EF92">
        <f>DW92+DM92+DC92+CS92+CI92+BY92+BO92+BE92+AT92+AJ92+Z92+P92</f>
        <v>24000</v>
      </c>
      <c r="EG92">
        <f>DX92+DN92+DD92+CT92+CJ92+BZ92+BP92+BF92+AU92+AK92+AA92+Q92</f>
        <v>0</v>
      </c>
      <c r="EH92">
        <v>0</v>
      </c>
      <c r="EI92">
        <v>0</v>
      </c>
      <c r="EJ92">
        <v>0</v>
      </c>
      <c r="EK92">
        <v>0</v>
      </c>
      <c r="EL92">
        <v>0</v>
      </c>
      <c r="EM92">
        <v>0</v>
      </c>
      <c r="EN92">
        <v>0</v>
      </c>
      <c r="EO92">
        <v>0</v>
      </c>
      <c r="EP92">
        <v>0</v>
      </c>
      <c r="EQ92">
        <v>0</v>
      </c>
      <c r="ER92">
        <f>SUM(EF92:EQ92)</f>
        <v>24000</v>
      </c>
      <c r="ES92">
        <f>IF(ER92&gt;=150000,150000,ER92)</f>
        <v>24000</v>
      </c>
      <c r="ET92">
        <f>EE92-ES92</f>
        <v>396044</v>
      </c>
      <c r="EU92">
        <v>0</v>
      </c>
      <c r="EV92">
        <v>0</v>
      </c>
      <c r="EW92">
        <v>0</v>
      </c>
      <c r="EX92">
        <v>0</v>
      </c>
      <c r="EY92">
        <v>0</v>
      </c>
      <c r="EZ92">
        <v>0</v>
      </c>
      <c r="FA92">
        <v>0</v>
      </c>
      <c r="FB92">
        <f>SUM(EU92:FA92)+(IF(F92="YES",50000,0))</f>
        <v>0</v>
      </c>
      <c r="FC92">
        <f>ET92-FB92</f>
        <v>396044</v>
      </c>
      <c r="FD92">
        <f>ROUND(IF(FC92&gt;0,IF(FC92&gt;500000,12500,(FC92-250000)*0.05),0),0)</f>
        <v>7302</v>
      </c>
      <c r="FE92">
        <f>IF(ROUND(IF(FC92&gt;0,IF(FC92&gt;1000000,25000,(FC92-500000)*0.2),0),0)&lt;0,0,ROUND(IF(FC92&gt;0,IF(FC92&gt;1000000,25000,(FC92-500000)*0.2),0),0))</f>
        <v>0</v>
      </c>
      <c r="FF92">
        <f>FD92+FE92</f>
        <v>7302</v>
      </c>
      <c r="FG92">
        <f>IF(FF92&lt;12500,0,FF92)</f>
        <v>0</v>
      </c>
      <c r="FH92">
        <f>FG92*0.04</f>
        <v>0</v>
      </c>
      <c r="FI92">
        <f>ROUND(FH92+FG92,0)</f>
        <v>0</v>
      </c>
      <c r="FJ92">
        <v>0</v>
      </c>
      <c r="FK92">
        <f>FI92-FJ92</f>
        <v>0</v>
      </c>
      <c r="FL92" t="b">
        <f>IF(EA92&gt;500000,TRUE,FALSE)</f>
        <v>0</v>
      </c>
      <c r="FM92">
        <f ca="1">IF(FL92,RANDBETWEEN(500,1000),RANDBETWEEN(1000,3000))</f>
        <v>1435</v>
      </c>
      <c r="FN92">
        <f ca="1">EA92+FM92</f>
        <v>473279</v>
      </c>
      <c r="FO92">
        <f>IF(EA92&gt;0,75000,0)</f>
        <v>75000</v>
      </c>
      <c r="FP92">
        <f ca="1">FN92-FO92</f>
        <v>398279</v>
      </c>
      <c r="FQ92">
        <f ca="1">IF(FP92&gt;2400000,FP92-2400000,0)</f>
        <v>0</v>
      </c>
      <c r="FR92">
        <f ca="1">FQ92*0.3</f>
        <v>0</v>
      </c>
      <c r="FS92">
        <f ca="1">IF(FP92&gt;2000000,FP92-2000000,0)</f>
        <v>0</v>
      </c>
      <c r="FT92">
        <f ca="1">FS92*0.25</f>
        <v>0</v>
      </c>
      <c r="FU92">
        <f ca="1">IF(FP92&gt;1600000,FP92-1600000-FQ92,0)</f>
        <v>0</v>
      </c>
      <c r="FV92">
        <f ca="1">FU92*0.2</f>
        <v>0</v>
      </c>
      <c r="FW92">
        <f ca="1">IF(FP92&gt;1200000,FP92-1200000-IF(F92="YES",50000,0)-FU92,0)</f>
        <v>0</v>
      </c>
      <c r="FX92">
        <f ca="1">FW92*0.15</f>
        <v>0</v>
      </c>
      <c r="FY92">
        <f ca="1">IF(FP92&gt;800000,FP92-800000-FQ92-FU92-FW92,0)</f>
        <v>0</v>
      </c>
      <c r="FZ92">
        <f ca="1">FY92*0.1</f>
        <v>0</v>
      </c>
      <c r="GA92">
        <f ca="1">IF(FP92&gt;400000,FP92-400000-FQ92-FU92-FW92-FY92,0)</f>
        <v>0</v>
      </c>
      <c r="GB92">
        <f ca="1">GA92*0.05</f>
        <v>0</v>
      </c>
      <c r="GC92">
        <f ca="1">ROUND(FR92+FT92+FV92+FX92+FZ92+GB92,0)</f>
        <v>0</v>
      </c>
      <c r="GD92">
        <f ca="1">IF(FP92&gt;1200000,FP92,0)</f>
        <v>0</v>
      </c>
      <c r="GE92">
        <f ca="1">IF(FP92&gt;1200000,GD92-1200000,0)</f>
        <v>0</v>
      </c>
      <c r="GF92">
        <f ca="1">IF(FP92&lt;1200001,MIN(GC92,60000),0)</f>
        <v>0</v>
      </c>
      <c r="GG92">
        <f ca="1">IF(FP92&gt;1200000,GC92-GE92,0)</f>
        <v>0</v>
      </c>
      <c r="GH92" t="b">
        <f ca="1">IF(GG92&gt;0,TRUE,FALSE)</f>
        <v>0</v>
      </c>
      <c r="GI92">
        <f ca="1">IF(GH92,GG92,0)</f>
        <v>0</v>
      </c>
      <c r="GJ92">
        <f ca="1">GF92+GI92</f>
        <v>0</v>
      </c>
      <c r="GK92">
        <f ca="1">ROUND(GC92-GJ92,0)</f>
        <v>0</v>
      </c>
      <c r="GL92">
        <f ca="1">GK92*0.04</f>
        <v>0</v>
      </c>
      <c r="GM92">
        <f ca="1">ROUNDUP(GK92+GL92,0)</f>
        <v>0</v>
      </c>
    </row>
    <row r="93" spans="1:195" x14ac:dyDescent="0.25">
      <c r="A93">
        <f>_xlfn.AGGREGATE(3,5,$B$2:B93)</f>
        <v>92</v>
      </c>
      <c r="B93" t="s">
        <v>304</v>
      </c>
      <c r="C93" t="s">
        <v>305</v>
      </c>
      <c r="D93" t="s">
        <v>777</v>
      </c>
      <c r="E93" t="s">
        <v>833</v>
      </c>
      <c r="F93" t="s">
        <v>959</v>
      </c>
      <c r="G93" t="s">
        <v>893</v>
      </c>
      <c r="H93">
        <f>IF(_xlfn.DAYS("31-03-2025",G93)&gt;=180,6800,0)</f>
        <v>6800</v>
      </c>
      <c r="I93">
        <f>_xlfn.XLOOKUP(B93,'[1]march-2025'!$A:$A,'[1]march-2025'!$J:$J,0,0)</f>
        <v>0</v>
      </c>
      <c r="J93">
        <f>_xlfn.XLOOKUP(B93,'[1]march-2025'!$A:$A,'[1]march-2025'!$C:$C,0,0)</f>
        <v>34500</v>
      </c>
      <c r="K93">
        <f>J93*0.14</f>
        <v>4830.0000000000009</v>
      </c>
      <c r="L93">
        <f>J93*0.12</f>
        <v>4140</v>
      </c>
      <c r="M93">
        <f>_xlfn.XLOOKUP(B93,'[1]march-2025'!$A:$A,'[1]march-2025'!$D:$D,0,0)</f>
        <v>0</v>
      </c>
      <c r="N93">
        <f>_xlfn.XLOOKUP(B93,'[1]march-2025'!$A:$A,'[1]march-2025'!$G:$G,0,0)</f>
        <v>500</v>
      </c>
      <c r="O93">
        <f>IF(J93&gt;0,SUM(J93:N93),0)</f>
        <v>43970</v>
      </c>
      <c r="P93">
        <f>_xlfn.XLOOKUP(B93,'[1]march-2025'!$A:$A,'[1]march-2025'!$H:$H,0,0)</f>
        <v>2500</v>
      </c>
      <c r="Q93">
        <f>_xlfn.XLOOKUP(B93,'[1]march-2025'!$A:$A,'[1]march-2025'!$I:$I,0,0)</f>
        <v>0</v>
      </c>
      <c r="R93">
        <f>IF($F93="YES",0,IF(O93&gt;40000,200,IF(O93&gt;25000,150,IF(O93&gt;15000,130,IF(O93&gt;10000,110,0)))))</f>
        <v>200</v>
      </c>
      <c r="S93">
        <f>O93-P93-Q93-R93</f>
        <v>41270</v>
      </c>
      <c r="T93">
        <f>_xlfn.XLOOKUP(B93,'[2]april-2025'!$A:$A,'[2]april-2025'!$C:$C,0,0)</f>
        <v>34500</v>
      </c>
      <c r="U93">
        <f>T93*0.18</f>
        <v>6210</v>
      </c>
      <c r="V93">
        <f>T93*0.12</f>
        <v>4140</v>
      </c>
      <c r="W93">
        <f>_xlfn.XLOOKUP(B93,'[2]april-2025'!$A:$A,'[2]april-2025'!$D:$D,0,0)</f>
        <v>0</v>
      </c>
      <c r="X93">
        <f>_xlfn.XLOOKUP(B93,'[2]april-2025'!$A:$A,'[2]april-2025'!$G:$G,0,0)</f>
        <v>500</v>
      </c>
      <c r="Y93">
        <f>IF(T93&gt;0,SUM(T93:X93),0)</f>
        <v>45350</v>
      </c>
      <c r="Z93">
        <f>_xlfn.XLOOKUP(B93,'[2]april-2025'!$A:$A,'[2]april-2025'!$H:$H,0,0)</f>
        <v>2500</v>
      </c>
      <c r="AA93">
        <f>_xlfn.XLOOKUP(B93,'[2]april-2025'!$A:$A,'[2]april-2025'!$I:$I,0,0)</f>
        <v>0</v>
      </c>
      <c r="AB93">
        <f>IF($F93="YES",0,IF(Y93&gt;40000,200,IF(Y93&gt;25000,150,IF(Y93&gt;15000,130,IF(Y93&gt;10000,110,0)))))</f>
        <v>200</v>
      </c>
      <c r="AC93">
        <f>Y93-Z93-AA93-AB93</f>
        <v>42650</v>
      </c>
      <c r="AD93">
        <f>_xlfn.XLOOKUP(B93,'[3]may-2025'!$A:$A,'[3]may-2025'!$C:$C,0,0)</f>
        <v>34500</v>
      </c>
      <c r="AE93">
        <f>AD93*0.18</f>
        <v>6210</v>
      </c>
      <c r="AF93">
        <f>AD93*0.12</f>
        <v>4140</v>
      </c>
      <c r="AG93">
        <f>_xlfn.XLOOKUP(B93,'[3]may-2025'!$A:$A,'[3]may-2025'!$D:$D,0,0)</f>
        <v>0</v>
      </c>
      <c r="AH93">
        <f>_xlfn.XLOOKUP(B93,'[3]may-2025'!$A:$A,'[3]may-2025'!$G:$G,0,0)</f>
        <v>500</v>
      </c>
      <c r="AI93">
        <f>IF(AD93&gt;0,SUM(AD93:AH93),0)</f>
        <v>45350</v>
      </c>
      <c r="AJ93">
        <f>_xlfn.XLOOKUP(B93,'[3]may-2025'!$A:$A,'[3]may-2025'!$H:$H,0,0)</f>
        <v>2500</v>
      </c>
      <c r="AK93">
        <f>_xlfn.XLOOKUP(B93,'[3]may-2025'!$A:$A,'[3]may-2025'!$I:$I,0,0)</f>
        <v>0</v>
      </c>
      <c r="AL93">
        <f>IF($F93="YES",0,IF(AI93&gt;40000,200,IF(AI93&gt;25000,150,IF(AI93&gt;15000,130,IF(AI93&gt;10000,110,0)))))</f>
        <v>200</v>
      </c>
      <c r="AM93">
        <f>AI93-AJ93-AK93-AL93</f>
        <v>42650</v>
      </c>
      <c r="AN93">
        <f>_xlfn.XLOOKUP(B93,'[4]june-2025'!$A:$A,'[4]june-2025'!$C:$C,0,0)</f>
        <v>34500</v>
      </c>
      <c r="AO93">
        <f>AN93*0.18</f>
        <v>6210</v>
      </c>
      <c r="AP93">
        <f>AN93*0.12</f>
        <v>4140</v>
      </c>
      <c r="AQ93">
        <f>_xlfn.XLOOKUP(B93,'[4]june-2025'!$A:$A,'[4]june-2025'!$D:$D,0,0)</f>
        <v>0</v>
      </c>
      <c r="AR93">
        <f>_xlfn.XLOOKUP(B93,'[4]june-2025'!$A:$A,'[4]june-2025'!$G:$G,0,0)</f>
        <v>500</v>
      </c>
      <c r="AS93">
        <f>IF(AN93&gt;0,SUM(AN93:AR93),0)</f>
        <v>45350</v>
      </c>
      <c r="AT93">
        <f>_xlfn.XLOOKUP(B93,'[4]june-2025'!$A:$A,'[4]june-2025'!$H:$H,0,0)</f>
        <v>2500</v>
      </c>
      <c r="AU93">
        <f>_xlfn.XLOOKUP(B93,'[4]june-2025'!$A:$A,'[4]june-2025'!$I:$I,0,0)</f>
        <v>0</v>
      </c>
      <c r="AV93">
        <f>IF($F93="YES",0,IF(AS93&gt;40000,200,IF(AS93&gt;25000,150,IF(AS93&gt;15000,130,IF(AS93&gt;10000,110,0)))))</f>
        <v>200</v>
      </c>
      <c r="AW93">
        <f>AS93-AT93-AU93-AV93</f>
        <v>42650</v>
      </c>
      <c r="AX93">
        <f>_xlfn.XLOOKUP(B93,'[5]july-2025'!$A:$A,'[5]july-2025'!$C:$C,0,0)</f>
        <v>35500</v>
      </c>
      <c r="AY93">
        <f>AX93*0.18</f>
        <v>6390</v>
      </c>
      <c r="AZ93">
        <v>0</v>
      </c>
      <c r="BA93">
        <f>AX93*0.12</f>
        <v>4260</v>
      </c>
      <c r="BB93">
        <f>_xlfn.XLOOKUP(B93,'[5]july-2025'!$A:$A,'[5]july-2025'!$D:$D,0,0)</f>
        <v>0</v>
      </c>
      <c r="BC93">
        <f>_xlfn.XLOOKUP(B93,'[5]july-2025'!$A:$A,'[5]july-2025'!$G:$G,0,0)</f>
        <v>500</v>
      </c>
      <c r="BD93">
        <f>IF(AX93&gt;0,SUM(AX93:BC93),0)</f>
        <v>46650</v>
      </c>
      <c r="BE93">
        <f>_xlfn.XLOOKUP(B93,'[5]july-2025'!$A:$A,'[5]july-2025'!$H:$H,0,0)</f>
        <v>2500</v>
      </c>
      <c r="BF93">
        <f>_xlfn.XLOOKUP(B93,'[5]july-2025'!$A:$A,'[5]july-2025'!$I:$I,0,0)</f>
        <v>0</v>
      </c>
      <c r="BG93">
        <f>IF($F93="YES",0,IF(BD93&gt;40000,200,IF(BD93&gt;25000,150,IF(BD93&gt;15000,130,IF(BD93&gt;10000,110,0)))))</f>
        <v>200</v>
      </c>
      <c r="BH93">
        <f>BD93-BE93-BF93-BG93</f>
        <v>43950</v>
      </c>
      <c r="BI93">
        <f>_xlfn.XLOOKUP(B93,'[6]august-2025'!$A:$A,'[6]august-2025'!$C:$C,0,0)</f>
        <v>35500</v>
      </c>
      <c r="BJ93">
        <f>BI93*0.18</f>
        <v>6390</v>
      </c>
      <c r="BK93">
        <f>BI93*0.12</f>
        <v>4260</v>
      </c>
      <c r="BL93">
        <f>_xlfn.XLOOKUP(B93,'[6]august-2025'!$A:$A,'[6]august-2025'!$D:$D,0,0)</f>
        <v>0</v>
      </c>
      <c r="BM93">
        <f>_xlfn.XLOOKUP(B93,'[6]august-2025'!$A:$A,'[6]august-2025'!$G:$G,0,0)</f>
        <v>500</v>
      </c>
      <c r="BN93">
        <f>IF(BI93&gt;0,SUM(BI93:BM93),0)</f>
        <v>46650</v>
      </c>
      <c r="BO93">
        <f>_xlfn.XLOOKUP(B93,'[6]august-2025'!$A:$A,'[6]august-2025'!$H:$H,0,0)</f>
        <v>2500</v>
      </c>
      <c r="BP93">
        <f>_xlfn.XLOOKUP(B93,'[6]august-2025'!$A:$A,'[6]august-2025'!$I:$I,0,0)</f>
        <v>0</v>
      </c>
      <c r="BQ93">
        <f>IF($F93="YES",0,IF(BN93&gt;40000,200,IF(BN93&gt;25000,150,IF(BN93&gt;15000,130,IF(BN93&gt;10000,110,0)))))</f>
        <v>200</v>
      </c>
      <c r="BR93">
        <f>BN93-BO93-BP93-BQ93</f>
        <v>43950</v>
      </c>
      <c r="BS93">
        <f>_xlfn.XLOOKUP(B93,'[7]september-2025'!$A:$A,'[7]september-2025'!$C:$C,0,0)</f>
        <v>35500</v>
      </c>
      <c r="BT93">
        <f>BS93*0.18</f>
        <v>6390</v>
      </c>
      <c r="BU93">
        <f>BS93*0.12</f>
        <v>4260</v>
      </c>
      <c r="BV93">
        <f>_xlfn.XLOOKUP(B93,'[7]september-2025'!$A:$A,'[7]september-2025'!$D:$D,0,0)</f>
        <v>0</v>
      </c>
      <c r="BW93">
        <f>_xlfn.XLOOKUP(B93,'[7]september-2025'!$A:$A,'[7]september-2025'!$G:$G,0,0)</f>
        <v>500</v>
      </c>
      <c r="BX93">
        <f>IF(BS93&gt;0,SUM(BS93:BW93),0)</f>
        <v>46650</v>
      </c>
      <c r="BY93">
        <f>_xlfn.XLOOKUP(B93,'[7]september-2025'!$A:$A,'[7]september-2025'!$H:$H,0,0)</f>
        <v>2500</v>
      </c>
      <c r="BZ93">
        <f>_xlfn.XLOOKUP(B93,'[7]september-2025'!$A:$A,'[7]september-2025'!$I:$I,0,0)</f>
        <v>0</v>
      </c>
      <c r="CA93">
        <f>IF($F93="YES",0,IF(BX93&gt;40000,200,IF(BX93&gt;25000,150,IF(BX93&gt;15000,130,IF(BX93&gt;10000,110,0)))))</f>
        <v>200</v>
      </c>
      <c r="CB93">
        <f>BX93-BY93-BZ93-CA93</f>
        <v>43950</v>
      </c>
      <c r="CC93">
        <f>_xlfn.XLOOKUP(B93,'[8]october-2025'!$A:$A,'[8]october-2025'!$C:$C,0,0)</f>
        <v>35500</v>
      </c>
      <c r="CD93">
        <f>CC93*0.18</f>
        <v>6390</v>
      </c>
      <c r="CE93">
        <f>CC93*0.12</f>
        <v>4260</v>
      </c>
      <c r="CF93">
        <f>_xlfn.XLOOKUP(B93,'[8]october-2025'!$A:$A,'[8]october-2025'!$D:$D,0,0)</f>
        <v>0</v>
      </c>
      <c r="CG93">
        <f>_xlfn.XLOOKUP(B93,'[8]october-2025'!$A:$A,'[8]october-2025'!$G:$G,0,0)</f>
        <v>500</v>
      </c>
      <c r="CH93">
        <f>IF(CC93&gt;0,SUM(CC93:CG93),0)</f>
        <v>46650</v>
      </c>
      <c r="CI93">
        <f>_xlfn.XLOOKUP(B93,'[8]october-2025'!$A:$A,'[8]october-2025'!$H:$H,0,0)</f>
        <v>2500</v>
      </c>
      <c r="CJ93">
        <f>_xlfn.XLOOKUP(B93,'[8]october-2025'!$A:$A,'[8]october-2025'!$I:$I,0,0)</f>
        <v>0</v>
      </c>
      <c r="CK93">
        <f>IF($F93="YES",0,IF(CH93&gt;40000,200,IF(CH93&gt;25000,150,IF(CH93&gt;15000,130,IF(CH93&gt;10000,110,0)))))</f>
        <v>200</v>
      </c>
      <c r="CL93">
        <f>CH93-CI93-CJ93-CK93</f>
        <v>43950</v>
      </c>
      <c r="CM93">
        <f>_xlfn.XLOOKUP(B93,'[9]november-2025'!$A:$A,'[9]november-2025'!$C:$C,0,0)</f>
        <v>35500</v>
      </c>
      <c r="CN93">
        <f>CM93*0.18</f>
        <v>6390</v>
      </c>
      <c r="CO93">
        <f>CM93*0.12</f>
        <v>4260</v>
      </c>
      <c r="CP93">
        <f>_xlfn.XLOOKUP(B93,'[9]november-2025'!$A:$A,'[9]november-2025'!$D:$D,0,0)</f>
        <v>0</v>
      </c>
      <c r="CQ93">
        <f>_xlfn.XLOOKUP(B93,'[9]november-2025'!$A:$A,'[9]november-2025'!$G:$G,0,0)</f>
        <v>500</v>
      </c>
      <c r="CR93">
        <f>IF(CM93&gt;0,SUM(CM93:CQ93),0)</f>
        <v>46650</v>
      </c>
      <c r="CS93">
        <f>_xlfn.XLOOKUP(B93,'[9]november-2025'!$A:$A,'[9]november-2025'!$H:$H,0,0)</f>
        <v>2500</v>
      </c>
      <c r="CT93">
        <f>_xlfn.XLOOKUP(B93,'[9]november-2025'!$A:$A,'[9]november-2025'!$I:$I,0,0)</f>
        <v>0</v>
      </c>
      <c r="CU93">
        <f>IF($F93="YES",0,IF(CR93&gt;40000,200,IF(CR93&gt;25000,150,IF(CR93&gt;15000,130,IF(CR93&gt;10000,110,0)))))</f>
        <v>200</v>
      </c>
      <c r="CV93">
        <f>CR93-CS93-CT93-CU93</f>
        <v>43950</v>
      </c>
      <c r="CW93">
        <f>_xlfn.XLOOKUP(B93,'[10]december-2025'!$A:$A,'[10]december-2025'!$C:$C,0,0)</f>
        <v>35500</v>
      </c>
      <c r="CX93">
        <f>ROUND(CW93*0.18,0)</f>
        <v>6390</v>
      </c>
      <c r="CY93">
        <f>ROUND(CW93*0.12,0)</f>
        <v>4260</v>
      </c>
      <c r="CZ93">
        <f>_xlfn.XLOOKUP(B93,'[10]december-2025'!$A:$A,'[10]december-2025'!$D:$D,0,0)</f>
        <v>0</v>
      </c>
      <c r="DA93">
        <f>_xlfn.XLOOKUP(B93,'[10]december-2025'!$A:$A,'[10]december-2025'!$G:$G,0,0)</f>
        <v>500</v>
      </c>
      <c r="DB93">
        <f>IF(CW93&gt;0,SUM(CW93:DA93),0)</f>
        <v>46650</v>
      </c>
      <c r="DC93">
        <f>_xlfn.XLOOKUP(B93,'[10]december-2025'!$A:$A,'[10]december-2025'!$H:$H,0,0)</f>
        <v>2500</v>
      </c>
      <c r="DD93">
        <f>_xlfn.XLOOKUP(B93,'[10]december-2025'!$A:$A,'[10]december-2025'!$I:$I,0,0)</f>
        <v>0</v>
      </c>
      <c r="DE93">
        <f>IF($F93="YES",0,IF(DB93&gt;40000,200,IF(DB93&gt;25000,150,IF(DB93&gt;15000,130,IF(DB93&gt;10000,110,0)))))</f>
        <v>200</v>
      </c>
      <c r="DF93">
        <f>DB93-DC93-DD93-DE93</f>
        <v>43950</v>
      </c>
      <c r="DG93">
        <f>_xlfn.XLOOKUP(B93,'[11]january-2026'!$A:$A,'[11]january-2026'!$C:$C,0,0)</f>
        <v>35500</v>
      </c>
      <c r="DH93">
        <f>DG93*0.18</f>
        <v>6390</v>
      </c>
      <c r="DI93">
        <f>DG93*0.12</f>
        <v>4260</v>
      </c>
      <c r="DJ93">
        <f>_xlfn.XLOOKUP(B93,'[11]january-2026'!$A:$A,'[11]january-2026'!$D:$D,0,0)</f>
        <v>0</v>
      </c>
      <c r="DK93">
        <f>_xlfn.XLOOKUP(B93,'[11]january-2026'!$A:$A,'[11]january-2026'!$G:$G,0,0)</f>
        <v>500</v>
      </c>
      <c r="DL93">
        <f>IF(DG93&gt;0,SUM(DG93:DK93),0)</f>
        <v>46650</v>
      </c>
      <c r="DM93">
        <f>_xlfn.XLOOKUP(B93,'[11]january-2026'!$A:$A,'[11]january-2026'!$H:$H,0,0)</f>
        <v>2500</v>
      </c>
      <c r="DN93">
        <f>_xlfn.XLOOKUP(B93,'[11]january-2026'!$A:$A,'[11]january-2026'!$I:$I,0,0)</f>
        <v>0</v>
      </c>
      <c r="DO93">
        <f>IF($F93="YES",0,IF(DL93&gt;40000,200,IF(DL93&gt;25000,150,IF(DL93&gt;15000,130,IF(DL93&gt;10000,110,0)))))</f>
        <v>200</v>
      </c>
      <c r="DP93">
        <f>DL93-DM93-DN93-DO93</f>
        <v>43950</v>
      </c>
      <c r="DQ93">
        <f>_xlfn.XLOOKUP(B93,'[12]february-2026'!$A:$A,'[12]february-2026'!$C:$C,0,0)</f>
        <v>35500</v>
      </c>
      <c r="DR93">
        <f>DQ93*0.18</f>
        <v>6390</v>
      </c>
      <c r="DS93">
        <f>DQ93*0.12</f>
        <v>4260</v>
      </c>
      <c r="DT93">
        <f>_xlfn.XLOOKUP(B93,'[12]february-2026'!$A:$A,'[12]february-2026'!$D:$D,0,0)</f>
        <v>0</v>
      </c>
      <c r="DU93">
        <f>_xlfn.XLOOKUP(B93,'[12]february-2026'!$A:$A,'[12]february-2026'!$G:$G,0,0)</f>
        <v>500</v>
      </c>
      <c r="DV93">
        <f>IF(DQ93&gt;0,SUM(DQ93:DU93),0)</f>
        <v>46650</v>
      </c>
      <c r="DW93">
        <f>_xlfn.XLOOKUP(B93,'[12]february-2026'!$A:$A,'[12]february-2026'!$H:$H,0,0)</f>
        <v>2500</v>
      </c>
      <c r="DX93">
        <f>_xlfn.XLOOKUP(B93,'[12]february-2026'!$A:$A,'[12]february-2026'!$I:$I,0,0)</f>
        <v>0</v>
      </c>
      <c r="DY93">
        <f>IF($F93="YES",0,IF(DV93&gt;40000,200,IF(DV93&gt;25000,150,IF(DV93&gt;15000,130,IF(DV93&gt;10000,110,0)))))</f>
        <v>200</v>
      </c>
      <c r="DZ93">
        <f>DV93-DW93-DX93-DY93</f>
        <v>43950</v>
      </c>
      <c r="EA93">
        <f>DV93+DL93+DB93+CR93+CH93+BX93+BN93+BD93+AS93+AI93+Y93+O93+H93+I93</f>
        <v>560020</v>
      </c>
      <c r="EB93">
        <f>DY93+DO93+DE93+CU93+CK93+CA93+BQ93+BG93+AV93+AL93+AB93+R93</f>
        <v>2400</v>
      </c>
      <c r="EC93">
        <f>IF(EA93&gt;0,50000,0)</f>
        <v>50000</v>
      </c>
      <c r="ED93">
        <v>0</v>
      </c>
      <c r="EE93">
        <f>EA93-EB93-EC93</f>
        <v>507620</v>
      </c>
      <c r="EF93">
        <f>DW93+DM93+DC93+CS93+CI93+BY93+BO93+BE93+AT93+AJ93+Z93+P93</f>
        <v>30000</v>
      </c>
      <c r="EG93">
        <f>DX93+DN93+DD93+CT93+CJ93+BZ93+BP93+BF93+AU93+AK93+AA93+Q93</f>
        <v>0</v>
      </c>
      <c r="EH93">
        <v>0</v>
      </c>
      <c r="EI93">
        <v>0</v>
      </c>
      <c r="EJ93">
        <v>0</v>
      </c>
      <c r="EK93">
        <v>0</v>
      </c>
      <c r="EL93">
        <v>0</v>
      </c>
      <c r="EM93">
        <v>0</v>
      </c>
      <c r="EN93">
        <v>0</v>
      </c>
      <c r="EO93">
        <v>0</v>
      </c>
      <c r="EP93">
        <v>0</v>
      </c>
      <c r="EQ93">
        <v>0</v>
      </c>
      <c r="ER93">
        <f>SUM(EF93:EQ93)</f>
        <v>30000</v>
      </c>
      <c r="ES93">
        <f>IF(ER93&gt;=150000,150000,ER93)</f>
        <v>30000</v>
      </c>
      <c r="ET93">
        <f>EE93-ES93</f>
        <v>477620</v>
      </c>
      <c r="EU93">
        <v>0</v>
      </c>
      <c r="EV93">
        <v>0</v>
      </c>
      <c r="EW93">
        <v>0</v>
      </c>
      <c r="EX93">
        <v>0</v>
      </c>
      <c r="EY93">
        <v>0</v>
      </c>
      <c r="EZ93">
        <v>0</v>
      </c>
      <c r="FA93">
        <v>0</v>
      </c>
      <c r="FB93">
        <f>SUM(EU93:FA93)+(IF(F93="YES",50000,0))</f>
        <v>0</v>
      </c>
      <c r="FC93">
        <f>ET93-FB93</f>
        <v>477620</v>
      </c>
      <c r="FD93">
        <f>ROUND(IF(FC93&gt;0,IF(FC93&gt;500000,12500,(FC93-250000)*0.05),0),0)</f>
        <v>11381</v>
      </c>
      <c r="FE93">
        <f>IF(ROUND(IF(FC93&gt;0,IF(FC93&gt;1000000,25000,(FC93-500000)*0.2),0),0)&lt;0,0,ROUND(IF(FC93&gt;0,IF(FC93&gt;1000000,25000,(FC93-500000)*0.2),0),0))</f>
        <v>0</v>
      </c>
      <c r="FF93">
        <f>FD93+FE93</f>
        <v>11381</v>
      </c>
      <c r="FG93">
        <f>IF(FF93&lt;12500,0,FF93)</f>
        <v>0</v>
      </c>
      <c r="FH93">
        <f>FG93*0.04</f>
        <v>0</v>
      </c>
      <c r="FI93">
        <f>ROUND(FH93+FG93,0)</f>
        <v>0</v>
      </c>
      <c r="FJ93">
        <v>0</v>
      </c>
      <c r="FK93">
        <f>FI93-FJ93</f>
        <v>0</v>
      </c>
      <c r="FL93" t="b">
        <f>IF(EA93&gt;500000,TRUE,FALSE)</f>
        <v>1</v>
      </c>
      <c r="FM93">
        <f ca="1">IF(FL93,RANDBETWEEN(500,1000),RANDBETWEEN(1000,3000))</f>
        <v>858</v>
      </c>
      <c r="FN93">
        <f ca="1">EA93+FM93</f>
        <v>560878</v>
      </c>
      <c r="FO93">
        <f>IF(EA93&gt;0,75000,0)</f>
        <v>75000</v>
      </c>
      <c r="FP93">
        <f ca="1">FN93-FO93</f>
        <v>485878</v>
      </c>
      <c r="FQ93">
        <f ca="1">IF(FP93&gt;2400000,FP93-2400000,0)</f>
        <v>0</v>
      </c>
      <c r="FR93">
        <f ca="1">FQ93*0.3</f>
        <v>0</v>
      </c>
      <c r="FS93">
        <f ca="1">IF(FP93&gt;2000000,FP93-2000000,0)</f>
        <v>0</v>
      </c>
      <c r="FT93">
        <f ca="1">FS93*0.25</f>
        <v>0</v>
      </c>
      <c r="FU93">
        <f ca="1">IF(FP93&gt;1600000,FP93-1600000-FQ93,0)</f>
        <v>0</v>
      </c>
      <c r="FV93">
        <f ca="1">FU93*0.2</f>
        <v>0</v>
      </c>
      <c r="FW93">
        <f ca="1">IF(FP93&gt;1200000,FP93-1200000-IF(F93="YES",50000,0)-FU93,0)</f>
        <v>0</v>
      </c>
      <c r="FX93">
        <f ca="1">FW93*0.15</f>
        <v>0</v>
      </c>
      <c r="FY93">
        <f ca="1">IF(FP93&gt;800000,FP93-800000-FQ93-FU93-FW93,0)</f>
        <v>0</v>
      </c>
      <c r="FZ93">
        <f ca="1">FY93*0.1</f>
        <v>0</v>
      </c>
      <c r="GA93">
        <f ca="1">IF(FP93&gt;400000,FP93-400000-FQ93-FU93-FW93-FY93,0)</f>
        <v>85878</v>
      </c>
      <c r="GB93">
        <f ca="1">GA93*0.05</f>
        <v>4293.9000000000005</v>
      </c>
      <c r="GC93">
        <f ca="1">ROUND(FR93+FT93+FV93+FX93+FZ93+GB93,0)</f>
        <v>4294</v>
      </c>
      <c r="GD93">
        <f ca="1">IF(FP93&gt;1200000,FP93,0)</f>
        <v>0</v>
      </c>
      <c r="GE93">
        <f ca="1">IF(FP93&gt;1200000,GD93-1200000,0)</f>
        <v>0</v>
      </c>
      <c r="GF93">
        <f ca="1">IF(FP93&lt;1200001,MIN(GC93,60000),0)</f>
        <v>4294</v>
      </c>
      <c r="GG93">
        <f ca="1">IF(FP93&gt;1200000,GC93-GE93,0)</f>
        <v>0</v>
      </c>
      <c r="GH93" t="b">
        <f ca="1">IF(GG93&gt;0,TRUE,FALSE)</f>
        <v>0</v>
      </c>
      <c r="GI93">
        <f ca="1">IF(GH93,GG93,0)</f>
        <v>0</v>
      </c>
      <c r="GJ93">
        <f ca="1">GF93+GI93</f>
        <v>4294</v>
      </c>
      <c r="GK93">
        <f ca="1">ROUND(GC93-GJ93,0)</f>
        <v>0</v>
      </c>
      <c r="GL93">
        <f ca="1">GK93*0.04</f>
        <v>0</v>
      </c>
      <c r="GM93">
        <f ca="1">ROUNDUP(GK93+GL93,0)</f>
        <v>0</v>
      </c>
    </row>
    <row r="94" spans="1:195" x14ac:dyDescent="0.25">
      <c r="A94">
        <f>_xlfn.AGGREGATE(3,5,$B$2:B94)</f>
        <v>93</v>
      </c>
      <c r="B94" t="s">
        <v>306</v>
      </c>
      <c r="C94" t="s">
        <v>307</v>
      </c>
      <c r="D94" t="s">
        <v>777</v>
      </c>
      <c r="E94" t="s">
        <v>833</v>
      </c>
      <c r="F94" t="s">
        <v>959</v>
      </c>
      <c r="G94" t="s">
        <v>917</v>
      </c>
      <c r="H94">
        <f>IF(_xlfn.DAYS("31-03-2025",G94)&gt;=180,6800,0)</f>
        <v>6800</v>
      </c>
      <c r="I94">
        <f>_xlfn.XLOOKUP(B94,'[1]march-2025'!$A:$A,'[1]march-2025'!$J:$J,0,0)</f>
        <v>0</v>
      </c>
      <c r="J94">
        <f>_xlfn.XLOOKUP(B94,'[1]march-2025'!$A:$A,'[1]march-2025'!$C:$C,0,0)</f>
        <v>25400</v>
      </c>
      <c r="K94">
        <f>J94*0.14</f>
        <v>3556.0000000000005</v>
      </c>
      <c r="L94">
        <f>J94*0.12</f>
        <v>3048</v>
      </c>
      <c r="M94">
        <f>_xlfn.XLOOKUP(B94,'[1]march-2025'!$A:$A,'[1]march-2025'!$D:$D,0,0)</f>
        <v>0</v>
      </c>
      <c r="N94">
        <f>_xlfn.XLOOKUP(B94,'[1]march-2025'!$A:$A,'[1]march-2025'!$G:$G,0,0)</f>
        <v>500</v>
      </c>
      <c r="O94">
        <f>IF(J94&gt;0,SUM(J94:N94),0)</f>
        <v>32504</v>
      </c>
      <c r="P94">
        <f>_xlfn.XLOOKUP(B94,'[1]march-2025'!$A:$A,'[1]march-2025'!$H:$H,0,0)</f>
        <v>2000</v>
      </c>
      <c r="Q94">
        <f>_xlfn.XLOOKUP(B94,'[1]march-2025'!$A:$A,'[1]march-2025'!$I:$I,0,0)</f>
        <v>0</v>
      </c>
      <c r="R94">
        <f>IF($F94="YES",0,IF(O94&gt;40000,200,IF(O94&gt;25000,150,IF(O94&gt;15000,130,IF(O94&gt;10000,110,0)))))</f>
        <v>150</v>
      </c>
      <c r="S94">
        <f>O94-P94-Q94-R94</f>
        <v>30354</v>
      </c>
      <c r="T94">
        <f>_xlfn.XLOOKUP(B94,'[2]april-2025'!$A:$A,'[2]april-2025'!$C:$C,0,0)</f>
        <v>25400</v>
      </c>
      <c r="U94">
        <f>T94*0.18</f>
        <v>4572</v>
      </c>
      <c r="V94">
        <f>T94*0.12</f>
        <v>3048</v>
      </c>
      <c r="W94">
        <f>_xlfn.XLOOKUP(B94,'[2]april-2025'!$A:$A,'[2]april-2025'!$D:$D,0,0)</f>
        <v>0</v>
      </c>
      <c r="X94">
        <f>_xlfn.XLOOKUP(B94,'[2]april-2025'!$A:$A,'[2]april-2025'!$G:$G,0,0)</f>
        <v>500</v>
      </c>
      <c r="Y94">
        <f>IF(T94&gt;0,SUM(T94:X94),0)</f>
        <v>33520</v>
      </c>
      <c r="Z94">
        <f>_xlfn.XLOOKUP(B94,'[2]april-2025'!$A:$A,'[2]april-2025'!$H:$H,0,0)</f>
        <v>2000</v>
      </c>
      <c r="AA94">
        <f>_xlfn.XLOOKUP(B94,'[2]april-2025'!$A:$A,'[2]april-2025'!$I:$I,0,0)</f>
        <v>0</v>
      </c>
      <c r="AB94">
        <f>IF($F94="YES",0,IF(Y94&gt;40000,200,IF(Y94&gt;25000,150,IF(Y94&gt;15000,130,IF(Y94&gt;10000,110,0)))))</f>
        <v>150</v>
      </c>
      <c r="AC94">
        <f>Y94-Z94-AA94-AB94</f>
        <v>31370</v>
      </c>
      <c r="AD94">
        <f>_xlfn.XLOOKUP(B94,'[3]may-2025'!$A:$A,'[3]may-2025'!$C:$C,0,0)</f>
        <v>25400</v>
      </c>
      <c r="AE94">
        <f>AD94*0.18</f>
        <v>4572</v>
      </c>
      <c r="AF94">
        <f>AD94*0.12</f>
        <v>3048</v>
      </c>
      <c r="AG94">
        <f>_xlfn.XLOOKUP(B94,'[3]may-2025'!$A:$A,'[3]may-2025'!$D:$D,0,0)</f>
        <v>0</v>
      </c>
      <c r="AH94">
        <f>_xlfn.XLOOKUP(B94,'[3]may-2025'!$A:$A,'[3]may-2025'!$G:$G,0,0)</f>
        <v>500</v>
      </c>
      <c r="AI94">
        <f>IF(AD94&gt;0,SUM(AD94:AH94),0)</f>
        <v>33520</v>
      </c>
      <c r="AJ94">
        <f>_xlfn.XLOOKUP(B94,'[3]may-2025'!$A:$A,'[3]may-2025'!$H:$H,0,0)</f>
        <v>2000</v>
      </c>
      <c r="AK94">
        <f>_xlfn.XLOOKUP(B94,'[3]may-2025'!$A:$A,'[3]may-2025'!$I:$I,0,0)</f>
        <v>0</v>
      </c>
      <c r="AL94">
        <f>IF($F94="YES",0,IF(AI94&gt;40000,200,IF(AI94&gt;25000,150,IF(AI94&gt;15000,130,IF(AI94&gt;10000,110,0)))))</f>
        <v>150</v>
      </c>
      <c r="AM94">
        <f>AI94-AJ94-AK94-AL94</f>
        <v>31370</v>
      </c>
      <c r="AN94">
        <f>_xlfn.XLOOKUP(B94,'[4]june-2025'!$A:$A,'[4]june-2025'!$C:$C,0,0)</f>
        <v>25400</v>
      </c>
      <c r="AO94">
        <f>AN94*0.18</f>
        <v>4572</v>
      </c>
      <c r="AP94">
        <f>AN94*0.12</f>
        <v>3048</v>
      </c>
      <c r="AQ94">
        <f>_xlfn.XLOOKUP(B94,'[4]june-2025'!$A:$A,'[4]june-2025'!$D:$D,0,0)</f>
        <v>0</v>
      </c>
      <c r="AR94">
        <f>_xlfn.XLOOKUP(B94,'[4]june-2025'!$A:$A,'[4]june-2025'!$G:$G,0,0)</f>
        <v>500</v>
      </c>
      <c r="AS94">
        <f>IF(AN94&gt;0,SUM(AN94:AR94),0)</f>
        <v>33520</v>
      </c>
      <c r="AT94">
        <f>_xlfn.XLOOKUP(B94,'[4]june-2025'!$A:$A,'[4]june-2025'!$H:$H,0,0)</f>
        <v>2000</v>
      </c>
      <c r="AU94">
        <f>_xlfn.XLOOKUP(B94,'[4]june-2025'!$A:$A,'[4]june-2025'!$I:$I,0,0)</f>
        <v>0</v>
      </c>
      <c r="AV94">
        <f>IF($F94="YES",0,IF(AS94&gt;40000,200,IF(AS94&gt;25000,150,IF(AS94&gt;15000,130,IF(AS94&gt;10000,110,0)))))</f>
        <v>150</v>
      </c>
      <c r="AW94">
        <f>AS94-AT94-AU94-AV94</f>
        <v>31370</v>
      </c>
      <c r="AX94">
        <f>_xlfn.XLOOKUP(B94,'[5]july-2025'!$A:$A,'[5]july-2025'!$C:$C,0,0)</f>
        <v>26200</v>
      </c>
      <c r="AY94">
        <f>AX94*0.18</f>
        <v>4716</v>
      </c>
      <c r="AZ94">
        <v>0</v>
      </c>
      <c r="BA94">
        <f>AX94*0.12</f>
        <v>3144</v>
      </c>
      <c r="BB94">
        <f>_xlfn.XLOOKUP(B94,'[5]july-2025'!$A:$A,'[5]july-2025'!$D:$D,0,0)</f>
        <v>0</v>
      </c>
      <c r="BC94">
        <f>_xlfn.XLOOKUP(B94,'[5]july-2025'!$A:$A,'[5]july-2025'!$G:$G,0,0)</f>
        <v>500</v>
      </c>
      <c r="BD94">
        <f>IF(AX94&gt;0,SUM(AX94:BC94),0)</f>
        <v>34560</v>
      </c>
      <c r="BE94">
        <f>_xlfn.XLOOKUP(B94,'[5]july-2025'!$A:$A,'[5]july-2025'!$H:$H,0,0)</f>
        <v>2000</v>
      </c>
      <c r="BF94">
        <f>_xlfn.XLOOKUP(B94,'[5]july-2025'!$A:$A,'[5]july-2025'!$I:$I,0,0)</f>
        <v>0</v>
      </c>
      <c r="BG94">
        <f>IF($F94="YES",0,IF(BD94&gt;40000,200,IF(BD94&gt;25000,150,IF(BD94&gt;15000,130,IF(BD94&gt;10000,110,0)))))</f>
        <v>150</v>
      </c>
      <c r="BH94">
        <f>BD94-BE94-BF94-BG94</f>
        <v>32410</v>
      </c>
      <c r="BI94">
        <f>_xlfn.XLOOKUP(B94,'[6]august-2025'!$A:$A,'[6]august-2025'!$C:$C,0,0)</f>
        <v>26200</v>
      </c>
      <c r="BJ94">
        <f>BI94*0.18</f>
        <v>4716</v>
      </c>
      <c r="BK94">
        <f>BI94*0.12</f>
        <v>3144</v>
      </c>
      <c r="BL94">
        <f>_xlfn.XLOOKUP(B94,'[6]august-2025'!$A:$A,'[6]august-2025'!$D:$D,0,0)</f>
        <v>0</v>
      </c>
      <c r="BM94">
        <f>_xlfn.XLOOKUP(B94,'[6]august-2025'!$A:$A,'[6]august-2025'!$G:$G,0,0)</f>
        <v>500</v>
      </c>
      <c r="BN94">
        <f>IF(BI94&gt;0,SUM(BI94:BM94),0)</f>
        <v>34560</v>
      </c>
      <c r="BO94">
        <f>_xlfn.XLOOKUP(B94,'[6]august-2025'!$A:$A,'[6]august-2025'!$H:$H,0,0)</f>
        <v>2000</v>
      </c>
      <c r="BP94">
        <f>_xlfn.XLOOKUP(B94,'[6]august-2025'!$A:$A,'[6]august-2025'!$I:$I,0,0)</f>
        <v>0</v>
      </c>
      <c r="BQ94">
        <f>IF($F94="YES",0,IF(BN94&gt;40000,200,IF(BN94&gt;25000,150,IF(BN94&gt;15000,130,IF(BN94&gt;10000,110,0)))))</f>
        <v>150</v>
      </c>
      <c r="BR94">
        <f>BN94-BO94-BP94-BQ94</f>
        <v>32410</v>
      </c>
      <c r="BS94">
        <f>_xlfn.XLOOKUP(B94,'[7]september-2025'!$A:$A,'[7]september-2025'!$C:$C,0,0)</f>
        <v>26200</v>
      </c>
      <c r="BT94">
        <f>BS94*0.18</f>
        <v>4716</v>
      </c>
      <c r="BU94">
        <f>BS94*0.12</f>
        <v>3144</v>
      </c>
      <c r="BV94">
        <f>_xlfn.XLOOKUP(B94,'[7]september-2025'!$A:$A,'[7]september-2025'!$D:$D,0,0)</f>
        <v>0</v>
      </c>
      <c r="BW94">
        <f>_xlfn.XLOOKUP(B94,'[7]september-2025'!$A:$A,'[7]september-2025'!$G:$G,0,0)</f>
        <v>500</v>
      </c>
      <c r="BX94">
        <f>IF(BS94&gt;0,SUM(BS94:BW94),0)</f>
        <v>34560</v>
      </c>
      <c r="BY94">
        <f>_xlfn.XLOOKUP(B94,'[7]september-2025'!$A:$A,'[7]september-2025'!$H:$H,0,0)</f>
        <v>2000</v>
      </c>
      <c r="BZ94">
        <f>_xlfn.XLOOKUP(B94,'[7]september-2025'!$A:$A,'[7]september-2025'!$I:$I,0,0)</f>
        <v>0</v>
      </c>
      <c r="CA94">
        <f>IF($F94="YES",0,IF(BX94&gt;40000,200,IF(BX94&gt;25000,150,IF(BX94&gt;15000,130,IF(BX94&gt;10000,110,0)))))</f>
        <v>150</v>
      </c>
      <c r="CB94">
        <f>BX94-BY94-BZ94-CA94</f>
        <v>32410</v>
      </c>
      <c r="CC94">
        <f>_xlfn.XLOOKUP(B94,'[8]october-2025'!$A:$A,'[8]october-2025'!$C:$C,0,0)</f>
        <v>26200</v>
      </c>
      <c r="CD94">
        <f>CC94*0.18</f>
        <v>4716</v>
      </c>
      <c r="CE94">
        <f>CC94*0.12</f>
        <v>3144</v>
      </c>
      <c r="CF94">
        <f>_xlfn.XLOOKUP(B94,'[8]october-2025'!$A:$A,'[8]october-2025'!$D:$D,0,0)</f>
        <v>0</v>
      </c>
      <c r="CG94">
        <f>_xlfn.XLOOKUP(B94,'[8]october-2025'!$A:$A,'[8]october-2025'!$G:$G,0,0)</f>
        <v>500</v>
      </c>
      <c r="CH94">
        <f>IF(CC94&gt;0,SUM(CC94:CG94),0)</f>
        <v>34560</v>
      </c>
      <c r="CI94">
        <f>_xlfn.XLOOKUP(B94,'[8]october-2025'!$A:$A,'[8]october-2025'!$H:$H,0,0)</f>
        <v>2000</v>
      </c>
      <c r="CJ94">
        <f>_xlfn.XLOOKUP(B94,'[8]october-2025'!$A:$A,'[8]october-2025'!$I:$I,0,0)</f>
        <v>0</v>
      </c>
      <c r="CK94">
        <f>IF($F94="YES",0,IF(CH94&gt;40000,200,IF(CH94&gt;25000,150,IF(CH94&gt;15000,130,IF(CH94&gt;10000,110,0)))))</f>
        <v>150</v>
      </c>
      <c r="CL94">
        <f>CH94-CI94-CJ94-CK94</f>
        <v>32410</v>
      </c>
      <c r="CM94">
        <f>_xlfn.XLOOKUP(B94,'[9]november-2025'!$A:$A,'[9]november-2025'!$C:$C,0,0)</f>
        <v>26200</v>
      </c>
      <c r="CN94">
        <f>CM94*0.18</f>
        <v>4716</v>
      </c>
      <c r="CO94">
        <f>CM94*0.12</f>
        <v>3144</v>
      </c>
      <c r="CP94">
        <f>_xlfn.XLOOKUP(B94,'[9]november-2025'!$A:$A,'[9]november-2025'!$D:$D,0,0)</f>
        <v>0</v>
      </c>
      <c r="CQ94">
        <f>_xlfn.XLOOKUP(B94,'[9]november-2025'!$A:$A,'[9]november-2025'!$G:$G,0,0)</f>
        <v>500</v>
      </c>
      <c r="CR94">
        <f>IF(CM94&gt;0,SUM(CM94:CQ94),0)</f>
        <v>34560</v>
      </c>
      <c r="CS94">
        <f>_xlfn.XLOOKUP(B94,'[9]november-2025'!$A:$A,'[9]november-2025'!$H:$H,0,0)</f>
        <v>2000</v>
      </c>
      <c r="CT94">
        <f>_xlfn.XLOOKUP(B94,'[9]november-2025'!$A:$A,'[9]november-2025'!$I:$I,0,0)</f>
        <v>0</v>
      </c>
      <c r="CU94">
        <f>IF($F94="YES",0,IF(CR94&gt;40000,200,IF(CR94&gt;25000,150,IF(CR94&gt;15000,130,IF(CR94&gt;10000,110,0)))))</f>
        <v>150</v>
      </c>
      <c r="CV94">
        <f>CR94-CS94-CT94-CU94</f>
        <v>32410</v>
      </c>
      <c r="CW94">
        <f>_xlfn.XLOOKUP(B94,'[10]december-2025'!$A:$A,'[10]december-2025'!$C:$C,0,0)</f>
        <v>26200</v>
      </c>
      <c r="CX94">
        <f>ROUND(CW94*0.18,0)</f>
        <v>4716</v>
      </c>
      <c r="CY94">
        <f>ROUND(CW94*0.12,0)</f>
        <v>3144</v>
      </c>
      <c r="CZ94">
        <f>_xlfn.XLOOKUP(B94,'[10]december-2025'!$A:$A,'[10]december-2025'!$D:$D,0,0)</f>
        <v>0</v>
      </c>
      <c r="DA94">
        <f>_xlfn.XLOOKUP(B94,'[10]december-2025'!$A:$A,'[10]december-2025'!$G:$G,0,0)</f>
        <v>500</v>
      </c>
      <c r="DB94">
        <f>IF(CW94&gt;0,SUM(CW94:DA94),0)</f>
        <v>34560</v>
      </c>
      <c r="DC94">
        <f>_xlfn.XLOOKUP(B94,'[10]december-2025'!$A:$A,'[10]december-2025'!$H:$H,0,0)</f>
        <v>2000</v>
      </c>
      <c r="DD94">
        <f>_xlfn.XLOOKUP(B94,'[10]december-2025'!$A:$A,'[10]december-2025'!$I:$I,0,0)</f>
        <v>0</v>
      </c>
      <c r="DE94">
        <f>IF($F94="YES",0,IF(DB94&gt;40000,200,IF(DB94&gt;25000,150,IF(DB94&gt;15000,130,IF(DB94&gt;10000,110,0)))))</f>
        <v>150</v>
      </c>
      <c r="DF94">
        <f>DB94-DC94-DD94-DE94</f>
        <v>32410</v>
      </c>
      <c r="DG94">
        <f>_xlfn.XLOOKUP(B94,'[11]january-2026'!$A:$A,'[11]january-2026'!$C:$C,0,0)</f>
        <v>26200</v>
      </c>
      <c r="DH94">
        <f>DG94*0.18</f>
        <v>4716</v>
      </c>
      <c r="DI94">
        <f>DG94*0.12</f>
        <v>3144</v>
      </c>
      <c r="DJ94">
        <f>_xlfn.XLOOKUP(B94,'[11]january-2026'!$A:$A,'[11]january-2026'!$D:$D,0,0)</f>
        <v>0</v>
      </c>
      <c r="DK94">
        <f>_xlfn.XLOOKUP(B94,'[11]january-2026'!$A:$A,'[11]january-2026'!$G:$G,0,0)</f>
        <v>500</v>
      </c>
      <c r="DL94">
        <f>IF(DG94&gt;0,SUM(DG94:DK94),0)</f>
        <v>34560</v>
      </c>
      <c r="DM94">
        <f>_xlfn.XLOOKUP(B94,'[11]january-2026'!$A:$A,'[11]january-2026'!$H:$H,0,0)</f>
        <v>2000</v>
      </c>
      <c r="DN94">
        <f>_xlfn.XLOOKUP(B94,'[11]january-2026'!$A:$A,'[11]january-2026'!$I:$I,0,0)</f>
        <v>0</v>
      </c>
      <c r="DO94">
        <f>IF($F94="YES",0,IF(DL94&gt;40000,200,IF(DL94&gt;25000,150,IF(DL94&gt;15000,130,IF(DL94&gt;10000,110,0)))))</f>
        <v>150</v>
      </c>
      <c r="DP94">
        <f>DL94-DM94-DN94-DO94</f>
        <v>32410</v>
      </c>
      <c r="DQ94">
        <f>_xlfn.XLOOKUP(B94,'[12]february-2026'!$A:$A,'[12]february-2026'!$C:$C,0,0)</f>
        <v>26200</v>
      </c>
      <c r="DR94">
        <f>DQ94*0.18</f>
        <v>4716</v>
      </c>
      <c r="DS94">
        <f>DQ94*0.12</f>
        <v>3144</v>
      </c>
      <c r="DT94">
        <f>_xlfn.XLOOKUP(B94,'[12]february-2026'!$A:$A,'[12]february-2026'!$D:$D,0,0)</f>
        <v>0</v>
      </c>
      <c r="DU94">
        <f>_xlfn.XLOOKUP(B94,'[12]february-2026'!$A:$A,'[12]february-2026'!$G:$G,0,0)</f>
        <v>500</v>
      </c>
      <c r="DV94">
        <f>IF(DQ94&gt;0,SUM(DQ94:DU94),0)</f>
        <v>34560</v>
      </c>
      <c r="DW94">
        <f>_xlfn.XLOOKUP(B94,'[12]february-2026'!$A:$A,'[12]february-2026'!$H:$H,0,0)</f>
        <v>2000</v>
      </c>
      <c r="DX94">
        <f>_xlfn.XLOOKUP(B94,'[12]february-2026'!$A:$A,'[12]february-2026'!$I:$I,0,0)</f>
        <v>0</v>
      </c>
      <c r="DY94">
        <f>IF($F94="YES",0,IF(DV94&gt;40000,200,IF(DV94&gt;25000,150,IF(DV94&gt;15000,130,IF(DV94&gt;10000,110,0)))))</f>
        <v>150</v>
      </c>
      <c r="DZ94">
        <f>DV94-DW94-DX94-DY94</f>
        <v>32410</v>
      </c>
      <c r="EA94">
        <f>DV94+DL94+DB94+CR94+CH94+BX94+BN94+BD94+AS94+AI94+Y94+O94+H94+I94</f>
        <v>416344</v>
      </c>
      <c r="EB94">
        <f>DY94+DO94+DE94+CU94+CK94+CA94+BQ94+BG94+AV94+AL94+AB94+R94</f>
        <v>1800</v>
      </c>
      <c r="EC94">
        <f>IF(EA94&gt;0,50000,0)</f>
        <v>50000</v>
      </c>
      <c r="ED94">
        <v>0</v>
      </c>
      <c r="EE94">
        <f>EA94-EB94-EC94</f>
        <v>364544</v>
      </c>
      <c r="EF94">
        <f>DW94+DM94+DC94+CS94+CI94+BY94+BO94+BE94+AT94+AJ94+Z94+P94</f>
        <v>24000</v>
      </c>
      <c r="EG94">
        <f>DX94+DN94+DD94+CT94+CJ94+BZ94+BP94+BF94+AU94+AK94+AA94+Q94</f>
        <v>0</v>
      </c>
      <c r="EH94">
        <v>0</v>
      </c>
      <c r="EI94">
        <v>0</v>
      </c>
      <c r="EJ94">
        <v>0</v>
      </c>
      <c r="EK94">
        <v>0</v>
      </c>
      <c r="EL94">
        <v>0</v>
      </c>
      <c r="EM94">
        <v>0</v>
      </c>
      <c r="EN94">
        <v>0</v>
      </c>
      <c r="EO94">
        <v>0</v>
      </c>
      <c r="EP94">
        <v>0</v>
      </c>
      <c r="EQ94">
        <v>0</v>
      </c>
      <c r="ER94">
        <f>SUM(EF94:EQ94)</f>
        <v>24000</v>
      </c>
      <c r="ES94">
        <f>IF(ER94&gt;=150000,150000,ER94)</f>
        <v>24000</v>
      </c>
      <c r="ET94">
        <f>EE94-ES94</f>
        <v>340544</v>
      </c>
      <c r="EU94">
        <v>0</v>
      </c>
      <c r="EV94">
        <v>0</v>
      </c>
      <c r="EW94">
        <v>0</v>
      </c>
      <c r="EX94">
        <v>0</v>
      </c>
      <c r="EY94">
        <v>0</v>
      </c>
      <c r="EZ94">
        <v>0</v>
      </c>
      <c r="FA94">
        <v>0</v>
      </c>
      <c r="FB94">
        <f>SUM(EU94:FA94)+(IF(F94="YES",50000,0))</f>
        <v>0</v>
      </c>
      <c r="FC94">
        <f>ET94-FB94</f>
        <v>340544</v>
      </c>
      <c r="FD94">
        <f>ROUND(IF(FC94&gt;0,IF(FC94&gt;500000,12500,(FC94-250000)*0.05),0),0)</f>
        <v>4527</v>
      </c>
      <c r="FE94">
        <f>IF(ROUND(IF(FC94&gt;0,IF(FC94&gt;1000000,25000,(FC94-500000)*0.2),0),0)&lt;0,0,ROUND(IF(FC94&gt;0,IF(FC94&gt;1000000,25000,(FC94-500000)*0.2),0),0))</f>
        <v>0</v>
      </c>
      <c r="FF94">
        <f>FD94+FE94</f>
        <v>4527</v>
      </c>
      <c r="FG94">
        <f>IF(FF94&lt;12500,0,FF94)</f>
        <v>0</v>
      </c>
      <c r="FH94">
        <f>FG94*0.04</f>
        <v>0</v>
      </c>
      <c r="FI94">
        <f>ROUND(FH94+FG94,0)</f>
        <v>0</v>
      </c>
      <c r="FJ94">
        <v>0</v>
      </c>
      <c r="FK94">
        <f>FI94-FJ94</f>
        <v>0</v>
      </c>
      <c r="FL94" t="b">
        <f>IF(EA94&gt;500000,TRUE,FALSE)</f>
        <v>0</v>
      </c>
      <c r="FM94">
        <f ca="1">IF(FL94,RANDBETWEEN(500,1000),RANDBETWEEN(1000,3000))</f>
        <v>1895</v>
      </c>
      <c r="FN94">
        <f ca="1">EA94+FM94</f>
        <v>418239</v>
      </c>
      <c r="FO94">
        <f>IF(EA94&gt;0,75000,0)</f>
        <v>75000</v>
      </c>
      <c r="FP94">
        <f ca="1">FN94-FO94</f>
        <v>343239</v>
      </c>
      <c r="FQ94">
        <f ca="1">IF(FP94&gt;2400000,FP94-2400000,0)</f>
        <v>0</v>
      </c>
      <c r="FR94">
        <f ca="1">FQ94*0.3</f>
        <v>0</v>
      </c>
      <c r="FS94">
        <f ca="1">IF(FP94&gt;2000000,FP94-2000000,0)</f>
        <v>0</v>
      </c>
      <c r="FT94">
        <f ca="1">FS94*0.25</f>
        <v>0</v>
      </c>
      <c r="FU94">
        <f ca="1">IF(FP94&gt;1600000,FP94-1600000-FQ94,0)</f>
        <v>0</v>
      </c>
      <c r="FV94">
        <f ca="1">FU94*0.2</f>
        <v>0</v>
      </c>
      <c r="FW94">
        <f ca="1">IF(FP94&gt;1200000,FP94-1200000-IF(F94="YES",50000,0)-FU94,0)</f>
        <v>0</v>
      </c>
      <c r="FX94">
        <f ca="1">FW94*0.15</f>
        <v>0</v>
      </c>
      <c r="FY94">
        <f ca="1">IF(FP94&gt;800000,FP94-800000-FQ94-FU94-FW94,0)</f>
        <v>0</v>
      </c>
      <c r="FZ94">
        <f ca="1">FY94*0.1</f>
        <v>0</v>
      </c>
      <c r="GA94">
        <f ca="1">IF(FP94&gt;400000,FP94-400000-FQ94-FU94-FW94-FY94,0)</f>
        <v>0</v>
      </c>
      <c r="GB94">
        <f ca="1">GA94*0.05</f>
        <v>0</v>
      </c>
      <c r="GC94">
        <f ca="1">ROUND(FR94+FT94+FV94+FX94+FZ94+GB94,0)</f>
        <v>0</v>
      </c>
      <c r="GD94">
        <f ca="1">IF(FP94&gt;1200000,FP94,0)</f>
        <v>0</v>
      </c>
      <c r="GE94">
        <f ca="1">IF(FP94&gt;1200000,GD94-1200000,0)</f>
        <v>0</v>
      </c>
      <c r="GF94">
        <f ca="1">IF(FP94&lt;1200001,MIN(GC94,60000),0)</f>
        <v>0</v>
      </c>
      <c r="GG94">
        <f ca="1">IF(FP94&gt;1200000,GC94-GE94,0)</f>
        <v>0</v>
      </c>
      <c r="GH94" t="b">
        <f ca="1">IF(GG94&gt;0,TRUE,FALSE)</f>
        <v>0</v>
      </c>
      <c r="GI94">
        <f ca="1">IF(GH94,GG94,0)</f>
        <v>0</v>
      </c>
      <c r="GJ94">
        <f ca="1">GF94+GI94</f>
        <v>0</v>
      </c>
      <c r="GK94">
        <f ca="1">ROUND(GC94-GJ94,0)</f>
        <v>0</v>
      </c>
      <c r="GL94">
        <f ca="1">GK94*0.04</f>
        <v>0</v>
      </c>
      <c r="GM94">
        <f ca="1">ROUNDUP(GK94+GL94,0)</f>
        <v>0</v>
      </c>
    </row>
    <row r="95" spans="1:195" x14ac:dyDescent="0.25">
      <c r="A95">
        <f>_xlfn.AGGREGATE(3,5,$B$2:B95)</f>
        <v>94</v>
      </c>
      <c r="B95" t="s">
        <v>308</v>
      </c>
      <c r="C95" t="s">
        <v>309</v>
      </c>
      <c r="D95" t="s">
        <v>777</v>
      </c>
      <c r="E95" t="s">
        <v>833</v>
      </c>
      <c r="F95" t="s">
        <v>959</v>
      </c>
      <c r="G95" t="s">
        <v>883</v>
      </c>
      <c r="H95">
        <f>IF(_xlfn.DAYS("31-03-2025",G95)&gt;=180,6800,0)</f>
        <v>6800</v>
      </c>
      <c r="I95">
        <f>_xlfn.XLOOKUP(B95,'[1]march-2025'!$A:$A,'[1]march-2025'!$J:$J,0,0)</f>
        <v>0</v>
      </c>
      <c r="J95">
        <f>_xlfn.XLOOKUP(B95,'[1]march-2025'!$A:$A,'[1]march-2025'!$C:$C,0,0)</f>
        <v>28900</v>
      </c>
      <c r="K95">
        <f>J95*0.14</f>
        <v>4046.0000000000005</v>
      </c>
      <c r="L95">
        <f>J95*0.12</f>
        <v>3468</v>
      </c>
      <c r="M95">
        <f>_xlfn.XLOOKUP(B95,'[1]march-2025'!$A:$A,'[1]march-2025'!$D:$D,0,0)</f>
        <v>0</v>
      </c>
      <c r="N95">
        <f>_xlfn.XLOOKUP(B95,'[1]march-2025'!$A:$A,'[1]march-2025'!$G:$G,0,0)</f>
        <v>500</v>
      </c>
      <c r="O95">
        <f>IF(J95&gt;0,SUM(J95:N95),0)</f>
        <v>36914</v>
      </c>
      <c r="P95">
        <f>_xlfn.XLOOKUP(B95,'[1]march-2025'!$A:$A,'[1]march-2025'!$H:$H,0,0)</f>
        <v>2000</v>
      </c>
      <c r="Q95">
        <f>_xlfn.XLOOKUP(B95,'[1]march-2025'!$A:$A,'[1]march-2025'!$I:$I,0,0)</f>
        <v>0</v>
      </c>
      <c r="R95">
        <f>IF($F95="YES",0,IF(O95&gt;40000,200,IF(O95&gt;25000,150,IF(O95&gt;15000,130,IF(O95&gt;10000,110,0)))))</f>
        <v>150</v>
      </c>
      <c r="S95">
        <f>O95-P95-Q95-R95</f>
        <v>34764</v>
      </c>
      <c r="T95">
        <f>_xlfn.XLOOKUP(B95,'[2]april-2025'!$A:$A,'[2]april-2025'!$C:$C,0,0)</f>
        <v>28900</v>
      </c>
      <c r="U95">
        <f>T95*0.18</f>
        <v>5202</v>
      </c>
      <c r="V95">
        <f>T95*0.12</f>
        <v>3468</v>
      </c>
      <c r="W95">
        <f>_xlfn.XLOOKUP(B95,'[2]april-2025'!$A:$A,'[2]april-2025'!$D:$D,0,0)</f>
        <v>0</v>
      </c>
      <c r="X95">
        <f>_xlfn.XLOOKUP(B95,'[2]april-2025'!$A:$A,'[2]april-2025'!$G:$G,0,0)</f>
        <v>500</v>
      </c>
      <c r="Y95">
        <f>IF(T95&gt;0,SUM(T95:X95),0)</f>
        <v>38070</v>
      </c>
      <c r="Z95">
        <f>_xlfn.XLOOKUP(B95,'[2]april-2025'!$A:$A,'[2]april-2025'!$H:$H,0,0)</f>
        <v>2000</v>
      </c>
      <c r="AA95">
        <f>_xlfn.XLOOKUP(B95,'[2]april-2025'!$A:$A,'[2]april-2025'!$I:$I,0,0)</f>
        <v>0</v>
      </c>
      <c r="AB95">
        <f>IF($F95="YES",0,IF(Y95&gt;40000,200,IF(Y95&gt;25000,150,IF(Y95&gt;15000,130,IF(Y95&gt;10000,110,0)))))</f>
        <v>150</v>
      </c>
      <c r="AC95">
        <f>Y95-Z95-AA95-AB95</f>
        <v>35920</v>
      </c>
      <c r="AD95">
        <f>_xlfn.XLOOKUP(B95,'[3]may-2025'!$A:$A,'[3]may-2025'!$C:$C,0,0)</f>
        <v>28900</v>
      </c>
      <c r="AE95">
        <f>AD95*0.18</f>
        <v>5202</v>
      </c>
      <c r="AF95">
        <f>AD95*0.12</f>
        <v>3468</v>
      </c>
      <c r="AG95">
        <f>_xlfn.XLOOKUP(B95,'[3]may-2025'!$A:$A,'[3]may-2025'!$D:$D,0,0)</f>
        <v>0</v>
      </c>
      <c r="AH95">
        <f>_xlfn.XLOOKUP(B95,'[3]may-2025'!$A:$A,'[3]may-2025'!$G:$G,0,0)</f>
        <v>500</v>
      </c>
      <c r="AI95">
        <f>IF(AD95&gt;0,SUM(AD95:AH95),0)</f>
        <v>38070</v>
      </c>
      <c r="AJ95">
        <f>_xlfn.XLOOKUP(B95,'[3]may-2025'!$A:$A,'[3]may-2025'!$H:$H,0,0)</f>
        <v>2000</v>
      </c>
      <c r="AK95">
        <f>_xlfn.XLOOKUP(B95,'[3]may-2025'!$A:$A,'[3]may-2025'!$I:$I,0,0)</f>
        <v>0</v>
      </c>
      <c r="AL95">
        <f>IF($F95="YES",0,IF(AI95&gt;40000,200,IF(AI95&gt;25000,150,IF(AI95&gt;15000,130,IF(AI95&gt;10000,110,0)))))</f>
        <v>150</v>
      </c>
      <c r="AM95">
        <f>AI95-AJ95-AK95-AL95</f>
        <v>35920</v>
      </c>
      <c r="AN95">
        <f>_xlfn.XLOOKUP(B95,'[4]june-2025'!$A:$A,'[4]june-2025'!$C:$C,0,0)</f>
        <v>28900</v>
      </c>
      <c r="AO95">
        <f>AN95*0.18</f>
        <v>5202</v>
      </c>
      <c r="AP95">
        <f>AN95*0.12</f>
        <v>3468</v>
      </c>
      <c r="AQ95">
        <f>_xlfn.XLOOKUP(B95,'[4]june-2025'!$A:$A,'[4]june-2025'!$D:$D,0,0)</f>
        <v>0</v>
      </c>
      <c r="AR95">
        <f>_xlfn.XLOOKUP(B95,'[4]june-2025'!$A:$A,'[4]june-2025'!$G:$G,0,0)</f>
        <v>500</v>
      </c>
      <c r="AS95">
        <f>IF(AN95&gt;0,SUM(AN95:AR95),0)</f>
        <v>38070</v>
      </c>
      <c r="AT95">
        <f>_xlfn.XLOOKUP(B95,'[4]june-2025'!$A:$A,'[4]june-2025'!$H:$H,0,0)</f>
        <v>2000</v>
      </c>
      <c r="AU95">
        <f>_xlfn.XLOOKUP(B95,'[4]june-2025'!$A:$A,'[4]june-2025'!$I:$I,0,0)</f>
        <v>0</v>
      </c>
      <c r="AV95">
        <f>IF($F95="YES",0,IF(AS95&gt;40000,200,IF(AS95&gt;25000,150,IF(AS95&gt;15000,130,IF(AS95&gt;10000,110,0)))))</f>
        <v>150</v>
      </c>
      <c r="AW95">
        <f>AS95-AT95-AU95-AV95</f>
        <v>35920</v>
      </c>
      <c r="AX95">
        <f>_xlfn.XLOOKUP(B95,'[5]july-2025'!$A:$A,'[5]july-2025'!$C:$C,0,0)</f>
        <v>29800</v>
      </c>
      <c r="AY95">
        <f>AX95*0.18</f>
        <v>5364</v>
      </c>
      <c r="AZ95">
        <v>0</v>
      </c>
      <c r="BA95">
        <f>AX95*0.12</f>
        <v>3576</v>
      </c>
      <c r="BB95">
        <f>_xlfn.XLOOKUP(B95,'[5]july-2025'!$A:$A,'[5]july-2025'!$D:$D,0,0)</f>
        <v>0</v>
      </c>
      <c r="BC95">
        <f>_xlfn.XLOOKUP(B95,'[5]july-2025'!$A:$A,'[5]july-2025'!$G:$G,0,0)</f>
        <v>500</v>
      </c>
      <c r="BD95">
        <f>IF(AX95&gt;0,SUM(AX95:BC95),0)</f>
        <v>39240</v>
      </c>
      <c r="BE95">
        <f>_xlfn.XLOOKUP(B95,'[5]july-2025'!$A:$A,'[5]july-2025'!$H:$H,0,0)</f>
        <v>2000</v>
      </c>
      <c r="BF95">
        <f>_xlfn.XLOOKUP(B95,'[5]july-2025'!$A:$A,'[5]july-2025'!$I:$I,0,0)</f>
        <v>0</v>
      </c>
      <c r="BG95">
        <f>IF($F95="YES",0,IF(BD95&gt;40000,200,IF(BD95&gt;25000,150,IF(BD95&gt;15000,130,IF(BD95&gt;10000,110,0)))))</f>
        <v>150</v>
      </c>
      <c r="BH95">
        <f>BD95-BE95-BF95-BG95</f>
        <v>37090</v>
      </c>
      <c r="BI95">
        <f>_xlfn.XLOOKUP(B95,'[6]august-2025'!$A:$A,'[6]august-2025'!$C:$C,0,0)</f>
        <v>29800</v>
      </c>
      <c r="BJ95">
        <f>BI95*0.18</f>
        <v>5364</v>
      </c>
      <c r="BK95">
        <f>BI95*0.12</f>
        <v>3576</v>
      </c>
      <c r="BL95">
        <f>_xlfn.XLOOKUP(B95,'[6]august-2025'!$A:$A,'[6]august-2025'!$D:$D,0,0)</f>
        <v>0</v>
      </c>
      <c r="BM95">
        <f>_xlfn.XLOOKUP(B95,'[6]august-2025'!$A:$A,'[6]august-2025'!$G:$G,0,0)</f>
        <v>500</v>
      </c>
      <c r="BN95">
        <f>IF(BI95&gt;0,SUM(BI95:BM95),0)</f>
        <v>39240</v>
      </c>
      <c r="BO95">
        <f>_xlfn.XLOOKUP(B95,'[6]august-2025'!$A:$A,'[6]august-2025'!$H:$H,0,0)</f>
        <v>2000</v>
      </c>
      <c r="BP95">
        <f>_xlfn.XLOOKUP(B95,'[6]august-2025'!$A:$A,'[6]august-2025'!$I:$I,0,0)</f>
        <v>0</v>
      </c>
      <c r="BQ95">
        <f>IF($F95="YES",0,IF(BN95&gt;40000,200,IF(BN95&gt;25000,150,IF(BN95&gt;15000,130,IF(BN95&gt;10000,110,0)))))</f>
        <v>150</v>
      </c>
      <c r="BR95">
        <f>BN95-BO95-BP95-BQ95</f>
        <v>37090</v>
      </c>
      <c r="BS95">
        <f>_xlfn.XLOOKUP(B95,'[7]september-2025'!$A:$A,'[7]september-2025'!$C:$C,0,0)</f>
        <v>29800</v>
      </c>
      <c r="BT95">
        <f>BS95*0.18</f>
        <v>5364</v>
      </c>
      <c r="BU95">
        <f>BS95*0.12</f>
        <v>3576</v>
      </c>
      <c r="BV95">
        <f>_xlfn.XLOOKUP(B95,'[7]september-2025'!$A:$A,'[7]september-2025'!$D:$D,0,0)</f>
        <v>0</v>
      </c>
      <c r="BW95">
        <f>_xlfn.XLOOKUP(B95,'[7]september-2025'!$A:$A,'[7]september-2025'!$G:$G,0,0)</f>
        <v>500</v>
      </c>
      <c r="BX95">
        <f>IF(BS95&gt;0,SUM(BS95:BW95),0)</f>
        <v>39240</v>
      </c>
      <c r="BY95">
        <f>_xlfn.XLOOKUP(B95,'[7]september-2025'!$A:$A,'[7]september-2025'!$H:$H,0,0)</f>
        <v>2000</v>
      </c>
      <c r="BZ95">
        <f>_xlfn.XLOOKUP(B95,'[7]september-2025'!$A:$A,'[7]september-2025'!$I:$I,0,0)</f>
        <v>0</v>
      </c>
      <c r="CA95">
        <f>IF($F95="YES",0,IF(BX95&gt;40000,200,IF(BX95&gt;25000,150,IF(BX95&gt;15000,130,IF(BX95&gt;10000,110,0)))))</f>
        <v>150</v>
      </c>
      <c r="CB95">
        <f>BX95-BY95-BZ95-CA95</f>
        <v>37090</v>
      </c>
      <c r="CC95">
        <f>_xlfn.XLOOKUP(B95,'[8]october-2025'!$A:$A,'[8]october-2025'!$C:$C,0,0)</f>
        <v>29800</v>
      </c>
      <c r="CD95">
        <f>CC95*0.18</f>
        <v>5364</v>
      </c>
      <c r="CE95">
        <f>CC95*0.12</f>
        <v>3576</v>
      </c>
      <c r="CF95">
        <f>_xlfn.XLOOKUP(B95,'[8]october-2025'!$A:$A,'[8]october-2025'!$D:$D,0,0)</f>
        <v>0</v>
      </c>
      <c r="CG95">
        <f>_xlfn.XLOOKUP(B95,'[8]october-2025'!$A:$A,'[8]october-2025'!$G:$G,0,0)</f>
        <v>500</v>
      </c>
      <c r="CH95">
        <f>IF(CC95&gt;0,SUM(CC95:CG95),0)</f>
        <v>39240</v>
      </c>
      <c r="CI95">
        <f>_xlfn.XLOOKUP(B95,'[8]october-2025'!$A:$A,'[8]october-2025'!$H:$H,0,0)</f>
        <v>2000</v>
      </c>
      <c r="CJ95">
        <f>_xlfn.XLOOKUP(B95,'[8]october-2025'!$A:$A,'[8]october-2025'!$I:$I,0,0)</f>
        <v>0</v>
      </c>
      <c r="CK95">
        <f>IF($F95="YES",0,IF(CH95&gt;40000,200,IF(CH95&gt;25000,150,IF(CH95&gt;15000,130,IF(CH95&gt;10000,110,0)))))</f>
        <v>150</v>
      </c>
      <c r="CL95">
        <f>CH95-CI95-CJ95-CK95</f>
        <v>37090</v>
      </c>
      <c r="CM95">
        <f>_xlfn.XLOOKUP(B95,'[9]november-2025'!$A:$A,'[9]november-2025'!$C:$C,0,0)</f>
        <v>29800</v>
      </c>
      <c r="CN95">
        <f>CM95*0.18</f>
        <v>5364</v>
      </c>
      <c r="CO95">
        <f>CM95*0.12</f>
        <v>3576</v>
      </c>
      <c r="CP95">
        <f>_xlfn.XLOOKUP(B95,'[9]november-2025'!$A:$A,'[9]november-2025'!$D:$D,0,0)</f>
        <v>0</v>
      </c>
      <c r="CQ95">
        <f>_xlfn.XLOOKUP(B95,'[9]november-2025'!$A:$A,'[9]november-2025'!$G:$G,0,0)</f>
        <v>500</v>
      </c>
      <c r="CR95">
        <f>IF(CM95&gt;0,SUM(CM95:CQ95),0)</f>
        <v>39240</v>
      </c>
      <c r="CS95">
        <f>_xlfn.XLOOKUP(B95,'[9]november-2025'!$A:$A,'[9]november-2025'!$H:$H,0,0)</f>
        <v>2000</v>
      </c>
      <c r="CT95">
        <f>_xlfn.XLOOKUP(B95,'[9]november-2025'!$A:$A,'[9]november-2025'!$I:$I,0,0)</f>
        <v>0</v>
      </c>
      <c r="CU95">
        <f>IF($F95="YES",0,IF(CR95&gt;40000,200,IF(CR95&gt;25000,150,IF(CR95&gt;15000,130,IF(CR95&gt;10000,110,0)))))</f>
        <v>150</v>
      </c>
      <c r="CV95">
        <f>CR95-CS95-CT95-CU95</f>
        <v>37090</v>
      </c>
      <c r="CW95">
        <f>_xlfn.XLOOKUP(B95,'[10]december-2025'!$A:$A,'[10]december-2025'!$C:$C,0,0)</f>
        <v>29800</v>
      </c>
      <c r="CX95">
        <f>ROUND(CW95*0.18,0)</f>
        <v>5364</v>
      </c>
      <c r="CY95">
        <f>ROUND(CW95*0.12,0)</f>
        <v>3576</v>
      </c>
      <c r="CZ95">
        <f>_xlfn.XLOOKUP(B95,'[10]december-2025'!$A:$A,'[10]december-2025'!$D:$D,0,0)</f>
        <v>0</v>
      </c>
      <c r="DA95">
        <f>_xlfn.XLOOKUP(B95,'[10]december-2025'!$A:$A,'[10]december-2025'!$G:$G,0,0)</f>
        <v>500</v>
      </c>
      <c r="DB95">
        <f>IF(CW95&gt;0,SUM(CW95:DA95),0)</f>
        <v>39240</v>
      </c>
      <c r="DC95">
        <f>_xlfn.XLOOKUP(B95,'[10]december-2025'!$A:$A,'[10]december-2025'!$H:$H,0,0)</f>
        <v>2000</v>
      </c>
      <c r="DD95">
        <f>_xlfn.XLOOKUP(B95,'[10]december-2025'!$A:$A,'[10]december-2025'!$I:$I,0,0)</f>
        <v>0</v>
      </c>
      <c r="DE95">
        <f>IF($F95="YES",0,IF(DB95&gt;40000,200,IF(DB95&gt;25000,150,IF(DB95&gt;15000,130,IF(DB95&gt;10000,110,0)))))</f>
        <v>150</v>
      </c>
      <c r="DF95">
        <f>DB95-DC95-DD95-DE95</f>
        <v>37090</v>
      </c>
      <c r="DG95">
        <f>_xlfn.XLOOKUP(B95,'[11]january-2026'!$A:$A,'[11]january-2026'!$C:$C,0,0)</f>
        <v>29800</v>
      </c>
      <c r="DH95">
        <f>DG95*0.18</f>
        <v>5364</v>
      </c>
      <c r="DI95">
        <f>DG95*0.12</f>
        <v>3576</v>
      </c>
      <c r="DJ95">
        <f>_xlfn.XLOOKUP(B95,'[11]january-2026'!$A:$A,'[11]january-2026'!$D:$D,0,0)</f>
        <v>0</v>
      </c>
      <c r="DK95">
        <f>_xlfn.XLOOKUP(B95,'[11]january-2026'!$A:$A,'[11]january-2026'!$G:$G,0,0)</f>
        <v>500</v>
      </c>
      <c r="DL95">
        <f>IF(DG95&gt;0,SUM(DG95:DK95),0)</f>
        <v>39240</v>
      </c>
      <c r="DM95">
        <f>_xlfn.XLOOKUP(B95,'[11]january-2026'!$A:$A,'[11]january-2026'!$H:$H,0,0)</f>
        <v>2000</v>
      </c>
      <c r="DN95">
        <f>_xlfn.XLOOKUP(B95,'[11]january-2026'!$A:$A,'[11]january-2026'!$I:$I,0,0)</f>
        <v>0</v>
      </c>
      <c r="DO95">
        <f>IF($F95="YES",0,IF(DL95&gt;40000,200,IF(DL95&gt;25000,150,IF(DL95&gt;15000,130,IF(DL95&gt;10000,110,0)))))</f>
        <v>150</v>
      </c>
      <c r="DP95">
        <f>DL95-DM95-DN95-DO95</f>
        <v>37090</v>
      </c>
      <c r="DQ95">
        <f>_xlfn.XLOOKUP(B95,'[12]february-2026'!$A:$A,'[12]february-2026'!$C:$C,0,0)</f>
        <v>29800</v>
      </c>
      <c r="DR95">
        <f>DQ95*0.18</f>
        <v>5364</v>
      </c>
      <c r="DS95">
        <f>DQ95*0.12</f>
        <v>3576</v>
      </c>
      <c r="DT95">
        <f>_xlfn.XLOOKUP(B95,'[12]february-2026'!$A:$A,'[12]february-2026'!$D:$D,0,0)</f>
        <v>0</v>
      </c>
      <c r="DU95">
        <f>_xlfn.XLOOKUP(B95,'[12]february-2026'!$A:$A,'[12]february-2026'!$G:$G,0,0)</f>
        <v>500</v>
      </c>
      <c r="DV95">
        <f>IF(DQ95&gt;0,SUM(DQ95:DU95),0)</f>
        <v>39240</v>
      </c>
      <c r="DW95">
        <f>_xlfn.XLOOKUP(B95,'[12]february-2026'!$A:$A,'[12]february-2026'!$H:$H,0,0)</f>
        <v>2000</v>
      </c>
      <c r="DX95">
        <f>_xlfn.XLOOKUP(B95,'[12]february-2026'!$A:$A,'[12]february-2026'!$I:$I,0,0)</f>
        <v>0</v>
      </c>
      <c r="DY95">
        <f>IF($F95="YES",0,IF(DV95&gt;40000,200,IF(DV95&gt;25000,150,IF(DV95&gt;15000,130,IF(DV95&gt;10000,110,0)))))</f>
        <v>150</v>
      </c>
      <c r="DZ95">
        <f>DV95-DW95-DX95-DY95</f>
        <v>37090</v>
      </c>
      <c r="EA95">
        <f>DV95+DL95+DB95+CR95+CH95+BX95+BN95+BD95+AS95+AI95+Y95+O95+H95+I95</f>
        <v>471844</v>
      </c>
      <c r="EB95">
        <f>DY95+DO95+DE95+CU95+CK95+CA95+BQ95+BG95+AV95+AL95+AB95+R95</f>
        <v>1800</v>
      </c>
      <c r="EC95">
        <f>IF(EA95&gt;0,50000,0)</f>
        <v>50000</v>
      </c>
      <c r="ED95">
        <v>0</v>
      </c>
      <c r="EE95">
        <f>EA95-EB95-EC95</f>
        <v>420044</v>
      </c>
      <c r="EF95">
        <f>DW95+DM95+DC95+CS95+CI95+BY95+BO95+BE95+AT95+AJ95+Z95+P95</f>
        <v>24000</v>
      </c>
      <c r="EG95">
        <f>DX95+DN95+DD95+CT95+CJ95+BZ95+BP95+BF95+AU95+AK95+AA95+Q95</f>
        <v>0</v>
      </c>
      <c r="EH95">
        <v>0</v>
      </c>
      <c r="EI95">
        <v>0</v>
      </c>
      <c r="EJ95">
        <v>0</v>
      </c>
      <c r="EK95">
        <v>0</v>
      </c>
      <c r="EL95">
        <v>0</v>
      </c>
      <c r="EM95">
        <v>0</v>
      </c>
      <c r="EN95">
        <v>0</v>
      </c>
      <c r="EO95">
        <v>0</v>
      </c>
      <c r="EP95">
        <v>0</v>
      </c>
      <c r="EQ95">
        <v>0</v>
      </c>
      <c r="ER95">
        <f>SUM(EF95:EQ95)</f>
        <v>24000</v>
      </c>
      <c r="ES95">
        <f>IF(ER95&gt;=150000,150000,ER95)</f>
        <v>24000</v>
      </c>
      <c r="ET95">
        <f>EE95-ES95</f>
        <v>396044</v>
      </c>
      <c r="EU95">
        <v>0</v>
      </c>
      <c r="EV95">
        <v>0</v>
      </c>
      <c r="EW95">
        <v>0</v>
      </c>
      <c r="EX95">
        <v>0</v>
      </c>
      <c r="EY95">
        <v>0</v>
      </c>
      <c r="EZ95">
        <v>0</v>
      </c>
      <c r="FA95">
        <v>0</v>
      </c>
      <c r="FB95">
        <f>SUM(EU95:FA95)+(IF(F95="YES",50000,0))</f>
        <v>0</v>
      </c>
      <c r="FC95">
        <f>ET95-FB95</f>
        <v>396044</v>
      </c>
      <c r="FD95">
        <f>ROUND(IF(FC95&gt;0,IF(FC95&gt;500000,12500,(FC95-250000)*0.05),0),0)</f>
        <v>7302</v>
      </c>
      <c r="FE95">
        <f>IF(ROUND(IF(FC95&gt;0,IF(FC95&gt;1000000,25000,(FC95-500000)*0.2),0),0)&lt;0,0,ROUND(IF(FC95&gt;0,IF(FC95&gt;1000000,25000,(FC95-500000)*0.2),0),0))</f>
        <v>0</v>
      </c>
      <c r="FF95">
        <f>FD95+FE95</f>
        <v>7302</v>
      </c>
      <c r="FG95">
        <f>IF(FF95&lt;12500,0,FF95)</f>
        <v>0</v>
      </c>
      <c r="FH95">
        <f>FG95*0.04</f>
        <v>0</v>
      </c>
      <c r="FI95">
        <f>ROUND(FH95+FG95,0)</f>
        <v>0</v>
      </c>
      <c r="FJ95">
        <v>0</v>
      </c>
      <c r="FK95">
        <f>FI95-FJ95</f>
        <v>0</v>
      </c>
      <c r="FL95" t="b">
        <f>IF(EA95&gt;500000,TRUE,FALSE)</f>
        <v>0</v>
      </c>
      <c r="FM95">
        <f ca="1">IF(FL95,RANDBETWEEN(500,1000),RANDBETWEEN(1000,3000))</f>
        <v>2290</v>
      </c>
      <c r="FN95">
        <f ca="1">EA95+FM95</f>
        <v>474134</v>
      </c>
      <c r="FO95">
        <f>IF(EA95&gt;0,75000,0)</f>
        <v>75000</v>
      </c>
      <c r="FP95">
        <f ca="1">FN95-FO95</f>
        <v>399134</v>
      </c>
      <c r="FQ95">
        <f ca="1">IF(FP95&gt;2400000,FP95-2400000,0)</f>
        <v>0</v>
      </c>
      <c r="FR95">
        <f ca="1">FQ95*0.3</f>
        <v>0</v>
      </c>
      <c r="FS95">
        <f ca="1">IF(FP95&gt;2000000,FP95-2000000,0)</f>
        <v>0</v>
      </c>
      <c r="FT95">
        <f ca="1">FS95*0.25</f>
        <v>0</v>
      </c>
      <c r="FU95">
        <f ca="1">IF(FP95&gt;1600000,FP95-1600000-FQ95,0)</f>
        <v>0</v>
      </c>
      <c r="FV95">
        <f ca="1">FU95*0.2</f>
        <v>0</v>
      </c>
      <c r="FW95">
        <f ca="1">IF(FP95&gt;1200000,FP95-1200000-IF(F95="YES",50000,0)-FU95,0)</f>
        <v>0</v>
      </c>
      <c r="FX95">
        <f ca="1">FW95*0.15</f>
        <v>0</v>
      </c>
      <c r="FY95">
        <f ca="1">IF(FP95&gt;800000,FP95-800000-FQ95-FU95-FW95,0)</f>
        <v>0</v>
      </c>
      <c r="FZ95">
        <f ca="1">FY95*0.1</f>
        <v>0</v>
      </c>
      <c r="GA95">
        <f ca="1">IF(FP95&gt;400000,FP95-400000-FQ95-FU95-FW95-FY95,0)</f>
        <v>0</v>
      </c>
      <c r="GB95">
        <f ca="1">GA95*0.05</f>
        <v>0</v>
      </c>
      <c r="GC95">
        <f ca="1">ROUND(FR95+FT95+FV95+FX95+FZ95+GB95,0)</f>
        <v>0</v>
      </c>
      <c r="GD95">
        <f ca="1">IF(FP95&gt;1200000,FP95,0)</f>
        <v>0</v>
      </c>
      <c r="GE95">
        <f ca="1">IF(FP95&gt;1200000,GD95-1200000,0)</f>
        <v>0</v>
      </c>
      <c r="GF95">
        <f ca="1">IF(FP95&lt;1200001,MIN(GC95,60000),0)</f>
        <v>0</v>
      </c>
      <c r="GG95">
        <f ca="1">IF(FP95&gt;1200000,GC95-GE95,0)</f>
        <v>0</v>
      </c>
      <c r="GH95" t="b">
        <f ca="1">IF(GG95&gt;0,TRUE,FALSE)</f>
        <v>0</v>
      </c>
      <c r="GI95">
        <f ca="1">IF(GH95,GG95,0)</f>
        <v>0</v>
      </c>
      <c r="GJ95">
        <f ca="1">GF95+GI95</f>
        <v>0</v>
      </c>
      <c r="GK95">
        <f ca="1">ROUND(GC95-GJ95,0)</f>
        <v>0</v>
      </c>
      <c r="GL95">
        <f ca="1">GK95*0.04</f>
        <v>0</v>
      </c>
      <c r="GM95">
        <f ca="1">ROUNDUP(GK95+GL95,0)</f>
        <v>0</v>
      </c>
    </row>
    <row r="96" spans="1:195" x14ac:dyDescent="0.25">
      <c r="A96">
        <f>_xlfn.AGGREGATE(3,5,$B$2:B96)</f>
        <v>95</v>
      </c>
      <c r="B96" t="s">
        <v>310</v>
      </c>
      <c r="C96" t="s">
        <v>311</v>
      </c>
      <c r="D96" t="s">
        <v>778</v>
      </c>
      <c r="E96" t="s">
        <v>833</v>
      </c>
      <c r="F96" t="s">
        <v>959</v>
      </c>
      <c r="G96" t="s">
        <v>908</v>
      </c>
      <c r="H96">
        <f>IF(_xlfn.DAYS("31-03-2025",G96)&gt;=180,6800,0)</f>
        <v>6800</v>
      </c>
      <c r="I96">
        <f>_xlfn.XLOOKUP(B96,'[1]march-2025'!$A:$A,'[1]march-2025'!$J:$J,0,0)</f>
        <v>0</v>
      </c>
      <c r="J96">
        <f>_xlfn.XLOOKUP(B96,'[1]march-2025'!$A:$A,'[1]march-2025'!$C:$C,0,0)</f>
        <v>34500</v>
      </c>
      <c r="K96">
        <f>J96*0.14</f>
        <v>4830.0000000000009</v>
      </c>
      <c r="L96">
        <f>J96*0.12</f>
        <v>4140</v>
      </c>
      <c r="M96">
        <f>_xlfn.XLOOKUP(B96,'[1]march-2025'!$A:$A,'[1]march-2025'!$D:$D,0,0)</f>
        <v>400</v>
      </c>
      <c r="N96">
        <f>_xlfn.XLOOKUP(B96,'[1]march-2025'!$A:$A,'[1]march-2025'!$G:$G,0,0)</f>
        <v>500</v>
      </c>
      <c r="O96">
        <f>IF(J96&gt;0,SUM(J96:N96),0)</f>
        <v>44370</v>
      </c>
      <c r="P96">
        <f>_xlfn.XLOOKUP(B96,'[1]march-2025'!$A:$A,'[1]march-2025'!$H:$H,0,0)</f>
        <v>2500</v>
      </c>
      <c r="Q96">
        <f>_xlfn.XLOOKUP(B96,'[1]march-2025'!$A:$A,'[1]march-2025'!$I:$I,0,0)</f>
        <v>0</v>
      </c>
      <c r="R96">
        <f>IF($F96="YES",0,IF(O96&gt;40000,200,IF(O96&gt;25000,150,IF(O96&gt;15000,130,IF(O96&gt;10000,110,0)))))</f>
        <v>200</v>
      </c>
      <c r="S96">
        <f>O96-P96-Q96-R96</f>
        <v>41670</v>
      </c>
      <c r="T96">
        <f>_xlfn.XLOOKUP(B96,'[2]april-2025'!$A:$A,'[2]april-2025'!$C:$C,0,0)</f>
        <v>34500</v>
      </c>
      <c r="U96">
        <f>T96*0.18</f>
        <v>6210</v>
      </c>
      <c r="V96">
        <f>T96*0.12</f>
        <v>4140</v>
      </c>
      <c r="W96">
        <f>_xlfn.XLOOKUP(B96,'[2]april-2025'!$A:$A,'[2]april-2025'!$D:$D,0,0)</f>
        <v>400</v>
      </c>
      <c r="X96">
        <f>_xlfn.XLOOKUP(B96,'[2]april-2025'!$A:$A,'[2]april-2025'!$G:$G,0,0)</f>
        <v>500</v>
      </c>
      <c r="Y96">
        <f>IF(T96&gt;0,SUM(T96:X96),0)</f>
        <v>45750</v>
      </c>
      <c r="Z96">
        <f>_xlfn.XLOOKUP(B96,'[2]april-2025'!$A:$A,'[2]april-2025'!$H:$H,0,0)</f>
        <v>2500</v>
      </c>
      <c r="AA96">
        <f>_xlfn.XLOOKUP(B96,'[2]april-2025'!$A:$A,'[2]april-2025'!$I:$I,0,0)</f>
        <v>0</v>
      </c>
      <c r="AB96">
        <f>IF($F96="YES",0,IF(Y96&gt;40000,200,IF(Y96&gt;25000,150,IF(Y96&gt;15000,130,IF(Y96&gt;10000,110,0)))))</f>
        <v>200</v>
      </c>
      <c r="AC96">
        <f>Y96-Z96-AA96-AB96</f>
        <v>43050</v>
      </c>
      <c r="AD96">
        <f>_xlfn.XLOOKUP(B96,'[3]may-2025'!$A:$A,'[3]may-2025'!$C:$C,0,0)</f>
        <v>34500</v>
      </c>
      <c r="AE96">
        <f>AD96*0.18</f>
        <v>6210</v>
      </c>
      <c r="AF96">
        <f>AD96*0.12</f>
        <v>4140</v>
      </c>
      <c r="AG96">
        <f>_xlfn.XLOOKUP(B96,'[3]may-2025'!$A:$A,'[3]may-2025'!$D:$D,0,0)</f>
        <v>400</v>
      </c>
      <c r="AH96">
        <f>_xlfn.XLOOKUP(B96,'[3]may-2025'!$A:$A,'[3]may-2025'!$G:$G,0,0)</f>
        <v>500</v>
      </c>
      <c r="AI96">
        <f>IF(AD96&gt;0,SUM(AD96:AH96),0)</f>
        <v>45750</v>
      </c>
      <c r="AJ96">
        <f>_xlfn.XLOOKUP(B96,'[3]may-2025'!$A:$A,'[3]may-2025'!$H:$H,0,0)</f>
        <v>2500</v>
      </c>
      <c r="AK96">
        <f>_xlfn.XLOOKUP(B96,'[3]may-2025'!$A:$A,'[3]may-2025'!$I:$I,0,0)</f>
        <v>0</v>
      </c>
      <c r="AL96">
        <f>IF($F96="YES",0,IF(AI96&gt;40000,200,IF(AI96&gt;25000,150,IF(AI96&gt;15000,130,IF(AI96&gt;10000,110,0)))))</f>
        <v>200</v>
      </c>
      <c r="AM96">
        <f>AI96-AJ96-AK96-AL96</f>
        <v>43050</v>
      </c>
      <c r="AN96">
        <f>_xlfn.XLOOKUP(B96,'[4]june-2025'!$A:$A,'[4]june-2025'!$C:$C,0,0)</f>
        <v>34500</v>
      </c>
      <c r="AO96">
        <f>AN96*0.18</f>
        <v>6210</v>
      </c>
      <c r="AP96">
        <f>AN96*0.12</f>
        <v>4140</v>
      </c>
      <c r="AQ96">
        <f>_xlfn.XLOOKUP(B96,'[4]june-2025'!$A:$A,'[4]june-2025'!$D:$D,0,0)</f>
        <v>400</v>
      </c>
      <c r="AR96">
        <f>_xlfn.XLOOKUP(B96,'[4]june-2025'!$A:$A,'[4]june-2025'!$G:$G,0,0)</f>
        <v>500</v>
      </c>
      <c r="AS96">
        <f>IF(AN96&gt;0,SUM(AN96:AR96),0)</f>
        <v>45750</v>
      </c>
      <c r="AT96">
        <f>_xlfn.XLOOKUP(B96,'[4]june-2025'!$A:$A,'[4]june-2025'!$H:$H,0,0)</f>
        <v>2500</v>
      </c>
      <c r="AU96">
        <f>_xlfn.XLOOKUP(B96,'[4]june-2025'!$A:$A,'[4]june-2025'!$I:$I,0,0)</f>
        <v>0</v>
      </c>
      <c r="AV96">
        <f>IF($F96="YES",0,IF(AS96&gt;40000,200,IF(AS96&gt;25000,150,IF(AS96&gt;15000,130,IF(AS96&gt;10000,110,0)))))</f>
        <v>200</v>
      </c>
      <c r="AW96">
        <f>AS96-AT96-AU96-AV96</f>
        <v>43050</v>
      </c>
      <c r="AX96">
        <f>_xlfn.XLOOKUP(B96,'[5]july-2025'!$A:$A,'[5]july-2025'!$C:$C,0,0)</f>
        <v>35500</v>
      </c>
      <c r="AY96">
        <f>AX96*0.18</f>
        <v>6390</v>
      </c>
      <c r="AZ96">
        <v>0</v>
      </c>
      <c r="BA96">
        <f>AX96*0.12</f>
        <v>4260</v>
      </c>
      <c r="BB96">
        <f>_xlfn.XLOOKUP(B96,'[5]july-2025'!$A:$A,'[5]july-2025'!$D:$D,0,0)</f>
        <v>400</v>
      </c>
      <c r="BC96">
        <f>_xlfn.XLOOKUP(B96,'[5]july-2025'!$A:$A,'[5]july-2025'!$G:$G,0,0)</f>
        <v>500</v>
      </c>
      <c r="BD96">
        <f>IF(AX96&gt;0,SUM(AX96:BC96),0)</f>
        <v>47050</v>
      </c>
      <c r="BE96">
        <f>_xlfn.XLOOKUP(B96,'[5]july-2025'!$A:$A,'[5]july-2025'!$H:$H,0,0)</f>
        <v>2500</v>
      </c>
      <c r="BF96">
        <f>_xlfn.XLOOKUP(B96,'[5]july-2025'!$A:$A,'[5]july-2025'!$I:$I,0,0)</f>
        <v>0</v>
      </c>
      <c r="BG96">
        <f>IF($F96="YES",0,IF(BD96&gt;40000,200,IF(BD96&gt;25000,150,IF(BD96&gt;15000,130,IF(BD96&gt;10000,110,0)))))</f>
        <v>200</v>
      </c>
      <c r="BH96">
        <f>BD96-BE96-BF96-BG96</f>
        <v>44350</v>
      </c>
      <c r="BI96">
        <f>_xlfn.XLOOKUP(B96,'[6]august-2025'!$A:$A,'[6]august-2025'!$C:$C,0,0)</f>
        <v>35500</v>
      </c>
      <c r="BJ96">
        <f>BI96*0.18</f>
        <v>6390</v>
      </c>
      <c r="BK96">
        <f>BI96*0.12</f>
        <v>4260</v>
      </c>
      <c r="BL96">
        <f>_xlfn.XLOOKUP(B96,'[6]august-2025'!$A:$A,'[6]august-2025'!$D:$D,0,0)</f>
        <v>400</v>
      </c>
      <c r="BM96">
        <f>_xlfn.XLOOKUP(B96,'[6]august-2025'!$A:$A,'[6]august-2025'!$G:$G,0,0)</f>
        <v>500</v>
      </c>
      <c r="BN96">
        <f>IF(BI96&gt;0,SUM(BI96:BM96),0)</f>
        <v>47050</v>
      </c>
      <c r="BO96">
        <f>_xlfn.XLOOKUP(B96,'[6]august-2025'!$A:$A,'[6]august-2025'!$H:$H,0,0)</f>
        <v>2500</v>
      </c>
      <c r="BP96">
        <f>_xlfn.XLOOKUP(B96,'[6]august-2025'!$A:$A,'[6]august-2025'!$I:$I,0,0)</f>
        <v>0</v>
      </c>
      <c r="BQ96">
        <f>IF($F96="YES",0,IF(BN96&gt;40000,200,IF(BN96&gt;25000,150,IF(BN96&gt;15000,130,IF(BN96&gt;10000,110,0)))))</f>
        <v>200</v>
      </c>
      <c r="BR96">
        <f>BN96-BO96-BP96-BQ96</f>
        <v>44350</v>
      </c>
      <c r="BS96">
        <f>_xlfn.XLOOKUP(B96,'[7]september-2025'!$A:$A,'[7]september-2025'!$C:$C,0,0)</f>
        <v>35500</v>
      </c>
      <c r="BT96">
        <f>BS96*0.18</f>
        <v>6390</v>
      </c>
      <c r="BU96">
        <f>BS96*0.12</f>
        <v>4260</v>
      </c>
      <c r="BV96">
        <f>_xlfn.XLOOKUP(B96,'[7]september-2025'!$A:$A,'[7]september-2025'!$D:$D,0,0)</f>
        <v>400</v>
      </c>
      <c r="BW96">
        <f>_xlfn.XLOOKUP(B96,'[7]september-2025'!$A:$A,'[7]september-2025'!$G:$G,0,0)</f>
        <v>500</v>
      </c>
      <c r="BX96">
        <f>IF(BS96&gt;0,SUM(BS96:BW96),0)</f>
        <v>47050</v>
      </c>
      <c r="BY96">
        <f>_xlfn.XLOOKUP(B96,'[7]september-2025'!$A:$A,'[7]september-2025'!$H:$H,0,0)</f>
        <v>2500</v>
      </c>
      <c r="BZ96">
        <f>_xlfn.XLOOKUP(B96,'[7]september-2025'!$A:$A,'[7]september-2025'!$I:$I,0,0)</f>
        <v>0</v>
      </c>
      <c r="CA96">
        <f>IF($F96="YES",0,IF(BX96&gt;40000,200,IF(BX96&gt;25000,150,IF(BX96&gt;15000,130,IF(BX96&gt;10000,110,0)))))</f>
        <v>200</v>
      </c>
      <c r="CB96">
        <f>BX96-BY96-BZ96-CA96</f>
        <v>44350</v>
      </c>
      <c r="CC96">
        <f>_xlfn.XLOOKUP(B96,'[8]october-2025'!$A:$A,'[8]october-2025'!$C:$C,0,0)</f>
        <v>35500</v>
      </c>
      <c r="CD96">
        <f>CC96*0.18</f>
        <v>6390</v>
      </c>
      <c r="CE96">
        <f>CC96*0.12</f>
        <v>4260</v>
      </c>
      <c r="CF96">
        <f>_xlfn.XLOOKUP(B96,'[8]october-2025'!$A:$A,'[8]october-2025'!$D:$D,0,0)</f>
        <v>400</v>
      </c>
      <c r="CG96">
        <f>_xlfn.XLOOKUP(B96,'[8]october-2025'!$A:$A,'[8]october-2025'!$G:$G,0,0)</f>
        <v>500</v>
      </c>
      <c r="CH96">
        <f>IF(CC96&gt;0,SUM(CC96:CG96),0)</f>
        <v>47050</v>
      </c>
      <c r="CI96">
        <f>_xlfn.XLOOKUP(B96,'[8]october-2025'!$A:$A,'[8]october-2025'!$H:$H,0,0)</f>
        <v>2500</v>
      </c>
      <c r="CJ96">
        <f>_xlfn.XLOOKUP(B96,'[8]october-2025'!$A:$A,'[8]october-2025'!$I:$I,0,0)</f>
        <v>0</v>
      </c>
      <c r="CK96">
        <f>IF($F96="YES",0,IF(CH96&gt;40000,200,IF(CH96&gt;25000,150,IF(CH96&gt;15000,130,IF(CH96&gt;10000,110,0)))))</f>
        <v>200</v>
      </c>
      <c r="CL96">
        <f>CH96-CI96-CJ96-CK96</f>
        <v>44350</v>
      </c>
      <c r="CM96">
        <f>_xlfn.XLOOKUP(B96,'[9]november-2025'!$A:$A,'[9]november-2025'!$C:$C,0,0)</f>
        <v>35500</v>
      </c>
      <c r="CN96">
        <f>CM96*0.18</f>
        <v>6390</v>
      </c>
      <c r="CO96">
        <f>CM96*0.12</f>
        <v>4260</v>
      </c>
      <c r="CP96">
        <f>_xlfn.XLOOKUP(B96,'[9]november-2025'!$A:$A,'[9]november-2025'!$D:$D,0,0)</f>
        <v>400</v>
      </c>
      <c r="CQ96">
        <f>_xlfn.XLOOKUP(B96,'[9]november-2025'!$A:$A,'[9]november-2025'!$G:$G,0,0)</f>
        <v>500</v>
      </c>
      <c r="CR96">
        <f>IF(CM96&gt;0,SUM(CM96:CQ96),0)</f>
        <v>47050</v>
      </c>
      <c r="CS96">
        <f>_xlfn.XLOOKUP(B96,'[9]november-2025'!$A:$A,'[9]november-2025'!$H:$H,0,0)</f>
        <v>2500</v>
      </c>
      <c r="CT96">
        <f>_xlfn.XLOOKUP(B96,'[9]november-2025'!$A:$A,'[9]november-2025'!$I:$I,0,0)</f>
        <v>0</v>
      </c>
      <c r="CU96">
        <f>IF($F96="YES",0,IF(CR96&gt;40000,200,IF(CR96&gt;25000,150,IF(CR96&gt;15000,130,IF(CR96&gt;10000,110,0)))))</f>
        <v>200</v>
      </c>
      <c r="CV96">
        <f>CR96-CS96-CT96-CU96</f>
        <v>44350</v>
      </c>
      <c r="CW96">
        <f>_xlfn.XLOOKUP(B96,'[10]december-2025'!$A:$A,'[10]december-2025'!$C:$C,0,0)</f>
        <v>35500</v>
      </c>
      <c r="CX96">
        <f>ROUND(CW96*0.18,0)</f>
        <v>6390</v>
      </c>
      <c r="CY96">
        <f>ROUND(CW96*0.12,0)</f>
        <v>4260</v>
      </c>
      <c r="CZ96">
        <f>_xlfn.XLOOKUP(B96,'[10]december-2025'!$A:$A,'[10]december-2025'!$D:$D,0,0)</f>
        <v>400</v>
      </c>
      <c r="DA96">
        <f>_xlfn.XLOOKUP(B96,'[10]december-2025'!$A:$A,'[10]december-2025'!$G:$G,0,0)</f>
        <v>500</v>
      </c>
      <c r="DB96">
        <f>IF(CW96&gt;0,SUM(CW96:DA96),0)</f>
        <v>47050</v>
      </c>
      <c r="DC96">
        <f>_xlfn.XLOOKUP(B96,'[10]december-2025'!$A:$A,'[10]december-2025'!$H:$H,0,0)</f>
        <v>2500</v>
      </c>
      <c r="DD96">
        <f>_xlfn.XLOOKUP(B96,'[10]december-2025'!$A:$A,'[10]december-2025'!$I:$I,0,0)</f>
        <v>0</v>
      </c>
      <c r="DE96">
        <f>IF($F96="YES",0,IF(DB96&gt;40000,200,IF(DB96&gt;25000,150,IF(DB96&gt;15000,130,IF(DB96&gt;10000,110,0)))))</f>
        <v>200</v>
      </c>
      <c r="DF96">
        <f>DB96-DC96-DD96-DE96</f>
        <v>44350</v>
      </c>
      <c r="DG96">
        <f>_xlfn.XLOOKUP(B96,'[11]january-2026'!$A:$A,'[11]january-2026'!$C:$C,0,0)</f>
        <v>35500</v>
      </c>
      <c r="DH96">
        <f>DG96*0.18</f>
        <v>6390</v>
      </c>
      <c r="DI96">
        <f>DG96*0.12</f>
        <v>4260</v>
      </c>
      <c r="DJ96">
        <f>_xlfn.XLOOKUP(B96,'[11]january-2026'!$A:$A,'[11]january-2026'!$D:$D,0,0)</f>
        <v>400</v>
      </c>
      <c r="DK96">
        <f>_xlfn.XLOOKUP(B96,'[11]january-2026'!$A:$A,'[11]january-2026'!$G:$G,0,0)</f>
        <v>500</v>
      </c>
      <c r="DL96">
        <f>IF(DG96&gt;0,SUM(DG96:DK96),0)</f>
        <v>47050</v>
      </c>
      <c r="DM96">
        <f>_xlfn.XLOOKUP(B96,'[11]january-2026'!$A:$A,'[11]january-2026'!$H:$H,0,0)</f>
        <v>2500</v>
      </c>
      <c r="DN96">
        <f>_xlfn.XLOOKUP(B96,'[11]january-2026'!$A:$A,'[11]january-2026'!$I:$I,0,0)</f>
        <v>0</v>
      </c>
      <c r="DO96">
        <f>IF($F96="YES",0,IF(DL96&gt;40000,200,IF(DL96&gt;25000,150,IF(DL96&gt;15000,130,IF(DL96&gt;10000,110,0)))))</f>
        <v>200</v>
      </c>
      <c r="DP96">
        <f>DL96-DM96-DN96-DO96</f>
        <v>44350</v>
      </c>
      <c r="DQ96">
        <f>_xlfn.XLOOKUP(B96,'[12]february-2026'!$A:$A,'[12]february-2026'!$C:$C,0,0)</f>
        <v>35500</v>
      </c>
      <c r="DR96">
        <f>DQ96*0.18</f>
        <v>6390</v>
      </c>
      <c r="DS96">
        <f>DQ96*0.12</f>
        <v>4260</v>
      </c>
      <c r="DT96">
        <f>_xlfn.XLOOKUP(B96,'[12]february-2026'!$A:$A,'[12]february-2026'!$D:$D,0,0)</f>
        <v>400</v>
      </c>
      <c r="DU96">
        <f>_xlfn.XLOOKUP(B96,'[12]february-2026'!$A:$A,'[12]february-2026'!$G:$G,0,0)</f>
        <v>500</v>
      </c>
      <c r="DV96">
        <f>IF(DQ96&gt;0,SUM(DQ96:DU96),0)</f>
        <v>47050</v>
      </c>
      <c r="DW96">
        <f>_xlfn.XLOOKUP(B96,'[12]february-2026'!$A:$A,'[12]february-2026'!$H:$H,0,0)</f>
        <v>2500</v>
      </c>
      <c r="DX96">
        <f>_xlfn.XLOOKUP(B96,'[12]february-2026'!$A:$A,'[12]february-2026'!$I:$I,0,0)</f>
        <v>0</v>
      </c>
      <c r="DY96">
        <f>IF($F96="YES",0,IF(DV96&gt;40000,200,IF(DV96&gt;25000,150,IF(DV96&gt;15000,130,IF(DV96&gt;10000,110,0)))))</f>
        <v>200</v>
      </c>
      <c r="DZ96">
        <f>DV96-DW96-DX96-DY96</f>
        <v>44350</v>
      </c>
      <c r="EA96">
        <f>DV96+DL96+DB96+CR96+CH96+BX96+BN96+BD96+AS96+AI96+Y96+O96+H96+I96</f>
        <v>564820</v>
      </c>
      <c r="EB96">
        <f>DY96+DO96+DE96+CU96+CK96+CA96+BQ96+BG96+AV96+AL96+AB96+R96</f>
        <v>2400</v>
      </c>
      <c r="EC96">
        <f>IF(EA96&gt;0,50000,0)</f>
        <v>50000</v>
      </c>
      <c r="ED96">
        <v>0</v>
      </c>
      <c r="EE96">
        <f>EA96-EB96-EC96</f>
        <v>512420</v>
      </c>
      <c r="EF96">
        <f>DW96+DM96+DC96+CS96+CI96+BY96+BO96+BE96+AT96+AJ96+Z96+P96</f>
        <v>30000</v>
      </c>
      <c r="EG96">
        <f>DX96+DN96+DD96+CT96+CJ96+BZ96+BP96+BF96+AU96+AK96+AA96+Q96</f>
        <v>0</v>
      </c>
      <c r="EH96">
        <v>0</v>
      </c>
      <c r="EI96">
        <v>0</v>
      </c>
      <c r="EJ96">
        <v>0</v>
      </c>
      <c r="EK96">
        <v>0</v>
      </c>
      <c r="EL96">
        <v>0</v>
      </c>
      <c r="EM96">
        <v>0</v>
      </c>
      <c r="EN96">
        <v>0</v>
      </c>
      <c r="EO96">
        <v>0</v>
      </c>
      <c r="EP96">
        <v>0</v>
      </c>
      <c r="EQ96">
        <v>0</v>
      </c>
      <c r="ER96">
        <f>SUM(EF96:EQ96)</f>
        <v>30000</v>
      </c>
      <c r="ES96">
        <f>IF(ER96&gt;=150000,150000,ER96)</f>
        <v>30000</v>
      </c>
      <c r="ET96">
        <f>EE96-ES96</f>
        <v>482420</v>
      </c>
      <c r="EU96">
        <v>0</v>
      </c>
      <c r="EV96">
        <v>0</v>
      </c>
      <c r="EW96">
        <v>0</v>
      </c>
      <c r="EX96">
        <v>0</v>
      </c>
      <c r="EY96">
        <v>0</v>
      </c>
      <c r="EZ96">
        <v>0</v>
      </c>
      <c r="FA96">
        <v>0</v>
      </c>
      <c r="FB96">
        <f>SUM(EU96:FA96)+(IF(F96="YES",50000,0))</f>
        <v>0</v>
      </c>
      <c r="FC96">
        <f>ET96-FB96</f>
        <v>482420</v>
      </c>
      <c r="FD96">
        <f>ROUND(IF(FC96&gt;0,IF(FC96&gt;500000,12500,(FC96-250000)*0.05),0),0)</f>
        <v>11621</v>
      </c>
      <c r="FE96">
        <f>IF(ROUND(IF(FC96&gt;0,IF(FC96&gt;1000000,25000,(FC96-500000)*0.2),0),0)&lt;0,0,ROUND(IF(FC96&gt;0,IF(FC96&gt;1000000,25000,(FC96-500000)*0.2),0),0))</f>
        <v>0</v>
      </c>
      <c r="FF96">
        <f>FD96+FE96</f>
        <v>11621</v>
      </c>
      <c r="FG96">
        <f>IF(FF96&lt;12500,0,FF96)</f>
        <v>0</v>
      </c>
      <c r="FH96">
        <f>FG96*0.04</f>
        <v>0</v>
      </c>
      <c r="FI96">
        <f>ROUND(FH96+FG96,0)</f>
        <v>0</v>
      </c>
      <c r="FJ96">
        <v>0</v>
      </c>
      <c r="FK96">
        <f>FI96-FJ96</f>
        <v>0</v>
      </c>
      <c r="FL96" t="b">
        <f>IF(EA96&gt;500000,TRUE,FALSE)</f>
        <v>1</v>
      </c>
      <c r="FM96">
        <f ca="1">IF(FL96,RANDBETWEEN(500,1000),RANDBETWEEN(1000,3000))</f>
        <v>670</v>
      </c>
      <c r="FN96">
        <f ca="1">EA96+FM96</f>
        <v>565490</v>
      </c>
      <c r="FO96">
        <f>IF(EA96&gt;0,75000,0)</f>
        <v>75000</v>
      </c>
      <c r="FP96">
        <f ca="1">FN96-FO96</f>
        <v>490490</v>
      </c>
      <c r="FQ96">
        <f ca="1">IF(FP96&gt;2400000,FP96-2400000,0)</f>
        <v>0</v>
      </c>
      <c r="FR96">
        <f ca="1">FQ96*0.3</f>
        <v>0</v>
      </c>
      <c r="FS96">
        <f ca="1">IF(FP96&gt;2000000,FP96-2000000,0)</f>
        <v>0</v>
      </c>
      <c r="FT96">
        <f ca="1">FS96*0.25</f>
        <v>0</v>
      </c>
      <c r="FU96">
        <f ca="1">IF(FP96&gt;1600000,FP96-1600000-FQ96,0)</f>
        <v>0</v>
      </c>
      <c r="FV96">
        <f ca="1">FU96*0.2</f>
        <v>0</v>
      </c>
      <c r="FW96">
        <f ca="1">IF(FP96&gt;1200000,FP96-1200000-IF(F96="YES",50000,0)-FU96,0)</f>
        <v>0</v>
      </c>
      <c r="FX96">
        <f ca="1">FW96*0.15</f>
        <v>0</v>
      </c>
      <c r="FY96">
        <f ca="1">IF(FP96&gt;800000,FP96-800000-FQ96-FU96-FW96,0)</f>
        <v>0</v>
      </c>
      <c r="FZ96">
        <f ca="1">FY96*0.1</f>
        <v>0</v>
      </c>
      <c r="GA96">
        <f ca="1">IF(FP96&gt;400000,FP96-400000-FQ96-FU96-FW96-FY96,0)</f>
        <v>90490</v>
      </c>
      <c r="GB96">
        <f ca="1">GA96*0.05</f>
        <v>4524.5</v>
      </c>
      <c r="GC96">
        <f ca="1">ROUND(FR96+FT96+FV96+FX96+FZ96+GB96,0)</f>
        <v>4525</v>
      </c>
      <c r="GD96">
        <f ca="1">IF(FP96&gt;1200000,FP96,0)</f>
        <v>0</v>
      </c>
      <c r="GE96">
        <f ca="1">IF(FP96&gt;1200000,GD96-1200000,0)</f>
        <v>0</v>
      </c>
      <c r="GF96">
        <f ca="1">IF(FP96&lt;1200001,MIN(GC96,60000),0)</f>
        <v>4525</v>
      </c>
      <c r="GG96">
        <f ca="1">IF(FP96&gt;1200000,GC96-GE96,0)</f>
        <v>0</v>
      </c>
      <c r="GH96" t="b">
        <f ca="1">IF(GG96&gt;0,TRUE,FALSE)</f>
        <v>0</v>
      </c>
      <c r="GI96">
        <f ca="1">IF(GH96,GG96,0)</f>
        <v>0</v>
      </c>
      <c r="GJ96">
        <f ca="1">GF96+GI96</f>
        <v>4525</v>
      </c>
      <c r="GK96">
        <f ca="1">ROUND(GC96-GJ96,0)</f>
        <v>0</v>
      </c>
      <c r="GL96">
        <f ca="1">GK96*0.04</f>
        <v>0</v>
      </c>
      <c r="GM96">
        <f ca="1">ROUNDUP(GK96+GL96,0)</f>
        <v>0</v>
      </c>
    </row>
    <row r="97" spans="1:195" x14ac:dyDescent="0.25">
      <c r="A97">
        <f>_xlfn.AGGREGATE(3,5,$B$2:B97)</f>
        <v>96</v>
      </c>
      <c r="B97" t="s">
        <v>312</v>
      </c>
      <c r="C97" t="s">
        <v>313</v>
      </c>
      <c r="D97" t="s">
        <v>778</v>
      </c>
      <c r="E97" t="s">
        <v>833</v>
      </c>
      <c r="F97" t="s">
        <v>959</v>
      </c>
      <c r="G97" t="s">
        <v>880</v>
      </c>
      <c r="H97">
        <f>IF(_xlfn.DAYS("31-03-2025",G97)&gt;=180,6800,0)</f>
        <v>6800</v>
      </c>
      <c r="I97">
        <f>_xlfn.XLOOKUP(B97,'[1]march-2025'!$A:$A,'[1]march-2025'!$J:$J,0,0)</f>
        <v>0</v>
      </c>
      <c r="J97">
        <f>_xlfn.XLOOKUP(B97,'[1]march-2025'!$A:$A,'[1]march-2025'!$C:$C,0,0)</f>
        <v>34500</v>
      </c>
      <c r="K97">
        <f>J97*0.14</f>
        <v>4830.0000000000009</v>
      </c>
      <c r="L97">
        <f>J97*0.12</f>
        <v>4140</v>
      </c>
      <c r="M97">
        <f>_xlfn.XLOOKUP(B97,'[1]march-2025'!$A:$A,'[1]march-2025'!$D:$D,0,0)</f>
        <v>0</v>
      </c>
      <c r="N97">
        <f>_xlfn.XLOOKUP(B97,'[1]march-2025'!$A:$A,'[1]march-2025'!$G:$G,0,0)</f>
        <v>500</v>
      </c>
      <c r="O97">
        <f>IF(J97&gt;0,SUM(J97:N97),0)</f>
        <v>43970</v>
      </c>
      <c r="P97">
        <f>_xlfn.XLOOKUP(B97,'[1]march-2025'!$A:$A,'[1]march-2025'!$H:$H,0,0)</f>
        <v>3000</v>
      </c>
      <c r="Q97">
        <f>_xlfn.XLOOKUP(B97,'[1]march-2025'!$A:$A,'[1]march-2025'!$I:$I,0,0)</f>
        <v>0</v>
      </c>
      <c r="R97">
        <f>IF($F97="YES",0,IF(O97&gt;40000,200,IF(O97&gt;25000,150,IF(O97&gt;15000,130,IF(O97&gt;10000,110,0)))))</f>
        <v>200</v>
      </c>
      <c r="S97">
        <f>O97-P97-Q97-R97</f>
        <v>40770</v>
      </c>
      <c r="T97">
        <f>_xlfn.XLOOKUP(B97,'[2]april-2025'!$A:$A,'[2]april-2025'!$C:$C,0,0)</f>
        <v>34500</v>
      </c>
      <c r="U97">
        <f>T97*0.18</f>
        <v>6210</v>
      </c>
      <c r="V97">
        <f>T97*0.12</f>
        <v>4140</v>
      </c>
      <c r="W97">
        <f>_xlfn.XLOOKUP(B97,'[2]april-2025'!$A:$A,'[2]april-2025'!$D:$D,0,0)</f>
        <v>0</v>
      </c>
      <c r="X97">
        <f>_xlfn.XLOOKUP(B97,'[2]april-2025'!$A:$A,'[2]april-2025'!$G:$G,0,0)</f>
        <v>500</v>
      </c>
      <c r="Y97">
        <f>IF(T97&gt;0,SUM(T97:X97),0)</f>
        <v>45350</v>
      </c>
      <c r="Z97">
        <f>_xlfn.XLOOKUP(B97,'[2]april-2025'!$A:$A,'[2]april-2025'!$H:$H,0,0)</f>
        <v>3000</v>
      </c>
      <c r="AA97">
        <f>_xlfn.XLOOKUP(B97,'[2]april-2025'!$A:$A,'[2]april-2025'!$I:$I,0,0)</f>
        <v>0</v>
      </c>
      <c r="AB97">
        <f>IF($F97="YES",0,IF(Y97&gt;40000,200,IF(Y97&gt;25000,150,IF(Y97&gt;15000,130,IF(Y97&gt;10000,110,0)))))</f>
        <v>200</v>
      </c>
      <c r="AC97">
        <f>Y97-Z97-AA97-AB97</f>
        <v>42150</v>
      </c>
      <c r="AD97">
        <f>_xlfn.XLOOKUP(B97,'[3]may-2025'!$A:$A,'[3]may-2025'!$C:$C,0,0)</f>
        <v>34500</v>
      </c>
      <c r="AE97">
        <f>AD97*0.18</f>
        <v>6210</v>
      </c>
      <c r="AF97">
        <f>AD97*0.12</f>
        <v>4140</v>
      </c>
      <c r="AG97">
        <f>_xlfn.XLOOKUP(B97,'[3]may-2025'!$A:$A,'[3]may-2025'!$D:$D,0,0)</f>
        <v>0</v>
      </c>
      <c r="AH97">
        <f>_xlfn.XLOOKUP(B97,'[3]may-2025'!$A:$A,'[3]may-2025'!$G:$G,0,0)</f>
        <v>500</v>
      </c>
      <c r="AI97">
        <f>IF(AD97&gt;0,SUM(AD97:AH97),0)</f>
        <v>45350</v>
      </c>
      <c r="AJ97">
        <f>_xlfn.XLOOKUP(B97,'[3]may-2025'!$A:$A,'[3]may-2025'!$H:$H,0,0)</f>
        <v>3000</v>
      </c>
      <c r="AK97">
        <f>_xlfn.XLOOKUP(B97,'[3]may-2025'!$A:$A,'[3]may-2025'!$I:$I,0,0)</f>
        <v>0</v>
      </c>
      <c r="AL97">
        <f>IF($F97="YES",0,IF(AI97&gt;40000,200,IF(AI97&gt;25000,150,IF(AI97&gt;15000,130,IF(AI97&gt;10000,110,0)))))</f>
        <v>200</v>
      </c>
      <c r="AM97">
        <f>AI97-AJ97-AK97-AL97</f>
        <v>42150</v>
      </c>
      <c r="AN97">
        <f>_xlfn.XLOOKUP(B97,'[4]june-2025'!$A:$A,'[4]june-2025'!$C:$C,0,0)</f>
        <v>34500</v>
      </c>
      <c r="AO97">
        <f>AN97*0.18</f>
        <v>6210</v>
      </c>
      <c r="AP97">
        <f>AN97*0.12</f>
        <v>4140</v>
      </c>
      <c r="AQ97">
        <f>_xlfn.XLOOKUP(B97,'[4]june-2025'!$A:$A,'[4]june-2025'!$D:$D,0,0)</f>
        <v>0</v>
      </c>
      <c r="AR97">
        <f>_xlfn.XLOOKUP(B97,'[4]june-2025'!$A:$A,'[4]june-2025'!$G:$G,0,0)</f>
        <v>500</v>
      </c>
      <c r="AS97">
        <f>IF(AN97&gt;0,SUM(AN97:AR97),0)</f>
        <v>45350</v>
      </c>
      <c r="AT97">
        <f>_xlfn.XLOOKUP(B97,'[4]june-2025'!$A:$A,'[4]june-2025'!$H:$H,0,0)</f>
        <v>3000</v>
      </c>
      <c r="AU97">
        <f>_xlfn.XLOOKUP(B97,'[4]june-2025'!$A:$A,'[4]june-2025'!$I:$I,0,0)</f>
        <v>0</v>
      </c>
      <c r="AV97">
        <f>IF($F97="YES",0,IF(AS97&gt;40000,200,IF(AS97&gt;25000,150,IF(AS97&gt;15000,130,IF(AS97&gt;10000,110,0)))))</f>
        <v>200</v>
      </c>
      <c r="AW97">
        <f>AS97-AT97-AU97-AV97</f>
        <v>42150</v>
      </c>
      <c r="AX97">
        <f>_xlfn.XLOOKUP(B97,'[5]july-2025'!$A:$A,'[5]july-2025'!$C:$C,0,0)</f>
        <v>35500</v>
      </c>
      <c r="AY97">
        <f>AX97*0.18</f>
        <v>6390</v>
      </c>
      <c r="AZ97">
        <v>0</v>
      </c>
      <c r="BA97">
        <f>AX97*0.12</f>
        <v>4260</v>
      </c>
      <c r="BB97">
        <f>_xlfn.XLOOKUP(B97,'[5]july-2025'!$A:$A,'[5]july-2025'!$D:$D,0,0)</f>
        <v>0</v>
      </c>
      <c r="BC97">
        <f>_xlfn.XLOOKUP(B97,'[5]july-2025'!$A:$A,'[5]july-2025'!$G:$G,0,0)</f>
        <v>500</v>
      </c>
      <c r="BD97">
        <f>IF(AX97&gt;0,SUM(AX97:BC97),0)</f>
        <v>46650</v>
      </c>
      <c r="BE97">
        <f>_xlfn.XLOOKUP(B97,'[5]july-2025'!$A:$A,'[5]july-2025'!$H:$H,0,0)</f>
        <v>3000</v>
      </c>
      <c r="BF97">
        <f>_xlfn.XLOOKUP(B97,'[5]july-2025'!$A:$A,'[5]july-2025'!$I:$I,0,0)</f>
        <v>0</v>
      </c>
      <c r="BG97">
        <f>IF($F97="YES",0,IF(BD97&gt;40000,200,IF(BD97&gt;25000,150,IF(BD97&gt;15000,130,IF(BD97&gt;10000,110,0)))))</f>
        <v>200</v>
      </c>
      <c r="BH97">
        <f>BD97-BE97-BF97-BG97</f>
        <v>43450</v>
      </c>
      <c r="BI97">
        <f>_xlfn.XLOOKUP(B97,'[6]august-2025'!$A:$A,'[6]august-2025'!$C:$C,0,0)</f>
        <v>35500</v>
      </c>
      <c r="BJ97">
        <f>BI97*0.18</f>
        <v>6390</v>
      </c>
      <c r="BK97">
        <f>BI97*0.12</f>
        <v>4260</v>
      </c>
      <c r="BL97">
        <f>_xlfn.XLOOKUP(B97,'[6]august-2025'!$A:$A,'[6]august-2025'!$D:$D,0,0)</f>
        <v>0</v>
      </c>
      <c r="BM97">
        <f>_xlfn.XLOOKUP(B97,'[6]august-2025'!$A:$A,'[6]august-2025'!$G:$G,0,0)</f>
        <v>500</v>
      </c>
      <c r="BN97">
        <f>IF(BI97&gt;0,SUM(BI97:BM97),0)</f>
        <v>46650</v>
      </c>
      <c r="BO97">
        <f>_xlfn.XLOOKUP(B97,'[6]august-2025'!$A:$A,'[6]august-2025'!$H:$H,0,0)</f>
        <v>3000</v>
      </c>
      <c r="BP97">
        <f>_xlfn.XLOOKUP(B97,'[6]august-2025'!$A:$A,'[6]august-2025'!$I:$I,0,0)</f>
        <v>0</v>
      </c>
      <c r="BQ97">
        <f>IF($F97="YES",0,IF(BN97&gt;40000,200,IF(BN97&gt;25000,150,IF(BN97&gt;15000,130,IF(BN97&gt;10000,110,0)))))</f>
        <v>200</v>
      </c>
      <c r="BR97">
        <f>BN97-BO97-BP97-BQ97</f>
        <v>43450</v>
      </c>
      <c r="BS97">
        <f>_xlfn.XLOOKUP(B97,'[7]september-2025'!$A:$A,'[7]september-2025'!$C:$C,0,0)</f>
        <v>35500</v>
      </c>
      <c r="BT97">
        <f>BS97*0.18</f>
        <v>6390</v>
      </c>
      <c r="BU97">
        <f>BS97*0.12</f>
        <v>4260</v>
      </c>
      <c r="BV97">
        <f>_xlfn.XLOOKUP(B97,'[7]september-2025'!$A:$A,'[7]september-2025'!$D:$D,0,0)</f>
        <v>0</v>
      </c>
      <c r="BW97">
        <f>_xlfn.XLOOKUP(B97,'[7]september-2025'!$A:$A,'[7]september-2025'!$G:$G,0,0)</f>
        <v>500</v>
      </c>
      <c r="BX97">
        <f>IF(BS97&gt;0,SUM(BS97:BW97),0)</f>
        <v>46650</v>
      </c>
      <c r="BY97">
        <f>_xlfn.XLOOKUP(B97,'[7]september-2025'!$A:$A,'[7]september-2025'!$H:$H,0,0)</f>
        <v>3000</v>
      </c>
      <c r="BZ97">
        <f>_xlfn.XLOOKUP(B97,'[7]september-2025'!$A:$A,'[7]september-2025'!$I:$I,0,0)</f>
        <v>0</v>
      </c>
      <c r="CA97">
        <f>IF($F97="YES",0,IF(BX97&gt;40000,200,IF(BX97&gt;25000,150,IF(BX97&gt;15000,130,IF(BX97&gt;10000,110,0)))))</f>
        <v>200</v>
      </c>
      <c r="CB97">
        <f>BX97-BY97-BZ97-CA97</f>
        <v>43450</v>
      </c>
      <c r="CC97">
        <f>_xlfn.XLOOKUP(B97,'[8]october-2025'!$A:$A,'[8]october-2025'!$C:$C,0,0)</f>
        <v>35500</v>
      </c>
      <c r="CD97">
        <f>CC97*0.18</f>
        <v>6390</v>
      </c>
      <c r="CE97">
        <f>CC97*0.12</f>
        <v>4260</v>
      </c>
      <c r="CF97">
        <f>_xlfn.XLOOKUP(B97,'[8]october-2025'!$A:$A,'[8]october-2025'!$D:$D,0,0)</f>
        <v>0</v>
      </c>
      <c r="CG97">
        <f>_xlfn.XLOOKUP(B97,'[8]october-2025'!$A:$A,'[8]october-2025'!$G:$G,0,0)</f>
        <v>500</v>
      </c>
      <c r="CH97">
        <f>IF(CC97&gt;0,SUM(CC97:CG97),0)</f>
        <v>46650</v>
      </c>
      <c r="CI97">
        <f>_xlfn.XLOOKUP(B97,'[8]october-2025'!$A:$A,'[8]october-2025'!$H:$H,0,0)</f>
        <v>3000</v>
      </c>
      <c r="CJ97">
        <f>_xlfn.XLOOKUP(B97,'[8]october-2025'!$A:$A,'[8]october-2025'!$I:$I,0,0)</f>
        <v>0</v>
      </c>
      <c r="CK97">
        <f>IF($F97="YES",0,IF(CH97&gt;40000,200,IF(CH97&gt;25000,150,IF(CH97&gt;15000,130,IF(CH97&gt;10000,110,0)))))</f>
        <v>200</v>
      </c>
      <c r="CL97">
        <f>CH97-CI97-CJ97-CK97</f>
        <v>43450</v>
      </c>
      <c r="CM97">
        <f>_xlfn.XLOOKUP(B97,'[9]november-2025'!$A:$A,'[9]november-2025'!$C:$C,0,0)</f>
        <v>35500</v>
      </c>
      <c r="CN97">
        <f>CM97*0.18</f>
        <v>6390</v>
      </c>
      <c r="CO97">
        <f>CM97*0.12</f>
        <v>4260</v>
      </c>
      <c r="CP97">
        <f>_xlfn.XLOOKUP(B97,'[9]november-2025'!$A:$A,'[9]november-2025'!$D:$D,0,0)</f>
        <v>0</v>
      </c>
      <c r="CQ97">
        <f>_xlfn.XLOOKUP(B97,'[9]november-2025'!$A:$A,'[9]november-2025'!$G:$G,0,0)</f>
        <v>500</v>
      </c>
      <c r="CR97">
        <f>IF(CM97&gt;0,SUM(CM97:CQ97),0)</f>
        <v>46650</v>
      </c>
      <c r="CS97">
        <f>_xlfn.XLOOKUP(B97,'[9]november-2025'!$A:$A,'[9]november-2025'!$H:$H,0,0)</f>
        <v>3000</v>
      </c>
      <c r="CT97">
        <f>_xlfn.XLOOKUP(B97,'[9]november-2025'!$A:$A,'[9]november-2025'!$I:$I,0,0)</f>
        <v>0</v>
      </c>
      <c r="CU97">
        <f>IF($F97="YES",0,IF(CR97&gt;40000,200,IF(CR97&gt;25000,150,IF(CR97&gt;15000,130,IF(CR97&gt;10000,110,0)))))</f>
        <v>200</v>
      </c>
      <c r="CV97">
        <f>CR97-CS97-CT97-CU97</f>
        <v>43450</v>
      </c>
      <c r="CW97">
        <f>_xlfn.XLOOKUP(B97,'[10]december-2025'!$A:$A,'[10]december-2025'!$C:$C,0,0)</f>
        <v>35500</v>
      </c>
      <c r="CX97">
        <f>ROUND(CW97*0.18,0)</f>
        <v>6390</v>
      </c>
      <c r="CY97">
        <f>ROUND(CW97*0.12,0)</f>
        <v>4260</v>
      </c>
      <c r="CZ97">
        <f>_xlfn.XLOOKUP(B97,'[10]december-2025'!$A:$A,'[10]december-2025'!$D:$D,0,0)</f>
        <v>0</v>
      </c>
      <c r="DA97">
        <f>_xlfn.XLOOKUP(B97,'[10]december-2025'!$A:$A,'[10]december-2025'!$G:$G,0,0)</f>
        <v>500</v>
      </c>
      <c r="DB97">
        <f>IF(CW97&gt;0,SUM(CW97:DA97),0)</f>
        <v>46650</v>
      </c>
      <c r="DC97">
        <f>_xlfn.XLOOKUP(B97,'[10]december-2025'!$A:$A,'[10]december-2025'!$H:$H,0,0)</f>
        <v>3000</v>
      </c>
      <c r="DD97">
        <f>_xlfn.XLOOKUP(B97,'[10]december-2025'!$A:$A,'[10]december-2025'!$I:$I,0,0)</f>
        <v>0</v>
      </c>
      <c r="DE97">
        <f>IF($F97="YES",0,IF(DB97&gt;40000,200,IF(DB97&gt;25000,150,IF(DB97&gt;15000,130,IF(DB97&gt;10000,110,0)))))</f>
        <v>200</v>
      </c>
      <c r="DF97">
        <f>DB97-DC97-DD97-DE97</f>
        <v>43450</v>
      </c>
      <c r="DG97">
        <f>_xlfn.XLOOKUP(B97,'[11]january-2026'!$A:$A,'[11]january-2026'!$C:$C,0,0)</f>
        <v>35500</v>
      </c>
      <c r="DH97">
        <f>DG97*0.18</f>
        <v>6390</v>
      </c>
      <c r="DI97">
        <f>DG97*0.12</f>
        <v>4260</v>
      </c>
      <c r="DJ97">
        <f>_xlfn.XLOOKUP(B97,'[11]january-2026'!$A:$A,'[11]january-2026'!$D:$D,0,0)</f>
        <v>0</v>
      </c>
      <c r="DK97">
        <f>_xlfn.XLOOKUP(B97,'[11]january-2026'!$A:$A,'[11]january-2026'!$G:$G,0,0)</f>
        <v>500</v>
      </c>
      <c r="DL97">
        <f>IF(DG97&gt;0,SUM(DG97:DK97),0)</f>
        <v>46650</v>
      </c>
      <c r="DM97">
        <f>_xlfn.XLOOKUP(B97,'[11]january-2026'!$A:$A,'[11]january-2026'!$H:$H,0,0)</f>
        <v>3000</v>
      </c>
      <c r="DN97">
        <f>_xlfn.XLOOKUP(B97,'[11]january-2026'!$A:$A,'[11]january-2026'!$I:$I,0,0)</f>
        <v>0</v>
      </c>
      <c r="DO97">
        <f>IF($F97="YES",0,IF(DL97&gt;40000,200,IF(DL97&gt;25000,150,IF(DL97&gt;15000,130,IF(DL97&gt;10000,110,0)))))</f>
        <v>200</v>
      </c>
      <c r="DP97">
        <f>DL97-DM97-DN97-DO97</f>
        <v>43450</v>
      </c>
      <c r="DQ97">
        <f>_xlfn.XLOOKUP(B97,'[12]february-2026'!$A:$A,'[12]february-2026'!$C:$C,0,0)</f>
        <v>35500</v>
      </c>
      <c r="DR97">
        <f>DQ97*0.18</f>
        <v>6390</v>
      </c>
      <c r="DS97">
        <f>DQ97*0.12</f>
        <v>4260</v>
      </c>
      <c r="DT97">
        <f>_xlfn.XLOOKUP(B97,'[12]february-2026'!$A:$A,'[12]february-2026'!$D:$D,0,0)</f>
        <v>0</v>
      </c>
      <c r="DU97">
        <f>_xlfn.XLOOKUP(B97,'[12]february-2026'!$A:$A,'[12]february-2026'!$G:$G,0,0)</f>
        <v>500</v>
      </c>
      <c r="DV97">
        <f>IF(DQ97&gt;0,SUM(DQ97:DU97),0)</f>
        <v>46650</v>
      </c>
      <c r="DW97">
        <f>_xlfn.XLOOKUP(B97,'[12]february-2026'!$A:$A,'[12]february-2026'!$H:$H,0,0)</f>
        <v>3000</v>
      </c>
      <c r="DX97">
        <f>_xlfn.XLOOKUP(B97,'[12]february-2026'!$A:$A,'[12]february-2026'!$I:$I,0,0)</f>
        <v>0</v>
      </c>
      <c r="DY97">
        <f>IF($F97="YES",0,IF(DV97&gt;40000,200,IF(DV97&gt;25000,150,IF(DV97&gt;15000,130,IF(DV97&gt;10000,110,0)))))</f>
        <v>200</v>
      </c>
      <c r="DZ97">
        <f>DV97-DW97-DX97-DY97</f>
        <v>43450</v>
      </c>
      <c r="EA97">
        <f>DV97+DL97+DB97+CR97+CH97+BX97+BN97+BD97+AS97+AI97+Y97+O97+H97+I97</f>
        <v>560020</v>
      </c>
      <c r="EB97">
        <f>DY97+DO97+DE97+CU97+CK97+CA97+BQ97+BG97+AV97+AL97+AB97+R97</f>
        <v>2400</v>
      </c>
      <c r="EC97">
        <f>IF(EA97&gt;0,50000,0)</f>
        <v>50000</v>
      </c>
      <c r="ED97">
        <v>0</v>
      </c>
      <c r="EE97">
        <f>EA97-EB97-EC97</f>
        <v>507620</v>
      </c>
      <c r="EF97">
        <f>DW97+DM97+DC97+CS97+CI97+BY97+BO97+BE97+AT97+AJ97+Z97+P97</f>
        <v>36000</v>
      </c>
      <c r="EG97">
        <f>DX97+DN97+DD97+CT97+CJ97+BZ97+BP97+BF97+AU97+AK97+AA97+Q97</f>
        <v>0</v>
      </c>
      <c r="EH97">
        <v>0</v>
      </c>
      <c r="EI97">
        <v>0</v>
      </c>
      <c r="EJ97">
        <v>0</v>
      </c>
      <c r="EK97">
        <v>0</v>
      </c>
      <c r="EL97">
        <v>0</v>
      </c>
      <c r="EM97">
        <v>0</v>
      </c>
      <c r="EN97">
        <v>0</v>
      </c>
      <c r="EO97">
        <v>0</v>
      </c>
      <c r="EP97">
        <v>0</v>
      </c>
      <c r="EQ97">
        <v>0</v>
      </c>
      <c r="ER97">
        <f>SUM(EF97:EQ97)</f>
        <v>36000</v>
      </c>
      <c r="ES97">
        <f>IF(ER97&gt;=150000,150000,ER97)</f>
        <v>36000</v>
      </c>
      <c r="ET97">
        <f>EE97-ES97</f>
        <v>471620</v>
      </c>
      <c r="EU97">
        <v>0</v>
      </c>
      <c r="EV97">
        <v>0</v>
      </c>
      <c r="EW97">
        <v>0</v>
      </c>
      <c r="EX97">
        <v>0</v>
      </c>
      <c r="EY97">
        <v>0</v>
      </c>
      <c r="EZ97">
        <v>0</v>
      </c>
      <c r="FA97">
        <v>0</v>
      </c>
      <c r="FB97">
        <f>SUM(EU97:FA97)+(IF(F97="YES",50000,0))</f>
        <v>0</v>
      </c>
      <c r="FC97">
        <f>ET97-FB97</f>
        <v>471620</v>
      </c>
      <c r="FD97">
        <f>ROUND(IF(FC97&gt;0,IF(FC97&gt;500000,12500,(FC97-250000)*0.05),0),0)</f>
        <v>11081</v>
      </c>
      <c r="FE97">
        <f>IF(ROUND(IF(FC97&gt;0,IF(FC97&gt;1000000,25000,(FC97-500000)*0.2),0),0)&lt;0,0,ROUND(IF(FC97&gt;0,IF(FC97&gt;1000000,25000,(FC97-500000)*0.2),0),0))</f>
        <v>0</v>
      </c>
      <c r="FF97">
        <f>FD97+FE97</f>
        <v>11081</v>
      </c>
      <c r="FG97">
        <f>IF(FF97&lt;12500,0,FF97)</f>
        <v>0</v>
      </c>
      <c r="FH97">
        <f>FG97*0.04</f>
        <v>0</v>
      </c>
      <c r="FI97">
        <f>ROUND(FH97+FG97,0)</f>
        <v>0</v>
      </c>
      <c r="FJ97">
        <v>0</v>
      </c>
      <c r="FK97">
        <f>FI97-FJ97</f>
        <v>0</v>
      </c>
      <c r="FL97" t="b">
        <f>IF(EA97&gt;500000,TRUE,FALSE)</f>
        <v>1</v>
      </c>
      <c r="FM97">
        <f ca="1">IF(FL97,RANDBETWEEN(500,1000),RANDBETWEEN(1000,3000))</f>
        <v>840</v>
      </c>
      <c r="FN97">
        <f ca="1">EA97+FM97</f>
        <v>560860</v>
      </c>
      <c r="FO97">
        <f>IF(EA97&gt;0,75000,0)</f>
        <v>75000</v>
      </c>
      <c r="FP97">
        <f ca="1">FN97-FO97</f>
        <v>485860</v>
      </c>
      <c r="FQ97">
        <f ca="1">IF(FP97&gt;2400000,FP97-2400000,0)</f>
        <v>0</v>
      </c>
      <c r="FR97">
        <f ca="1">FQ97*0.3</f>
        <v>0</v>
      </c>
      <c r="FS97">
        <f ca="1">IF(FP97&gt;2000000,FP97-2000000,0)</f>
        <v>0</v>
      </c>
      <c r="FT97">
        <f ca="1">FS97*0.25</f>
        <v>0</v>
      </c>
      <c r="FU97">
        <f ca="1">IF(FP97&gt;1600000,FP97-1600000-FQ97,0)</f>
        <v>0</v>
      </c>
      <c r="FV97">
        <f ca="1">FU97*0.2</f>
        <v>0</v>
      </c>
      <c r="FW97">
        <f ca="1">IF(FP97&gt;1200000,FP97-1200000-IF(F97="YES",50000,0)-FU97,0)</f>
        <v>0</v>
      </c>
      <c r="FX97">
        <f ca="1">FW97*0.15</f>
        <v>0</v>
      </c>
      <c r="FY97">
        <f ca="1">IF(FP97&gt;800000,FP97-800000-FQ97-FU97-FW97,0)</f>
        <v>0</v>
      </c>
      <c r="FZ97">
        <f ca="1">FY97*0.1</f>
        <v>0</v>
      </c>
      <c r="GA97">
        <f ca="1">IF(FP97&gt;400000,FP97-400000-FQ97-FU97-FW97-FY97,0)</f>
        <v>85860</v>
      </c>
      <c r="GB97">
        <f ca="1">GA97*0.05</f>
        <v>4293</v>
      </c>
      <c r="GC97">
        <f ca="1">ROUND(FR97+FT97+FV97+FX97+FZ97+GB97,0)</f>
        <v>4293</v>
      </c>
      <c r="GD97">
        <f ca="1">IF(FP97&gt;1200000,FP97,0)</f>
        <v>0</v>
      </c>
      <c r="GE97">
        <f ca="1">IF(FP97&gt;1200000,GD97-1200000,0)</f>
        <v>0</v>
      </c>
      <c r="GF97">
        <f ca="1">IF(FP97&lt;1200001,MIN(GC97,60000),0)</f>
        <v>4293</v>
      </c>
      <c r="GG97">
        <f ca="1">IF(FP97&gt;1200000,GC97-GE97,0)</f>
        <v>0</v>
      </c>
      <c r="GH97" t="b">
        <f ca="1">IF(GG97&gt;0,TRUE,FALSE)</f>
        <v>0</v>
      </c>
      <c r="GI97">
        <f ca="1">IF(GH97,GG97,0)</f>
        <v>0</v>
      </c>
      <c r="GJ97">
        <f ca="1">GF97+GI97</f>
        <v>4293</v>
      </c>
      <c r="GK97">
        <f ca="1">ROUND(GC97-GJ97,0)</f>
        <v>0</v>
      </c>
      <c r="GL97">
        <f ca="1">GK97*0.04</f>
        <v>0</v>
      </c>
      <c r="GM97">
        <f ca="1">ROUNDUP(GK97+GL97,0)</f>
        <v>0</v>
      </c>
    </row>
    <row r="98" spans="1:195" x14ac:dyDescent="0.25">
      <c r="A98">
        <f>_xlfn.AGGREGATE(3,5,$B$2:B98)</f>
        <v>97</v>
      </c>
      <c r="B98" t="s">
        <v>314</v>
      </c>
      <c r="C98" t="s">
        <v>315</v>
      </c>
      <c r="D98" t="s">
        <v>778</v>
      </c>
      <c r="E98" t="s">
        <v>833</v>
      </c>
      <c r="F98" t="s">
        <v>959</v>
      </c>
      <c r="G98" t="s">
        <v>918</v>
      </c>
      <c r="H98">
        <f>IF(_xlfn.DAYS("31-03-2025",G98)&gt;=180,6800,0)</f>
        <v>6800</v>
      </c>
      <c r="I98">
        <f>_xlfn.XLOOKUP(B98,'[1]march-2025'!$A:$A,'[1]march-2025'!$J:$J,0,0)</f>
        <v>0</v>
      </c>
      <c r="J98">
        <f>_xlfn.XLOOKUP(B98,'[1]march-2025'!$A:$A,'[1]march-2025'!$C:$C,0,0)</f>
        <v>28600</v>
      </c>
      <c r="K98">
        <f>J98*0.14</f>
        <v>4004.0000000000005</v>
      </c>
      <c r="L98">
        <f>J98*0.12</f>
        <v>3432</v>
      </c>
      <c r="M98">
        <f>_xlfn.XLOOKUP(B98,'[1]march-2025'!$A:$A,'[1]march-2025'!$D:$D,0,0)</f>
        <v>0</v>
      </c>
      <c r="N98">
        <f>_xlfn.XLOOKUP(B98,'[1]march-2025'!$A:$A,'[1]march-2025'!$G:$G,0,0)</f>
        <v>500</v>
      </c>
      <c r="O98">
        <f>IF(J98&gt;0,SUM(J98:N98),0)</f>
        <v>36536</v>
      </c>
      <c r="P98">
        <f>_xlfn.XLOOKUP(B98,'[1]march-2025'!$A:$A,'[1]march-2025'!$H:$H,0,0)</f>
        <v>2000</v>
      </c>
      <c r="Q98">
        <f>_xlfn.XLOOKUP(B98,'[1]march-2025'!$A:$A,'[1]march-2025'!$I:$I,0,0)</f>
        <v>0</v>
      </c>
      <c r="R98">
        <f>IF($F98="YES",0,IF(O98&gt;40000,200,IF(O98&gt;25000,150,IF(O98&gt;15000,130,IF(O98&gt;10000,110,0)))))</f>
        <v>150</v>
      </c>
      <c r="S98">
        <f>O98-P98-Q98-R98</f>
        <v>34386</v>
      </c>
      <c r="T98">
        <f>_xlfn.XLOOKUP(B98,'[2]april-2025'!$A:$A,'[2]april-2025'!$C:$C,0,0)</f>
        <v>28600</v>
      </c>
      <c r="U98">
        <f>T98*0.18</f>
        <v>5148</v>
      </c>
      <c r="V98">
        <f>T98*0.12</f>
        <v>3432</v>
      </c>
      <c r="W98">
        <f>_xlfn.XLOOKUP(B98,'[2]april-2025'!$A:$A,'[2]april-2025'!$D:$D,0,0)</f>
        <v>0</v>
      </c>
      <c r="X98">
        <f>_xlfn.XLOOKUP(B98,'[2]april-2025'!$A:$A,'[2]april-2025'!$G:$G,0,0)</f>
        <v>500</v>
      </c>
      <c r="Y98">
        <f>IF(T98&gt;0,SUM(T98:X98),0)</f>
        <v>37680</v>
      </c>
      <c r="Z98">
        <f>_xlfn.XLOOKUP(B98,'[2]april-2025'!$A:$A,'[2]april-2025'!$H:$H,0,0)</f>
        <v>2000</v>
      </c>
      <c r="AA98">
        <f>_xlfn.XLOOKUP(B98,'[2]april-2025'!$A:$A,'[2]april-2025'!$I:$I,0,0)</f>
        <v>0</v>
      </c>
      <c r="AB98">
        <f>IF($F98="YES",0,IF(Y98&gt;40000,200,IF(Y98&gt;25000,150,IF(Y98&gt;15000,130,IF(Y98&gt;10000,110,0)))))</f>
        <v>150</v>
      </c>
      <c r="AC98">
        <f>Y98-Z98-AA98-AB98</f>
        <v>35530</v>
      </c>
      <c r="AD98">
        <f>_xlfn.XLOOKUP(B98,'[3]may-2025'!$A:$A,'[3]may-2025'!$C:$C,0,0)</f>
        <v>28600</v>
      </c>
      <c r="AE98">
        <f>AD98*0.18</f>
        <v>5148</v>
      </c>
      <c r="AF98">
        <f>AD98*0.12</f>
        <v>3432</v>
      </c>
      <c r="AG98">
        <f>_xlfn.XLOOKUP(B98,'[3]may-2025'!$A:$A,'[3]may-2025'!$D:$D,0,0)</f>
        <v>0</v>
      </c>
      <c r="AH98">
        <f>_xlfn.XLOOKUP(B98,'[3]may-2025'!$A:$A,'[3]may-2025'!$G:$G,0,0)</f>
        <v>500</v>
      </c>
      <c r="AI98">
        <f>IF(AD98&gt;0,SUM(AD98:AH98),0)</f>
        <v>37680</v>
      </c>
      <c r="AJ98">
        <f>_xlfn.XLOOKUP(B98,'[3]may-2025'!$A:$A,'[3]may-2025'!$H:$H,0,0)</f>
        <v>2000</v>
      </c>
      <c r="AK98">
        <f>_xlfn.XLOOKUP(B98,'[3]may-2025'!$A:$A,'[3]may-2025'!$I:$I,0,0)</f>
        <v>0</v>
      </c>
      <c r="AL98">
        <f>IF($F98="YES",0,IF(AI98&gt;40000,200,IF(AI98&gt;25000,150,IF(AI98&gt;15000,130,IF(AI98&gt;10000,110,0)))))</f>
        <v>150</v>
      </c>
      <c r="AM98">
        <f>AI98-AJ98-AK98-AL98</f>
        <v>35530</v>
      </c>
      <c r="AN98">
        <f>_xlfn.XLOOKUP(B98,'[4]june-2025'!$A:$A,'[4]june-2025'!$C:$C,0,0)</f>
        <v>28600</v>
      </c>
      <c r="AO98">
        <f>AN98*0.18</f>
        <v>5148</v>
      </c>
      <c r="AP98">
        <f>AN98*0.12</f>
        <v>3432</v>
      </c>
      <c r="AQ98">
        <f>_xlfn.XLOOKUP(B98,'[4]june-2025'!$A:$A,'[4]june-2025'!$D:$D,0,0)</f>
        <v>0</v>
      </c>
      <c r="AR98">
        <f>_xlfn.XLOOKUP(B98,'[4]june-2025'!$A:$A,'[4]june-2025'!$G:$G,0,0)</f>
        <v>500</v>
      </c>
      <c r="AS98">
        <f>IF(AN98&gt;0,SUM(AN98:AR98),0)</f>
        <v>37680</v>
      </c>
      <c r="AT98">
        <f>_xlfn.XLOOKUP(B98,'[4]june-2025'!$A:$A,'[4]june-2025'!$H:$H,0,0)</f>
        <v>2000</v>
      </c>
      <c r="AU98">
        <f>_xlfn.XLOOKUP(B98,'[4]june-2025'!$A:$A,'[4]june-2025'!$I:$I,0,0)</f>
        <v>0</v>
      </c>
      <c r="AV98">
        <f>IF($F98="YES",0,IF(AS98&gt;40000,200,IF(AS98&gt;25000,150,IF(AS98&gt;15000,130,IF(AS98&gt;10000,110,0)))))</f>
        <v>150</v>
      </c>
      <c r="AW98">
        <f>AS98-AT98-AU98-AV98</f>
        <v>35530</v>
      </c>
      <c r="AX98">
        <f>_xlfn.XLOOKUP(B98,'[5]july-2025'!$A:$A,'[5]july-2025'!$C:$C,0,0)</f>
        <v>29500</v>
      </c>
      <c r="AY98">
        <f>AX98*0.18</f>
        <v>5310</v>
      </c>
      <c r="AZ98">
        <v>0</v>
      </c>
      <c r="BA98">
        <f>AX98*0.12</f>
        <v>3540</v>
      </c>
      <c r="BB98">
        <f>_xlfn.XLOOKUP(B98,'[5]july-2025'!$A:$A,'[5]july-2025'!$D:$D,0,0)</f>
        <v>0</v>
      </c>
      <c r="BC98">
        <f>_xlfn.XLOOKUP(B98,'[5]july-2025'!$A:$A,'[5]july-2025'!$G:$G,0,0)</f>
        <v>500</v>
      </c>
      <c r="BD98">
        <f>IF(AX98&gt;0,SUM(AX98:BC98),0)</f>
        <v>38850</v>
      </c>
      <c r="BE98">
        <f>_xlfn.XLOOKUP(B98,'[5]july-2025'!$A:$A,'[5]july-2025'!$H:$H,0,0)</f>
        <v>2000</v>
      </c>
      <c r="BF98">
        <f>_xlfn.XLOOKUP(B98,'[5]july-2025'!$A:$A,'[5]july-2025'!$I:$I,0,0)</f>
        <v>0</v>
      </c>
      <c r="BG98">
        <f>IF($F98="YES",0,IF(BD98&gt;40000,200,IF(BD98&gt;25000,150,IF(BD98&gt;15000,130,IF(BD98&gt;10000,110,0)))))</f>
        <v>150</v>
      </c>
      <c r="BH98">
        <f>BD98-BE98-BF98-BG98</f>
        <v>36700</v>
      </c>
      <c r="BI98">
        <f>_xlfn.XLOOKUP(B98,'[6]august-2025'!$A:$A,'[6]august-2025'!$C:$C,0,0)</f>
        <v>29500</v>
      </c>
      <c r="BJ98">
        <f>BI98*0.18</f>
        <v>5310</v>
      </c>
      <c r="BK98">
        <f>BI98*0.12</f>
        <v>3540</v>
      </c>
      <c r="BL98">
        <f>_xlfn.XLOOKUP(B98,'[6]august-2025'!$A:$A,'[6]august-2025'!$D:$D,0,0)</f>
        <v>0</v>
      </c>
      <c r="BM98">
        <f>_xlfn.XLOOKUP(B98,'[6]august-2025'!$A:$A,'[6]august-2025'!$G:$G,0,0)</f>
        <v>500</v>
      </c>
      <c r="BN98">
        <f>IF(BI98&gt;0,SUM(BI98:BM98),0)</f>
        <v>38850</v>
      </c>
      <c r="BO98">
        <f>_xlfn.XLOOKUP(B98,'[6]august-2025'!$A:$A,'[6]august-2025'!$H:$H,0,0)</f>
        <v>2000</v>
      </c>
      <c r="BP98">
        <f>_xlfn.XLOOKUP(B98,'[6]august-2025'!$A:$A,'[6]august-2025'!$I:$I,0,0)</f>
        <v>0</v>
      </c>
      <c r="BQ98">
        <f>IF($F98="YES",0,IF(BN98&gt;40000,200,IF(BN98&gt;25000,150,IF(BN98&gt;15000,130,IF(BN98&gt;10000,110,0)))))</f>
        <v>150</v>
      </c>
      <c r="BR98">
        <f>BN98-BO98-BP98-BQ98</f>
        <v>36700</v>
      </c>
      <c r="BS98">
        <f>_xlfn.XLOOKUP(B98,'[7]september-2025'!$A:$A,'[7]september-2025'!$C:$C,0,0)</f>
        <v>29500</v>
      </c>
      <c r="BT98">
        <f>BS98*0.18</f>
        <v>5310</v>
      </c>
      <c r="BU98">
        <f>BS98*0.12</f>
        <v>3540</v>
      </c>
      <c r="BV98">
        <f>_xlfn.XLOOKUP(B98,'[7]september-2025'!$A:$A,'[7]september-2025'!$D:$D,0,0)</f>
        <v>0</v>
      </c>
      <c r="BW98">
        <f>_xlfn.XLOOKUP(B98,'[7]september-2025'!$A:$A,'[7]september-2025'!$G:$G,0,0)</f>
        <v>500</v>
      </c>
      <c r="BX98">
        <f>IF(BS98&gt;0,SUM(BS98:BW98),0)</f>
        <v>38850</v>
      </c>
      <c r="BY98">
        <f>_xlfn.XLOOKUP(B98,'[7]september-2025'!$A:$A,'[7]september-2025'!$H:$H,0,0)</f>
        <v>2000</v>
      </c>
      <c r="BZ98">
        <f>_xlfn.XLOOKUP(B98,'[7]september-2025'!$A:$A,'[7]september-2025'!$I:$I,0,0)</f>
        <v>0</v>
      </c>
      <c r="CA98">
        <f>IF($F98="YES",0,IF(BX98&gt;40000,200,IF(BX98&gt;25000,150,IF(BX98&gt;15000,130,IF(BX98&gt;10000,110,0)))))</f>
        <v>150</v>
      </c>
      <c r="CB98">
        <f>BX98-BY98-BZ98-CA98</f>
        <v>36700</v>
      </c>
      <c r="CC98">
        <f>_xlfn.XLOOKUP(B98,'[8]october-2025'!$A:$A,'[8]october-2025'!$C:$C,0,0)</f>
        <v>29500</v>
      </c>
      <c r="CD98">
        <f>CC98*0.18</f>
        <v>5310</v>
      </c>
      <c r="CE98">
        <f>CC98*0.12</f>
        <v>3540</v>
      </c>
      <c r="CF98">
        <f>_xlfn.XLOOKUP(B98,'[8]october-2025'!$A:$A,'[8]october-2025'!$D:$D,0,0)</f>
        <v>0</v>
      </c>
      <c r="CG98">
        <f>_xlfn.XLOOKUP(B98,'[8]october-2025'!$A:$A,'[8]october-2025'!$G:$G,0,0)</f>
        <v>500</v>
      </c>
      <c r="CH98">
        <f>IF(CC98&gt;0,SUM(CC98:CG98),0)</f>
        <v>38850</v>
      </c>
      <c r="CI98">
        <f>_xlfn.XLOOKUP(B98,'[8]october-2025'!$A:$A,'[8]october-2025'!$H:$H,0,0)</f>
        <v>2000</v>
      </c>
      <c r="CJ98">
        <f>_xlfn.XLOOKUP(B98,'[8]october-2025'!$A:$A,'[8]october-2025'!$I:$I,0,0)</f>
        <v>0</v>
      </c>
      <c r="CK98">
        <f>IF($F98="YES",0,IF(CH98&gt;40000,200,IF(CH98&gt;25000,150,IF(CH98&gt;15000,130,IF(CH98&gt;10000,110,0)))))</f>
        <v>150</v>
      </c>
      <c r="CL98">
        <f>CH98-CI98-CJ98-CK98</f>
        <v>36700</v>
      </c>
      <c r="CM98">
        <f>_xlfn.XLOOKUP(B98,'[9]november-2025'!$A:$A,'[9]november-2025'!$C:$C,0,0)</f>
        <v>29500</v>
      </c>
      <c r="CN98">
        <f>CM98*0.18</f>
        <v>5310</v>
      </c>
      <c r="CO98">
        <f>CM98*0.12</f>
        <v>3540</v>
      </c>
      <c r="CP98">
        <f>_xlfn.XLOOKUP(B98,'[9]november-2025'!$A:$A,'[9]november-2025'!$D:$D,0,0)</f>
        <v>0</v>
      </c>
      <c r="CQ98">
        <f>_xlfn.XLOOKUP(B98,'[9]november-2025'!$A:$A,'[9]november-2025'!$G:$G,0,0)</f>
        <v>500</v>
      </c>
      <c r="CR98">
        <f>IF(CM98&gt;0,SUM(CM98:CQ98),0)</f>
        <v>38850</v>
      </c>
      <c r="CS98">
        <f>_xlfn.XLOOKUP(B98,'[9]november-2025'!$A:$A,'[9]november-2025'!$H:$H,0,0)</f>
        <v>2000</v>
      </c>
      <c r="CT98">
        <f>_xlfn.XLOOKUP(B98,'[9]november-2025'!$A:$A,'[9]november-2025'!$I:$I,0,0)</f>
        <v>0</v>
      </c>
      <c r="CU98">
        <f>IF($F98="YES",0,IF(CR98&gt;40000,200,IF(CR98&gt;25000,150,IF(CR98&gt;15000,130,IF(CR98&gt;10000,110,0)))))</f>
        <v>150</v>
      </c>
      <c r="CV98">
        <f>CR98-CS98-CT98-CU98</f>
        <v>36700</v>
      </c>
      <c r="CW98">
        <f>_xlfn.XLOOKUP(B98,'[10]december-2025'!$A:$A,'[10]december-2025'!$C:$C,0,0)</f>
        <v>29500</v>
      </c>
      <c r="CX98">
        <f>ROUND(CW98*0.18,0)</f>
        <v>5310</v>
      </c>
      <c r="CY98">
        <f>ROUND(CW98*0.12,0)</f>
        <v>3540</v>
      </c>
      <c r="CZ98">
        <f>_xlfn.XLOOKUP(B98,'[10]december-2025'!$A:$A,'[10]december-2025'!$D:$D,0,0)</f>
        <v>0</v>
      </c>
      <c r="DA98">
        <f>_xlfn.XLOOKUP(B98,'[10]december-2025'!$A:$A,'[10]december-2025'!$G:$G,0,0)</f>
        <v>500</v>
      </c>
      <c r="DB98">
        <f>IF(CW98&gt;0,SUM(CW98:DA98),0)</f>
        <v>38850</v>
      </c>
      <c r="DC98">
        <f>_xlfn.XLOOKUP(B98,'[10]december-2025'!$A:$A,'[10]december-2025'!$H:$H,0,0)</f>
        <v>2000</v>
      </c>
      <c r="DD98">
        <f>_xlfn.XLOOKUP(B98,'[10]december-2025'!$A:$A,'[10]december-2025'!$I:$I,0,0)</f>
        <v>0</v>
      </c>
      <c r="DE98">
        <f>IF($F98="YES",0,IF(DB98&gt;40000,200,IF(DB98&gt;25000,150,IF(DB98&gt;15000,130,IF(DB98&gt;10000,110,0)))))</f>
        <v>150</v>
      </c>
      <c r="DF98">
        <f>DB98-DC98-DD98-DE98</f>
        <v>36700</v>
      </c>
      <c r="DG98">
        <f>_xlfn.XLOOKUP(B98,'[11]january-2026'!$A:$A,'[11]january-2026'!$C:$C,0,0)</f>
        <v>29500</v>
      </c>
      <c r="DH98">
        <f>DG98*0.18</f>
        <v>5310</v>
      </c>
      <c r="DI98">
        <f>DG98*0.12</f>
        <v>3540</v>
      </c>
      <c r="DJ98">
        <f>_xlfn.XLOOKUP(B98,'[11]january-2026'!$A:$A,'[11]january-2026'!$D:$D,0,0)</f>
        <v>0</v>
      </c>
      <c r="DK98">
        <f>_xlfn.XLOOKUP(B98,'[11]january-2026'!$A:$A,'[11]january-2026'!$G:$G,0,0)</f>
        <v>500</v>
      </c>
      <c r="DL98">
        <f>IF(DG98&gt;0,SUM(DG98:DK98),0)</f>
        <v>38850</v>
      </c>
      <c r="DM98">
        <f>_xlfn.XLOOKUP(B98,'[11]january-2026'!$A:$A,'[11]january-2026'!$H:$H,0,0)</f>
        <v>2000</v>
      </c>
      <c r="DN98">
        <f>_xlfn.XLOOKUP(B98,'[11]january-2026'!$A:$A,'[11]january-2026'!$I:$I,0,0)</f>
        <v>0</v>
      </c>
      <c r="DO98">
        <f>IF($F98="YES",0,IF(DL98&gt;40000,200,IF(DL98&gt;25000,150,IF(DL98&gt;15000,130,IF(DL98&gt;10000,110,0)))))</f>
        <v>150</v>
      </c>
      <c r="DP98">
        <f>DL98-DM98-DN98-DO98</f>
        <v>36700</v>
      </c>
      <c r="DQ98">
        <f>_xlfn.XLOOKUP(B98,'[12]february-2026'!$A:$A,'[12]february-2026'!$C:$C,0,0)</f>
        <v>29500</v>
      </c>
      <c r="DR98">
        <f>DQ98*0.18</f>
        <v>5310</v>
      </c>
      <c r="DS98">
        <f>DQ98*0.12</f>
        <v>3540</v>
      </c>
      <c r="DT98">
        <f>_xlfn.XLOOKUP(B98,'[12]february-2026'!$A:$A,'[12]february-2026'!$D:$D,0,0)</f>
        <v>0</v>
      </c>
      <c r="DU98">
        <f>_xlfn.XLOOKUP(B98,'[12]february-2026'!$A:$A,'[12]february-2026'!$G:$G,0,0)</f>
        <v>500</v>
      </c>
      <c r="DV98">
        <f>IF(DQ98&gt;0,SUM(DQ98:DU98),0)</f>
        <v>38850</v>
      </c>
      <c r="DW98">
        <f>_xlfn.XLOOKUP(B98,'[12]february-2026'!$A:$A,'[12]february-2026'!$H:$H,0,0)</f>
        <v>2000</v>
      </c>
      <c r="DX98">
        <f>_xlfn.XLOOKUP(B98,'[12]february-2026'!$A:$A,'[12]february-2026'!$I:$I,0,0)</f>
        <v>0</v>
      </c>
      <c r="DY98">
        <f>IF($F98="YES",0,IF(DV98&gt;40000,200,IF(DV98&gt;25000,150,IF(DV98&gt;15000,130,IF(DV98&gt;10000,110,0)))))</f>
        <v>150</v>
      </c>
      <c r="DZ98">
        <f>DV98-DW98-DX98-DY98</f>
        <v>36700</v>
      </c>
      <c r="EA98">
        <f>DV98+DL98+DB98+CR98+CH98+BX98+BN98+BD98+AS98+AI98+Y98+O98+H98+I98</f>
        <v>467176</v>
      </c>
      <c r="EB98">
        <f>DY98+DO98+DE98+CU98+CK98+CA98+BQ98+BG98+AV98+AL98+AB98+R98</f>
        <v>1800</v>
      </c>
      <c r="EC98">
        <f>IF(EA98&gt;0,50000,0)</f>
        <v>50000</v>
      </c>
      <c r="ED98">
        <v>0</v>
      </c>
      <c r="EE98">
        <f>EA98-EB98-EC98</f>
        <v>415376</v>
      </c>
      <c r="EF98">
        <f>DW98+DM98+DC98+CS98+CI98+BY98+BO98+BE98+AT98+AJ98+Z98+P98</f>
        <v>24000</v>
      </c>
      <c r="EG98">
        <f>DX98+DN98+DD98+CT98+CJ98+BZ98+BP98+BF98+AU98+AK98+AA98+Q98</f>
        <v>0</v>
      </c>
      <c r="EH98">
        <v>0</v>
      </c>
      <c r="EI98">
        <v>0</v>
      </c>
      <c r="EJ98">
        <v>0</v>
      </c>
      <c r="EK98">
        <v>0</v>
      </c>
      <c r="EL98">
        <v>0</v>
      </c>
      <c r="EM98">
        <v>0</v>
      </c>
      <c r="EN98">
        <v>0</v>
      </c>
      <c r="EO98">
        <v>0</v>
      </c>
      <c r="EP98">
        <v>0</v>
      </c>
      <c r="EQ98">
        <v>0</v>
      </c>
      <c r="ER98">
        <f>SUM(EF98:EQ98)</f>
        <v>24000</v>
      </c>
      <c r="ES98">
        <f>IF(ER98&gt;=150000,150000,ER98)</f>
        <v>24000</v>
      </c>
      <c r="ET98">
        <f>EE98-ES98</f>
        <v>391376</v>
      </c>
      <c r="EU98">
        <v>0</v>
      </c>
      <c r="EV98">
        <v>0</v>
      </c>
      <c r="EW98">
        <v>0</v>
      </c>
      <c r="EX98">
        <v>0</v>
      </c>
      <c r="EY98">
        <v>0</v>
      </c>
      <c r="EZ98">
        <v>0</v>
      </c>
      <c r="FA98">
        <v>0</v>
      </c>
      <c r="FB98">
        <f>SUM(EU98:FA98)+(IF(F98="YES",50000,0))</f>
        <v>0</v>
      </c>
      <c r="FC98">
        <f>ET98-FB98</f>
        <v>391376</v>
      </c>
      <c r="FD98">
        <f>ROUND(IF(FC98&gt;0,IF(FC98&gt;500000,12500,(FC98-250000)*0.05),0),0)</f>
        <v>7069</v>
      </c>
      <c r="FE98">
        <f>IF(ROUND(IF(FC98&gt;0,IF(FC98&gt;1000000,25000,(FC98-500000)*0.2),0),0)&lt;0,0,ROUND(IF(FC98&gt;0,IF(FC98&gt;1000000,25000,(FC98-500000)*0.2),0),0))</f>
        <v>0</v>
      </c>
      <c r="FF98">
        <f>FD98+FE98</f>
        <v>7069</v>
      </c>
      <c r="FG98">
        <f>IF(FF98&lt;12500,0,FF98)</f>
        <v>0</v>
      </c>
      <c r="FH98">
        <f>FG98*0.04</f>
        <v>0</v>
      </c>
      <c r="FI98">
        <f>ROUND(FH98+FG98,0)</f>
        <v>0</v>
      </c>
      <c r="FJ98">
        <v>0</v>
      </c>
      <c r="FK98">
        <f>FI98-FJ98</f>
        <v>0</v>
      </c>
      <c r="FL98" t="b">
        <f>IF(EA98&gt;500000,TRUE,FALSE)</f>
        <v>0</v>
      </c>
      <c r="FM98">
        <f ca="1">IF(FL98,RANDBETWEEN(500,1000),RANDBETWEEN(1000,3000))</f>
        <v>2915</v>
      </c>
      <c r="FN98">
        <f ca="1">EA98+FM98</f>
        <v>470091</v>
      </c>
      <c r="FO98">
        <f>IF(EA98&gt;0,75000,0)</f>
        <v>75000</v>
      </c>
      <c r="FP98">
        <f ca="1">FN98-FO98</f>
        <v>395091</v>
      </c>
      <c r="FQ98">
        <f ca="1">IF(FP98&gt;2400000,FP98-2400000,0)</f>
        <v>0</v>
      </c>
      <c r="FR98">
        <f ca="1">FQ98*0.3</f>
        <v>0</v>
      </c>
      <c r="FS98">
        <f ca="1">IF(FP98&gt;2000000,FP98-2000000,0)</f>
        <v>0</v>
      </c>
      <c r="FT98">
        <f ca="1">FS98*0.25</f>
        <v>0</v>
      </c>
      <c r="FU98">
        <f ca="1">IF(FP98&gt;1600000,FP98-1600000-FQ98,0)</f>
        <v>0</v>
      </c>
      <c r="FV98">
        <f ca="1">FU98*0.2</f>
        <v>0</v>
      </c>
      <c r="FW98">
        <f ca="1">IF(FP98&gt;1200000,FP98-1200000-IF(F98="YES",50000,0)-FU98,0)</f>
        <v>0</v>
      </c>
      <c r="FX98">
        <f ca="1">FW98*0.15</f>
        <v>0</v>
      </c>
      <c r="FY98">
        <f ca="1">IF(FP98&gt;800000,FP98-800000-FQ98-FU98-FW98,0)</f>
        <v>0</v>
      </c>
      <c r="FZ98">
        <f ca="1">FY98*0.1</f>
        <v>0</v>
      </c>
      <c r="GA98">
        <f ca="1">IF(FP98&gt;400000,FP98-400000-FQ98-FU98-FW98-FY98,0)</f>
        <v>0</v>
      </c>
      <c r="GB98">
        <f ca="1">GA98*0.05</f>
        <v>0</v>
      </c>
      <c r="GC98">
        <f ca="1">ROUND(FR98+FT98+FV98+FX98+FZ98+GB98,0)</f>
        <v>0</v>
      </c>
      <c r="GD98">
        <f ca="1">IF(FP98&gt;1200000,FP98,0)</f>
        <v>0</v>
      </c>
      <c r="GE98">
        <f ca="1">IF(FP98&gt;1200000,GD98-1200000,0)</f>
        <v>0</v>
      </c>
      <c r="GF98">
        <f ca="1">IF(FP98&lt;1200001,MIN(GC98,60000),0)</f>
        <v>0</v>
      </c>
      <c r="GG98">
        <f ca="1">IF(FP98&gt;1200000,GC98-GE98,0)</f>
        <v>0</v>
      </c>
      <c r="GH98" t="b">
        <f ca="1">IF(GG98&gt;0,TRUE,FALSE)</f>
        <v>0</v>
      </c>
      <c r="GI98">
        <f ca="1">IF(GH98,GG98,0)</f>
        <v>0</v>
      </c>
      <c r="GJ98">
        <f ca="1">GF98+GI98</f>
        <v>0</v>
      </c>
      <c r="GK98">
        <f ca="1">ROUND(GC98-GJ98,0)</f>
        <v>0</v>
      </c>
      <c r="GL98">
        <f ca="1">GK98*0.04</f>
        <v>0</v>
      </c>
      <c r="GM98">
        <f ca="1">ROUNDUP(GK98+GL98,0)</f>
        <v>0</v>
      </c>
    </row>
    <row r="99" spans="1:195" x14ac:dyDescent="0.25">
      <c r="A99">
        <f>_xlfn.AGGREGATE(3,5,$B$2:B99)</f>
        <v>98</v>
      </c>
      <c r="B99" t="s">
        <v>317</v>
      </c>
      <c r="C99" t="s">
        <v>318</v>
      </c>
      <c r="D99" t="s">
        <v>778</v>
      </c>
      <c r="E99" t="s">
        <v>833</v>
      </c>
      <c r="F99" t="s">
        <v>959</v>
      </c>
      <c r="G99" t="s">
        <v>919</v>
      </c>
      <c r="H99">
        <f>IF(_xlfn.DAYS("31-03-2025",G99)&gt;=180,6800,0)</f>
        <v>6800</v>
      </c>
      <c r="I99">
        <f>_xlfn.XLOOKUP(B99,'[1]march-2025'!$A:$A,'[1]march-2025'!$J:$J,0,0)</f>
        <v>0</v>
      </c>
      <c r="J99">
        <f>_xlfn.XLOOKUP(B99,'[1]march-2025'!$A:$A,'[1]march-2025'!$C:$C,0,0)</f>
        <v>31600</v>
      </c>
      <c r="K99">
        <f>J99*0.14</f>
        <v>4424</v>
      </c>
      <c r="L99">
        <f>J99*0.12</f>
        <v>3792</v>
      </c>
      <c r="M99">
        <f>_xlfn.XLOOKUP(B99,'[1]march-2025'!$A:$A,'[1]march-2025'!$D:$D,0,0)</f>
        <v>0</v>
      </c>
      <c r="N99">
        <f>_xlfn.XLOOKUP(B99,'[1]march-2025'!$A:$A,'[1]march-2025'!$G:$G,0,0)</f>
        <v>500</v>
      </c>
      <c r="O99">
        <f>IF(J99&gt;0,SUM(J99:N99),0)</f>
        <v>40316</v>
      </c>
      <c r="P99">
        <f>_xlfn.XLOOKUP(B99,'[1]march-2025'!$A:$A,'[1]march-2025'!$H:$H,0,0)</f>
        <v>2000</v>
      </c>
      <c r="Q99">
        <f>_xlfn.XLOOKUP(B99,'[1]march-2025'!$A:$A,'[1]march-2025'!$I:$I,0,0)</f>
        <v>0</v>
      </c>
      <c r="R99">
        <f>IF($F99="YES",0,IF(O99&gt;40000,200,IF(O99&gt;25000,150,IF(O99&gt;15000,130,IF(O99&gt;10000,110,0)))))</f>
        <v>200</v>
      </c>
      <c r="S99">
        <f>O99-P99-Q99-R99</f>
        <v>38116</v>
      </c>
      <c r="T99">
        <f>_xlfn.XLOOKUP(B99,'[2]april-2025'!$A:$A,'[2]april-2025'!$C:$C,0,0)</f>
        <v>31600</v>
      </c>
      <c r="U99">
        <f>T99*0.18</f>
        <v>5688</v>
      </c>
      <c r="V99">
        <f>T99*0.12</f>
        <v>3792</v>
      </c>
      <c r="W99">
        <f>_xlfn.XLOOKUP(B99,'[2]april-2025'!$A:$A,'[2]april-2025'!$D:$D,0,0)</f>
        <v>0</v>
      </c>
      <c r="X99">
        <f>_xlfn.XLOOKUP(B99,'[2]april-2025'!$A:$A,'[2]april-2025'!$G:$G,0,0)</f>
        <v>500</v>
      </c>
      <c r="Y99">
        <f>IF(T99&gt;0,SUM(T99:X99),0)</f>
        <v>41580</v>
      </c>
      <c r="Z99">
        <f>_xlfn.XLOOKUP(B99,'[2]april-2025'!$A:$A,'[2]april-2025'!$H:$H,0,0)</f>
        <v>2000</v>
      </c>
      <c r="AA99">
        <f>_xlfn.XLOOKUP(B99,'[2]april-2025'!$A:$A,'[2]april-2025'!$I:$I,0,0)</f>
        <v>0</v>
      </c>
      <c r="AB99">
        <f>IF($F99="YES",0,IF(Y99&gt;40000,200,IF(Y99&gt;25000,150,IF(Y99&gt;15000,130,IF(Y99&gt;10000,110,0)))))</f>
        <v>200</v>
      </c>
      <c r="AC99">
        <f>Y99-Z99-AA99-AB99</f>
        <v>39380</v>
      </c>
      <c r="AD99">
        <f>_xlfn.XLOOKUP(B99,'[3]may-2025'!$A:$A,'[3]may-2025'!$C:$C,0,0)</f>
        <v>31600</v>
      </c>
      <c r="AE99">
        <f>AD99*0.18</f>
        <v>5688</v>
      </c>
      <c r="AF99">
        <f>AD99*0.12</f>
        <v>3792</v>
      </c>
      <c r="AG99">
        <f>_xlfn.XLOOKUP(B99,'[3]may-2025'!$A:$A,'[3]may-2025'!$D:$D,0,0)</f>
        <v>0</v>
      </c>
      <c r="AH99">
        <f>_xlfn.XLOOKUP(B99,'[3]may-2025'!$A:$A,'[3]may-2025'!$G:$G,0,0)</f>
        <v>500</v>
      </c>
      <c r="AI99">
        <f>IF(AD99&gt;0,SUM(AD99:AH99),0)</f>
        <v>41580</v>
      </c>
      <c r="AJ99">
        <f>_xlfn.XLOOKUP(B99,'[3]may-2025'!$A:$A,'[3]may-2025'!$H:$H,0,0)</f>
        <v>2000</v>
      </c>
      <c r="AK99">
        <f>_xlfn.XLOOKUP(B99,'[3]may-2025'!$A:$A,'[3]may-2025'!$I:$I,0,0)</f>
        <v>0</v>
      </c>
      <c r="AL99">
        <f>IF($F99="YES",0,IF(AI99&gt;40000,200,IF(AI99&gt;25000,150,IF(AI99&gt;15000,130,IF(AI99&gt;10000,110,0)))))</f>
        <v>200</v>
      </c>
      <c r="AM99">
        <f>AI99-AJ99-AK99-AL99</f>
        <v>39380</v>
      </c>
      <c r="AN99">
        <f>_xlfn.XLOOKUP(B99,'[4]june-2025'!$A:$A,'[4]june-2025'!$C:$C,0,0)</f>
        <v>31600</v>
      </c>
      <c r="AO99">
        <f>AN99*0.18</f>
        <v>5688</v>
      </c>
      <c r="AP99">
        <f>AN99*0.12</f>
        <v>3792</v>
      </c>
      <c r="AQ99">
        <f>_xlfn.XLOOKUP(B99,'[4]june-2025'!$A:$A,'[4]june-2025'!$D:$D,0,0)</f>
        <v>0</v>
      </c>
      <c r="AR99">
        <f>_xlfn.XLOOKUP(B99,'[4]june-2025'!$A:$A,'[4]june-2025'!$G:$G,0,0)</f>
        <v>500</v>
      </c>
      <c r="AS99">
        <f>IF(AN99&gt;0,SUM(AN99:AR99),0)</f>
        <v>41580</v>
      </c>
      <c r="AT99">
        <f>_xlfn.XLOOKUP(B99,'[4]june-2025'!$A:$A,'[4]june-2025'!$H:$H,0,0)</f>
        <v>2000</v>
      </c>
      <c r="AU99">
        <f>_xlfn.XLOOKUP(B99,'[4]june-2025'!$A:$A,'[4]june-2025'!$I:$I,0,0)</f>
        <v>0</v>
      </c>
      <c r="AV99">
        <f>IF($F99="YES",0,IF(AS99&gt;40000,200,IF(AS99&gt;25000,150,IF(AS99&gt;15000,130,IF(AS99&gt;10000,110,0)))))</f>
        <v>200</v>
      </c>
      <c r="AW99">
        <f>AS99-AT99-AU99-AV99</f>
        <v>39380</v>
      </c>
      <c r="AX99">
        <f>_xlfn.XLOOKUP(B99,'[5]july-2025'!$A:$A,'[5]july-2025'!$C:$C,0,0)</f>
        <v>32500</v>
      </c>
      <c r="AY99">
        <f>AX99*0.18</f>
        <v>5850</v>
      </c>
      <c r="AZ99">
        <v>0</v>
      </c>
      <c r="BA99">
        <f>AX99*0.12</f>
        <v>3900</v>
      </c>
      <c r="BB99">
        <f>_xlfn.XLOOKUP(B99,'[5]july-2025'!$A:$A,'[5]july-2025'!$D:$D,0,0)</f>
        <v>0</v>
      </c>
      <c r="BC99">
        <f>_xlfn.XLOOKUP(B99,'[5]july-2025'!$A:$A,'[5]july-2025'!$G:$G,0,0)</f>
        <v>500</v>
      </c>
      <c r="BD99">
        <f>IF(AX99&gt;0,SUM(AX99:BC99),0)</f>
        <v>42750</v>
      </c>
      <c r="BE99">
        <f>_xlfn.XLOOKUP(B99,'[5]july-2025'!$A:$A,'[5]july-2025'!$H:$H,0,0)</f>
        <v>2000</v>
      </c>
      <c r="BF99">
        <f>_xlfn.XLOOKUP(B99,'[5]july-2025'!$A:$A,'[5]july-2025'!$I:$I,0,0)</f>
        <v>0</v>
      </c>
      <c r="BG99">
        <f>IF($F99="YES",0,IF(BD99&gt;40000,200,IF(BD99&gt;25000,150,IF(BD99&gt;15000,130,IF(BD99&gt;10000,110,0)))))</f>
        <v>200</v>
      </c>
      <c r="BH99">
        <f>BD99-BE99-BF99-BG99</f>
        <v>40550</v>
      </c>
      <c r="BI99">
        <f>_xlfn.XLOOKUP(B99,'[6]august-2025'!$A:$A,'[6]august-2025'!$C:$C,0,0)</f>
        <v>32500</v>
      </c>
      <c r="BJ99">
        <f>BI99*0.18</f>
        <v>5850</v>
      </c>
      <c r="BK99">
        <f>BI99*0.12</f>
        <v>3900</v>
      </c>
      <c r="BL99">
        <f>_xlfn.XLOOKUP(B99,'[6]august-2025'!$A:$A,'[6]august-2025'!$D:$D,0,0)</f>
        <v>0</v>
      </c>
      <c r="BM99">
        <f>_xlfn.XLOOKUP(B99,'[6]august-2025'!$A:$A,'[6]august-2025'!$G:$G,0,0)</f>
        <v>500</v>
      </c>
      <c r="BN99">
        <f>IF(BI99&gt;0,SUM(BI99:BM99),0)</f>
        <v>42750</v>
      </c>
      <c r="BO99">
        <f>_xlfn.XLOOKUP(B99,'[6]august-2025'!$A:$A,'[6]august-2025'!$H:$H,0,0)</f>
        <v>2000</v>
      </c>
      <c r="BP99">
        <f>_xlfn.XLOOKUP(B99,'[6]august-2025'!$A:$A,'[6]august-2025'!$I:$I,0,0)</f>
        <v>0</v>
      </c>
      <c r="BQ99">
        <f>IF($F99="YES",0,IF(BN99&gt;40000,200,IF(BN99&gt;25000,150,IF(BN99&gt;15000,130,IF(BN99&gt;10000,110,0)))))</f>
        <v>200</v>
      </c>
      <c r="BR99">
        <f>BN99-BO99-BP99-BQ99</f>
        <v>40550</v>
      </c>
      <c r="BS99">
        <f>_xlfn.XLOOKUP(B99,'[7]september-2025'!$A:$A,'[7]september-2025'!$C:$C,0,0)</f>
        <v>32500</v>
      </c>
      <c r="BT99">
        <f>BS99*0.18</f>
        <v>5850</v>
      </c>
      <c r="BU99">
        <f>BS99*0.12</f>
        <v>3900</v>
      </c>
      <c r="BV99">
        <f>_xlfn.XLOOKUP(B99,'[7]september-2025'!$A:$A,'[7]september-2025'!$D:$D,0,0)</f>
        <v>0</v>
      </c>
      <c r="BW99">
        <f>_xlfn.XLOOKUP(B99,'[7]september-2025'!$A:$A,'[7]september-2025'!$G:$G,0,0)</f>
        <v>500</v>
      </c>
      <c r="BX99">
        <f>IF(BS99&gt;0,SUM(BS99:BW99),0)</f>
        <v>42750</v>
      </c>
      <c r="BY99">
        <f>_xlfn.XLOOKUP(B99,'[7]september-2025'!$A:$A,'[7]september-2025'!$H:$H,0,0)</f>
        <v>2000</v>
      </c>
      <c r="BZ99">
        <f>_xlfn.XLOOKUP(B99,'[7]september-2025'!$A:$A,'[7]september-2025'!$I:$I,0,0)</f>
        <v>0</v>
      </c>
      <c r="CA99">
        <f>IF($F99="YES",0,IF(BX99&gt;40000,200,IF(BX99&gt;25000,150,IF(BX99&gt;15000,130,IF(BX99&gt;10000,110,0)))))</f>
        <v>200</v>
      </c>
      <c r="CB99">
        <f>BX99-BY99-BZ99-CA99</f>
        <v>40550</v>
      </c>
      <c r="CC99">
        <f>_xlfn.XLOOKUP(B99,'[8]october-2025'!$A:$A,'[8]october-2025'!$C:$C,0,0)</f>
        <v>32500</v>
      </c>
      <c r="CD99">
        <f>CC99*0.18</f>
        <v>5850</v>
      </c>
      <c r="CE99">
        <f>CC99*0.12</f>
        <v>3900</v>
      </c>
      <c r="CF99">
        <f>_xlfn.XLOOKUP(B99,'[8]october-2025'!$A:$A,'[8]october-2025'!$D:$D,0,0)</f>
        <v>0</v>
      </c>
      <c r="CG99">
        <f>_xlfn.XLOOKUP(B99,'[8]october-2025'!$A:$A,'[8]october-2025'!$G:$G,0,0)</f>
        <v>500</v>
      </c>
      <c r="CH99">
        <f>IF(CC99&gt;0,SUM(CC99:CG99),0)</f>
        <v>42750</v>
      </c>
      <c r="CI99">
        <f>_xlfn.XLOOKUP(B99,'[8]october-2025'!$A:$A,'[8]october-2025'!$H:$H,0,0)</f>
        <v>2000</v>
      </c>
      <c r="CJ99">
        <f>_xlfn.XLOOKUP(B99,'[8]october-2025'!$A:$A,'[8]october-2025'!$I:$I,0,0)</f>
        <v>0</v>
      </c>
      <c r="CK99">
        <f>IF($F99="YES",0,IF(CH99&gt;40000,200,IF(CH99&gt;25000,150,IF(CH99&gt;15000,130,IF(CH99&gt;10000,110,0)))))</f>
        <v>200</v>
      </c>
      <c r="CL99">
        <f>CH99-CI99-CJ99-CK99</f>
        <v>40550</v>
      </c>
      <c r="CM99">
        <f>_xlfn.XLOOKUP(B99,'[9]november-2025'!$A:$A,'[9]november-2025'!$C:$C,0,0)</f>
        <v>32500</v>
      </c>
      <c r="CN99">
        <f>CM99*0.18</f>
        <v>5850</v>
      </c>
      <c r="CO99">
        <f>CM99*0.12</f>
        <v>3900</v>
      </c>
      <c r="CP99">
        <f>_xlfn.XLOOKUP(B99,'[9]november-2025'!$A:$A,'[9]november-2025'!$D:$D,0,0)</f>
        <v>0</v>
      </c>
      <c r="CQ99">
        <f>_xlfn.XLOOKUP(B99,'[9]november-2025'!$A:$A,'[9]november-2025'!$G:$G,0,0)</f>
        <v>500</v>
      </c>
      <c r="CR99">
        <f>IF(CM99&gt;0,SUM(CM99:CQ99),0)</f>
        <v>42750</v>
      </c>
      <c r="CS99">
        <f>_xlfn.XLOOKUP(B99,'[9]november-2025'!$A:$A,'[9]november-2025'!$H:$H,0,0)</f>
        <v>2000</v>
      </c>
      <c r="CT99">
        <f>_xlfn.XLOOKUP(B99,'[9]november-2025'!$A:$A,'[9]november-2025'!$I:$I,0,0)</f>
        <v>0</v>
      </c>
      <c r="CU99">
        <f>IF($F99="YES",0,IF(CR99&gt;40000,200,IF(CR99&gt;25000,150,IF(CR99&gt;15000,130,IF(CR99&gt;10000,110,0)))))</f>
        <v>200</v>
      </c>
      <c r="CV99">
        <f>CR99-CS99-CT99-CU99</f>
        <v>40550</v>
      </c>
      <c r="CW99">
        <f>_xlfn.XLOOKUP(B99,'[10]december-2025'!$A:$A,'[10]december-2025'!$C:$C,0,0)</f>
        <v>32500</v>
      </c>
      <c r="CX99">
        <f>ROUND(CW99*0.18,0)</f>
        <v>5850</v>
      </c>
      <c r="CY99">
        <f>ROUND(CW99*0.12,0)</f>
        <v>3900</v>
      </c>
      <c r="CZ99">
        <f>_xlfn.XLOOKUP(B99,'[10]december-2025'!$A:$A,'[10]december-2025'!$D:$D,0,0)</f>
        <v>0</v>
      </c>
      <c r="DA99">
        <f>_xlfn.XLOOKUP(B99,'[10]december-2025'!$A:$A,'[10]december-2025'!$G:$G,0,0)</f>
        <v>500</v>
      </c>
      <c r="DB99">
        <f>IF(CW99&gt;0,SUM(CW99:DA99),0)</f>
        <v>42750</v>
      </c>
      <c r="DC99">
        <f>_xlfn.XLOOKUP(B99,'[10]december-2025'!$A:$A,'[10]december-2025'!$H:$H,0,0)</f>
        <v>2000</v>
      </c>
      <c r="DD99">
        <f>_xlfn.XLOOKUP(B99,'[10]december-2025'!$A:$A,'[10]december-2025'!$I:$I,0,0)</f>
        <v>0</v>
      </c>
      <c r="DE99">
        <f>IF($F99="YES",0,IF(DB99&gt;40000,200,IF(DB99&gt;25000,150,IF(DB99&gt;15000,130,IF(DB99&gt;10000,110,0)))))</f>
        <v>200</v>
      </c>
      <c r="DF99">
        <f>DB99-DC99-DD99-DE99</f>
        <v>40550</v>
      </c>
      <c r="DG99">
        <f>_xlfn.XLOOKUP(B99,'[11]january-2026'!$A:$A,'[11]january-2026'!$C:$C,0,0)</f>
        <v>32500</v>
      </c>
      <c r="DH99">
        <f>DG99*0.18</f>
        <v>5850</v>
      </c>
      <c r="DI99">
        <f>DG99*0.12</f>
        <v>3900</v>
      </c>
      <c r="DJ99">
        <f>_xlfn.XLOOKUP(B99,'[11]january-2026'!$A:$A,'[11]january-2026'!$D:$D,0,0)</f>
        <v>0</v>
      </c>
      <c r="DK99">
        <f>_xlfn.XLOOKUP(B99,'[11]january-2026'!$A:$A,'[11]january-2026'!$G:$G,0,0)</f>
        <v>500</v>
      </c>
      <c r="DL99">
        <f>IF(DG99&gt;0,SUM(DG99:DK99),0)</f>
        <v>42750</v>
      </c>
      <c r="DM99">
        <f>_xlfn.XLOOKUP(B99,'[11]january-2026'!$A:$A,'[11]january-2026'!$H:$H,0,0)</f>
        <v>2000</v>
      </c>
      <c r="DN99">
        <f>_xlfn.XLOOKUP(B99,'[11]january-2026'!$A:$A,'[11]january-2026'!$I:$I,0,0)</f>
        <v>0</v>
      </c>
      <c r="DO99">
        <f>IF($F99="YES",0,IF(DL99&gt;40000,200,IF(DL99&gt;25000,150,IF(DL99&gt;15000,130,IF(DL99&gt;10000,110,0)))))</f>
        <v>200</v>
      </c>
      <c r="DP99">
        <f>DL99-DM99-DN99-DO99</f>
        <v>40550</v>
      </c>
      <c r="DQ99">
        <f>_xlfn.XLOOKUP(B99,'[12]february-2026'!$A:$A,'[12]february-2026'!$C:$C,0,0)</f>
        <v>32500</v>
      </c>
      <c r="DR99">
        <f>DQ99*0.18</f>
        <v>5850</v>
      </c>
      <c r="DS99">
        <f>DQ99*0.12</f>
        <v>3900</v>
      </c>
      <c r="DT99">
        <f>_xlfn.XLOOKUP(B99,'[12]february-2026'!$A:$A,'[12]february-2026'!$D:$D,0,0)</f>
        <v>0</v>
      </c>
      <c r="DU99">
        <f>_xlfn.XLOOKUP(B99,'[12]february-2026'!$A:$A,'[12]february-2026'!$G:$G,0,0)</f>
        <v>500</v>
      </c>
      <c r="DV99">
        <f>IF(DQ99&gt;0,SUM(DQ99:DU99),0)</f>
        <v>42750</v>
      </c>
      <c r="DW99">
        <f>_xlfn.XLOOKUP(B99,'[12]february-2026'!$A:$A,'[12]february-2026'!$H:$H,0,0)</f>
        <v>2000</v>
      </c>
      <c r="DX99">
        <f>_xlfn.XLOOKUP(B99,'[12]february-2026'!$A:$A,'[12]february-2026'!$I:$I,0,0)</f>
        <v>0</v>
      </c>
      <c r="DY99">
        <f>IF($F99="YES",0,IF(DV99&gt;40000,200,IF(DV99&gt;25000,150,IF(DV99&gt;15000,130,IF(DV99&gt;10000,110,0)))))</f>
        <v>200</v>
      </c>
      <c r="DZ99">
        <f>DV99-DW99-DX99-DY99</f>
        <v>40550</v>
      </c>
      <c r="EA99">
        <f>DV99+DL99+DB99+CR99+CH99+BX99+BN99+BD99+AS99+AI99+Y99+O99+H99+I99</f>
        <v>513856</v>
      </c>
      <c r="EB99">
        <f>DY99+DO99+DE99+CU99+CK99+CA99+BQ99+BG99+AV99+AL99+AB99+R99</f>
        <v>2400</v>
      </c>
      <c r="EC99">
        <f>IF(EA99&gt;0,50000,0)</f>
        <v>50000</v>
      </c>
      <c r="ED99">
        <v>0</v>
      </c>
      <c r="EE99">
        <f>EA99-EB99-EC99</f>
        <v>461456</v>
      </c>
      <c r="EF99">
        <f>DW99+DM99+DC99+CS99+CI99+BY99+BO99+BE99+AT99+AJ99+Z99+P99</f>
        <v>24000</v>
      </c>
      <c r="EG99">
        <f>DX99+DN99+DD99+CT99+CJ99+BZ99+BP99+BF99+AU99+AK99+AA99+Q99</f>
        <v>0</v>
      </c>
      <c r="EH99">
        <v>0</v>
      </c>
      <c r="EI99">
        <v>0</v>
      </c>
      <c r="EJ99">
        <v>0</v>
      </c>
      <c r="EK99">
        <v>0</v>
      </c>
      <c r="EL99">
        <v>0</v>
      </c>
      <c r="EM99">
        <v>0</v>
      </c>
      <c r="EN99">
        <v>0</v>
      </c>
      <c r="EO99">
        <v>0</v>
      </c>
      <c r="EP99">
        <v>0</v>
      </c>
      <c r="EQ99">
        <v>0</v>
      </c>
      <c r="ER99">
        <f>SUM(EF99:EQ99)</f>
        <v>24000</v>
      </c>
      <c r="ES99">
        <f>IF(ER99&gt;=150000,150000,ER99)</f>
        <v>24000</v>
      </c>
      <c r="ET99">
        <f>EE99-ES99</f>
        <v>437456</v>
      </c>
      <c r="EU99">
        <v>0</v>
      </c>
      <c r="EV99">
        <v>0</v>
      </c>
      <c r="EW99">
        <v>0</v>
      </c>
      <c r="EX99">
        <v>0</v>
      </c>
      <c r="EY99">
        <v>0</v>
      </c>
      <c r="EZ99">
        <v>0</v>
      </c>
      <c r="FA99">
        <v>0</v>
      </c>
      <c r="FB99">
        <f>SUM(EU99:FA99)+(IF(F99="YES",50000,0))</f>
        <v>0</v>
      </c>
      <c r="FC99">
        <f>ET99-FB99</f>
        <v>437456</v>
      </c>
      <c r="FD99">
        <f>ROUND(IF(FC99&gt;0,IF(FC99&gt;500000,12500,(FC99-250000)*0.05),0),0)</f>
        <v>9373</v>
      </c>
      <c r="FE99">
        <f>IF(ROUND(IF(FC99&gt;0,IF(FC99&gt;1000000,25000,(FC99-500000)*0.2),0),0)&lt;0,0,ROUND(IF(FC99&gt;0,IF(FC99&gt;1000000,25000,(FC99-500000)*0.2),0),0))</f>
        <v>0</v>
      </c>
      <c r="FF99">
        <f>FD99+FE99</f>
        <v>9373</v>
      </c>
      <c r="FG99">
        <f>IF(FF99&lt;12500,0,FF99)</f>
        <v>0</v>
      </c>
      <c r="FH99">
        <f>FG99*0.04</f>
        <v>0</v>
      </c>
      <c r="FI99">
        <f>ROUND(FH99+FG99,0)</f>
        <v>0</v>
      </c>
      <c r="FJ99">
        <v>0</v>
      </c>
      <c r="FK99">
        <f>FI99-FJ99</f>
        <v>0</v>
      </c>
      <c r="FL99" t="b">
        <f>IF(EA99&gt;500000,TRUE,FALSE)</f>
        <v>1</v>
      </c>
      <c r="FM99">
        <f ca="1">IF(FL99,RANDBETWEEN(500,1000),RANDBETWEEN(1000,3000))</f>
        <v>729</v>
      </c>
      <c r="FN99">
        <f ca="1">EA99+FM99</f>
        <v>514585</v>
      </c>
      <c r="FO99">
        <f>IF(EA99&gt;0,75000,0)</f>
        <v>75000</v>
      </c>
      <c r="FP99">
        <f ca="1">FN99-FO99</f>
        <v>439585</v>
      </c>
      <c r="FQ99">
        <f ca="1">IF(FP99&gt;2400000,FP99-2400000,0)</f>
        <v>0</v>
      </c>
      <c r="FR99">
        <f ca="1">FQ99*0.3</f>
        <v>0</v>
      </c>
      <c r="FS99">
        <f ca="1">IF(FP99&gt;2000000,FP99-2000000,0)</f>
        <v>0</v>
      </c>
      <c r="FT99">
        <f ca="1">FS99*0.25</f>
        <v>0</v>
      </c>
      <c r="FU99">
        <f ca="1">IF(FP99&gt;1600000,FP99-1600000-FQ99,0)</f>
        <v>0</v>
      </c>
      <c r="FV99">
        <f ca="1">FU99*0.2</f>
        <v>0</v>
      </c>
      <c r="FW99">
        <f ca="1">IF(FP99&gt;1200000,FP99-1200000-IF(F99="YES",50000,0)-FU99,0)</f>
        <v>0</v>
      </c>
      <c r="FX99">
        <f ca="1">FW99*0.15</f>
        <v>0</v>
      </c>
      <c r="FY99">
        <f ca="1">IF(FP99&gt;800000,FP99-800000-FQ99-FU99-FW99,0)</f>
        <v>0</v>
      </c>
      <c r="FZ99">
        <f ca="1">FY99*0.1</f>
        <v>0</v>
      </c>
      <c r="GA99">
        <f ca="1">IF(FP99&gt;400000,FP99-400000-FQ99-FU99-FW99-FY99,0)</f>
        <v>39585</v>
      </c>
      <c r="GB99">
        <f ca="1">GA99*0.05</f>
        <v>1979.25</v>
      </c>
      <c r="GC99">
        <f ca="1">ROUND(FR99+FT99+FV99+FX99+FZ99+GB99,0)</f>
        <v>1979</v>
      </c>
      <c r="GD99">
        <f ca="1">IF(FP99&gt;1200000,FP99,0)</f>
        <v>0</v>
      </c>
      <c r="GE99">
        <f ca="1">IF(FP99&gt;1200000,GD99-1200000,0)</f>
        <v>0</v>
      </c>
      <c r="GF99">
        <f ca="1">IF(FP99&lt;1200001,MIN(GC99,60000),0)</f>
        <v>1979</v>
      </c>
      <c r="GG99">
        <f ca="1">IF(FP99&gt;1200000,GC99-GE99,0)</f>
        <v>0</v>
      </c>
      <c r="GH99" t="b">
        <f ca="1">IF(GG99&gt;0,TRUE,FALSE)</f>
        <v>0</v>
      </c>
      <c r="GI99">
        <f ca="1">IF(GH99,GG99,0)</f>
        <v>0</v>
      </c>
      <c r="GJ99">
        <f ca="1">GF99+GI99</f>
        <v>1979</v>
      </c>
      <c r="GK99">
        <f ca="1">ROUND(GC99-GJ99,0)</f>
        <v>0</v>
      </c>
      <c r="GL99">
        <f ca="1">GK99*0.04</f>
        <v>0</v>
      </c>
      <c r="GM99">
        <f ca="1">ROUNDUP(GK99+GL99,0)</f>
        <v>0</v>
      </c>
    </row>
    <row r="100" spans="1:195" x14ac:dyDescent="0.25">
      <c r="A100">
        <f>_xlfn.AGGREGATE(3,5,$B$2:B100)</f>
        <v>99</v>
      </c>
      <c r="B100" t="s">
        <v>316</v>
      </c>
      <c r="C100" t="s">
        <v>862</v>
      </c>
      <c r="D100" t="s">
        <v>778</v>
      </c>
      <c r="E100" t="s">
        <v>833</v>
      </c>
      <c r="F100" t="s">
        <v>959</v>
      </c>
      <c r="G100" t="s">
        <v>920</v>
      </c>
      <c r="H100">
        <f>IF(_xlfn.DAYS("31-03-2025",G100)&gt;=180,6800,0)</f>
        <v>6800</v>
      </c>
      <c r="I100">
        <f>_xlfn.XLOOKUP(B100,'[1]march-2025'!$A:$A,'[1]march-2025'!$J:$J,0,0)</f>
        <v>0</v>
      </c>
      <c r="J100">
        <f>_xlfn.XLOOKUP(B100,'[1]march-2025'!$A:$A,'[1]march-2025'!$C:$C,0,0)</f>
        <v>33500</v>
      </c>
      <c r="K100">
        <f>J100*0.14</f>
        <v>4690</v>
      </c>
      <c r="L100">
        <f>J100*0.12</f>
        <v>4020</v>
      </c>
      <c r="M100">
        <f>_xlfn.XLOOKUP(B100,'[1]march-2025'!$A:$A,'[1]march-2025'!$D:$D,0,0)</f>
        <v>0</v>
      </c>
      <c r="N100">
        <f>_xlfn.XLOOKUP(B100,'[1]march-2025'!$A:$A,'[1]march-2025'!$G:$G,0,0)</f>
        <v>500</v>
      </c>
      <c r="O100">
        <f>IF(J100&gt;0,SUM(J100:N100),0)</f>
        <v>42710</v>
      </c>
      <c r="P100">
        <f>_xlfn.XLOOKUP(B100,'[1]march-2025'!$A:$A,'[1]march-2025'!$H:$H,0,0)</f>
        <v>2500</v>
      </c>
      <c r="Q100">
        <f>_xlfn.XLOOKUP(B100,'[1]march-2025'!$A:$A,'[1]march-2025'!$I:$I,0,0)</f>
        <v>0</v>
      </c>
      <c r="R100">
        <f>IF($F100="YES",0,IF(O100&gt;40000,200,IF(O100&gt;25000,150,IF(O100&gt;15000,130,IF(O100&gt;10000,110,0)))))</f>
        <v>200</v>
      </c>
      <c r="S100">
        <f>O100-P100-Q100-R100</f>
        <v>40010</v>
      </c>
      <c r="T100">
        <f>_xlfn.XLOOKUP(B100,'[2]april-2025'!$A:$A,'[2]april-2025'!$C:$C,0,0)</f>
        <v>33500</v>
      </c>
      <c r="U100">
        <f>T100*0.18</f>
        <v>6030</v>
      </c>
      <c r="V100">
        <f>T100*0.12</f>
        <v>4020</v>
      </c>
      <c r="W100">
        <f>_xlfn.XLOOKUP(B100,'[2]april-2025'!$A:$A,'[2]april-2025'!$D:$D,0,0)</f>
        <v>0</v>
      </c>
      <c r="X100">
        <f>_xlfn.XLOOKUP(B100,'[2]april-2025'!$A:$A,'[2]april-2025'!$G:$G,0,0)</f>
        <v>500</v>
      </c>
      <c r="Y100">
        <f>IF(T100&gt;0,SUM(T100:X100),0)</f>
        <v>44050</v>
      </c>
      <c r="Z100">
        <f>_xlfn.XLOOKUP(B100,'[2]april-2025'!$A:$A,'[2]april-2025'!$H:$H,0,0)</f>
        <v>2500</v>
      </c>
      <c r="AA100">
        <f>_xlfn.XLOOKUP(B100,'[2]april-2025'!$A:$A,'[2]april-2025'!$I:$I,0,0)</f>
        <v>0</v>
      </c>
      <c r="AB100">
        <f>IF($F100="YES",0,IF(Y100&gt;40000,200,IF(Y100&gt;25000,150,IF(Y100&gt;15000,130,IF(Y100&gt;10000,110,0)))))</f>
        <v>200</v>
      </c>
      <c r="AC100">
        <f>Y100-Z100-AA100-AB100</f>
        <v>41350</v>
      </c>
      <c r="AD100">
        <f>_xlfn.XLOOKUP(B100,'[3]may-2025'!$A:$A,'[3]may-2025'!$C:$C,0,0)</f>
        <v>33500</v>
      </c>
      <c r="AE100">
        <f>AD100*0.18</f>
        <v>6030</v>
      </c>
      <c r="AF100">
        <f>AD100*0.12</f>
        <v>4020</v>
      </c>
      <c r="AG100">
        <f>_xlfn.XLOOKUP(B100,'[3]may-2025'!$A:$A,'[3]may-2025'!$D:$D,0,0)</f>
        <v>0</v>
      </c>
      <c r="AH100">
        <f>_xlfn.XLOOKUP(B100,'[3]may-2025'!$A:$A,'[3]may-2025'!$G:$G,0,0)</f>
        <v>500</v>
      </c>
      <c r="AI100">
        <f>IF(AD100&gt;0,SUM(AD100:AH100),0)</f>
        <v>44050</v>
      </c>
      <c r="AJ100">
        <f>_xlfn.XLOOKUP(B100,'[3]may-2025'!$A:$A,'[3]may-2025'!$H:$H,0,0)</f>
        <v>2500</v>
      </c>
      <c r="AK100">
        <f>_xlfn.XLOOKUP(B100,'[3]may-2025'!$A:$A,'[3]may-2025'!$I:$I,0,0)</f>
        <v>0</v>
      </c>
      <c r="AL100">
        <f>IF($F100="YES",0,IF(AI100&gt;40000,200,IF(AI100&gt;25000,150,IF(AI100&gt;15000,130,IF(AI100&gt;10000,110,0)))))</f>
        <v>200</v>
      </c>
      <c r="AM100">
        <f>AI100-AJ100-AK100-AL100</f>
        <v>41350</v>
      </c>
      <c r="AN100">
        <f>_xlfn.XLOOKUP(B100,'[4]june-2025'!$A:$A,'[4]june-2025'!$C:$C,0,0)</f>
        <v>33500</v>
      </c>
      <c r="AO100">
        <f>AN100*0.18</f>
        <v>6030</v>
      </c>
      <c r="AP100">
        <f>AN100*0.12</f>
        <v>4020</v>
      </c>
      <c r="AQ100">
        <f>_xlfn.XLOOKUP(B100,'[4]june-2025'!$A:$A,'[4]june-2025'!$D:$D,0,0)</f>
        <v>0</v>
      </c>
      <c r="AR100">
        <f>_xlfn.XLOOKUP(B100,'[4]june-2025'!$A:$A,'[4]june-2025'!$G:$G,0,0)</f>
        <v>500</v>
      </c>
      <c r="AS100">
        <f>IF(AN100&gt;0,SUM(AN100:AR100),0)</f>
        <v>44050</v>
      </c>
      <c r="AT100">
        <f>_xlfn.XLOOKUP(B100,'[4]june-2025'!$A:$A,'[4]june-2025'!$H:$H,0,0)</f>
        <v>2500</v>
      </c>
      <c r="AU100">
        <f>_xlfn.XLOOKUP(B100,'[4]june-2025'!$A:$A,'[4]june-2025'!$I:$I,0,0)</f>
        <v>0</v>
      </c>
      <c r="AV100">
        <f>IF($F100="YES",0,IF(AS100&gt;40000,200,IF(AS100&gt;25000,150,IF(AS100&gt;15000,130,IF(AS100&gt;10000,110,0)))))</f>
        <v>200</v>
      </c>
      <c r="AW100">
        <f>AS100-AT100-AU100-AV100</f>
        <v>41350</v>
      </c>
      <c r="AX100">
        <f>_xlfn.XLOOKUP(B100,'[5]july-2025'!$A:$A,'[5]july-2025'!$C:$C,0,0)</f>
        <v>34500</v>
      </c>
      <c r="AY100">
        <f>AX100*0.18</f>
        <v>6210</v>
      </c>
      <c r="AZ100">
        <v>0</v>
      </c>
      <c r="BA100">
        <f>AX100*0.12</f>
        <v>4140</v>
      </c>
      <c r="BB100">
        <f>_xlfn.XLOOKUP(B100,'[5]july-2025'!$A:$A,'[5]july-2025'!$D:$D,0,0)</f>
        <v>0</v>
      </c>
      <c r="BC100">
        <f>_xlfn.XLOOKUP(B100,'[5]july-2025'!$A:$A,'[5]july-2025'!$G:$G,0,0)</f>
        <v>500</v>
      </c>
      <c r="BD100">
        <f>IF(AX100&gt;0,SUM(AX100:BC100),0)</f>
        <v>45350</v>
      </c>
      <c r="BE100">
        <f>_xlfn.XLOOKUP(B100,'[5]july-2025'!$A:$A,'[5]july-2025'!$H:$H,0,0)</f>
        <v>2500</v>
      </c>
      <c r="BF100">
        <f>_xlfn.XLOOKUP(B100,'[5]july-2025'!$A:$A,'[5]july-2025'!$I:$I,0,0)</f>
        <v>0</v>
      </c>
      <c r="BG100">
        <f>IF($F100="YES",0,IF(BD100&gt;40000,200,IF(BD100&gt;25000,150,IF(BD100&gt;15000,130,IF(BD100&gt;10000,110,0)))))</f>
        <v>200</v>
      </c>
      <c r="BH100">
        <f>BD100-BE100-BF100-BG100</f>
        <v>42650</v>
      </c>
      <c r="BI100">
        <f>_xlfn.XLOOKUP(B100,'[6]august-2025'!$A:$A,'[6]august-2025'!$C:$C,0,0)</f>
        <v>34500</v>
      </c>
      <c r="BJ100">
        <f>BI100*0.18</f>
        <v>6210</v>
      </c>
      <c r="BK100">
        <f>BI100*0.12</f>
        <v>4140</v>
      </c>
      <c r="BL100">
        <f>_xlfn.XLOOKUP(B100,'[6]august-2025'!$A:$A,'[6]august-2025'!$D:$D,0,0)</f>
        <v>0</v>
      </c>
      <c r="BM100">
        <f>_xlfn.XLOOKUP(B100,'[6]august-2025'!$A:$A,'[6]august-2025'!$G:$G,0,0)</f>
        <v>500</v>
      </c>
      <c r="BN100">
        <f>IF(BI100&gt;0,SUM(BI100:BM100),0)</f>
        <v>45350</v>
      </c>
      <c r="BO100">
        <f>_xlfn.XLOOKUP(B100,'[6]august-2025'!$A:$A,'[6]august-2025'!$H:$H,0,0)</f>
        <v>2500</v>
      </c>
      <c r="BP100">
        <f>_xlfn.XLOOKUP(B100,'[6]august-2025'!$A:$A,'[6]august-2025'!$I:$I,0,0)</f>
        <v>0</v>
      </c>
      <c r="BQ100">
        <f>IF($F100="YES",0,IF(BN100&gt;40000,200,IF(BN100&gt;25000,150,IF(BN100&gt;15000,130,IF(BN100&gt;10000,110,0)))))</f>
        <v>200</v>
      </c>
      <c r="BR100">
        <f>BN100-BO100-BP100-BQ100</f>
        <v>42650</v>
      </c>
      <c r="BS100">
        <f>_xlfn.XLOOKUP(B100,'[7]september-2025'!$A:$A,'[7]september-2025'!$C:$C,0,0)</f>
        <v>34500</v>
      </c>
      <c r="BT100">
        <f>BS100*0.18</f>
        <v>6210</v>
      </c>
      <c r="BU100">
        <f>BS100*0.12</f>
        <v>4140</v>
      </c>
      <c r="BV100">
        <f>_xlfn.XLOOKUP(B100,'[7]september-2025'!$A:$A,'[7]september-2025'!$D:$D,0,0)</f>
        <v>0</v>
      </c>
      <c r="BW100">
        <f>_xlfn.XLOOKUP(B100,'[7]september-2025'!$A:$A,'[7]september-2025'!$G:$G,0,0)</f>
        <v>500</v>
      </c>
      <c r="BX100">
        <f>IF(BS100&gt;0,SUM(BS100:BW100),0)</f>
        <v>45350</v>
      </c>
      <c r="BY100">
        <f>_xlfn.XLOOKUP(B100,'[7]september-2025'!$A:$A,'[7]september-2025'!$H:$H,0,0)</f>
        <v>2500</v>
      </c>
      <c r="BZ100">
        <f>_xlfn.XLOOKUP(B100,'[7]september-2025'!$A:$A,'[7]september-2025'!$I:$I,0,0)</f>
        <v>0</v>
      </c>
      <c r="CA100">
        <f>IF($F100="YES",0,IF(BX100&gt;40000,200,IF(BX100&gt;25000,150,IF(BX100&gt;15000,130,IF(BX100&gt;10000,110,0)))))</f>
        <v>200</v>
      </c>
      <c r="CB100">
        <f>BX100-BY100-BZ100-CA100</f>
        <v>42650</v>
      </c>
      <c r="CC100">
        <f>_xlfn.XLOOKUP(B100,'[8]october-2025'!$A:$A,'[8]october-2025'!$C:$C,0,0)</f>
        <v>34500</v>
      </c>
      <c r="CD100">
        <f>CC100*0.18</f>
        <v>6210</v>
      </c>
      <c r="CE100">
        <f>CC100*0.12</f>
        <v>4140</v>
      </c>
      <c r="CF100">
        <f>_xlfn.XLOOKUP(B100,'[8]october-2025'!$A:$A,'[8]october-2025'!$D:$D,0,0)</f>
        <v>0</v>
      </c>
      <c r="CG100">
        <f>_xlfn.XLOOKUP(B100,'[8]october-2025'!$A:$A,'[8]october-2025'!$G:$G,0,0)</f>
        <v>500</v>
      </c>
      <c r="CH100">
        <f>IF(CC100&gt;0,SUM(CC100:CG100),0)</f>
        <v>45350</v>
      </c>
      <c r="CI100">
        <f>_xlfn.XLOOKUP(B100,'[8]october-2025'!$A:$A,'[8]october-2025'!$H:$H,0,0)</f>
        <v>2500</v>
      </c>
      <c r="CJ100">
        <f>_xlfn.XLOOKUP(B100,'[8]october-2025'!$A:$A,'[8]october-2025'!$I:$I,0,0)</f>
        <v>0</v>
      </c>
      <c r="CK100">
        <f>IF($F100="YES",0,IF(CH100&gt;40000,200,IF(CH100&gt;25000,150,IF(CH100&gt;15000,130,IF(CH100&gt;10000,110,0)))))</f>
        <v>200</v>
      </c>
      <c r="CL100">
        <f>CH100-CI100-CJ100-CK100</f>
        <v>42650</v>
      </c>
      <c r="CM100">
        <f>_xlfn.XLOOKUP(B100,'[9]november-2025'!$A:$A,'[9]november-2025'!$C:$C,0,0)</f>
        <v>34500</v>
      </c>
      <c r="CN100">
        <f>CM100*0.18</f>
        <v>6210</v>
      </c>
      <c r="CO100">
        <f>CM100*0.12</f>
        <v>4140</v>
      </c>
      <c r="CP100">
        <f>_xlfn.XLOOKUP(B100,'[9]november-2025'!$A:$A,'[9]november-2025'!$D:$D,0,0)</f>
        <v>0</v>
      </c>
      <c r="CQ100">
        <f>_xlfn.XLOOKUP(B100,'[9]november-2025'!$A:$A,'[9]november-2025'!$G:$G,0,0)</f>
        <v>500</v>
      </c>
      <c r="CR100">
        <f>IF(CM100&gt;0,SUM(CM100:CQ100),0)</f>
        <v>45350</v>
      </c>
      <c r="CS100">
        <f>_xlfn.XLOOKUP(B100,'[9]november-2025'!$A:$A,'[9]november-2025'!$H:$H,0,0)</f>
        <v>2500</v>
      </c>
      <c r="CT100">
        <f>_xlfn.XLOOKUP(B100,'[9]november-2025'!$A:$A,'[9]november-2025'!$I:$I,0,0)</f>
        <v>0</v>
      </c>
      <c r="CU100">
        <f>IF($F100="YES",0,IF(CR100&gt;40000,200,IF(CR100&gt;25000,150,IF(CR100&gt;15000,130,IF(CR100&gt;10000,110,0)))))</f>
        <v>200</v>
      </c>
      <c r="CV100">
        <f>CR100-CS100-CT100-CU100</f>
        <v>42650</v>
      </c>
      <c r="CW100">
        <f>_xlfn.XLOOKUP(B100,'[10]december-2025'!$A:$A,'[10]december-2025'!$C:$C,0,0)</f>
        <v>34500</v>
      </c>
      <c r="CX100">
        <f>ROUND(CW100*0.18,0)</f>
        <v>6210</v>
      </c>
      <c r="CY100">
        <f>ROUND(CW100*0.12,0)</f>
        <v>4140</v>
      </c>
      <c r="CZ100">
        <f>_xlfn.XLOOKUP(B100,'[10]december-2025'!$A:$A,'[10]december-2025'!$D:$D,0,0)</f>
        <v>0</v>
      </c>
      <c r="DA100">
        <f>_xlfn.XLOOKUP(B100,'[10]december-2025'!$A:$A,'[10]december-2025'!$G:$G,0,0)</f>
        <v>500</v>
      </c>
      <c r="DB100">
        <f>IF(CW100&gt;0,SUM(CW100:DA100),0)</f>
        <v>45350</v>
      </c>
      <c r="DC100">
        <f>_xlfn.XLOOKUP(B100,'[10]december-2025'!$A:$A,'[10]december-2025'!$H:$H,0,0)</f>
        <v>2500</v>
      </c>
      <c r="DD100">
        <f>_xlfn.XLOOKUP(B100,'[10]december-2025'!$A:$A,'[10]december-2025'!$I:$I,0,0)</f>
        <v>0</v>
      </c>
      <c r="DE100">
        <f>IF($F100="YES",0,IF(DB100&gt;40000,200,IF(DB100&gt;25000,150,IF(DB100&gt;15000,130,IF(DB100&gt;10000,110,0)))))</f>
        <v>200</v>
      </c>
      <c r="DF100">
        <f>DB100-DC100-DD100-DE100</f>
        <v>42650</v>
      </c>
      <c r="DG100">
        <f>_xlfn.XLOOKUP(B100,'[11]january-2026'!$A:$A,'[11]january-2026'!$C:$C,0,0)</f>
        <v>34500</v>
      </c>
      <c r="DH100">
        <f>DG100*0.18</f>
        <v>6210</v>
      </c>
      <c r="DI100">
        <f>DG100*0.12</f>
        <v>4140</v>
      </c>
      <c r="DJ100">
        <f>_xlfn.XLOOKUP(B100,'[11]january-2026'!$A:$A,'[11]january-2026'!$D:$D,0,0)</f>
        <v>0</v>
      </c>
      <c r="DK100">
        <f>_xlfn.XLOOKUP(B100,'[11]january-2026'!$A:$A,'[11]january-2026'!$G:$G,0,0)</f>
        <v>500</v>
      </c>
      <c r="DL100">
        <f>IF(DG100&gt;0,SUM(DG100:DK100),0)</f>
        <v>45350</v>
      </c>
      <c r="DM100">
        <f>_xlfn.XLOOKUP(B100,'[11]january-2026'!$A:$A,'[11]january-2026'!$H:$H,0,0)</f>
        <v>2500</v>
      </c>
      <c r="DN100">
        <f>_xlfn.XLOOKUP(B100,'[11]january-2026'!$A:$A,'[11]january-2026'!$I:$I,0,0)</f>
        <v>0</v>
      </c>
      <c r="DO100">
        <f>IF($F100="YES",0,IF(DL100&gt;40000,200,IF(DL100&gt;25000,150,IF(DL100&gt;15000,130,IF(DL100&gt;10000,110,0)))))</f>
        <v>200</v>
      </c>
      <c r="DP100">
        <f>DL100-DM100-DN100-DO100</f>
        <v>42650</v>
      </c>
      <c r="DQ100">
        <f>_xlfn.XLOOKUP(B100,'[12]february-2026'!$A:$A,'[12]february-2026'!$C:$C,0,0)</f>
        <v>34500</v>
      </c>
      <c r="DR100">
        <f>DQ100*0.18</f>
        <v>6210</v>
      </c>
      <c r="DS100">
        <f>DQ100*0.12</f>
        <v>4140</v>
      </c>
      <c r="DT100">
        <f>_xlfn.XLOOKUP(B100,'[12]february-2026'!$A:$A,'[12]february-2026'!$D:$D,0,0)</f>
        <v>0</v>
      </c>
      <c r="DU100">
        <f>_xlfn.XLOOKUP(B100,'[12]february-2026'!$A:$A,'[12]february-2026'!$G:$G,0,0)</f>
        <v>500</v>
      </c>
      <c r="DV100">
        <f>IF(DQ100&gt;0,SUM(DQ100:DU100),0)</f>
        <v>45350</v>
      </c>
      <c r="DW100">
        <f>_xlfn.XLOOKUP(B100,'[12]february-2026'!$A:$A,'[12]february-2026'!$H:$H,0,0)</f>
        <v>2500</v>
      </c>
      <c r="DX100">
        <f>_xlfn.XLOOKUP(B100,'[12]february-2026'!$A:$A,'[12]february-2026'!$I:$I,0,0)</f>
        <v>0</v>
      </c>
      <c r="DY100">
        <f>IF($F100="YES",0,IF(DV100&gt;40000,200,IF(DV100&gt;25000,150,IF(DV100&gt;15000,130,IF(DV100&gt;10000,110,0)))))</f>
        <v>200</v>
      </c>
      <c r="DZ100">
        <f>DV100-DW100-DX100-DY100</f>
        <v>42650</v>
      </c>
      <c r="EA100">
        <f>DV100+DL100+DB100+CR100+CH100+BX100+BN100+BD100+AS100+AI100+Y100+O100+H100+I100</f>
        <v>544460</v>
      </c>
      <c r="EB100">
        <f>DY100+DO100+DE100+CU100+CK100+CA100+BQ100+BG100+AV100+AL100+AB100+R100</f>
        <v>2400</v>
      </c>
      <c r="EC100">
        <f>IF(EA100&gt;0,50000,0)</f>
        <v>50000</v>
      </c>
      <c r="ED100">
        <v>0</v>
      </c>
      <c r="EE100">
        <f>EA100-EB100-EC100</f>
        <v>492060</v>
      </c>
      <c r="EF100">
        <f>DW100+DM100+DC100+CS100+CI100+BY100+BO100+BE100+AT100+AJ100+Z100+P100</f>
        <v>30000</v>
      </c>
      <c r="EG100">
        <f>DX100+DN100+DD100+CT100+CJ100+BZ100+BP100+BF100+AU100+AK100+AA100+Q100</f>
        <v>0</v>
      </c>
      <c r="EH100">
        <v>0</v>
      </c>
      <c r="EI100">
        <v>0</v>
      </c>
      <c r="EJ100">
        <v>0</v>
      </c>
      <c r="EK100">
        <v>0</v>
      </c>
      <c r="EL100">
        <v>0</v>
      </c>
      <c r="EM100">
        <v>0</v>
      </c>
      <c r="EN100">
        <v>0</v>
      </c>
      <c r="EO100">
        <v>0</v>
      </c>
      <c r="EP100">
        <v>0</v>
      </c>
      <c r="EQ100">
        <v>0</v>
      </c>
      <c r="ER100">
        <f>SUM(EF100:EQ100)</f>
        <v>30000</v>
      </c>
      <c r="ES100">
        <f>IF(ER100&gt;=150000,150000,ER100)</f>
        <v>30000</v>
      </c>
      <c r="ET100">
        <f>EE100-ES100</f>
        <v>462060</v>
      </c>
      <c r="EU100">
        <v>0</v>
      </c>
      <c r="EV100">
        <v>0</v>
      </c>
      <c r="EW100">
        <v>0</v>
      </c>
      <c r="EX100">
        <v>0</v>
      </c>
      <c r="EY100">
        <v>0</v>
      </c>
      <c r="EZ100">
        <v>0</v>
      </c>
      <c r="FA100">
        <v>0</v>
      </c>
      <c r="FB100">
        <f>SUM(EU100:FA100)+(IF(F100="YES",50000,0))</f>
        <v>0</v>
      </c>
      <c r="FC100">
        <f>ET100-FB100</f>
        <v>462060</v>
      </c>
      <c r="FD100">
        <f>ROUND(IF(FC100&gt;0,IF(FC100&gt;500000,12500,(FC100-250000)*0.05),0),0)</f>
        <v>10603</v>
      </c>
      <c r="FE100">
        <f>IF(ROUND(IF(FC100&gt;0,IF(FC100&gt;1000000,25000,(FC100-500000)*0.2),0),0)&lt;0,0,ROUND(IF(FC100&gt;0,IF(FC100&gt;1000000,25000,(FC100-500000)*0.2),0),0))</f>
        <v>0</v>
      </c>
      <c r="FF100">
        <f>FD100+FE100</f>
        <v>10603</v>
      </c>
      <c r="FG100">
        <f>IF(FF100&lt;12500,0,FF100)</f>
        <v>0</v>
      </c>
      <c r="FH100">
        <f>FG100*0.04</f>
        <v>0</v>
      </c>
      <c r="FI100">
        <f>ROUND(FH100+FG100,0)</f>
        <v>0</v>
      </c>
      <c r="FJ100">
        <v>0</v>
      </c>
      <c r="FK100">
        <f>FI100-FJ100</f>
        <v>0</v>
      </c>
      <c r="FL100" t="b">
        <f>IF(EA100&gt;500000,TRUE,FALSE)</f>
        <v>1</v>
      </c>
      <c r="FM100">
        <f ca="1">IF(FL100,RANDBETWEEN(500,1000),RANDBETWEEN(1000,3000))</f>
        <v>530</v>
      </c>
      <c r="FN100">
        <f ca="1">EA100+FM100</f>
        <v>544990</v>
      </c>
      <c r="FO100">
        <f>IF(EA100&gt;0,75000,0)</f>
        <v>75000</v>
      </c>
      <c r="FP100">
        <f ca="1">FN100-FO100</f>
        <v>469990</v>
      </c>
      <c r="FQ100">
        <f ca="1">IF(FP100&gt;2400000,FP100-2400000,0)</f>
        <v>0</v>
      </c>
      <c r="FR100">
        <f ca="1">FQ100*0.3</f>
        <v>0</v>
      </c>
      <c r="FS100">
        <f ca="1">IF(FP100&gt;2000000,FP100-2000000,0)</f>
        <v>0</v>
      </c>
      <c r="FT100">
        <f ca="1">FS100*0.25</f>
        <v>0</v>
      </c>
      <c r="FU100">
        <f ca="1">IF(FP100&gt;1600000,FP100-1600000-FQ100,0)</f>
        <v>0</v>
      </c>
      <c r="FV100">
        <f ca="1">FU100*0.2</f>
        <v>0</v>
      </c>
      <c r="FW100">
        <f ca="1">IF(FP100&gt;1200000,FP100-1200000-IF(F100="YES",50000,0)-FU100,0)</f>
        <v>0</v>
      </c>
      <c r="FX100">
        <f ca="1">FW100*0.15</f>
        <v>0</v>
      </c>
      <c r="FY100">
        <f ca="1">IF(FP100&gt;800000,FP100-800000-FQ100-FU100-FW100,0)</f>
        <v>0</v>
      </c>
      <c r="FZ100">
        <f ca="1">FY100*0.1</f>
        <v>0</v>
      </c>
      <c r="GA100">
        <f ca="1">IF(FP100&gt;400000,FP100-400000-FQ100-FU100-FW100-FY100,0)</f>
        <v>69990</v>
      </c>
      <c r="GB100">
        <f ca="1">GA100*0.05</f>
        <v>3499.5</v>
      </c>
      <c r="GC100">
        <f ca="1">ROUND(FR100+FT100+FV100+FX100+FZ100+GB100,0)</f>
        <v>3500</v>
      </c>
      <c r="GD100">
        <f ca="1">IF(FP100&gt;1200000,FP100,0)</f>
        <v>0</v>
      </c>
      <c r="GE100">
        <f ca="1">IF(FP100&gt;1200000,GD100-1200000,0)</f>
        <v>0</v>
      </c>
      <c r="GF100">
        <f ca="1">IF(FP100&lt;1200001,MIN(GC100,60000),0)</f>
        <v>3500</v>
      </c>
      <c r="GG100">
        <f ca="1">IF(FP100&gt;1200000,GC100-GE100,0)</f>
        <v>0</v>
      </c>
      <c r="GH100" t="b">
        <f ca="1">IF(GG100&gt;0,TRUE,FALSE)</f>
        <v>0</v>
      </c>
      <c r="GI100">
        <f ca="1">IF(GH100,GG100,0)</f>
        <v>0</v>
      </c>
      <c r="GJ100">
        <f ca="1">GF100+GI100</f>
        <v>3500</v>
      </c>
      <c r="GK100">
        <f ca="1">ROUND(GC100-GJ100,0)</f>
        <v>0</v>
      </c>
      <c r="GL100">
        <f ca="1">GK100*0.04</f>
        <v>0</v>
      </c>
      <c r="GM100">
        <f ca="1">ROUNDUP(GK100+GL100,0)</f>
        <v>0</v>
      </c>
    </row>
    <row r="101" spans="1:195" x14ac:dyDescent="0.25">
      <c r="A101">
        <f>_xlfn.AGGREGATE(3,5,$B$2:B101)</f>
        <v>100</v>
      </c>
      <c r="B101" t="s">
        <v>319</v>
      </c>
      <c r="C101" t="s">
        <v>320</v>
      </c>
      <c r="D101" t="s">
        <v>779</v>
      </c>
      <c r="E101" t="s">
        <v>833</v>
      </c>
      <c r="F101" t="s">
        <v>959</v>
      </c>
      <c r="G101" t="s">
        <v>901</v>
      </c>
      <c r="H101">
        <f>IF(_xlfn.DAYS("31-03-2025",G101)&gt;=180,6800,0)</f>
        <v>6800</v>
      </c>
      <c r="I101">
        <f>_xlfn.XLOOKUP(B101,'[1]march-2025'!$A:$A,'[1]march-2025'!$J:$J,0,0)</f>
        <v>0</v>
      </c>
      <c r="J101">
        <f>_xlfn.XLOOKUP(B101,'[1]march-2025'!$A:$A,'[1]march-2025'!$C:$C,0,0)</f>
        <v>48700</v>
      </c>
      <c r="K101">
        <f>J101*0.14</f>
        <v>6818.0000000000009</v>
      </c>
      <c r="L101">
        <f>J101*0.12</f>
        <v>5844</v>
      </c>
      <c r="M101">
        <f>_xlfn.XLOOKUP(B101,'[1]march-2025'!$A:$A,'[1]march-2025'!$D:$D,0,0)</f>
        <v>400</v>
      </c>
      <c r="N101">
        <f>_xlfn.XLOOKUP(B101,'[1]march-2025'!$A:$A,'[1]march-2025'!$G:$G,0,0)</f>
        <v>500</v>
      </c>
      <c r="O101">
        <f>IF(J101&gt;0,SUM(J101:N101),0)</f>
        <v>62262</v>
      </c>
      <c r="P101">
        <f>_xlfn.XLOOKUP(B101,'[1]march-2025'!$A:$A,'[1]march-2025'!$H:$H,0,0)</f>
        <v>5000</v>
      </c>
      <c r="Q101">
        <f>_xlfn.XLOOKUP(B101,'[1]march-2025'!$A:$A,'[1]march-2025'!$I:$I,0,0)</f>
        <v>60</v>
      </c>
      <c r="R101">
        <f>IF($F101="YES",0,IF(O101&gt;40000,200,IF(O101&gt;25000,150,IF(O101&gt;15000,130,IF(O101&gt;10000,110,0)))))</f>
        <v>200</v>
      </c>
      <c r="S101">
        <f>O101-P101-Q101-R101</f>
        <v>57002</v>
      </c>
      <c r="T101">
        <f>_xlfn.XLOOKUP(B101,'[2]april-2025'!$A:$A,'[2]april-2025'!$C:$C,0,0)</f>
        <v>48700</v>
      </c>
      <c r="U101">
        <f>T101*0.18</f>
        <v>8766</v>
      </c>
      <c r="V101">
        <f>T101*0.12</f>
        <v>5844</v>
      </c>
      <c r="W101">
        <f>_xlfn.XLOOKUP(B101,'[2]april-2025'!$A:$A,'[2]april-2025'!$D:$D,0,0)</f>
        <v>400</v>
      </c>
      <c r="X101">
        <f>_xlfn.XLOOKUP(B101,'[2]april-2025'!$A:$A,'[2]april-2025'!$G:$G,0,0)</f>
        <v>500</v>
      </c>
      <c r="Y101">
        <f>IF(T101&gt;0,SUM(T101:X101),0)</f>
        <v>64210</v>
      </c>
      <c r="Z101">
        <f>_xlfn.XLOOKUP(B101,'[2]april-2025'!$A:$A,'[2]april-2025'!$H:$H,0,0)</f>
        <v>5000</v>
      </c>
      <c r="AA101">
        <f>_xlfn.XLOOKUP(B101,'[2]april-2025'!$A:$A,'[2]april-2025'!$I:$I,0,0)</f>
        <v>60</v>
      </c>
      <c r="AB101">
        <f>IF($F101="YES",0,IF(Y101&gt;40000,200,IF(Y101&gt;25000,150,IF(Y101&gt;15000,130,IF(Y101&gt;10000,110,0)))))</f>
        <v>200</v>
      </c>
      <c r="AC101">
        <f>Y101-Z101-AA101-AB101</f>
        <v>58950</v>
      </c>
      <c r="AD101">
        <f>_xlfn.XLOOKUP(B101,'[3]may-2025'!$A:$A,'[3]may-2025'!$C:$C,0,0)</f>
        <v>48700</v>
      </c>
      <c r="AE101">
        <f>AD101*0.18</f>
        <v>8766</v>
      </c>
      <c r="AF101">
        <f>AD101*0.12</f>
        <v>5844</v>
      </c>
      <c r="AG101">
        <f>_xlfn.XLOOKUP(B101,'[3]may-2025'!$A:$A,'[3]may-2025'!$D:$D,0,0)</f>
        <v>400</v>
      </c>
      <c r="AH101">
        <f>_xlfn.XLOOKUP(B101,'[3]may-2025'!$A:$A,'[3]may-2025'!$G:$G,0,0)</f>
        <v>500</v>
      </c>
      <c r="AI101">
        <f>IF(AD101&gt;0,SUM(AD101:AH101),0)</f>
        <v>64210</v>
      </c>
      <c r="AJ101">
        <f>_xlfn.XLOOKUP(B101,'[3]may-2025'!$A:$A,'[3]may-2025'!$H:$H,0,0)</f>
        <v>5000</v>
      </c>
      <c r="AK101">
        <f>_xlfn.XLOOKUP(B101,'[3]may-2025'!$A:$A,'[3]may-2025'!$I:$I,0,0)</f>
        <v>60</v>
      </c>
      <c r="AL101">
        <f>IF($F101="YES",0,IF(AI101&gt;40000,200,IF(AI101&gt;25000,150,IF(AI101&gt;15000,130,IF(AI101&gt;10000,110,0)))))</f>
        <v>200</v>
      </c>
      <c r="AM101">
        <f>AI101-AJ101-AK101-AL101</f>
        <v>58950</v>
      </c>
      <c r="AN101">
        <f>_xlfn.XLOOKUP(B101,'[4]june-2025'!$A:$A,'[4]june-2025'!$C:$C,0,0)</f>
        <v>48700</v>
      </c>
      <c r="AO101">
        <f>AN101*0.18</f>
        <v>8766</v>
      </c>
      <c r="AP101">
        <f>AN101*0.12</f>
        <v>5844</v>
      </c>
      <c r="AQ101">
        <f>_xlfn.XLOOKUP(B101,'[4]june-2025'!$A:$A,'[4]june-2025'!$D:$D,0,0)</f>
        <v>400</v>
      </c>
      <c r="AR101">
        <f>_xlfn.XLOOKUP(B101,'[4]june-2025'!$A:$A,'[4]june-2025'!$G:$G,0,0)</f>
        <v>500</v>
      </c>
      <c r="AS101">
        <f>IF(AN101&gt;0,SUM(AN101:AR101),0)</f>
        <v>64210</v>
      </c>
      <c r="AT101">
        <f>_xlfn.XLOOKUP(B101,'[4]june-2025'!$A:$A,'[4]june-2025'!$H:$H,0,0)</f>
        <v>5000</v>
      </c>
      <c r="AU101">
        <f>_xlfn.XLOOKUP(B101,'[4]june-2025'!$A:$A,'[4]june-2025'!$I:$I,0,0)</f>
        <v>60</v>
      </c>
      <c r="AV101">
        <f>IF($F101="YES",0,IF(AS101&gt;40000,200,IF(AS101&gt;25000,150,IF(AS101&gt;15000,130,IF(AS101&gt;10000,110,0)))))</f>
        <v>200</v>
      </c>
      <c r="AW101">
        <f>AS101-AT101-AU101-AV101</f>
        <v>58950</v>
      </c>
      <c r="AX101">
        <f>_xlfn.XLOOKUP(B101,'[5]july-2025'!$A:$A,'[5]july-2025'!$C:$C,0,0)</f>
        <v>51700</v>
      </c>
      <c r="AY101">
        <f>AX101*0.18</f>
        <v>9306</v>
      </c>
      <c r="AZ101">
        <v>0</v>
      </c>
      <c r="BA101">
        <f>AX101*0.12</f>
        <v>6204</v>
      </c>
      <c r="BB101">
        <f>_xlfn.XLOOKUP(B101,'[5]july-2025'!$A:$A,'[5]july-2025'!$D:$D,0,0)</f>
        <v>400</v>
      </c>
      <c r="BC101">
        <f>_xlfn.XLOOKUP(B101,'[5]july-2025'!$A:$A,'[5]july-2025'!$G:$G,0,0)</f>
        <v>500</v>
      </c>
      <c r="BD101">
        <f>IF(AX101&gt;0,SUM(AX101:BC101),0)</f>
        <v>68110</v>
      </c>
      <c r="BE101">
        <f>_xlfn.XLOOKUP(B101,'[5]july-2025'!$A:$A,'[5]july-2025'!$H:$H,0,0)</f>
        <v>5000</v>
      </c>
      <c r="BF101">
        <f>_xlfn.XLOOKUP(B101,'[5]july-2025'!$A:$A,'[5]july-2025'!$I:$I,0,0)</f>
        <v>60</v>
      </c>
      <c r="BG101">
        <f>IF($F101="YES",0,IF(BD101&gt;40000,200,IF(BD101&gt;25000,150,IF(BD101&gt;15000,130,IF(BD101&gt;10000,110,0)))))</f>
        <v>200</v>
      </c>
      <c r="BH101">
        <f>BD101-BE101-BF101-BG101</f>
        <v>62850</v>
      </c>
      <c r="BI101">
        <f>_xlfn.XLOOKUP(B101,'[6]august-2025'!$A:$A,'[6]august-2025'!$C:$C,0,0)</f>
        <v>51700</v>
      </c>
      <c r="BJ101">
        <f>BI101*0.18</f>
        <v>9306</v>
      </c>
      <c r="BK101">
        <f>BI101*0.12</f>
        <v>6204</v>
      </c>
      <c r="BL101">
        <f>_xlfn.XLOOKUP(B101,'[6]august-2025'!$A:$A,'[6]august-2025'!$D:$D,0,0)</f>
        <v>400</v>
      </c>
      <c r="BM101">
        <f>_xlfn.XLOOKUP(B101,'[6]august-2025'!$A:$A,'[6]august-2025'!$G:$G,0,0)</f>
        <v>500</v>
      </c>
      <c r="BN101">
        <f>IF(BI101&gt;0,SUM(BI101:BM101),0)</f>
        <v>68110</v>
      </c>
      <c r="BO101">
        <f>_xlfn.XLOOKUP(B101,'[6]august-2025'!$A:$A,'[6]august-2025'!$H:$H,0,0)</f>
        <v>5000</v>
      </c>
      <c r="BP101">
        <f>_xlfn.XLOOKUP(B101,'[6]august-2025'!$A:$A,'[6]august-2025'!$I:$I,0,0)</f>
        <v>60</v>
      </c>
      <c r="BQ101">
        <f>IF($F101="YES",0,IF(BN101&gt;40000,200,IF(BN101&gt;25000,150,IF(BN101&gt;15000,130,IF(BN101&gt;10000,110,0)))))</f>
        <v>200</v>
      </c>
      <c r="BR101">
        <f>BN101-BO101-BP101-BQ101</f>
        <v>62850</v>
      </c>
      <c r="BS101">
        <f>_xlfn.XLOOKUP(B101,'[7]september-2025'!$A:$A,'[7]september-2025'!$C:$C,0,0)</f>
        <v>51700</v>
      </c>
      <c r="BT101">
        <f>BS101*0.18</f>
        <v>9306</v>
      </c>
      <c r="BU101">
        <f>BS101*0.12</f>
        <v>6204</v>
      </c>
      <c r="BV101">
        <f>_xlfn.XLOOKUP(B101,'[7]september-2025'!$A:$A,'[7]september-2025'!$D:$D,0,0)</f>
        <v>400</v>
      </c>
      <c r="BW101">
        <f>_xlfn.XLOOKUP(B101,'[7]september-2025'!$A:$A,'[7]september-2025'!$G:$G,0,0)</f>
        <v>500</v>
      </c>
      <c r="BX101">
        <f>IF(BS101&gt;0,SUM(BS101:BW101),0)</f>
        <v>68110</v>
      </c>
      <c r="BY101">
        <f>_xlfn.XLOOKUP(B101,'[7]september-2025'!$A:$A,'[7]september-2025'!$H:$H,0,0)</f>
        <v>5000</v>
      </c>
      <c r="BZ101">
        <f>_xlfn.XLOOKUP(B101,'[7]september-2025'!$A:$A,'[7]september-2025'!$I:$I,0,0)</f>
        <v>60</v>
      </c>
      <c r="CA101">
        <f>IF($F101="YES",0,IF(BX101&gt;40000,200,IF(BX101&gt;25000,150,IF(BX101&gt;15000,130,IF(BX101&gt;10000,110,0)))))</f>
        <v>200</v>
      </c>
      <c r="CB101">
        <f>BX101-BY101-BZ101-CA101</f>
        <v>62850</v>
      </c>
      <c r="CC101">
        <f>_xlfn.XLOOKUP(B101,'[8]october-2025'!$A:$A,'[8]october-2025'!$C:$C,0,0)</f>
        <v>51700</v>
      </c>
      <c r="CD101">
        <f>CC101*0.18</f>
        <v>9306</v>
      </c>
      <c r="CE101">
        <f>CC101*0.12</f>
        <v>6204</v>
      </c>
      <c r="CF101">
        <f>_xlfn.XLOOKUP(B101,'[8]october-2025'!$A:$A,'[8]october-2025'!$D:$D,0,0)</f>
        <v>400</v>
      </c>
      <c r="CG101">
        <f>_xlfn.XLOOKUP(B101,'[8]october-2025'!$A:$A,'[8]october-2025'!$G:$G,0,0)</f>
        <v>500</v>
      </c>
      <c r="CH101">
        <f>IF(CC101&gt;0,SUM(CC101:CG101),0)</f>
        <v>68110</v>
      </c>
      <c r="CI101">
        <f>_xlfn.XLOOKUP(B101,'[8]october-2025'!$A:$A,'[8]october-2025'!$H:$H,0,0)</f>
        <v>5000</v>
      </c>
      <c r="CJ101">
        <f>_xlfn.XLOOKUP(B101,'[8]october-2025'!$A:$A,'[8]october-2025'!$I:$I,0,0)</f>
        <v>60</v>
      </c>
      <c r="CK101">
        <f>IF($F101="YES",0,IF(CH101&gt;40000,200,IF(CH101&gt;25000,150,IF(CH101&gt;15000,130,IF(CH101&gt;10000,110,0)))))</f>
        <v>200</v>
      </c>
      <c r="CL101">
        <f>CH101-CI101-CJ101-CK101</f>
        <v>62850</v>
      </c>
      <c r="CM101">
        <f>_xlfn.XLOOKUP(B101,'[9]november-2025'!$A:$A,'[9]november-2025'!$C:$C,0,0)</f>
        <v>51700</v>
      </c>
      <c r="CN101">
        <f>CM101*0.18</f>
        <v>9306</v>
      </c>
      <c r="CO101">
        <f>CM101*0.12</f>
        <v>6204</v>
      </c>
      <c r="CP101">
        <f>_xlfn.XLOOKUP(B101,'[9]november-2025'!$A:$A,'[9]november-2025'!$D:$D,0,0)</f>
        <v>400</v>
      </c>
      <c r="CQ101">
        <f>_xlfn.XLOOKUP(B101,'[9]november-2025'!$A:$A,'[9]november-2025'!$G:$G,0,0)</f>
        <v>500</v>
      </c>
      <c r="CR101">
        <f>IF(CM101&gt;0,SUM(CM101:CQ101),0)</f>
        <v>68110</v>
      </c>
      <c r="CS101">
        <f>_xlfn.XLOOKUP(B101,'[9]november-2025'!$A:$A,'[9]november-2025'!$H:$H,0,0)</f>
        <v>5000</v>
      </c>
      <c r="CT101">
        <f>_xlfn.XLOOKUP(B101,'[9]november-2025'!$A:$A,'[9]november-2025'!$I:$I,0,0)</f>
        <v>60</v>
      </c>
      <c r="CU101">
        <f>IF($F101="YES",0,IF(CR101&gt;40000,200,IF(CR101&gt;25000,150,IF(CR101&gt;15000,130,IF(CR101&gt;10000,110,0)))))</f>
        <v>200</v>
      </c>
      <c r="CV101">
        <f>CR101-CS101-CT101-CU101</f>
        <v>62850</v>
      </c>
      <c r="CW101">
        <f>_xlfn.XLOOKUP(B101,'[10]december-2025'!$A:$A,'[10]december-2025'!$C:$C,0,0)</f>
        <v>51700</v>
      </c>
      <c r="CX101">
        <f>ROUND(CW101*0.18,0)</f>
        <v>9306</v>
      </c>
      <c r="CY101">
        <f>ROUND(CW101*0.12,0)</f>
        <v>6204</v>
      </c>
      <c r="CZ101">
        <f>_xlfn.XLOOKUP(B101,'[10]december-2025'!$A:$A,'[10]december-2025'!$D:$D,0,0)</f>
        <v>400</v>
      </c>
      <c r="DA101">
        <f>_xlfn.XLOOKUP(B101,'[10]december-2025'!$A:$A,'[10]december-2025'!$G:$G,0,0)</f>
        <v>500</v>
      </c>
      <c r="DB101">
        <f>IF(CW101&gt;0,SUM(CW101:DA101),0)</f>
        <v>68110</v>
      </c>
      <c r="DC101">
        <f>_xlfn.XLOOKUP(B101,'[10]december-2025'!$A:$A,'[10]december-2025'!$H:$H,0,0)</f>
        <v>5000</v>
      </c>
      <c r="DD101">
        <f>_xlfn.XLOOKUP(B101,'[10]december-2025'!$A:$A,'[10]december-2025'!$I:$I,0,0)</f>
        <v>60</v>
      </c>
      <c r="DE101">
        <f>IF($F101="YES",0,IF(DB101&gt;40000,200,IF(DB101&gt;25000,150,IF(DB101&gt;15000,130,IF(DB101&gt;10000,110,0)))))</f>
        <v>200</v>
      </c>
      <c r="DF101">
        <f>DB101-DC101-DD101-DE101</f>
        <v>62850</v>
      </c>
      <c r="DG101">
        <f>_xlfn.XLOOKUP(B101,'[11]january-2026'!$A:$A,'[11]january-2026'!$C:$C,0,0)</f>
        <v>51700</v>
      </c>
      <c r="DH101">
        <f>DG101*0.18</f>
        <v>9306</v>
      </c>
      <c r="DI101">
        <f>DG101*0.12</f>
        <v>6204</v>
      </c>
      <c r="DJ101">
        <f>_xlfn.XLOOKUP(B101,'[11]january-2026'!$A:$A,'[11]january-2026'!$D:$D,0,0)</f>
        <v>400</v>
      </c>
      <c r="DK101">
        <f>_xlfn.XLOOKUP(B101,'[11]january-2026'!$A:$A,'[11]january-2026'!$G:$G,0,0)</f>
        <v>500</v>
      </c>
      <c r="DL101">
        <f>IF(DG101&gt;0,SUM(DG101:DK101),0)</f>
        <v>68110</v>
      </c>
      <c r="DM101">
        <f>_xlfn.XLOOKUP(B101,'[11]january-2026'!$A:$A,'[11]january-2026'!$H:$H,0,0)</f>
        <v>5000</v>
      </c>
      <c r="DN101">
        <f>_xlfn.XLOOKUP(B101,'[11]january-2026'!$A:$A,'[11]january-2026'!$I:$I,0,0)</f>
        <v>60</v>
      </c>
      <c r="DO101">
        <f>IF($F101="YES",0,IF(DL101&gt;40000,200,IF(DL101&gt;25000,150,IF(DL101&gt;15000,130,IF(DL101&gt;10000,110,0)))))</f>
        <v>200</v>
      </c>
      <c r="DP101">
        <f>DL101-DM101-DN101-DO101</f>
        <v>62850</v>
      </c>
      <c r="DQ101">
        <f>_xlfn.XLOOKUP(B101,'[12]february-2026'!$A:$A,'[12]february-2026'!$C:$C,0,0)</f>
        <v>51700</v>
      </c>
      <c r="DR101">
        <f>DQ101*0.18</f>
        <v>9306</v>
      </c>
      <c r="DS101">
        <f>DQ101*0.12</f>
        <v>6204</v>
      </c>
      <c r="DT101">
        <f>_xlfn.XLOOKUP(B101,'[12]february-2026'!$A:$A,'[12]february-2026'!$D:$D,0,0)</f>
        <v>400</v>
      </c>
      <c r="DU101">
        <f>_xlfn.XLOOKUP(B101,'[12]february-2026'!$A:$A,'[12]february-2026'!$G:$G,0,0)</f>
        <v>500</v>
      </c>
      <c r="DV101">
        <f>IF(DQ101&gt;0,SUM(DQ101:DU101),0)</f>
        <v>68110</v>
      </c>
      <c r="DW101">
        <f>_xlfn.XLOOKUP(B101,'[12]february-2026'!$A:$A,'[12]february-2026'!$H:$H,0,0)</f>
        <v>5000</v>
      </c>
      <c r="DX101">
        <f>_xlfn.XLOOKUP(B101,'[12]february-2026'!$A:$A,'[12]february-2026'!$I:$I,0,0)</f>
        <v>60</v>
      </c>
      <c r="DY101">
        <f>IF($F101="YES",0,IF(DV101&gt;40000,200,IF(DV101&gt;25000,150,IF(DV101&gt;15000,130,IF(DV101&gt;10000,110,0)))))</f>
        <v>200</v>
      </c>
      <c r="DZ101">
        <f>DV101-DW101-DX101-DY101</f>
        <v>62850</v>
      </c>
      <c r="EA101">
        <f>DV101+DL101+DB101+CR101+CH101+BX101+BN101+BD101+AS101+AI101+Y101+O101+H101+I101</f>
        <v>806572</v>
      </c>
      <c r="EB101">
        <f>DY101+DO101+DE101+CU101+CK101+CA101+BQ101+BG101+AV101+AL101+AB101+R101</f>
        <v>2400</v>
      </c>
      <c r="EC101">
        <f>IF(EA101&gt;0,50000,0)</f>
        <v>50000</v>
      </c>
      <c r="ED101">
        <v>0</v>
      </c>
      <c r="EE101">
        <f>EA101-EB101-EC101</f>
        <v>754172</v>
      </c>
      <c r="EF101">
        <f>DW101+DM101+DC101+CS101+CI101+BY101+BO101+BE101+AT101+AJ101+Z101+P101</f>
        <v>60000</v>
      </c>
      <c r="EG101">
        <f>DX101+DN101+DD101+CT101+CJ101+BZ101+BP101+BF101+AU101+AK101+AA101+Q101</f>
        <v>720</v>
      </c>
      <c r="EH101">
        <v>0</v>
      </c>
      <c r="EI101">
        <v>0</v>
      </c>
      <c r="EJ101">
        <v>0</v>
      </c>
      <c r="EK101">
        <v>0</v>
      </c>
      <c r="EL101">
        <v>0</v>
      </c>
      <c r="EM101">
        <v>0</v>
      </c>
      <c r="EN101">
        <v>0</v>
      </c>
      <c r="EO101">
        <v>0</v>
      </c>
      <c r="EP101">
        <v>0</v>
      </c>
      <c r="EQ101">
        <v>0</v>
      </c>
      <c r="ER101">
        <f>SUM(EF101:EQ101)</f>
        <v>60720</v>
      </c>
      <c r="ES101">
        <f>IF(ER101&gt;=150000,150000,ER101)</f>
        <v>60720</v>
      </c>
      <c r="ET101">
        <f>EE101-ES101</f>
        <v>693452</v>
      </c>
      <c r="EU101">
        <v>0</v>
      </c>
      <c r="EV101">
        <v>0</v>
      </c>
      <c r="EW101">
        <v>0</v>
      </c>
      <c r="EX101">
        <v>0</v>
      </c>
      <c r="EY101">
        <v>0</v>
      </c>
      <c r="EZ101">
        <v>0</v>
      </c>
      <c r="FA101">
        <v>0</v>
      </c>
      <c r="FB101">
        <f>SUM(EU101:FA101)+(IF(F101="YES",50000,0))</f>
        <v>0</v>
      </c>
      <c r="FC101">
        <f>ET101-FB101</f>
        <v>693452</v>
      </c>
      <c r="FD101">
        <f>ROUND(IF(FC101&gt;0,IF(FC101&gt;500000,12500,(FC101-250000)*0.05),0),0)</f>
        <v>12500</v>
      </c>
      <c r="FE101">
        <f>IF(ROUND(IF(FC101&gt;0,IF(FC101&gt;1000000,25000,(FC101-500000)*0.2),0),0)&lt;0,0,ROUND(IF(FC101&gt;0,IF(FC101&gt;1000000,25000,(FC101-500000)*0.2),0),0))</f>
        <v>38690</v>
      </c>
      <c r="FF101">
        <f>FD101+FE101</f>
        <v>51190</v>
      </c>
      <c r="FG101">
        <f>IF(FF101&lt;12500,0,FF101)</f>
        <v>51190</v>
      </c>
      <c r="FH101">
        <f>FG101*0.04</f>
        <v>2047.6000000000001</v>
      </c>
      <c r="FI101">
        <f>ROUND(FH101+FG101,0)</f>
        <v>53238</v>
      </c>
      <c r="FJ101">
        <v>0</v>
      </c>
      <c r="FK101">
        <f>FI101-FJ101</f>
        <v>53238</v>
      </c>
      <c r="FL101" t="b">
        <f>IF(EA101&gt;500000,TRUE,FALSE)</f>
        <v>1</v>
      </c>
      <c r="FM101">
        <f ca="1">IF(FL101,RANDBETWEEN(500,1000),RANDBETWEEN(1000,3000))</f>
        <v>892</v>
      </c>
      <c r="FN101">
        <f ca="1">EA101+FM101</f>
        <v>807464</v>
      </c>
      <c r="FO101">
        <f>IF(EA101&gt;0,75000,0)</f>
        <v>75000</v>
      </c>
      <c r="FP101">
        <f ca="1">FN101-FO101</f>
        <v>732464</v>
      </c>
      <c r="FQ101">
        <f ca="1">IF(FP101&gt;2400000,FP101-2400000,0)</f>
        <v>0</v>
      </c>
      <c r="FR101">
        <f ca="1">FQ101*0.3</f>
        <v>0</v>
      </c>
      <c r="FS101">
        <f ca="1">IF(FP101&gt;2000000,FP101-2000000,0)</f>
        <v>0</v>
      </c>
      <c r="FT101">
        <f ca="1">FS101*0.25</f>
        <v>0</v>
      </c>
      <c r="FU101">
        <f ca="1">IF(FP101&gt;1600000,FP101-1600000-FQ101,0)</f>
        <v>0</v>
      </c>
      <c r="FV101">
        <f ca="1">FU101*0.2</f>
        <v>0</v>
      </c>
      <c r="FW101">
        <f ca="1">IF(FP101&gt;1200000,FP101-1200000-IF(F101="YES",50000,0)-FU101,0)</f>
        <v>0</v>
      </c>
      <c r="FX101">
        <f ca="1">FW101*0.15</f>
        <v>0</v>
      </c>
      <c r="FY101">
        <f ca="1">IF(FP101&gt;800000,FP101-800000-FQ101-FU101-FW101,0)</f>
        <v>0</v>
      </c>
      <c r="FZ101">
        <f ca="1">FY101*0.1</f>
        <v>0</v>
      </c>
      <c r="GA101">
        <f ca="1">IF(FP101&gt;400000,FP101-400000-FQ101-FU101-FW101-FY101,0)</f>
        <v>332464</v>
      </c>
      <c r="GB101">
        <f ca="1">GA101*0.05</f>
        <v>16623.2</v>
      </c>
      <c r="GC101">
        <f ca="1">ROUND(FR101+FT101+FV101+FX101+FZ101+GB101,0)</f>
        <v>16623</v>
      </c>
      <c r="GD101">
        <f ca="1">IF(FP101&gt;1200000,FP101,0)</f>
        <v>0</v>
      </c>
      <c r="GE101">
        <f ca="1">IF(FP101&gt;1200000,GD101-1200000,0)</f>
        <v>0</v>
      </c>
      <c r="GF101">
        <f ca="1">IF(FP101&lt;1200001,MIN(GC101,60000),0)</f>
        <v>16623</v>
      </c>
      <c r="GG101">
        <f ca="1">IF(FP101&gt;1200000,GC101-GE101,0)</f>
        <v>0</v>
      </c>
      <c r="GH101" t="b">
        <f ca="1">IF(GG101&gt;0,TRUE,FALSE)</f>
        <v>0</v>
      </c>
      <c r="GI101">
        <f ca="1">IF(GH101,GG101,0)</f>
        <v>0</v>
      </c>
      <c r="GJ101">
        <f ca="1">GF101+GI101</f>
        <v>16623</v>
      </c>
      <c r="GK101">
        <f ca="1">ROUND(GC101-GJ101,0)</f>
        <v>0</v>
      </c>
      <c r="GL101">
        <f ca="1">GK101*0.04</f>
        <v>0</v>
      </c>
      <c r="GM101">
        <f ca="1">ROUNDUP(GK101+GL101,0)</f>
        <v>0</v>
      </c>
    </row>
    <row r="102" spans="1:195" x14ac:dyDescent="0.25">
      <c r="A102">
        <f>_xlfn.AGGREGATE(3,5,$B$2:B102)</f>
        <v>101</v>
      </c>
      <c r="B102" t="s">
        <v>321</v>
      </c>
      <c r="C102" t="s">
        <v>322</v>
      </c>
      <c r="D102" t="s">
        <v>779</v>
      </c>
      <c r="E102" t="s">
        <v>833</v>
      </c>
      <c r="F102" t="s">
        <v>959</v>
      </c>
      <c r="G102" t="s">
        <v>881</v>
      </c>
      <c r="H102">
        <f>IF(_xlfn.DAYS("31-03-2025",G102)&gt;=180,6800,0)</f>
        <v>6800</v>
      </c>
      <c r="I102">
        <f>_xlfn.XLOOKUP(B102,'[1]march-2025'!$A:$A,'[1]march-2025'!$J:$J,0,0)</f>
        <v>0</v>
      </c>
      <c r="J102">
        <f>_xlfn.XLOOKUP(B102,'[1]march-2025'!$A:$A,'[1]march-2025'!$C:$C,0,0)</f>
        <v>31600</v>
      </c>
      <c r="K102">
        <f>J102*0.14</f>
        <v>4424</v>
      </c>
      <c r="L102">
        <f>J102*0.12</f>
        <v>3792</v>
      </c>
      <c r="M102">
        <f>_xlfn.XLOOKUP(B102,'[1]march-2025'!$A:$A,'[1]march-2025'!$D:$D,0,0)</f>
        <v>0</v>
      </c>
      <c r="N102">
        <f>_xlfn.XLOOKUP(B102,'[1]march-2025'!$A:$A,'[1]march-2025'!$G:$G,0,0)</f>
        <v>500</v>
      </c>
      <c r="O102">
        <f>IF(J102&gt;0,SUM(J102:N102),0)</f>
        <v>40316</v>
      </c>
      <c r="P102">
        <f>_xlfn.XLOOKUP(B102,'[1]march-2025'!$A:$A,'[1]march-2025'!$H:$H,0,0)</f>
        <v>2000</v>
      </c>
      <c r="Q102">
        <f>_xlfn.XLOOKUP(B102,'[1]march-2025'!$A:$A,'[1]march-2025'!$I:$I,0,0)</f>
        <v>0</v>
      </c>
      <c r="R102">
        <f>IF($F102="YES",0,IF(O102&gt;40000,200,IF(O102&gt;25000,150,IF(O102&gt;15000,130,IF(O102&gt;10000,110,0)))))</f>
        <v>200</v>
      </c>
      <c r="S102">
        <f>O102-P102-Q102-R102</f>
        <v>38116</v>
      </c>
      <c r="T102">
        <f>_xlfn.XLOOKUP(B102,'[2]april-2025'!$A:$A,'[2]april-2025'!$C:$C,0,0)</f>
        <v>31600</v>
      </c>
      <c r="U102">
        <f>T102*0.18</f>
        <v>5688</v>
      </c>
      <c r="V102">
        <f>T102*0.12</f>
        <v>3792</v>
      </c>
      <c r="W102">
        <f>_xlfn.XLOOKUP(B102,'[2]april-2025'!$A:$A,'[2]april-2025'!$D:$D,0,0)</f>
        <v>0</v>
      </c>
      <c r="X102">
        <f>_xlfn.XLOOKUP(B102,'[2]april-2025'!$A:$A,'[2]april-2025'!$G:$G,0,0)</f>
        <v>500</v>
      </c>
      <c r="Y102">
        <f>IF(T102&gt;0,SUM(T102:X102),0)</f>
        <v>41580</v>
      </c>
      <c r="Z102">
        <f>_xlfn.XLOOKUP(B102,'[2]april-2025'!$A:$A,'[2]april-2025'!$H:$H,0,0)</f>
        <v>2000</v>
      </c>
      <c r="AA102">
        <f>_xlfn.XLOOKUP(B102,'[2]april-2025'!$A:$A,'[2]april-2025'!$I:$I,0,0)</f>
        <v>0</v>
      </c>
      <c r="AB102">
        <f>IF($F102="YES",0,IF(Y102&gt;40000,200,IF(Y102&gt;25000,150,IF(Y102&gt;15000,130,IF(Y102&gt;10000,110,0)))))</f>
        <v>200</v>
      </c>
      <c r="AC102">
        <f>Y102-Z102-AA102-AB102</f>
        <v>39380</v>
      </c>
      <c r="AD102">
        <f>_xlfn.XLOOKUP(B102,'[3]may-2025'!$A:$A,'[3]may-2025'!$C:$C,0,0)</f>
        <v>31600</v>
      </c>
      <c r="AE102">
        <f>AD102*0.18</f>
        <v>5688</v>
      </c>
      <c r="AF102">
        <f>AD102*0.12</f>
        <v>3792</v>
      </c>
      <c r="AG102">
        <f>_xlfn.XLOOKUP(B102,'[3]may-2025'!$A:$A,'[3]may-2025'!$D:$D,0,0)</f>
        <v>0</v>
      </c>
      <c r="AH102">
        <f>_xlfn.XLOOKUP(B102,'[3]may-2025'!$A:$A,'[3]may-2025'!$G:$G,0,0)</f>
        <v>500</v>
      </c>
      <c r="AI102">
        <f>IF(AD102&gt;0,SUM(AD102:AH102),0)</f>
        <v>41580</v>
      </c>
      <c r="AJ102">
        <f>_xlfn.XLOOKUP(B102,'[3]may-2025'!$A:$A,'[3]may-2025'!$H:$H,0,0)</f>
        <v>2000</v>
      </c>
      <c r="AK102">
        <f>_xlfn.XLOOKUP(B102,'[3]may-2025'!$A:$A,'[3]may-2025'!$I:$I,0,0)</f>
        <v>0</v>
      </c>
      <c r="AL102">
        <f>IF($F102="YES",0,IF(AI102&gt;40000,200,IF(AI102&gt;25000,150,IF(AI102&gt;15000,130,IF(AI102&gt;10000,110,0)))))</f>
        <v>200</v>
      </c>
      <c r="AM102">
        <f>AI102-AJ102-AK102-AL102</f>
        <v>39380</v>
      </c>
      <c r="AN102">
        <f>_xlfn.XLOOKUP(B102,'[4]june-2025'!$A:$A,'[4]june-2025'!$C:$C,0,0)</f>
        <v>31600</v>
      </c>
      <c r="AO102">
        <f>AN102*0.18</f>
        <v>5688</v>
      </c>
      <c r="AP102">
        <f>AN102*0.12</f>
        <v>3792</v>
      </c>
      <c r="AQ102">
        <f>_xlfn.XLOOKUP(B102,'[4]june-2025'!$A:$A,'[4]june-2025'!$D:$D,0,0)</f>
        <v>0</v>
      </c>
      <c r="AR102">
        <f>_xlfn.XLOOKUP(B102,'[4]june-2025'!$A:$A,'[4]june-2025'!$G:$G,0,0)</f>
        <v>500</v>
      </c>
      <c r="AS102">
        <f>IF(AN102&gt;0,SUM(AN102:AR102),0)</f>
        <v>41580</v>
      </c>
      <c r="AT102">
        <f>_xlfn.XLOOKUP(B102,'[4]june-2025'!$A:$A,'[4]june-2025'!$H:$H,0,0)</f>
        <v>2000</v>
      </c>
      <c r="AU102">
        <f>_xlfn.XLOOKUP(B102,'[4]june-2025'!$A:$A,'[4]june-2025'!$I:$I,0,0)</f>
        <v>0</v>
      </c>
      <c r="AV102">
        <f>IF($F102="YES",0,IF(AS102&gt;40000,200,IF(AS102&gt;25000,150,IF(AS102&gt;15000,130,IF(AS102&gt;10000,110,0)))))</f>
        <v>200</v>
      </c>
      <c r="AW102">
        <f>AS102-AT102-AU102-AV102</f>
        <v>39380</v>
      </c>
      <c r="AX102">
        <f>_xlfn.XLOOKUP(B102,'[5]july-2025'!$A:$A,'[5]july-2025'!$C:$C,0,0)</f>
        <v>32500</v>
      </c>
      <c r="AY102">
        <f>AX102*0.18</f>
        <v>5850</v>
      </c>
      <c r="AZ102">
        <v>0</v>
      </c>
      <c r="BA102">
        <f>AX102*0.12</f>
        <v>3900</v>
      </c>
      <c r="BB102">
        <f>_xlfn.XLOOKUP(B102,'[5]july-2025'!$A:$A,'[5]july-2025'!$D:$D,0,0)</f>
        <v>0</v>
      </c>
      <c r="BC102">
        <f>_xlfn.XLOOKUP(B102,'[5]july-2025'!$A:$A,'[5]july-2025'!$G:$G,0,0)</f>
        <v>500</v>
      </c>
      <c r="BD102">
        <f>IF(AX102&gt;0,SUM(AX102:BC102),0)</f>
        <v>42750</v>
      </c>
      <c r="BE102">
        <f>_xlfn.XLOOKUP(B102,'[5]july-2025'!$A:$A,'[5]july-2025'!$H:$H,0,0)</f>
        <v>2000</v>
      </c>
      <c r="BF102">
        <f>_xlfn.XLOOKUP(B102,'[5]july-2025'!$A:$A,'[5]july-2025'!$I:$I,0,0)</f>
        <v>0</v>
      </c>
      <c r="BG102">
        <f>IF($F102="YES",0,IF(BD102&gt;40000,200,IF(BD102&gt;25000,150,IF(BD102&gt;15000,130,IF(BD102&gt;10000,110,0)))))</f>
        <v>200</v>
      </c>
      <c r="BH102">
        <f>BD102-BE102-BF102-BG102</f>
        <v>40550</v>
      </c>
      <c r="BI102">
        <f>_xlfn.XLOOKUP(B102,'[6]august-2025'!$A:$A,'[6]august-2025'!$C:$C,0,0)</f>
        <v>32500</v>
      </c>
      <c r="BJ102">
        <f>BI102*0.18</f>
        <v>5850</v>
      </c>
      <c r="BK102">
        <f>BI102*0.12</f>
        <v>3900</v>
      </c>
      <c r="BL102">
        <f>_xlfn.XLOOKUP(B102,'[6]august-2025'!$A:$A,'[6]august-2025'!$D:$D,0,0)</f>
        <v>0</v>
      </c>
      <c r="BM102">
        <f>_xlfn.XLOOKUP(B102,'[6]august-2025'!$A:$A,'[6]august-2025'!$G:$G,0,0)</f>
        <v>500</v>
      </c>
      <c r="BN102">
        <f>IF(BI102&gt;0,SUM(BI102:BM102),0)</f>
        <v>42750</v>
      </c>
      <c r="BO102">
        <f>_xlfn.XLOOKUP(B102,'[6]august-2025'!$A:$A,'[6]august-2025'!$H:$H,0,0)</f>
        <v>2000</v>
      </c>
      <c r="BP102">
        <f>_xlfn.XLOOKUP(B102,'[6]august-2025'!$A:$A,'[6]august-2025'!$I:$I,0,0)</f>
        <v>0</v>
      </c>
      <c r="BQ102">
        <f>IF($F102="YES",0,IF(BN102&gt;40000,200,IF(BN102&gt;25000,150,IF(BN102&gt;15000,130,IF(BN102&gt;10000,110,0)))))</f>
        <v>200</v>
      </c>
      <c r="BR102">
        <f>BN102-BO102-BP102-BQ102</f>
        <v>40550</v>
      </c>
      <c r="BS102">
        <f>_xlfn.XLOOKUP(B102,'[7]september-2025'!$A:$A,'[7]september-2025'!$C:$C,0,0)</f>
        <v>32500</v>
      </c>
      <c r="BT102">
        <f>BS102*0.18</f>
        <v>5850</v>
      </c>
      <c r="BU102">
        <f>BS102*0.12</f>
        <v>3900</v>
      </c>
      <c r="BV102">
        <f>_xlfn.XLOOKUP(B102,'[7]september-2025'!$A:$A,'[7]september-2025'!$D:$D,0,0)</f>
        <v>0</v>
      </c>
      <c r="BW102">
        <f>_xlfn.XLOOKUP(B102,'[7]september-2025'!$A:$A,'[7]september-2025'!$G:$G,0,0)</f>
        <v>500</v>
      </c>
      <c r="BX102">
        <f>IF(BS102&gt;0,SUM(BS102:BW102),0)</f>
        <v>42750</v>
      </c>
      <c r="BY102">
        <f>_xlfn.XLOOKUP(B102,'[7]september-2025'!$A:$A,'[7]september-2025'!$H:$H,0,0)</f>
        <v>2000</v>
      </c>
      <c r="BZ102">
        <f>_xlfn.XLOOKUP(B102,'[7]september-2025'!$A:$A,'[7]september-2025'!$I:$I,0,0)</f>
        <v>0</v>
      </c>
      <c r="CA102">
        <f>IF($F102="YES",0,IF(BX102&gt;40000,200,IF(BX102&gt;25000,150,IF(BX102&gt;15000,130,IF(BX102&gt;10000,110,0)))))</f>
        <v>200</v>
      </c>
      <c r="CB102">
        <f>BX102-BY102-BZ102-CA102</f>
        <v>40550</v>
      </c>
      <c r="CC102">
        <f>_xlfn.XLOOKUP(B102,'[8]october-2025'!$A:$A,'[8]october-2025'!$C:$C,0,0)</f>
        <v>32500</v>
      </c>
      <c r="CD102">
        <f>CC102*0.18</f>
        <v>5850</v>
      </c>
      <c r="CE102">
        <f>CC102*0.12</f>
        <v>3900</v>
      </c>
      <c r="CF102">
        <f>_xlfn.XLOOKUP(B102,'[8]october-2025'!$A:$A,'[8]october-2025'!$D:$D,0,0)</f>
        <v>0</v>
      </c>
      <c r="CG102">
        <f>_xlfn.XLOOKUP(B102,'[8]october-2025'!$A:$A,'[8]october-2025'!$G:$G,0,0)</f>
        <v>500</v>
      </c>
      <c r="CH102">
        <f>IF(CC102&gt;0,SUM(CC102:CG102),0)</f>
        <v>42750</v>
      </c>
      <c r="CI102">
        <f>_xlfn.XLOOKUP(B102,'[8]october-2025'!$A:$A,'[8]october-2025'!$H:$H,0,0)</f>
        <v>2000</v>
      </c>
      <c r="CJ102">
        <f>_xlfn.XLOOKUP(B102,'[8]october-2025'!$A:$A,'[8]october-2025'!$I:$I,0,0)</f>
        <v>0</v>
      </c>
      <c r="CK102">
        <f>IF($F102="YES",0,IF(CH102&gt;40000,200,IF(CH102&gt;25000,150,IF(CH102&gt;15000,130,IF(CH102&gt;10000,110,0)))))</f>
        <v>200</v>
      </c>
      <c r="CL102">
        <f>CH102-CI102-CJ102-CK102</f>
        <v>40550</v>
      </c>
      <c r="CM102">
        <f>_xlfn.XLOOKUP(B102,'[9]november-2025'!$A:$A,'[9]november-2025'!$C:$C,0,0)</f>
        <v>32500</v>
      </c>
      <c r="CN102">
        <f>CM102*0.18</f>
        <v>5850</v>
      </c>
      <c r="CO102">
        <f>CM102*0.12</f>
        <v>3900</v>
      </c>
      <c r="CP102">
        <f>_xlfn.XLOOKUP(B102,'[9]november-2025'!$A:$A,'[9]november-2025'!$D:$D,0,0)</f>
        <v>0</v>
      </c>
      <c r="CQ102">
        <f>_xlfn.XLOOKUP(B102,'[9]november-2025'!$A:$A,'[9]november-2025'!$G:$G,0,0)</f>
        <v>500</v>
      </c>
      <c r="CR102">
        <f>IF(CM102&gt;0,SUM(CM102:CQ102),0)</f>
        <v>42750</v>
      </c>
      <c r="CS102">
        <f>_xlfn.XLOOKUP(B102,'[9]november-2025'!$A:$A,'[9]november-2025'!$H:$H,0,0)</f>
        <v>2000</v>
      </c>
      <c r="CT102">
        <f>_xlfn.XLOOKUP(B102,'[9]november-2025'!$A:$A,'[9]november-2025'!$I:$I,0,0)</f>
        <v>0</v>
      </c>
      <c r="CU102">
        <f>IF($F102="YES",0,IF(CR102&gt;40000,200,IF(CR102&gt;25000,150,IF(CR102&gt;15000,130,IF(CR102&gt;10000,110,0)))))</f>
        <v>200</v>
      </c>
      <c r="CV102">
        <f>CR102-CS102-CT102-CU102</f>
        <v>40550</v>
      </c>
      <c r="CW102">
        <f>_xlfn.XLOOKUP(B102,'[10]december-2025'!$A:$A,'[10]december-2025'!$C:$C,0,0)</f>
        <v>32500</v>
      </c>
      <c r="CX102">
        <f>ROUND(CW102*0.18,0)</f>
        <v>5850</v>
      </c>
      <c r="CY102">
        <f>ROUND(CW102*0.12,0)</f>
        <v>3900</v>
      </c>
      <c r="CZ102">
        <f>_xlfn.XLOOKUP(B102,'[10]december-2025'!$A:$A,'[10]december-2025'!$D:$D,0,0)</f>
        <v>0</v>
      </c>
      <c r="DA102">
        <f>_xlfn.XLOOKUP(B102,'[10]december-2025'!$A:$A,'[10]december-2025'!$G:$G,0,0)</f>
        <v>500</v>
      </c>
      <c r="DB102">
        <f>IF(CW102&gt;0,SUM(CW102:DA102),0)</f>
        <v>42750</v>
      </c>
      <c r="DC102">
        <f>_xlfn.XLOOKUP(B102,'[10]december-2025'!$A:$A,'[10]december-2025'!$H:$H,0,0)</f>
        <v>2000</v>
      </c>
      <c r="DD102">
        <f>_xlfn.XLOOKUP(B102,'[10]december-2025'!$A:$A,'[10]december-2025'!$I:$I,0,0)</f>
        <v>0</v>
      </c>
      <c r="DE102">
        <f>IF($F102="YES",0,IF(DB102&gt;40000,200,IF(DB102&gt;25000,150,IF(DB102&gt;15000,130,IF(DB102&gt;10000,110,0)))))</f>
        <v>200</v>
      </c>
      <c r="DF102">
        <f>DB102-DC102-DD102-DE102</f>
        <v>40550</v>
      </c>
      <c r="DG102">
        <f>_xlfn.XLOOKUP(B102,'[11]january-2026'!$A:$A,'[11]january-2026'!$C:$C,0,0)</f>
        <v>32500</v>
      </c>
      <c r="DH102">
        <f>DG102*0.18</f>
        <v>5850</v>
      </c>
      <c r="DI102">
        <f>DG102*0.12</f>
        <v>3900</v>
      </c>
      <c r="DJ102">
        <f>_xlfn.XLOOKUP(B102,'[11]january-2026'!$A:$A,'[11]january-2026'!$D:$D,0,0)</f>
        <v>0</v>
      </c>
      <c r="DK102">
        <f>_xlfn.XLOOKUP(B102,'[11]january-2026'!$A:$A,'[11]january-2026'!$G:$G,0,0)</f>
        <v>500</v>
      </c>
      <c r="DL102">
        <f>IF(DG102&gt;0,SUM(DG102:DK102),0)</f>
        <v>42750</v>
      </c>
      <c r="DM102">
        <f>_xlfn.XLOOKUP(B102,'[11]january-2026'!$A:$A,'[11]january-2026'!$H:$H,0,0)</f>
        <v>2000</v>
      </c>
      <c r="DN102">
        <f>_xlfn.XLOOKUP(B102,'[11]january-2026'!$A:$A,'[11]january-2026'!$I:$I,0,0)</f>
        <v>0</v>
      </c>
      <c r="DO102">
        <f>IF($F102="YES",0,IF(DL102&gt;40000,200,IF(DL102&gt;25000,150,IF(DL102&gt;15000,130,IF(DL102&gt;10000,110,0)))))</f>
        <v>200</v>
      </c>
      <c r="DP102">
        <f>DL102-DM102-DN102-DO102</f>
        <v>40550</v>
      </c>
      <c r="DQ102">
        <f>_xlfn.XLOOKUP(B102,'[12]february-2026'!$A:$A,'[12]february-2026'!$C:$C,0,0)</f>
        <v>32500</v>
      </c>
      <c r="DR102">
        <f>DQ102*0.18</f>
        <v>5850</v>
      </c>
      <c r="DS102">
        <f>DQ102*0.12</f>
        <v>3900</v>
      </c>
      <c r="DT102">
        <f>_xlfn.XLOOKUP(B102,'[12]february-2026'!$A:$A,'[12]february-2026'!$D:$D,0,0)</f>
        <v>0</v>
      </c>
      <c r="DU102">
        <f>_xlfn.XLOOKUP(B102,'[12]february-2026'!$A:$A,'[12]february-2026'!$G:$G,0,0)</f>
        <v>500</v>
      </c>
      <c r="DV102">
        <f>IF(DQ102&gt;0,SUM(DQ102:DU102),0)</f>
        <v>42750</v>
      </c>
      <c r="DW102">
        <f>_xlfn.XLOOKUP(B102,'[12]february-2026'!$A:$A,'[12]february-2026'!$H:$H,0,0)</f>
        <v>2000</v>
      </c>
      <c r="DX102">
        <f>_xlfn.XLOOKUP(B102,'[12]february-2026'!$A:$A,'[12]february-2026'!$I:$I,0,0)</f>
        <v>0</v>
      </c>
      <c r="DY102">
        <f>IF($F102="YES",0,IF(DV102&gt;40000,200,IF(DV102&gt;25000,150,IF(DV102&gt;15000,130,IF(DV102&gt;10000,110,0)))))</f>
        <v>200</v>
      </c>
      <c r="DZ102">
        <f>DV102-DW102-DX102-DY102</f>
        <v>40550</v>
      </c>
      <c r="EA102">
        <f>DV102+DL102+DB102+CR102+CH102+BX102+BN102+BD102+AS102+AI102+Y102+O102+H102+I102</f>
        <v>513856</v>
      </c>
      <c r="EB102">
        <f>DY102+DO102+DE102+CU102+CK102+CA102+BQ102+BG102+AV102+AL102+AB102+R102</f>
        <v>2400</v>
      </c>
      <c r="EC102">
        <f>IF(EA102&gt;0,50000,0)</f>
        <v>50000</v>
      </c>
      <c r="ED102">
        <v>0</v>
      </c>
      <c r="EE102">
        <f>EA102-EB102-EC102</f>
        <v>461456</v>
      </c>
      <c r="EF102">
        <f>DW102+DM102+DC102+CS102+CI102+BY102+BO102+BE102+AT102+AJ102+Z102+P102</f>
        <v>24000</v>
      </c>
      <c r="EG102">
        <f>DX102+DN102+DD102+CT102+CJ102+BZ102+BP102+BF102+AU102+AK102+AA102+Q102</f>
        <v>0</v>
      </c>
      <c r="EH102">
        <v>0</v>
      </c>
      <c r="EI102">
        <v>0</v>
      </c>
      <c r="EJ102">
        <v>0</v>
      </c>
      <c r="EK102">
        <v>0</v>
      </c>
      <c r="EL102">
        <v>0</v>
      </c>
      <c r="EM102">
        <v>0</v>
      </c>
      <c r="EN102">
        <v>0</v>
      </c>
      <c r="EO102">
        <v>0</v>
      </c>
      <c r="EP102">
        <v>0</v>
      </c>
      <c r="EQ102">
        <v>0</v>
      </c>
      <c r="ER102">
        <f>SUM(EF102:EQ102)</f>
        <v>24000</v>
      </c>
      <c r="ES102">
        <f>IF(ER102&gt;=150000,150000,ER102)</f>
        <v>24000</v>
      </c>
      <c r="ET102">
        <f>EE102-ES102</f>
        <v>437456</v>
      </c>
      <c r="EU102">
        <v>0</v>
      </c>
      <c r="EV102">
        <v>0</v>
      </c>
      <c r="EW102">
        <v>0</v>
      </c>
      <c r="EX102">
        <v>0</v>
      </c>
      <c r="EY102">
        <v>0</v>
      </c>
      <c r="EZ102">
        <v>0</v>
      </c>
      <c r="FA102">
        <v>0</v>
      </c>
      <c r="FB102">
        <f>SUM(EU102:FA102)+(IF(F102="YES",50000,0))</f>
        <v>0</v>
      </c>
      <c r="FC102">
        <f>ET102-FB102</f>
        <v>437456</v>
      </c>
      <c r="FD102">
        <f>ROUND(IF(FC102&gt;0,IF(FC102&gt;500000,12500,(FC102-250000)*0.05),0),0)</f>
        <v>9373</v>
      </c>
      <c r="FE102">
        <f>IF(ROUND(IF(FC102&gt;0,IF(FC102&gt;1000000,25000,(FC102-500000)*0.2),0),0)&lt;0,0,ROUND(IF(FC102&gt;0,IF(FC102&gt;1000000,25000,(FC102-500000)*0.2),0),0))</f>
        <v>0</v>
      </c>
      <c r="FF102">
        <f>FD102+FE102</f>
        <v>9373</v>
      </c>
      <c r="FG102">
        <f>IF(FF102&lt;12500,0,FF102)</f>
        <v>0</v>
      </c>
      <c r="FH102">
        <f>FG102*0.04</f>
        <v>0</v>
      </c>
      <c r="FI102">
        <f>ROUND(FH102+FG102,0)</f>
        <v>0</v>
      </c>
      <c r="FJ102">
        <v>0</v>
      </c>
      <c r="FK102">
        <f>FI102-FJ102</f>
        <v>0</v>
      </c>
      <c r="FL102" t="b">
        <f>IF(EA102&gt;500000,TRUE,FALSE)</f>
        <v>1</v>
      </c>
      <c r="FM102">
        <f ca="1">IF(FL102,RANDBETWEEN(500,1000),RANDBETWEEN(1000,3000))</f>
        <v>536</v>
      </c>
      <c r="FN102">
        <f ca="1">EA102+FM102</f>
        <v>514392</v>
      </c>
      <c r="FO102">
        <f>IF(EA102&gt;0,75000,0)</f>
        <v>75000</v>
      </c>
      <c r="FP102">
        <f ca="1">FN102-FO102</f>
        <v>439392</v>
      </c>
      <c r="FQ102">
        <f ca="1">IF(FP102&gt;2400000,FP102-2400000,0)</f>
        <v>0</v>
      </c>
      <c r="FR102">
        <f ca="1">FQ102*0.3</f>
        <v>0</v>
      </c>
      <c r="FS102">
        <f ca="1">IF(FP102&gt;2000000,FP102-2000000,0)</f>
        <v>0</v>
      </c>
      <c r="FT102">
        <f ca="1">FS102*0.25</f>
        <v>0</v>
      </c>
      <c r="FU102">
        <f ca="1">IF(FP102&gt;1600000,FP102-1600000-FQ102,0)</f>
        <v>0</v>
      </c>
      <c r="FV102">
        <f ca="1">FU102*0.2</f>
        <v>0</v>
      </c>
      <c r="FW102">
        <f ca="1">IF(FP102&gt;1200000,FP102-1200000-IF(F102="YES",50000,0)-FU102,0)</f>
        <v>0</v>
      </c>
      <c r="FX102">
        <f ca="1">FW102*0.15</f>
        <v>0</v>
      </c>
      <c r="FY102">
        <f ca="1">IF(FP102&gt;800000,FP102-800000-FQ102-FU102-FW102,0)</f>
        <v>0</v>
      </c>
      <c r="FZ102">
        <f ca="1">FY102*0.1</f>
        <v>0</v>
      </c>
      <c r="GA102">
        <f ca="1">IF(FP102&gt;400000,FP102-400000-FQ102-FU102-FW102-FY102,0)</f>
        <v>39392</v>
      </c>
      <c r="GB102">
        <f ca="1">GA102*0.05</f>
        <v>1969.6000000000001</v>
      </c>
      <c r="GC102">
        <f ca="1">ROUND(FR102+FT102+FV102+FX102+FZ102+GB102,0)</f>
        <v>1970</v>
      </c>
      <c r="GD102">
        <f ca="1">IF(FP102&gt;1200000,FP102,0)</f>
        <v>0</v>
      </c>
      <c r="GE102">
        <f ca="1">IF(FP102&gt;1200000,GD102-1200000,0)</f>
        <v>0</v>
      </c>
      <c r="GF102">
        <f ca="1">IF(FP102&lt;1200001,MIN(GC102,60000),0)</f>
        <v>1970</v>
      </c>
      <c r="GG102">
        <f ca="1">IF(FP102&gt;1200000,GC102-GE102,0)</f>
        <v>0</v>
      </c>
      <c r="GH102" t="b">
        <f ca="1">IF(GG102&gt;0,TRUE,FALSE)</f>
        <v>0</v>
      </c>
      <c r="GI102">
        <f ca="1">IF(GH102,GG102,0)</f>
        <v>0</v>
      </c>
      <c r="GJ102">
        <f ca="1">GF102+GI102</f>
        <v>1970</v>
      </c>
      <c r="GK102">
        <f ca="1">ROUND(GC102-GJ102,0)</f>
        <v>0</v>
      </c>
      <c r="GL102">
        <f ca="1">GK102*0.04</f>
        <v>0</v>
      </c>
      <c r="GM102">
        <f ca="1">ROUNDUP(GK102+GL102,0)</f>
        <v>0</v>
      </c>
    </row>
    <row r="103" spans="1:195" x14ac:dyDescent="0.25">
      <c r="A103">
        <f>_xlfn.AGGREGATE(3,5,$B$2:B103)</f>
        <v>102</v>
      </c>
      <c r="B103" t="s">
        <v>323</v>
      </c>
      <c r="C103" t="s">
        <v>324</v>
      </c>
      <c r="D103" t="s">
        <v>779</v>
      </c>
      <c r="E103" t="s">
        <v>833</v>
      </c>
      <c r="F103" t="s">
        <v>959</v>
      </c>
      <c r="G103" t="s">
        <v>921</v>
      </c>
      <c r="H103">
        <f>IF(_xlfn.DAYS("31-03-2025",G103)&gt;=180,6800,0)</f>
        <v>6800</v>
      </c>
      <c r="I103">
        <f>_xlfn.XLOOKUP(B103,'[1]march-2025'!$A:$A,'[1]march-2025'!$J:$J,0,0)</f>
        <v>0</v>
      </c>
      <c r="J103">
        <f>_xlfn.XLOOKUP(B103,'[1]march-2025'!$A:$A,'[1]march-2025'!$C:$C,0,0)</f>
        <v>25400</v>
      </c>
      <c r="K103">
        <f>J103*0.14</f>
        <v>3556.0000000000005</v>
      </c>
      <c r="L103">
        <f>J103*0.12</f>
        <v>3048</v>
      </c>
      <c r="M103">
        <f>_xlfn.XLOOKUP(B103,'[1]march-2025'!$A:$A,'[1]march-2025'!$D:$D,0,0)</f>
        <v>0</v>
      </c>
      <c r="N103">
        <f>_xlfn.XLOOKUP(B103,'[1]march-2025'!$A:$A,'[1]march-2025'!$G:$G,0,0)</f>
        <v>500</v>
      </c>
      <c r="O103">
        <f>IF(J103&gt;0,SUM(J103:N103),0)</f>
        <v>32504</v>
      </c>
      <c r="P103">
        <f>_xlfn.XLOOKUP(B103,'[1]march-2025'!$A:$A,'[1]march-2025'!$H:$H,0,0)</f>
        <v>2000</v>
      </c>
      <c r="Q103">
        <f>_xlfn.XLOOKUP(B103,'[1]march-2025'!$A:$A,'[1]march-2025'!$I:$I,0,0)</f>
        <v>0</v>
      </c>
      <c r="R103">
        <f>IF($F103="YES",0,IF(O103&gt;40000,200,IF(O103&gt;25000,150,IF(O103&gt;15000,130,IF(O103&gt;10000,110,0)))))</f>
        <v>150</v>
      </c>
      <c r="S103">
        <f>O103-P103-Q103-R103</f>
        <v>30354</v>
      </c>
      <c r="T103">
        <f>_xlfn.XLOOKUP(B103,'[2]april-2025'!$A:$A,'[2]april-2025'!$C:$C,0,0)</f>
        <v>25400</v>
      </c>
      <c r="U103">
        <f>T103*0.18</f>
        <v>4572</v>
      </c>
      <c r="V103">
        <f>T103*0.12</f>
        <v>3048</v>
      </c>
      <c r="W103">
        <f>_xlfn.XLOOKUP(B103,'[2]april-2025'!$A:$A,'[2]april-2025'!$D:$D,0,0)</f>
        <v>0</v>
      </c>
      <c r="X103">
        <f>_xlfn.XLOOKUP(B103,'[2]april-2025'!$A:$A,'[2]april-2025'!$G:$G,0,0)</f>
        <v>500</v>
      </c>
      <c r="Y103">
        <f>IF(T103&gt;0,SUM(T103:X103),0)</f>
        <v>33520</v>
      </c>
      <c r="Z103">
        <f>_xlfn.XLOOKUP(B103,'[2]april-2025'!$A:$A,'[2]april-2025'!$H:$H,0,0)</f>
        <v>2000</v>
      </c>
      <c r="AA103">
        <f>_xlfn.XLOOKUP(B103,'[2]april-2025'!$A:$A,'[2]april-2025'!$I:$I,0,0)</f>
        <v>0</v>
      </c>
      <c r="AB103">
        <f>IF($F103="YES",0,IF(Y103&gt;40000,200,IF(Y103&gt;25000,150,IF(Y103&gt;15000,130,IF(Y103&gt;10000,110,0)))))</f>
        <v>150</v>
      </c>
      <c r="AC103">
        <f>Y103-Z103-AA103-AB103</f>
        <v>31370</v>
      </c>
      <c r="AD103">
        <f>_xlfn.XLOOKUP(B103,'[3]may-2025'!$A:$A,'[3]may-2025'!$C:$C,0,0)</f>
        <v>25400</v>
      </c>
      <c r="AE103">
        <f>AD103*0.18</f>
        <v>4572</v>
      </c>
      <c r="AF103">
        <f>AD103*0.12</f>
        <v>3048</v>
      </c>
      <c r="AG103">
        <f>_xlfn.XLOOKUP(B103,'[3]may-2025'!$A:$A,'[3]may-2025'!$D:$D,0,0)</f>
        <v>0</v>
      </c>
      <c r="AH103">
        <f>_xlfn.XLOOKUP(B103,'[3]may-2025'!$A:$A,'[3]may-2025'!$G:$G,0,0)</f>
        <v>500</v>
      </c>
      <c r="AI103">
        <f>IF(AD103&gt;0,SUM(AD103:AH103),0)</f>
        <v>33520</v>
      </c>
      <c r="AJ103">
        <f>_xlfn.XLOOKUP(B103,'[3]may-2025'!$A:$A,'[3]may-2025'!$H:$H,0,0)</f>
        <v>2000</v>
      </c>
      <c r="AK103">
        <f>_xlfn.XLOOKUP(B103,'[3]may-2025'!$A:$A,'[3]may-2025'!$I:$I,0,0)</f>
        <v>0</v>
      </c>
      <c r="AL103">
        <f>IF($F103="YES",0,IF(AI103&gt;40000,200,IF(AI103&gt;25000,150,IF(AI103&gt;15000,130,IF(AI103&gt;10000,110,0)))))</f>
        <v>150</v>
      </c>
      <c r="AM103">
        <f>AI103-AJ103-AK103-AL103</f>
        <v>31370</v>
      </c>
      <c r="AN103">
        <f>_xlfn.XLOOKUP(B103,'[4]june-2025'!$A:$A,'[4]june-2025'!$C:$C,0,0)</f>
        <v>25400</v>
      </c>
      <c r="AO103">
        <f>AN103*0.18</f>
        <v>4572</v>
      </c>
      <c r="AP103">
        <f>AN103*0.12</f>
        <v>3048</v>
      </c>
      <c r="AQ103">
        <f>_xlfn.XLOOKUP(B103,'[4]june-2025'!$A:$A,'[4]june-2025'!$D:$D,0,0)</f>
        <v>0</v>
      </c>
      <c r="AR103">
        <f>_xlfn.XLOOKUP(B103,'[4]june-2025'!$A:$A,'[4]june-2025'!$G:$G,0,0)</f>
        <v>500</v>
      </c>
      <c r="AS103">
        <f>IF(AN103&gt;0,SUM(AN103:AR103),0)</f>
        <v>33520</v>
      </c>
      <c r="AT103">
        <f>_xlfn.XLOOKUP(B103,'[4]june-2025'!$A:$A,'[4]june-2025'!$H:$H,0,0)</f>
        <v>2000</v>
      </c>
      <c r="AU103">
        <f>_xlfn.XLOOKUP(B103,'[4]june-2025'!$A:$A,'[4]june-2025'!$I:$I,0,0)</f>
        <v>0</v>
      </c>
      <c r="AV103">
        <f>IF($F103="YES",0,IF(AS103&gt;40000,200,IF(AS103&gt;25000,150,IF(AS103&gt;15000,130,IF(AS103&gt;10000,110,0)))))</f>
        <v>150</v>
      </c>
      <c r="AW103">
        <f>AS103-AT103-AU103-AV103</f>
        <v>31370</v>
      </c>
      <c r="AX103">
        <f>_xlfn.XLOOKUP(B103,'[5]july-2025'!$A:$A,'[5]july-2025'!$C:$C,0,0)</f>
        <v>26200</v>
      </c>
      <c r="AY103">
        <f>AX103*0.18</f>
        <v>4716</v>
      </c>
      <c r="AZ103">
        <v>0</v>
      </c>
      <c r="BA103">
        <f>AX103*0.12</f>
        <v>3144</v>
      </c>
      <c r="BB103">
        <f>_xlfn.XLOOKUP(B103,'[5]july-2025'!$A:$A,'[5]july-2025'!$D:$D,0,0)</f>
        <v>0</v>
      </c>
      <c r="BC103">
        <f>_xlfn.XLOOKUP(B103,'[5]july-2025'!$A:$A,'[5]july-2025'!$G:$G,0,0)</f>
        <v>500</v>
      </c>
      <c r="BD103">
        <f>IF(AX103&gt;0,SUM(AX103:BC103),0)</f>
        <v>34560</v>
      </c>
      <c r="BE103">
        <f>_xlfn.XLOOKUP(B103,'[5]july-2025'!$A:$A,'[5]july-2025'!$H:$H,0,0)</f>
        <v>2000</v>
      </c>
      <c r="BF103">
        <f>_xlfn.XLOOKUP(B103,'[5]july-2025'!$A:$A,'[5]july-2025'!$I:$I,0,0)</f>
        <v>0</v>
      </c>
      <c r="BG103">
        <f>IF($F103="YES",0,IF(BD103&gt;40000,200,IF(BD103&gt;25000,150,IF(BD103&gt;15000,130,IF(BD103&gt;10000,110,0)))))</f>
        <v>150</v>
      </c>
      <c r="BH103">
        <f>BD103-BE103-BF103-BG103</f>
        <v>32410</v>
      </c>
      <c r="BI103">
        <f>_xlfn.XLOOKUP(B103,'[6]august-2025'!$A:$A,'[6]august-2025'!$C:$C,0,0)</f>
        <v>26200</v>
      </c>
      <c r="BJ103">
        <f>BI103*0.18</f>
        <v>4716</v>
      </c>
      <c r="BK103">
        <f>BI103*0.12</f>
        <v>3144</v>
      </c>
      <c r="BL103">
        <f>_xlfn.XLOOKUP(B103,'[6]august-2025'!$A:$A,'[6]august-2025'!$D:$D,0,0)</f>
        <v>0</v>
      </c>
      <c r="BM103">
        <f>_xlfn.XLOOKUP(B103,'[6]august-2025'!$A:$A,'[6]august-2025'!$G:$G,0,0)</f>
        <v>500</v>
      </c>
      <c r="BN103">
        <f>IF(BI103&gt;0,SUM(BI103:BM103),0)</f>
        <v>34560</v>
      </c>
      <c r="BO103">
        <f>_xlfn.XLOOKUP(B103,'[6]august-2025'!$A:$A,'[6]august-2025'!$H:$H,0,0)</f>
        <v>2000</v>
      </c>
      <c r="BP103">
        <f>_xlfn.XLOOKUP(B103,'[6]august-2025'!$A:$A,'[6]august-2025'!$I:$I,0,0)</f>
        <v>0</v>
      </c>
      <c r="BQ103">
        <f>IF($F103="YES",0,IF(BN103&gt;40000,200,IF(BN103&gt;25000,150,IF(BN103&gt;15000,130,IF(BN103&gt;10000,110,0)))))</f>
        <v>150</v>
      </c>
      <c r="BR103">
        <f>BN103-BO103-BP103-BQ103</f>
        <v>32410</v>
      </c>
      <c r="BS103">
        <f>_xlfn.XLOOKUP(B103,'[7]september-2025'!$A:$A,'[7]september-2025'!$C:$C,0,0)</f>
        <v>26200</v>
      </c>
      <c r="BT103">
        <f>BS103*0.18</f>
        <v>4716</v>
      </c>
      <c r="BU103">
        <f>BS103*0.12</f>
        <v>3144</v>
      </c>
      <c r="BV103">
        <f>_xlfn.XLOOKUP(B103,'[7]september-2025'!$A:$A,'[7]september-2025'!$D:$D,0,0)</f>
        <v>0</v>
      </c>
      <c r="BW103">
        <f>_xlfn.XLOOKUP(B103,'[7]september-2025'!$A:$A,'[7]september-2025'!$G:$G,0,0)</f>
        <v>500</v>
      </c>
      <c r="BX103">
        <f>IF(BS103&gt;0,SUM(BS103:BW103),0)</f>
        <v>34560</v>
      </c>
      <c r="BY103">
        <f>_xlfn.XLOOKUP(B103,'[7]september-2025'!$A:$A,'[7]september-2025'!$H:$H,0,0)</f>
        <v>2000</v>
      </c>
      <c r="BZ103">
        <f>_xlfn.XLOOKUP(B103,'[7]september-2025'!$A:$A,'[7]september-2025'!$I:$I,0,0)</f>
        <v>0</v>
      </c>
      <c r="CA103">
        <f>IF($F103="YES",0,IF(BX103&gt;40000,200,IF(BX103&gt;25000,150,IF(BX103&gt;15000,130,IF(BX103&gt;10000,110,0)))))</f>
        <v>150</v>
      </c>
      <c r="CB103">
        <f>BX103-BY103-BZ103-CA103</f>
        <v>32410</v>
      </c>
      <c r="CC103">
        <f>_xlfn.XLOOKUP(B103,'[8]october-2025'!$A:$A,'[8]october-2025'!$C:$C,0,0)</f>
        <v>26200</v>
      </c>
      <c r="CD103">
        <f>CC103*0.18</f>
        <v>4716</v>
      </c>
      <c r="CE103">
        <f>CC103*0.12</f>
        <v>3144</v>
      </c>
      <c r="CF103">
        <f>_xlfn.XLOOKUP(B103,'[8]october-2025'!$A:$A,'[8]october-2025'!$D:$D,0,0)</f>
        <v>0</v>
      </c>
      <c r="CG103">
        <f>_xlfn.XLOOKUP(B103,'[8]october-2025'!$A:$A,'[8]october-2025'!$G:$G,0,0)</f>
        <v>500</v>
      </c>
      <c r="CH103">
        <f>IF(CC103&gt;0,SUM(CC103:CG103),0)</f>
        <v>34560</v>
      </c>
      <c r="CI103">
        <f>_xlfn.XLOOKUP(B103,'[8]october-2025'!$A:$A,'[8]october-2025'!$H:$H,0,0)</f>
        <v>2000</v>
      </c>
      <c r="CJ103">
        <f>_xlfn.XLOOKUP(B103,'[8]october-2025'!$A:$A,'[8]october-2025'!$I:$I,0,0)</f>
        <v>0</v>
      </c>
      <c r="CK103">
        <f>IF($F103="YES",0,IF(CH103&gt;40000,200,IF(CH103&gt;25000,150,IF(CH103&gt;15000,130,IF(CH103&gt;10000,110,0)))))</f>
        <v>150</v>
      </c>
      <c r="CL103">
        <f>CH103-CI103-CJ103-CK103</f>
        <v>32410</v>
      </c>
      <c r="CM103">
        <f>_xlfn.XLOOKUP(B103,'[9]november-2025'!$A:$A,'[9]november-2025'!$C:$C,0,0)</f>
        <v>26200</v>
      </c>
      <c r="CN103">
        <f>CM103*0.18</f>
        <v>4716</v>
      </c>
      <c r="CO103">
        <f>CM103*0.12</f>
        <v>3144</v>
      </c>
      <c r="CP103">
        <f>_xlfn.XLOOKUP(B103,'[9]november-2025'!$A:$A,'[9]november-2025'!$D:$D,0,0)</f>
        <v>0</v>
      </c>
      <c r="CQ103">
        <f>_xlfn.XLOOKUP(B103,'[9]november-2025'!$A:$A,'[9]november-2025'!$G:$G,0,0)</f>
        <v>500</v>
      </c>
      <c r="CR103">
        <f>IF(CM103&gt;0,SUM(CM103:CQ103),0)</f>
        <v>34560</v>
      </c>
      <c r="CS103">
        <f>_xlfn.XLOOKUP(B103,'[9]november-2025'!$A:$A,'[9]november-2025'!$H:$H,0,0)</f>
        <v>2000</v>
      </c>
      <c r="CT103">
        <f>_xlfn.XLOOKUP(B103,'[9]november-2025'!$A:$A,'[9]november-2025'!$I:$I,0,0)</f>
        <v>0</v>
      </c>
      <c r="CU103">
        <f>IF($F103="YES",0,IF(CR103&gt;40000,200,IF(CR103&gt;25000,150,IF(CR103&gt;15000,130,IF(CR103&gt;10000,110,0)))))</f>
        <v>150</v>
      </c>
      <c r="CV103">
        <f>CR103-CS103-CT103-CU103</f>
        <v>32410</v>
      </c>
      <c r="CW103">
        <f>_xlfn.XLOOKUP(B103,'[10]december-2025'!$A:$A,'[10]december-2025'!$C:$C,0,0)</f>
        <v>26200</v>
      </c>
      <c r="CX103">
        <f>ROUND(CW103*0.18,0)</f>
        <v>4716</v>
      </c>
      <c r="CY103">
        <f>ROUND(CW103*0.12,0)</f>
        <v>3144</v>
      </c>
      <c r="CZ103">
        <f>_xlfn.XLOOKUP(B103,'[10]december-2025'!$A:$A,'[10]december-2025'!$D:$D,0,0)</f>
        <v>0</v>
      </c>
      <c r="DA103">
        <f>_xlfn.XLOOKUP(B103,'[10]december-2025'!$A:$A,'[10]december-2025'!$G:$G,0,0)</f>
        <v>500</v>
      </c>
      <c r="DB103">
        <f>IF(CW103&gt;0,SUM(CW103:DA103),0)</f>
        <v>34560</v>
      </c>
      <c r="DC103">
        <f>_xlfn.XLOOKUP(B103,'[10]december-2025'!$A:$A,'[10]december-2025'!$H:$H,0,0)</f>
        <v>2000</v>
      </c>
      <c r="DD103">
        <f>_xlfn.XLOOKUP(B103,'[10]december-2025'!$A:$A,'[10]december-2025'!$I:$I,0,0)</f>
        <v>0</v>
      </c>
      <c r="DE103">
        <f>IF($F103="YES",0,IF(DB103&gt;40000,200,IF(DB103&gt;25000,150,IF(DB103&gt;15000,130,IF(DB103&gt;10000,110,0)))))</f>
        <v>150</v>
      </c>
      <c r="DF103">
        <f>DB103-DC103-DD103-DE103</f>
        <v>32410</v>
      </c>
      <c r="DG103">
        <f>_xlfn.XLOOKUP(B103,'[11]january-2026'!$A:$A,'[11]january-2026'!$C:$C,0,0)</f>
        <v>26200</v>
      </c>
      <c r="DH103">
        <f>DG103*0.18</f>
        <v>4716</v>
      </c>
      <c r="DI103">
        <f>DG103*0.12</f>
        <v>3144</v>
      </c>
      <c r="DJ103">
        <f>_xlfn.XLOOKUP(B103,'[11]january-2026'!$A:$A,'[11]january-2026'!$D:$D,0,0)</f>
        <v>0</v>
      </c>
      <c r="DK103">
        <f>_xlfn.XLOOKUP(B103,'[11]january-2026'!$A:$A,'[11]january-2026'!$G:$G,0,0)</f>
        <v>500</v>
      </c>
      <c r="DL103">
        <f>IF(DG103&gt;0,SUM(DG103:DK103),0)</f>
        <v>34560</v>
      </c>
      <c r="DM103">
        <f>_xlfn.XLOOKUP(B103,'[11]january-2026'!$A:$A,'[11]january-2026'!$H:$H,0,0)</f>
        <v>2000</v>
      </c>
      <c r="DN103">
        <f>_xlfn.XLOOKUP(B103,'[11]january-2026'!$A:$A,'[11]january-2026'!$I:$I,0,0)</f>
        <v>0</v>
      </c>
      <c r="DO103">
        <f>IF($F103="YES",0,IF(DL103&gt;40000,200,IF(DL103&gt;25000,150,IF(DL103&gt;15000,130,IF(DL103&gt;10000,110,0)))))</f>
        <v>150</v>
      </c>
      <c r="DP103">
        <f>DL103-DM103-DN103-DO103</f>
        <v>32410</v>
      </c>
      <c r="DQ103">
        <f>_xlfn.XLOOKUP(B103,'[12]february-2026'!$A:$A,'[12]february-2026'!$C:$C,0,0)</f>
        <v>26200</v>
      </c>
      <c r="DR103">
        <f>DQ103*0.18</f>
        <v>4716</v>
      </c>
      <c r="DS103">
        <f>DQ103*0.12</f>
        <v>3144</v>
      </c>
      <c r="DT103">
        <f>_xlfn.XLOOKUP(B103,'[12]february-2026'!$A:$A,'[12]february-2026'!$D:$D,0,0)</f>
        <v>0</v>
      </c>
      <c r="DU103">
        <f>_xlfn.XLOOKUP(B103,'[12]february-2026'!$A:$A,'[12]february-2026'!$G:$G,0,0)</f>
        <v>500</v>
      </c>
      <c r="DV103">
        <f>IF(DQ103&gt;0,SUM(DQ103:DU103),0)</f>
        <v>34560</v>
      </c>
      <c r="DW103">
        <f>_xlfn.XLOOKUP(B103,'[12]february-2026'!$A:$A,'[12]february-2026'!$H:$H,0,0)</f>
        <v>2000</v>
      </c>
      <c r="DX103">
        <f>_xlfn.XLOOKUP(B103,'[12]february-2026'!$A:$A,'[12]february-2026'!$I:$I,0,0)</f>
        <v>0</v>
      </c>
      <c r="DY103">
        <f>IF($F103="YES",0,IF(DV103&gt;40000,200,IF(DV103&gt;25000,150,IF(DV103&gt;15000,130,IF(DV103&gt;10000,110,0)))))</f>
        <v>150</v>
      </c>
      <c r="DZ103">
        <f>DV103-DW103-DX103-DY103</f>
        <v>32410</v>
      </c>
      <c r="EA103">
        <f>DV103+DL103+DB103+CR103+CH103+BX103+BN103+BD103+AS103+AI103+Y103+O103+H103+I103</f>
        <v>416344</v>
      </c>
      <c r="EB103">
        <f>DY103+DO103+DE103+CU103+CK103+CA103+BQ103+BG103+AV103+AL103+AB103+R103</f>
        <v>1800</v>
      </c>
      <c r="EC103">
        <f>IF(EA103&gt;0,50000,0)</f>
        <v>50000</v>
      </c>
      <c r="ED103">
        <v>0</v>
      </c>
      <c r="EE103">
        <f>EA103-EB103-EC103</f>
        <v>364544</v>
      </c>
      <c r="EF103">
        <f>DW103+DM103+DC103+CS103+CI103+BY103+BO103+BE103+AT103+AJ103+Z103+P103</f>
        <v>24000</v>
      </c>
      <c r="EG103">
        <f>DX103+DN103+DD103+CT103+CJ103+BZ103+BP103+BF103+AU103+AK103+AA103+Q103</f>
        <v>0</v>
      </c>
      <c r="EH103">
        <v>0</v>
      </c>
      <c r="EI103">
        <v>0</v>
      </c>
      <c r="EJ103">
        <v>0</v>
      </c>
      <c r="EK103">
        <v>0</v>
      </c>
      <c r="EL103">
        <v>0</v>
      </c>
      <c r="EM103">
        <v>0</v>
      </c>
      <c r="EN103">
        <v>0</v>
      </c>
      <c r="EO103">
        <v>0</v>
      </c>
      <c r="EP103">
        <v>0</v>
      </c>
      <c r="EQ103">
        <v>0</v>
      </c>
      <c r="ER103">
        <f>SUM(EF103:EQ103)</f>
        <v>24000</v>
      </c>
      <c r="ES103">
        <f>IF(ER103&gt;=150000,150000,ER103)</f>
        <v>24000</v>
      </c>
      <c r="ET103">
        <f>EE103-ES103</f>
        <v>340544</v>
      </c>
      <c r="EU103">
        <v>0</v>
      </c>
      <c r="EV103">
        <v>0</v>
      </c>
      <c r="EW103">
        <v>0</v>
      </c>
      <c r="EX103">
        <v>0</v>
      </c>
      <c r="EY103">
        <v>0</v>
      </c>
      <c r="EZ103">
        <v>0</v>
      </c>
      <c r="FA103">
        <v>0</v>
      </c>
      <c r="FB103">
        <f>SUM(EU103:FA103)+(IF(F103="YES",50000,0))</f>
        <v>0</v>
      </c>
      <c r="FC103">
        <f>ET103-FB103</f>
        <v>340544</v>
      </c>
      <c r="FD103">
        <f>ROUND(IF(FC103&gt;0,IF(FC103&gt;500000,12500,(FC103-250000)*0.05),0),0)</f>
        <v>4527</v>
      </c>
      <c r="FE103">
        <f>IF(ROUND(IF(FC103&gt;0,IF(FC103&gt;1000000,25000,(FC103-500000)*0.2),0),0)&lt;0,0,ROUND(IF(FC103&gt;0,IF(FC103&gt;1000000,25000,(FC103-500000)*0.2),0),0))</f>
        <v>0</v>
      </c>
      <c r="FF103">
        <f>FD103+FE103</f>
        <v>4527</v>
      </c>
      <c r="FG103">
        <f>IF(FF103&lt;12500,0,FF103)</f>
        <v>0</v>
      </c>
      <c r="FH103">
        <f>FG103*0.04</f>
        <v>0</v>
      </c>
      <c r="FI103">
        <f>ROUND(FH103+FG103,0)</f>
        <v>0</v>
      </c>
      <c r="FJ103">
        <v>0</v>
      </c>
      <c r="FK103">
        <f>FI103-FJ103</f>
        <v>0</v>
      </c>
      <c r="FL103" t="b">
        <f>IF(EA103&gt;500000,TRUE,FALSE)</f>
        <v>0</v>
      </c>
      <c r="FM103">
        <f ca="1">IF(FL103,RANDBETWEEN(500,1000),RANDBETWEEN(1000,3000))</f>
        <v>2167</v>
      </c>
      <c r="FN103">
        <f ca="1">EA103+FM103</f>
        <v>418511</v>
      </c>
      <c r="FO103">
        <f>IF(EA103&gt;0,75000,0)</f>
        <v>75000</v>
      </c>
      <c r="FP103">
        <f ca="1">FN103-FO103</f>
        <v>343511</v>
      </c>
      <c r="FQ103">
        <f ca="1">IF(FP103&gt;2400000,FP103-2400000,0)</f>
        <v>0</v>
      </c>
      <c r="FR103">
        <f ca="1">FQ103*0.3</f>
        <v>0</v>
      </c>
      <c r="FS103">
        <f ca="1">IF(FP103&gt;2000000,FP103-2000000,0)</f>
        <v>0</v>
      </c>
      <c r="FT103">
        <f ca="1">FS103*0.25</f>
        <v>0</v>
      </c>
      <c r="FU103">
        <f ca="1">IF(FP103&gt;1600000,FP103-1600000-FQ103,0)</f>
        <v>0</v>
      </c>
      <c r="FV103">
        <f ca="1">FU103*0.2</f>
        <v>0</v>
      </c>
      <c r="FW103">
        <f ca="1">IF(FP103&gt;1200000,FP103-1200000-IF(F103="YES",50000,0)-FU103,0)</f>
        <v>0</v>
      </c>
      <c r="FX103">
        <f ca="1">FW103*0.15</f>
        <v>0</v>
      </c>
      <c r="FY103">
        <f ca="1">IF(FP103&gt;800000,FP103-800000-FQ103-FU103-FW103,0)</f>
        <v>0</v>
      </c>
      <c r="FZ103">
        <f ca="1">FY103*0.1</f>
        <v>0</v>
      </c>
      <c r="GA103">
        <f ca="1">IF(FP103&gt;400000,FP103-400000-FQ103-FU103-FW103-FY103,0)</f>
        <v>0</v>
      </c>
      <c r="GB103">
        <f ca="1">GA103*0.05</f>
        <v>0</v>
      </c>
      <c r="GC103">
        <f ca="1">ROUND(FR103+FT103+FV103+FX103+FZ103+GB103,0)</f>
        <v>0</v>
      </c>
      <c r="GD103">
        <f ca="1">IF(FP103&gt;1200000,FP103,0)</f>
        <v>0</v>
      </c>
      <c r="GE103">
        <f ca="1">IF(FP103&gt;1200000,GD103-1200000,0)</f>
        <v>0</v>
      </c>
      <c r="GF103">
        <f ca="1">IF(FP103&lt;1200001,MIN(GC103,60000),0)</f>
        <v>0</v>
      </c>
      <c r="GG103">
        <f ca="1">IF(FP103&gt;1200000,GC103-GE103,0)</f>
        <v>0</v>
      </c>
      <c r="GH103" t="b">
        <f ca="1">IF(GG103&gt;0,TRUE,FALSE)</f>
        <v>0</v>
      </c>
      <c r="GI103">
        <f ca="1">IF(GH103,GG103,0)</f>
        <v>0</v>
      </c>
      <c r="GJ103">
        <f ca="1">GF103+GI103</f>
        <v>0</v>
      </c>
      <c r="GK103">
        <f ca="1">ROUND(GC103-GJ103,0)</f>
        <v>0</v>
      </c>
      <c r="GL103">
        <f ca="1">GK103*0.04</f>
        <v>0</v>
      </c>
      <c r="GM103">
        <f ca="1">ROUNDUP(GK103+GL103,0)</f>
        <v>0</v>
      </c>
    </row>
    <row r="104" spans="1:195" x14ac:dyDescent="0.25">
      <c r="A104">
        <f>_xlfn.AGGREGATE(3,5,$B$2:B104)</f>
        <v>103</v>
      </c>
      <c r="B104" t="s">
        <v>325</v>
      </c>
      <c r="C104" t="s">
        <v>326</v>
      </c>
      <c r="D104" t="s">
        <v>780</v>
      </c>
      <c r="E104" t="s">
        <v>833</v>
      </c>
      <c r="F104" t="s">
        <v>959</v>
      </c>
      <c r="G104" t="s">
        <v>880</v>
      </c>
      <c r="H104">
        <f>IF(_xlfn.DAYS("31-03-2025",G104)&gt;=180,6800,0)</f>
        <v>6800</v>
      </c>
      <c r="I104">
        <f>_xlfn.XLOOKUP(B104,'[1]march-2025'!$A:$A,'[1]march-2025'!$J:$J,0,0)</f>
        <v>0</v>
      </c>
      <c r="J104">
        <f>_xlfn.XLOOKUP(B104,'[1]march-2025'!$A:$A,'[1]march-2025'!$C:$C,0,0)</f>
        <v>34500</v>
      </c>
      <c r="K104">
        <f>J104*0.14</f>
        <v>4830.0000000000009</v>
      </c>
      <c r="L104">
        <f>J104*0.12</f>
        <v>4140</v>
      </c>
      <c r="M104">
        <f>_xlfn.XLOOKUP(B104,'[1]march-2025'!$A:$A,'[1]march-2025'!$D:$D,0,0)</f>
        <v>400</v>
      </c>
      <c r="N104">
        <f>_xlfn.XLOOKUP(B104,'[1]march-2025'!$A:$A,'[1]march-2025'!$G:$G,0,0)</f>
        <v>500</v>
      </c>
      <c r="O104">
        <f>IF(J104&gt;0,SUM(J104:N104),0)</f>
        <v>44370</v>
      </c>
      <c r="P104">
        <f>_xlfn.XLOOKUP(B104,'[1]march-2025'!$A:$A,'[1]march-2025'!$H:$H,0,0)</f>
        <v>4000</v>
      </c>
      <c r="Q104">
        <f>_xlfn.XLOOKUP(B104,'[1]march-2025'!$A:$A,'[1]march-2025'!$I:$I,0,0)</f>
        <v>0</v>
      </c>
      <c r="R104">
        <f>IF($F104="YES",0,IF(O104&gt;40000,200,IF(O104&gt;25000,150,IF(O104&gt;15000,130,IF(O104&gt;10000,110,0)))))</f>
        <v>200</v>
      </c>
      <c r="S104">
        <f>O104-P104-Q104-R104</f>
        <v>40170</v>
      </c>
      <c r="T104">
        <f>_xlfn.XLOOKUP(B104,'[2]april-2025'!$A:$A,'[2]april-2025'!$C:$C,0,0)</f>
        <v>34500</v>
      </c>
      <c r="U104">
        <f>T104*0.18</f>
        <v>6210</v>
      </c>
      <c r="V104">
        <f>T104*0.12</f>
        <v>4140</v>
      </c>
      <c r="W104">
        <f>_xlfn.XLOOKUP(B104,'[2]april-2025'!$A:$A,'[2]april-2025'!$D:$D,0,0)</f>
        <v>400</v>
      </c>
      <c r="X104">
        <f>_xlfn.XLOOKUP(B104,'[2]april-2025'!$A:$A,'[2]april-2025'!$G:$G,0,0)</f>
        <v>500</v>
      </c>
      <c r="Y104">
        <f>IF(T104&gt;0,SUM(T104:X104),0)</f>
        <v>45750</v>
      </c>
      <c r="Z104">
        <f>_xlfn.XLOOKUP(B104,'[2]april-2025'!$A:$A,'[2]april-2025'!$H:$H,0,0)</f>
        <v>4000</v>
      </c>
      <c r="AA104">
        <f>_xlfn.XLOOKUP(B104,'[2]april-2025'!$A:$A,'[2]april-2025'!$I:$I,0,0)</f>
        <v>0</v>
      </c>
      <c r="AB104">
        <f>IF($F104="YES",0,IF(Y104&gt;40000,200,IF(Y104&gt;25000,150,IF(Y104&gt;15000,130,IF(Y104&gt;10000,110,0)))))</f>
        <v>200</v>
      </c>
      <c r="AC104">
        <f>Y104-Z104-AA104-AB104</f>
        <v>41550</v>
      </c>
      <c r="AD104">
        <f>_xlfn.XLOOKUP(B104,'[3]may-2025'!$A:$A,'[3]may-2025'!$C:$C,0,0)</f>
        <v>34500</v>
      </c>
      <c r="AE104">
        <f>AD104*0.18</f>
        <v>6210</v>
      </c>
      <c r="AF104">
        <f>AD104*0.12</f>
        <v>4140</v>
      </c>
      <c r="AG104">
        <f>_xlfn.XLOOKUP(B104,'[3]may-2025'!$A:$A,'[3]may-2025'!$D:$D,0,0)</f>
        <v>400</v>
      </c>
      <c r="AH104">
        <f>_xlfn.XLOOKUP(B104,'[3]may-2025'!$A:$A,'[3]may-2025'!$G:$G,0,0)</f>
        <v>500</v>
      </c>
      <c r="AI104">
        <f>IF(AD104&gt;0,SUM(AD104:AH104),0)</f>
        <v>45750</v>
      </c>
      <c r="AJ104">
        <f>_xlfn.XLOOKUP(B104,'[3]may-2025'!$A:$A,'[3]may-2025'!$H:$H,0,0)</f>
        <v>4000</v>
      </c>
      <c r="AK104">
        <f>_xlfn.XLOOKUP(B104,'[3]may-2025'!$A:$A,'[3]may-2025'!$I:$I,0,0)</f>
        <v>0</v>
      </c>
      <c r="AL104">
        <f>IF($F104="YES",0,IF(AI104&gt;40000,200,IF(AI104&gt;25000,150,IF(AI104&gt;15000,130,IF(AI104&gt;10000,110,0)))))</f>
        <v>200</v>
      </c>
      <c r="AM104">
        <f>AI104-AJ104-AK104-AL104</f>
        <v>41550</v>
      </c>
      <c r="AN104">
        <f>_xlfn.XLOOKUP(B104,'[4]june-2025'!$A:$A,'[4]june-2025'!$C:$C,0,0)</f>
        <v>34500</v>
      </c>
      <c r="AO104">
        <f>AN104*0.18</f>
        <v>6210</v>
      </c>
      <c r="AP104">
        <f>AN104*0.12</f>
        <v>4140</v>
      </c>
      <c r="AQ104">
        <f>_xlfn.XLOOKUP(B104,'[4]june-2025'!$A:$A,'[4]june-2025'!$D:$D,0,0)</f>
        <v>400</v>
      </c>
      <c r="AR104">
        <f>_xlfn.XLOOKUP(B104,'[4]june-2025'!$A:$A,'[4]june-2025'!$G:$G,0,0)</f>
        <v>500</v>
      </c>
      <c r="AS104">
        <f>IF(AN104&gt;0,SUM(AN104:AR104),0)</f>
        <v>45750</v>
      </c>
      <c r="AT104">
        <f>_xlfn.XLOOKUP(B104,'[4]june-2025'!$A:$A,'[4]june-2025'!$H:$H,0,0)</f>
        <v>4000</v>
      </c>
      <c r="AU104">
        <f>_xlfn.XLOOKUP(B104,'[4]june-2025'!$A:$A,'[4]june-2025'!$I:$I,0,0)</f>
        <v>0</v>
      </c>
      <c r="AV104">
        <f>IF($F104="YES",0,IF(AS104&gt;40000,200,IF(AS104&gt;25000,150,IF(AS104&gt;15000,130,IF(AS104&gt;10000,110,0)))))</f>
        <v>200</v>
      </c>
      <c r="AW104">
        <f>AS104-AT104-AU104-AV104</f>
        <v>41550</v>
      </c>
      <c r="AX104">
        <f>_xlfn.XLOOKUP(B104,'[5]july-2025'!$A:$A,'[5]july-2025'!$C:$C,0,0)</f>
        <v>35500</v>
      </c>
      <c r="AY104">
        <f>AX104*0.18</f>
        <v>6390</v>
      </c>
      <c r="AZ104">
        <v>0</v>
      </c>
      <c r="BA104">
        <f>AX104*0.12</f>
        <v>4260</v>
      </c>
      <c r="BB104">
        <f>_xlfn.XLOOKUP(B104,'[5]july-2025'!$A:$A,'[5]july-2025'!$D:$D,0,0)</f>
        <v>400</v>
      </c>
      <c r="BC104">
        <f>_xlfn.XLOOKUP(B104,'[5]july-2025'!$A:$A,'[5]july-2025'!$G:$G,0,0)</f>
        <v>500</v>
      </c>
      <c r="BD104">
        <f>IF(AX104&gt;0,SUM(AX104:BC104),0)</f>
        <v>47050</v>
      </c>
      <c r="BE104">
        <f>_xlfn.XLOOKUP(B104,'[5]july-2025'!$A:$A,'[5]july-2025'!$H:$H,0,0)</f>
        <v>4000</v>
      </c>
      <c r="BF104">
        <f>_xlfn.XLOOKUP(B104,'[5]july-2025'!$A:$A,'[5]july-2025'!$I:$I,0,0)</f>
        <v>0</v>
      </c>
      <c r="BG104">
        <f>IF($F104="YES",0,IF(BD104&gt;40000,200,IF(BD104&gt;25000,150,IF(BD104&gt;15000,130,IF(BD104&gt;10000,110,0)))))</f>
        <v>200</v>
      </c>
      <c r="BH104">
        <f>BD104-BE104-BF104-BG104</f>
        <v>42850</v>
      </c>
      <c r="BI104">
        <f>_xlfn.XLOOKUP(B104,'[6]august-2025'!$A:$A,'[6]august-2025'!$C:$C,0,0)</f>
        <v>35500</v>
      </c>
      <c r="BJ104">
        <f>BI104*0.18</f>
        <v>6390</v>
      </c>
      <c r="BK104">
        <f>BI104*0.12</f>
        <v>4260</v>
      </c>
      <c r="BL104">
        <f>_xlfn.XLOOKUP(B104,'[6]august-2025'!$A:$A,'[6]august-2025'!$D:$D,0,0)</f>
        <v>400</v>
      </c>
      <c r="BM104">
        <f>_xlfn.XLOOKUP(B104,'[6]august-2025'!$A:$A,'[6]august-2025'!$G:$G,0,0)</f>
        <v>500</v>
      </c>
      <c r="BN104">
        <f>IF(BI104&gt;0,SUM(BI104:BM104),0)</f>
        <v>47050</v>
      </c>
      <c r="BO104">
        <f>_xlfn.XLOOKUP(B104,'[6]august-2025'!$A:$A,'[6]august-2025'!$H:$H,0,0)</f>
        <v>4000</v>
      </c>
      <c r="BP104">
        <f>_xlfn.XLOOKUP(B104,'[6]august-2025'!$A:$A,'[6]august-2025'!$I:$I,0,0)</f>
        <v>0</v>
      </c>
      <c r="BQ104">
        <f>IF($F104="YES",0,IF(BN104&gt;40000,200,IF(BN104&gt;25000,150,IF(BN104&gt;15000,130,IF(BN104&gt;10000,110,0)))))</f>
        <v>200</v>
      </c>
      <c r="BR104">
        <f>BN104-BO104-BP104-BQ104</f>
        <v>42850</v>
      </c>
      <c r="BS104">
        <f>_xlfn.XLOOKUP(B104,'[7]september-2025'!$A:$A,'[7]september-2025'!$C:$C,0,0)</f>
        <v>35500</v>
      </c>
      <c r="BT104">
        <f>BS104*0.18</f>
        <v>6390</v>
      </c>
      <c r="BU104">
        <f>BS104*0.12</f>
        <v>4260</v>
      </c>
      <c r="BV104">
        <f>_xlfn.XLOOKUP(B104,'[7]september-2025'!$A:$A,'[7]september-2025'!$D:$D,0,0)</f>
        <v>400</v>
      </c>
      <c r="BW104">
        <f>_xlfn.XLOOKUP(B104,'[7]september-2025'!$A:$A,'[7]september-2025'!$G:$G,0,0)</f>
        <v>500</v>
      </c>
      <c r="BX104">
        <f>IF(BS104&gt;0,SUM(BS104:BW104),0)</f>
        <v>47050</v>
      </c>
      <c r="BY104">
        <f>_xlfn.XLOOKUP(B104,'[7]september-2025'!$A:$A,'[7]september-2025'!$H:$H,0,0)</f>
        <v>4000</v>
      </c>
      <c r="BZ104">
        <f>_xlfn.XLOOKUP(B104,'[7]september-2025'!$A:$A,'[7]september-2025'!$I:$I,0,0)</f>
        <v>0</v>
      </c>
      <c r="CA104">
        <f>IF($F104="YES",0,IF(BX104&gt;40000,200,IF(BX104&gt;25000,150,IF(BX104&gt;15000,130,IF(BX104&gt;10000,110,0)))))</f>
        <v>200</v>
      </c>
      <c r="CB104">
        <f>BX104-BY104-BZ104-CA104</f>
        <v>42850</v>
      </c>
      <c r="CC104">
        <f>_xlfn.XLOOKUP(B104,'[8]october-2025'!$A:$A,'[8]october-2025'!$C:$C,0,0)</f>
        <v>35500</v>
      </c>
      <c r="CD104">
        <f>CC104*0.18</f>
        <v>6390</v>
      </c>
      <c r="CE104">
        <f>CC104*0.12</f>
        <v>4260</v>
      </c>
      <c r="CF104">
        <f>_xlfn.XLOOKUP(B104,'[8]october-2025'!$A:$A,'[8]october-2025'!$D:$D,0,0)</f>
        <v>400</v>
      </c>
      <c r="CG104">
        <f>_xlfn.XLOOKUP(B104,'[8]october-2025'!$A:$A,'[8]october-2025'!$G:$G,0,0)</f>
        <v>500</v>
      </c>
      <c r="CH104">
        <f>IF(CC104&gt;0,SUM(CC104:CG104),0)</f>
        <v>47050</v>
      </c>
      <c r="CI104">
        <f>_xlfn.XLOOKUP(B104,'[8]october-2025'!$A:$A,'[8]october-2025'!$H:$H,0,0)</f>
        <v>4000</v>
      </c>
      <c r="CJ104">
        <f>_xlfn.XLOOKUP(B104,'[8]october-2025'!$A:$A,'[8]october-2025'!$I:$I,0,0)</f>
        <v>0</v>
      </c>
      <c r="CK104">
        <f>IF($F104="YES",0,IF(CH104&gt;40000,200,IF(CH104&gt;25000,150,IF(CH104&gt;15000,130,IF(CH104&gt;10000,110,0)))))</f>
        <v>200</v>
      </c>
      <c r="CL104">
        <f>CH104-CI104-CJ104-CK104</f>
        <v>42850</v>
      </c>
      <c r="CM104">
        <f>_xlfn.XLOOKUP(B104,'[9]november-2025'!$A:$A,'[9]november-2025'!$C:$C,0,0)</f>
        <v>35500</v>
      </c>
      <c r="CN104">
        <f>CM104*0.18</f>
        <v>6390</v>
      </c>
      <c r="CO104">
        <f>CM104*0.12</f>
        <v>4260</v>
      </c>
      <c r="CP104">
        <f>_xlfn.XLOOKUP(B104,'[9]november-2025'!$A:$A,'[9]november-2025'!$D:$D,0,0)</f>
        <v>400</v>
      </c>
      <c r="CQ104">
        <f>_xlfn.XLOOKUP(B104,'[9]november-2025'!$A:$A,'[9]november-2025'!$G:$G,0,0)</f>
        <v>500</v>
      </c>
      <c r="CR104">
        <f>IF(CM104&gt;0,SUM(CM104:CQ104),0)</f>
        <v>47050</v>
      </c>
      <c r="CS104">
        <f>_xlfn.XLOOKUP(B104,'[9]november-2025'!$A:$A,'[9]november-2025'!$H:$H,0,0)</f>
        <v>4000</v>
      </c>
      <c r="CT104">
        <f>_xlfn.XLOOKUP(B104,'[9]november-2025'!$A:$A,'[9]november-2025'!$I:$I,0,0)</f>
        <v>0</v>
      </c>
      <c r="CU104">
        <f>IF($F104="YES",0,IF(CR104&gt;40000,200,IF(CR104&gt;25000,150,IF(CR104&gt;15000,130,IF(CR104&gt;10000,110,0)))))</f>
        <v>200</v>
      </c>
      <c r="CV104">
        <f>CR104-CS104-CT104-CU104</f>
        <v>42850</v>
      </c>
      <c r="CW104">
        <f>_xlfn.XLOOKUP(B104,'[10]december-2025'!$A:$A,'[10]december-2025'!$C:$C,0,0)</f>
        <v>35500</v>
      </c>
      <c r="CX104">
        <f>ROUND(CW104*0.18,0)</f>
        <v>6390</v>
      </c>
      <c r="CY104">
        <f>ROUND(CW104*0.12,0)</f>
        <v>4260</v>
      </c>
      <c r="CZ104">
        <f>_xlfn.XLOOKUP(B104,'[10]december-2025'!$A:$A,'[10]december-2025'!$D:$D,0,0)</f>
        <v>400</v>
      </c>
      <c r="DA104">
        <f>_xlfn.XLOOKUP(B104,'[10]december-2025'!$A:$A,'[10]december-2025'!$G:$G,0,0)</f>
        <v>500</v>
      </c>
      <c r="DB104">
        <f>IF(CW104&gt;0,SUM(CW104:DA104),0)</f>
        <v>47050</v>
      </c>
      <c r="DC104">
        <f>_xlfn.XLOOKUP(B104,'[10]december-2025'!$A:$A,'[10]december-2025'!$H:$H,0,0)</f>
        <v>4000</v>
      </c>
      <c r="DD104">
        <f>_xlfn.XLOOKUP(B104,'[10]december-2025'!$A:$A,'[10]december-2025'!$I:$I,0,0)</f>
        <v>0</v>
      </c>
      <c r="DE104">
        <f>IF($F104="YES",0,IF(DB104&gt;40000,200,IF(DB104&gt;25000,150,IF(DB104&gt;15000,130,IF(DB104&gt;10000,110,0)))))</f>
        <v>200</v>
      </c>
      <c r="DF104">
        <f>DB104-DC104-DD104-DE104</f>
        <v>42850</v>
      </c>
      <c r="DG104">
        <f>_xlfn.XLOOKUP(B104,'[11]january-2026'!$A:$A,'[11]january-2026'!$C:$C,0,0)</f>
        <v>35500</v>
      </c>
      <c r="DH104">
        <f>DG104*0.18</f>
        <v>6390</v>
      </c>
      <c r="DI104">
        <f>DG104*0.12</f>
        <v>4260</v>
      </c>
      <c r="DJ104">
        <f>_xlfn.XLOOKUP(B104,'[11]january-2026'!$A:$A,'[11]january-2026'!$D:$D,0,0)</f>
        <v>400</v>
      </c>
      <c r="DK104">
        <f>_xlfn.XLOOKUP(B104,'[11]january-2026'!$A:$A,'[11]january-2026'!$G:$G,0,0)</f>
        <v>500</v>
      </c>
      <c r="DL104">
        <f>IF(DG104&gt;0,SUM(DG104:DK104),0)</f>
        <v>47050</v>
      </c>
      <c r="DM104">
        <f>_xlfn.XLOOKUP(B104,'[11]january-2026'!$A:$A,'[11]january-2026'!$H:$H,0,0)</f>
        <v>4000</v>
      </c>
      <c r="DN104">
        <f>_xlfn.XLOOKUP(B104,'[11]january-2026'!$A:$A,'[11]january-2026'!$I:$I,0,0)</f>
        <v>0</v>
      </c>
      <c r="DO104">
        <f>IF($F104="YES",0,IF(DL104&gt;40000,200,IF(DL104&gt;25000,150,IF(DL104&gt;15000,130,IF(DL104&gt;10000,110,0)))))</f>
        <v>200</v>
      </c>
      <c r="DP104">
        <f>DL104-DM104-DN104-DO104</f>
        <v>42850</v>
      </c>
      <c r="DQ104">
        <f>_xlfn.XLOOKUP(B104,'[12]february-2026'!$A:$A,'[12]february-2026'!$C:$C,0,0)</f>
        <v>35500</v>
      </c>
      <c r="DR104">
        <f>DQ104*0.18</f>
        <v>6390</v>
      </c>
      <c r="DS104">
        <f>DQ104*0.12</f>
        <v>4260</v>
      </c>
      <c r="DT104">
        <f>_xlfn.XLOOKUP(B104,'[12]february-2026'!$A:$A,'[12]february-2026'!$D:$D,0,0)</f>
        <v>400</v>
      </c>
      <c r="DU104">
        <f>_xlfn.XLOOKUP(B104,'[12]february-2026'!$A:$A,'[12]february-2026'!$G:$G,0,0)</f>
        <v>500</v>
      </c>
      <c r="DV104">
        <f>IF(DQ104&gt;0,SUM(DQ104:DU104),0)</f>
        <v>47050</v>
      </c>
      <c r="DW104">
        <f>_xlfn.XLOOKUP(B104,'[12]february-2026'!$A:$A,'[12]february-2026'!$H:$H,0,0)</f>
        <v>4000</v>
      </c>
      <c r="DX104">
        <f>_xlfn.XLOOKUP(B104,'[12]february-2026'!$A:$A,'[12]february-2026'!$I:$I,0,0)</f>
        <v>0</v>
      </c>
      <c r="DY104">
        <f>IF($F104="YES",0,IF(DV104&gt;40000,200,IF(DV104&gt;25000,150,IF(DV104&gt;15000,130,IF(DV104&gt;10000,110,0)))))</f>
        <v>200</v>
      </c>
      <c r="DZ104">
        <f>DV104-DW104-DX104-DY104</f>
        <v>42850</v>
      </c>
      <c r="EA104">
        <f>DV104+DL104+DB104+CR104+CH104+BX104+BN104+BD104+AS104+AI104+Y104+O104+H104+I104</f>
        <v>564820</v>
      </c>
      <c r="EB104">
        <f>DY104+DO104+DE104+CU104+CK104+CA104+BQ104+BG104+AV104+AL104+AB104+R104</f>
        <v>2400</v>
      </c>
      <c r="EC104">
        <f>IF(EA104&gt;0,50000,0)</f>
        <v>50000</v>
      </c>
      <c r="ED104">
        <v>0</v>
      </c>
      <c r="EE104">
        <f>EA104-EB104-EC104</f>
        <v>512420</v>
      </c>
      <c r="EF104">
        <f>DW104+DM104+DC104+CS104+CI104+BY104+BO104+BE104+AT104+AJ104+Z104+P104</f>
        <v>48000</v>
      </c>
      <c r="EG104">
        <f>DX104+DN104+DD104+CT104+CJ104+BZ104+BP104+BF104+AU104+AK104+AA104+Q104</f>
        <v>0</v>
      </c>
      <c r="EH104">
        <v>0</v>
      </c>
      <c r="EI104">
        <v>0</v>
      </c>
      <c r="EJ104">
        <v>0</v>
      </c>
      <c r="EK104">
        <v>0</v>
      </c>
      <c r="EL104">
        <v>0</v>
      </c>
      <c r="EM104">
        <v>0</v>
      </c>
      <c r="EN104">
        <v>0</v>
      </c>
      <c r="EO104">
        <v>0</v>
      </c>
      <c r="EP104">
        <v>0</v>
      </c>
      <c r="EQ104">
        <v>0</v>
      </c>
      <c r="ER104">
        <f>SUM(EF104:EQ104)</f>
        <v>48000</v>
      </c>
      <c r="ES104">
        <f>IF(ER104&gt;=150000,150000,ER104)</f>
        <v>48000</v>
      </c>
      <c r="ET104">
        <f>EE104-ES104</f>
        <v>464420</v>
      </c>
      <c r="EU104">
        <v>0</v>
      </c>
      <c r="EV104">
        <v>0</v>
      </c>
      <c r="EW104">
        <v>0</v>
      </c>
      <c r="EX104">
        <v>0</v>
      </c>
      <c r="EY104">
        <v>0</v>
      </c>
      <c r="EZ104">
        <v>0</v>
      </c>
      <c r="FA104">
        <v>0</v>
      </c>
      <c r="FB104">
        <f>SUM(EU104:FA104)+(IF(F104="YES",50000,0))</f>
        <v>0</v>
      </c>
      <c r="FC104">
        <f>ET104-FB104</f>
        <v>464420</v>
      </c>
      <c r="FD104">
        <f>ROUND(IF(FC104&gt;0,IF(FC104&gt;500000,12500,(FC104-250000)*0.05),0),0)</f>
        <v>10721</v>
      </c>
      <c r="FE104">
        <f>IF(ROUND(IF(FC104&gt;0,IF(FC104&gt;1000000,25000,(FC104-500000)*0.2),0),0)&lt;0,0,ROUND(IF(FC104&gt;0,IF(FC104&gt;1000000,25000,(FC104-500000)*0.2),0),0))</f>
        <v>0</v>
      </c>
      <c r="FF104">
        <f>FD104+FE104</f>
        <v>10721</v>
      </c>
      <c r="FG104">
        <f>IF(FF104&lt;12500,0,FF104)</f>
        <v>0</v>
      </c>
      <c r="FH104">
        <f>FG104*0.04</f>
        <v>0</v>
      </c>
      <c r="FI104">
        <f>ROUND(FH104+FG104,0)</f>
        <v>0</v>
      </c>
      <c r="FJ104">
        <v>0</v>
      </c>
      <c r="FK104">
        <f>FI104-FJ104</f>
        <v>0</v>
      </c>
      <c r="FL104" t="b">
        <f>IF(EA104&gt;500000,TRUE,FALSE)</f>
        <v>1</v>
      </c>
      <c r="FM104">
        <f ca="1">IF(FL104,RANDBETWEEN(500,1000),RANDBETWEEN(1000,3000))</f>
        <v>597</v>
      </c>
      <c r="FN104">
        <f ca="1">EA104+FM104</f>
        <v>565417</v>
      </c>
      <c r="FO104">
        <f>IF(EA104&gt;0,75000,0)</f>
        <v>75000</v>
      </c>
      <c r="FP104">
        <f ca="1">FN104-FO104</f>
        <v>490417</v>
      </c>
      <c r="FQ104">
        <f ca="1">IF(FP104&gt;2400000,FP104-2400000,0)</f>
        <v>0</v>
      </c>
      <c r="FR104">
        <f ca="1">FQ104*0.3</f>
        <v>0</v>
      </c>
      <c r="FS104">
        <f ca="1">IF(FP104&gt;2000000,FP104-2000000,0)</f>
        <v>0</v>
      </c>
      <c r="FT104">
        <f ca="1">FS104*0.25</f>
        <v>0</v>
      </c>
      <c r="FU104">
        <f ca="1">IF(FP104&gt;1600000,FP104-1600000-FQ104,0)</f>
        <v>0</v>
      </c>
      <c r="FV104">
        <f ca="1">FU104*0.2</f>
        <v>0</v>
      </c>
      <c r="FW104">
        <f ca="1">IF(FP104&gt;1200000,FP104-1200000-IF(F104="YES",50000,0)-FU104,0)</f>
        <v>0</v>
      </c>
      <c r="FX104">
        <f ca="1">FW104*0.15</f>
        <v>0</v>
      </c>
      <c r="FY104">
        <f ca="1">IF(FP104&gt;800000,FP104-800000-FQ104-FU104-FW104,0)</f>
        <v>0</v>
      </c>
      <c r="FZ104">
        <f ca="1">FY104*0.1</f>
        <v>0</v>
      </c>
      <c r="GA104">
        <f ca="1">IF(FP104&gt;400000,FP104-400000-FQ104-FU104-FW104-FY104,0)</f>
        <v>90417</v>
      </c>
      <c r="GB104">
        <f ca="1">GA104*0.05</f>
        <v>4520.8500000000004</v>
      </c>
      <c r="GC104">
        <f ca="1">ROUND(FR104+FT104+FV104+FX104+FZ104+GB104,0)</f>
        <v>4521</v>
      </c>
      <c r="GD104">
        <f ca="1">IF(FP104&gt;1200000,FP104,0)</f>
        <v>0</v>
      </c>
      <c r="GE104">
        <f ca="1">IF(FP104&gt;1200000,GD104-1200000,0)</f>
        <v>0</v>
      </c>
      <c r="GF104">
        <f ca="1">IF(FP104&lt;1200001,MIN(GC104,60000),0)</f>
        <v>4521</v>
      </c>
      <c r="GG104">
        <f ca="1">IF(FP104&gt;1200000,GC104-GE104,0)</f>
        <v>0</v>
      </c>
      <c r="GH104" t="b">
        <f ca="1">IF(GG104&gt;0,TRUE,FALSE)</f>
        <v>0</v>
      </c>
      <c r="GI104">
        <f ca="1">IF(GH104,GG104,0)</f>
        <v>0</v>
      </c>
      <c r="GJ104">
        <f ca="1">GF104+GI104</f>
        <v>4521</v>
      </c>
      <c r="GK104">
        <f ca="1">ROUND(GC104-GJ104,0)</f>
        <v>0</v>
      </c>
      <c r="GL104">
        <f ca="1">GK104*0.04</f>
        <v>0</v>
      </c>
      <c r="GM104">
        <f ca="1">ROUNDUP(GK104+GL104,0)</f>
        <v>0</v>
      </c>
    </row>
    <row r="105" spans="1:195" x14ac:dyDescent="0.25">
      <c r="A105">
        <f>_xlfn.AGGREGATE(3,5,$B$2:B105)</f>
        <v>104</v>
      </c>
      <c r="B105" t="s">
        <v>327</v>
      </c>
      <c r="C105" t="s">
        <v>328</v>
      </c>
      <c r="D105" t="s">
        <v>780</v>
      </c>
      <c r="E105" t="s">
        <v>833</v>
      </c>
      <c r="F105" t="s">
        <v>959</v>
      </c>
      <c r="G105" t="s">
        <v>880</v>
      </c>
      <c r="H105">
        <f>IF(_xlfn.DAYS("31-03-2025",G105)&gt;=180,6800,0)</f>
        <v>6800</v>
      </c>
      <c r="I105">
        <f>_xlfn.XLOOKUP(B105,'[1]march-2025'!$A:$A,'[1]march-2025'!$J:$J,0,0)</f>
        <v>0</v>
      </c>
      <c r="J105">
        <f>_xlfn.XLOOKUP(B105,'[1]march-2025'!$A:$A,'[1]march-2025'!$C:$C,0,0)</f>
        <v>34500</v>
      </c>
      <c r="K105">
        <f>J105*0.14</f>
        <v>4830.0000000000009</v>
      </c>
      <c r="L105">
        <f>J105*0.12</f>
        <v>4140</v>
      </c>
      <c r="M105">
        <f>_xlfn.XLOOKUP(B105,'[1]march-2025'!$A:$A,'[1]march-2025'!$D:$D,0,0)</f>
        <v>0</v>
      </c>
      <c r="N105">
        <f>_xlfn.XLOOKUP(B105,'[1]march-2025'!$A:$A,'[1]march-2025'!$G:$G,0,0)</f>
        <v>500</v>
      </c>
      <c r="O105">
        <f>IF(J105&gt;0,SUM(J105:N105),0)</f>
        <v>43970</v>
      </c>
      <c r="P105">
        <f>_xlfn.XLOOKUP(B105,'[1]march-2025'!$A:$A,'[1]march-2025'!$H:$H,0,0)</f>
        <v>4000</v>
      </c>
      <c r="Q105">
        <f>_xlfn.XLOOKUP(B105,'[1]march-2025'!$A:$A,'[1]march-2025'!$I:$I,0,0)</f>
        <v>0</v>
      </c>
      <c r="R105">
        <f>IF($F105="YES",0,IF(O105&gt;40000,200,IF(O105&gt;25000,150,IF(O105&gt;15000,130,IF(O105&gt;10000,110,0)))))</f>
        <v>200</v>
      </c>
      <c r="S105">
        <f>O105-P105-Q105-R105</f>
        <v>39770</v>
      </c>
      <c r="T105">
        <f>_xlfn.XLOOKUP(B105,'[2]april-2025'!$A:$A,'[2]april-2025'!$C:$C,0,0)</f>
        <v>34500</v>
      </c>
      <c r="U105">
        <f>T105*0.18</f>
        <v>6210</v>
      </c>
      <c r="V105">
        <f>T105*0.12</f>
        <v>4140</v>
      </c>
      <c r="W105">
        <f>_xlfn.XLOOKUP(B105,'[2]april-2025'!$A:$A,'[2]april-2025'!$D:$D,0,0)</f>
        <v>0</v>
      </c>
      <c r="X105">
        <f>_xlfn.XLOOKUP(B105,'[2]april-2025'!$A:$A,'[2]april-2025'!$G:$G,0,0)</f>
        <v>500</v>
      </c>
      <c r="Y105">
        <f>IF(T105&gt;0,SUM(T105:X105),0)</f>
        <v>45350</v>
      </c>
      <c r="Z105">
        <f>_xlfn.XLOOKUP(B105,'[2]april-2025'!$A:$A,'[2]april-2025'!$H:$H,0,0)</f>
        <v>4000</v>
      </c>
      <c r="AA105">
        <f>_xlfn.XLOOKUP(B105,'[2]april-2025'!$A:$A,'[2]april-2025'!$I:$I,0,0)</f>
        <v>0</v>
      </c>
      <c r="AB105">
        <f>IF($F105="YES",0,IF(Y105&gt;40000,200,IF(Y105&gt;25000,150,IF(Y105&gt;15000,130,IF(Y105&gt;10000,110,0)))))</f>
        <v>200</v>
      </c>
      <c r="AC105">
        <f>Y105-Z105-AA105-AB105</f>
        <v>41150</v>
      </c>
      <c r="AD105">
        <f>_xlfn.XLOOKUP(B105,'[3]may-2025'!$A:$A,'[3]may-2025'!$C:$C,0,0)</f>
        <v>34500</v>
      </c>
      <c r="AE105">
        <f>AD105*0.18</f>
        <v>6210</v>
      </c>
      <c r="AF105">
        <f>AD105*0.12</f>
        <v>4140</v>
      </c>
      <c r="AG105">
        <f>_xlfn.XLOOKUP(B105,'[3]may-2025'!$A:$A,'[3]may-2025'!$D:$D,0,0)</f>
        <v>0</v>
      </c>
      <c r="AH105">
        <f>_xlfn.XLOOKUP(B105,'[3]may-2025'!$A:$A,'[3]may-2025'!$G:$G,0,0)</f>
        <v>500</v>
      </c>
      <c r="AI105">
        <f>IF(AD105&gt;0,SUM(AD105:AH105),0)</f>
        <v>45350</v>
      </c>
      <c r="AJ105">
        <f>_xlfn.XLOOKUP(B105,'[3]may-2025'!$A:$A,'[3]may-2025'!$H:$H,0,0)</f>
        <v>4000</v>
      </c>
      <c r="AK105">
        <f>_xlfn.XLOOKUP(B105,'[3]may-2025'!$A:$A,'[3]may-2025'!$I:$I,0,0)</f>
        <v>0</v>
      </c>
      <c r="AL105">
        <f>IF($F105="YES",0,IF(AI105&gt;40000,200,IF(AI105&gt;25000,150,IF(AI105&gt;15000,130,IF(AI105&gt;10000,110,0)))))</f>
        <v>200</v>
      </c>
      <c r="AM105">
        <f>AI105-AJ105-AK105-AL105</f>
        <v>41150</v>
      </c>
      <c r="AN105">
        <f>_xlfn.XLOOKUP(B105,'[4]june-2025'!$A:$A,'[4]june-2025'!$C:$C,0,0)</f>
        <v>34500</v>
      </c>
      <c r="AO105">
        <f>AN105*0.18</f>
        <v>6210</v>
      </c>
      <c r="AP105">
        <f>AN105*0.12</f>
        <v>4140</v>
      </c>
      <c r="AQ105">
        <f>_xlfn.XLOOKUP(B105,'[4]june-2025'!$A:$A,'[4]june-2025'!$D:$D,0,0)</f>
        <v>0</v>
      </c>
      <c r="AR105">
        <f>_xlfn.XLOOKUP(B105,'[4]june-2025'!$A:$A,'[4]june-2025'!$G:$G,0,0)</f>
        <v>500</v>
      </c>
      <c r="AS105">
        <f>IF(AN105&gt;0,SUM(AN105:AR105),0)</f>
        <v>45350</v>
      </c>
      <c r="AT105">
        <f>_xlfn.XLOOKUP(B105,'[4]june-2025'!$A:$A,'[4]june-2025'!$H:$H,0,0)</f>
        <v>4000</v>
      </c>
      <c r="AU105">
        <f>_xlfn.XLOOKUP(B105,'[4]june-2025'!$A:$A,'[4]june-2025'!$I:$I,0,0)</f>
        <v>0</v>
      </c>
      <c r="AV105">
        <f>IF($F105="YES",0,IF(AS105&gt;40000,200,IF(AS105&gt;25000,150,IF(AS105&gt;15000,130,IF(AS105&gt;10000,110,0)))))</f>
        <v>200</v>
      </c>
      <c r="AW105">
        <f>AS105-AT105-AU105-AV105</f>
        <v>41150</v>
      </c>
      <c r="AX105">
        <f>_xlfn.XLOOKUP(B105,'[5]july-2025'!$A:$A,'[5]july-2025'!$C:$C,0,0)</f>
        <v>35500</v>
      </c>
      <c r="AY105">
        <f>AX105*0.18</f>
        <v>6390</v>
      </c>
      <c r="AZ105">
        <v>0</v>
      </c>
      <c r="BA105">
        <f>AX105*0.12</f>
        <v>4260</v>
      </c>
      <c r="BB105">
        <f>_xlfn.XLOOKUP(B105,'[5]july-2025'!$A:$A,'[5]july-2025'!$D:$D,0,0)</f>
        <v>0</v>
      </c>
      <c r="BC105">
        <f>_xlfn.XLOOKUP(B105,'[5]july-2025'!$A:$A,'[5]july-2025'!$G:$G,0,0)</f>
        <v>500</v>
      </c>
      <c r="BD105">
        <f>IF(AX105&gt;0,SUM(AX105:BC105),0)</f>
        <v>46650</v>
      </c>
      <c r="BE105">
        <f>_xlfn.XLOOKUP(B105,'[5]july-2025'!$A:$A,'[5]july-2025'!$H:$H,0,0)</f>
        <v>4000</v>
      </c>
      <c r="BF105">
        <f>_xlfn.XLOOKUP(B105,'[5]july-2025'!$A:$A,'[5]july-2025'!$I:$I,0,0)</f>
        <v>0</v>
      </c>
      <c r="BG105">
        <f>IF($F105="YES",0,IF(BD105&gt;40000,200,IF(BD105&gt;25000,150,IF(BD105&gt;15000,130,IF(BD105&gt;10000,110,0)))))</f>
        <v>200</v>
      </c>
      <c r="BH105">
        <f>BD105-BE105-BF105-BG105</f>
        <v>42450</v>
      </c>
      <c r="BI105">
        <f>_xlfn.XLOOKUP(B105,'[6]august-2025'!$A:$A,'[6]august-2025'!$C:$C,0,0)</f>
        <v>35500</v>
      </c>
      <c r="BJ105">
        <f>BI105*0.18</f>
        <v>6390</v>
      </c>
      <c r="BK105">
        <f>BI105*0.12</f>
        <v>4260</v>
      </c>
      <c r="BL105">
        <f>_xlfn.XLOOKUP(B105,'[6]august-2025'!$A:$A,'[6]august-2025'!$D:$D,0,0)</f>
        <v>0</v>
      </c>
      <c r="BM105">
        <f>_xlfn.XLOOKUP(B105,'[6]august-2025'!$A:$A,'[6]august-2025'!$G:$G,0,0)</f>
        <v>500</v>
      </c>
      <c r="BN105">
        <f>IF(BI105&gt;0,SUM(BI105:BM105),0)</f>
        <v>46650</v>
      </c>
      <c r="BO105">
        <f>_xlfn.XLOOKUP(B105,'[6]august-2025'!$A:$A,'[6]august-2025'!$H:$H,0,0)</f>
        <v>4000</v>
      </c>
      <c r="BP105">
        <f>_xlfn.XLOOKUP(B105,'[6]august-2025'!$A:$A,'[6]august-2025'!$I:$I,0,0)</f>
        <v>0</v>
      </c>
      <c r="BQ105">
        <f>IF($F105="YES",0,IF(BN105&gt;40000,200,IF(BN105&gt;25000,150,IF(BN105&gt;15000,130,IF(BN105&gt;10000,110,0)))))</f>
        <v>200</v>
      </c>
      <c r="BR105">
        <f>BN105-BO105-BP105-BQ105</f>
        <v>42450</v>
      </c>
      <c r="BS105">
        <f>_xlfn.XLOOKUP(B105,'[7]september-2025'!$A:$A,'[7]september-2025'!$C:$C,0,0)</f>
        <v>35500</v>
      </c>
      <c r="BT105">
        <f>BS105*0.18</f>
        <v>6390</v>
      </c>
      <c r="BU105">
        <f>BS105*0.12</f>
        <v>4260</v>
      </c>
      <c r="BV105">
        <f>_xlfn.XLOOKUP(B105,'[7]september-2025'!$A:$A,'[7]september-2025'!$D:$D,0,0)</f>
        <v>0</v>
      </c>
      <c r="BW105">
        <f>_xlfn.XLOOKUP(B105,'[7]september-2025'!$A:$A,'[7]september-2025'!$G:$G,0,0)</f>
        <v>500</v>
      </c>
      <c r="BX105">
        <f>IF(BS105&gt;0,SUM(BS105:BW105),0)</f>
        <v>46650</v>
      </c>
      <c r="BY105">
        <f>_xlfn.XLOOKUP(B105,'[7]september-2025'!$A:$A,'[7]september-2025'!$H:$H,0,0)</f>
        <v>4000</v>
      </c>
      <c r="BZ105">
        <f>_xlfn.XLOOKUP(B105,'[7]september-2025'!$A:$A,'[7]september-2025'!$I:$I,0,0)</f>
        <v>0</v>
      </c>
      <c r="CA105">
        <f>IF($F105="YES",0,IF(BX105&gt;40000,200,IF(BX105&gt;25000,150,IF(BX105&gt;15000,130,IF(BX105&gt;10000,110,0)))))</f>
        <v>200</v>
      </c>
      <c r="CB105">
        <f>BX105-BY105-BZ105-CA105</f>
        <v>42450</v>
      </c>
      <c r="CC105">
        <f>_xlfn.XLOOKUP(B105,'[8]october-2025'!$A:$A,'[8]october-2025'!$C:$C,0,0)</f>
        <v>35500</v>
      </c>
      <c r="CD105">
        <f>CC105*0.18</f>
        <v>6390</v>
      </c>
      <c r="CE105">
        <f>CC105*0.12</f>
        <v>4260</v>
      </c>
      <c r="CF105">
        <f>_xlfn.XLOOKUP(B105,'[8]october-2025'!$A:$A,'[8]october-2025'!$D:$D,0,0)</f>
        <v>0</v>
      </c>
      <c r="CG105">
        <f>_xlfn.XLOOKUP(B105,'[8]october-2025'!$A:$A,'[8]october-2025'!$G:$G,0,0)</f>
        <v>500</v>
      </c>
      <c r="CH105">
        <f>IF(CC105&gt;0,SUM(CC105:CG105),0)</f>
        <v>46650</v>
      </c>
      <c r="CI105">
        <f>_xlfn.XLOOKUP(B105,'[8]october-2025'!$A:$A,'[8]october-2025'!$H:$H,0,0)</f>
        <v>4000</v>
      </c>
      <c r="CJ105">
        <f>_xlfn.XLOOKUP(B105,'[8]october-2025'!$A:$A,'[8]october-2025'!$I:$I,0,0)</f>
        <v>0</v>
      </c>
      <c r="CK105">
        <f>IF($F105="YES",0,IF(CH105&gt;40000,200,IF(CH105&gt;25000,150,IF(CH105&gt;15000,130,IF(CH105&gt;10000,110,0)))))</f>
        <v>200</v>
      </c>
      <c r="CL105">
        <f>CH105-CI105-CJ105-CK105</f>
        <v>42450</v>
      </c>
      <c r="CM105">
        <f>_xlfn.XLOOKUP(B105,'[9]november-2025'!$A:$A,'[9]november-2025'!$C:$C,0,0)</f>
        <v>35500</v>
      </c>
      <c r="CN105">
        <f>CM105*0.18</f>
        <v>6390</v>
      </c>
      <c r="CO105">
        <f>CM105*0.12</f>
        <v>4260</v>
      </c>
      <c r="CP105">
        <f>_xlfn.XLOOKUP(B105,'[9]november-2025'!$A:$A,'[9]november-2025'!$D:$D,0,0)</f>
        <v>0</v>
      </c>
      <c r="CQ105">
        <f>_xlfn.XLOOKUP(B105,'[9]november-2025'!$A:$A,'[9]november-2025'!$G:$G,0,0)</f>
        <v>500</v>
      </c>
      <c r="CR105">
        <f>IF(CM105&gt;0,SUM(CM105:CQ105),0)</f>
        <v>46650</v>
      </c>
      <c r="CS105">
        <f>_xlfn.XLOOKUP(B105,'[9]november-2025'!$A:$A,'[9]november-2025'!$H:$H,0,0)</f>
        <v>4000</v>
      </c>
      <c r="CT105">
        <f>_xlfn.XLOOKUP(B105,'[9]november-2025'!$A:$A,'[9]november-2025'!$I:$I,0,0)</f>
        <v>0</v>
      </c>
      <c r="CU105">
        <f>IF($F105="YES",0,IF(CR105&gt;40000,200,IF(CR105&gt;25000,150,IF(CR105&gt;15000,130,IF(CR105&gt;10000,110,0)))))</f>
        <v>200</v>
      </c>
      <c r="CV105">
        <f>CR105-CS105-CT105-CU105</f>
        <v>42450</v>
      </c>
      <c r="CW105">
        <f>_xlfn.XLOOKUP(B105,'[10]december-2025'!$A:$A,'[10]december-2025'!$C:$C,0,0)</f>
        <v>35500</v>
      </c>
      <c r="CX105">
        <f>ROUND(CW105*0.18,0)</f>
        <v>6390</v>
      </c>
      <c r="CY105">
        <f>ROUND(CW105*0.12,0)</f>
        <v>4260</v>
      </c>
      <c r="CZ105">
        <f>_xlfn.XLOOKUP(B105,'[10]december-2025'!$A:$A,'[10]december-2025'!$D:$D,0,0)</f>
        <v>0</v>
      </c>
      <c r="DA105">
        <f>_xlfn.XLOOKUP(B105,'[10]december-2025'!$A:$A,'[10]december-2025'!$G:$G,0,0)</f>
        <v>500</v>
      </c>
      <c r="DB105">
        <f>IF(CW105&gt;0,SUM(CW105:DA105),0)</f>
        <v>46650</v>
      </c>
      <c r="DC105">
        <f>_xlfn.XLOOKUP(B105,'[10]december-2025'!$A:$A,'[10]december-2025'!$H:$H,0,0)</f>
        <v>4000</v>
      </c>
      <c r="DD105">
        <f>_xlfn.XLOOKUP(B105,'[10]december-2025'!$A:$A,'[10]december-2025'!$I:$I,0,0)</f>
        <v>0</v>
      </c>
      <c r="DE105">
        <f>IF($F105="YES",0,IF(DB105&gt;40000,200,IF(DB105&gt;25000,150,IF(DB105&gt;15000,130,IF(DB105&gt;10000,110,0)))))</f>
        <v>200</v>
      </c>
      <c r="DF105">
        <f>DB105-DC105-DD105-DE105</f>
        <v>42450</v>
      </c>
      <c r="DG105">
        <f>_xlfn.XLOOKUP(B105,'[11]january-2026'!$A:$A,'[11]january-2026'!$C:$C,0,0)</f>
        <v>35500</v>
      </c>
      <c r="DH105">
        <f>DG105*0.18</f>
        <v>6390</v>
      </c>
      <c r="DI105">
        <f>DG105*0.12</f>
        <v>4260</v>
      </c>
      <c r="DJ105">
        <f>_xlfn.XLOOKUP(B105,'[11]january-2026'!$A:$A,'[11]january-2026'!$D:$D,0,0)</f>
        <v>0</v>
      </c>
      <c r="DK105">
        <f>_xlfn.XLOOKUP(B105,'[11]january-2026'!$A:$A,'[11]january-2026'!$G:$G,0,0)</f>
        <v>500</v>
      </c>
      <c r="DL105">
        <f>IF(DG105&gt;0,SUM(DG105:DK105),0)</f>
        <v>46650</v>
      </c>
      <c r="DM105">
        <f>_xlfn.XLOOKUP(B105,'[11]january-2026'!$A:$A,'[11]january-2026'!$H:$H,0,0)</f>
        <v>4000</v>
      </c>
      <c r="DN105">
        <f>_xlfn.XLOOKUP(B105,'[11]january-2026'!$A:$A,'[11]january-2026'!$I:$I,0,0)</f>
        <v>0</v>
      </c>
      <c r="DO105">
        <f>IF($F105="YES",0,IF(DL105&gt;40000,200,IF(DL105&gt;25000,150,IF(DL105&gt;15000,130,IF(DL105&gt;10000,110,0)))))</f>
        <v>200</v>
      </c>
      <c r="DP105">
        <f>DL105-DM105-DN105-DO105</f>
        <v>42450</v>
      </c>
      <c r="DQ105">
        <f>_xlfn.XLOOKUP(B105,'[12]february-2026'!$A:$A,'[12]february-2026'!$C:$C,0,0)</f>
        <v>35500</v>
      </c>
      <c r="DR105">
        <f>DQ105*0.18</f>
        <v>6390</v>
      </c>
      <c r="DS105">
        <f>DQ105*0.12</f>
        <v>4260</v>
      </c>
      <c r="DT105">
        <f>_xlfn.XLOOKUP(B105,'[12]february-2026'!$A:$A,'[12]february-2026'!$D:$D,0,0)</f>
        <v>0</v>
      </c>
      <c r="DU105">
        <f>_xlfn.XLOOKUP(B105,'[12]february-2026'!$A:$A,'[12]february-2026'!$G:$G,0,0)</f>
        <v>500</v>
      </c>
      <c r="DV105">
        <f>IF(DQ105&gt;0,SUM(DQ105:DU105),0)</f>
        <v>46650</v>
      </c>
      <c r="DW105">
        <f>_xlfn.XLOOKUP(B105,'[12]february-2026'!$A:$A,'[12]february-2026'!$H:$H,0,0)</f>
        <v>4000</v>
      </c>
      <c r="DX105">
        <f>_xlfn.XLOOKUP(B105,'[12]february-2026'!$A:$A,'[12]february-2026'!$I:$I,0,0)</f>
        <v>0</v>
      </c>
      <c r="DY105">
        <f>IF($F105="YES",0,IF(DV105&gt;40000,200,IF(DV105&gt;25000,150,IF(DV105&gt;15000,130,IF(DV105&gt;10000,110,0)))))</f>
        <v>200</v>
      </c>
      <c r="DZ105">
        <f>DV105-DW105-DX105-DY105</f>
        <v>42450</v>
      </c>
      <c r="EA105">
        <f>DV105+DL105+DB105+CR105+CH105+BX105+BN105+BD105+AS105+AI105+Y105+O105+H105+I105</f>
        <v>560020</v>
      </c>
      <c r="EB105">
        <f>DY105+DO105+DE105+CU105+CK105+CA105+BQ105+BG105+AV105+AL105+AB105+R105</f>
        <v>2400</v>
      </c>
      <c r="EC105">
        <f>IF(EA105&gt;0,50000,0)</f>
        <v>50000</v>
      </c>
      <c r="ED105">
        <v>0</v>
      </c>
      <c r="EE105">
        <f>EA105-EB105-EC105</f>
        <v>507620</v>
      </c>
      <c r="EF105">
        <f>DW105+DM105+DC105+CS105+CI105+BY105+BO105+BE105+AT105+AJ105+Z105+P105</f>
        <v>48000</v>
      </c>
      <c r="EG105">
        <f>DX105+DN105+DD105+CT105+CJ105+BZ105+BP105+BF105+AU105+AK105+AA105+Q105</f>
        <v>0</v>
      </c>
      <c r="EH105">
        <v>0</v>
      </c>
      <c r="EI105">
        <v>0</v>
      </c>
      <c r="EJ105">
        <v>0</v>
      </c>
      <c r="EK105">
        <v>0</v>
      </c>
      <c r="EL105">
        <v>0</v>
      </c>
      <c r="EM105">
        <v>0</v>
      </c>
      <c r="EN105">
        <v>0</v>
      </c>
      <c r="EO105">
        <v>0</v>
      </c>
      <c r="EP105">
        <v>0</v>
      </c>
      <c r="EQ105">
        <v>0</v>
      </c>
      <c r="ER105">
        <f>SUM(EF105:EQ105)</f>
        <v>48000</v>
      </c>
      <c r="ES105">
        <f>IF(ER105&gt;=150000,150000,ER105)</f>
        <v>48000</v>
      </c>
      <c r="ET105">
        <f>EE105-ES105</f>
        <v>459620</v>
      </c>
      <c r="EU105">
        <v>0</v>
      </c>
      <c r="EV105">
        <v>0</v>
      </c>
      <c r="EW105">
        <v>0</v>
      </c>
      <c r="EX105">
        <v>0</v>
      </c>
      <c r="EY105">
        <v>0</v>
      </c>
      <c r="EZ105">
        <v>0</v>
      </c>
      <c r="FA105">
        <v>0</v>
      </c>
      <c r="FB105">
        <f>SUM(EU105:FA105)+(IF(F105="YES",50000,0))</f>
        <v>0</v>
      </c>
      <c r="FC105">
        <f>ET105-FB105</f>
        <v>459620</v>
      </c>
      <c r="FD105">
        <f>ROUND(IF(FC105&gt;0,IF(FC105&gt;500000,12500,(FC105-250000)*0.05),0),0)</f>
        <v>10481</v>
      </c>
      <c r="FE105">
        <f>IF(ROUND(IF(FC105&gt;0,IF(FC105&gt;1000000,25000,(FC105-500000)*0.2),0),0)&lt;0,0,ROUND(IF(FC105&gt;0,IF(FC105&gt;1000000,25000,(FC105-500000)*0.2),0),0))</f>
        <v>0</v>
      </c>
      <c r="FF105">
        <f>FD105+FE105</f>
        <v>10481</v>
      </c>
      <c r="FG105">
        <f>IF(FF105&lt;12500,0,FF105)</f>
        <v>0</v>
      </c>
      <c r="FH105">
        <f>FG105*0.04</f>
        <v>0</v>
      </c>
      <c r="FI105">
        <f>ROUND(FH105+FG105,0)</f>
        <v>0</v>
      </c>
      <c r="FJ105">
        <v>0</v>
      </c>
      <c r="FK105">
        <f>FI105-FJ105</f>
        <v>0</v>
      </c>
      <c r="FL105" t="b">
        <f>IF(EA105&gt;500000,TRUE,FALSE)</f>
        <v>1</v>
      </c>
      <c r="FM105">
        <f ca="1">IF(FL105,RANDBETWEEN(500,1000),RANDBETWEEN(1000,3000))</f>
        <v>638</v>
      </c>
      <c r="FN105">
        <f ca="1">EA105+FM105</f>
        <v>560658</v>
      </c>
      <c r="FO105">
        <f>IF(EA105&gt;0,75000,0)</f>
        <v>75000</v>
      </c>
      <c r="FP105">
        <f ca="1">FN105-FO105</f>
        <v>485658</v>
      </c>
      <c r="FQ105">
        <f ca="1">IF(FP105&gt;2400000,FP105-2400000,0)</f>
        <v>0</v>
      </c>
      <c r="FR105">
        <f ca="1">FQ105*0.3</f>
        <v>0</v>
      </c>
      <c r="FS105">
        <f ca="1">IF(FP105&gt;2000000,FP105-2000000,0)</f>
        <v>0</v>
      </c>
      <c r="FT105">
        <f ca="1">FS105*0.25</f>
        <v>0</v>
      </c>
      <c r="FU105">
        <f ca="1">IF(FP105&gt;1600000,FP105-1600000-FQ105,0)</f>
        <v>0</v>
      </c>
      <c r="FV105">
        <f ca="1">FU105*0.2</f>
        <v>0</v>
      </c>
      <c r="FW105">
        <f ca="1">IF(FP105&gt;1200000,FP105-1200000-IF(F105="YES",50000,0)-FU105,0)</f>
        <v>0</v>
      </c>
      <c r="FX105">
        <f ca="1">FW105*0.15</f>
        <v>0</v>
      </c>
      <c r="FY105">
        <f ca="1">IF(FP105&gt;800000,FP105-800000-FQ105-FU105-FW105,0)</f>
        <v>0</v>
      </c>
      <c r="FZ105">
        <f ca="1">FY105*0.1</f>
        <v>0</v>
      </c>
      <c r="GA105">
        <f ca="1">IF(FP105&gt;400000,FP105-400000-FQ105-FU105-FW105-FY105,0)</f>
        <v>85658</v>
      </c>
      <c r="GB105">
        <f ca="1">GA105*0.05</f>
        <v>4282.9000000000005</v>
      </c>
      <c r="GC105">
        <f ca="1">ROUND(FR105+FT105+FV105+FX105+FZ105+GB105,0)</f>
        <v>4283</v>
      </c>
      <c r="GD105">
        <f ca="1">IF(FP105&gt;1200000,FP105,0)</f>
        <v>0</v>
      </c>
      <c r="GE105">
        <f ca="1">IF(FP105&gt;1200000,GD105-1200000,0)</f>
        <v>0</v>
      </c>
      <c r="GF105">
        <f ca="1">IF(FP105&lt;1200001,MIN(GC105,60000),0)</f>
        <v>4283</v>
      </c>
      <c r="GG105">
        <f ca="1">IF(FP105&gt;1200000,GC105-GE105,0)</f>
        <v>0</v>
      </c>
      <c r="GH105" t="b">
        <f ca="1">IF(GG105&gt;0,TRUE,FALSE)</f>
        <v>0</v>
      </c>
      <c r="GI105">
        <f ca="1">IF(GH105,GG105,0)</f>
        <v>0</v>
      </c>
      <c r="GJ105">
        <f ca="1">GF105+GI105</f>
        <v>4283</v>
      </c>
      <c r="GK105">
        <f ca="1">ROUND(GC105-GJ105,0)</f>
        <v>0</v>
      </c>
      <c r="GL105">
        <f ca="1">GK105*0.04</f>
        <v>0</v>
      </c>
      <c r="GM105">
        <f ca="1">ROUNDUP(GK105+GL105,0)</f>
        <v>0</v>
      </c>
    </row>
    <row r="106" spans="1:195" x14ac:dyDescent="0.25">
      <c r="A106">
        <f>_xlfn.AGGREGATE(3,5,$B$2:B106)</f>
        <v>105</v>
      </c>
      <c r="B106" t="s">
        <v>329</v>
      </c>
      <c r="C106" t="s">
        <v>330</v>
      </c>
      <c r="D106" t="s">
        <v>780</v>
      </c>
      <c r="E106" t="s">
        <v>833</v>
      </c>
      <c r="F106" t="s">
        <v>959</v>
      </c>
      <c r="G106" t="s">
        <v>881</v>
      </c>
      <c r="H106">
        <f>IF(_xlfn.DAYS("31-03-2025",G106)&gt;=180,6800,0)</f>
        <v>6800</v>
      </c>
      <c r="I106">
        <f>_xlfn.XLOOKUP(B106,'[1]march-2025'!$A:$A,'[1]march-2025'!$J:$J,0,0)</f>
        <v>0</v>
      </c>
      <c r="J106">
        <f>_xlfn.XLOOKUP(B106,'[1]march-2025'!$A:$A,'[1]march-2025'!$C:$C,0,0)</f>
        <v>27000</v>
      </c>
      <c r="K106">
        <f>J106*0.14</f>
        <v>3780.0000000000005</v>
      </c>
      <c r="L106">
        <f>J106*0.12</f>
        <v>3240</v>
      </c>
      <c r="M106">
        <f>_xlfn.XLOOKUP(B106,'[1]march-2025'!$A:$A,'[1]march-2025'!$D:$D,0,0)</f>
        <v>0</v>
      </c>
      <c r="N106">
        <f>_xlfn.XLOOKUP(B106,'[1]march-2025'!$A:$A,'[1]march-2025'!$G:$G,0,0)</f>
        <v>500</v>
      </c>
      <c r="O106">
        <f>IF(J106&gt;0,SUM(J106:N106),0)</f>
        <v>34520</v>
      </c>
      <c r="P106">
        <f>_xlfn.XLOOKUP(B106,'[1]march-2025'!$A:$A,'[1]march-2025'!$H:$H,0,0)</f>
        <v>2000</v>
      </c>
      <c r="Q106">
        <f>_xlfn.XLOOKUP(B106,'[1]march-2025'!$A:$A,'[1]march-2025'!$I:$I,0,0)</f>
        <v>0</v>
      </c>
      <c r="R106">
        <f>IF($F106="YES",0,IF(O106&gt;40000,200,IF(O106&gt;25000,150,IF(O106&gt;15000,130,IF(O106&gt;10000,110,0)))))</f>
        <v>150</v>
      </c>
      <c r="S106">
        <f>O106-P106-Q106-R106</f>
        <v>32370</v>
      </c>
      <c r="T106">
        <f>_xlfn.XLOOKUP(B106,'[2]april-2025'!$A:$A,'[2]april-2025'!$C:$C,0,0)</f>
        <v>27000</v>
      </c>
      <c r="U106">
        <f>T106*0.18</f>
        <v>4860</v>
      </c>
      <c r="V106">
        <f>T106*0.12</f>
        <v>3240</v>
      </c>
      <c r="W106">
        <f>_xlfn.XLOOKUP(B106,'[2]april-2025'!$A:$A,'[2]april-2025'!$D:$D,0,0)</f>
        <v>0</v>
      </c>
      <c r="X106">
        <f>_xlfn.XLOOKUP(B106,'[2]april-2025'!$A:$A,'[2]april-2025'!$G:$G,0,0)</f>
        <v>500</v>
      </c>
      <c r="Y106">
        <f>IF(T106&gt;0,SUM(T106:X106),0)</f>
        <v>35600</v>
      </c>
      <c r="Z106">
        <f>_xlfn.XLOOKUP(B106,'[2]april-2025'!$A:$A,'[2]april-2025'!$H:$H,0,0)</f>
        <v>2000</v>
      </c>
      <c r="AA106">
        <f>_xlfn.XLOOKUP(B106,'[2]april-2025'!$A:$A,'[2]april-2025'!$I:$I,0,0)</f>
        <v>0</v>
      </c>
      <c r="AB106">
        <f>IF($F106="YES",0,IF(Y106&gt;40000,200,IF(Y106&gt;25000,150,IF(Y106&gt;15000,130,IF(Y106&gt;10000,110,0)))))</f>
        <v>150</v>
      </c>
      <c r="AC106">
        <f>Y106-Z106-AA106-AB106</f>
        <v>33450</v>
      </c>
      <c r="AD106">
        <f>_xlfn.XLOOKUP(B106,'[3]may-2025'!$A:$A,'[3]may-2025'!$C:$C,0,0)</f>
        <v>31600</v>
      </c>
      <c r="AE106">
        <f>AD106*0.18</f>
        <v>5688</v>
      </c>
      <c r="AF106">
        <f>AD106*0.12</f>
        <v>3792</v>
      </c>
      <c r="AG106">
        <f>_xlfn.XLOOKUP(B106,'[3]may-2025'!$A:$A,'[3]may-2025'!$D:$D,0,0)</f>
        <v>0</v>
      </c>
      <c r="AH106">
        <f>_xlfn.XLOOKUP(B106,'[3]may-2025'!$A:$A,'[3]may-2025'!$G:$G,0,0)</f>
        <v>500</v>
      </c>
      <c r="AI106">
        <f>IF(AD106&gt;0,SUM(AD106:AH106),0)</f>
        <v>41580</v>
      </c>
      <c r="AJ106">
        <f>_xlfn.XLOOKUP(B106,'[3]may-2025'!$A:$A,'[3]may-2025'!$H:$H,0,0)</f>
        <v>2000</v>
      </c>
      <c r="AK106">
        <f>_xlfn.XLOOKUP(B106,'[3]may-2025'!$A:$A,'[3]may-2025'!$I:$I,0,0)</f>
        <v>0</v>
      </c>
      <c r="AL106">
        <f>IF($F106="YES",0,IF(AI106&gt;40000,200,IF(AI106&gt;25000,150,IF(AI106&gt;15000,130,IF(AI106&gt;10000,110,0)))))</f>
        <v>200</v>
      </c>
      <c r="AM106">
        <f>AI106-AJ106-AK106-AL106</f>
        <v>39380</v>
      </c>
      <c r="AN106">
        <f>_xlfn.XLOOKUP(B106,'[4]june-2025'!$A:$A,'[4]june-2025'!$C:$C,0,0)</f>
        <v>31600</v>
      </c>
      <c r="AO106">
        <f>AN106*0.18</f>
        <v>5688</v>
      </c>
      <c r="AP106">
        <f>AN106*0.12</f>
        <v>3792</v>
      </c>
      <c r="AQ106">
        <f>_xlfn.XLOOKUP(B106,'[4]june-2025'!$A:$A,'[4]june-2025'!$D:$D,0,0)</f>
        <v>0</v>
      </c>
      <c r="AR106">
        <f>_xlfn.XLOOKUP(B106,'[4]june-2025'!$A:$A,'[4]june-2025'!$G:$G,0,0)</f>
        <v>500</v>
      </c>
      <c r="AS106">
        <f>IF(AN106&gt;0,SUM(AN106:AR106),0)</f>
        <v>41580</v>
      </c>
      <c r="AT106">
        <f>_xlfn.XLOOKUP(B106,'[4]june-2025'!$A:$A,'[4]june-2025'!$H:$H,0,0)</f>
        <v>2000</v>
      </c>
      <c r="AU106">
        <f>_xlfn.XLOOKUP(B106,'[4]june-2025'!$A:$A,'[4]june-2025'!$I:$I,0,0)</f>
        <v>0</v>
      </c>
      <c r="AV106">
        <f>IF($F106="YES",0,IF(AS106&gt;40000,200,IF(AS106&gt;25000,150,IF(AS106&gt;15000,130,IF(AS106&gt;10000,110,0)))))</f>
        <v>200</v>
      </c>
      <c r="AW106">
        <f>AS106-AT106-AU106-AV106</f>
        <v>39380</v>
      </c>
      <c r="AX106">
        <f>_xlfn.XLOOKUP(B106,'[5]july-2025'!$A:$A,'[5]july-2025'!$C:$C,0,0)</f>
        <v>32500</v>
      </c>
      <c r="AY106">
        <f>AX106*0.18</f>
        <v>5850</v>
      </c>
      <c r="AZ106">
        <v>0</v>
      </c>
      <c r="BA106">
        <f>AX106*0.12</f>
        <v>3900</v>
      </c>
      <c r="BB106">
        <f>_xlfn.XLOOKUP(B106,'[5]july-2025'!$A:$A,'[5]july-2025'!$D:$D,0,0)</f>
        <v>0</v>
      </c>
      <c r="BC106">
        <f>_xlfn.XLOOKUP(B106,'[5]july-2025'!$A:$A,'[5]july-2025'!$G:$G,0,0)</f>
        <v>500</v>
      </c>
      <c r="BD106">
        <f>IF(AX106&gt;0,SUM(AX106:BC106),0)</f>
        <v>42750</v>
      </c>
      <c r="BE106">
        <f>_xlfn.XLOOKUP(B106,'[5]july-2025'!$A:$A,'[5]july-2025'!$H:$H,0,0)</f>
        <v>2000</v>
      </c>
      <c r="BF106">
        <f>_xlfn.XLOOKUP(B106,'[5]july-2025'!$A:$A,'[5]july-2025'!$I:$I,0,0)</f>
        <v>0</v>
      </c>
      <c r="BG106">
        <f>IF($F106="YES",0,IF(BD106&gt;40000,200,IF(BD106&gt;25000,150,IF(BD106&gt;15000,130,IF(BD106&gt;10000,110,0)))))</f>
        <v>200</v>
      </c>
      <c r="BH106">
        <f>BD106-BE106-BF106-BG106</f>
        <v>40550</v>
      </c>
      <c r="BI106">
        <f>_xlfn.XLOOKUP(B106,'[6]august-2025'!$A:$A,'[6]august-2025'!$C:$C,0,0)</f>
        <v>32500</v>
      </c>
      <c r="BJ106">
        <f>BI106*0.18</f>
        <v>5850</v>
      </c>
      <c r="BK106">
        <f>BI106*0.12</f>
        <v>3900</v>
      </c>
      <c r="BL106">
        <f>_xlfn.XLOOKUP(B106,'[6]august-2025'!$A:$A,'[6]august-2025'!$D:$D,0,0)</f>
        <v>0</v>
      </c>
      <c r="BM106">
        <f>_xlfn.XLOOKUP(B106,'[6]august-2025'!$A:$A,'[6]august-2025'!$G:$G,0,0)</f>
        <v>500</v>
      </c>
      <c r="BN106">
        <f>IF(BI106&gt;0,SUM(BI106:BM106),0)</f>
        <v>42750</v>
      </c>
      <c r="BO106">
        <f>_xlfn.XLOOKUP(B106,'[6]august-2025'!$A:$A,'[6]august-2025'!$H:$H,0,0)</f>
        <v>2000</v>
      </c>
      <c r="BP106">
        <f>_xlfn.XLOOKUP(B106,'[6]august-2025'!$A:$A,'[6]august-2025'!$I:$I,0,0)</f>
        <v>0</v>
      </c>
      <c r="BQ106">
        <f>IF($F106="YES",0,IF(BN106&gt;40000,200,IF(BN106&gt;25000,150,IF(BN106&gt;15000,130,IF(BN106&gt;10000,110,0)))))</f>
        <v>200</v>
      </c>
      <c r="BR106">
        <f>BN106-BO106-BP106-BQ106</f>
        <v>40550</v>
      </c>
      <c r="BS106">
        <f>_xlfn.XLOOKUP(B106,'[7]september-2025'!$A:$A,'[7]september-2025'!$C:$C,0,0)</f>
        <v>32500</v>
      </c>
      <c r="BT106">
        <f>BS106*0.18</f>
        <v>5850</v>
      </c>
      <c r="BU106">
        <f>BS106*0.12</f>
        <v>3900</v>
      </c>
      <c r="BV106">
        <f>_xlfn.XLOOKUP(B106,'[7]september-2025'!$A:$A,'[7]september-2025'!$D:$D,0,0)</f>
        <v>0</v>
      </c>
      <c r="BW106">
        <f>_xlfn.XLOOKUP(B106,'[7]september-2025'!$A:$A,'[7]september-2025'!$G:$G,0,0)</f>
        <v>500</v>
      </c>
      <c r="BX106">
        <f>IF(BS106&gt;0,SUM(BS106:BW106),0)</f>
        <v>42750</v>
      </c>
      <c r="BY106">
        <f>_xlfn.XLOOKUP(B106,'[7]september-2025'!$A:$A,'[7]september-2025'!$H:$H,0,0)</f>
        <v>2000</v>
      </c>
      <c r="BZ106">
        <f>_xlfn.XLOOKUP(B106,'[7]september-2025'!$A:$A,'[7]september-2025'!$I:$I,0,0)</f>
        <v>0</v>
      </c>
      <c r="CA106">
        <f>IF($F106="YES",0,IF(BX106&gt;40000,200,IF(BX106&gt;25000,150,IF(BX106&gt;15000,130,IF(BX106&gt;10000,110,0)))))</f>
        <v>200</v>
      </c>
      <c r="CB106">
        <f>BX106-BY106-BZ106-CA106</f>
        <v>40550</v>
      </c>
      <c r="CC106">
        <f>_xlfn.XLOOKUP(B106,'[8]october-2025'!$A:$A,'[8]october-2025'!$C:$C,0,0)</f>
        <v>32500</v>
      </c>
      <c r="CD106">
        <f>CC106*0.18</f>
        <v>5850</v>
      </c>
      <c r="CE106">
        <f>CC106*0.12</f>
        <v>3900</v>
      </c>
      <c r="CF106">
        <f>_xlfn.XLOOKUP(B106,'[8]october-2025'!$A:$A,'[8]october-2025'!$D:$D,0,0)</f>
        <v>0</v>
      </c>
      <c r="CG106">
        <f>_xlfn.XLOOKUP(B106,'[8]october-2025'!$A:$A,'[8]october-2025'!$G:$G,0,0)</f>
        <v>500</v>
      </c>
      <c r="CH106">
        <f>IF(CC106&gt;0,SUM(CC106:CG106),0)</f>
        <v>42750</v>
      </c>
      <c r="CI106">
        <f>_xlfn.XLOOKUP(B106,'[8]october-2025'!$A:$A,'[8]october-2025'!$H:$H,0,0)</f>
        <v>2000</v>
      </c>
      <c r="CJ106">
        <f>_xlfn.XLOOKUP(B106,'[8]october-2025'!$A:$A,'[8]october-2025'!$I:$I,0,0)</f>
        <v>0</v>
      </c>
      <c r="CK106">
        <f>IF($F106="YES",0,IF(CH106&gt;40000,200,IF(CH106&gt;25000,150,IF(CH106&gt;15000,130,IF(CH106&gt;10000,110,0)))))</f>
        <v>200</v>
      </c>
      <c r="CL106">
        <f>CH106-CI106-CJ106-CK106</f>
        <v>40550</v>
      </c>
      <c r="CM106">
        <f>_xlfn.XLOOKUP(B106,'[9]november-2025'!$A:$A,'[9]november-2025'!$C:$C,0,0)</f>
        <v>32500</v>
      </c>
      <c r="CN106">
        <f>CM106*0.18</f>
        <v>5850</v>
      </c>
      <c r="CO106">
        <f>CM106*0.12</f>
        <v>3900</v>
      </c>
      <c r="CP106">
        <f>_xlfn.XLOOKUP(B106,'[9]november-2025'!$A:$A,'[9]november-2025'!$D:$D,0,0)</f>
        <v>0</v>
      </c>
      <c r="CQ106">
        <f>_xlfn.XLOOKUP(B106,'[9]november-2025'!$A:$A,'[9]november-2025'!$G:$G,0,0)</f>
        <v>500</v>
      </c>
      <c r="CR106">
        <f>IF(CM106&gt;0,SUM(CM106:CQ106),0)</f>
        <v>42750</v>
      </c>
      <c r="CS106">
        <f>_xlfn.XLOOKUP(B106,'[9]november-2025'!$A:$A,'[9]november-2025'!$H:$H,0,0)</f>
        <v>2000</v>
      </c>
      <c r="CT106">
        <f>_xlfn.XLOOKUP(B106,'[9]november-2025'!$A:$A,'[9]november-2025'!$I:$I,0,0)</f>
        <v>0</v>
      </c>
      <c r="CU106">
        <f>IF($F106="YES",0,IF(CR106&gt;40000,200,IF(CR106&gt;25000,150,IF(CR106&gt;15000,130,IF(CR106&gt;10000,110,0)))))</f>
        <v>200</v>
      </c>
      <c r="CV106">
        <f>CR106-CS106-CT106-CU106</f>
        <v>40550</v>
      </c>
      <c r="CW106">
        <f>_xlfn.XLOOKUP(B106,'[10]december-2025'!$A:$A,'[10]december-2025'!$C:$C,0,0)</f>
        <v>32500</v>
      </c>
      <c r="CX106">
        <f>ROUND(CW106*0.18,0)</f>
        <v>5850</v>
      </c>
      <c r="CY106">
        <f>ROUND(CW106*0.12,0)</f>
        <v>3900</v>
      </c>
      <c r="CZ106">
        <f>_xlfn.XLOOKUP(B106,'[10]december-2025'!$A:$A,'[10]december-2025'!$D:$D,0,0)</f>
        <v>0</v>
      </c>
      <c r="DA106">
        <f>_xlfn.XLOOKUP(B106,'[10]december-2025'!$A:$A,'[10]december-2025'!$G:$G,0,0)</f>
        <v>500</v>
      </c>
      <c r="DB106">
        <f>IF(CW106&gt;0,SUM(CW106:DA106),0)</f>
        <v>42750</v>
      </c>
      <c r="DC106">
        <f>_xlfn.XLOOKUP(B106,'[10]december-2025'!$A:$A,'[10]december-2025'!$H:$H,0,0)</f>
        <v>2000</v>
      </c>
      <c r="DD106">
        <f>_xlfn.XLOOKUP(B106,'[10]december-2025'!$A:$A,'[10]december-2025'!$I:$I,0,0)</f>
        <v>0</v>
      </c>
      <c r="DE106">
        <f>IF($F106="YES",0,IF(DB106&gt;40000,200,IF(DB106&gt;25000,150,IF(DB106&gt;15000,130,IF(DB106&gt;10000,110,0)))))</f>
        <v>200</v>
      </c>
      <c r="DF106">
        <f>DB106-DC106-DD106-DE106</f>
        <v>40550</v>
      </c>
      <c r="DG106">
        <f>_xlfn.XLOOKUP(B106,'[11]january-2026'!$A:$A,'[11]january-2026'!$C:$C,0,0)</f>
        <v>32500</v>
      </c>
      <c r="DH106">
        <f>DG106*0.18</f>
        <v>5850</v>
      </c>
      <c r="DI106">
        <f>DG106*0.12</f>
        <v>3900</v>
      </c>
      <c r="DJ106">
        <f>_xlfn.XLOOKUP(B106,'[11]january-2026'!$A:$A,'[11]january-2026'!$D:$D,0,0)</f>
        <v>0</v>
      </c>
      <c r="DK106">
        <f>_xlfn.XLOOKUP(B106,'[11]january-2026'!$A:$A,'[11]january-2026'!$G:$G,0,0)</f>
        <v>500</v>
      </c>
      <c r="DL106">
        <f>IF(DG106&gt;0,SUM(DG106:DK106),0)</f>
        <v>42750</v>
      </c>
      <c r="DM106">
        <f>_xlfn.XLOOKUP(B106,'[11]january-2026'!$A:$A,'[11]january-2026'!$H:$H,0,0)</f>
        <v>2000</v>
      </c>
      <c r="DN106">
        <f>_xlfn.XLOOKUP(B106,'[11]january-2026'!$A:$A,'[11]january-2026'!$I:$I,0,0)</f>
        <v>0</v>
      </c>
      <c r="DO106">
        <f>IF($F106="YES",0,IF(DL106&gt;40000,200,IF(DL106&gt;25000,150,IF(DL106&gt;15000,130,IF(DL106&gt;10000,110,0)))))</f>
        <v>200</v>
      </c>
      <c r="DP106">
        <f>DL106-DM106-DN106-DO106</f>
        <v>40550</v>
      </c>
      <c r="DQ106">
        <f>_xlfn.XLOOKUP(B106,'[12]february-2026'!$A:$A,'[12]february-2026'!$C:$C,0,0)</f>
        <v>32500</v>
      </c>
      <c r="DR106">
        <f>DQ106*0.18</f>
        <v>5850</v>
      </c>
      <c r="DS106">
        <f>DQ106*0.12</f>
        <v>3900</v>
      </c>
      <c r="DT106">
        <f>_xlfn.XLOOKUP(B106,'[12]february-2026'!$A:$A,'[12]february-2026'!$D:$D,0,0)</f>
        <v>0</v>
      </c>
      <c r="DU106">
        <f>_xlfn.XLOOKUP(B106,'[12]february-2026'!$A:$A,'[12]february-2026'!$G:$G,0,0)</f>
        <v>500</v>
      </c>
      <c r="DV106">
        <f>IF(DQ106&gt;0,SUM(DQ106:DU106),0)</f>
        <v>42750</v>
      </c>
      <c r="DW106">
        <f>_xlfn.XLOOKUP(B106,'[12]february-2026'!$A:$A,'[12]february-2026'!$H:$H,0,0)</f>
        <v>2000</v>
      </c>
      <c r="DX106">
        <f>_xlfn.XLOOKUP(B106,'[12]february-2026'!$A:$A,'[12]february-2026'!$I:$I,0,0)</f>
        <v>0</v>
      </c>
      <c r="DY106">
        <f>IF($F106="YES",0,IF(DV106&gt;40000,200,IF(DV106&gt;25000,150,IF(DV106&gt;15000,130,IF(DV106&gt;10000,110,0)))))</f>
        <v>200</v>
      </c>
      <c r="DZ106">
        <f>DV106-DW106-DX106-DY106</f>
        <v>40550</v>
      </c>
      <c r="EA106">
        <f>DV106+DL106+DB106+CR106+CH106+BX106+BN106+BD106+AS106+AI106+Y106+O106+H106+I106</f>
        <v>502080</v>
      </c>
      <c r="EB106">
        <f>DY106+DO106+DE106+CU106+CK106+CA106+BQ106+BG106+AV106+AL106+AB106+R106</f>
        <v>2300</v>
      </c>
      <c r="EC106">
        <f>IF(EA106&gt;0,50000,0)</f>
        <v>50000</v>
      </c>
      <c r="ED106">
        <v>0</v>
      </c>
      <c r="EE106">
        <f>EA106-EB106-EC106</f>
        <v>449780</v>
      </c>
      <c r="EF106">
        <f>DW106+DM106+DC106+CS106+CI106+BY106+BO106+BE106+AT106+AJ106+Z106+P106</f>
        <v>24000</v>
      </c>
      <c r="EG106">
        <f>DX106+DN106+DD106+CT106+CJ106+BZ106+BP106+BF106+AU106+AK106+AA106+Q106</f>
        <v>0</v>
      </c>
      <c r="EH106">
        <v>0</v>
      </c>
      <c r="EI106">
        <v>0</v>
      </c>
      <c r="EJ106">
        <v>0</v>
      </c>
      <c r="EK106">
        <v>0</v>
      </c>
      <c r="EL106">
        <v>0</v>
      </c>
      <c r="EM106">
        <v>0</v>
      </c>
      <c r="EN106">
        <v>0</v>
      </c>
      <c r="EO106">
        <v>0</v>
      </c>
      <c r="EP106">
        <v>0</v>
      </c>
      <c r="EQ106">
        <v>0</v>
      </c>
      <c r="ER106">
        <f>SUM(EF106:EQ106)</f>
        <v>24000</v>
      </c>
      <c r="ES106">
        <f>IF(ER106&gt;=150000,150000,ER106)</f>
        <v>24000</v>
      </c>
      <c r="ET106">
        <f>EE106-ES106</f>
        <v>425780</v>
      </c>
      <c r="EU106">
        <v>0</v>
      </c>
      <c r="EV106">
        <v>0</v>
      </c>
      <c r="EW106">
        <v>0</v>
      </c>
      <c r="EX106">
        <v>0</v>
      </c>
      <c r="EY106">
        <v>0</v>
      </c>
      <c r="EZ106">
        <v>0</v>
      </c>
      <c r="FA106">
        <v>0</v>
      </c>
      <c r="FB106">
        <f>SUM(EU106:FA106)+(IF(F106="YES",50000,0))</f>
        <v>0</v>
      </c>
      <c r="FC106">
        <f>ET106-FB106</f>
        <v>425780</v>
      </c>
      <c r="FD106">
        <f>ROUND(IF(FC106&gt;0,IF(FC106&gt;500000,12500,(FC106-250000)*0.05),0),0)</f>
        <v>8789</v>
      </c>
      <c r="FE106">
        <f>IF(ROUND(IF(FC106&gt;0,IF(FC106&gt;1000000,25000,(FC106-500000)*0.2),0),0)&lt;0,0,ROUND(IF(FC106&gt;0,IF(FC106&gt;1000000,25000,(FC106-500000)*0.2),0),0))</f>
        <v>0</v>
      </c>
      <c r="FF106">
        <f>FD106+FE106</f>
        <v>8789</v>
      </c>
      <c r="FG106">
        <f>IF(FF106&lt;12500,0,FF106)</f>
        <v>0</v>
      </c>
      <c r="FH106">
        <f>FG106*0.04</f>
        <v>0</v>
      </c>
      <c r="FI106">
        <f>ROUND(FH106+FG106,0)</f>
        <v>0</v>
      </c>
      <c r="FJ106">
        <v>0</v>
      </c>
      <c r="FK106">
        <f>FI106-FJ106</f>
        <v>0</v>
      </c>
      <c r="FL106" t="b">
        <f>IF(EA106&gt;500000,TRUE,FALSE)</f>
        <v>1</v>
      </c>
      <c r="FM106">
        <f ca="1">IF(FL106,RANDBETWEEN(500,1000),RANDBETWEEN(1000,3000))</f>
        <v>705</v>
      </c>
      <c r="FN106">
        <f ca="1">EA106+FM106</f>
        <v>502785</v>
      </c>
      <c r="FO106">
        <f>IF(EA106&gt;0,75000,0)</f>
        <v>75000</v>
      </c>
      <c r="FP106">
        <f ca="1">FN106-FO106</f>
        <v>427785</v>
      </c>
      <c r="FQ106">
        <f ca="1">IF(FP106&gt;2400000,FP106-2400000,0)</f>
        <v>0</v>
      </c>
      <c r="FR106">
        <f ca="1">FQ106*0.3</f>
        <v>0</v>
      </c>
      <c r="FS106">
        <f ca="1">IF(FP106&gt;2000000,FP106-2000000,0)</f>
        <v>0</v>
      </c>
      <c r="FT106">
        <f ca="1">FS106*0.25</f>
        <v>0</v>
      </c>
      <c r="FU106">
        <f ca="1">IF(FP106&gt;1600000,FP106-1600000-FQ106,0)</f>
        <v>0</v>
      </c>
      <c r="FV106">
        <f ca="1">FU106*0.2</f>
        <v>0</v>
      </c>
      <c r="FW106">
        <f ca="1">IF(FP106&gt;1200000,FP106-1200000-IF(F106="YES",50000,0)-FU106,0)</f>
        <v>0</v>
      </c>
      <c r="FX106">
        <f ca="1">FW106*0.15</f>
        <v>0</v>
      </c>
      <c r="FY106">
        <f ca="1">IF(FP106&gt;800000,FP106-800000-FQ106-FU106-FW106,0)</f>
        <v>0</v>
      </c>
      <c r="FZ106">
        <f ca="1">FY106*0.1</f>
        <v>0</v>
      </c>
      <c r="GA106">
        <f ca="1">IF(FP106&gt;400000,FP106-400000-FQ106-FU106-FW106-FY106,0)</f>
        <v>27785</v>
      </c>
      <c r="GB106">
        <f ca="1">GA106*0.05</f>
        <v>1389.25</v>
      </c>
      <c r="GC106">
        <f ca="1">ROUND(FR106+FT106+FV106+FX106+FZ106+GB106,0)</f>
        <v>1389</v>
      </c>
      <c r="GD106">
        <f ca="1">IF(FP106&gt;1200000,FP106,0)</f>
        <v>0</v>
      </c>
      <c r="GE106">
        <f ca="1">IF(FP106&gt;1200000,GD106-1200000,0)</f>
        <v>0</v>
      </c>
      <c r="GF106">
        <f ca="1">IF(FP106&lt;1200001,MIN(GC106,60000),0)</f>
        <v>1389</v>
      </c>
      <c r="GG106">
        <f ca="1">IF(FP106&gt;1200000,GC106-GE106,0)</f>
        <v>0</v>
      </c>
      <c r="GH106" t="b">
        <f ca="1">IF(GG106&gt;0,TRUE,FALSE)</f>
        <v>0</v>
      </c>
      <c r="GI106">
        <f ca="1">IF(GH106,GG106,0)</f>
        <v>0</v>
      </c>
      <c r="GJ106">
        <f ca="1">GF106+GI106</f>
        <v>1389</v>
      </c>
      <c r="GK106">
        <f ca="1">ROUND(GC106-GJ106,0)</f>
        <v>0</v>
      </c>
      <c r="GL106">
        <f ca="1">GK106*0.04</f>
        <v>0</v>
      </c>
      <c r="GM106">
        <f ca="1">ROUNDUP(GK106+GL106,0)</f>
        <v>0</v>
      </c>
    </row>
    <row r="107" spans="1:195" x14ac:dyDescent="0.25">
      <c r="A107">
        <f>_xlfn.AGGREGATE(3,5,$B$2:B107)</f>
        <v>106</v>
      </c>
      <c r="B107" t="s">
        <v>331</v>
      </c>
      <c r="C107" t="s">
        <v>332</v>
      </c>
      <c r="D107" t="s">
        <v>780</v>
      </c>
      <c r="E107" t="s">
        <v>833</v>
      </c>
      <c r="F107" t="s">
        <v>959</v>
      </c>
      <c r="G107" t="s">
        <v>906</v>
      </c>
      <c r="H107">
        <f>IF(_xlfn.DAYS("31-03-2025",G107)&gt;=180,6800,0)</f>
        <v>6800</v>
      </c>
      <c r="I107">
        <f>_xlfn.XLOOKUP(B107,'[1]march-2025'!$A:$A,'[1]march-2025'!$J:$J,0,0)</f>
        <v>0</v>
      </c>
      <c r="J107">
        <f>_xlfn.XLOOKUP(B107,'[1]march-2025'!$A:$A,'[1]march-2025'!$C:$C,0,0)</f>
        <v>28900</v>
      </c>
      <c r="K107">
        <f>J107*0.14</f>
        <v>4046.0000000000005</v>
      </c>
      <c r="L107">
        <f>J107*0.12</f>
        <v>3468</v>
      </c>
      <c r="M107">
        <f>_xlfn.XLOOKUP(B107,'[1]march-2025'!$A:$A,'[1]march-2025'!$D:$D,0,0)</f>
        <v>0</v>
      </c>
      <c r="N107">
        <f>_xlfn.XLOOKUP(B107,'[1]march-2025'!$A:$A,'[1]march-2025'!$G:$G,0,0)</f>
        <v>500</v>
      </c>
      <c r="O107">
        <f>IF(J107&gt;0,SUM(J107:N107),0)</f>
        <v>36914</v>
      </c>
      <c r="P107">
        <f>_xlfn.XLOOKUP(B107,'[1]march-2025'!$A:$A,'[1]march-2025'!$H:$H,0,0)</f>
        <v>2000</v>
      </c>
      <c r="Q107">
        <f>_xlfn.XLOOKUP(B107,'[1]march-2025'!$A:$A,'[1]march-2025'!$I:$I,0,0)</f>
        <v>0</v>
      </c>
      <c r="R107">
        <f>IF($F107="YES",0,IF(O107&gt;40000,200,IF(O107&gt;25000,150,IF(O107&gt;15000,130,IF(O107&gt;10000,110,0)))))</f>
        <v>150</v>
      </c>
      <c r="S107">
        <f>O107-P107-Q107-R107</f>
        <v>34764</v>
      </c>
      <c r="T107">
        <f>_xlfn.XLOOKUP(B107,'[2]april-2025'!$A:$A,'[2]april-2025'!$C:$C,0,0)</f>
        <v>28900</v>
      </c>
      <c r="U107">
        <f>T107*0.18</f>
        <v>5202</v>
      </c>
      <c r="V107">
        <f>T107*0.12</f>
        <v>3468</v>
      </c>
      <c r="W107">
        <f>_xlfn.XLOOKUP(B107,'[2]april-2025'!$A:$A,'[2]april-2025'!$D:$D,0,0)</f>
        <v>0</v>
      </c>
      <c r="X107">
        <f>_xlfn.XLOOKUP(B107,'[2]april-2025'!$A:$A,'[2]april-2025'!$G:$G,0,0)</f>
        <v>500</v>
      </c>
      <c r="Y107">
        <f>IF(T107&gt;0,SUM(T107:X107),0)</f>
        <v>38070</v>
      </c>
      <c r="Z107">
        <f>_xlfn.XLOOKUP(B107,'[2]april-2025'!$A:$A,'[2]april-2025'!$H:$H,0,0)</f>
        <v>2000</v>
      </c>
      <c r="AA107">
        <f>_xlfn.XLOOKUP(B107,'[2]april-2025'!$A:$A,'[2]april-2025'!$I:$I,0,0)</f>
        <v>0</v>
      </c>
      <c r="AB107">
        <f>IF($F107="YES",0,IF(Y107&gt;40000,200,IF(Y107&gt;25000,150,IF(Y107&gt;15000,130,IF(Y107&gt;10000,110,0)))))</f>
        <v>150</v>
      </c>
      <c r="AC107">
        <f>Y107-Z107-AA107-AB107</f>
        <v>35920</v>
      </c>
      <c r="AD107">
        <f>_xlfn.XLOOKUP(B107,'[3]may-2025'!$A:$A,'[3]may-2025'!$C:$C,0,0)</f>
        <v>28900</v>
      </c>
      <c r="AE107">
        <f>AD107*0.18</f>
        <v>5202</v>
      </c>
      <c r="AF107">
        <f>AD107*0.12</f>
        <v>3468</v>
      </c>
      <c r="AG107">
        <f>_xlfn.XLOOKUP(B107,'[3]may-2025'!$A:$A,'[3]may-2025'!$D:$D,0,0)</f>
        <v>0</v>
      </c>
      <c r="AH107">
        <f>_xlfn.XLOOKUP(B107,'[3]may-2025'!$A:$A,'[3]may-2025'!$G:$G,0,0)</f>
        <v>500</v>
      </c>
      <c r="AI107">
        <f>IF(AD107&gt;0,SUM(AD107:AH107),0)</f>
        <v>38070</v>
      </c>
      <c r="AJ107">
        <f>_xlfn.XLOOKUP(B107,'[3]may-2025'!$A:$A,'[3]may-2025'!$H:$H,0,0)</f>
        <v>2000</v>
      </c>
      <c r="AK107">
        <f>_xlfn.XLOOKUP(B107,'[3]may-2025'!$A:$A,'[3]may-2025'!$I:$I,0,0)</f>
        <v>0</v>
      </c>
      <c r="AL107">
        <f>IF($F107="YES",0,IF(AI107&gt;40000,200,IF(AI107&gt;25000,150,IF(AI107&gt;15000,130,IF(AI107&gt;10000,110,0)))))</f>
        <v>150</v>
      </c>
      <c r="AM107">
        <f>AI107-AJ107-AK107-AL107</f>
        <v>35920</v>
      </c>
      <c r="AN107">
        <f>_xlfn.XLOOKUP(B107,'[4]june-2025'!$A:$A,'[4]june-2025'!$C:$C,0,0)</f>
        <v>28900</v>
      </c>
      <c r="AO107">
        <f>AN107*0.18</f>
        <v>5202</v>
      </c>
      <c r="AP107">
        <f>AN107*0.12</f>
        <v>3468</v>
      </c>
      <c r="AQ107">
        <f>_xlfn.XLOOKUP(B107,'[4]june-2025'!$A:$A,'[4]june-2025'!$D:$D,0,0)</f>
        <v>0</v>
      </c>
      <c r="AR107">
        <f>_xlfn.XLOOKUP(B107,'[4]june-2025'!$A:$A,'[4]june-2025'!$G:$G,0,0)</f>
        <v>500</v>
      </c>
      <c r="AS107">
        <f>IF(AN107&gt;0,SUM(AN107:AR107),0)</f>
        <v>38070</v>
      </c>
      <c r="AT107">
        <f>_xlfn.XLOOKUP(B107,'[4]june-2025'!$A:$A,'[4]june-2025'!$H:$H,0,0)</f>
        <v>2000</v>
      </c>
      <c r="AU107">
        <f>_xlfn.XLOOKUP(B107,'[4]june-2025'!$A:$A,'[4]june-2025'!$I:$I,0,0)</f>
        <v>0</v>
      </c>
      <c r="AV107">
        <f>IF($F107="YES",0,IF(AS107&gt;40000,200,IF(AS107&gt;25000,150,IF(AS107&gt;15000,130,IF(AS107&gt;10000,110,0)))))</f>
        <v>150</v>
      </c>
      <c r="AW107">
        <f>AS107-AT107-AU107-AV107</f>
        <v>35920</v>
      </c>
      <c r="AX107">
        <f>_xlfn.XLOOKUP(B107,'[5]july-2025'!$A:$A,'[5]july-2025'!$C:$C,0,0)</f>
        <v>29800</v>
      </c>
      <c r="AY107">
        <f>AX107*0.18</f>
        <v>5364</v>
      </c>
      <c r="AZ107">
        <v>0</v>
      </c>
      <c r="BA107">
        <f>AX107*0.12</f>
        <v>3576</v>
      </c>
      <c r="BB107">
        <f>_xlfn.XLOOKUP(B107,'[5]july-2025'!$A:$A,'[5]july-2025'!$D:$D,0,0)</f>
        <v>0</v>
      </c>
      <c r="BC107">
        <f>_xlfn.XLOOKUP(B107,'[5]july-2025'!$A:$A,'[5]july-2025'!$G:$G,0,0)</f>
        <v>500</v>
      </c>
      <c r="BD107">
        <f>IF(AX107&gt;0,SUM(AX107:BC107),0)</f>
        <v>39240</v>
      </c>
      <c r="BE107">
        <f>_xlfn.XLOOKUP(B107,'[5]july-2025'!$A:$A,'[5]july-2025'!$H:$H,0,0)</f>
        <v>2000</v>
      </c>
      <c r="BF107">
        <f>_xlfn.XLOOKUP(B107,'[5]july-2025'!$A:$A,'[5]july-2025'!$I:$I,0,0)</f>
        <v>0</v>
      </c>
      <c r="BG107">
        <f>IF($F107="YES",0,IF(BD107&gt;40000,200,IF(BD107&gt;25000,150,IF(BD107&gt;15000,130,IF(BD107&gt;10000,110,0)))))</f>
        <v>150</v>
      </c>
      <c r="BH107">
        <f>BD107-BE107-BF107-BG107</f>
        <v>37090</v>
      </c>
      <c r="BI107">
        <f>_xlfn.XLOOKUP(B107,'[6]august-2025'!$A:$A,'[6]august-2025'!$C:$C,0,0)</f>
        <v>29800</v>
      </c>
      <c r="BJ107">
        <f>BI107*0.18</f>
        <v>5364</v>
      </c>
      <c r="BK107">
        <f>BI107*0.12</f>
        <v>3576</v>
      </c>
      <c r="BL107">
        <f>_xlfn.XLOOKUP(B107,'[6]august-2025'!$A:$A,'[6]august-2025'!$D:$D,0,0)</f>
        <v>0</v>
      </c>
      <c r="BM107">
        <f>_xlfn.XLOOKUP(B107,'[6]august-2025'!$A:$A,'[6]august-2025'!$G:$G,0,0)</f>
        <v>500</v>
      </c>
      <c r="BN107">
        <f>IF(BI107&gt;0,SUM(BI107:BM107),0)</f>
        <v>39240</v>
      </c>
      <c r="BO107">
        <f>_xlfn.XLOOKUP(B107,'[6]august-2025'!$A:$A,'[6]august-2025'!$H:$H,0,0)</f>
        <v>2000</v>
      </c>
      <c r="BP107">
        <f>_xlfn.XLOOKUP(B107,'[6]august-2025'!$A:$A,'[6]august-2025'!$I:$I,0,0)</f>
        <v>0</v>
      </c>
      <c r="BQ107">
        <f>IF($F107="YES",0,IF(BN107&gt;40000,200,IF(BN107&gt;25000,150,IF(BN107&gt;15000,130,IF(BN107&gt;10000,110,0)))))</f>
        <v>150</v>
      </c>
      <c r="BR107">
        <f>BN107-BO107-BP107-BQ107</f>
        <v>37090</v>
      </c>
      <c r="BS107">
        <f>_xlfn.XLOOKUP(B107,'[7]september-2025'!$A:$A,'[7]september-2025'!$C:$C,0,0)</f>
        <v>29800</v>
      </c>
      <c r="BT107">
        <f>BS107*0.18</f>
        <v>5364</v>
      </c>
      <c r="BU107">
        <f>BS107*0.12</f>
        <v>3576</v>
      </c>
      <c r="BV107">
        <f>_xlfn.XLOOKUP(B107,'[7]september-2025'!$A:$A,'[7]september-2025'!$D:$D,0,0)</f>
        <v>0</v>
      </c>
      <c r="BW107">
        <f>_xlfn.XLOOKUP(B107,'[7]september-2025'!$A:$A,'[7]september-2025'!$G:$G,0,0)</f>
        <v>500</v>
      </c>
      <c r="BX107">
        <f>IF(BS107&gt;0,SUM(BS107:BW107),0)</f>
        <v>39240</v>
      </c>
      <c r="BY107">
        <f>_xlfn.XLOOKUP(B107,'[7]september-2025'!$A:$A,'[7]september-2025'!$H:$H,0,0)</f>
        <v>2000</v>
      </c>
      <c r="BZ107">
        <f>_xlfn.XLOOKUP(B107,'[7]september-2025'!$A:$A,'[7]september-2025'!$I:$I,0,0)</f>
        <v>0</v>
      </c>
      <c r="CA107">
        <f>IF($F107="YES",0,IF(BX107&gt;40000,200,IF(BX107&gt;25000,150,IF(BX107&gt;15000,130,IF(BX107&gt;10000,110,0)))))</f>
        <v>150</v>
      </c>
      <c r="CB107">
        <f>BX107-BY107-BZ107-CA107</f>
        <v>37090</v>
      </c>
      <c r="CC107">
        <f>_xlfn.XLOOKUP(B107,'[8]october-2025'!$A:$A,'[8]october-2025'!$C:$C,0,0)</f>
        <v>29800</v>
      </c>
      <c r="CD107">
        <f>CC107*0.18</f>
        <v>5364</v>
      </c>
      <c r="CE107">
        <f>CC107*0.12</f>
        <v>3576</v>
      </c>
      <c r="CF107">
        <f>_xlfn.XLOOKUP(B107,'[8]october-2025'!$A:$A,'[8]october-2025'!$D:$D,0,0)</f>
        <v>0</v>
      </c>
      <c r="CG107">
        <f>_xlfn.XLOOKUP(B107,'[8]october-2025'!$A:$A,'[8]october-2025'!$G:$G,0,0)</f>
        <v>500</v>
      </c>
      <c r="CH107">
        <f>IF(CC107&gt;0,SUM(CC107:CG107),0)</f>
        <v>39240</v>
      </c>
      <c r="CI107">
        <f>_xlfn.XLOOKUP(B107,'[8]october-2025'!$A:$A,'[8]october-2025'!$H:$H,0,0)</f>
        <v>2000</v>
      </c>
      <c r="CJ107">
        <f>_xlfn.XLOOKUP(B107,'[8]october-2025'!$A:$A,'[8]october-2025'!$I:$I,0,0)</f>
        <v>0</v>
      </c>
      <c r="CK107">
        <f>IF($F107="YES",0,IF(CH107&gt;40000,200,IF(CH107&gt;25000,150,IF(CH107&gt;15000,130,IF(CH107&gt;10000,110,0)))))</f>
        <v>150</v>
      </c>
      <c r="CL107">
        <f>CH107-CI107-CJ107-CK107</f>
        <v>37090</v>
      </c>
      <c r="CM107">
        <f>_xlfn.XLOOKUP(B107,'[9]november-2025'!$A:$A,'[9]november-2025'!$C:$C,0,0)</f>
        <v>29800</v>
      </c>
      <c r="CN107">
        <f>CM107*0.18</f>
        <v>5364</v>
      </c>
      <c r="CO107">
        <f>CM107*0.12</f>
        <v>3576</v>
      </c>
      <c r="CP107">
        <f>_xlfn.XLOOKUP(B107,'[9]november-2025'!$A:$A,'[9]november-2025'!$D:$D,0,0)</f>
        <v>0</v>
      </c>
      <c r="CQ107">
        <f>_xlfn.XLOOKUP(B107,'[9]november-2025'!$A:$A,'[9]november-2025'!$G:$G,0,0)</f>
        <v>500</v>
      </c>
      <c r="CR107">
        <f>IF(CM107&gt;0,SUM(CM107:CQ107),0)</f>
        <v>39240</v>
      </c>
      <c r="CS107">
        <f>_xlfn.XLOOKUP(B107,'[9]november-2025'!$A:$A,'[9]november-2025'!$H:$H,0,0)</f>
        <v>2000</v>
      </c>
      <c r="CT107">
        <f>_xlfn.XLOOKUP(B107,'[9]november-2025'!$A:$A,'[9]november-2025'!$I:$I,0,0)</f>
        <v>0</v>
      </c>
      <c r="CU107">
        <f>IF($F107="YES",0,IF(CR107&gt;40000,200,IF(CR107&gt;25000,150,IF(CR107&gt;15000,130,IF(CR107&gt;10000,110,0)))))</f>
        <v>150</v>
      </c>
      <c r="CV107">
        <f>CR107-CS107-CT107-CU107</f>
        <v>37090</v>
      </c>
      <c r="CW107">
        <f>_xlfn.XLOOKUP(B107,'[10]december-2025'!$A:$A,'[10]december-2025'!$C:$C,0,0)</f>
        <v>29800</v>
      </c>
      <c r="CX107">
        <f>ROUND(CW107*0.18,0)</f>
        <v>5364</v>
      </c>
      <c r="CY107">
        <f>ROUND(CW107*0.12,0)</f>
        <v>3576</v>
      </c>
      <c r="CZ107">
        <f>_xlfn.XLOOKUP(B107,'[10]december-2025'!$A:$A,'[10]december-2025'!$D:$D,0,0)</f>
        <v>0</v>
      </c>
      <c r="DA107">
        <f>_xlfn.XLOOKUP(B107,'[10]december-2025'!$A:$A,'[10]december-2025'!$G:$G,0,0)</f>
        <v>500</v>
      </c>
      <c r="DB107">
        <f>IF(CW107&gt;0,SUM(CW107:DA107),0)</f>
        <v>39240</v>
      </c>
      <c r="DC107">
        <f>_xlfn.XLOOKUP(B107,'[10]december-2025'!$A:$A,'[10]december-2025'!$H:$H,0,0)</f>
        <v>2000</v>
      </c>
      <c r="DD107">
        <f>_xlfn.XLOOKUP(B107,'[10]december-2025'!$A:$A,'[10]december-2025'!$I:$I,0,0)</f>
        <v>0</v>
      </c>
      <c r="DE107">
        <f>IF($F107="YES",0,IF(DB107&gt;40000,200,IF(DB107&gt;25000,150,IF(DB107&gt;15000,130,IF(DB107&gt;10000,110,0)))))</f>
        <v>150</v>
      </c>
      <c r="DF107">
        <f>DB107-DC107-DD107-DE107</f>
        <v>37090</v>
      </c>
      <c r="DG107">
        <f>_xlfn.XLOOKUP(B107,'[11]january-2026'!$A:$A,'[11]january-2026'!$C:$C,0,0)</f>
        <v>29800</v>
      </c>
      <c r="DH107">
        <f>DG107*0.18</f>
        <v>5364</v>
      </c>
      <c r="DI107">
        <f>DG107*0.12</f>
        <v>3576</v>
      </c>
      <c r="DJ107">
        <f>_xlfn.XLOOKUP(B107,'[11]january-2026'!$A:$A,'[11]january-2026'!$D:$D,0,0)</f>
        <v>0</v>
      </c>
      <c r="DK107">
        <f>_xlfn.XLOOKUP(B107,'[11]january-2026'!$A:$A,'[11]january-2026'!$G:$G,0,0)</f>
        <v>500</v>
      </c>
      <c r="DL107">
        <f>IF(DG107&gt;0,SUM(DG107:DK107),0)</f>
        <v>39240</v>
      </c>
      <c r="DM107">
        <f>_xlfn.XLOOKUP(B107,'[11]january-2026'!$A:$A,'[11]january-2026'!$H:$H,0,0)</f>
        <v>2000</v>
      </c>
      <c r="DN107">
        <f>_xlfn.XLOOKUP(B107,'[11]january-2026'!$A:$A,'[11]january-2026'!$I:$I,0,0)</f>
        <v>0</v>
      </c>
      <c r="DO107">
        <f>IF($F107="YES",0,IF(DL107&gt;40000,200,IF(DL107&gt;25000,150,IF(DL107&gt;15000,130,IF(DL107&gt;10000,110,0)))))</f>
        <v>150</v>
      </c>
      <c r="DP107">
        <f>DL107-DM107-DN107-DO107</f>
        <v>37090</v>
      </c>
      <c r="DQ107">
        <f>_xlfn.XLOOKUP(B107,'[12]february-2026'!$A:$A,'[12]february-2026'!$C:$C,0,0)</f>
        <v>29800</v>
      </c>
      <c r="DR107">
        <f>DQ107*0.18</f>
        <v>5364</v>
      </c>
      <c r="DS107">
        <f>DQ107*0.12</f>
        <v>3576</v>
      </c>
      <c r="DT107">
        <f>_xlfn.XLOOKUP(B107,'[12]february-2026'!$A:$A,'[12]february-2026'!$D:$D,0,0)</f>
        <v>0</v>
      </c>
      <c r="DU107">
        <f>_xlfn.XLOOKUP(B107,'[12]february-2026'!$A:$A,'[12]february-2026'!$G:$G,0,0)</f>
        <v>500</v>
      </c>
      <c r="DV107">
        <f>IF(DQ107&gt;0,SUM(DQ107:DU107),0)</f>
        <v>39240</v>
      </c>
      <c r="DW107">
        <f>_xlfn.XLOOKUP(B107,'[12]february-2026'!$A:$A,'[12]february-2026'!$H:$H,0,0)</f>
        <v>2000</v>
      </c>
      <c r="DX107">
        <f>_xlfn.XLOOKUP(B107,'[12]february-2026'!$A:$A,'[12]february-2026'!$I:$I,0,0)</f>
        <v>0</v>
      </c>
      <c r="DY107">
        <f>IF($F107="YES",0,IF(DV107&gt;40000,200,IF(DV107&gt;25000,150,IF(DV107&gt;15000,130,IF(DV107&gt;10000,110,0)))))</f>
        <v>150</v>
      </c>
      <c r="DZ107">
        <f>DV107-DW107-DX107-DY107</f>
        <v>37090</v>
      </c>
      <c r="EA107">
        <f>DV107+DL107+DB107+CR107+CH107+BX107+BN107+BD107+AS107+AI107+Y107+O107+H107+I107</f>
        <v>471844</v>
      </c>
      <c r="EB107">
        <f>DY107+DO107+DE107+CU107+CK107+CA107+BQ107+BG107+AV107+AL107+AB107+R107</f>
        <v>1800</v>
      </c>
      <c r="EC107">
        <f>IF(EA107&gt;0,50000,0)</f>
        <v>50000</v>
      </c>
      <c r="ED107">
        <v>0</v>
      </c>
      <c r="EE107">
        <f>EA107-EB107-EC107</f>
        <v>420044</v>
      </c>
      <c r="EF107">
        <f>DW107+DM107+DC107+CS107+CI107+BY107+BO107+BE107+AT107+AJ107+Z107+P107</f>
        <v>24000</v>
      </c>
      <c r="EG107">
        <f>DX107+DN107+DD107+CT107+CJ107+BZ107+BP107+BF107+AU107+AK107+AA107+Q107</f>
        <v>0</v>
      </c>
      <c r="EH107">
        <v>0</v>
      </c>
      <c r="EI107">
        <v>0</v>
      </c>
      <c r="EJ107">
        <v>0</v>
      </c>
      <c r="EK107">
        <v>0</v>
      </c>
      <c r="EL107">
        <v>0</v>
      </c>
      <c r="EM107">
        <v>0</v>
      </c>
      <c r="EN107">
        <v>0</v>
      </c>
      <c r="EO107">
        <v>0</v>
      </c>
      <c r="EP107">
        <v>0</v>
      </c>
      <c r="EQ107">
        <v>0</v>
      </c>
      <c r="ER107">
        <f>SUM(EF107:EQ107)</f>
        <v>24000</v>
      </c>
      <c r="ES107">
        <f>IF(ER107&gt;=150000,150000,ER107)</f>
        <v>24000</v>
      </c>
      <c r="ET107">
        <f>EE107-ES107</f>
        <v>396044</v>
      </c>
      <c r="EU107">
        <v>0</v>
      </c>
      <c r="EV107">
        <v>0</v>
      </c>
      <c r="EW107">
        <v>0</v>
      </c>
      <c r="EX107">
        <v>0</v>
      </c>
      <c r="EY107">
        <v>0</v>
      </c>
      <c r="EZ107">
        <v>0</v>
      </c>
      <c r="FA107">
        <v>0</v>
      </c>
      <c r="FB107">
        <f>SUM(EU107:FA107)+(IF(F107="YES",50000,0))</f>
        <v>0</v>
      </c>
      <c r="FC107">
        <f>ET107-FB107</f>
        <v>396044</v>
      </c>
      <c r="FD107">
        <f>ROUND(IF(FC107&gt;0,IF(FC107&gt;500000,12500,(FC107-250000)*0.05),0),0)</f>
        <v>7302</v>
      </c>
      <c r="FE107">
        <f>IF(ROUND(IF(FC107&gt;0,IF(FC107&gt;1000000,25000,(FC107-500000)*0.2),0),0)&lt;0,0,ROUND(IF(FC107&gt;0,IF(FC107&gt;1000000,25000,(FC107-500000)*0.2),0),0))</f>
        <v>0</v>
      </c>
      <c r="FF107">
        <f>FD107+FE107</f>
        <v>7302</v>
      </c>
      <c r="FG107">
        <f>IF(FF107&lt;12500,0,FF107)</f>
        <v>0</v>
      </c>
      <c r="FH107">
        <f>FG107*0.04</f>
        <v>0</v>
      </c>
      <c r="FI107">
        <f>ROUND(FH107+FG107,0)</f>
        <v>0</v>
      </c>
      <c r="FJ107">
        <v>0</v>
      </c>
      <c r="FK107">
        <f>FI107-FJ107</f>
        <v>0</v>
      </c>
      <c r="FL107" t="b">
        <f>IF(EA107&gt;500000,TRUE,FALSE)</f>
        <v>0</v>
      </c>
      <c r="FM107">
        <f ca="1">IF(FL107,RANDBETWEEN(500,1000),RANDBETWEEN(1000,3000))</f>
        <v>1607</v>
      </c>
      <c r="FN107">
        <f ca="1">EA107+FM107</f>
        <v>473451</v>
      </c>
      <c r="FO107">
        <f>IF(EA107&gt;0,75000,0)</f>
        <v>75000</v>
      </c>
      <c r="FP107">
        <f ca="1">FN107-FO107</f>
        <v>398451</v>
      </c>
      <c r="FQ107">
        <f ca="1">IF(FP107&gt;2400000,FP107-2400000,0)</f>
        <v>0</v>
      </c>
      <c r="FR107">
        <f ca="1">FQ107*0.3</f>
        <v>0</v>
      </c>
      <c r="FS107">
        <f ca="1">IF(FP107&gt;2000000,FP107-2000000,0)</f>
        <v>0</v>
      </c>
      <c r="FT107">
        <f ca="1">FS107*0.25</f>
        <v>0</v>
      </c>
      <c r="FU107">
        <f ca="1">IF(FP107&gt;1600000,FP107-1600000-FQ107,0)</f>
        <v>0</v>
      </c>
      <c r="FV107">
        <f ca="1">FU107*0.2</f>
        <v>0</v>
      </c>
      <c r="FW107">
        <f ca="1">IF(FP107&gt;1200000,FP107-1200000-IF(F107="YES",50000,0)-FU107,0)</f>
        <v>0</v>
      </c>
      <c r="FX107">
        <f ca="1">FW107*0.15</f>
        <v>0</v>
      </c>
      <c r="FY107">
        <f ca="1">IF(FP107&gt;800000,FP107-800000-FQ107-FU107-FW107,0)</f>
        <v>0</v>
      </c>
      <c r="FZ107">
        <f ca="1">FY107*0.1</f>
        <v>0</v>
      </c>
      <c r="GA107">
        <f ca="1">IF(FP107&gt;400000,FP107-400000-FQ107-FU107-FW107-FY107,0)</f>
        <v>0</v>
      </c>
      <c r="GB107">
        <f ca="1">GA107*0.05</f>
        <v>0</v>
      </c>
      <c r="GC107">
        <f ca="1">ROUND(FR107+FT107+FV107+FX107+FZ107+GB107,0)</f>
        <v>0</v>
      </c>
      <c r="GD107">
        <f ca="1">IF(FP107&gt;1200000,FP107,0)</f>
        <v>0</v>
      </c>
      <c r="GE107">
        <f ca="1">IF(FP107&gt;1200000,GD107-1200000,0)</f>
        <v>0</v>
      </c>
      <c r="GF107">
        <f ca="1">IF(FP107&lt;1200001,MIN(GC107,60000),0)</f>
        <v>0</v>
      </c>
      <c r="GG107">
        <f ca="1">IF(FP107&gt;1200000,GC107-GE107,0)</f>
        <v>0</v>
      </c>
      <c r="GH107" t="b">
        <f ca="1">IF(GG107&gt;0,TRUE,FALSE)</f>
        <v>0</v>
      </c>
      <c r="GI107">
        <f ca="1">IF(GH107,GG107,0)</f>
        <v>0</v>
      </c>
      <c r="GJ107">
        <f ca="1">GF107+GI107</f>
        <v>0</v>
      </c>
      <c r="GK107">
        <f ca="1">ROUND(GC107-GJ107,0)</f>
        <v>0</v>
      </c>
      <c r="GL107">
        <f ca="1">GK107*0.04</f>
        <v>0</v>
      </c>
      <c r="GM107">
        <f ca="1">ROUNDUP(GK107+GL107,0)</f>
        <v>0</v>
      </c>
    </row>
    <row r="108" spans="1:195" x14ac:dyDescent="0.25">
      <c r="A108">
        <f>_xlfn.AGGREGATE(3,5,$B$2:B108)</f>
        <v>107</v>
      </c>
      <c r="B108" t="s">
        <v>333</v>
      </c>
      <c r="C108" t="s">
        <v>334</v>
      </c>
      <c r="D108" t="s">
        <v>781</v>
      </c>
      <c r="E108" t="s">
        <v>833</v>
      </c>
      <c r="F108" t="s">
        <v>959</v>
      </c>
      <c r="G108" t="s">
        <v>888</v>
      </c>
      <c r="H108">
        <f>IF(_xlfn.DAYS("31-03-2025",G108)&gt;=180,6800,0)</f>
        <v>6800</v>
      </c>
      <c r="I108">
        <f>_xlfn.XLOOKUP(B108,'[1]march-2025'!$A:$A,'[1]march-2025'!$J:$J,0,0)</f>
        <v>0</v>
      </c>
      <c r="J108">
        <f>_xlfn.XLOOKUP(B108,'[1]march-2025'!$A:$A,'[1]march-2025'!$C:$C,0,0)</f>
        <v>33500</v>
      </c>
      <c r="K108">
        <f>J108*0.14</f>
        <v>4690</v>
      </c>
      <c r="L108">
        <f>J108*0.12</f>
        <v>4020</v>
      </c>
      <c r="M108">
        <f>_xlfn.XLOOKUP(B108,'[1]march-2025'!$A:$A,'[1]march-2025'!$D:$D,0,0)</f>
        <v>400</v>
      </c>
      <c r="N108">
        <f>_xlfn.XLOOKUP(B108,'[1]march-2025'!$A:$A,'[1]march-2025'!$G:$G,0,0)</f>
        <v>500</v>
      </c>
      <c r="O108">
        <f>IF(J108&gt;0,SUM(J108:N108),0)</f>
        <v>43110</v>
      </c>
      <c r="P108">
        <f>_xlfn.XLOOKUP(B108,'[1]march-2025'!$A:$A,'[1]march-2025'!$H:$H,0,0)</f>
        <v>2500</v>
      </c>
      <c r="Q108">
        <f>_xlfn.XLOOKUP(B108,'[1]march-2025'!$A:$A,'[1]march-2025'!$I:$I,0,0)</f>
        <v>0</v>
      </c>
      <c r="R108">
        <f>IF($F108="YES",0,IF(O108&gt;40000,200,IF(O108&gt;25000,150,IF(O108&gt;15000,130,IF(O108&gt;10000,110,0)))))</f>
        <v>200</v>
      </c>
      <c r="S108">
        <f>O108-P108-Q108-R108</f>
        <v>40410</v>
      </c>
      <c r="T108">
        <f>_xlfn.XLOOKUP(B108,'[2]april-2025'!$A:$A,'[2]april-2025'!$C:$C,0,0)</f>
        <v>33500</v>
      </c>
      <c r="U108">
        <f>T108*0.18</f>
        <v>6030</v>
      </c>
      <c r="V108">
        <f>T108*0.12</f>
        <v>4020</v>
      </c>
      <c r="W108">
        <f>_xlfn.XLOOKUP(B108,'[2]april-2025'!$A:$A,'[2]april-2025'!$D:$D,0,0)</f>
        <v>400</v>
      </c>
      <c r="X108">
        <f>_xlfn.XLOOKUP(B108,'[2]april-2025'!$A:$A,'[2]april-2025'!$G:$G,0,0)</f>
        <v>500</v>
      </c>
      <c r="Y108">
        <f>IF(T108&gt;0,SUM(T108:X108),0)</f>
        <v>44450</v>
      </c>
      <c r="Z108">
        <f>_xlfn.XLOOKUP(B108,'[2]april-2025'!$A:$A,'[2]april-2025'!$H:$H,0,0)</f>
        <v>2500</v>
      </c>
      <c r="AA108">
        <f>_xlfn.XLOOKUP(B108,'[2]april-2025'!$A:$A,'[2]april-2025'!$I:$I,0,0)</f>
        <v>0</v>
      </c>
      <c r="AB108">
        <f>IF($F108="YES",0,IF(Y108&gt;40000,200,IF(Y108&gt;25000,150,IF(Y108&gt;15000,130,IF(Y108&gt;10000,110,0)))))</f>
        <v>200</v>
      </c>
      <c r="AC108">
        <f>Y108-Z108-AA108-AB108</f>
        <v>41750</v>
      </c>
      <c r="AD108">
        <f>_xlfn.XLOOKUP(B108,'[3]may-2025'!$A:$A,'[3]may-2025'!$C:$C,0,0)</f>
        <v>33500</v>
      </c>
      <c r="AE108">
        <f>AD108*0.18</f>
        <v>6030</v>
      </c>
      <c r="AF108">
        <f>AD108*0.12</f>
        <v>4020</v>
      </c>
      <c r="AG108">
        <f>_xlfn.XLOOKUP(B108,'[3]may-2025'!$A:$A,'[3]may-2025'!$D:$D,0,0)</f>
        <v>400</v>
      </c>
      <c r="AH108">
        <f>_xlfn.XLOOKUP(B108,'[3]may-2025'!$A:$A,'[3]may-2025'!$G:$G,0,0)</f>
        <v>500</v>
      </c>
      <c r="AI108">
        <f>IF(AD108&gt;0,SUM(AD108:AH108),0)</f>
        <v>44450</v>
      </c>
      <c r="AJ108">
        <f>_xlfn.XLOOKUP(B108,'[3]may-2025'!$A:$A,'[3]may-2025'!$H:$H,0,0)</f>
        <v>2500</v>
      </c>
      <c r="AK108">
        <f>_xlfn.XLOOKUP(B108,'[3]may-2025'!$A:$A,'[3]may-2025'!$I:$I,0,0)</f>
        <v>0</v>
      </c>
      <c r="AL108">
        <f>IF($F108="YES",0,IF(AI108&gt;40000,200,IF(AI108&gt;25000,150,IF(AI108&gt;15000,130,IF(AI108&gt;10000,110,0)))))</f>
        <v>200</v>
      </c>
      <c r="AM108">
        <f>AI108-AJ108-AK108-AL108</f>
        <v>41750</v>
      </c>
      <c r="AN108">
        <f>_xlfn.XLOOKUP(B108,'[4]june-2025'!$A:$A,'[4]june-2025'!$C:$C,0,0)</f>
        <v>33500</v>
      </c>
      <c r="AO108">
        <f>AN108*0.18</f>
        <v>6030</v>
      </c>
      <c r="AP108">
        <f>AN108*0.12</f>
        <v>4020</v>
      </c>
      <c r="AQ108">
        <f>_xlfn.XLOOKUP(B108,'[4]june-2025'!$A:$A,'[4]june-2025'!$D:$D,0,0)</f>
        <v>400</v>
      </c>
      <c r="AR108">
        <f>_xlfn.XLOOKUP(B108,'[4]june-2025'!$A:$A,'[4]june-2025'!$G:$G,0,0)</f>
        <v>500</v>
      </c>
      <c r="AS108">
        <f>IF(AN108&gt;0,SUM(AN108:AR108),0)</f>
        <v>44450</v>
      </c>
      <c r="AT108">
        <f>_xlfn.XLOOKUP(B108,'[4]june-2025'!$A:$A,'[4]june-2025'!$H:$H,0,0)</f>
        <v>2500</v>
      </c>
      <c r="AU108">
        <f>_xlfn.XLOOKUP(B108,'[4]june-2025'!$A:$A,'[4]june-2025'!$I:$I,0,0)</f>
        <v>0</v>
      </c>
      <c r="AV108">
        <f>IF($F108="YES",0,IF(AS108&gt;40000,200,IF(AS108&gt;25000,150,IF(AS108&gt;15000,130,IF(AS108&gt;10000,110,0)))))</f>
        <v>200</v>
      </c>
      <c r="AW108">
        <f>AS108-AT108-AU108-AV108</f>
        <v>41750</v>
      </c>
      <c r="AX108">
        <f>_xlfn.XLOOKUP(B108,'[5]july-2025'!$A:$A,'[5]july-2025'!$C:$C,0,0)</f>
        <v>34500</v>
      </c>
      <c r="AY108">
        <f>AX108*0.18</f>
        <v>6210</v>
      </c>
      <c r="AZ108">
        <v>0</v>
      </c>
      <c r="BA108">
        <f>AX108*0.12</f>
        <v>4140</v>
      </c>
      <c r="BB108">
        <f>_xlfn.XLOOKUP(B108,'[5]july-2025'!$A:$A,'[5]july-2025'!$D:$D,0,0)</f>
        <v>400</v>
      </c>
      <c r="BC108">
        <f>_xlfn.XLOOKUP(B108,'[5]july-2025'!$A:$A,'[5]july-2025'!$G:$G,0,0)</f>
        <v>500</v>
      </c>
      <c r="BD108">
        <f>IF(AX108&gt;0,SUM(AX108:BC108),0)</f>
        <v>45750</v>
      </c>
      <c r="BE108">
        <f>_xlfn.XLOOKUP(B108,'[5]july-2025'!$A:$A,'[5]july-2025'!$H:$H,0,0)</f>
        <v>2500</v>
      </c>
      <c r="BF108">
        <f>_xlfn.XLOOKUP(B108,'[5]july-2025'!$A:$A,'[5]july-2025'!$I:$I,0,0)</f>
        <v>0</v>
      </c>
      <c r="BG108">
        <f>IF($F108="YES",0,IF(BD108&gt;40000,200,IF(BD108&gt;25000,150,IF(BD108&gt;15000,130,IF(BD108&gt;10000,110,0)))))</f>
        <v>200</v>
      </c>
      <c r="BH108">
        <f>BD108-BE108-BF108-BG108</f>
        <v>43050</v>
      </c>
      <c r="BI108">
        <f>_xlfn.XLOOKUP(B108,'[6]august-2025'!$A:$A,'[6]august-2025'!$C:$C,0,0)</f>
        <v>34500</v>
      </c>
      <c r="BJ108">
        <f>BI108*0.18</f>
        <v>6210</v>
      </c>
      <c r="BK108">
        <f>BI108*0.12</f>
        <v>4140</v>
      </c>
      <c r="BL108">
        <f>_xlfn.XLOOKUP(B108,'[6]august-2025'!$A:$A,'[6]august-2025'!$D:$D,0,0)</f>
        <v>400</v>
      </c>
      <c r="BM108">
        <f>_xlfn.XLOOKUP(B108,'[6]august-2025'!$A:$A,'[6]august-2025'!$G:$G,0,0)</f>
        <v>500</v>
      </c>
      <c r="BN108">
        <f>IF(BI108&gt;0,SUM(BI108:BM108),0)</f>
        <v>45750</v>
      </c>
      <c r="BO108">
        <f>_xlfn.XLOOKUP(B108,'[6]august-2025'!$A:$A,'[6]august-2025'!$H:$H,0,0)</f>
        <v>2500</v>
      </c>
      <c r="BP108">
        <f>_xlfn.XLOOKUP(B108,'[6]august-2025'!$A:$A,'[6]august-2025'!$I:$I,0,0)</f>
        <v>0</v>
      </c>
      <c r="BQ108">
        <f>IF($F108="YES",0,IF(BN108&gt;40000,200,IF(BN108&gt;25000,150,IF(BN108&gt;15000,130,IF(BN108&gt;10000,110,0)))))</f>
        <v>200</v>
      </c>
      <c r="BR108">
        <f>BN108-BO108-BP108-BQ108</f>
        <v>43050</v>
      </c>
      <c r="BS108">
        <f>_xlfn.XLOOKUP(B108,'[7]september-2025'!$A:$A,'[7]september-2025'!$C:$C,0,0)</f>
        <v>34500</v>
      </c>
      <c r="BT108">
        <f>BS108*0.18</f>
        <v>6210</v>
      </c>
      <c r="BU108">
        <f>BS108*0.12</f>
        <v>4140</v>
      </c>
      <c r="BV108">
        <f>_xlfn.XLOOKUP(B108,'[7]september-2025'!$A:$A,'[7]september-2025'!$D:$D,0,0)</f>
        <v>400</v>
      </c>
      <c r="BW108">
        <f>_xlfn.XLOOKUP(B108,'[7]september-2025'!$A:$A,'[7]september-2025'!$G:$G,0,0)</f>
        <v>500</v>
      </c>
      <c r="BX108">
        <f>IF(BS108&gt;0,SUM(BS108:BW108),0)</f>
        <v>45750</v>
      </c>
      <c r="BY108">
        <f>_xlfn.XLOOKUP(B108,'[7]september-2025'!$A:$A,'[7]september-2025'!$H:$H,0,0)</f>
        <v>2500</v>
      </c>
      <c r="BZ108">
        <f>_xlfn.XLOOKUP(B108,'[7]september-2025'!$A:$A,'[7]september-2025'!$I:$I,0,0)</f>
        <v>0</v>
      </c>
      <c r="CA108">
        <f>IF($F108="YES",0,IF(BX108&gt;40000,200,IF(BX108&gt;25000,150,IF(BX108&gt;15000,130,IF(BX108&gt;10000,110,0)))))</f>
        <v>200</v>
      </c>
      <c r="CB108">
        <f>BX108-BY108-BZ108-CA108</f>
        <v>43050</v>
      </c>
      <c r="CC108">
        <f>_xlfn.XLOOKUP(B108,'[8]october-2025'!$A:$A,'[8]october-2025'!$C:$C,0,0)</f>
        <v>34500</v>
      </c>
      <c r="CD108">
        <f>CC108*0.18</f>
        <v>6210</v>
      </c>
      <c r="CE108">
        <f>CC108*0.12</f>
        <v>4140</v>
      </c>
      <c r="CF108">
        <f>_xlfn.XLOOKUP(B108,'[8]october-2025'!$A:$A,'[8]october-2025'!$D:$D,0,0)</f>
        <v>400</v>
      </c>
      <c r="CG108">
        <f>_xlfn.XLOOKUP(B108,'[8]october-2025'!$A:$A,'[8]october-2025'!$G:$G,0,0)</f>
        <v>500</v>
      </c>
      <c r="CH108">
        <f>IF(CC108&gt;0,SUM(CC108:CG108),0)</f>
        <v>45750</v>
      </c>
      <c r="CI108">
        <f>_xlfn.XLOOKUP(B108,'[8]october-2025'!$A:$A,'[8]october-2025'!$H:$H,0,0)</f>
        <v>2500</v>
      </c>
      <c r="CJ108">
        <f>_xlfn.XLOOKUP(B108,'[8]october-2025'!$A:$A,'[8]october-2025'!$I:$I,0,0)</f>
        <v>0</v>
      </c>
      <c r="CK108">
        <f>IF($F108="YES",0,IF(CH108&gt;40000,200,IF(CH108&gt;25000,150,IF(CH108&gt;15000,130,IF(CH108&gt;10000,110,0)))))</f>
        <v>200</v>
      </c>
      <c r="CL108">
        <f>CH108-CI108-CJ108-CK108</f>
        <v>43050</v>
      </c>
      <c r="CM108">
        <f>_xlfn.XLOOKUP(B108,'[9]november-2025'!$A:$A,'[9]november-2025'!$C:$C,0,0)</f>
        <v>34500</v>
      </c>
      <c r="CN108">
        <f>CM108*0.18</f>
        <v>6210</v>
      </c>
      <c r="CO108">
        <f>CM108*0.12</f>
        <v>4140</v>
      </c>
      <c r="CP108">
        <f>_xlfn.XLOOKUP(B108,'[9]november-2025'!$A:$A,'[9]november-2025'!$D:$D,0,0)</f>
        <v>400</v>
      </c>
      <c r="CQ108">
        <f>_xlfn.XLOOKUP(B108,'[9]november-2025'!$A:$A,'[9]november-2025'!$G:$G,0,0)</f>
        <v>500</v>
      </c>
      <c r="CR108">
        <f>IF(CM108&gt;0,SUM(CM108:CQ108),0)</f>
        <v>45750</v>
      </c>
      <c r="CS108">
        <f>_xlfn.XLOOKUP(B108,'[9]november-2025'!$A:$A,'[9]november-2025'!$H:$H,0,0)</f>
        <v>2500</v>
      </c>
      <c r="CT108">
        <f>_xlfn.XLOOKUP(B108,'[9]november-2025'!$A:$A,'[9]november-2025'!$I:$I,0,0)</f>
        <v>0</v>
      </c>
      <c r="CU108">
        <f>IF($F108="YES",0,IF(CR108&gt;40000,200,IF(CR108&gt;25000,150,IF(CR108&gt;15000,130,IF(CR108&gt;10000,110,0)))))</f>
        <v>200</v>
      </c>
      <c r="CV108">
        <f>CR108-CS108-CT108-CU108</f>
        <v>43050</v>
      </c>
      <c r="CW108">
        <f>_xlfn.XLOOKUP(B108,'[10]december-2025'!$A:$A,'[10]december-2025'!$C:$C,0,0)</f>
        <v>34500</v>
      </c>
      <c r="CX108">
        <f>ROUND(CW108*0.18,0)</f>
        <v>6210</v>
      </c>
      <c r="CY108">
        <f>ROUND(CW108*0.12,0)</f>
        <v>4140</v>
      </c>
      <c r="CZ108">
        <f>_xlfn.XLOOKUP(B108,'[10]december-2025'!$A:$A,'[10]december-2025'!$D:$D,0,0)</f>
        <v>400</v>
      </c>
      <c r="DA108">
        <f>_xlfn.XLOOKUP(B108,'[10]december-2025'!$A:$A,'[10]december-2025'!$G:$G,0,0)</f>
        <v>500</v>
      </c>
      <c r="DB108">
        <f>IF(CW108&gt;0,SUM(CW108:DA108),0)</f>
        <v>45750</v>
      </c>
      <c r="DC108">
        <f>_xlfn.XLOOKUP(B108,'[10]december-2025'!$A:$A,'[10]december-2025'!$H:$H,0,0)</f>
        <v>2500</v>
      </c>
      <c r="DD108">
        <f>_xlfn.XLOOKUP(B108,'[10]december-2025'!$A:$A,'[10]december-2025'!$I:$I,0,0)</f>
        <v>0</v>
      </c>
      <c r="DE108">
        <f>IF($F108="YES",0,IF(DB108&gt;40000,200,IF(DB108&gt;25000,150,IF(DB108&gt;15000,130,IF(DB108&gt;10000,110,0)))))</f>
        <v>200</v>
      </c>
      <c r="DF108">
        <f>DB108-DC108-DD108-DE108</f>
        <v>43050</v>
      </c>
      <c r="DG108">
        <f>_xlfn.XLOOKUP(B108,'[11]january-2026'!$A:$A,'[11]january-2026'!$C:$C,0,0)</f>
        <v>34500</v>
      </c>
      <c r="DH108">
        <f>DG108*0.18</f>
        <v>6210</v>
      </c>
      <c r="DI108">
        <f>DG108*0.12</f>
        <v>4140</v>
      </c>
      <c r="DJ108">
        <f>_xlfn.XLOOKUP(B108,'[11]january-2026'!$A:$A,'[11]january-2026'!$D:$D,0,0)</f>
        <v>400</v>
      </c>
      <c r="DK108">
        <f>_xlfn.XLOOKUP(B108,'[11]january-2026'!$A:$A,'[11]january-2026'!$G:$G,0,0)</f>
        <v>500</v>
      </c>
      <c r="DL108">
        <f>IF(DG108&gt;0,SUM(DG108:DK108),0)</f>
        <v>45750</v>
      </c>
      <c r="DM108">
        <f>_xlfn.XLOOKUP(B108,'[11]january-2026'!$A:$A,'[11]january-2026'!$H:$H,0,0)</f>
        <v>2500</v>
      </c>
      <c r="DN108">
        <f>_xlfn.XLOOKUP(B108,'[11]january-2026'!$A:$A,'[11]january-2026'!$I:$I,0,0)</f>
        <v>0</v>
      </c>
      <c r="DO108">
        <f>IF($F108="YES",0,IF(DL108&gt;40000,200,IF(DL108&gt;25000,150,IF(DL108&gt;15000,130,IF(DL108&gt;10000,110,0)))))</f>
        <v>200</v>
      </c>
      <c r="DP108">
        <f>DL108-DM108-DN108-DO108</f>
        <v>43050</v>
      </c>
      <c r="DQ108">
        <f>_xlfn.XLOOKUP(B108,'[12]february-2026'!$A:$A,'[12]february-2026'!$C:$C,0,0)</f>
        <v>34500</v>
      </c>
      <c r="DR108">
        <f>DQ108*0.18</f>
        <v>6210</v>
      </c>
      <c r="DS108">
        <f>DQ108*0.12</f>
        <v>4140</v>
      </c>
      <c r="DT108">
        <f>_xlfn.XLOOKUP(B108,'[12]february-2026'!$A:$A,'[12]february-2026'!$D:$D,0,0)</f>
        <v>400</v>
      </c>
      <c r="DU108">
        <f>_xlfn.XLOOKUP(B108,'[12]february-2026'!$A:$A,'[12]february-2026'!$G:$G,0,0)</f>
        <v>500</v>
      </c>
      <c r="DV108">
        <f>IF(DQ108&gt;0,SUM(DQ108:DU108),0)</f>
        <v>45750</v>
      </c>
      <c r="DW108">
        <f>_xlfn.XLOOKUP(B108,'[12]february-2026'!$A:$A,'[12]february-2026'!$H:$H,0,0)</f>
        <v>2500</v>
      </c>
      <c r="DX108">
        <f>_xlfn.XLOOKUP(B108,'[12]february-2026'!$A:$A,'[12]february-2026'!$I:$I,0,0)</f>
        <v>0</v>
      </c>
      <c r="DY108">
        <f>IF($F108="YES",0,IF(DV108&gt;40000,200,IF(DV108&gt;25000,150,IF(DV108&gt;15000,130,IF(DV108&gt;10000,110,0)))))</f>
        <v>200</v>
      </c>
      <c r="DZ108">
        <f>DV108-DW108-DX108-DY108</f>
        <v>43050</v>
      </c>
      <c r="EA108">
        <f>DV108+DL108+DB108+CR108+CH108+BX108+BN108+BD108+AS108+AI108+Y108+O108+H108+I108</f>
        <v>549260</v>
      </c>
      <c r="EB108">
        <f>DY108+DO108+DE108+CU108+CK108+CA108+BQ108+BG108+AV108+AL108+AB108+R108</f>
        <v>2400</v>
      </c>
      <c r="EC108">
        <f>IF(EA108&gt;0,50000,0)</f>
        <v>50000</v>
      </c>
      <c r="ED108">
        <v>0</v>
      </c>
      <c r="EE108">
        <f>EA108-EB108-EC108</f>
        <v>496860</v>
      </c>
      <c r="EF108">
        <f>DW108+DM108+DC108+CS108+CI108+BY108+BO108+BE108+AT108+AJ108+Z108+P108</f>
        <v>30000</v>
      </c>
      <c r="EG108">
        <f>DX108+DN108+DD108+CT108+CJ108+BZ108+BP108+BF108+AU108+AK108+AA108+Q108</f>
        <v>0</v>
      </c>
      <c r="EH108">
        <v>0</v>
      </c>
      <c r="EI108">
        <v>0</v>
      </c>
      <c r="EJ108">
        <v>0</v>
      </c>
      <c r="EK108">
        <v>0</v>
      </c>
      <c r="EL108">
        <v>0</v>
      </c>
      <c r="EM108">
        <v>0</v>
      </c>
      <c r="EN108">
        <v>0</v>
      </c>
      <c r="EO108">
        <v>0</v>
      </c>
      <c r="EP108">
        <v>0</v>
      </c>
      <c r="EQ108">
        <v>0</v>
      </c>
      <c r="ER108">
        <f>SUM(EF108:EQ108)</f>
        <v>30000</v>
      </c>
      <c r="ES108">
        <f>IF(ER108&gt;=150000,150000,ER108)</f>
        <v>30000</v>
      </c>
      <c r="ET108">
        <f>EE108-ES108</f>
        <v>466860</v>
      </c>
      <c r="EU108">
        <v>0</v>
      </c>
      <c r="EV108">
        <v>0</v>
      </c>
      <c r="EW108">
        <v>0</v>
      </c>
      <c r="EX108">
        <v>0</v>
      </c>
      <c r="EY108">
        <v>0</v>
      </c>
      <c r="EZ108">
        <v>0</v>
      </c>
      <c r="FA108">
        <v>0</v>
      </c>
      <c r="FB108">
        <f>SUM(EU108:FA108)+(IF(F108="YES",50000,0))</f>
        <v>0</v>
      </c>
      <c r="FC108">
        <f>ET108-FB108</f>
        <v>466860</v>
      </c>
      <c r="FD108">
        <f>ROUND(IF(FC108&gt;0,IF(FC108&gt;500000,12500,(FC108-250000)*0.05),0),0)</f>
        <v>10843</v>
      </c>
      <c r="FE108">
        <f>IF(ROUND(IF(FC108&gt;0,IF(FC108&gt;1000000,25000,(FC108-500000)*0.2),0),0)&lt;0,0,ROUND(IF(FC108&gt;0,IF(FC108&gt;1000000,25000,(FC108-500000)*0.2),0),0))</f>
        <v>0</v>
      </c>
      <c r="FF108">
        <f>FD108+FE108</f>
        <v>10843</v>
      </c>
      <c r="FG108">
        <f>IF(FF108&lt;12500,0,FF108)</f>
        <v>0</v>
      </c>
      <c r="FH108">
        <f>FG108*0.04</f>
        <v>0</v>
      </c>
      <c r="FI108">
        <f>ROUND(FH108+FG108,0)</f>
        <v>0</v>
      </c>
      <c r="FJ108">
        <v>0</v>
      </c>
      <c r="FK108">
        <f>FI108-FJ108</f>
        <v>0</v>
      </c>
      <c r="FL108" t="b">
        <f>IF(EA108&gt;500000,TRUE,FALSE)</f>
        <v>1</v>
      </c>
      <c r="FM108">
        <f ca="1">IF(FL108,RANDBETWEEN(500,1000),RANDBETWEEN(1000,3000))</f>
        <v>524</v>
      </c>
      <c r="FN108">
        <f ca="1">EA108+FM108</f>
        <v>549784</v>
      </c>
      <c r="FO108">
        <f>IF(EA108&gt;0,75000,0)</f>
        <v>75000</v>
      </c>
      <c r="FP108">
        <f ca="1">FN108-FO108</f>
        <v>474784</v>
      </c>
      <c r="FQ108">
        <f ca="1">IF(FP108&gt;2400000,FP108-2400000,0)</f>
        <v>0</v>
      </c>
      <c r="FR108">
        <f ca="1">FQ108*0.3</f>
        <v>0</v>
      </c>
      <c r="FS108">
        <f ca="1">IF(FP108&gt;2000000,FP108-2000000,0)</f>
        <v>0</v>
      </c>
      <c r="FT108">
        <f ca="1">FS108*0.25</f>
        <v>0</v>
      </c>
      <c r="FU108">
        <f ca="1">IF(FP108&gt;1600000,FP108-1600000-FQ108,0)</f>
        <v>0</v>
      </c>
      <c r="FV108">
        <f ca="1">FU108*0.2</f>
        <v>0</v>
      </c>
      <c r="FW108">
        <f ca="1">IF(FP108&gt;1200000,FP108-1200000-IF(F108="YES",50000,0)-FU108,0)</f>
        <v>0</v>
      </c>
      <c r="FX108">
        <f ca="1">FW108*0.15</f>
        <v>0</v>
      </c>
      <c r="FY108">
        <f ca="1">IF(FP108&gt;800000,FP108-800000-FQ108-FU108-FW108,0)</f>
        <v>0</v>
      </c>
      <c r="FZ108">
        <f ca="1">FY108*0.1</f>
        <v>0</v>
      </c>
      <c r="GA108">
        <f ca="1">IF(FP108&gt;400000,FP108-400000-FQ108-FU108-FW108-FY108,0)</f>
        <v>74784</v>
      </c>
      <c r="GB108">
        <f ca="1">GA108*0.05</f>
        <v>3739.2000000000003</v>
      </c>
      <c r="GC108">
        <f ca="1">ROUND(FR108+FT108+FV108+FX108+FZ108+GB108,0)</f>
        <v>3739</v>
      </c>
      <c r="GD108">
        <f ca="1">IF(FP108&gt;1200000,FP108,0)</f>
        <v>0</v>
      </c>
      <c r="GE108">
        <f ca="1">IF(FP108&gt;1200000,GD108-1200000,0)</f>
        <v>0</v>
      </c>
      <c r="GF108">
        <f ca="1">IF(FP108&lt;1200001,MIN(GC108,60000),0)</f>
        <v>3739</v>
      </c>
      <c r="GG108">
        <f ca="1">IF(FP108&gt;1200000,GC108-GE108,0)</f>
        <v>0</v>
      </c>
      <c r="GH108" t="b">
        <f ca="1">IF(GG108&gt;0,TRUE,FALSE)</f>
        <v>0</v>
      </c>
      <c r="GI108">
        <f ca="1">IF(GH108,GG108,0)</f>
        <v>0</v>
      </c>
      <c r="GJ108">
        <f ca="1">GF108+GI108</f>
        <v>3739</v>
      </c>
      <c r="GK108">
        <f ca="1">ROUND(GC108-GJ108,0)</f>
        <v>0</v>
      </c>
      <c r="GL108">
        <f ca="1">GK108*0.04</f>
        <v>0</v>
      </c>
      <c r="GM108">
        <f ca="1">ROUNDUP(GK108+GL108,0)</f>
        <v>0</v>
      </c>
    </row>
    <row r="109" spans="1:195" x14ac:dyDescent="0.25">
      <c r="A109">
        <f>_xlfn.AGGREGATE(3,5,$B$2:B109)</f>
        <v>108</v>
      </c>
      <c r="B109" t="s">
        <v>335</v>
      </c>
      <c r="C109" t="s">
        <v>336</v>
      </c>
      <c r="D109" t="s">
        <v>781</v>
      </c>
      <c r="E109" t="s">
        <v>833</v>
      </c>
      <c r="F109" t="s">
        <v>959</v>
      </c>
      <c r="G109" t="s">
        <v>912</v>
      </c>
      <c r="H109">
        <f>IF(_xlfn.DAYS("31-03-2025",G109)&gt;=180,6800,0)</f>
        <v>6800</v>
      </c>
      <c r="I109">
        <f>_xlfn.XLOOKUP(B109,'[1]march-2025'!$A:$A,'[1]march-2025'!$J:$J,0,0)</f>
        <v>0</v>
      </c>
      <c r="J109">
        <f>_xlfn.XLOOKUP(B109,'[1]march-2025'!$A:$A,'[1]march-2025'!$C:$C,0,0)</f>
        <v>33500</v>
      </c>
      <c r="K109">
        <f>J109*0.14</f>
        <v>4690</v>
      </c>
      <c r="L109">
        <f>J109*0.12</f>
        <v>4020</v>
      </c>
      <c r="M109">
        <f>_xlfn.XLOOKUP(B109,'[1]march-2025'!$A:$A,'[1]march-2025'!$D:$D,0,0)</f>
        <v>0</v>
      </c>
      <c r="N109">
        <f>_xlfn.XLOOKUP(B109,'[1]march-2025'!$A:$A,'[1]march-2025'!$G:$G,0,0)</f>
        <v>500</v>
      </c>
      <c r="O109">
        <f>IF(J109&gt;0,SUM(J109:N109),0)</f>
        <v>42710</v>
      </c>
      <c r="P109">
        <f>_xlfn.XLOOKUP(B109,'[1]march-2025'!$A:$A,'[1]march-2025'!$H:$H,0,0)</f>
        <v>2500</v>
      </c>
      <c r="Q109">
        <f>_xlfn.XLOOKUP(B109,'[1]march-2025'!$A:$A,'[1]march-2025'!$I:$I,0,0)</f>
        <v>0</v>
      </c>
      <c r="R109">
        <f>IF($F109="YES",0,IF(O109&gt;40000,200,IF(O109&gt;25000,150,IF(O109&gt;15000,130,IF(O109&gt;10000,110,0)))))</f>
        <v>200</v>
      </c>
      <c r="S109">
        <f>O109-P109-Q109-R109</f>
        <v>40010</v>
      </c>
      <c r="T109">
        <f>_xlfn.XLOOKUP(B109,'[2]april-2025'!$A:$A,'[2]april-2025'!$C:$C,0,0)</f>
        <v>33500</v>
      </c>
      <c r="U109">
        <f>T109*0.18</f>
        <v>6030</v>
      </c>
      <c r="V109">
        <f>T109*0.12</f>
        <v>4020</v>
      </c>
      <c r="W109">
        <f>_xlfn.XLOOKUP(B109,'[2]april-2025'!$A:$A,'[2]april-2025'!$D:$D,0,0)</f>
        <v>0</v>
      </c>
      <c r="X109">
        <f>_xlfn.XLOOKUP(B109,'[2]april-2025'!$A:$A,'[2]april-2025'!$G:$G,0,0)</f>
        <v>500</v>
      </c>
      <c r="Y109">
        <f>IF(T109&gt;0,SUM(T109:X109),0)</f>
        <v>44050</v>
      </c>
      <c r="Z109">
        <f>_xlfn.XLOOKUP(B109,'[2]april-2025'!$A:$A,'[2]april-2025'!$H:$H,0,0)</f>
        <v>2500</v>
      </c>
      <c r="AA109">
        <f>_xlfn.XLOOKUP(B109,'[2]april-2025'!$A:$A,'[2]april-2025'!$I:$I,0,0)</f>
        <v>0</v>
      </c>
      <c r="AB109">
        <f>IF($F109="YES",0,IF(Y109&gt;40000,200,IF(Y109&gt;25000,150,IF(Y109&gt;15000,130,IF(Y109&gt;10000,110,0)))))</f>
        <v>200</v>
      </c>
      <c r="AC109">
        <f>Y109-Z109-AA109-AB109</f>
        <v>41350</v>
      </c>
      <c r="AD109">
        <f>_xlfn.XLOOKUP(B109,'[3]may-2025'!$A:$A,'[3]may-2025'!$C:$C,0,0)</f>
        <v>33500</v>
      </c>
      <c r="AE109">
        <f>AD109*0.18</f>
        <v>6030</v>
      </c>
      <c r="AF109">
        <f>AD109*0.12</f>
        <v>4020</v>
      </c>
      <c r="AG109">
        <f>_xlfn.XLOOKUP(B109,'[3]may-2025'!$A:$A,'[3]may-2025'!$D:$D,0,0)</f>
        <v>0</v>
      </c>
      <c r="AH109">
        <f>_xlfn.XLOOKUP(B109,'[3]may-2025'!$A:$A,'[3]may-2025'!$G:$G,0,0)</f>
        <v>500</v>
      </c>
      <c r="AI109">
        <f>IF(AD109&gt;0,SUM(AD109:AH109),0)</f>
        <v>44050</v>
      </c>
      <c r="AJ109">
        <f>_xlfn.XLOOKUP(B109,'[3]may-2025'!$A:$A,'[3]may-2025'!$H:$H,0,0)</f>
        <v>2500</v>
      </c>
      <c r="AK109">
        <f>_xlfn.XLOOKUP(B109,'[3]may-2025'!$A:$A,'[3]may-2025'!$I:$I,0,0)</f>
        <v>0</v>
      </c>
      <c r="AL109">
        <f>IF($F109="YES",0,IF(AI109&gt;40000,200,IF(AI109&gt;25000,150,IF(AI109&gt;15000,130,IF(AI109&gt;10000,110,0)))))</f>
        <v>200</v>
      </c>
      <c r="AM109">
        <f>AI109-AJ109-AK109-AL109</f>
        <v>41350</v>
      </c>
      <c r="AN109">
        <f>_xlfn.XLOOKUP(B109,'[4]june-2025'!$A:$A,'[4]june-2025'!$C:$C,0,0)</f>
        <v>33500</v>
      </c>
      <c r="AO109">
        <f>AN109*0.18</f>
        <v>6030</v>
      </c>
      <c r="AP109">
        <f>AN109*0.12</f>
        <v>4020</v>
      </c>
      <c r="AQ109">
        <f>_xlfn.XLOOKUP(B109,'[4]june-2025'!$A:$A,'[4]june-2025'!$D:$D,0,0)</f>
        <v>0</v>
      </c>
      <c r="AR109">
        <f>_xlfn.XLOOKUP(B109,'[4]june-2025'!$A:$A,'[4]june-2025'!$G:$G,0,0)</f>
        <v>500</v>
      </c>
      <c r="AS109">
        <f>IF(AN109&gt;0,SUM(AN109:AR109),0)</f>
        <v>44050</v>
      </c>
      <c r="AT109">
        <f>_xlfn.XLOOKUP(B109,'[4]june-2025'!$A:$A,'[4]june-2025'!$H:$H,0,0)</f>
        <v>2500</v>
      </c>
      <c r="AU109">
        <f>_xlfn.XLOOKUP(B109,'[4]june-2025'!$A:$A,'[4]june-2025'!$I:$I,0,0)</f>
        <v>0</v>
      </c>
      <c r="AV109">
        <f>IF($F109="YES",0,IF(AS109&gt;40000,200,IF(AS109&gt;25000,150,IF(AS109&gt;15000,130,IF(AS109&gt;10000,110,0)))))</f>
        <v>200</v>
      </c>
      <c r="AW109">
        <f>AS109-AT109-AU109-AV109</f>
        <v>41350</v>
      </c>
      <c r="AX109">
        <f>_xlfn.XLOOKUP(B109,'[5]july-2025'!$A:$A,'[5]july-2025'!$C:$C,0,0)</f>
        <v>34500</v>
      </c>
      <c r="AY109">
        <f>AX109*0.18</f>
        <v>6210</v>
      </c>
      <c r="AZ109">
        <v>0</v>
      </c>
      <c r="BA109">
        <f>AX109*0.12</f>
        <v>4140</v>
      </c>
      <c r="BB109">
        <f>_xlfn.XLOOKUP(B109,'[5]july-2025'!$A:$A,'[5]july-2025'!$D:$D,0,0)</f>
        <v>0</v>
      </c>
      <c r="BC109">
        <f>_xlfn.XLOOKUP(B109,'[5]july-2025'!$A:$A,'[5]july-2025'!$G:$G,0,0)</f>
        <v>500</v>
      </c>
      <c r="BD109">
        <f>IF(AX109&gt;0,SUM(AX109:BC109),0)</f>
        <v>45350</v>
      </c>
      <c r="BE109">
        <f>_xlfn.XLOOKUP(B109,'[5]july-2025'!$A:$A,'[5]july-2025'!$H:$H,0,0)</f>
        <v>2500</v>
      </c>
      <c r="BF109">
        <f>_xlfn.XLOOKUP(B109,'[5]july-2025'!$A:$A,'[5]july-2025'!$I:$I,0,0)</f>
        <v>0</v>
      </c>
      <c r="BG109">
        <f>IF($F109="YES",0,IF(BD109&gt;40000,200,IF(BD109&gt;25000,150,IF(BD109&gt;15000,130,IF(BD109&gt;10000,110,0)))))</f>
        <v>200</v>
      </c>
      <c r="BH109">
        <f>BD109-BE109-BF109-BG109</f>
        <v>42650</v>
      </c>
      <c r="BI109">
        <f>_xlfn.XLOOKUP(B109,'[6]august-2025'!$A:$A,'[6]august-2025'!$C:$C,0,0)</f>
        <v>34500</v>
      </c>
      <c r="BJ109">
        <f>BI109*0.18</f>
        <v>6210</v>
      </c>
      <c r="BK109">
        <f>BI109*0.12</f>
        <v>4140</v>
      </c>
      <c r="BL109">
        <f>_xlfn.XLOOKUP(B109,'[6]august-2025'!$A:$A,'[6]august-2025'!$D:$D,0,0)</f>
        <v>0</v>
      </c>
      <c r="BM109">
        <f>_xlfn.XLOOKUP(B109,'[6]august-2025'!$A:$A,'[6]august-2025'!$G:$G,0,0)</f>
        <v>500</v>
      </c>
      <c r="BN109">
        <f>IF(BI109&gt;0,SUM(BI109:BM109),0)</f>
        <v>45350</v>
      </c>
      <c r="BO109">
        <f>_xlfn.XLOOKUP(B109,'[6]august-2025'!$A:$A,'[6]august-2025'!$H:$H,0,0)</f>
        <v>2500</v>
      </c>
      <c r="BP109">
        <f>_xlfn.XLOOKUP(B109,'[6]august-2025'!$A:$A,'[6]august-2025'!$I:$I,0,0)</f>
        <v>0</v>
      </c>
      <c r="BQ109">
        <f>IF($F109="YES",0,IF(BN109&gt;40000,200,IF(BN109&gt;25000,150,IF(BN109&gt;15000,130,IF(BN109&gt;10000,110,0)))))</f>
        <v>200</v>
      </c>
      <c r="BR109">
        <f>BN109-BO109-BP109-BQ109</f>
        <v>42650</v>
      </c>
      <c r="BS109">
        <f>_xlfn.XLOOKUP(B109,'[7]september-2025'!$A:$A,'[7]september-2025'!$C:$C,0,0)</f>
        <v>34500</v>
      </c>
      <c r="BT109">
        <f>BS109*0.18</f>
        <v>6210</v>
      </c>
      <c r="BU109">
        <f>BS109*0.12</f>
        <v>4140</v>
      </c>
      <c r="BV109">
        <f>_xlfn.XLOOKUP(B109,'[7]september-2025'!$A:$A,'[7]september-2025'!$D:$D,0,0)</f>
        <v>0</v>
      </c>
      <c r="BW109">
        <f>_xlfn.XLOOKUP(B109,'[7]september-2025'!$A:$A,'[7]september-2025'!$G:$G,0,0)</f>
        <v>500</v>
      </c>
      <c r="BX109">
        <f>IF(BS109&gt;0,SUM(BS109:BW109),0)</f>
        <v>45350</v>
      </c>
      <c r="BY109">
        <f>_xlfn.XLOOKUP(B109,'[7]september-2025'!$A:$A,'[7]september-2025'!$H:$H,0,0)</f>
        <v>2500</v>
      </c>
      <c r="BZ109">
        <f>_xlfn.XLOOKUP(B109,'[7]september-2025'!$A:$A,'[7]september-2025'!$I:$I,0,0)</f>
        <v>0</v>
      </c>
      <c r="CA109">
        <f>IF($F109="YES",0,IF(BX109&gt;40000,200,IF(BX109&gt;25000,150,IF(BX109&gt;15000,130,IF(BX109&gt;10000,110,0)))))</f>
        <v>200</v>
      </c>
      <c r="CB109">
        <f>BX109-BY109-BZ109-CA109</f>
        <v>42650</v>
      </c>
      <c r="CC109">
        <f>_xlfn.XLOOKUP(B109,'[8]october-2025'!$A:$A,'[8]october-2025'!$C:$C,0,0)</f>
        <v>34500</v>
      </c>
      <c r="CD109">
        <f>CC109*0.18</f>
        <v>6210</v>
      </c>
      <c r="CE109">
        <f>CC109*0.12</f>
        <v>4140</v>
      </c>
      <c r="CF109">
        <f>_xlfn.XLOOKUP(B109,'[8]october-2025'!$A:$A,'[8]october-2025'!$D:$D,0,0)</f>
        <v>0</v>
      </c>
      <c r="CG109">
        <f>_xlfn.XLOOKUP(B109,'[8]october-2025'!$A:$A,'[8]october-2025'!$G:$G,0,0)</f>
        <v>500</v>
      </c>
      <c r="CH109">
        <f>IF(CC109&gt;0,SUM(CC109:CG109),0)</f>
        <v>45350</v>
      </c>
      <c r="CI109">
        <f>_xlfn.XLOOKUP(B109,'[8]october-2025'!$A:$A,'[8]october-2025'!$H:$H,0,0)</f>
        <v>2500</v>
      </c>
      <c r="CJ109">
        <f>_xlfn.XLOOKUP(B109,'[8]october-2025'!$A:$A,'[8]october-2025'!$I:$I,0,0)</f>
        <v>0</v>
      </c>
      <c r="CK109">
        <f>IF($F109="YES",0,IF(CH109&gt;40000,200,IF(CH109&gt;25000,150,IF(CH109&gt;15000,130,IF(CH109&gt;10000,110,0)))))</f>
        <v>200</v>
      </c>
      <c r="CL109">
        <f>CH109-CI109-CJ109-CK109</f>
        <v>42650</v>
      </c>
      <c r="CM109">
        <f>_xlfn.XLOOKUP(B109,'[9]november-2025'!$A:$A,'[9]november-2025'!$C:$C,0,0)</f>
        <v>34500</v>
      </c>
      <c r="CN109">
        <f>CM109*0.18</f>
        <v>6210</v>
      </c>
      <c r="CO109">
        <f>CM109*0.12</f>
        <v>4140</v>
      </c>
      <c r="CP109">
        <f>_xlfn.XLOOKUP(B109,'[9]november-2025'!$A:$A,'[9]november-2025'!$D:$D,0,0)</f>
        <v>0</v>
      </c>
      <c r="CQ109">
        <f>_xlfn.XLOOKUP(B109,'[9]november-2025'!$A:$A,'[9]november-2025'!$G:$G,0,0)</f>
        <v>500</v>
      </c>
      <c r="CR109">
        <f>IF(CM109&gt;0,SUM(CM109:CQ109),0)</f>
        <v>45350</v>
      </c>
      <c r="CS109">
        <f>_xlfn.XLOOKUP(B109,'[9]november-2025'!$A:$A,'[9]november-2025'!$H:$H,0,0)</f>
        <v>2500</v>
      </c>
      <c r="CT109">
        <f>_xlfn.XLOOKUP(B109,'[9]november-2025'!$A:$A,'[9]november-2025'!$I:$I,0,0)</f>
        <v>0</v>
      </c>
      <c r="CU109">
        <f>IF($F109="YES",0,IF(CR109&gt;40000,200,IF(CR109&gt;25000,150,IF(CR109&gt;15000,130,IF(CR109&gt;10000,110,0)))))</f>
        <v>200</v>
      </c>
      <c r="CV109">
        <f>CR109-CS109-CT109-CU109</f>
        <v>42650</v>
      </c>
      <c r="CW109">
        <f>_xlfn.XLOOKUP(B109,'[10]december-2025'!$A:$A,'[10]december-2025'!$C:$C,0,0)</f>
        <v>34500</v>
      </c>
      <c r="CX109">
        <f>ROUND(CW109*0.18,0)</f>
        <v>6210</v>
      </c>
      <c r="CY109">
        <f>ROUND(CW109*0.12,0)</f>
        <v>4140</v>
      </c>
      <c r="CZ109">
        <f>_xlfn.XLOOKUP(B109,'[10]december-2025'!$A:$A,'[10]december-2025'!$D:$D,0,0)</f>
        <v>0</v>
      </c>
      <c r="DA109">
        <f>_xlfn.XLOOKUP(B109,'[10]december-2025'!$A:$A,'[10]december-2025'!$G:$G,0,0)</f>
        <v>500</v>
      </c>
      <c r="DB109">
        <f>IF(CW109&gt;0,SUM(CW109:DA109),0)</f>
        <v>45350</v>
      </c>
      <c r="DC109">
        <f>_xlfn.XLOOKUP(B109,'[10]december-2025'!$A:$A,'[10]december-2025'!$H:$H,0,0)</f>
        <v>2500</v>
      </c>
      <c r="DD109">
        <f>_xlfn.XLOOKUP(B109,'[10]december-2025'!$A:$A,'[10]december-2025'!$I:$I,0,0)</f>
        <v>0</v>
      </c>
      <c r="DE109">
        <f>IF($F109="YES",0,IF(DB109&gt;40000,200,IF(DB109&gt;25000,150,IF(DB109&gt;15000,130,IF(DB109&gt;10000,110,0)))))</f>
        <v>200</v>
      </c>
      <c r="DF109">
        <f>DB109-DC109-DD109-DE109</f>
        <v>42650</v>
      </c>
      <c r="DG109">
        <f>_xlfn.XLOOKUP(B109,'[11]january-2026'!$A:$A,'[11]january-2026'!$C:$C,0,0)</f>
        <v>34500</v>
      </c>
      <c r="DH109">
        <f>DG109*0.18</f>
        <v>6210</v>
      </c>
      <c r="DI109">
        <f>DG109*0.12</f>
        <v>4140</v>
      </c>
      <c r="DJ109">
        <f>_xlfn.XLOOKUP(B109,'[11]january-2026'!$A:$A,'[11]january-2026'!$D:$D,0,0)</f>
        <v>0</v>
      </c>
      <c r="DK109">
        <f>_xlfn.XLOOKUP(B109,'[11]january-2026'!$A:$A,'[11]january-2026'!$G:$G,0,0)</f>
        <v>500</v>
      </c>
      <c r="DL109">
        <f>IF(DG109&gt;0,SUM(DG109:DK109),0)</f>
        <v>45350</v>
      </c>
      <c r="DM109">
        <f>_xlfn.XLOOKUP(B109,'[11]january-2026'!$A:$A,'[11]january-2026'!$H:$H,0,0)</f>
        <v>2500</v>
      </c>
      <c r="DN109">
        <f>_xlfn.XLOOKUP(B109,'[11]january-2026'!$A:$A,'[11]january-2026'!$I:$I,0,0)</f>
        <v>0</v>
      </c>
      <c r="DO109">
        <f>IF($F109="YES",0,IF(DL109&gt;40000,200,IF(DL109&gt;25000,150,IF(DL109&gt;15000,130,IF(DL109&gt;10000,110,0)))))</f>
        <v>200</v>
      </c>
      <c r="DP109">
        <f>DL109-DM109-DN109-DO109</f>
        <v>42650</v>
      </c>
      <c r="DQ109">
        <f>_xlfn.XLOOKUP(B109,'[12]february-2026'!$A:$A,'[12]february-2026'!$C:$C,0,0)</f>
        <v>34500</v>
      </c>
      <c r="DR109">
        <f>DQ109*0.18</f>
        <v>6210</v>
      </c>
      <c r="DS109">
        <f>DQ109*0.12</f>
        <v>4140</v>
      </c>
      <c r="DT109">
        <f>_xlfn.XLOOKUP(B109,'[12]february-2026'!$A:$A,'[12]february-2026'!$D:$D,0,0)</f>
        <v>0</v>
      </c>
      <c r="DU109">
        <f>_xlfn.XLOOKUP(B109,'[12]february-2026'!$A:$A,'[12]february-2026'!$G:$G,0,0)</f>
        <v>500</v>
      </c>
      <c r="DV109">
        <f>IF(DQ109&gt;0,SUM(DQ109:DU109),0)</f>
        <v>45350</v>
      </c>
      <c r="DW109">
        <f>_xlfn.XLOOKUP(B109,'[12]february-2026'!$A:$A,'[12]february-2026'!$H:$H,0,0)</f>
        <v>2500</v>
      </c>
      <c r="DX109">
        <f>_xlfn.XLOOKUP(B109,'[12]february-2026'!$A:$A,'[12]february-2026'!$I:$I,0,0)</f>
        <v>0</v>
      </c>
      <c r="DY109">
        <f>IF($F109="YES",0,IF(DV109&gt;40000,200,IF(DV109&gt;25000,150,IF(DV109&gt;15000,130,IF(DV109&gt;10000,110,0)))))</f>
        <v>200</v>
      </c>
      <c r="DZ109">
        <f>DV109-DW109-DX109-DY109</f>
        <v>42650</v>
      </c>
      <c r="EA109">
        <f>DV109+DL109+DB109+CR109+CH109+BX109+BN109+BD109+AS109+AI109+Y109+O109+H109+I109</f>
        <v>544460</v>
      </c>
      <c r="EB109">
        <f>DY109+DO109+DE109+CU109+CK109+CA109+BQ109+BG109+AV109+AL109+AB109+R109</f>
        <v>2400</v>
      </c>
      <c r="EC109">
        <f>IF(EA109&gt;0,50000,0)</f>
        <v>50000</v>
      </c>
      <c r="ED109">
        <v>0</v>
      </c>
      <c r="EE109">
        <f>EA109-EB109-EC109</f>
        <v>492060</v>
      </c>
      <c r="EF109">
        <f>DW109+DM109+DC109+CS109+CI109+BY109+BO109+BE109+AT109+AJ109+Z109+P109</f>
        <v>30000</v>
      </c>
      <c r="EG109">
        <f>DX109+DN109+DD109+CT109+CJ109+BZ109+BP109+BF109+AU109+AK109+AA109+Q109</f>
        <v>0</v>
      </c>
      <c r="EH109">
        <v>0</v>
      </c>
      <c r="EI109">
        <v>0</v>
      </c>
      <c r="EJ109">
        <v>0</v>
      </c>
      <c r="EK109">
        <v>0</v>
      </c>
      <c r="EL109">
        <v>0</v>
      </c>
      <c r="EM109">
        <v>0</v>
      </c>
      <c r="EN109">
        <v>0</v>
      </c>
      <c r="EO109">
        <v>0</v>
      </c>
      <c r="EP109">
        <v>0</v>
      </c>
      <c r="EQ109">
        <v>0</v>
      </c>
      <c r="ER109">
        <f>SUM(EF109:EQ109)</f>
        <v>30000</v>
      </c>
      <c r="ES109">
        <f>IF(ER109&gt;=150000,150000,ER109)</f>
        <v>30000</v>
      </c>
      <c r="ET109">
        <f>EE109-ES109</f>
        <v>462060</v>
      </c>
      <c r="EU109">
        <v>0</v>
      </c>
      <c r="EV109">
        <v>0</v>
      </c>
      <c r="EW109">
        <v>0</v>
      </c>
      <c r="EX109">
        <v>0</v>
      </c>
      <c r="EY109">
        <v>0</v>
      </c>
      <c r="EZ109">
        <v>0</v>
      </c>
      <c r="FA109">
        <v>0</v>
      </c>
      <c r="FB109">
        <f>SUM(EU109:FA109)+(IF(F109="YES",50000,0))</f>
        <v>0</v>
      </c>
      <c r="FC109">
        <f>ET109-FB109</f>
        <v>462060</v>
      </c>
      <c r="FD109">
        <f>ROUND(IF(FC109&gt;0,IF(FC109&gt;500000,12500,(FC109-250000)*0.05),0),0)</f>
        <v>10603</v>
      </c>
      <c r="FE109">
        <f>IF(ROUND(IF(FC109&gt;0,IF(FC109&gt;1000000,25000,(FC109-500000)*0.2),0),0)&lt;0,0,ROUND(IF(FC109&gt;0,IF(FC109&gt;1000000,25000,(FC109-500000)*0.2),0),0))</f>
        <v>0</v>
      </c>
      <c r="FF109">
        <f>FD109+FE109</f>
        <v>10603</v>
      </c>
      <c r="FG109">
        <f>IF(FF109&lt;12500,0,FF109)</f>
        <v>0</v>
      </c>
      <c r="FH109">
        <f>FG109*0.04</f>
        <v>0</v>
      </c>
      <c r="FI109">
        <f>ROUND(FH109+FG109,0)</f>
        <v>0</v>
      </c>
      <c r="FJ109">
        <v>0</v>
      </c>
      <c r="FK109">
        <f>FI109-FJ109</f>
        <v>0</v>
      </c>
      <c r="FL109" t="b">
        <f>IF(EA109&gt;500000,TRUE,FALSE)</f>
        <v>1</v>
      </c>
      <c r="FM109">
        <f ca="1">IF(FL109,RANDBETWEEN(500,1000),RANDBETWEEN(1000,3000))</f>
        <v>585</v>
      </c>
      <c r="FN109">
        <f ca="1">EA109+FM109</f>
        <v>545045</v>
      </c>
      <c r="FO109">
        <f>IF(EA109&gt;0,75000,0)</f>
        <v>75000</v>
      </c>
      <c r="FP109">
        <f ca="1">FN109-FO109</f>
        <v>470045</v>
      </c>
      <c r="FQ109">
        <f ca="1">IF(FP109&gt;2400000,FP109-2400000,0)</f>
        <v>0</v>
      </c>
      <c r="FR109">
        <f ca="1">FQ109*0.3</f>
        <v>0</v>
      </c>
      <c r="FS109">
        <f ca="1">IF(FP109&gt;2000000,FP109-2000000,0)</f>
        <v>0</v>
      </c>
      <c r="FT109">
        <f ca="1">FS109*0.25</f>
        <v>0</v>
      </c>
      <c r="FU109">
        <f ca="1">IF(FP109&gt;1600000,FP109-1600000-FQ109,0)</f>
        <v>0</v>
      </c>
      <c r="FV109">
        <f ca="1">FU109*0.2</f>
        <v>0</v>
      </c>
      <c r="FW109">
        <f ca="1">IF(FP109&gt;1200000,FP109-1200000-IF(F109="YES",50000,0)-FU109,0)</f>
        <v>0</v>
      </c>
      <c r="FX109">
        <f ca="1">FW109*0.15</f>
        <v>0</v>
      </c>
      <c r="FY109">
        <f ca="1">IF(FP109&gt;800000,FP109-800000-FQ109-FU109-FW109,0)</f>
        <v>0</v>
      </c>
      <c r="FZ109">
        <f ca="1">FY109*0.1</f>
        <v>0</v>
      </c>
      <c r="GA109">
        <f ca="1">IF(FP109&gt;400000,FP109-400000-FQ109-FU109-FW109-FY109,0)</f>
        <v>70045</v>
      </c>
      <c r="GB109">
        <f ca="1">GA109*0.05</f>
        <v>3502.25</v>
      </c>
      <c r="GC109">
        <f ca="1">ROUND(FR109+FT109+FV109+FX109+FZ109+GB109,0)</f>
        <v>3502</v>
      </c>
      <c r="GD109">
        <f ca="1">IF(FP109&gt;1200000,FP109,0)</f>
        <v>0</v>
      </c>
      <c r="GE109">
        <f ca="1">IF(FP109&gt;1200000,GD109-1200000,0)</f>
        <v>0</v>
      </c>
      <c r="GF109">
        <f ca="1">IF(FP109&lt;1200001,MIN(GC109,60000),0)</f>
        <v>3502</v>
      </c>
      <c r="GG109">
        <f ca="1">IF(FP109&gt;1200000,GC109-GE109,0)</f>
        <v>0</v>
      </c>
      <c r="GH109" t="b">
        <f ca="1">IF(GG109&gt;0,TRUE,FALSE)</f>
        <v>0</v>
      </c>
      <c r="GI109">
        <f ca="1">IF(GH109,GG109,0)</f>
        <v>0</v>
      </c>
      <c r="GJ109">
        <f ca="1">GF109+GI109</f>
        <v>3502</v>
      </c>
      <c r="GK109">
        <f ca="1">ROUND(GC109-GJ109,0)</f>
        <v>0</v>
      </c>
      <c r="GL109">
        <f ca="1">GK109*0.04</f>
        <v>0</v>
      </c>
      <c r="GM109">
        <f ca="1">ROUNDUP(GK109+GL109,0)</f>
        <v>0</v>
      </c>
    </row>
    <row r="110" spans="1:195" x14ac:dyDescent="0.25">
      <c r="A110">
        <f>_xlfn.AGGREGATE(3,5,$B$2:B110)</f>
        <v>109</v>
      </c>
      <c r="B110" t="s">
        <v>337</v>
      </c>
      <c r="C110" t="s">
        <v>338</v>
      </c>
      <c r="D110" t="s">
        <v>781</v>
      </c>
      <c r="E110" t="s">
        <v>833</v>
      </c>
      <c r="F110" t="s">
        <v>959</v>
      </c>
      <c r="G110" t="s">
        <v>886</v>
      </c>
      <c r="H110">
        <f>IF(_xlfn.DAYS("31-03-2025",G110)&gt;=180,6800,0)</f>
        <v>6800</v>
      </c>
      <c r="I110">
        <f>_xlfn.XLOOKUP(B110,'[1]march-2025'!$A:$A,'[1]march-2025'!$J:$J,0,0)</f>
        <v>0</v>
      </c>
      <c r="J110">
        <f>_xlfn.XLOOKUP(B110,'[1]march-2025'!$A:$A,'[1]march-2025'!$C:$C,0,0)</f>
        <v>31600</v>
      </c>
      <c r="K110">
        <f>J110*0.14</f>
        <v>4424</v>
      </c>
      <c r="L110">
        <f>J110*0.12</f>
        <v>3792</v>
      </c>
      <c r="M110">
        <f>_xlfn.XLOOKUP(B110,'[1]march-2025'!$A:$A,'[1]march-2025'!$D:$D,0,0)</f>
        <v>0</v>
      </c>
      <c r="N110">
        <f>_xlfn.XLOOKUP(B110,'[1]march-2025'!$A:$A,'[1]march-2025'!$G:$G,0,0)</f>
        <v>0</v>
      </c>
      <c r="O110">
        <f>IF(J110&gt;0,SUM(J110:N110),0)</f>
        <v>39816</v>
      </c>
      <c r="P110">
        <f>_xlfn.XLOOKUP(B110,'[1]march-2025'!$A:$A,'[1]march-2025'!$H:$H,0,0)</f>
        <v>2000</v>
      </c>
      <c r="Q110">
        <f>_xlfn.XLOOKUP(B110,'[1]march-2025'!$A:$A,'[1]march-2025'!$I:$I,0,0)</f>
        <v>0</v>
      </c>
      <c r="R110">
        <f>IF($F110="YES",0,IF(O110&gt;40000,200,IF(O110&gt;25000,150,IF(O110&gt;15000,130,IF(O110&gt;10000,110,0)))))</f>
        <v>150</v>
      </c>
      <c r="S110">
        <f>O110-P110-Q110-R110</f>
        <v>37666</v>
      </c>
      <c r="T110">
        <f>_xlfn.XLOOKUP(B110,'[2]april-2025'!$A:$A,'[2]april-2025'!$C:$C,0,0)</f>
        <v>31600</v>
      </c>
      <c r="U110">
        <f>T110*0.18</f>
        <v>5688</v>
      </c>
      <c r="V110">
        <f>T110*0.12</f>
        <v>3792</v>
      </c>
      <c r="W110">
        <f>_xlfn.XLOOKUP(B110,'[2]april-2025'!$A:$A,'[2]april-2025'!$D:$D,0,0)</f>
        <v>0</v>
      </c>
      <c r="X110">
        <f>_xlfn.XLOOKUP(B110,'[2]april-2025'!$A:$A,'[2]april-2025'!$G:$G,0,0)</f>
        <v>0</v>
      </c>
      <c r="Y110">
        <f>IF(T110&gt;0,SUM(T110:X110),0)</f>
        <v>41080</v>
      </c>
      <c r="Z110">
        <f>_xlfn.XLOOKUP(B110,'[2]april-2025'!$A:$A,'[2]april-2025'!$H:$H,0,0)</f>
        <v>2000</v>
      </c>
      <c r="AA110">
        <f>_xlfn.XLOOKUP(B110,'[2]april-2025'!$A:$A,'[2]april-2025'!$I:$I,0,0)</f>
        <v>0</v>
      </c>
      <c r="AB110">
        <f>IF($F110="YES",0,IF(Y110&gt;40000,200,IF(Y110&gt;25000,150,IF(Y110&gt;15000,130,IF(Y110&gt;10000,110,0)))))</f>
        <v>200</v>
      </c>
      <c r="AC110">
        <f>Y110-Z110-AA110-AB110</f>
        <v>38880</v>
      </c>
      <c r="AD110">
        <f>_xlfn.XLOOKUP(B110,'[3]may-2025'!$A:$A,'[3]may-2025'!$C:$C,0,0)</f>
        <v>31600</v>
      </c>
      <c r="AE110">
        <f>AD110*0.18</f>
        <v>5688</v>
      </c>
      <c r="AF110">
        <f>AD110*0.12</f>
        <v>3792</v>
      </c>
      <c r="AG110">
        <f>_xlfn.XLOOKUP(B110,'[3]may-2025'!$A:$A,'[3]may-2025'!$D:$D,0,0)</f>
        <v>0</v>
      </c>
      <c r="AH110">
        <f>_xlfn.XLOOKUP(B110,'[3]may-2025'!$A:$A,'[3]may-2025'!$G:$G,0,0)</f>
        <v>0</v>
      </c>
      <c r="AI110">
        <f>IF(AD110&gt;0,SUM(AD110:AH110),0)</f>
        <v>41080</v>
      </c>
      <c r="AJ110">
        <f>_xlfn.XLOOKUP(B110,'[3]may-2025'!$A:$A,'[3]may-2025'!$H:$H,0,0)</f>
        <v>2000</v>
      </c>
      <c r="AK110">
        <f>_xlfn.XLOOKUP(B110,'[3]may-2025'!$A:$A,'[3]may-2025'!$I:$I,0,0)</f>
        <v>0</v>
      </c>
      <c r="AL110">
        <f>IF($F110="YES",0,IF(AI110&gt;40000,200,IF(AI110&gt;25000,150,IF(AI110&gt;15000,130,IF(AI110&gt;10000,110,0)))))</f>
        <v>200</v>
      </c>
      <c r="AM110">
        <f>AI110-AJ110-AK110-AL110</f>
        <v>38880</v>
      </c>
      <c r="AN110">
        <f>_xlfn.XLOOKUP(B110,'[4]june-2025'!$A:$A,'[4]june-2025'!$C:$C,0,0)</f>
        <v>31600</v>
      </c>
      <c r="AO110">
        <f>AN110*0.18</f>
        <v>5688</v>
      </c>
      <c r="AP110">
        <f>AN110*0.12</f>
        <v>3792</v>
      </c>
      <c r="AQ110">
        <f>_xlfn.XLOOKUP(B110,'[4]june-2025'!$A:$A,'[4]june-2025'!$D:$D,0,0)</f>
        <v>0</v>
      </c>
      <c r="AR110">
        <f>_xlfn.XLOOKUP(B110,'[4]june-2025'!$A:$A,'[4]june-2025'!$G:$G,0,0)</f>
        <v>0</v>
      </c>
      <c r="AS110">
        <f>IF(AN110&gt;0,SUM(AN110:AR110),0)</f>
        <v>41080</v>
      </c>
      <c r="AT110">
        <f>_xlfn.XLOOKUP(B110,'[4]june-2025'!$A:$A,'[4]june-2025'!$H:$H,0,0)</f>
        <v>2000</v>
      </c>
      <c r="AU110">
        <f>_xlfn.XLOOKUP(B110,'[4]june-2025'!$A:$A,'[4]june-2025'!$I:$I,0,0)</f>
        <v>0</v>
      </c>
      <c r="AV110">
        <f>IF($F110="YES",0,IF(AS110&gt;40000,200,IF(AS110&gt;25000,150,IF(AS110&gt;15000,130,IF(AS110&gt;10000,110,0)))))</f>
        <v>200</v>
      </c>
      <c r="AW110">
        <f>AS110-AT110-AU110-AV110</f>
        <v>38880</v>
      </c>
      <c r="AX110">
        <f>_xlfn.XLOOKUP(B110,'[5]july-2025'!$A:$A,'[5]july-2025'!$C:$C,0,0)</f>
        <v>32500</v>
      </c>
      <c r="AY110">
        <f>AX110*0.18</f>
        <v>5850</v>
      </c>
      <c r="AZ110">
        <v>0</v>
      </c>
      <c r="BA110">
        <f>AX110*0.12</f>
        <v>3900</v>
      </c>
      <c r="BB110">
        <f>_xlfn.XLOOKUP(B110,'[5]july-2025'!$A:$A,'[5]july-2025'!$D:$D,0,0)</f>
        <v>0</v>
      </c>
      <c r="BC110">
        <f>_xlfn.XLOOKUP(B110,'[5]july-2025'!$A:$A,'[5]july-2025'!$G:$G,0,0)</f>
        <v>0</v>
      </c>
      <c r="BD110">
        <f>IF(AX110&gt;0,SUM(AX110:BC110),0)</f>
        <v>42250</v>
      </c>
      <c r="BE110">
        <f>_xlfn.XLOOKUP(B110,'[5]july-2025'!$A:$A,'[5]july-2025'!$H:$H,0,0)</f>
        <v>2000</v>
      </c>
      <c r="BF110">
        <f>_xlfn.XLOOKUP(B110,'[5]july-2025'!$A:$A,'[5]july-2025'!$I:$I,0,0)</f>
        <v>0</v>
      </c>
      <c r="BG110">
        <f>IF($F110="YES",0,IF(BD110&gt;40000,200,IF(BD110&gt;25000,150,IF(BD110&gt;15000,130,IF(BD110&gt;10000,110,0)))))</f>
        <v>200</v>
      </c>
      <c r="BH110">
        <f>BD110-BE110-BF110-BG110</f>
        <v>40050</v>
      </c>
      <c r="BI110">
        <f>_xlfn.XLOOKUP(B110,'[6]august-2025'!$A:$A,'[6]august-2025'!$C:$C,0,0)</f>
        <v>32500</v>
      </c>
      <c r="BJ110">
        <f>BI110*0.18</f>
        <v>5850</v>
      </c>
      <c r="BK110">
        <f>BI110*0.12</f>
        <v>3900</v>
      </c>
      <c r="BL110">
        <f>_xlfn.XLOOKUP(B110,'[6]august-2025'!$A:$A,'[6]august-2025'!$D:$D,0,0)</f>
        <v>0</v>
      </c>
      <c r="BM110">
        <f>_xlfn.XLOOKUP(B110,'[6]august-2025'!$A:$A,'[6]august-2025'!$G:$G,0,0)</f>
        <v>0</v>
      </c>
      <c r="BN110">
        <f>IF(BI110&gt;0,SUM(BI110:BM110),0)</f>
        <v>42250</v>
      </c>
      <c r="BO110">
        <f>_xlfn.XLOOKUP(B110,'[6]august-2025'!$A:$A,'[6]august-2025'!$H:$H,0,0)</f>
        <v>2000</v>
      </c>
      <c r="BP110">
        <f>_xlfn.XLOOKUP(B110,'[6]august-2025'!$A:$A,'[6]august-2025'!$I:$I,0,0)</f>
        <v>0</v>
      </c>
      <c r="BQ110">
        <f>IF($F110="YES",0,IF(BN110&gt;40000,200,IF(BN110&gt;25000,150,IF(BN110&gt;15000,130,IF(BN110&gt;10000,110,0)))))</f>
        <v>200</v>
      </c>
      <c r="BR110">
        <f>BN110-BO110-BP110-BQ110</f>
        <v>40050</v>
      </c>
      <c r="BS110">
        <f>_xlfn.XLOOKUP(B110,'[7]september-2025'!$A:$A,'[7]september-2025'!$C:$C,0,0)</f>
        <v>32500</v>
      </c>
      <c r="BT110">
        <f>BS110*0.18</f>
        <v>5850</v>
      </c>
      <c r="BU110">
        <f>BS110*0.12</f>
        <v>3900</v>
      </c>
      <c r="BV110">
        <f>_xlfn.XLOOKUP(B110,'[7]september-2025'!$A:$A,'[7]september-2025'!$D:$D,0,0)</f>
        <v>0</v>
      </c>
      <c r="BW110">
        <f>_xlfn.XLOOKUP(B110,'[7]september-2025'!$A:$A,'[7]september-2025'!$G:$G,0,0)</f>
        <v>0</v>
      </c>
      <c r="BX110">
        <f>IF(BS110&gt;0,SUM(BS110:BW110),0)</f>
        <v>42250</v>
      </c>
      <c r="BY110">
        <f>_xlfn.XLOOKUP(B110,'[7]september-2025'!$A:$A,'[7]september-2025'!$H:$H,0,0)</f>
        <v>2000</v>
      </c>
      <c r="BZ110">
        <f>_xlfn.XLOOKUP(B110,'[7]september-2025'!$A:$A,'[7]september-2025'!$I:$I,0,0)</f>
        <v>0</v>
      </c>
      <c r="CA110">
        <f>IF($F110="YES",0,IF(BX110&gt;40000,200,IF(BX110&gt;25000,150,IF(BX110&gt;15000,130,IF(BX110&gt;10000,110,0)))))</f>
        <v>200</v>
      </c>
      <c r="CB110">
        <f>BX110-BY110-BZ110-CA110</f>
        <v>40050</v>
      </c>
      <c r="CC110">
        <f>_xlfn.XLOOKUP(B110,'[8]october-2025'!$A:$A,'[8]october-2025'!$C:$C,0,0)</f>
        <v>32500</v>
      </c>
      <c r="CD110">
        <f>CC110*0.18</f>
        <v>5850</v>
      </c>
      <c r="CE110">
        <f>CC110*0.12</f>
        <v>3900</v>
      </c>
      <c r="CF110">
        <f>_xlfn.XLOOKUP(B110,'[8]october-2025'!$A:$A,'[8]october-2025'!$D:$D,0,0)</f>
        <v>0</v>
      </c>
      <c r="CG110">
        <f>_xlfn.XLOOKUP(B110,'[8]october-2025'!$A:$A,'[8]october-2025'!$G:$G,0,0)</f>
        <v>0</v>
      </c>
      <c r="CH110">
        <f>IF(CC110&gt;0,SUM(CC110:CG110),0)</f>
        <v>42250</v>
      </c>
      <c r="CI110">
        <f>_xlfn.XLOOKUP(B110,'[8]october-2025'!$A:$A,'[8]october-2025'!$H:$H,0,0)</f>
        <v>2000</v>
      </c>
      <c r="CJ110">
        <f>_xlfn.XLOOKUP(B110,'[8]october-2025'!$A:$A,'[8]october-2025'!$I:$I,0,0)</f>
        <v>0</v>
      </c>
      <c r="CK110">
        <f>IF($F110="YES",0,IF(CH110&gt;40000,200,IF(CH110&gt;25000,150,IF(CH110&gt;15000,130,IF(CH110&gt;10000,110,0)))))</f>
        <v>200</v>
      </c>
      <c r="CL110">
        <f>CH110-CI110-CJ110-CK110</f>
        <v>40050</v>
      </c>
      <c r="CM110">
        <f>_xlfn.XLOOKUP(B110,'[9]november-2025'!$A:$A,'[9]november-2025'!$C:$C,0,0)</f>
        <v>32500</v>
      </c>
      <c r="CN110">
        <f>CM110*0.18</f>
        <v>5850</v>
      </c>
      <c r="CO110">
        <f>CM110*0.12</f>
        <v>3900</v>
      </c>
      <c r="CP110">
        <f>_xlfn.XLOOKUP(B110,'[9]november-2025'!$A:$A,'[9]november-2025'!$D:$D,0,0)</f>
        <v>0</v>
      </c>
      <c r="CQ110">
        <f>_xlfn.XLOOKUP(B110,'[9]november-2025'!$A:$A,'[9]november-2025'!$G:$G,0,0)</f>
        <v>0</v>
      </c>
      <c r="CR110">
        <f>IF(CM110&gt;0,SUM(CM110:CQ110),0)</f>
        <v>42250</v>
      </c>
      <c r="CS110">
        <f>_xlfn.XLOOKUP(B110,'[9]november-2025'!$A:$A,'[9]november-2025'!$H:$H,0,0)</f>
        <v>2000</v>
      </c>
      <c r="CT110">
        <f>_xlfn.XLOOKUP(B110,'[9]november-2025'!$A:$A,'[9]november-2025'!$I:$I,0,0)</f>
        <v>0</v>
      </c>
      <c r="CU110">
        <f>IF($F110="YES",0,IF(CR110&gt;40000,200,IF(CR110&gt;25000,150,IF(CR110&gt;15000,130,IF(CR110&gt;10000,110,0)))))</f>
        <v>200</v>
      </c>
      <c r="CV110">
        <f>CR110-CS110-CT110-CU110</f>
        <v>40050</v>
      </c>
      <c r="CW110">
        <f>_xlfn.XLOOKUP(B110,'[10]december-2025'!$A:$A,'[10]december-2025'!$C:$C,0,0)</f>
        <v>32500</v>
      </c>
      <c r="CX110">
        <f>ROUND(CW110*0.18,0)</f>
        <v>5850</v>
      </c>
      <c r="CY110">
        <f>ROUND(CW110*0.12,0)</f>
        <v>3900</v>
      </c>
      <c r="CZ110">
        <f>_xlfn.XLOOKUP(B110,'[10]december-2025'!$A:$A,'[10]december-2025'!$D:$D,0,0)</f>
        <v>0</v>
      </c>
      <c r="DA110">
        <f>_xlfn.XLOOKUP(B110,'[10]december-2025'!$A:$A,'[10]december-2025'!$G:$G,0,0)</f>
        <v>0</v>
      </c>
      <c r="DB110">
        <f>IF(CW110&gt;0,SUM(CW110:DA110),0)</f>
        <v>42250</v>
      </c>
      <c r="DC110">
        <f>_xlfn.XLOOKUP(B110,'[10]december-2025'!$A:$A,'[10]december-2025'!$H:$H,0,0)</f>
        <v>2000</v>
      </c>
      <c r="DD110">
        <f>_xlfn.XLOOKUP(B110,'[10]december-2025'!$A:$A,'[10]december-2025'!$I:$I,0,0)</f>
        <v>0</v>
      </c>
      <c r="DE110">
        <f>IF($F110="YES",0,IF(DB110&gt;40000,200,IF(DB110&gt;25000,150,IF(DB110&gt;15000,130,IF(DB110&gt;10000,110,0)))))</f>
        <v>200</v>
      </c>
      <c r="DF110">
        <f>DB110-DC110-DD110-DE110</f>
        <v>40050</v>
      </c>
      <c r="DG110">
        <f>_xlfn.XLOOKUP(B110,'[11]january-2026'!$A:$A,'[11]january-2026'!$C:$C,0,0)</f>
        <v>32500</v>
      </c>
      <c r="DH110">
        <f>DG110*0.18</f>
        <v>5850</v>
      </c>
      <c r="DI110">
        <f>DG110*0.12</f>
        <v>3900</v>
      </c>
      <c r="DJ110">
        <f>_xlfn.XLOOKUP(B110,'[11]january-2026'!$A:$A,'[11]january-2026'!$D:$D,0,0)</f>
        <v>0</v>
      </c>
      <c r="DK110">
        <f>_xlfn.XLOOKUP(B110,'[11]january-2026'!$A:$A,'[11]january-2026'!$G:$G,0,0)</f>
        <v>0</v>
      </c>
      <c r="DL110">
        <f>IF(DG110&gt;0,SUM(DG110:DK110),0)</f>
        <v>42250</v>
      </c>
      <c r="DM110">
        <f>_xlfn.XLOOKUP(B110,'[11]january-2026'!$A:$A,'[11]january-2026'!$H:$H,0,0)</f>
        <v>2000</v>
      </c>
      <c r="DN110">
        <f>_xlfn.XLOOKUP(B110,'[11]january-2026'!$A:$A,'[11]january-2026'!$I:$I,0,0)</f>
        <v>0</v>
      </c>
      <c r="DO110">
        <f>IF($F110="YES",0,IF(DL110&gt;40000,200,IF(DL110&gt;25000,150,IF(DL110&gt;15000,130,IF(DL110&gt;10000,110,0)))))</f>
        <v>200</v>
      </c>
      <c r="DP110">
        <f>DL110-DM110-DN110-DO110</f>
        <v>40050</v>
      </c>
      <c r="DQ110">
        <f>_xlfn.XLOOKUP(B110,'[12]february-2026'!$A:$A,'[12]february-2026'!$C:$C,0,0)</f>
        <v>32500</v>
      </c>
      <c r="DR110">
        <f>DQ110*0.18</f>
        <v>5850</v>
      </c>
      <c r="DS110">
        <f>DQ110*0.12</f>
        <v>3900</v>
      </c>
      <c r="DT110">
        <f>_xlfn.XLOOKUP(B110,'[12]february-2026'!$A:$A,'[12]february-2026'!$D:$D,0,0)</f>
        <v>0</v>
      </c>
      <c r="DU110">
        <f>_xlfn.XLOOKUP(B110,'[12]february-2026'!$A:$A,'[12]february-2026'!$G:$G,0,0)</f>
        <v>0</v>
      </c>
      <c r="DV110">
        <f>IF(DQ110&gt;0,SUM(DQ110:DU110),0)</f>
        <v>42250</v>
      </c>
      <c r="DW110">
        <f>_xlfn.XLOOKUP(B110,'[12]february-2026'!$A:$A,'[12]february-2026'!$H:$H,0,0)</f>
        <v>2000</v>
      </c>
      <c r="DX110">
        <f>_xlfn.XLOOKUP(B110,'[12]february-2026'!$A:$A,'[12]february-2026'!$I:$I,0,0)</f>
        <v>0</v>
      </c>
      <c r="DY110">
        <f>IF($F110="YES",0,IF(DV110&gt;40000,200,IF(DV110&gt;25000,150,IF(DV110&gt;15000,130,IF(DV110&gt;10000,110,0)))))</f>
        <v>200</v>
      </c>
      <c r="DZ110">
        <f>DV110-DW110-DX110-DY110</f>
        <v>40050</v>
      </c>
      <c r="EA110">
        <f>DV110+DL110+DB110+CR110+CH110+BX110+BN110+BD110+AS110+AI110+Y110+O110+H110+I110</f>
        <v>507856</v>
      </c>
      <c r="EB110">
        <f>DY110+DO110+DE110+CU110+CK110+CA110+BQ110+BG110+AV110+AL110+AB110+R110</f>
        <v>2350</v>
      </c>
      <c r="EC110">
        <f>IF(EA110&gt;0,50000,0)</f>
        <v>50000</v>
      </c>
      <c r="ED110">
        <v>0</v>
      </c>
      <c r="EE110">
        <f>EA110-EB110-EC110</f>
        <v>455506</v>
      </c>
      <c r="EF110">
        <f>DW110+DM110+DC110+CS110+CI110+BY110+BO110+BE110+AT110+AJ110+Z110+P110</f>
        <v>24000</v>
      </c>
      <c r="EG110">
        <f>DX110+DN110+DD110+CT110+CJ110+BZ110+BP110+BF110+AU110+AK110+AA110+Q110</f>
        <v>0</v>
      </c>
      <c r="EH110">
        <v>0</v>
      </c>
      <c r="EI110">
        <v>0</v>
      </c>
      <c r="EJ110">
        <v>0</v>
      </c>
      <c r="EK110">
        <v>0</v>
      </c>
      <c r="EL110">
        <v>0</v>
      </c>
      <c r="EM110">
        <v>0</v>
      </c>
      <c r="EN110">
        <v>0</v>
      </c>
      <c r="EO110">
        <v>0</v>
      </c>
      <c r="EP110">
        <v>0</v>
      </c>
      <c r="EQ110">
        <v>0</v>
      </c>
      <c r="ER110">
        <f>SUM(EF110:EQ110)</f>
        <v>24000</v>
      </c>
      <c r="ES110">
        <f>IF(ER110&gt;=150000,150000,ER110)</f>
        <v>24000</v>
      </c>
      <c r="ET110">
        <f>EE110-ES110</f>
        <v>431506</v>
      </c>
      <c r="EU110">
        <v>0</v>
      </c>
      <c r="EV110">
        <v>0</v>
      </c>
      <c r="EW110">
        <v>0</v>
      </c>
      <c r="EX110">
        <v>0</v>
      </c>
      <c r="EY110">
        <v>0</v>
      </c>
      <c r="EZ110">
        <v>0</v>
      </c>
      <c r="FA110">
        <v>0</v>
      </c>
      <c r="FB110">
        <f>SUM(EU110:FA110)+(IF(F110="YES",50000,0))</f>
        <v>0</v>
      </c>
      <c r="FC110">
        <f>ET110-FB110</f>
        <v>431506</v>
      </c>
      <c r="FD110">
        <f>ROUND(IF(FC110&gt;0,IF(FC110&gt;500000,12500,(FC110-250000)*0.05),0),0)</f>
        <v>9075</v>
      </c>
      <c r="FE110">
        <f>IF(ROUND(IF(FC110&gt;0,IF(FC110&gt;1000000,25000,(FC110-500000)*0.2),0),0)&lt;0,0,ROUND(IF(FC110&gt;0,IF(FC110&gt;1000000,25000,(FC110-500000)*0.2),0),0))</f>
        <v>0</v>
      </c>
      <c r="FF110">
        <f>FD110+FE110</f>
        <v>9075</v>
      </c>
      <c r="FG110">
        <f>IF(FF110&lt;12500,0,FF110)</f>
        <v>0</v>
      </c>
      <c r="FH110">
        <f>FG110*0.04</f>
        <v>0</v>
      </c>
      <c r="FI110">
        <f>ROUND(FH110+FG110,0)</f>
        <v>0</v>
      </c>
      <c r="FJ110">
        <v>0</v>
      </c>
      <c r="FK110">
        <f>FI110-FJ110</f>
        <v>0</v>
      </c>
      <c r="FL110" t="b">
        <f>IF(EA110&gt;500000,TRUE,FALSE)</f>
        <v>1</v>
      </c>
      <c r="FM110">
        <f ca="1">IF(FL110,RANDBETWEEN(500,1000),RANDBETWEEN(1000,3000))</f>
        <v>549</v>
      </c>
      <c r="FN110">
        <f ca="1">EA110+FM110</f>
        <v>508405</v>
      </c>
      <c r="FO110">
        <f>IF(EA110&gt;0,75000,0)</f>
        <v>75000</v>
      </c>
      <c r="FP110">
        <f ca="1">FN110-FO110</f>
        <v>433405</v>
      </c>
      <c r="FQ110">
        <f ca="1">IF(FP110&gt;2400000,FP110-2400000,0)</f>
        <v>0</v>
      </c>
      <c r="FR110">
        <f ca="1">FQ110*0.3</f>
        <v>0</v>
      </c>
      <c r="FS110">
        <f ca="1">IF(FP110&gt;2000000,FP110-2000000,0)</f>
        <v>0</v>
      </c>
      <c r="FT110">
        <f ca="1">FS110*0.25</f>
        <v>0</v>
      </c>
      <c r="FU110">
        <f ca="1">IF(FP110&gt;1600000,FP110-1600000-FQ110,0)</f>
        <v>0</v>
      </c>
      <c r="FV110">
        <f ca="1">FU110*0.2</f>
        <v>0</v>
      </c>
      <c r="FW110">
        <f ca="1">IF(FP110&gt;1200000,FP110-1200000-IF(F110="YES",50000,0)-FU110,0)</f>
        <v>0</v>
      </c>
      <c r="FX110">
        <f ca="1">FW110*0.15</f>
        <v>0</v>
      </c>
      <c r="FY110">
        <f ca="1">IF(FP110&gt;800000,FP110-800000-FQ110-FU110-FW110,0)</f>
        <v>0</v>
      </c>
      <c r="FZ110">
        <f ca="1">FY110*0.1</f>
        <v>0</v>
      </c>
      <c r="GA110">
        <f ca="1">IF(FP110&gt;400000,FP110-400000-FQ110-FU110-FW110-FY110,0)</f>
        <v>33405</v>
      </c>
      <c r="GB110">
        <f ca="1">GA110*0.05</f>
        <v>1670.25</v>
      </c>
      <c r="GC110">
        <f ca="1">ROUND(FR110+FT110+FV110+FX110+FZ110+GB110,0)</f>
        <v>1670</v>
      </c>
      <c r="GD110">
        <f ca="1">IF(FP110&gt;1200000,FP110,0)</f>
        <v>0</v>
      </c>
      <c r="GE110">
        <f ca="1">IF(FP110&gt;1200000,GD110-1200000,0)</f>
        <v>0</v>
      </c>
      <c r="GF110">
        <f ca="1">IF(FP110&lt;1200001,MIN(GC110,60000),0)</f>
        <v>1670</v>
      </c>
      <c r="GG110">
        <f ca="1">IF(FP110&gt;1200000,GC110-GE110,0)</f>
        <v>0</v>
      </c>
      <c r="GH110" t="b">
        <f ca="1">IF(GG110&gt;0,TRUE,FALSE)</f>
        <v>0</v>
      </c>
      <c r="GI110">
        <f ca="1">IF(GH110,GG110,0)</f>
        <v>0</v>
      </c>
      <c r="GJ110">
        <f ca="1">GF110+GI110</f>
        <v>1670</v>
      </c>
      <c r="GK110">
        <f ca="1">ROUND(GC110-GJ110,0)</f>
        <v>0</v>
      </c>
      <c r="GL110">
        <f ca="1">GK110*0.04</f>
        <v>0</v>
      </c>
      <c r="GM110">
        <f ca="1">ROUNDUP(GK110+GL110,0)</f>
        <v>0</v>
      </c>
    </row>
    <row r="111" spans="1:195" x14ac:dyDescent="0.25">
      <c r="A111">
        <f>_xlfn.AGGREGATE(3,5,$B$2:B111)</f>
        <v>110</v>
      </c>
      <c r="B111" t="s">
        <v>339</v>
      </c>
      <c r="C111" t="s">
        <v>340</v>
      </c>
      <c r="D111" t="s">
        <v>782</v>
      </c>
      <c r="E111" t="s">
        <v>834</v>
      </c>
      <c r="F111" t="s">
        <v>959</v>
      </c>
      <c r="G111" t="s">
        <v>887</v>
      </c>
      <c r="H111">
        <f>IF(_xlfn.DAYS("31-03-2025",G111)&gt;=180,6800,0)</f>
        <v>6800</v>
      </c>
      <c r="I111">
        <f>_xlfn.XLOOKUP(B111,'[1]march-2025'!$A:$A,'[1]march-2025'!$J:$J,0,0)</f>
        <v>0</v>
      </c>
      <c r="J111">
        <f>_xlfn.XLOOKUP(B111,'[1]march-2025'!$A:$A,'[1]march-2025'!$C:$C,0,0)</f>
        <v>51700</v>
      </c>
      <c r="K111">
        <f>J111*0.14</f>
        <v>7238.0000000000009</v>
      </c>
      <c r="L111">
        <f>J111*0.12</f>
        <v>6204</v>
      </c>
      <c r="M111">
        <f>_xlfn.XLOOKUP(B111,'[1]march-2025'!$A:$A,'[1]march-2025'!$D:$D,0,0)</f>
        <v>400</v>
      </c>
      <c r="N111">
        <f>_xlfn.XLOOKUP(B111,'[1]march-2025'!$A:$A,'[1]march-2025'!$G:$G,0,0)</f>
        <v>500</v>
      </c>
      <c r="O111">
        <f>IF(J111&gt;0,SUM(J111:N111),0)</f>
        <v>66042</v>
      </c>
      <c r="P111">
        <f>_xlfn.XLOOKUP(B111,'[1]march-2025'!$A:$A,'[1]march-2025'!$H:$H,0,0)</f>
        <v>10000</v>
      </c>
      <c r="Q111">
        <f>_xlfn.XLOOKUP(B111,'[1]march-2025'!$A:$A,'[1]march-2025'!$I:$I,0,0)</f>
        <v>60</v>
      </c>
      <c r="R111">
        <f>IF($F111="YES",0,IF(O111&gt;40000,200,IF(O111&gt;25000,150,IF(O111&gt;15000,130,IF(O111&gt;10000,110,0)))))</f>
        <v>200</v>
      </c>
      <c r="S111">
        <f>O111-P111-Q111-R111</f>
        <v>55782</v>
      </c>
      <c r="T111">
        <f>_xlfn.XLOOKUP(B111,'[2]april-2025'!$A:$A,'[2]april-2025'!$C:$C,0,0)</f>
        <v>51700</v>
      </c>
      <c r="U111">
        <f>T111*0.18</f>
        <v>9306</v>
      </c>
      <c r="V111">
        <f>T111*0.12</f>
        <v>6204</v>
      </c>
      <c r="W111">
        <f>_xlfn.XLOOKUP(B111,'[2]april-2025'!$A:$A,'[2]april-2025'!$D:$D,0,0)</f>
        <v>400</v>
      </c>
      <c r="X111">
        <f>_xlfn.XLOOKUP(B111,'[2]april-2025'!$A:$A,'[2]april-2025'!$G:$G,0,0)</f>
        <v>500</v>
      </c>
      <c r="Y111">
        <f>IF(T111&gt;0,SUM(T111:X111),0)</f>
        <v>68110</v>
      </c>
      <c r="Z111">
        <f>_xlfn.XLOOKUP(B111,'[2]april-2025'!$A:$A,'[2]april-2025'!$H:$H,0,0)</f>
        <v>10000</v>
      </c>
      <c r="AA111">
        <f>_xlfn.XLOOKUP(B111,'[2]april-2025'!$A:$A,'[2]april-2025'!$I:$I,0,0)</f>
        <v>60</v>
      </c>
      <c r="AB111">
        <f>IF($F111="YES",0,IF(Y111&gt;40000,200,IF(Y111&gt;25000,150,IF(Y111&gt;15000,130,IF(Y111&gt;10000,110,0)))))</f>
        <v>200</v>
      </c>
      <c r="AC111">
        <f>Y111-Z111-AA111-AB111</f>
        <v>57850</v>
      </c>
      <c r="AD111">
        <f>_xlfn.XLOOKUP(B111,'[3]may-2025'!$A:$A,'[3]may-2025'!$C:$C,0,0)</f>
        <v>51700</v>
      </c>
      <c r="AE111">
        <f>AD111*0.18</f>
        <v>9306</v>
      </c>
      <c r="AF111">
        <f>AD111*0.12</f>
        <v>6204</v>
      </c>
      <c r="AG111">
        <f>_xlfn.XLOOKUP(B111,'[3]may-2025'!$A:$A,'[3]may-2025'!$D:$D,0,0)</f>
        <v>400</v>
      </c>
      <c r="AH111">
        <f>_xlfn.XLOOKUP(B111,'[3]may-2025'!$A:$A,'[3]may-2025'!$G:$G,0,0)</f>
        <v>500</v>
      </c>
      <c r="AI111">
        <f>IF(AD111&gt;0,SUM(AD111:AH111),0)</f>
        <v>68110</v>
      </c>
      <c r="AJ111">
        <f>_xlfn.XLOOKUP(B111,'[3]may-2025'!$A:$A,'[3]may-2025'!$H:$H,0,0)</f>
        <v>10000</v>
      </c>
      <c r="AK111">
        <f>_xlfn.XLOOKUP(B111,'[3]may-2025'!$A:$A,'[3]may-2025'!$I:$I,0,0)</f>
        <v>60</v>
      </c>
      <c r="AL111">
        <f>IF($F111="YES",0,IF(AI111&gt;40000,200,IF(AI111&gt;25000,150,IF(AI111&gt;15000,130,IF(AI111&gt;10000,110,0)))))</f>
        <v>200</v>
      </c>
      <c r="AM111">
        <f>AI111-AJ111-AK111-AL111</f>
        <v>57850</v>
      </c>
      <c r="AN111">
        <f>_xlfn.XLOOKUP(B111,'[4]june-2025'!$A:$A,'[4]june-2025'!$C:$C,0,0)</f>
        <v>51700</v>
      </c>
      <c r="AO111">
        <f>AN111*0.18</f>
        <v>9306</v>
      </c>
      <c r="AP111">
        <f>AN111*0.12</f>
        <v>6204</v>
      </c>
      <c r="AQ111">
        <f>_xlfn.XLOOKUP(B111,'[4]june-2025'!$A:$A,'[4]june-2025'!$D:$D,0,0)</f>
        <v>400</v>
      </c>
      <c r="AR111">
        <f>_xlfn.XLOOKUP(B111,'[4]june-2025'!$A:$A,'[4]june-2025'!$G:$G,0,0)</f>
        <v>500</v>
      </c>
      <c r="AS111">
        <f>IF(AN111&gt;0,SUM(AN111:AR111),0)</f>
        <v>68110</v>
      </c>
      <c r="AT111">
        <f>_xlfn.XLOOKUP(B111,'[4]june-2025'!$A:$A,'[4]june-2025'!$H:$H,0,0)</f>
        <v>10000</v>
      </c>
      <c r="AU111">
        <f>_xlfn.XLOOKUP(B111,'[4]june-2025'!$A:$A,'[4]june-2025'!$I:$I,0,0)</f>
        <v>60</v>
      </c>
      <c r="AV111">
        <f>IF($F111="YES",0,IF(AS111&gt;40000,200,IF(AS111&gt;25000,150,IF(AS111&gt;15000,130,IF(AS111&gt;10000,110,0)))))</f>
        <v>200</v>
      </c>
      <c r="AW111">
        <f>AS111-AT111-AU111-AV111</f>
        <v>57850</v>
      </c>
      <c r="AX111">
        <f>_xlfn.XLOOKUP(B111,'[5]july-2025'!$A:$A,'[5]july-2025'!$C:$C,0,0)</f>
        <v>53300</v>
      </c>
      <c r="AY111">
        <f>AX111*0.18</f>
        <v>9594</v>
      </c>
      <c r="AZ111">
        <v>0</v>
      </c>
      <c r="BA111">
        <f>AX111*0.12</f>
        <v>6396</v>
      </c>
      <c r="BB111">
        <f>_xlfn.XLOOKUP(B111,'[5]july-2025'!$A:$A,'[5]july-2025'!$D:$D,0,0)</f>
        <v>400</v>
      </c>
      <c r="BC111">
        <f>_xlfn.XLOOKUP(B111,'[5]july-2025'!$A:$A,'[5]july-2025'!$G:$G,0,0)</f>
        <v>500</v>
      </c>
      <c r="BD111">
        <f>IF(AX111&gt;0,SUM(AX111:BC111),0)</f>
        <v>70190</v>
      </c>
      <c r="BE111">
        <f>_xlfn.XLOOKUP(B111,'[5]july-2025'!$A:$A,'[5]july-2025'!$H:$H,0,0)</f>
        <v>10000</v>
      </c>
      <c r="BF111">
        <f>_xlfn.XLOOKUP(B111,'[5]july-2025'!$A:$A,'[5]july-2025'!$I:$I,0,0)</f>
        <v>60</v>
      </c>
      <c r="BG111">
        <f>IF($F111="YES",0,IF(BD111&gt;40000,200,IF(BD111&gt;25000,150,IF(BD111&gt;15000,130,IF(BD111&gt;10000,110,0)))))</f>
        <v>200</v>
      </c>
      <c r="BH111">
        <f>BD111-BE111-BF111-BG111</f>
        <v>59930</v>
      </c>
      <c r="BI111">
        <f>_xlfn.XLOOKUP(B111,'[6]august-2025'!$A:$A,'[6]august-2025'!$C:$C,0,0)</f>
        <v>53300</v>
      </c>
      <c r="BJ111">
        <f>BI111*0.18</f>
        <v>9594</v>
      </c>
      <c r="BK111">
        <f>BI111*0.12</f>
        <v>6396</v>
      </c>
      <c r="BL111">
        <f>_xlfn.XLOOKUP(B111,'[6]august-2025'!$A:$A,'[6]august-2025'!$D:$D,0,0)</f>
        <v>400</v>
      </c>
      <c r="BM111">
        <f>_xlfn.XLOOKUP(B111,'[6]august-2025'!$A:$A,'[6]august-2025'!$G:$G,0,0)</f>
        <v>500</v>
      </c>
      <c r="BN111">
        <f>IF(BI111&gt;0,SUM(BI111:BM111),0)</f>
        <v>70190</v>
      </c>
      <c r="BO111">
        <f>_xlfn.XLOOKUP(B111,'[6]august-2025'!$A:$A,'[6]august-2025'!$H:$H,0,0)</f>
        <v>10000</v>
      </c>
      <c r="BP111">
        <f>_xlfn.XLOOKUP(B111,'[6]august-2025'!$A:$A,'[6]august-2025'!$I:$I,0,0)</f>
        <v>60</v>
      </c>
      <c r="BQ111">
        <f>IF($F111="YES",0,IF(BN111&gt;40000,200,IF(BN111&gt;25000,150,IF(BN111&gt;15000,130,IF(BN111&gt;10000,110,0)))))</f>
        <v>200</v>
      </c>
      <c r="BR111">
        <f>BN111-BO111-BP111-BQ111</f>
        <v>59930</v>
      </c>
      <c r="BS111">
        <f>_xlfn.XLOOKUP(B111,'[7]september-2025'!$A:$A,'[7]september-2025'!$C:$C,0,0)</f>
        <v>53300</v>
      </c>
      <c r="BT111">
        <f>BS111*0.18</f>
        <v>9594</v>
      </c>
      <c r="BU111">
        <f>BS111*0.12</f>
        <v>6396</v>
      </c>
      <c r="BV111">
        <f>_xlfn.XLOOKUP(B111,'[7]september-2025'!$A:$A,'[7]september-2025'!$D:$D,0,0)</f>
        <v>400</v>
      </c>
      <c r="BW111">
        <f>_xlfn.XLOOKUP(B111,'[7]september-2025'!$A:$A,'[7]september-2025'!$G:$G,0,0)</f>
        <v>500</v>
      </c>
      <c r="BX111">
        <f>IF(BS111&gt;0,SUM(BS111:BW111),0)</f>
        <v>70190</v>
      </c>
      <c r="BY111">
        <f>_xlfn.XLOOKUP(B111,'[7]september-2025'!$A:$A,'[7]september-2025'!$H:$H,0,0)</f>
        <v>10000</v>
      </c>
      <c r="BZ111">
        <f>_xlfn.XLOOKUP(B111,'[7]september-2025'!$A:$A,'[7]september-2025'!$I:$I,0,0)</f>
        <v>60</v>
      </c>
      <c r="CA111">
        <f>IF($F111="YES",0,IF(BX111&gt;40000,200,IF(BX111&gt;25000,150,IF(BX111&gt;15000,130,IF(BX111&gt;10000,110,0)))))</f>
        <v>200</v>
      </c>
      <c r="CB111">
        <f>BX111-BY111-BZ111-CA111</f>
        <v>59930</v>
      </c>
      <c r="CC111">
        <f>_xlfn.XLOOKUP(B111,'[8]october-2025'!$A:$A,'[8]october-2025'!$C:$C,0,0)</f>
        <v>53300</v>
      </c>
      <c r="CD111">
        <f>CC111*0.18</f>
        <v>9594</v>
      </c>
      <c r="CE111">
        <f>CC111*0.12</f>
        <v>6396</v>
      </c>
      <c r="CF111">
        <f>_xlfn.XLOOKUP(B111,'[8]october-2025'!$A:$A,'[8]october-2025'!$D:$D,0,0)</f>
        <v>400</v>
      </c>
      <c r="CG111">
        <f>_xlfn.XLOOKUP(B111,'[8]october-2025'!$A:$A,'[8]october-2025'!$G:$G,0,0)</f>
        <v>500</v>
      </c>
      <c r="CH111">
        <f>IF(CC111&gt;0,SUM(CC111:CG111),0)</f>
        <v>70190</v>
      </c>
      <c r="CI111">
        <f>_xlfn.XLOOKUP(B111,'[8]october-2025'!$A:$A,'[8]october-2025'!$H:$H,0,0)</f>
        <v>10000</v>
      </c>
      <c r="CJ111">
        <f>_xlfn.XLOOKUP(B111,'[8]october-2025'!$A:$A,'[8]october-2025'!$I:$I,0,0)</f>
        <v>60</v>
      </c>
      <c r="CK111">
        <f>IF($F111="YES",0,IF(CH111&gt;40000,200,IF(CH111&gt;25000,150,IF(CH111&gt;15000,130,IF(CH111&gt;10000,110,0)))))</f>
        <v>200</v>
      </c>
      <c r="CL111">
        <f>CH111-CI111-CJ111-CK111</f>
        <v>59930</v>
      </c>
      <c r="CM111">
        <f>_xlfn.XLOOKUP(B111,'[9]november-2025'!$A:$A,'[9]november-2025'!$C:$C,0,0)</f>
        <v>53300</v>
      </c>
      <c r="CN111">
        <f>CM111*0.18</f>
        <v>9594</v>
      </c>
      <c r="CO111">
        <f>CM111*0.12</f>
        <v>6396</v>
      </c>
      <c r="CP111">
        <f>_xlfn.XLOOKUP(B111,'[9]november-2025'!$A:$A,'[9]november-2025'!$D:$D,0,0)</f>
        <v>400</v>
      </c>
      <c r="CQ111">
        <f>_xlfn.XLOOKUP(B111,'[9]november-2025'!$A:$A,'[9]november-2025'!$G:$G,0,0)</f>
        <v>500</v>
      </c>
      <c r="CR111">
        <f>IF(CM111&gt;0,SUM(CM111:CQ111),0)</f>
        <v>70190</v>
      </c>
      <c r="CS111">
        <f>_xlfn.XLOOKUP(B111,'[9]november-2025'!$A:$A,'[9]november-2025'!$H:$H,0,0)</f>
        <v>10000</v>
      </c>
      <c r="CT111">
        <f>_xlfn.XLOOKUP(B111,'[9]november-2025'!$A:$A,'[9]november-2025'!$I:$I,0,0)</f>
        <v>60</v>
      </c>
      <c r="CU111">
        <f>IF($F111="YES",0,IF(CR111&gt;40000,200,IF(CR111&gt;25000,150,IF(CR111&gt;15000,130,IF(CR111&gt;10000,110,0)))))</f>
        <v>200</v>
      </c>
      <c r="CV111">
        <f>CR111-CS111-CT111-CU111</f>
        <v>59930</v>
      </c>
      <c r="CW111">
        <f>_xlfn.XLOOKUP(B111,'[10]december-2025'!$A:$A,'[10]december-2025'!$C:$C,0,0)</f>
        <v>53300</v>
      </c>
      <c r="CX111">
        <f>ROUND(CW111*0.18,0)</f>
        <v>9594</v>
      </c>
      <c r="CY111">
        <f>ROUND(CW111*0.12,0)</f>
        <v>6396</v>
      </c>
      <c r="CZ111">
        <f>_xlfn.XLOOKUP(B111,'[10]december-2025'!$A:$A,'[10]december-2025'!$D:$D,0,0)</f>
        <v>400</v>
      </c>
      <c r="DA111">
        <f>_xlfn.XLOOKUP(B111,'[10]december-2025'!$A:$A,'[10]december-2025'!$G:$G,0,0)</f>
        <v>500</v>
      </c>
      <c r="DB111">
        <f>IF(CW111&gt;0,SUM(CW111:DA111),0)</f>
        <v>70190</v>
      </c>
      <c r="DC111">
        <f>_xlfn.XLOOKUP(B111,'[10]december-2025'!$A:$A,'[10]december-2025'!$H:$H,0,0)</f>
        <v>10000</v>
      </c>
      <c r="DD111">
        <f>_xlfn.XLOOKUP(B111,'[10]december-2025'!$A:$A,'[10]december-2025'!$I:$I,0,0)</f>
        <v>60</v>
      </c>
      <c r="DE111">
        <f>IF($F111="YES",0,IF(DB111&gt;40000,200,IF(DB111&gt;25000,150,IF(DB111&gt;15000,130,IF(DB111&gt;10000,110,0)))))</f>
        <v>200</v>
      </c>
      <c r="DF111">
        <f>DB111-DC111-DD111-DE111</f>
        <v>59930</v>
      </c>
      <c r="DG111">
        <f>_xlfn.XLOOKUP(B111,'[11]january-2026'!$A:$A,'[11]january-2026'!$C:$C,0,0)</f>
        <v>53300</v>
      </c>
      <c r="DH111">
        <f>DG111*0.18</f>
        <v>9594</v>
      </c>
      <c r="DI111">
        <f>DG111*0.12</f>
        <v>6396</v>
      </c>
      <c r="DJ111">
        <f>_xlfn.XLOOKUP(B111,'[11]january-2026'!$A:$A,'[11]january-2026'!$D:$D,0,0)</f>
        <v>400</v>
      </c>
      <c r="DK111">
        <f>_xlfn.XLOOKUP(B111,'[11]january-2026'!$A:$A,'[11]january-2026'!$G:$G,0,0)</f>
        <v>500</v>
      </c>
      <c r="DL111">
        <f>IF(DG111&gt;0,SUM(DG111:DK111),0)</f>
        <v>70190</v>
      </c>
      <c r="DM111">
        <f>_xlfn.XLOOKUP(B111,'[11]january-2026'!$A:$A,'[11]january-2026'!$H:$H,0,0)</f>
        <v>10000</v>
      </c>
      <c r="DN111">
        <f>_xlfn.XLOOKUP(B111,'[11]january-2026'!$A:$A,'[11]january-2026'!$I:$I,0,0)</f>
        <v>60</v>
      </c>
      <c r="DO111">
        <f>IF($F111="YES",0,IF(DL111&gt;40000,200,IF(DL111&gt;25000,150,IF(DL111&gt;15000,130,IF(DL111&gt;10000,110,0)))))</f>
        <v>200</v>
      </c>
      <c r="DP111">
        <f>DL111-DM111-DN111-DO111</f>
        <v>59930</v>
      </c>
      <c r="DQ111">
        <f>_xlfn.XLOOKUP(B111,'[12]february-2026'!$A:$A,'[12]february-2026'!$C:$C,0,0)</f>
        <v>53300</v>
      </c>
      <c r="DR111">
        <f>DQ111*0.18</f>
        <v>9594</v>
      </c>
      <c r="DS111">
        <f>DQ111*0.12</f>
        <v>6396</v>
      </c>
      <c r="DT111">
        <f>_xlfn.XLOOKUP(B111,'[12]february-2026'!$A:$A,'[12]february-2026'!$D:$D,0,0)</f>
        <v>400</v>
      </c>
      <c r="DU111">
        <f>_xlfn.XLOOKUP(B111,'[12]february-2026'!$A:$A,'[12]february-2026'!$G:$G,0,0)</f>
        <v>500</v>
      </c>
      <c r="DV111">
        <f>IF(DQ111&gt;0,SUM(DQ111:DU111),0)</f>
        <v>70190</v>
      </c>
      <c r="DW111">
        <f>_xlfn.XLOOKUP(B111,'[12]february-2026'!$A:$A,'[12]february-2026'!$H:$H,0,0)</f>
        <v>10000</v>
      </c>
      <c r="DX111">
        <f>_xlfn.XLOOKUP(B111,'[12]february-2026'!$A:$A,'[12]february-2026'!$I:$I,0,0)</f>
        <v>60</v>
      </c>
      <c r="DY111">
        <f>IF($F111="YES",0,IF(DV111&gt;40000,200,IF(DV111&gt;25000,150,IF(DV111&gt;15000,130,IF(DV111&gt;10000,110,0)))))</f>
        <v>200</v>
      </c>
      <c r="DZ111">
        <f>DV111-DW111-DX111-DY111</f>
        <v>59930</v>
      </c>
      <c r="EA111">
        <f>DV111+DL111+DB111+CR111+CH111+BX111+BN111+BD111+AS111+AI111+Y111+O111+H111+I111</f>
        <v>838692</v>
      </c>
      <c r="EB111">
        <f>DY111+DO111+DE111+CU111+CK111+CA111+BQ111+BG111+AV111+AL111+AB111+R111</f>
        <v>2400</v>
      </c>
      <c r="EC111">
        <f>IF(EA111&gt;0,50000,0)</f>
        <v>50000</v>
      </c>
      <c r="ED111">
        <v>0</v>
      </c>
      <c r="EE111">
        <f>EA111-EB111-EC111</f>
        <v>786292</v>
      </c>
      <c r="EF111">
        <f>DW111+DM111+DC111+CS111+CI111+BY111+BO111+BE111+AT111+AJ111+Z111+P111</f>
        <v>120000</v>
      </c>
      <c r="EG111">
        <f>DX111+DN111+DD111+CT111+CJ111+BZ111+BP111+BF111+AU111+AK111+AA111+Q111</f>
        <v>720</v>
      </c>
      <c r="EH111">
        <v>0</v>
      </c>
      <c r="EI111">
        <v>0</v>
      </c>
      <c r="EJ111">
        <v>0</v>
      </c>
      <c r="EK111">
        <v>0</v>
      </c>
      <c r="EL111">
        <v>0</v>
      </c>
      <c r="EM111">
        <v>0</v>
      </c>
      <c r="EN111">
        <v>0</v>
      </c>
      <c r="EO111">
        <v>0</v>
      </c>
      <c r="EP111">
        <v>0</v>
      </c>
      <c r="EQ111">
        <v>0</v>
      </c>
      <c r="ER111">
        <f>SUM(EF111:EQ111)</f>
        <v>120720</v>
      </c>
      <c r="ES111">
        <f>IF(ER111&gt;=150000,150000,ER111)</f>
        <v>120720</v>
      </c>
      <c r="ET111">
        <f>EE111-ES111</f>
        <v>665572</v>
      </c>
      <c r="EU111">
        <v>0</v>
      </c>
      <c r="EV111">
        <v>0</v>
      </c>
      <c r="EW111">
        <v>0</v>
      </c>
      <c r="EX111">
        <v>0</v>
      </c>
      <c r="EY111">
        <v>0</v>
      </c>
      <c r="EZ111">
        <v>0</v>
      </c>
      <c r="FA111">
        <v>0</v>
      </c>
      <c r="FB111">
        <f>SUM(EU111:FA111)+(IF(F111="YES",50000,0))</f>
        <v>0</v>
      </c>
      <c r="FC111">
        <f>ET111-FB111</f>
        <v>665572</v>
      </c>
      <c r="FD111">
        <f>ROUND(IF(FC111&gt;0,IF(FC111&gt;500000,12500,(FC111-250000)*0.05),0),0)</f>
        <v>12500</v>
      </c>
      <c r="FE111">
        <f>IF(ROUND(IF(FC111&gt;0,IF(FC111&gt;1000000,25000,(FC111-500000)*0.2),0),0)&lt;0,0,ROUND(IF(FC111&gt;0,IF(FC111&gt;1000000,25000,(FC111-500000)*0.2),0),0))</f>
        <v>33114</v>
      </c>
      <c r="FF111">
        <f>FD111+FE111</f>
        <v>45614</v>
      </c>
      <c r="FG111">
        <f>IF(FF111&lt;12500,0,FF111)</f>
        <v>45614</v>
      </c>
      <c r="FH111">
        <f>FG111*0.04</f>
        <v>1824.56</v>
      </c>
      <c r="FI111">
        <f>ROUND(FH111+FG111,0)</f>
        <v>47439</v>
      </c>
      <c r="FJ111">
        <v>0</v>
      </c>
      <c r="FK111">
        <f>FI111-FJ111</f>
        <v>47439</v>
      </c>
      <c r="FL111" t="b">
        <f>IF(EA111&gt;500000,TRUE,FALSE)</f>
        <v>1</v>
      </c>
      <c r="FM111">
        <f ca="1">IF(FL111,RANDBETWEEN(500,1000),RANDBETWEEN(1000,3000))</f>
        <v>974</v>
      </c>
      <c r="FN111">
        <f ca="1">EA111+FM111</f>
        <v>839666</v>
      </c>
      <c r="FO111">
        <f>IF(EA111&gt;0,75000,0)</f>
        <v>75000</v>
      </c>
      <c r="FP111">
        <f ca="1">FN111-FO111</f>
        <v>764666</v>
      </c>
      <c r="FQ111">
        <f ca="1">IF(FP111&gt;2400000,FP111-2400000,0)</f>
        <v>0</v>
      </c>
      <c r="FR111">
        <f ca="1">FQ111*0.3</f>
        <v>0</v>
      </c>
      <c r="FS111">
        <f ca="1">IF(FP111&gt;2000000,FP111-2000000,0)</f>
        <v>0</v>
      </c>
      <c r="FT111">
        <f ca="1">FS111*0.25</f>
        <v>0</v>
      </c>
      <c r="FU111">
        <f ca="1">IF(FP111&gt;1600000,FP111-1600000-FQ111,0)</f>
        <v>0</v>
      </c>
      <c r="FV111">
        <f ca="1">FU111*0.2</f>
        <v>0</v>
      </c>
      <c r="FW111">
        <f ca="1">IF(FP111&gt;1200000,FP111-1200000-IF(F111="YES",50000,0)-FU111,0)</f>
        <v>0</v>
      </c>
      <c r="FX111">
        <f ca="1">FW111*0.15</f>
        <v>0</v>
      </c>
      <c r="FY111">
        <f ca="1">IF(FP111&gt;800000,FP111-800000-FQ111-FU111-FW111,0)</f>
        <v>0</v>
      </c>
      <c r="FZ111">
        <f ca="1">FY111*0.1</f>
        <v>0</v>
      </c>
      <c r="GA111">
        <f ca="1">IF(FP111&gt;400000,FP111-400000-FQ111-FU111-FW111-FY111,0)</f>
        <v>364666</v>
      </c>
      <c r="GB111">
        <f ca="1">GA111*0.05</f>
        <v>18233.3</v>
      </c>
      <c r="GC111">
        <f ca="1">ROUND(FR111+FT111+FV111+FX111+FZ111+GB111,0)</f>
        <v>18233</v>
      </c>
      <c r="GD111">
        <f ca="1">IF(FP111&gt;1200000,FP111,0)</f>
        <v>0</v>
      </c>
      <c r="GE111">
        <f ca="1">IF(FP111&gt;1200000,GD111-1200000,0)</f>
        <v>0</v>
      </c>
      <c r="GF111">
        <f ca="1">IF(FP111&lt;1200001,MIN(GC111,60000),0)</f>
        <v>18233</v>
      </c>
      <c r="GG111">
        <f ca="1">IF(FP111&gt;1200000,GC111-GE111,0)</f>
        <v>0</v>
      </c>
      <c r="GH111" t="b">
        <f ca="1">IF(GG111&gt;0,TRUE,FALSE)</f>
        <v>0</v>
      </c>
      <c r="GI111">
        <f ca="1">IF(GH111,GG111,0)</f>
        <v>0</v>
      </c>
      <c r="GJ111">
        <f ca="1">GF111+GI111</f>
        <v>18233</v>
      </c>
      <c r="GK111">
        <f ca="1">ROUND(GC111-GJ111,0)</f>
        <v>0</v>
      </c>
      <c r="GL111">
        <f ca="1">GK111*0.04</f>
        <v>0</v>
      </c>
      <c r="GM111">
        <f ca="1">ROUNDUP(GK111+GL111,0)</f>
        <v>0</v>
      </c>
    </row>
    <row r="112" spans="1:195" x14ac:dyDescent="0.25">
      <c r="A112">
        <f>_xlfn.AGGREGATE(3,5,$B$2:B112)</f>
        <v>111</v>
      </c>
      <c r="B112" t="s">
        <v>341</v>
      </c>
      <c r="C112" t="s">
        <v>342</v>
      </c>
      <c r="D112" t="s">
        <v>782</v>
      </c>
      <c r="E112" t="s">
        <v>834</v>
      </c>
      <c r="F112" t="s">
        <v>959</v>
      </c>
      <c r="G112" t="s">
        <v>907</v>
      </c>
      <c r="H112">
        <f>IF(_xlfn.DAYS("31-03-2025",G112)&gt;=180,6800,0)</f>
        <v>6800</v>
      </c>
      <c r="I112">
        <f>_xlfn.XLOOKUP(B112,'[1]march-2025'!$A:$A,'[1]march-2025'!$J:$J,0,0)</f>
        <v>0</v>
      </c>
      <c r="J112">
        <f>_xlfn.XLOOKUP(B112,'[1]march-2025'!$A:$A,'[1]march-2025'!$C:$C,0,0)</f>
        <v>37700</v>
      </c>
      <c r="K112">
        <f>J112*0.14</f>
        <v>5278.0000000000009</v>
      </c>
      <c r="L112">
        <f>J112*0.12</f>
        <v>4524</v>
      </c>
      <c r="M112">
        <f>_xlfn.XLOOKUP(B112,'[1]march-2025'!$A:$A,'[1]march-2025'!$D:$D,0,0)</f>
        <v>0</v>
      </c>
      <c r="N112">
        <f>_xlfn.XLOOKUP(B112,'[1]march-2025'!$A:$A,'[1]march-2025'!$G:$G,0,0)</f>
        <v>500</v>
      </c>
      <c r="O112">
        <f>IF(J112&gt;0,SUM(J112:N112),0)</f>
        <v>48002</v>
      </c>
      <c r="P112">
        <f>_xlfn.XLOOKUP(B112,'[1]march-2025'!$A:$A,'[1]march-2025'!$H:$H,0,0)</f>
        <v>5000</v>
      </c>
      <c r="Q112">
        <f>_xlfn.XLOOKUP(B112,'[1]march-2025'!$A:$A,'[1]march-2025'!$I:$I,0,0)</f>
        <v>0</v>
      </c>
      <c r="R112">
        <f>IF($F112="YES",0,IF(O112&gt;40000,200,IF(O112&gt;25000,150,IF(O112&gt;15000,130,IF(O112&gt;10000,110,0)))))</f>
        <v>200</v>
      </c>
      <c r="S112">
        <f>O112-P112-Q112-R112</f>
        <v>42802</v>
      </c>
      <c r="T112">
        <f>_xlfn.XLOOKUP(B112,'[2]april-2025'!$A:$A,'[2]april-2025'!$C:$C,0,0)</f>
        <v>37700</v>
      </c>
      <c r="U112">
        <f>T112*0.18</f>
        <v>6786</v>
      </c>
      <c r="V112">
        <f>T112*0.12</f>
        <v>4524</v>
      </c>
      <c r="W112">
        <f>_xlfn.XLOOKUP(B112,'[2]april-2025'!$A:$A,'[2]april-2025'!$D:$D,0,0)</f>
        <v>0</v>
      </c>
      <c r="X112">
        <f>_xlfn.XLOOKUP(B112,'[2]april-2025'!$A:$A,'[2]april-2025'!$G:$G,0,0)</f>
        <v>500</v>
      </c>
      <c r="Y112">
        <f>IF(T112&gt;0,SUM(T112:X112),0)</f>
        <v>49510</v>
      </c>
      <c r="Z112">
        <f>_xlfn.XLOOKUP(B112,'[2]april-2025'!$A:$A,'[2]april-2025'!$H:$H,0,0)</f>
        <v>5000</v>
      </c>
      <c r="AA112">
        <f>_xlfn.XLOOKUP(B112,'[2]april-2025'!$A:$A,'[2]april-2025'!$I:$I,0,0)</f>
        <v>0</v>
      </c>
      <c r="AB112">
        <f>IF($F112="YES",0,IF(Y112&gt;40000,200,IF(Y112&gt;25000,150,IF(Y112&gt;15000,130,IF(Y112&gt;10000,110,0)))))</f>
        <v>200</v>
      </c>
      <c r="AC112">
        <f>Y112-Z112-AA112-AB112</f>
        <v>44310</v>
      </c>
      <c r="AD112">
        <f>_xlfn.XLOOKUP(B112,'[3]may-2025'!$A:$A,'[3]may-2025'!$C:$C,0,0)</f>
        <v>37700</v>
      </c>
      <c r="AE112">
        <f>AD112*0.18</f>
        <v>6786</v>
      </c>
      <c r="AF112">
        <f>AD112*0.12</f>
        <v>4524</v>
      </c>
      <c r="AG112">
        <f>_xlfn.XLOOKUP(B112,'[3]may-2025'!$A:$A,'[3]may-2025'!$D:$D,0,0)</f>
        <v>0</v>
      </c>
      <c r="AH112">
        <f>_xlfn.XLOOKUP(B112,'[3]may-2025'!$A:$A,'[3]may-2025'!$G:$G,0,0)</f>
        <v>500</v>
      </c>
      <c r="AI112">
        <f>IF(AD112&gt;0,SUM(AD112:AH112),0)</f>
        <v>49510</v>
      </c>
      <c r="AJ112">
        <f>_xlfn.XLOOKUP(B112,'[3]may-2025'!$A:$A,'[3]may-2025'!$H:$H,0,0)</f>
        <v>5000</v>
      </c>
      <c r="AK112">
        <f>_xlfn.XLOOKUP(B112,'[3]may-2025'!$A:$A,'[3]may-2025'!$I:$I,0,0)</f>
        <v>0</v>
      </c>
      <c r="AL112">
        <f>IF($F112="YES",0,IF(AI112&gt;40000,200,IF(AI112&gt;25000,150,IF(AI112&gt;15000,130,IF(AI112&gt;10000,110,0)))))</f>
        <v>200</v>
      </c>
      <c r="AM112">
        <f>AI112-AJ112-AK112-AL112</f>
        <v>44310</v>
      </c>
      <c r="AN112">
        <f>_xlfn.XLOOKUP(B112,'[4]june-2025'!$A:$A,'[4]june-2025'!$C:$C,0,0)</f>
        <v>37700</v>
      </c>
      <c r="AO112">
        <f>AN112*0.18</f>
        <v>6786</v>
      </c>
      <c r="AP112">
        <f>AN112*0.12</f>
        <v>4524</v>
      </c>
      <c r="AQ112">
        <f>_xlfn.XLOOKUP(B112,'[4]june-2025'!$A:$A,'[4]june-2025'!$D:$D,0,0)</f>
        <v>0</v>
      </c>
      <c r="AR112">
        <f>_xlfn.XLOOKUP(B112,'[4]june-2025'!$A:$A,'[4]june-2025'!$G:$G,0,0)</f>
        <v>500</v>
      </c>
      <c r="AS112">
        <f>IF(AN112&gt;0,SUM(AN112:AR112),0)</f>
        <v>49510</v>
      </c>
      <c r="AT112">
        <f>_xlfn.XLOOKUP(B112,'[4]june-2025'!$A:$A,'[4]june-2025'!$H:$H,0,0)</f>
        <v>5000</v>
      </c>
      <c r="AU112">
        <f>_xlfn.XLOOKUP(B112,'[4]june-2025'!$A:$A,'[4]june-2025'!$I:$I,0,0)</f>
        <v>0</v>
      </c>
      <c r="AV112">
        <f>IF($F112="YES",0,IF(AS112&gt;40000,200,IF(AS112&gt;25000,150,IF(AS112&gt;15000,130,IF(AS112&gt;10000,110,0)))))</f>
        <v>200</v>
      </c>
      <c r="AW112">
        <f>AS112-AT112-AU112-AV112</f>
        <v>44310</v>
      </c>
      <c r="AX112">
        <f>_xlfn.XLOOKUP(B112,'[5]july-2025'!$A:$A,'[5]july-2025'!$C:$C,0,0)</f>
        <v>38800</v>
      </c>
      <c r="AY112">
        <f>AX112*0.18</f>
        <v>6984</v>
      </c>
      <c r="AZ112">
        <v>0</v>
      </c>
      <c r="BA112">
        <f>AX112*0.12</f>
        <v>4656</v>
      </c>
      <c r="BB112">
        <f>_xlfn.XLOOKUP(B112,'[5]july-2025'!$A:$A,'[5]july-2025'!$D:$D,0,0)</f>
        <v>0</v>
      </c>
      <c r="BC112">
        <f>_xlfn.XLOOKUP(B112,'[5]july-2025'!$A:$A,'[5]july-2025'!$G:$G,0,0)</f>
        <v>500</v>
      </c>
      <c r="BD112">
        <f>IF(AX112&gt;0,SUM(AX112:BC112),0)</f>
        <v>50940</v>
      </c>
      <c r="BE112">
        <f>_xlfn.XLOOKUP(B112,'[5]july-2025'!$A:$A,'[5]july-2025'!$H:$H,0,0)</f>
        <v>5000</v>
      </c>
      <c r="BF112">
        <f>_xlfn.XLOOKUP(B112,'[5]july-2025'!$A:$A,'[5]july-2025'!$I:$I,0,0)</f>
        <v>0</v>
      </c>
      <c r="BG112">
        <f>IF($F112="YES",0,IF(BD112&gt;40000,200,IF(BD112&gt;25000,150,IF(BD112&gt;15000,130,IF(BD112&gt;10000,110,0)))))</f>
        <v>200</v>
      </c>
      <c r="BH112">
        <f>BD112-BE112-BF112-BG112</f>
        <v>45740</v>
      </c>
      <c r="BI112">
        <f>_xlfn.XLOOKUP(B112,'[6]august-2025'!$A:$A,'[6]august-2025'!$C:$C,0,0)</f>
        <v>38800</v>
      </c>
      <c r="BJ112">
        <f>BI112*0.18</f>
        <v>6984</v>
      </c>
      <c r="BK112">
        <f>BI112*0.12</f>
        <v>4656</v>
      </c>
      <c r="BL112">
        <f>_xlfn.XLOOKUP(B112,'[6]august-2025'!$A:$A,'[6]august-2025'!$D:$D,0,0)</f>
        <v>0</v>
      </c>
      <c r="BM112">
        <f>_xlfn.XLOOKUP(B112,'[6]august-2025'!$A:$A,'[6]august-2025'!$G:$G,0,0)</f>
        <v>500</v>
      </c>
      <c r="BN112">
        <f>IF(BI112&gt;0,SUM(BI112:BM112),0)</f>
        <v>50940</v>
      </c>
      <c r="BO112">
        <f>_xlfn.XLOOKUP(B112,'[6]august-2025'!$A:$A,'[6]august-2025'!$H:$H,0,0)</f>
        <v>5000</v>
      </c>
      <c r="BP112">
        <f>_xlfn.XLOOKUP(B112,'[6]august-2025'!$A:$A,'[6]august-2025'!$I:$I,0,0)</f>
        <v>0</v>
      </c>
      <c r="BQ112">
        <f>IF($F112="YES",0,IF(BN112&gt;40000,200,IF(BN112&gt;25000,150,IF(BN112&gt;15000,130,IF(BN112&gt;10000,110,0)))))</f>
        <v>200</v>
      </c>
      <c r="BR112">
        <f>BN112-BO112-BP112-BQ112</f>
        <v>45740</v>
      </c>
      <c r="BS112">
        <f>_xlfn.XLOOKUP(B112,'[7]september-2025'!$A:$A,'[7]september-2025'!$C:$C,0,0)</f>
        <v>38800</v>
      </c>
      <c r="BT112">
        <f>BS112*0.18</f>
        <v>6984</v>
      </c>
      <c r="BU112">
        <f>BS112*0.12</f>
        <v>4656</v>
      </c>
      <c r="BV112">
        <f>_xlfn.XLOOKUP(B112,'[7]september-2025'!$A:$A,'[7]september-2025'!$D:$D,0,0)</f>
        <v>0</v>
      </c>
      <c r="BW112">
        <f>_xlfn.XLOOKUP(B112,'[7]september-2025'!$A:$A,'[7]september-2025'!$G:$G,0,0)</f>
        <v>500</v>
      </c>
      <c r="BX112">
        <f>IF(BS112&gt;0,SUM(BS112:BW112),0)</f>
        <v>50940</v>
      </c>
      <c r="BY112">
        <f>_xlfn.XLOOKUP(B112,'[7]september-2025'!$A:$A,'[7]september-2025'!$H:$H,0,0)</f>
        <v>5000</v>
      </c>
      <c r="BZ112">
        <f>_xlfn.XLOOKUP(B112,'[7]september-2025'!$A:$A,'[7]september-2025'!$I:$I,0,0)</f>
        <v>0</v>
      </c>
      <c r="CA112">
        <f>IF($F112="YES",0,IF(BX112&gt;40000,200,IF(BX112&gt;25000,150,IF(BX112&gt;15000,130,IF(BX112&gt;10000,110,0)))))</f>
        <v>200</v>
      </c>
      <c r="CB112">
        <f>BX112-BY112-BZ112-CA112</f>
        <v>45740</v>
      </c>
      <c r="CC112">
        <f>_xlfn.XLOOKUP(B112,'[8]october-2025'!$A:$A,'[8]october-2025'!$C:$C,0,0)</f>
        <v>38800</v>
      </c>
      <c r="CD112">
        <f>CC112*0.18</f>
        <v>6984</v>
      </c>
      <c r="CE112">
        <f>CC112*0.12</f>
        <v>4656</v>
      </c>
      <c r="CF112">
        <f>_xlfn.XLOOKUP(B112,'[8]october-2025'!$A:$A,'[8]october-2025'!$D:$D,0,0)</f>
        <v>0</v>
      </c>
      <c r="CG112">
        <f>_xlfn.XLOOKUP(B112,'[8]october-2025'!$A:$A,'[8]october-2025'!$G:$G,0,0)</f>
        <v>500</v>
      </c>
      <c r="CH112">
        <f>IF(CC112&gt;0,SUM(CC112:CG112),0)</f>
        <v>50940</v>
      </c>
      <c r="CI112">
        <f>_xlfn.XLOOKUP(B112,'[8]october-2025'!$A:$A,'[8]october-2025'!$H:$H,0,0)</f>
        <v>5000</v>
      </c>
      <c r="CJ112">
        <f>_xlfn.XLOOKUP(B112,'[8]october-2025'!$A:$A,'[8]october-2025'!$I:$I,0,0)</f>
        <v>0</v>
      </c>
      <c r="CK112">
        <f>IF($F112="YES",0,IF(CH112&gt;40000,200,IF(CH112&gt;25000,150,IF(CH112&gt;15000,130,IF(CH112&gt;10000,110,0)))))</f>
        <v>200</v>
      </c>
      <c r="CL112">
        <f>CH112-CI112-CJ112-CK112</f>
        <v>45740</v>
      </c>
      <c r="CM112">
        <f>_xlfn.XLOOKUP(B112,'[9]november-2025'!$A:$A,'[9]november-2025'!$C:$C,0,0)</f>
        <v>38800</v>
      </c>
      <c r="CN112">
        <f>CM112*0.18</f>
        <v>6984</v>
      </c>
      <c r="CO112">
        <f>CM112*0.12</f>
        <v>4656</v>
      </c>
      <c r="CP112">
        <f>_xlfn.XLOOKUP(B112,'[9]november-2025'!$A:$A,'[9]november-2025'!$D:$D,0,0)</f>
        <v>0</v>
      </c>
      <c r="CQ112">
        <f>_xlfn.XLOOKUP(B112,'[9]november-2025'!$A:$A,'[9]november-2025'!$G:$G,0,0)</f>
        <v>500</v>
      </c>
      <c r="CR112">
        <f>IF(CM112&gt;0,SUM(CM112:CQ112),0)</f>
        <v>50940</v>
      </c>
      <c r="CS112">
        <f>_xlfn.XLOOKUP(B112,'[9]november-2025'!$A:$A,'[9]november-2025'!$H:$H,0,0)</f>
        <v>5000</v>
      </c>
      <c r="CT112">
        <f>_xlfn.XLOOKUP(B112,'[9]november-2025'!$A:$A,'[9]november-2025'!$I:$I,0,0)</f>
        <v>0</v>
      </c>
      <c r="CU112">
        <f>IF($F112="YES",0,IF(CR112&gt;40000,200,IF(CR112&gt;25000,150,IF(CR112&gt;15000,130,IF(CR112&gt;10000,110,0)))))</f>
        <v>200</v>
      </c>
      <c r="CV112">
        <f>CR112-CS112-CT112-CU112</f>
        <v>45740</v>
      </c>
      <c r="CW112">
        <f>_xlfn.XLOOKUP(B112,'[10]december-2025'!$A:$A,'[10]december-2025'!$C:$C,0,0)</f>
        <v>38800</v>
      </c>
      <c r="CX112">
        <f>ROUND(CW112*0.18,0)</f>
        <v>6984</v>
      </c>
      <c r="CY112">
        <f>ROUND(CW112*0.12,0)</f>
        <v>4656</v>
      </c>
      <c r="CZ112">
        <f>_xlfn.XLOOKUP(B112,'[10]december-2025'!$A:$A,'[10]december-2025'!$D:$D,0,0)</f>
        <v>0</v>
      </c>
      <c r="DA112">
        <f>_xlfn.XLOOKUP(B112,'[10]december-2025'!$A:$A,'[10]december-2025'!$G:$G,0,0)</f>
        <v>500</v>
      </c>
      <c r="DB112">
        <f>IF(CW112&gt;0,SUM(CW112:DA112),0)</f>
        <v>50940</v>
      </c>
      <c r="DC112">
        <f>_xlfn.XLOOKUP(B112,'[10]december-2025'!$A:$A,'[10]december-2025'!$H:$H,0,0)</f>
        <v>5000</v>
      </c>
      <c r="DD112">
        <f>_xlfn.XLOOKUP(B112,'[10]december-2025'!$A:$A,'[10]december-2025'!$I:$I,0,0)</f>
        <v>0</v>
      </c>
      <c r="DE112">
        <f>IF($F112="YES",0,IF(DB112&gt;40000,200,IF(DB112&gt;25000,150,IF(DB112&gt;15000,130,IF(DB112&gt;10000,110,0)))))</f>
        <v>200</v>
      </c>
      <c r="DF112">
        <f>DB112-DC112-DD112-DE112</f>
        <v>45740</v>
      </c>
      <c r="DG112">
        <f>_xlfn.XLOOKUP(B112,'[11]january-2026'!$A:$A,'[11]january-2026'!$C:$C,0,0)</f>
        <v>38800</v>
      </c>
      <c r="DH112">
        <f>DG112*0.18</f>
        <v>6984</v>
      </c>
      <c r="DI112">
        <f>DG112*0.12</f>
        <v>4656</v>
      </c>
      <c r="DJ112">
        <f>_xlfn.XLOOKUP(B112,'[11]january-2026'!$A:$A,'[11]january-2026'!$D:$D,0,0)</f>
        <v>0</v>
      </c>
      <c r="DK112">
        <f>_xlfn.XLOOKUP(B112,'[11]january-2026'!$A:$A,'[11]january-2026'!$G:$G,0,0)</f>
        <v>500</v>
      </c>
      <c r="DL112">
        <f>IF(DG112&gt;0,SUM(DG112:DK112),0)</f>
        <v>50940</v>
      </c>
      <c r="DM112">
        <f>_xlfn.XLOOKUP(B112,'[11]january-2026'!$A:$A,'[11]january-2026'!$H:$H,0,0)</f>
        <v>5000</v>
      </c>
      <c r="DN112">
        <f>_xlfn.XLOOKUP(B112,'[11]january-2026'!$A:$A,'[11]january-2026'!$I:$I,0,0)</f>
        <v>0</v>
      </c>
      <c r="DO112">
        <f>IF($F112="YES",0,IF(DL112&gt;40000,200,IF(DL112&gt;25000,150,IF(DL112&gt;15000,130,IF(DL112&gt;10000,110,0)))))</f>
        <v>200</v>
      </c>
      <c r="DP112">
        <f>DL112-DM112-DN112-DO112</f>
        <v>45740</v>
      </c>
      <c r="DQ112">
        <f>_xlfn.XLOOKUP(B112,'[12]february-2026'!$A:$A,'[12]february-2026'!$C:$C,0,0)</f>
        <v>38800</v>
      </c>
      <c r="DR112">
        <f>DQ112*0.18</f>
        <v>6984</v>
      </c>
      <c r="DS112">
        <f>DQ112*0.12</f>
        <v>4656</v>
      </c>
      <c r="DT112">
        <f>_xlfn.XLOOKUP(B112,'[12]february-2026'!$A:$A,'[12]february-2026'!$D:$D,0,0)</f>
        <v>0</v>
      </c>
      <c r="DU112">
        <f>_xlfn.XLOOKUP(B112,'[12]february-2026'!$A:$A,'[12]february-2026'!$G:$G,0,0)</f>
        <v>500</v>
      </c>
      <c r="DV112">
        <f>IF(DQ112&gt;0,SUM(DQ112:DU112),0)</f>
        <v>50940</v>
      </c>
      <c r="DW112">
        <f>_xlfn.XLOOKUP(B112,'[12]february-2026'!$A:$A,'[12]february-2026'!$H:$H,0,0)</f>
        <v>5000</v>
      </c>
      <c r="DX112">
        <f>_xlfn.XLOOKUP(B112,'[12]february-2026'!$A:$A,'[12]february-2026'!$I:$I,0,0)</f>
        <v>0</v>
      </c>
      <c r="DY112">
        <f>IF($F112="YES",0,IF(DV112&gt;40000,200,IF(DV112&gt;25000,150,IF(DV112&gt;15000,130,IF(DV112&gt;10000,110,0)))))</f>
        <v>200</v>
      </c>
      <c r="DZ112">
        <f>DV112-DW112-DX112-DY112</f>
        <v>45740</v>
      </c>
      <c r="EA112">
        <f>DV112+DL112+DB112+CR112+CH112+BX112+BN112+BD112+AS112+AI112+Y112+O112+H112+I112</f>
        <v>610852</v>
      </c>
      <c r="EB112">
        <f>DY112+DO112+DE112+CU112+CK112+CA112+BQ112+BG112+AV112+AL112+AB112+R112</f>
        <v>2400</v>
      </c>
      <c r="EC112">
        <f>IF(EA112&gt;0,50000,0)</f>
        <v>50000</v>
      </c>
      <c r="ED112">
        <v>0</v>
      </c>
      <c r="EE112">
        <f>EA112-EB112-EC112</f>
        <v>558452</v>
      </c>
      <c r="EF112">
        <f>DW112+DM112+DC112+CS112+CI112+BY112+BO112+BE112+AT112+AJ112+Z112+P112</f>
        <v>60000</v>
      </c>
      <c r="EG112">
        <f>DX112+DN112+DD112+CT112+CJ112+BZ112+BP112+BF112+AU112+AK112+AA112+Q112</f>
        <v>0</v>
      </c>
      <c r="EH112">
        <v>0</v>
      </c>
      <c r="EI112">
        <v>0</v>
      </c>
      <c r="EJ112">
        <v>0</v>
      </c>
      <c r="EK112">
        <v>0</v>
      </c>
      <c r="EL112">
        <v>0</v>
      </c>
      <c r="EM112">
        <v>0</v>
      </c>
      <c r="EN112">
        <v>0</v>
      </c>
      <c r="EO112">
        <v>0</v>
      </c>
      <c r="EP112">
        <v>0</v>
      </c>
      <c r="EQ112">
        <v>0</v>
      </c>
      <c r="ER112">
        <f>SUM(EF112:EQ112)</f>
        <v>60000</v>
      </c>
      <c r="ES112">
        <f>IF(ER112&gt;=150000,150000,ER112)</f>
        <v>60000</v>
      </c>
      <c r="ET112">
        <f>EE112-ES112</f>
        <v>498452</v>
      </c>
      <c r="EU112">
        <v>0</v>
      </c>
      <c r="EV112">
        <v>0</v>
      </c>
      <c r="EW112">
        <v>0</v>
      </c>
      <c r="EX112">
        <v>0</v>
      </c>
      <c r="EY112">
        <v>0</v>
      </c>
      <c r="EZ112">
        <v>0</v>
      </c>
      <c r="FA112">
        <v>0</v>
      </c>
      <c r="FB112">
        <f>SUM(EU112:FA112)+(IF(F112="YES",50000,0))</f>
        <v>0</v>
      </c>
      <c r="FC112">
        <f>ET112-FB112</f>
        <v>498452</v>
      </c>
      <c r="FD112">
        <f>ROUND(IF(FC112&gt;0,IF(FC112&gt;500000,12500,(FC112-250000)*0.05),0),0)</f>
        <v>12423</v>
      </c>
      <c r="FE112">
        <f>IF(ROUND(IF(FC112&gt;0,IF(FC112&gt;1000000,25000,(FC112-500000)*0.2),0),0)&lt;0,0,ROUND(IF(FC112&gt;0,IF(FC112&gt;1000000,25000,(FC112-500000)*0.2),0),0))</f>
        <v>0</v>
      </c>
      <c r="FF112">
        <f>FD112+FE112</f>
        <v>12423</v>
      </c>
      <c r="FG112">
        <f>IF(FF112&lt;12500,0,FF112)</f>
        <v>0</v>
      </c>
      <c r="FH112">
        <f>FG112*0.04</f>
        <v>0</v>
      </c>
      <c r="FI112">
        <f>ROUND(FH112+FG112,0)</f>
        <v>0</v>
      </c>
      <c r="FJ112">
        <v>0</v>
      </c>
      <c r="FK112">
        <f>FI112-FJ112</f>
        <v>0</v>
      </c>
      <c r="FL112" t="b">
        <f>IF(EA112&gt;500000,TRUE,FALSE)</f>
        <v>1</v>
      </c>
      <c r="FM112">
        <f ca="1">IF(FL112,RANDBETWEEN(500,1000),RANDBETWEEN(1000,3000))</f>
        <v>876</v>
      </c>
      <c r="FN112">
        <f ca="1">EA112+FM112</f>
        <v>611728</v>
      </c>
      <c r="FO112">
        <f>IF(EA112&gt;0,75000,0)</f>
        <v>75000</v>
      </c>
      <c r="FP112">
        <f ca="1">FN112-FO112</f>
        <v>536728</v>
      </c>
      <c r="FQ112">
        <f ca="1">IF(FP112&gt;2400000,FP112-2400000,0)</f>
        <v>0</v>
      </c>
      <c r="FR112">
        <f ca="1">FQ112*0.3</f>
        <v>0</v>
      </c>
      <c r="FS112">
        <f ca="1">IF(FP112&gt;2000000,FP112-2000000,0)</f>
        <v>0</v>
      </c>
      <c r="FT112">
        <f ca="1">FS112*0.25</f>
        <v>0</v>
      </c>
      <c r="FU112">
        <f ca="1">IF(FP112&gt;1600000,FP112-1600000-FQ112,0)</f>
        <v>0</v>
      </c>
      <c r="FV112">
        <f ca="1">FU112*0.2</f>
        <v>0</v>
      </c>
      <c r="FW112">
        <f ca="1">IF(FP112&gt;1200000,FP112-1200000-IF(F112="YES",50000,0)-FU112,0)</f>
        <v>0</v>
      </c>
      <c r="FX112">
        <f ca="1">FW112*0.15</f>
        <v>0</v>
      </c>
      <c r="FY112">
        <f ca="1">IF(FP112&gt;800000,FP112-800000-FQ112-FU112-FW112,0)</f>
        <v>0</v>
      </c>
      <c r="FZ112">
        <f ca="1">FY112*0.1</f>
        <v>0</v>
      </c>
      <c r="GA112">
        <f ca="1">IF(FP112&gt;400000,FP112-400000-FQ112-FU112-FW112-FY112,0)</f>
        <v>136728</v>
      </c>
      <c r="GB112">
        <f ca="1">GA112*0.05</f>
        <v>6836.4000000000005</v>
      </c>
      <c r="GC112">
        <f ca="1">ROUND(FR112+FT112+FV112+FX112+FZ112+GB112,0)</f>
        <v>6836</v>
      </c>
      <c r="GD112">
        <f ca="1">IF(FP112&gt;1200000,FP112,0)</f>
        <v>0</v>
      </c>
      <c r="GE112">
        <f ca="1">IF(FP112&gt;1200000,GD112-1200000,0)</f>
        <v>0</v>
      </c>
      <c r="GF112">
        <f ca="1">IF(FP112&lt;1200001,MIN(GC112,60000),0)</f>
        <v>6836</v>
      </c>
      <c r="GG112">
        <f ca="1">IF(FP112&gt;1200000,GC112-GE112,0)</f>
        <v>0</v>
      </c>
      <c r="GH112" t="b">
        <f ca="1">IF(GG112&gt;0,TRUE,FALSE)</f>
        <v>0</v>
      </c>
      <c r="GI112">
        <f ca="1">IF(GH112,GG112,0)</f>
        <v>0</v>
      </c>
      <c r="GJ112">
        <f ca="1">GF112+GI112</f>
        <v>6836</v>
      </c>
      <c r="GK112">
        <f ca="1">ROUND(GC112-GJ112,0)</f>
        <v>0</v>
      </c>
      <c r="GL112">
        <f ca="1">GK112*0.04</f>
        <v>0</v>
      </c>
      <c r="GM112">
        <f ca="1">ROUNDUP(GK112+GL112,0)</f>
        <v>0</v>
      </c>
    </row>
    <row r="113" spans="1:195" x14ac:dyDescent="0.25">
      <c r="A113">
        <f>_xlfn.AGGREGATE(3,5,$B$2:B113)</f>
        <v>112</v>
      </c>
      <c r="B113" t="s">
        <v>343</v>
      </c>
      <c r="C113" t="s">
        <v>344</v>
      </c>
      <c r="D113" t="s">
        <v>782</v>
      </c>
      <c r="E113" t="s">
        <v>833</v>
      </c>
      <c r="F113" t="s">
        <v>959</v>
      </c>
      <c r="G113" t="s">
        <v>902</v>
      </c>
      <c r="H113">
        <f>IF(_xlfn.DAYS("31-03-2025",G113)&gt;=180,6800,0)</f>
        <v>6800</v>
      </c>
      <c r="I113">
        <f>_xlfn.XLOOKUP(B113,'[1]march-2025'!$A:$A,'[1]march-2025'!$J:$J,0,0)</f>
        <v>0</v>
      </c>
      <c r="J113">
        <f>_xlfn.XLOOKUP(B113,'[1]march-2025'!$A:$A,'[1]march-2025'!$C:$C,0,0)</f>
        <v>31300</v>
      </c>
      <c r="K113">
        <f>J113*0.14</f>
        <v>4382</v>
      </c>
      <c r="L113">
        <f>J113*0.12</f>
        <v>3756</v>
      </c>
      <c r="M113">
        <f>_xlfn.XLOOKUP(B113,'[1]march-2025'!$A:$A,'[1]march-2025'!$D:$D,0,0)</f>
        <v>0</v>
      </c>
      <c r="N113">
        <f>_xlfn.XLOOKUP(B113,'[1]march-2025'!$A:$A,'[1]march-2025'!$G:$G,0,0)</f>
        <v>0</v>
      </c>
      <c r="O113">
        <f>IF(J113&gt;0,SUM(J113:N113),0)</f>
        <v>39438</v>
      </c>
      <c r="P113">
        <f>_xlfn.XLOOKUP(B113,'[1]march-2025'!$A:$A,'[1]march-2025'!$H:$H,0,0)</f>
        <v>2000</v>
      </c>
      <c r="Q113">
        <f>_xlfn.XLOOKUP(B113,'[1]march-2025'!$A:$A,'[1]march-2025'!$I:$I,0,0)</f>
        <v>0</v>
      </c>
      <c r="R113">
        <f>IF($F113="YES",0,IF(O113&gt;40000,200,IF(O113&gt;25000,150,IF(O113&gt;15000,130,IF(O113&gt;10000,110,0)))))</f>
        <v>150</v>
      </c>
      <c r="S113">
        <f>O113-P113-Q113-R113</f>
        <v>37288</v>
      </c>
      <c r="T113">
        <f>_xlfn.XLOOKUP(B113,'[2]april-2025'!$A:$A,'[2]april-2025'!$C:$C,0,0)</f>
        <v>31300</v>
      </c>
      <c r="U113">
        <f>T113*0.18</f>
        <v>5634</v>
      </c>
      <c r="V113">
        <f>T113*0.12</f>
        <v>3756</v>
      </c>
      <c r="W113">
        <f>_xlfn.XLOOKUP(B113,'[2]april-2025'!$A:$A,'[2]april-2025'!$D:$D,0,0)</f>
        <v>0</v>
      </c>
      <c r="X113">
        <f>_xlfn.XLOOKUP(B113,'[2]april-2025'!$A:$A,'[2]april-2025'!$G:$G,0,0)</f>
        <v>0</v>
      </c>
      <c r="Y113">
        <f>IF(T113&gt;0,SUM(T113:X113),0)</f>
        <v>40690</v>
      </c>
      <c r="Z113">
        <f>_xlfn.XLOOKUP(B113,'[2]april-2025'!$A:$A,'[2]april-2025'!$H:$H,0,0)</f>
        <v>2000</v>
      </c>
      <c r="AA113">
        <f>_xlfn.XLOOKUP(B113,'[2]april-2025'!$A:$A,'[2]april-2025'!$I:$I,0,0)</f>
        <v>0</v>
      </c>
      <c r="AB113">
        <f>IF($F113="YES",0,IF(Y113&gt;40000,200,IF(Y113&gt;25000,150,IF(Y113&gt;15000,130,IF(Y113&gt;10000,110,0)))))</f>
        <v>200</v>
      </c>
      <c r="AC113">
        <f>Y113-Z113-AA113-AB113</f>
        <v>38490</v>
      </c>
      <c r="AD113">
        <f>_xlfn.XLOOKUP(B113,'[3]may-2025'!$A:$A,'[3]may-2025'!$C:$C,0,0)</f>
        <v>31300</v>
      </c>
      <c r="AE113">
        <f>AD113*0.18</f>
        <v>5634</v>
      </c>
      <c r="AF113">
        <f>AD113*0.12</f>
        <v>3756</v>
      </c>
      <c r="AG113">
        <f>_xlfn.XLOOKUP(B113,'[3]may-2025'!$A:$A,'[3]may-2025'!$D:$D,0,0)</f>
        <v>0</v>
      </c>
      <c r="AH113">
        <f>_xlfn.XLOOKUP(B113,'[3]may-2025'!$A:$A,'[3]may-2025'!$G:$G,0,0)</f>
        <v>0</v>
      </c>
      <c r="AI113">
        <f>IF(AD113&gt;0,SUM(AD113:AH113),0)</f>
        <v>40690</v>
      </c>
      <c r="AJ113">
        <f>_xlfn.XLOOKUP(B113,'[3]may-2025'!$A:$A,'[3]may-2025'!$H:$H,0,0)</f>
        <v>2000</v>
      </c>
      <c r="AK113">
        <f>_xlfn.XLOOKUP(B113,'[3]may-2025'!$A:$A,'[3]may-2025'!$I:$I,0,0)</f>
        <v>0</v>
      </c>
      <c r="AL113">
        <f>IF($F113="YES",0,IF(AI113&gt;40000,200,IF(AI113&gt;25000,150,IF(AI113&gt;15000,130,IF(AI113&gt;10000,110,0)))))</f>
        <v>200</v>
      </c>
      <c r="AM113">
        <f>AI113-AJ113-AK113-AL113</f>
        <v>38490</v>
      </c>
      <c r="AN113">
        <f>_xlfn.XLOOKUP(B113,'[4]june-2025'!$A:$A,'[4]june-2025'!$C:$C,0,0)</f>
        <v>31300</v>
      </c>
      <c r="AO113">
        <f>AN113*0.18</f>
        <v>5634</v>
      </c>
      <c r="AP113">
        <f>AN113*0.12</f>
        <v>3756</v>
      </c>
      <c r="AQ113">
        <f>_xlfn.XLOOKUP(B113,'[4]june-2025'!$A:$A,'[4]june-2025'!$D:$D,0,0)</f>
        <v>0</v>
      </c>
      <c r="AR113">
        <f>_xlfn.XLOOKUP(B113,'[4]june-2025'!$A:$A,'[4]june-2025'!$G:$G,0,0)</f>
        <v>0</v>
      </c>
      <c r="AS113">
        <f>IF(AN113&gt;0,SUM(AN113:AR113),0)</f>
        <v>40690</v>
      </c>
      <c r="AT113">
        <f>_xlfn.XLOOKUP(B113,'[4]june-2025'!$A:$A,'[4]june-2025'!$H:$H,0,0)</f>
        <v>2000</v>
      </c>
      <c r="AU113">
        <f>_xlfn.XLOOKUP(B113,'[4]june-2025'!$A:$A,'[4]june-2025'!$I:$I,0,0)</f>
        <v>0</v>
      </c>
      <c r="AV113">
        <f>IF($F113="YES",0,IF(AS113&gt;40000,200,IF(AS113&gt;25000,150,IF(AS113&gt;15000,130,IF(AS113&gt;10000,110,0)))))</f>
        <v>200</v>
      </c>
      <c r="AW113">
        <f>AS113-AT113-AU113-AV113</f>
        <v>38490</v>
      </c>
      <c r="AX113">
        <f>_xlfn.XLOOKUP(B113,'[5]july-2025'!$A:$A,'[5]july-2025'!$C:$C,0,0)</f>
        <v>32200</v>
      </c>
      <c r="AY113">
        <f>AX113*0.18</f>
        <v>5796</v>
      </c>
      <c r="AZ113">
        <v>0</v>
      </c>
      <c r="BA113">
        <f>AX113*0.12</f>
        <v>3864</v>
      </c>
      <c r="BB113">
        <f>_xlfn.XLOOKUP(B113,'[5]july-2025'!$A:$A,'[5]july-2025'!$D:$D,0,0)</f>
        <v>0</v>
      </c>
      <c r="BC113">
        <f>_xlfn.XLOOKUP(B113,'[5]july-2025'!$A:$A,'[5]july-2025'!$G:$G,0,0)</f>
        <v>0</v>
      </c>
      <c r="BD113">
        <f>IF(AX113&gt;0,SUM(AX113:BC113),0)</f>
        <v>41860</v>
      </c>
      <c r="BE113">
        <f>_xlfn.XLOOKUP(B113,'[5]july-2025'!$A:$A,'[5]july-2025'!$H:$H,0,0)</f>
        <v>2000</v>
      </c>
      <c r="BF113">
        <f>_xlfn.XLOOKUP(B113,'[5]july-2025'!$A:$A,'[5]july-2025'!$I:$I,0,0)</f>
        <v>0</v>
      </c>
      <c r="BG113">
        <f>IF($F113="YES",0,IF(BD113&gt;40000,200,IF(BD113&gt;25000,150,IF(BD113&gt;15000,130,IF(BD113&gt;10000,110,0)))))</f>
        <v>200</v>
      </c>
      <c r="BH113">
        <f>BD113-BE113-BF113-BG113</f>
        <v>39660</v>
      </c>
      <c r="BI113">
        <f>_xlfn.XLOOKUP(B113,'[6]august-2025'!$A:$A,'[6]august-2025'!$C:$C,0,0)</f>
        <v>32200</v>
      </c>
      <c r="BJ113">
        <f>BI113*0.18</f>
        <v>5796</v>
      </c>
      <c r="BK113">
        <f>BI113*0.12</f>
        <v>3864</v>
      </c>
      <c r="BL113">
        <f>_xlfn.XLOOKUP(B113,'[6]august-2025'!$A:$A,'[6]august-2025'!$D:$D,0,0)</f>
        <v>0</v>
      </c>
      <c r="BM113">
        <f>_xlfn.XLOOKUP(B113,'[6]august-2025'!$A:$A,'[6]august-2025'!$G:$G,0,0)</f>
        <v>0</v>
      </c>
      <c r="BN113">
        <f>IF(BI113&gt;0,SUM(BI113:BM113),0)</f>
        <v>41860</v>
      </c>
      <c r="BO113">
        <f>_xlfn.XLOOKUP(B113,'[6]august-2025'!$A:$A,'[6]august-2025'!$H:$H,0,0)</f>
        <v>2000</v>
      </c>
      <c r="BP113">
        <f>_xlfn.XLOOKUP(B113,'[6]august-2025'!$A:$A,'[6]august-2025'!$I:$I,0,0)</f>
        <v>0</v>
      </c>
      <c r="BQ113">
        <f>IF($F113="YES",0,IF(BN113&gt;40000,200,IF(BN113&gt;25000,150,IF(BN113&gt;15000,130,IF(BN113&gt;10000,110,0)))))</f>
        <v>200</v>
      </c>
      <c r="BR113">
        <f>BN113-BO113-BP113-BQ113</f>
        <v>39660</v>
      </c>
      <c r="BS113">
        <f>_xlfn.XLOOKUP(B113,'[7]september-2025'!$A:$A,'[7]september-2025'!$C:$C,0,0)</f>
        <v>32200</v>
      </c>
      <c r="BT113">
        <f>BS113*0.18</f>
        <v>5796</v>
      </c>
      <c r="BU113">
        <f>BS113*0.12</f>
        <v>3864</v>
      </c>
      <c r="BV113">
        <f>_xlfn.XLOOKUP(B113,'[7]september-2025'!$A:$A,'[7]september-2025'!$D:$D,0,0)</f>
        <v>0</v>
      </c>
      <c r="BW113">
        <f>_xlfn.XLOOKUP(B113,'[7]september-2025'!$A:$A,'[7]september-2025'!$G:$G,0,0)</f>
        <v>0</v>
      </c>
      <c r="BX113">
        <f>IF(BS113&gt;0,SUM(BS113:BW113),0)</f>
        <v>41860</v>
      </c>
      <c r="BY113">
        <f>_xlfn.XLOOKUP(B113,'[7]september-2025'!$A:$A,'[7]september-2025'!$H:$H,0,0)</f>
        <v>2000</v>
      </c>
      <c r="BZ113">
        <f>_xlfn.XLOOKUP(B113,'[7]september-2025'!$A:$A,'[7]september-2025'!$I:$I,0,0)</f>
        <v>0</v>
      </c>
      <c r="CA113">
        <f>IF($F113="YES",0,IF(BX113&gt;40000,200,IF(BX113&gt;25000,150,IF(BX113&gt;15000,130,IF(BX113&gt;10000,110,0)))))</f>
        <v>200</v>
      </c>
      <c r="CB113">
        <f>BX113-BY113-BZ113-CA113</f>
        <v>39660</v>
      </c>
      <c r="CC113">
        <f>_xlfn.XLOOKUP(B113,'[8]october-2025'!$A:$A,'[8]october-2025'!$C:$C,0,0)</f>
        <v>32200</v>
      </c>
      <c r="CD113">
        <f>CC113*0.18</f>
        <v>5796</v>
      </c>
      <c r="CE113">
        <f>CC113*0.12</f>
        <v>3864</v>
      </c>
      <c r="CF113">
        <f>_xlfn.XLOOKUP(B113,'[8]october-2025'!$A:$A,'[8]october-2025'!$D:$D,0,0)</f>
        <v>0</v>
      </c>
      <c r="CG113">
        <f>_xlfn.XLOOKUP(B113,'[8]october-2025'!$A:$A,'[8]october-2025'!$G:$G,0,0)</f>
        <v>0</v>
      </c>
      <c r="CH113">
        <f>IF(CC113&gt;0,SUM(CC113:CG113),0)</f>
        <v>41860</v>
      </c>
      <c r="CI113">
        <f>_xlfn.XLOOKUP(B113,'[8]october-2025'!$A:$A,'[8]october-2025'!$H:$H,0,0)</f>
        <v>2000</v>
      </c>
      <c r="CJ113">
        <f>_xlfn.XLOOKUP(B113,'[8]october-2025'!$A:$A,'[8]october-2025'!$I:$I,0,0)</f>
        <v>0</v>
      </c>
      <c r="CK113">
        <f>IF($F113="YES",0,IF(CH113&gt;40000,200,IF(CH113&gt;25000,150,IF(CH113&gt;15000,130,IF(CH113&gt;10000,110,0)))))</f>
        <v>200</v>
      </c>
      <c r="CL113">
        <f>CH113-CI113-CJ113-CK113</f>
        <v>39660</v>
      </c>
      <c r="CM113">
        <f>_xlfn.XLOOKUP(B113,'[9]november-2025'!$A:$A,'[9]november-2025'!$C:$C,0,0)</f>
        <v>32200</v>
      </c>
      <c r="CN113">
        <f>CM113*0.18</f>
        <v>5796</v>
      </c>
      <c r="CO113">
        <f>CM113*0.12</f>
        <v>3864</v>
      </c>
      <c r="CP113">
        <f>_xlfn.XLOOKUP(B113,'[9]november-2025'!$A:$A,'[9]november-2025'!$D:$D,0,0)</f>
        <v>0</v>
      </c>
      <c r="CQ113">
        <f>_xlfn.XLOOKUP(B113,'[9]november-2025'!$A:$A,'[9]november-2025'!$G:$G,0,0)</f>
        <v>0</v>
      </c>
      <c r="CR113">
        <f>IF(CM113&gt;0,SUM(CM113:CQ113),0)</f>
        <v>41860</v>
      </c>
      <c r="CS113">
        <f>_xlfn.XLOOKUP(B113,'[9]november-2025'!$A:$A,'[9]november-2025'!$H:$H,0,0)</f>
        <v>2000</v>
      </c>
      <c r="CT113">
        <f>_xlfn.XLOOKUP(B113,'[9]november-2025'!$A:$A,'[9]november-2025'!$I:$I,0,0)</f>
        <v>0</v>
      </c>
      <c r="CU113">
        <f>IF($F113="YES",0,IF(CR113&gt;40000,200,IF(CR113&gt;25000,150,IF(CR113&gt;15000,130,IF(CR113&gt;10000,110,0)))))</f>
        <v>200</v>
      </c>
      <c r="CV113">
        <f>CR113-CS113-CT113-CU113</f>
        <v>39660</v>
      </c>
      <c r="CW113">
        <f>_xlfn.XLOOKUP(B113,'[10]december-2025'!$A:$A,'[10]december-2025'!$C:$C,0,0)</f>
        <v>32200</v>
      </c>
      <c r="CX113">
        <f>ROUND(CW113*0.18,0)</f>
        <v>5796</v>
      </c>
      <c r="CY113">
        <f>ROUND(CW113*0.12,0)</f>
        <v>3864</v>
      </c>
      <c r="CZ113">
        <f>_xlfn.XLOOKUP(B113,'[10]december-2025'!$A:$A,'[10]december-2025'!$D:$D,0,0)</f>
        <v>0</v>
      </c>
      <c r="DA113">
        <f>_xlfn.XLOOKUP(B113,'[10]december-2025'!$A:$A,'[10]december-2025'!$G:$G,0,0)</f>
        <v>0</v>
      </c>
      <c r="DB113">
        <f>IF(CW113&gt;0,SUM(CW113:DA113),0)</f>
        <v>41860</v>
      </c>
      <c r="DC113">
        <f>_xlfn.XLOOKUP(B113,'[10]december-2025'!$A:$A,'[10]december-2025'!$H:$H,0,0)</f>
        <v>2000</v>
      </c>
      <c r="DD113">
        <f>_xlfn.XLOOKUP(B113,'[10]december-2025'!$A:$A,'[10]december-2025'!$I:$I,0,0)</f>
        <v>0</v>
      </c>
      <c r="DE113">
        <f>IF($F113="YES",0,IF(DB113&gt;40000,200,IF(DB113&gt;25000,150,IF(DB113&gt;15000,130,IF(DB113&gt;10000,110,0)))))</f>
        <v>200</v>
      </c>
      <c r="DF113">
        <f>DB113-DC113-DD113-DE113</f>
        <v>39660</v>
      </c>
      <c r="DG113">
        <f>_xlfn.XLOOKUP(B113,'[11]january-2026'!$A:$A,'[11]january-2026'!$C:$C,0,0)</f>
        <v>32200</v>
      </c>
      <c r="DH113">
        <f>DG113*0.18</f>
        <v>5796</v>
      </c>
      <c r="DI113">
        <f>DG113*0.12</f>
        <v>3864</v>
      </c>
      <c r="DJ113">
        <f>_xlfn.XLOOKUP(B113,'[11]january-2026'!$A:$A,'[11]january-2026'!$D:$D,0,0)</f>
        <v>0</v>
      </c>
      <c r="DK113">
        <f>_xlfn.XLOOKUP(B113,'[11]january-2026'!$A:$A,'[11]january-2026'!$G:$G,0,0)</f>
        <v>0</v>
      </c>
      <c r="DL113">
        <f>IF(DG113&gt;0,SUM(DG113:DK113),0)</f>
        <v>41860</v>
      </c>
      <c r="DM113">
        <f>_xlfn.XLOOKUP(B113,'[11]january-2026'!$A:$A,'[11]january-2026'!$H:$H,0,0)</f>
        <v>2000</v>
      </c>
      <c r="DN113">
        <f>_xlfn.XLOOKUP(B113,'[11]january-2026'!$A:$A,'[11]january-2026'!$I:$I,0,0)</f>
        <v>0</v>
      </c>
      <c r="DO113">
        <f>IF($F113="YES",0,IF(DL113&gt;40000,200,IF(DL113&gt;25000,150,IF(DL113&gt;15000,130,IF(DL113&gt;10000,110,0)))))</f>
        <v>200</v>
      </c>
      <c r="DP113">
        <f>DL113-DM113-DN113-DO113</f>
        <v>39660</v>
      </c>
      <c r="DQ113">
        <f>_xlfn.XLOOKUP(B113,'[12]february-2026'!$A:$A,'[12]february-2026'!$C:$C,0,0)</f>
        <v>32200</v>
      </c>
      <c r="DR113">
        <f>DQ113*0.18</f>
        <v>5796</v>
      </c>
      <c r="DS113">
        <f>DQ113*0.12</f>
        <v>3864</v>
      </c>
      <c r="DT113">
        <f>_xlfn.XLOOKUP(B113,'[12]february-2026'!$A:$A,'[12]february-2026'!$D:$D,0,0)</f>
        <v>0</v>
      </c>
      <c r="DU113">
        <f>_xlfn.XLOOKUP(B113,'[12]february-2026'!$A:$A,'[12]february-2026'!$G:$G,0,0)</f>
        <v>0</v>
      </c>
      <c r="DV113">
        <f>IF(DQ113&gt;0,SUM(DQ113:DU113),0)</f>
        <v>41860</v>
      </c>
      <c r="DW113">
        <f>_xlfn.XLOOKUP(B113,'[12]february-2026'!$A:$A,'[12]february-2026'!$H:$H,0,0)</f>
        <v>2000</v>
      </c>
      <c r="DX113">
        <f>_xlfn.XLOOKUP(B113,'[12]february-2026'!$A:$A,'[12]february-2026'!$I:$I,0,0)</f>
        <v>0</v>
      </c>
      <c r="DY113">
        <f>IF($F113="YES",0,IF(DV113&gt;40000,200,IF(DV113&gt;25000,150,IF(DV113&gt;15000,130,IF(DV113&gt;10000,110,0)))))</f>
        <v>200</v>
      </c>
      <c r="DZ113">
        <f>DV113-DW113-DX113-DY113</f>
        <v>39660</v>
      </c>
      <c r="EA113">
        <f>DV113+DL113+DB113+CR113+CH113+BX113+BN113+BD113+AS113+AI113+Y113+O113+H113+I113</f>
        <v>503188</v>
      </c>
      <c r="EB113">
        <f>DY113+DO113+DE113+CU113+CK113+CA113+BQ113+BG113+AV113+AL113+AB113+R113</f>
        <v>2350</v>
      </c>
      <c r="EC113">
        <f>IF(EA113&gt;0,50000,0)</f>
        <v>50000</v>
      </c>
      <c r="ED113">
        <v>0</v>
      </c>
      <c r="EE113">
        <f>EA113-EB113-EC113</f>
        <v>450838</v>
      </c>
      <c r="EF113">
        <f>DW113+DM113+DC113+CS113+CI113+BY113+BO113+BE113+AT113+AJ113+Z113+P113</f>
        <v>24000</v>
      </c>
      <c r="EG113">
        <f>DX113+DN113+DD113+CT113+CJ113+BZ113+BP113+BF113+AU113+AK113+AA113+Q113</f>
        <v>0</v>
      </c>
      <c r="EH113">
        <v>0</v>
      </c>
      <c r="EI113">
        <v>0</v>
      </c>
      <c r="EJ113">
        <v>0</v>
      </c>
      <c r="EK113">
        <v>0</v>
      </c>
      <c r="EL113">
        <v>0</v>
      </c>
      <c r="EM113">
        <v>0</v>
      </c>
      <c r="EN113">
        <v>0</v>
      </c>
      <c r="EO113">
        <v>0</v>
      </c>
      <c r="EP113">
        <v>0</v>
      </c>
      <c r="EQ113">
        <v>0</v>
      </c>
      <c r="ER113">
        <f>SUM(EF113:EQ113)</f>
        <v>24000</v>
      </c>
      <c r="ES113">
        <f>IF(ER113&gt;=150000,150000,ER113)</f>
        <v>24000</v>
      </c>
      <c r="ET113">
        <f>EE113-ES113</f>
        <v>426838</v>
      </c>
      <c r="EU113">
        <v>0</v>
      </c>
      <c r="EV113">
        <v>0</v>
      </c>
      <c r="EW113">
        <v>0</v>
      </c>
      <c r="EX113">
        <v>0</v>
      </c>
      <c r="EY113">
        <v>0</v>
      </c>
      <c r="EZ113">
        <v>0</v>
      </c>
      <c r="FA113">
        <v>0</v>
      </c>
      <c r="FB113">
        <f>SUM(EU113:FA113)+(IF(F113="YES",50000,0))</f>
        <v>0</v>
      </c>
      <c r="FC113">
        <f>ET113-FB113</f>
        <v>426838</v>
      </c>
      <c r="FD113">
        <f>ROUND(IF(FC113&gt;0,IF(FC113&gt;500000,12500,(FC113-250000)*0.05),0),0)</f>
        <v>8842</v>
      </c>
      <c r="FE113">
        <f>IF(ROUND(IF(FC113&gt;0,IF(FC113&gt;1000000,25000,(FC113-500000)*0.2),0),0)&lt;0,0,ROUND(IF(FC113&gt;0,IF(FC113&gt;1000000,25000,(FC113-500000)*0.2),0),0))</f>
        <v>0</v>
      </c>
      <c r="FF113">
        <f>FD113+FE113</f>
        <v>8842</v>
      </c>
      <c r="FG113">
        <f>IF(FF113&lt;12500,0,FF113)</f>
        <v>0</v>
      </c>
      <c r="FH113">
        <f>FG113*0.04</f>
        <v>0</v>
      </c>
      <c r="FI113">
        <f>ROUND(FH113+FG113,0)</f>
        <v>0</v>
      </c>
      <c r="FJ113">
        <v>0</v>
      </c>
      <c r="FK113">
        <f>FI113-FJ113</f>
        <v>0</v>
      </c>
      <c r="FL113" t="b">
        <f>IF(EA113&gt;500000,TRUE,FALSE)</f>
        <v>1</v>
      </c>
      <c r="FM113">
        <f ca="1">IF(FL113,RANDBETWEEN(500,1000),RANDBETWEEN(1000,3000))</f>
        <v>882</v>
      </c>
      <c r="FN113">
        <f ca="1">EA113+FM113</f>
        <v>504070</v>
      </c>
      <c r="FO113">
        <f>IF(EA113&gt;0,75000,0)</f>
        <v>75000</v>
      </c>
      <c r="FP113">
        <f ca="1">FN113-FO113</f>
        <v>429070</v>
      </c>
      <c r="FQ113">
        <f ca="1">IF(FP113&gt;2400000,FP113-2400000,0)</f>
        <v>0</v>
      </c>
      <c r="FR113">
        <f ca="1">FQ113*0.3</f>
        <v>0</v>
      </c>
      <c r="FS113">
        <f ca="1">IF(FP113&gt;2000000,FP113-2000000,0)</f>
        <v>0</v>
      </c>
      <c r="FT113">
        <f ca="1">FS113*0.25</f>
        <v>0</v>
      </c>
      <c r="FU113">
        <f ca="1">IF(FP113&gt;1600000,FP113-1600000-FQ113,0)</f>
        <v>0</v>
      </c>
      <c r="FV113">
        <f ca="1">FU113*0.2</f>
        <v>0</v>
      </c>
      <c r="FW113">
        <f ca="1">IF(FP113&gt;1200000,FP113-1200000-IF(F113="YES",50000,0)-FU113,0)</f>
        <v>0</v>
      </c>
      <c r="FX113">
        <f ca="1">FW113*0.15</f>
        <v>0</v>
      </c>
      <c r="FY113">
        <f ca="1">IF(FP113&gt;800000,FP113-800000-FQ113-FU113-FW113,0)</f>
        <v>0</v>
      </c>
      <c r="FZ113">
        <f ca="1">FY113*0.1</f>
        <v>0</v>
      </c>
      <c r="GA113">
        <f ca="1">IF(FP113&gt;400000,FP113-400000-FQ113-FU113-FW113-FY113,0)</f>
        <v>29070</v>
      </c>
      <c r="GB113">
        <f ca="1">GA113*0.05</f>
        <v>1453.5</v>
      </c>
      <c r="GC113">
        <f ca="1">ROUND(FR113+FT113+FV113+FX113+FZ113+GB113,0)</f>
        <v>1454</v>
      </c>
      <c r="GD113">
        <f ca="1">IF(FP113&gt;1200000,FP113,0)</f>
        <v>0</v>
      </c>
      <c r="GE113">
        <f ca="1">IF(FP113&gt;1200000,GD113-1200000,0)</f>
        <v>0</v>
      </c>
      <c r="GF113">
        <f ca="1">IF(FP113&lt;1200001,MIN(GC113,60000),0)</f>
        <v>1454</v>
      </c>
      <c r="GG113">
        <f ca="1">IF(FP113&gt;1200000,GC113-GE113,0)</f>
        <v>0</v>
      </c>
      <c r="GH113" t="b">
        <f ca="1">IF(GG113&gt;0,TRUE,FALSE)</f>
        <v>0</v>
      </c>
      <c r="GI113">
        <f ca="1">IF(GH113,GG113,0)</f>
        <v>0</v>
      </c>
      <c r="GJ113">
        <f ca="1">GF113+GI113</f>
        <v>1454</v>
      </c>
      <c r="GK113">
        <f ca="1">ROUND(GC113-GJ113,0)</f>
        <v>0</v>
      </c>
      <c r="GL113">
        <f ca="1">GK113*0.04</f>
        <v>0</v>
      </c>
      <c r="GM113">
        <f ca="1">ROUNDUP(GK113+GL113,0)</f>
        <v>0</v>
      </c>
    </row>
    <row r="114" spans="1:195" x14ac:dyDescent="0.25">
      <c r="A114">
        <f>_xlfn.AGGREGATE(3,5,$B$2:B114)</f>
        <v>113</v>
      </c>
      <c r="B114" t="s">
        <v>345</v>
      </c>
      <c r="C114" t="s">
        <v>346</v>
      </c>
      <c r="D114" t="s">
        <v>783</v>
      </c>
      <c r="E114" t="s">
        <v>834</v>
      </c>
      <c r="F114" t="s">
        <v>959</v>
      </c>
      <c r="G114" t="s">
        <v>922</v>
      </c>
      <c r="H114">
        <f>IF(_xlfn.DAYS("31-03-2025",G114)&gt;=180,6800,0)</f>
        <v>6800</v>
      </c>
      <c r="I114">
        <f>_xlfn.XLOOKUP(B114,'[1]march-2025'!$A:$A,'[1]march-2025'!$J:$J,0,0)</f>
        <v>0</v>
      </c>
      <c r="J114">
        <f>_xlfn.XLOOKUP(B114,'[1]march-2025'!$A:$A,'[1]march-2025'!$C:$C,0,0)</f>
        <v>53400</v>
      </c>
      <c r="K114">
        <f>J114*0.14</f>
        <v>7476.0000000000009</v>
      </c>
      <c r="L114">
        <f>J114*0.12</f>
        <v>6408</v>
      </c>
      <c r="M114">
        <f>_xlfn.XLOOKUP(B114,'[1]march-2025'!$A:$A,'[1]march-2025'!$D:$D,0,0)</f>
        <v>0</v>
      </c>
      <c r="N114">
        <f>_xlfn.XLOOKUP(B114,'[1]march-2025'!$A:$A,'[1]march-2025'!$G:$G,0,0)</f>
        <v>500</v>
      </c>
      <c r="O114">
        <f>IF(J114&gt;0,SUM(J114:N114),0)</f>
        <v>67784</v>
      </c>
      <c r="P114">
        <f>_xlfn.XLOOKUP(B114,'[1]march-2025'!$A:$A,'[1]march-2025'!$H:$H,0,0)</f>
        <v>5000</v>
      </c>
      <c r="Q114">
        <f>_xlfn.XLOOKUP(B114,'[1]march-2025'!$A:$A,'[1]march-2025'!$I:$I,0,0)</f>
        <v>0</v>
      </c>
      <c r="R114">
        <f>IF($F114="YES",0,IF(O114&gt;40000,200,IF(O114&gt;25000,150,IF(O114&gt;15000,130,IF(O114&gt;10000,110,0)))))</f>
        <v>200</v>
      </c>
      <c r="S114">
        <f>O114-P114-Q114-R114</f>
        <v>62584</v>
      </c>
      <c r="T114">
        <f>_xlfn.XLOOKUP(B114,'[2]april-2025'!$A:$A,'[2]april-2025'!$C:$C,0,0)</f>
        <v>53400</v>
      </c>
      <c r="U114">
        <f>T114*0.18</f>
        <v>9612</v>
      </c>
      <c r="V114">
        <f>T114*0.12</f>
        <v>6408</v>
      </c>
      <c r="W114">
        <f>_xlfn.XLOOKUP(B114,'[2]april-2025'!$A:$A,'[2]april-2025'!$D:$D,0,0)</f>
        <v>0</v>
      </c>
      <c r="X114">
        <f>_xlfn.XLOOKUP(B114,'[2]april-2025'!$A:$A,'[2]april-2025'!$G:$G,0,0)</f>
        <v>500</v>
      </c>
      <c r="Y114">
        <f>IF(T114&gt;0,SUM(T114:X114),0)</f>
        <v>69920</v>
      </c>
      <c r="Z114">
        <f>_xlfn.XLOOKUP(B114,'[2]april-2025'!$A:$A,'[2]april-2025'!$H:$H,0,0)</f>
        <v>5000</v>
      </c>
      <c r="AA114">
        <f>_xlfn.XLOOKUP(B114,'[2]april-2025'!$A:$A,'[2]april-2025'!$I:$I,0,0)</f>
        <v>0</v>
      </c>
      <c r="AB114">
        <f>IF($F114="YES",0,IF(Y114&gt;40000,200,IF(Y114&gt;25000,150,IF(Y114&gt;15000,130,IF(Y114&gt;10000,110,0)))))</f>
        <v>200</v>
      </c>
      <c r="AC114">
        <f>Y114-Z114-AA114-AB114</f>
        <v>64720</v>
      </c>
      <c r="AD114">
        <f>_xlfn.XLOOKUP(B114,'[3]may-2025'!$A:$A,'[3]may-2025'!$C:$C,0,0)</f>
        <v>53400</v>
      </c>
      <c r="AE114">
        <f>AD114*0.18</f>
        <v>9612</v>
      </c>
      <c r="AF114">
        <f>AD114*0.12</f>
        <v>6408</v>
      </c>
      <c r="AG114">
        <f>_xlfn.XLOOKUP(B114,'[3]may-2025'!$A:$A,'[3]may-2025'!$D:$D,0,0)</f>
        <v>0</v>
      </c>
      <c r="AH114">
        <f>_xlfn.XLOOKUP(B114,'[3]may-2025'!$A:$A,'[3]may-2025'!$G:$G,0,0)</f>
        <v>500</v>
      </c>
      <c r="AI114">
        <f>IF(AD114&gt;0,SUM(AD114:AH114),0)</f>
        <v>69920</v>
      </c>
      <c r="AJ114">
        <f>_xlfn.XLOOKUP(B114,'[3]may-2025'!$A:$A,'[3]may-2025'!$H:$H,0,0)</f>
        <v>5000</v>
      </c>
      <c r="AK114">
        <f>_xlfn.XLOOKUP(B114,'[3]may-2025'!$A:$A,'[3]may-2025'!$I:$I,0,0)</f>
        <v>0</v>
      </c>
      <c r="AL114">
        <f>IF($F114="YES",0,IF(AI114&gt;40000,200,IF(AI114&gt;25000,150,IF(AI114&gt;15000,130,IF(AI114&gt;10000,110,0)))))</f>
        <v>200</v>
      </c>
      <c r="AM114">
        <f>AI114-AJ114-AK114-AL114</f>
        <v>64720</v>
      </c>
      <c r="AN114">
        <f>_xlfn.XLOOKUP(B114,'[4]june-2025'!$A:$A,'[4]june-2025'!$C:$C,0,0)</f>
        <v>53400</v>
      </c>
      <c r="AO114">
        <f>AN114*0.18</f>
        <v>9612</v>
      </c>
      <c r="AP114">
        <f>AN114*0.12</f>
        <v>6408</v>
      </c>
      <c r="AQ114">
        <f>_xlfn.XLOOKUP(B114,'[4]june-2025'!$A:$A,'[4]june-2025'!$D:$D,0,0)</f>
        <v>0</v>
      </c>
      <c r="AR114">
        <f>_xlfn.XLOOKUP(B114,'[4]june-2025'!$A:$A,'[4]june-2025'!$G:$G,0,0)</f>
        <v>500</v>
      </c>
      <c r="AS114">
        <f>IF(AN114&gt;0,SUM(AN114:AR114),0)</f>
        <v>69920</v>
      </c>
      <c r="AT114">
        <f>_xlfn.XLOOKUP(B114,'[4]june-2025'!$A:$A,'[4]june-2025'!$H:$H,0,0)</f>
        <v>5000</v>
      </c>
      <c r="AU114">
        <f>_xlfn.XLOOKUP(B114,'[4]june-2025'!$A:$A,'[4]june-2025'!$I:$I,0,0)</f>
        <v>0</v>
      </c>
      <c r="AV114">
        <f>IF($F114="YES",0,IF(AS114&gt;40000,200,IF(AS114&gt;25000,150,IF(AS114&gt;15000,130,IF(AS114&gt;10000,110,0)))))</f>
        <v>200</v>
      </c>
      <c r="AW114">
        <f>AS114-AT114-AU114-AV114</f>
        <v>64720</v>
      </c>
      <c r="AX114">
        <f>_xlfn.XLOOKUP(B114,'[5]july-2025'!$A:$A,'[5]july-2025'!$C:$C,0,0)</f>
        <v>55000</v>
      </c>
      <c r="AY114">
        <f>AX114*0.18</f>
        <v>9900</v>
      </c>
      <c r="AZ114">
        <v>0</v>
      </c>
      <c r="BA114">
        <f>AX114*0.12</f>
        <v>6600</v>
      </c>
      <c r="BB114">
        <f>_xlfn.XLOOKUP(B114,'[5]july-2025'!$A:$A,'[5]july-2025'!$D:$D,0,0)</f>
        <v>0</v>
      </c>
      <c r="BC114">
        <f>_xlfn.XLOOKUP(B114,'[5]july-2025'!$A:$A,'[5]july-2025'!$G:$G,0,0)</f>
        <v>500</v>
      </c>
      <c r="BD114">
        <f>IF(AX114&gt;0,SUM(AX114:BC114),0)</f>
        <v>72000</v>
      </c>
      <c r="BE114">
        <f>_xlfn.XLOOKUP(B114,'[5]july-2025'!$A:$A,'[5]july-2025'!$H:$H,0,0)</f>
        <v>5000</v>
      </c>
      <c r="BF114">
        <f>_xlfn.XLOOKUP(B114,'[5]july-2025'!$A:$A,'[5]july-2025'!$I:$I,0,0)</f>
        <v>0</v>
      </c>
      <c r="BG114">
        <f>IF($F114="YES",0,IF(BD114&gt;40000,200,IF(BD114&gt;25000,150,IF(BD114&gt;15000,130,IF(BD114&gt;10000,110,0)))))</f>
        <v>200</v>
      </c>
      <c r="BH114">
        <f>BD114-BE114-BF114-BG114</f>
        <v>66800</v>
      </c>
      <c r="BI114">
        <f>_xlfn.XLOOKUP(B114,'[6]august-2025'!$A:$A,'[6]august-2025'!$C:$C,0,0)</f>
        <v>55000</v>
      </c>
      <c r="BJ114">
        <f>BI114*0.18</f>
        <v>9900</v>
      </c>
      <c r="BK114">
        <f>BI114*0.12</f>
        <v>6600</v>
      </c>
      <c r="BL114">
        <f>_xlfn.XLOOKUP(B114,'[6]august-2025'!$A:$A,'[6]august-2025'!$D:$D,0,0)</f>
        <v>0</v>
      </c>
      <c r="BM114">
        <f>_xlfn.XLOOKUP(B114,'[6]august-2025'!$A:$A,'[6]august-2025'!$G:$G,0,0)</f>
        <v>500</v>
      </c>
      <c r="BN114">
        <f>IF(BI114&gt;0,SUM(BI114:BM114),0)</f>
        <v>72000</v>
      </c>
      <c r="BO114">
        <f>_xlfn.XLOOKUP(B114,'[6]august-2025'!$A:$A,'[6]august-2025'!$H:$H,0,0)</f>
        <v>5000</v>
      </c>
      <c r="BP114">
        <f>_xlfn.XLOOKUP(B114,'[6]august-2025'!$A:$A,'[6]august-2025'!$I:$I,0,0)</f>
        <v>0</v>
      </c>
      <c r="BQ114">
        <f>IF($F114="YES",0,IF(BN114&gt;40000,200,IF(BN114&gt;25000,150,IF(BN114&gt;15000,130,IF(BN114&gt;10000,110,0)))))</f>
        <v>200</v>
      </c>
      <c r="BR114">
        <f>BN114-BO114-BP114-BQ114</f>
        <v>66800</v>
      </c>
      <c r="BS114">
        <f>_xlfn.XLOOKUP(B114,'[7]september-2025'!$A:$A,'[7]september-2025'!$C:$C,0,0)</f>
        <v>55000</v>
      </c>
      <c r="BT114">
        <f>BS114*0.18</f>
        <v>9900</v>
      </c>
      <c r="BU114">
        <f>BS114*0.12</f>
        <v>6600</v>
      </c>
      <c r="BV114">
        <f>_xlfn.XLOOKUP(B114,'[7]september-2025'!$A:$A,'[7]september-2025'!$D:$D,0,0)</f>
        <v>0</v>
      </c>
      <c r="BW114">
        <f>_xlfn.XLOOKUP(B114,'[7]september-2025'!$A:$A,'[7]september-2025'!$G:$G,0,0)</f>
        <v>500</v>
      </c>
      <c r="BX114">
        <f>IF(BS114&gt;0,SUM(BS114:BW114),0)</f>
        <v>72000</v>
      </c>
      <c r="BY114">
        <f>_xlfn.XLOOKUP(B114,'[7]september-2025'!$A:$A,'[7]september-2025'!$H:$H,0,0)</f>
        <v>5000</v>
      </c>
      <c r="BZ114">
        <f>_xlfn.XLOOKUP(B114,'[7]september-2025'!$A:$A,'[7]september-2025'!$I:$I,0,0)</f>
        <v>0</v>
      </c>
      <c r="CA114">
        <f>IF($F114="YES",0,IF(BX114&gt;40000,200,IF(BX114&gt;25000,150,IF(BX114&gt;15000,130,IF(BX114&gt;10000,110,0)))))</f>
        <v>200</v>
      </c>
      <c r="CB114">
        <f>BX114-BY114-BZ114-CA114</f>
        <v>66800</v>
      </c>
      <c r="CC114">
        <f>_xlfn.XLOOKUP(B114,'[8]october-2025'!$A:$A,'[8]october-2025'!$C:$C,0,0)</f>
        <v>55000</v>
      </c>
      <c r="CD114">
        <f>CC114*0.18</f>
        <v>9900</v>
      </c>
      <c r="CE114">
        <f>CC114*0.12</f>
        <v>6600</v>
      </c>
      <c r="CF114">
        <f>_xlfn.XLOOKUP(B114,'[8]october-2025'!$A:$A,'[8]october-2025'!$D:$D,0,0)</f>
        <v>0</v>
      </c>
      <c r="CG114">
        <f>_xlfn.XLOOKUP(B114,'[8]october-2025'!$A:$A,'[8]october-2025'!$G:$G,0,0)</f>
        <v>500</v>
      </c>
      <c r="CH114">
        <f>IF(CC114&gt;0,SUM(CC114:CG114),0)</f>
        <v>72000</v>
      </c>
      <c r="CI114">
        <f>_xlfn.XLOOKUP(B114,'[8]october-2025'!$A:$A,'[8]october-2025'!$H:$H,0,0)</f>
        <v>5000</v>
      </c>
      <c r="CJ114">
        <f>_xlfn.XLOOKUP(B114,'[8]october-2025'!$A:$A,'[8]october-2025'!$I:$I,0,0)</f>
        <v>0</v>
      </c>
      <c r="CK114">
        <f>IF($F114="YES",0,IF(CH114&gt;40000,200,IF(CH114&gt;25000,150,IF(CH114&gt;15000,130,IF(CH114&gt;10000,110,0)))))</f>
        <v>200</v>
      </c>
      <c r="CL114">
        <f>CH114-CI114-CJ114-CK114</f>
        <v>66800</v>
      </c>
      <c r="CM114">
        <f>_xlfn.XLOOKUP(B114,'[9]november-2025'!$A:$A,'[9]november-2025'!$C:$C,0,0)</f>
        <v>55000</v>
      </c>
      <c r="CN114">
        <f>CM114*0.18</f>
        <v>9900</v>
      </c>
      <c r="CO114">
        <f>CM114*0.12</f>
        <v>6600</v>
      </c>
      <c r="CP114">
        <f>_xlfn.XLOOKUP(B114,'[9]november-2025'!$A:$A,'[9]november-2025'!$D:$D,0,0)</f>
        <v>0</v>
      </c>
      <c r="CQ114">
        <f>_xlfn.XLOOKUP(B114,'[9]november-2025'!$A:$A,'[9]november-2025'!$G:$G,0,0)</f>
        <v>500</v>
      </c>
      <c r="CR114">
        <f>IF(CM114&gt;0,SUM(CM114:CQ114),0)</f>
        <v>72000</v>
      </c>
      <c r="CS114">
        <f>_xlfn.XLOOKUP(B114,'[9]november-2025'!$A:$A,'[9]november-2025'!$H:$H,0,0)</f>
        <v>5000</v>
      </c>
      <c r="CT114">
        <f>_xlfn.XLOOKUP(B114,'[9]november-2025'!$A:$A,'[9]november-2025'!$I:$I,0,0)</f>
        <v>0</v>
      </c>
      <c r="CU114">
        <f>IF($F114="YES",0,IF(CR114&gt;40000,200,IF(CR114&gt;25000,150,IF(CR114&gt;15000,130,IF(CR114&gt;10000,110,0)))))</f>
        <v>200</v>
      </c>
      <c r="CV114">
        <f>CR114-CS114-CT114-CU114</f>
        <v>66800</v>
      </c>
      <c r="CW114">
        <f>_xlfn.XLOOKUP(B114,'[10]december-2025'!$A:$A,'[10]december-2025'!$C:$C,0,0)</f>
        <v>55000</v>
      </c>
      <c r="CX114">
        <f>ROUND(CW114*0.18,0)</f>
        <v>9900</v>
      </c>
      <c r="CY114">
        <f>ROUND(CW114*0.12,0)</f>
        <v>6600</v>
      </c>
      <c r="CZ114">
        <f>_xlfn.XLOOKUP(B114,'[10]december-2025'!$A:$A,'[10]december-2025'!$D:$D,0,0)</f>
        <v>0</v>
      </c>
      <c r="DA114">
        <f>_xlfn.XLOOKUP(B114,'[10]december-2025'!$A:$A,'[10]december-2025'!$G:$G,0,0)</f>
        <v>500</v>
      </c>
      <c r="DB114">
        <f>IF(CW114&gt;0,SUM(CW114:DA114),0)</f>
        <v>72000</v>
      </c>
      <c r="DC114">
        <f>_xlfn.XLOOKUP(B114,'[10]december-2025'!$A:$A,'[10]december-2025'!$H:$H,0,0)</f>
        <v>5000</v>
      </c>
      <c r="DD114">
        <f>_xlfn.XLOOKUP(B114,'[10]december-2025'!$A:$A,'[10]december-2025'!$I:$I,0,0)</f>
        <v>0</v>
      </c>
      <c r="DE114">
        <f>IF($F114="YES",0,IF(DB114&gt;40000,200,IF(DB114&gt;25000,150,IF(DB114&gt;15000,130,IF(DB114&gt;10000,110,0)))))</f>
        <v>200</v>
      </c>
      <c r="DF114">
        <f>DB114-DC114-DD114-DE114</f>
        <v>66800</v>
      </c>
      <c r="DG114">
        <f>_xlfn.XLOOKUP(B114,'[11]january-2026'!$A:$A,'[11]january-2026'!$C:$C,0,0)</f>
        <v>55000</v>
      </c>
      <c r="DH114">
        <f>DG114*0.18</f>
        <v>9900</v>
      </c>
      <c r="DI114">
        <f>DG114*0.12</f>
        <v>6600</v>
      </c>
      <c r="DJ114">
        <f>_xlfn.XLOOKUP(B114,'[11]january-2026'!$A:$A,'[11]january-2026'!$D:$D,0,0)</f>
        <v>0</v>
      </c>
      <c r="DK114">
        <f>_xlfn.XLOOKUP(B114,'[11]january-2026'!$A:$A,'[11]january-2026'!$G:$G,0,0)</f>
        <v>500</v>
      </c>
      <c r="DL114">
        <f>IF(DG114&gt;0,SUM(DG114:DK114),0)</f>
        <v>72000</v>
      </c>
      <c r="DM114">
        <f>_xlfn.XLOOKUP(B114,'[11]january-2026'!$A:$A,'[11]january-2026'!$H:$H,0,0)</f>
        <v>5000</v>
      </c>
      <c r="DN114">
        <f>_xlfn.XLOOKUP(B114,'[11]january-2026'!$A:$A,'[11]january-2026'!$I:$I,0,0)</f>
        <v>0</v>
      </c>
      <c r="DO114">
        <f>IF($F114="YES",0,IF(DL114&gt;40000,200,IF(DL114&gt;25000,150,IF(DL114&gt;15000,130,IF(DL114&gt;10000,110,0)))))</f>
        <v>200</v>
      </c>
      <c r="DP114">
        <f>DL114-DM114-DN114-DO114</f>
        <v>66800</v>
      </c>
      <c r="DQ114">
        <f>_xlfn.XLOOKUP(B114,'[12]february-2026'!$A:$A,'[12]february-2026'!$C:$C,0,0)</f>
        <v>55000</v>
      </c>
      <c r="DR114">
        <f>DQ114*0.18</f>
        <v>9900</v>
      </c>
      <c r="DS114">
        <f>DQ114*0.12</f>
        <v>6600</v>
      </c>
      <c r="DT114">
        <f>_xlfn.XLOOKUP(B114,'[12]february-2026'!$A:$A,'[12]february-2026'!$D:$D,0,0)</f>
        <v>0</v>
      </c>
      <c r="DU114">
        <f>_xlfn.XLOOKUP(B114,'[12]february-2026'!$A:$A,'[12]february-2026'!$G:$G,0,0)</f>
        <v>500</v>
      </c>
      <c r="DV114">
        <f>IF(DQ114&gt;0,SUM(DQ114:DU114),0)</f>
        <v>72000</v>
      </c>
      <c r="DW114">
        <f>_xlfn.XLOOKUP(B114,'[12]february-2026'!$A:$A,'[12]february-2026'!$H:$H,0,0)</f>
        <v>5000</v>
      </c>
      <c r="DX114">
        <f>_xlfn.XLOOKUP(B114,'[12]february-2026'!$A:$A,'[12]february-2026'!$I:$I,0,0)</f>
        <v>0</v>
      </c>
      <c r="DY114">
        <f>IF($F114="YES",0,IF(DV114&gt;40000,200,IF(DV114&gt;25000,150,IF(DV114&gt;15000,130,IF(DV114&gt;10000,110,0)))))</f>
        <v>200</v>
      </c>
      <c r="DZ114">
        <f>DV114-DW114-DX114-DY114</f>
        <v>66800</v>
      </c>
      <c r="EA114">
        <f>DV114+DL114+DB114+CR114+CH114+BX114+BN114+BD114+AS114+AI114+Y114+O114+H114+I114</f>
        <v>860344</v>
      </c>
      <c r="EB114">
        <f>DY114+DO114+DE114+CU114+CK114+CA114+BQ114+BG114+AV114+AL114+AB114+R114</f>
        <v>2400</v>
      </c>
      <c r="EC114">
        <f>IF(EA114&gt;0,50000,0)</f>
        <v>50000</v>
      </c>
      <c r="ED114">
        <v>0</v>
      </c>
      <c r="EE114">
        <f>EA114-EB114-EC114</f>
        <v>807944</v>
      </c>
      <c r="EF114">
        <f>DW114+DM114+DC114+CS114+CI114+BY114+BO114+BE114+AT114+AJ114+Z114+P114</f>
        <v>60000</v>
      </c>
      <c r="EG114">
        <f>DX114+DN114+DD114+CT114+CJ114+BZ114+BP114+BF114+AU114+AK114+AA114+Q114</f>
        <v>0</v>
      </c>
      <c r="EH114">
        <v>0</v>
      </c>
      <c r="EI114">
        <v>0</v>
      </c>
      <c r="EJ114">
        <v>0</v>
      </c>
      <c r="EK114">
        <v>0</v>
      </c>
      <c r="EL114">
        <v>0</v>
      </c>
      <c r="EM114">
        <v>0</v>
      </c>
      <c r="EN114">
        <v>0</v>
      </c>
      <c r="EO114">
        <v>0</v>
      </c>
      <c r="EP114">
        <v>0</v>
      </c>
      <c r="EQ114">
        <v>0</v>
      </c>
      <c r="ER114">
        <f>SUM(EF114:EQ114)</f>
        <v>60000</v>
      </c>
      <c r="ES114">
        <f>IF(ER114&gt;=150000,150000,ER114)</f>
        <v>60000</v>
      </c>
      <c r="ET114">
        <f>EE114-ES114</f>
        <v>747944</v>
      </c>
      <c r="EU114">
        <v>0</v>
      </c>
      <c r="EV114">
        <v>0</v>
      </c>
      <c r="EW114">
        <v>0</v>
      </c>
      <c r="EX114">
        <v>0</v>
      </c>
      <c r="EY114">
        <v>0</v>
      </c>
      <c r="EZ114">
        <v>0</v>
      </c>
      <c r="FA114">
        <v>0</v>
      </c>
      <c r="FB114">
        <f>SUM(EU114:FA114)+(IF(F114="YES",50000,0))</f>
        <v>0</v>
      </c>
      <c r="FC114">
        <f>ET114-FB114</f>
        <v>747944</v>
      </c>
      <c r="FD114">
        <f>ROUND(IF(FC114&gt;0,IF(FC114&gt;500000,12500,(FC114-250000)*0.05),0),0)</f>
        <v>12500</v>
      </c>
      <c r="FE114">
        <f>IF(ROUND(IF(FC114&gt;0,IF(FC114&gt;1000000,25000,(FC114-500000)*0.2),0),0)&lt;0,0,ROUND(IF(FC114&gt;0,IF(FC114&gt;1000000,25000,(FC114-500000)*0.2),0),0))</f>
        <v>49589</v>
      </c>
      <c r="FF114">
        <f>FD114+FE114</f>
        <v>62089</v>
      </c>
      <c r="FG114">
        <f>IF(FF114&lt;12500,0,FF114)</f>
        <v>62089</v>
      </c>
      <c r="FH114">
        <f>FG114*0.04</f>
        <v>2483.56</v>
      </c>
      <c r="FI114">
        <f>ROUND(FH114+FG114,0)</f>
        <v>64573</v>
      </c>
      <c r="FJ114">
        <v>0</v>
      </c>
      <c r="FK114">
        <f>FI114-FJ114</f>
        <v>64573</v>
      </c>
      <c r="FL114" t="b">
        <f>IF(EA114&gt;500000,TRUE,FALSE)</f>
        <v>1</v>
      </c>
      <c r="FM114">
        <f ca="1">IF(FL114,RANDBETWEEN(500,1000),RANDBETWEEN(1000,3000))</f>
        <v>810</v>
      </c>
      <c r="FN114">
        <f ca="1">EA114+FM114</f>
        <v>861154</v>
      </c>
      <c r="FO114">
        <f>IF(EA114&gt;0,75000,0)</f>
        <v>75000</v>
      </c>
      <c r="FP114">
        <f ca="1">FN114-FO114</f>
        <v>786154</v>
      </c>
      <c r="FQ114">
        <f ca="1">IF(FP114&gt;2400000,FP114-2400000,0)</f>
        <v>0</v>
      </c>
      <c r="FR114">
        <f ca="1">FQ114*0.3</f>
        <v>0</v>
      </c>
      <c r="FS114">
        <f ca="1">IF(FP114&gt;2000000,FP114-2000000,0)</f>
        <v>0</v>
      </c>
      <c r="FT114">
        <f ca="1">FS114*0.25</f>
        <v>0</v>
      </c>
      <c r="FU114">
        <f ca="1">IF(FP114&gt;1600000,FP114-1600000-FQ114,0)</f>
        <v>0</v>
      </c>
      <c r="FV114">
        <f ca="1">FU114*0.2</f>
        <v>0</v>
      </c>
      <c r="FW114">
        <f ca="1">IF(FP114&gt;1200000,FP114-1200000-IF(F114="YES",50000,0)-FU114,0)</f>
        <v>0</v>
      </c>
      <c r="FX114">
        <f ca="1">FW114*0.15</f>
        <v>0</v>
      </c>
      <c r="FY114">
        <f ca="1">IF(FP114&gt;800000,FP114-800000-FQ114-FU114-FW114,0)</f>
        <v>0</v>
      </c>
      <c r="FZ114">
        <f ca="1">FY114*0.1</f>
        <v>0</v>
      </c>
      <c r="GA114">
        <f ca="1">IF(FP114&gt;400000,FP114-400000-FQ114-FU114-FW114-FY114,0)</f>
        <v>386154</v>
      </c>
      <c r="GB114">
        <f ca="1">GA114*0.05</f>
        <v>19307.7</v>
      </c>
      <c r="GC114">
        <f ca="1">ROUND(FR114+FT114+FV114+FX114+FZ114+GB114,0)</f>
        <v>19308</v>
      </c>
      <c r="GD114">
        <f ca="1">IF(FP114&gt;1200000,FP114,0)</f>
        <v>0</v>
      </c>
      <c r="GE114">
        <f ca="1">IF(FP114&gt;1200000,GD114-1200000,0)</f>
        <v>0</v>
      </c>
      <c r="GF114">
        <f ca="1">IF(FP114&lt;1200001,MIN(GC114,60000),0)</f>
        <v>19308</v>
      </c>
      <c r="GG114">
        <f ca="1">IF(FP114&gt;1200000,GC114-GE114,0)</f>
        <v>0</v>
      </c>
      <c r="GH114" t="b">
        <f ca="1">IF(GG114&gt;0,TRUE,FALSE)</f>
        <v>0</v>
      </c>
      <c r="GI114">
        <f ca="1">IF(GH114,GG114,0)</f>
        <v>0</v>
      </c>
      <c r="GJ114">
        <f ca="1">GF114+GI114</f>
        <v>19308</v>
      </c>
      <c r="GK114">
        <f ca="1">ROUND(GC114-GJ114,0)</f>
        <v>0</v>
      </c>
      <c r="GL114">
        <f ca="1">GK114*0.04</f>
        <v>0</v>
      </c>
      <c r="GM114">
        <f ca="1">ROUNDUP(GK114+GL114,0)</f>
        <v>0</v>
      </c>
    </row>
    <row r="115" spans="1:195" x14ac:dyDescent="0.25">
      <c r="A115">
        <f>_xlfn.AGGREGATE(3,5,$B$2:B115)</f>
        <v>114</v>
      </c>
      <c r="B115" t="s">
        <v>347</v>
      </c>
      <c r="C115" t="s">
        <v>348</v>
      </c>
      <c r="D115" t="s">
        <v>783</v>
      </c>
      <c r="E115" t="s">
        <v>833</v>
      </c>
      <c r="F115" t="s">
        <v>959</v>
      </c>
      <c r="G115" t="s">
        <v>899</v>
      </c>
      <c r="H115">
        <f>IF(_xlfn.DAYS("31-03-2025",G115)&gt;=180,6800,0)</f>
        <v>6800</v>
      </c>
      <c r="I115">
        <f>_xlfn.XLOOKUP(B115,'[1]march-2025'!$A:$A,'[1]march-2025'!$J:$J,0,0)</f>
        <v>0</v>
      </c>
      <c r="J115">
        <f>_xlfn.XLOOKUP(B115,'[1]march-2025'!$A:$A,'[1]march-2025'!$C:$C,0,0)</f>
        <v>33500</v>
      </c>
      <c r="K115">
        <f>J115*0.14</f>
        <v>4690</v>
      </c>
      <c r="L115">
        <f>J115*0.12</f>
        <v>4020</v>
      </c>
      <c r="M115">
        <f>_xlfn.XLOOKUP(B115,'[1]march-2025'!$A:$A,'[1]march-2025'!$D:$D,0,0)</f>
        <v>0</v>
      </c>
      <c r="N115">
        <f>_xlfn.XLOOKUP(B115,'[1]march-2025'!$A:$A,'[1]march-2025'!$G:$G,0,0)</f>
        <v>0</v>
      </c>
      <c r="O115">
        <f>IF(J115&gt;0,SUM(J115:N115),0)</f>
        <v>42210</v>
      </c>
      <c r="P115">
        <f>_xlfn.XLOOKUP(B115,'[1]march-2025'!$A:$A,'[1]march-2025'!$H:$H,0,0)</f>
        <v>2500</v>
      </c>
      <c r="Q115">
        <f>_xlfn.XLOOKUP(B115,'[1]march-2025'!$A:$A,'[1]march-2025'!$I:$I,0,0)</f>
        <v>0</v>
      </c>
      <c r="R115">
        <f>IF($F115="YES",0,IF(O115&gt;40000,200,IF(O115&gt;25000,150,IF(O115&gt;15000,130,IF(O115&gt;10000,110,0)))))</f>
        <v>200</v>
      </c>
      <c r="S115">
        <f>O115-P115-Q115-R115</f>
        <v>39510</v>
      </c>
      <c r="T115">
        <f>_xlfn.XLOOKUP(B115,'[2]april-2025'!$A:$A,'[2]april-2025'!$C:$C,0,0)</f>
        <v>33500</v>
      </c>
      <c r="U115">
        <f>T115*0.18</f>
        <v>6030</v>
      </c>
      <c r="V115">
        <f>T115*0.12</f>
        <v>4020</v>
      </c>
      <c r="W115">
        <f>_xlfn.XLOOKUP(B115,'[2]april-2025'!$A:$A,'[2]april-2025'!$D:$D,0,0)</f>
        <v>0</v>
      </c>
      <c r="X115">
        <f>_xlfn.XLOOKUP(B115,'[2]april-2025'!$A:$A,'[2]april-2025'!$G:$G,0,0)</f>
        <v>0</v>
      </c>
      <c r="Y115">
        <f>IF(T115&gt;0,SUM(T115:X115),0)</f>
        <v>43550</v>
      </c>
      <c r="Z115">
        <f>_xlfn.XLOOKUP(B115,'[2]april-2025'!$A:$A,'[2]april-2025'!$H:$H,0,0)</f>
        <v>2500</v>
      </c>
      <c r="AA115">
        <f>_xlfn.XLOOKUP(B115,'[2]april-2025'!$A:$A,'[2]april-2025'!$I:$I,0,0)</f>
        <v>0</v>
      </c>
      <c r="AB115">
        <f>IF($F115="YES",0,IF(Y115&gt;40000,200,IF(Y115&gt;25000,150,IF(Y115&gt;15000,130,IF(Y115&gt;10000,110,0)))))</f>
        <v>200</v>
      </c>
      <c r="AC115">
        <f>Y115-Z115-AA115-AB115</f>
        <v>40850</v>
      </c>
      <c r="AD115">
        <f>_xlfn.XLOOKUP(B115,'[3]may-2025'!$A:$A,'[3]may-2025'!$C:$C,0,0)</f>
        <v>33500</v>
      </c>
      <c r="AE115">
        <f>AD115*0.18</f>
        <v>6030</v>
      </c>
      <c r="AF115">
        <f>AD115*0.12</f>
        <v>4020</v>
      </c>
      <c r="AG115">
        <f>_xlfn.XLOOKUP(B115,'[3]may-2025'!$A:$A,'[3]may-2025'!$D:$D,0,0)</f>
        <v>0</v>
      </c>
      <c r="AH115">
        <f>_xlfn.XLOOKUP(B115,'[3]may-2025'!$A:$A,'[3]may-2025'!$G:$G,0,0)</f>
        <v>0</v>
      </c>
      <c r="AI115">
        <f>IF(AD115&gt;0,SUM(AD115:AH115),0)</f>
        <v>43550</v>
      </c>
      <c r="AJ115">
        <f>_xlfn.XLOOKUP(B115,'[3]may-2025'!$A:$A,'[3]may-2025'!$H:$H,0,0)</f>
        <v>2500</v>
      </c>
      <c r="AK115">
        <f>_xlfn.XLOOKUP(B115,'[3]may-2025'!$A:$A,'[3]may-2025'!$I:$I,0,0)</f>
        <v>0</v>
      </c>
      <c r="AL115">
        <f>IF($F115="YES",0,IF(AI115&gt;40000,200,IF(AI115&gt;25000,150,IF(AI115&gt;15000,130,IF(AI115&gt;10000,110,0)))))</f>
        <v>200</v>
      </c>
      <c r="AM115">
        <f>AI115-AJ115-AK115-AL115</f>
        <v>40850</v>
      </c>
      <c r="AN115">
        <f>_xlfn.XLOOKUP(B115,'[4]june-2025'!$A:$A,'[4]june-2025'!$C:$C,0,0)</f>
        <v>33500</v>
      </c>
      <c r="AO115">
        <f>AN115*0.18</f>
        <v>6030</v>
      </c>
      <c r="AP115">
        <f>AN115*0.12</f>
        <v>4020</v>
      </c>
      <c r="AQ115">
        <f>_xlfn.XLOOKUP(B115,'[4]june-2025'!$A:$A,'[4]june-2025'!$D:$D,0,0)</f>
        <v>0</v>
      </c>
      <c r="AR115">
        <f>_xlfn.XLOOKUP(B115,'[4]june-2025'!$A:$A,'[4]june-2025'!$G:$G,0,0)</f>
        <v>0</v>
      </c>
      <c r="AS115">
        <f>IF(AN115&gt;0,SUM(AN115:AR115),0)</f>
        <v>43550</v>
      </c>
      <c r="AT115">
        <f>_xlfn.XLOOKUP(B115,'[4]june-2025'!$A:$A,'[4]june-2025'!$H:$H,0,0)</f>
        <v>2500</v>
      </c>
      <c r="AU115">
        <f>_xlfn.XLOOKUP(B115,'[4]june-2025'!$A:$A,'[4]june-2025'!$I:$I,0,0)</f>
        <v>0</v>
      </c>
      <c r="AV115">
        <f>IF($F115="YES",0,IF(AS115&gt;40000,200,IF(AS115&gt;25000,150,IF(AS115&gt;15000,130,IF(AS115&gt;10000,110,0)))))</f>
        <v>200</v>
      </c>
      <c r="AW115">
        <f>AS115-AT115-AU115-AV115</f>
        <v>40850</v>
      </c>
      <c r="AX115">
        <f>_xlfn.XLOOKUP(B115,'[5]july-2025'!$A:$A,'[5]july-2025'!$C:$C,0,0)</f>
        <v>34500</v>
      </c>
      <c r="AY115">
        <f>AX115*0.18</f>
        <v>6210</v>
      </c>
      <c r="AZ115">
        <v>0</v>
      </c>
      <c r="BA115">
        <f>AX115*0.12</f>
        <v>4140</v>
      </c>
      <c r="BB115">
        <f>_xlfn.XLOOKUP(B115,'[5]july-2025'!$A:$A,'[5]july-2025'!$D:$D,0,0)</f>
        <v>0</v>
      </c>
      <c r="BC115">
        <f>_xlfn.XLOOKUP(B115,'[5]july-2025'!$A:$A,'[5]july-2025'!$G:$G,0,0)</f>
        <v>0</v>
      </c>
      <c r="BD115">
        <f>IF(AX115&gt;0,SUM(AX115:BC115),0)</f>
        <v>44850</v>
      </c>
      <c r="BE115">
        <f>_xlfn.XLOOKUP(B115,'[5]july-2025'!$A:$A,'[5]july-2025'!$H:$H,0,0)</f>
        <v>2500</v>
      </c>
      <c r="BF115">
        <f>_xlfn.XLOOKUP(B115,'[5]july-2025'!$A:$A,'[5]july-2025'!$I:$I,0,0)</f>
        <v>0</v>
      </c>
      <c r="BG115">
        <f>IF($F115="YES",0,IF(BD115&gt;40000,200,IF(BD115&gt;25000,150,IF(BD115&gt;15000,130,IF(BD115&gt;10000,110,0)))))</f>
        <v>200</v>
      </c>
      <c r="BH115">
        <f>BD115-BE115-BF115-BG115</f>
        <v>42150</v>
      </c>
      <c r="BI115">
        <f>_xlfn.XLOOKUP(B115,'[6]august-2025'!$A:$A,'[6]august-2025'!$C:$C,0,0)</f>
        <v>34500</v>
      </c>
      <c r="BJ115">
        <f>BI115*0.18</f>
        <v>6210</v>
      </c>
      <c r="BK115">
        <f>BI115*0.12</f>
        <v>4140</v>
      </c>
      <c r="BL115">
        <f>_xlfn.XLOOKUP(B115,'[6]august-2025'!$A:$A,'[6]august-2025'!$D:$D,0,0)</f>
        <v>0</v>
      </c>
      <c r="BM115">
        <f>_xlfn.XLOOKUP(B115,'[6]august-2025'!$A:$A,'[6]august-2025'!$G:$G,0,0)</f>
        <v>0</v>
      </c>
      <c r="BN115">
        <f>IF(BI115&gt;0,SUM(BI115:BM115),0)</f>
        <v>44850</v>
      </c>
      <c r="BO115">
        <f>_xlfn.XLOOKUP(B115,'[6]august-2025'!$A:$A,'[6]august-2025'!$H:$H,0,0)</f>
        <v>2500</v>
      </c>
      <c r="BP115">
        <f>_xlfn.XLOOKUP(B115,'[6]august-2025'!$A:$A,'[6]august-2025'!$I:$I,0,0)</f>
        <v>0</v>
      </c>
      <c r="BQ115">
        <f>IF($F115="YES",0,IF(BN115&gt;40000,200,IF(BN115&gt;25000,150,IF(BN115&gt;15000,130,IF(BN115&gt;10000,110,0)))))</f>
        <v>200</v>
      </c>
      <c r="BR115">
        <f>BN115-BO115-BP115-BQ115</f>
        <v>42150</v>
      </c>
      <c r="BS115">
        <f>_xlfn.XLOOKUP(B115,'[7]september-2025'!$A:$A,'[7]september-2025'!$C:$C,0,0)</f>
        <v>34500</v>
      </c>
      <c r="BT115">
        <f>BS115*0.18</f>
        <v>6210</v>
      </c>
      <c r="BU115">
        <f>BS115*0.12</f>
        <v>4140</v>
      </c>
      <c r="BV115">
        <f>_xlfn.XLOOKUP(B115,'[7]september-2025'!$A:$A,'[7]september-2025'!$D:$D,0,0)</f>
        <v>0</v>
      </c>
      <c r="BW115">
        <f>_xlfn.XLOOKUP(B115,'[7]september-2025'!$A:$A,'[7]september-2025'!$G:$G,0,0)</f>
        <v>0</v>
      </c>
      <c r="BX115">
        <f>IF(BS115&gt;0,SUM(BS115:BW115),0)</f>
        <v>44850</v>
      </c>
      <c r="BY115">
        <f>_xlfn.XLOOKUP(B115,'[7]september-2025'!$A:$A,'[7]september-2025'!$H:$H,0,0)</f>
        <v>2500</v>
      </c>
      <c r="BZ115">
        <f>_xlfn.XLOOKUP(B115,'[7]september-2025'!$A:$A,'[7]september-2025'!$I:$I,0,0)</f>
        <v>0</v>
      </c>
      <c r="CA115">
        <f>IF($F115="YES",0,IF(BX115&gt;40000,200,IF(BX115&gt;25000,150,IF(BX115&gt;15000,130,IF(BX115&gt;10000,110,0)))))</f>
        <v>200</v>
      </c>
      <c r="CB115">
        <f>BX115-BY115-BZ115-CA115</f>
        <v>42150</v>
      </c>
      <c r="CC115">
        <f>_xlfn.XLOOKUP(B115,'[8]october-2025'!$A:$A,'[8]october-2025'!$C:$C,0,0)</f>
        <v>34500</v>
      </c>
      <c r="CD115">
        <f>CC115*0.18</f>
        <v>6210</v>
      </c>
      <c r="CE115">
        <f>CC115*0.12</f>
        <v>4140</v>
      </c>
      <c r="CF115">
        <f>_xlfn.XLOOKUP(B115,'[8]october-2025'!$A:$A,'[8]october-2025'!$D:$D,0,0)</f>
        <v>0</v>
      </c>
      <c r="CG115">
        <f>_xlfn.XLOOKUP(B115,'[8]october-2025'!$A:$A,'[8]october-2025'!$G:$G,0,0)</f>
        <v>0</v>
      </c>
      <c r="CH115">
        <f>IF(CC115&gt;0,SUM(CC115:CG115),0)</f>
        <v>44850</v>
      </c>
      <c r="CI115">
        <f>_xlfn.XLOOKUP(B115,'[8]october-2025'!$A:$A,'[8]october-2025'!$H:$H,0,0)</f>
        <v>2500</v>
      </c>
      <c r="CJ115">
        <f>_xlfn.XLOOKUP(B115,'[8]october-2025'!$A:$A,'[8]october-2025'!$I:$I,0,0)</f>
        <v>0</v>
      </c>
      <c r="CK115">
        <f>IF($F115="YES",0,IF(CH115&gt;40000,200,IF(CH115&gt;25000,150,IF(CH115&gt;15000,130,IF(CH115&gt;10000,110,0)))))</f>
        <v>200</v>
      </c>
      <c r="CL115">
        <f>CH115-CI115-CJ115-CK115</f>
        <v>42150</v>
      </c>
      <c r="CM115">
        <f>_xlfn.XLOOKUP(B115,'[9]november-2025'!$A:$A,'[9]november-2025'!$C:$C,0,0)</f>
        <v>34500</v>
      </c>
      <c r="CN115">
        <f>CM115*0.18</f>
        <v>6210</v>
      </c>
      <c r="CO115">
        <f>CM115*0.12</f>
        <v>4140</v>
      </c>
      <c r="CP115">
        <f>_xlfn.XLOOKUP(B115,'[9]november-2025'!$A:$A,'[9]november-2025'!$D:$D,0,0)</f>
        <v>0</v>
      </c>
      <c r="CQ115">
        <f>_xlfn.XLOOKUP(B115,'[9]november-2025'!$A:$A,'[9]november-2025'!$G:$G,0,0)</f>
        <v>0</v>
      </c>
      <c r="CR115">
        <f>IF(CM115&gt;0,SUM(CM115:CQ115),0)</f>
        <v>44850</v>
      </c>
      <c r="CS115">
        <f>_xlfn.XLOOKUP(B115,'[9]november-2025'!$A:$A,'[9]november-2025'!$H:$H,0,0)</f>
        <v>2500</v>
      </c>
      <c r="CT115">
        <f>_xlfn.XLOOKUP(B115,'[9]november-2025'!$A:$A,'[9]november-2025'!$I:$I,0,0)</f>
        <v>0</v>
      </c>
      <c r="CU115">
        <f>IF($F115="YES",0,IF(CR115&gt;40000,200,IF(CR115&gt;25000,150,IF(CR115&gt;15000,130,IF(CR115&gt;10000,110,0)))))</f>
        <v>200</v>
      </c>
      <c r="CV115">
        <f>CR115-CS115-CT115-CU115</f>
        <v>42150</v>
      </c>
      <c r="CW115">
        <f>_xlfn.XLOOKUP(B115,'[10]december-2025'!$A:$A,'[10]december-2025'!$C:$C,0,0)</f>
        <v>34500</v>
      </c>
      <c r="CX115">
        <f>ROUND(CW115*0.18,0)</f>
        <v>6210</v>
      </c>
      <c r="CY115">
        <f>ROUND(CW115*0.12,0)</f>
        <v>4140</v>
      </c>
      <c r="CZ115">
        <f>_xlfn.XLOOKUP(B115,'[10]december-2025'!$A:$A,'[10]december-2025'!$D:$D,0,0)</f>
        <v>0</v>
      </c>
      <c r="DA115">
        <f>_xlfn.XLOOKUP(B115,'[10]december-2025'!$A:$A,'[10]december-2025'!$G:$G,0,0)</f>
        <v>0</v>
      </c>
      <c r="DB115">
        <f>IF(CW115&gt;0,SUM(CW115:DA115),0)</f>
        <v>44850</v>
      </c>
      <c r="DC115">
        <f>_xlfn.XLOOKUP(B115,'[10]december-2025'!$A:$A,'[10]december-2025'!$H:$H,0,0)</f>
        <v>2500</v>
      </c>
      <c r="DD115">
        <f>_xlfn.XLOOKUP(B115,'[10]december-2025'!$A:$A,'[10]december-2025'!$I:$I,0,0)</f>
        <v>0</v>
      </c>
      <c r="DE115">
        <f>IF($F115="YES",0,IF(DB115&gt;40000,200,IF(DB115&gt;25000,150,IF(DB115&gt;15000,130,IF(DB115&gt;10000,110,0)))))</f>
        <v>200</v>
      </c>
      <c r="DF115">
        <f>DB115-DC115-DD115-DE115</f>
        <v>42150</v>
      </c>
      <c r="DG115">
        <f>_xlfn.XLOOKUP(B115,'[11]january-2026'!$A:$A,'[11]january-2026'!$C:$C,0,0)</f>
        <v>34500</v>
      </c>
      <c r="DH115">
        <f>DG115*0.18</f>
        <v>6210</v>
      </c>
      <c r="DI115">
        <f>DG115*0.12</f>
        <v>4140</v>
      </c>
      <c r="DJ115">
        <f>_xlfn.XLOOKUP(B115,'[11]january-2026'!$A:$A,'[11]january-2026'!$D:$D,0,0)</f>
        <v>0</v>
      </c>
      <c r="DK115">
        <f>_xlfn.XLOOKUP(B115,'[11]january-2026'!$A:$A,'[11]january-2026'!$G:$G,0,0)</f>
        <v>0</v>
      </c>
      <c r="DL115">
        <f>IF(DG115&gt;0,SUM(DG115:DK115),0)</f>
        <v>44850</v>
      </c>
      <c r="DM115">
        <f>_xlfn.XLOOKUP(B115,'[11]january-2026'!$A:$A,'[11]january-2026'!$H:$H,0,0)</f>
        <v>2500</v>
      </c>
      <c r="DN115">
        <f>_xlfn.XLOOKUP(B115,'[11]january-2026'!$A:$A,'[11]january-2026'!$I:$I,0,0)</f>
        <v>0</v>
      </c>
      <c r="DO115">
        <f>IF($F115="YES",0,IF(DL115&gt;40000,200,IF(DL115&gt;25000,150,IF(DL115&gt;15000,130,IF(DL115&gt;10000,110,0)))))</f>
        <v>200</v>
      </c>
      <c r="DP115">
        <f>DL115-DM115-DN115-DO115</f>
        <v>42150</v>
      </c>
      <c r="DQ115">
        <f>_xlfn.XLOOKUP(B115,'[12]february-2026'!$A:$A,'[12]february-2026'!$C:$C,0,0)</f>
        <v>34500</v>
      </c>
      <c r="DR115">
        <f>DQ115*0.18</f>
        <v>6210</v>
      </c>
      <c r="DS115">
        <f>DQ115*0.12</f>
        <v>4140</v>
      </c>
      <c r="DT115">
        <f>_xlfn.XLOOKUP(B115,'[12]february-2026'!$A:$A,'[12]february-2026'!$D:$D,0,0)</f>
        <v>0</v>
      </c>
      <c r="DU115">
        <f>_xlfn.XLOOKUP(B115,'[12]february-2026'!$A:$A,'[12]february-2026'!$G:$G,0,0)</f>
        <v>0</v>
      </c>
      <c r="DV115">
        <f>IF(DQ115&gt;0,SUM(DQ115:DU115),0)</f>
        <v>44850</v>
      </c>
      <c r="DW115">
        <f>_xlfn.XLOOKUP(B115,'[12]february-2026'!$A:$A,'[12]february-2026'!$H:$H,0,0)</f>
        <v>2500</v>
      </c>
      <c r="DX115">
        <f>_xlfn.XLOOKUP(B115,'[12]february-2026'!$A:$A,'[12]february-2026'!$I:$I,0,0)</f>
        <v>0</v>
      </c>
      <c r="DY115">
        <f>IF($F115="YES",0,IF(DV115&gt;40000,200,IF(DV115&gt;25000,150,IF(DV115&gt;15000,130,IF(DV115&gt;10000,110,0)))))</f>
        <v>200</v>
      </c>
      <c r="DZ115">
        <f>DV115-DW115-DX115-DY115</f>
        <v>42150</v>
      </c>
      <c r="EA115">
        <f>DV115+DL115+DB115+CR115+CH115+BX115+BN115+BD115+AS115+AI115+Y115+O115+H115+I115</f>
        <v>538460</v>
      </c>
      <c r="EB115">
        <f>DY115+DO115+DE115+CU115+CK115+CA115+BQ115+BG115+AV115+AL115+AB115+R115</f>
        <v>2400</v>
      </c>
      <c r="EC115">
        <f>IF(EA115&gt;0,50000,0)</f>
        <v>50000</v>
      </c>
      <c r="ED115">
        <v>0</v>
      </c>
      <c r="EE115">
        <f>EA115-EB115-EC115</f>
        <v>486060</v>
      </c>
      <c r="EF115">
        <f>DW115+DM115+DC115+CS115+CI115+BY115+BO115+BE115+AT115+AJ115+Z115+P115</f>
        <v>30000</v>
      </c>
      <c r="EG115">
        <f>DX115+DN115+DD115+CT115+CJ115+BZ115+BP115+BF115+AU115+AK115+AA115+Q115</f>
        <v>0</v>
      </c>
      <c r="EH115">
        <v>0</v>
      </c>
      <c r="EI115">
        <v>0</v>
      </c>
      <c r="EJ115">
        <v>0</v>
      </c>
      <c r="EK115">
        <v>0</v>
      </c>
      <c r="EL115">
        <v>0</v>
      </c>
      <c r="EM115">
        <v>0</v>
      </c>
      <c r="EN115">
        <v>0</v>
      </c>
      <c r="EO115">
        <v>0</v>
      </c>
      <c r="EP115">
        <v>0</v>
      </c>
      <c r="EQ115">
        <v>0</v>
      </c>
      <c r="ER115">
        <f>SUM(EF115:EQ115)</f>
        <v>30000</v>
      </c>
      <c r="ES115">
        <f>IF(ER115&gt;=150000,150000,ER115)</f>
        <v>30000</v>
      </c>
      <c r="ET115">
        <f>EE115-ES115</f>
        <v>456060</v>
      </c>
      <c r="EU115">
        <v>0</v>
      </c>
      <c r="EV115">
        <v>0</v>
      </c>
      <c r="EW115">
        <v>0</v>
      </c>
      <c r="EX115">
        <v>0</v>
      </c>
      <c r="EY115">
        <v>0</v>
      </c>
      <c r="EZ115">
        <v>0</v>
      </c>
      <c r="FA115">
        <v>0</v>
      </c>
      <c r="FB115">
        <f>SUM(EU115:FA115)+(IF(F115="YES",50000,0))</f>
        <v>0</v>
      </c>
      <c r="FC115">
        <f>ET115-FB115</f>
        <v>456060</v>
      </c>
      <c r="FD115">
        <f>ROUND(IF(FC115&gt;0,IF(FC115&gt;500000,12500,(FC115-250000)*0.05),0),0)</f>
        <v>10303</v>
      </c>
      <c r="FE115">
        <f>IF(ROUND(IF(FC115&gt;0,IF(FC115&gt;1000000,25000,(FC115-500000)*0.2),0),0)&lt;0,0,ROUND(IF(FC115&gt;0,IF(FC115&gt;1000000,25000,(FC115-500000)*0.2),0),0))</f>
        <v>0</v>
      </c>
      <c r="FF115">
        <f>FD115+FE115</f>
        <v>10303</v>
      </c>
      <c r="FG115">
        <f>IF(FF115&lt;12500,0,FF115)</f>
        <v>0</v>
      </c>
      <c r="FH115">
        <f>FG115*0.04</f>
        <v>0</v>
      </c>
      <c r="FI115">
        <f>ROUND(FH115+FG115,0)</f>
        <v>0</v>
      </c>
      <c r="FJ115">
        <v>0</v>
      </c>
      <c r="FK115">
        <f>FI115-FJ115</f>
        <v>0</v>
      </c>
      <c r="FL115" t="b">
        <f>IF(EA115&gt;500000,TRUE,FALSE)</f>
        <v>1</v>
      </c>
      <c r="FM115">
        <f ca="1">IF(FL115,RANDBETWEEN(500,1000),RANDBETWEEN(1000,3000))</f>
        <v>592</v>
      </c>
      <c r="FN115">
        <f ca="1">EA115+FM115</f>
        <v>539052</v>
      </c>
      <c r="FO115">
        <f>IF(EA115&gt;0,75000,0)</f>
        <v>75000</v>
      </c>
      <c r="FP115">
        <f ca="1">FN115-FO115</f>
        <v>464052</v>
      </c>
      <c r="FQ115">
        <f ca="1">IF(FP115&gt;2400000,FP115-2400000,0)</f>
        <v>0</v>
      </c>
      <c r="FR115">
        <f ca="1">FQ115*0.3</f>
        <v>0</v>
      </c>
      <c r="FS115">
        <f ca="1">IF(FP115&gt;2000000,FP115-2000000,0)</f>
        <v>0</v>
      </c>
      <c r="FT115">
        <f ca="1">FS115*0.25</f>
        <v>0</v>
      </c>
      <c r="FU115">
        <f ca="1">IF(FP115&gt;1600000,FP115-1600000-FQ115,0)</f>
        <v>0</v>
      </c>
      <c r="FV115">
        <f ca="1">FU115*0.2</f>
        <v>0</v>
      </c>
      <c r="FW115">
        <f ca="1">IF(FP115&gt;1200000,FP115-1200000-IF(F115="YES",50000,0)-FU115,0)</f>
        <v>0</v>
      </c>
      <c r="FX115">
        <f ca="1">FW115*0.15</f>
        <v>0</v>
      </c>
      <c r="FY115">
        <f ca="1">IF(FP115&gt;800000,FP115-800000-FQ115-FU115-FW115,0)</f>
        <v>0</v>
      </c>
      <c r="FZ115">
        <f ca="1">FY115*0.1</f>
        <v>0</v>
      </c>
      <c r="GA115">
        <f ca="1">IF(FP115&gt;400000,FP115-400000-FQ115-FU115-FW115-FY115,0)</f>
        <v>64052</v>
      </c>
      <c r="GB115">
        <f ca="1">GA115*0.05</f>
        <v>3202.6000000000004</v>
      </c>
      <c r="GC115">
        <f ca="1">ROUND(FR115+FT115+FV115+FX115+FZ115+GB115,0)</f>
        <v>3203</v>
      </c>
      <c r="GD115">
        <f ca="1">IF(FP115&gt;1200000,FP115,0)</f>
        <v>0</v>
      </c>
      <c r="GE115">
        <f ca="1">IF(FP115&gt;1200000,GD115-1200000,0)</f>
        <v>0</v>
      </c>
      <c r="GF115">
        <f ca="1">IF(FP115&lt;1200001,MIN(GC115,60000),0)</f>
        <v>3203</v>
      </c>
      <c r="GG115">
        <f ca="1">IF(FP115&gt;1200000,GC115-GE115,0)</f>
        <v>0</v>
      </c>
      <c r="GH115" t="b">
        <f ca="1">IF(GG115&gt;0,TRUE,FALSE)</f>
        <v>0</v>
      </c>
      <c r="GI115">
        <f ca="1">IF(GH115,GG115,0)</f>
        <v>0</v>
      </c>
      <c r="GJ115">
        <f ca="1">GF115+GI115</f>
        <v>3203</v>
      </c>
      <c r="GK115">
        <f ca="1">ROUND(GC115-GJ115,0)</f>
        <v>0</v>
      </c>
      <c r="GL115">
        <f ca="1">GK115*0.04</f>
        <v>0</v>
      </c>
      <c r="GM115">
        <f ca="1">ROUNDUP(GK115+GL115,0)</f>
        <v>0</v>
      </c>
    </row>
    <row r="116" spans="1:195" x14ac:dyDescent="0.25">
      <c r="A116">
        <f>_xlfn.AGGREGATE(3,5,$B$2:B116)</f>
        <v>115</v>
      </c>
      <c r="B116" t="s">
        <v>349</v>
      </c>
      <c r="C116" t="s">
        <v>350</v>
      </c>
      <c r="D116" t="s">
        <v>784</v>
      </c>
      <c r="E116" t="s">
        <v>834</v>
      </c>
      <c r="F116" t="s">
        <v>959</v>
      </c>
      <c r="G116" t="s">
        <v>882</v>
      </c>
      <c r="H116">
        <f>IF(_xlfn.DAYS("31-03-2025",G116)&gt;=180,6800,0)</f>
        <v>6800</v>
      </c>
      <c r="I116">
        <f>_xlfn.XLOOKUP(B116,'[1]march-2025'!$A:$A,'[1]march-2025'!$J:$J,0,0)</f>
        <v>0</v>
      </c>
      <c r="J116">
        <f>_xlfn.XLOOKUP(B116,'[1]march-2025'!$A:$A,'[1]march-2025'!$C:$C,0,0)</f>
        <v>51700</v>
      </c>
      <c r="K116">
        <f>J116*0.14</f>
        <v>7238.0000000000009</v>
      </c>
      <c r="L116">
        <f>J116*0.12</f>
        <v>6204</v>
      </c>
      <c r="M116">
        <f>_xlfn.XLOOKUP(B116,'[1]march-2025'!$A:$A,'[1]march-2025'!$D:$D,0,0)</f>
        <v>400</v>
      </c>
      <c r="N116">
        <f>_xlfn.XLOOKUP(B116,'[1]march-2025'!$A:$A,'[1]march-2025'!$G:$G,0,0)</f>
        <v>500</v>
      </c>
      <c r="O116">
        <f>IF(J116&gt;0,SUM(J116:N116),0)</f>
        <v>66042</v>
      </c>
      <c r="P116">
        <f>_xlfn.XLOOKUP(B116,'[1]march-2025'!$A:$A,'[1]march-2025'!$H:$H,0,0)</f>
        <v>5000</v>
      </c>
      <c r="Q116">
        <f>_xlfn.XLOOKUP(B116,'[1]march-2025'!$A:$A,'[1]march-2025'!$I:$I,0,0)</f>
        <v>0</v>
      </c>
      <c r="R116">
        <f>IF($F116="YES",0,IF(O116&gt;40000,200,IF(O116&gt;25000,150,IF(O116&gt;15000,130,IF(O116&gt;10000,110,0)))))</f>
        <v>200</v>
      </c>
      <c r="S116">
        <f>O116-P116-Q116-R116</f>
        <v>60842</v>
      </c>
      <c r="T116">
        <f>_xlfn.XLOOKUP(B116,'[2]april-2025'!$A:$A,'[2]april-2025'!$C:$C,0,0)</f>
        <v>51700</v>
      </c>
      <c r="U116">
        <f>T116*0.18</f>
        <v>9306</v>
      </c>
      <c r="V116">
        <f>T116*0.12</f>
        <v>6204</v>
      </c>
      <c r="W116">
        <f>_xlfn.XLOOKUP(B116,'[2]april-2025'!$A:$A,'[2]april-2025'!$D:$D,0,0)</f>
        <v>400</v>
      </c>
      <c r="X116">
        <f>_xlfn.XLOOKUP(B116,'[2]april-2025'!$A:$A,'[2]april-2025'!$G:$G,0,0)</f>
        <v>500</v>
      </c>
      <c r="Y116">
        <f>IF(T116&gt;0,SUM(T116:X116),0)</f>
        <v>68110</v>
      </c>
      <c r="Z116">
        <f>_xlfn.XLOOKUP(B116,'[2]april-2025'!$A:$A,'[2]april-2025'!$H:$H,0,0)</f>
        <v>5000</v>
      </c>
      <c r="AA116">
        <f>_xlfn.XLOOKUP(B116,'[2]april-2025'!$A:$A,'[2]april-2025'!$I:$I,0,0)</f>
        <v>0</v>
      </c>
      <c r="AB116">
        <f>IF($F116="YES",0,IF(Y116&gt;40000,200,IF(Y116&gt;25000,150,IF(Y116&gt;15000,130,IF(Y116&gt;10000,110,0)))))</f>
        <v>200</v>
      </c>
      <c r="AC116">
        <f>Y116-Z116-AA116-AB116</f>
        <v>62910</v>
      </c>
      <c r="AD116">
        <f>_xlfn.XLOOKUP(B116,'[3]may-2025'!$A:$A,'[3]may-2025'!$C:$C,0,0)</f>
        <v>51700</v>
      </c>
      <c r="AE116">
        <f>AD116*0.18</f>
        <v>9306</v>
      </c>
      <c r="AF116">
        <f>AD116*0.12</f>
        <v>6204</v>
      </c>
      <c r="AG116">
        <f>_xlfn.XLOOKUP(B116,'[3]may-2025'!$A:$A,'[3]may-2025'!$D:$D,0,0)</f>
        <v>400</v>
      </c>
      <c r="AH116">
        <f>_xlfn.XLOOKUP(B116,'[3]may-2025'!$A:$A,'[3]may-2025'!$G:$G,0,0)</f>
        <v>500</v>
      </c>
      <c r="AI116">
        <f>IF(AD116&gt;0,SUM(AD116:AH116),0)</f>
        <v>68110</v>
      </c>
      <c r="AJ116">
        <f>_xlfn.XLOOKUP(B116,'[3]may-2025'!$A:$A,'[3]may-2025'!$H:$H,0,0)</f>
        <v>5000</v>
      </c>
      <c r="AK116">
        <f>_xlfn.XLOOKUP(B116,'[3]may-2025'!$A:$A,'[3]may-2025'!$I:$I,0,0)</f>
        <v>0</v>
      </c>
      <c r="AL116">
        <f>IF($F116="YES",0,IF(AI116&gt;40000,200,IF(AI116&gt;25000,150,IF(AI116&gt;15000,130,IF(AI116&gt;10000,110,0)))))</f>
        <v>200</v>
      </c>
      <c r="AM116">
        <f>AI116-AJ116-AK116-AL116</f>
        <v>62910</v>
      </c>
      <c r="AN116">
        <f>_xlfn.XLOOKUP(B116,'[4]june-2025'!$A:$A,'[4]june-2025'!$C:$C,0,0)</f>
        <v>51700</v>
      </c>
      <c r="AO116">
        <f>AN116*0.18</f>
        <v>9306</v>
      </c>
      <c r="AP116">
        <f>AN116*0.12</f>
        <v>6204</v>
      </c>
      <c r="AQ116">
        <f>_xlfn.XLOOKUP(B116,'[4]june-2025'!$A:$A,'[4]june-2025'!$D:$D,0,0)</f>
        <v>400</v>
      </c>
      <c r="AR116">
        <f>_xlfn.XLOOKUP(B116,'[4]june-2025'!$A:$A,'[4]june-2025'!$G:$G,0,0)</f>
        <v>500</v>
      </c>
      <c r="AS116">
        <f>IF(AN116&gt;0,SUM(AN116:AR116),0)</f>
        <v>68110</v>
      </c>
      <c r="AT116">
        <f>_xlfn.XLOOKUP(B116,'[4]june-2025'!$A:$A,'[4]june-2025'!$H:$H,0,0)</f>
        <v>5000</v>
      </c>
      <c r="AU116">
        <f>_xlfn.XLOOKUP(B116,'[4]june-2025'!$A:$A,'[4]june-2025'!$I:$I,0,0)</f>
        <v>0</v>
      </c>
      <c r="AV116">
        <f>IF($F116="YES",0,IF(AS116&gt;40000,200,IF(AS116&gt;25000,150,IF(AS116&gt;15000,130,IF(AS116&gt;10000,110,0)))))</f>
        <v>200</v>
      </c>
      <c r="AW116">
        <f>AS116-AT116-AU116-AV116</f>
        <v>62910</v>
      </c>
      <c r="AX116">
        <f>_xlfn.XLOOKUP(B116,'[5]july-2025'!$A:$A,'[5]july-2025'!$C:$C,0,0)</f>
        <v>53300</v>
      </c>
      <c r="AY116">
        <f>AX116*0.18</f>
        <v>9594</v>
      </c>
      <c r="AZ116">
        <v>0</v>
      </c>
      <c r="BA116">
        <f>AX116*0.12</f>
        <v>6396</v>
      </c>
      <c r="BB116">
        <f>_xlfn.XLOOKUP(B116,'[5]july-2025'!$A:$A,'[5]july-2025'!$D:$D,0,0)</f>
        <v>400</v>
      </c>
      <c r="BC116">
        <f>_xlfn.XLOOKUP(B116,'[5]july-2025'!$A:$A,'[5]july-2025'!$G:$G,0,0)</f>
        <v>500</v>
      </c>
      <c r="BD116">
        <f>IF(AX116&gt;0,SUM(AX116:BC116),0)</f>
        <v>70190</v>
      </c>
      <c r="BE116">
        <f>_xlfn.XLOOKUP(B116,'[5]july-2025'!$A:$A,'[5]july-2025'!$H:$H,0,0)</f>
        <v>5000</v>
      </c>
      <c r="BF116">
        <f>_xlfn.XLOOKUP(B116,'[5]july-2025'!$A:$A,'[5]july-2025'!$I:$I,0,0)</f>
        <v>0</v>
      </c>
      <c r="BG116">
        <f>IF($F116="YES",0,IF(BD116&gt;40000,200,IF(BD116&gt;25000,150,IF(BD116&gt;15000,130,IF(BD116&gt;10000,110,0)))))</f>
        <v>200</v>
      </c>
      <c r="BH116">
        <f>BD116-BE116-BF116-BG116</f>
        <v>64990</v>
      </c>
      <c r="BI116">
        <f>_xlfn.XLOOKUP(B116,'[6]august-2025'!$A:$A,'[6]august-2025'!$C:$C,0,0)</f>
        <v>53300</v>
      </c>
      <c r="BJ116">
        <f>BI116*0.18</f>
        <v>9594</v>
      </c>
      <c r="BK116">
        <f>BI116*0.12</f>
        <v>6396</v>
      </c>
      <c r="BL116">
        <f>_xlfn.XLOOKUP(B116,'[6]august-2025'!$A:$A,'[6]august-2025'!$D:$D,0,0)</f>
        <v>400</v>
      </c>
      <c r="BM116">
        <f>_xlfn.XLOOKUP(B116,'[6]august-2025'!$A:$A,'[6]august-2025'!$G:$G,0,0)</f>
        <v>500</v>
      </c>
      <c r="BN116">
        <f>IF(BI116&gt;0,SUM(BI116:BM116),0)</f>
        <v>70190</v>
      </c>
      <c r="BO116">
        <f>_xlfn.XLOOKUP(B116,'[6]august-2025'!$A:$A,'[6]august-2025'!$H:$H,0,0)</f>
        <v>5000</v>
      </c>
      <c r="BP116">
        <f>_xlfn.XLOOKUP(B116,'[6]august-2025'!$A:$A,'[6]august-2025'!$I:$I,0,0)</f>
        <v>0</v>
      </c>
      <c r="BQ116">
        <f>IF($F116="YES",0,IF(BN116&gt;40000,200,IF(BN116&gt;25000,150,IF(BN116&gt;15000,130,IF(BN116&gt;10000,110,0)))))</f>
        <v>200</v>
      </c>
      <c r="BR116">
        <f>BN116-BO116-BP116-BQ116</f>
        <v>64990</v>
      </c>
      <c r="BS116">
        <f>_xlfn.XLOOKUP(B116,'[7]september-2025'!$A:$A,'[7]september-2025'!$C:$C,0,0)</f>
        <v>53300</v>
      </c>
      <c r="BT116">
        <f>BS116*0.18</f>
        <v>9594</v>
      </c>
      <c r="BU116">
        <f>BS116*0.12</f>
        <v>6396</v>
      </c>
      <c r="BV116">
        <f>_xlfn.XLOOKUP(B116,'[7]september-2025'!$A:$A,'[7]september-2025'!$D:$D,0,0)</f>
        <v>400</v>
      </c>
      <c r="BW116">
        <f>_xlfn.XLOOKUP(B116,'[7]september-2025'!$A:$A,'[7]september-2025'!$G:$G,0,0)</f>
        <v>500</v>
      </c>
      <c r="BX116">
        <f>IF(BS116&gt;0,SUM(BS116:BW116),0)</f>
        <v>70190</v>
      </c>
      <c r="BY116">
        <f>_xlfn.XLOOKUP(B116,'[7]september-2025'!$A:$A,'[7]september-2025'!$H:$H,0,0)</f>
        <v>5000</v>
      </c>
      <c r="BZ116">
        <f>_xlfn.XLOOKUP(B116,'[7]september-2025'!$A:$A,'[7]september-2025'!$I:$I,0,0)</f>
        <v>0</v>
      </c>
      <c r="CA116">
        <f>IF($F116="YES",0,IF(BX116&gt;40000,200,IF(BX116&gt;25000,150,IF(BX116&gt;15000,130,IF(BX116&gt;10000,110,0)))))</f>
        <v>200</v>
      </c>
      <c r="CB116">
        <f>BX116-BY116-BZ116-CA116</f>
        <v>64990</v>
      </c>
      <c r="CC116">
        <f>_xlfn.XLOOKUP(B116,'[8]october-2025'!$A:$A,'[8]october-2025'!$C:$C,0,0)</f>
        <v>53300</v>
      </c>
      <c r="CD116">
        <f>CC116*0.18</f>
        <v>9594</v>
      </c>
      <c r="CE116">
        <f>CC116*0.12</f>
        <v>6396</v>
      </c>
      <c r="CF116">
        <f>_xlfn.XLOOKUP(B116,'[8]october-2025'!$A:$A,'[8]october-2025'!$D:$D,0,0)</f>
        <v>400</v>
      </c>
      <c r="CG116">
        <f>_xlfn.XLOOKUP(B116,'[8]october-2025'!$A:$A,'[8]october-2025'!$G:$G,0,0)</f>
        <v>500</v>
      </c>
      <c r="CH116">
        <f>IF(CC116&gt;0,SUM(CC116:CG116),0)</f>
        <v>70190</v>
      </c>
      <c r="CI116">
        <f>_xlfn.XLOOKUP(B116,'[8]october-2025'!$A:$A,'[8]october-2025'!$H:$H,0,0)</f>
        <v>5000</v>
      </c>
      <c r="CJ116">
        <f>_xlfn.XLOOKUP(B116,'[8]october-2025'!$A:$A,'[8]october-2025'!$I:$I,0,0)</f>
        <v>0</v>
      </c>
      <c r="CK116">
        <f>IF($F116="YES",0,IF(CH116&gt;40000,200,IF(CH116&gt;25000,150,IF(CH116&gt;15000,130,IF(CH116&gt;10000,110,0)))))</f>
        <v>200</v>
      </c>
      <c r="CL116">
        <f>CH116-CI116-CJ116-CK116</f>
        <v>64990</v>
      </c>
      <c r="CM116">
        <f>_xlfn.XLOOKUP(B116,'[9]november-2025'!$A:$A,'[9]november-2025'!$C:$C,0,0)</f>
        <v>53300</v>
      </c>
      <c r="CN116">
        <f>CM116*0.18</f>
        <v>9594</v>
      </c>
      <c r="CO116">
        <f>CM116*0.12</f>
        <v>6396</v>
      </c>
      <c r="CP116">
        <f>_xlfn.XLOOKUP(B116,'[9]november-2025'!$A:$A,'[9]november-2025'!$D:$D,0,0)</f>
        <v>400</v>
      </c>
      <c r="CQ116">
        <f>_xlfn.XLOOKUP(B116,'[9]november-2025'!$A:$A,'[9]november-2025'!$G:$G,0,0)</f>
        <v>500</v>
      </c>
      <c r="CR116">
        <f>IF(CM116&gt;0,SUM(CM116:CQ116),0)</f>
        <v>70190</v>
      </c>
      <c r="CS116">
        <f>_xlfn.XLOOKUP(B116,'[9]november-2025'!$A:$A,'[9]november-2025'!$H:$H,0,0)</f>
        <v>5000</v>
      </c>
      <c r="CT116">
        <f>_xlfn.XLOOKUP(B116,'[9]november-2025'!$A:$A,'[9]november-2025'!$I:$I,0,0)</f>
        <v>0</v>
      </c>
      <c r="CU116">
        <f>IF($F116="YES",0,IF(CR116&gt;40000,200,IF(CR116&gt;25000,150,IF(CR116&gt;15000,130,IF(CR116&gt;10000,110,0)))))</f>
        <v>200</v>
      </c>
      <c r="CV116">
        <f>CR116-CS116-CT116-CU116</f>
        <v>64990</v>
      </c>
      <c r="CW116">
        <f>_xlfn.XLOOKUP(B116,'[10]december-2025'!$A:$A,'[10]december-2025'!$C:$C,0,0)</f>
        <v>53300</v>
      </c>
      <c r="CX116">
        <f>ROUND(CW116*0.18,0)</f>
        <v>9594</v>
      </c>
      <c r="CY116">
        <f>ROUND(CW116*0.12,0)</f>
        <v>6396</v>
      </c>
      <c r="CZ116">
        <f>_xlfn.XLOOKUP(B116,'[10]december-2025'!$A:$A,'[10]december-2025'!$D:$D,0,0)</f>
        <v>400</v>
      </c>
      <c r="DA116">
        <f>_xlfn.XLOOKUP(B116,'[10]december-2025'!$A:$A,'[10]december-2025'!$G:$G,0,0)</f>
        <v>500</v>
      </c>
      <c r="DB116">
        <f>IF(CW116&gt;0,SUM(CW116:DA116),0)</f>
        <v>70190</v>
      </c>
      <c r="DC116">
        <f>_xlfn.XLOOKUP(B116,'[10]december-2025'!$A:$A,'[10]december-2025'!$H:$H,0,0)</f>
        <v>5000</v>
      </c>
      <c r="DD116">
        <f>_xlfn.XLOOKUP(B116,'[10]december-2025'!$A:$A,'[10]december-2025'!$I:$I,0,0)</f>
        <v>0</v>
      </c>
      <c r="DE116">
        <f>IF($F116="YES",0,IF(DB116&gt;40000,200,IF(DB116&gt;25000,150,IF(DB116&gt;15000,130,IF(DB116&gt;10000,110,0)))))</f>
        <v>200</v>
      </c>
      <c r="DF116">
        <f>DB116-DC116-DD116-DE116</f>
        <v>64990</v>
      </c>
      <c r="DG116">
        <f>_xlfn.XLOOKUP(B116,'[11]january-2026'!$A:$A,'[11]january-2026'!$C:$C,0,0)</f>
        <v>53300</v>
      </c>
      <c r="DH116">
        <f>DG116*0.18</f>
        <v>9594</v>
      </c>
      <c r="DI116">
        <f>DG116*0.12</f>
        <v>6396</v>
      </c>
      <c r="DJ116">
        <f>_xlfn.XLOOKUP(B116,'[11]january-2026'!$A:$A,'[11]january-2026'!$D:$D,0,0)</f>
        <v>400</v>
      </c>
      <c r="DK116">
        <f>_xlfn.XLOOKUP(B116,'[11]january-2026'!$A:$A,'[11]january-2026'!$G:$G,0,0)</f>
        <v>500</v>
      </c>
      <c r="DL116">
        <f>IF(DG116&gt;0,SUM(DG116:DK116),0)</f>
        <v>70190</v>
      </c>
      <c r="DM116">
        <f>_xlfn.XLOOKUP(B116,'[11]january-2026'!$A:$A,'[11]january-2026'!$H:$H,0,0)</f>
        <v>5000</v>
      </c>
      <c r="DN116">
        <f>_xlfn.XLOOKUP(B116,'[11]january-2026'!$A:$A,'[11]january-2026'!$I:$I,0,0)</f>
        <v>0</v>
      </c>
      <c r="DO116">
        <f>IF($F116="YES",0,IF(DL116&gt;40000,200,IF(DL116&gt;25000,150,IF(DL116&gt;15000,130,IF(DL116&gt;10000,110,0)))))</f>
        <v>200</v>
      </c>
      <c r="DP116">
        <f>DL116-DM116-DN116-DO116</f>
        <v>64990</v>
      </c>
      <c r="DQ116">
        <f>_xlfn.XLOOKUP(B116,'[12]february-2026'!$A:$A,'[12]february-2026'!$C:$C,0,0)</f>
        <v>53300</v>
      </c>
      <c r="DR116">
        <f>DQ116*0.18</f>
        <v>9594</v>
      </c>
      <c r="DS116">
        <f>DQ116*0.12</f>
        <v>6396</v>
      </c>
      <c r="DT116">
        <f>_xlfn.XLOOKUP(B116,'[12]february-2026'!$A:$A,'[12]february-2026'!$D:$D,0,0)</f>
        <v>400</v>
      </c>
      <c r="DU116">
        <f>_xlfn.XLOOKUP(B116,'[12]february-2026'!$A:$A,'[12]february-2026'!$G:$G,0,0)</f>
        <v>500</v>
      </c>
      <c r="DV116">
        <f>IF(DQ116&gt;0,SUM(DQ116:DU116),0)</f>
        <v>70190</v>
      </c>
      <c r="DW116">
        <f>_xlfn.XLOOKUP(B116,'[12]february-2026'!$A:$A,'[12]february-2026'!$H:$H,0,0)</f>
        <v>5000</v>
      </c>
      <c r="DX116">
        <f>_xlfn.XLOOKUP(B116,'[12]february-2026'!$A:$A,'[12]february-2026'!$I:$I,0,0)</f>
        <v>0</v>
      </c>
      <c r="DY116">
        <f>IF($F116="YES",0,IF(DV116&gt;40000,200,IF(DV116&gt;25000,150,IF(DV116&gt;15000,130,IF(DV116&gt;10000,110,0)))))</f>
        <v>200</v>
      </c>
      <c r="DZ116">
        <f>DV116-DW116-DX116-DY116</f>
        <v>64990</v>
      </c>
      <c r="EA116">
        <f>DV116+DL116+DB116+CR116+CH116+BX116+BN116+BD116+AS116+AI116+Y116+O116+H116+I116</f>
        <v>838692</v>
      </c>
      <c r="EB116">
        <f>DY116+DO116+DE116+CU116+CK116+CA116+BQ116+BG116+AV116+AL116+AB116+R116</f>
        <v>2400</v>
      </c>
      <c r="EC116">
        <f>IF(EA116&gt;0,50000,0)</f>
        <v>50000</v>
      </c>
      <c r="ED116">
        <v>0</v>
      </c>
      <c r="EE116">
        <f>EA116-EB116-EC116</f>
        <v>786292</v>
      </c>
      <c r="EF116">
        <f>DW116+DM116+DC116+CS116+CI116+BY116+BO116+BE116+AT116+AJ116+Z116+P116</f>
        <v>60000</v>
      </c>
      <c r="EG116">
        <f>DX116+DN116+DD116+CT116+CJ116+BZ116+BP116+BF116+AU116+AK116+AA116+Q116</f>
        <v>0</v>
      </c>
      <c r="EH116">
        <v>0</v>
      </c>
      <c r="EI116">
        <v>0</v>
      </c>
      <c r="EJ116">
        <v>0</v>
      </c>
      <c r="EK116">
        <v>0</v>
      </c>
      <c r="EL116">
        <v>0</v>
      </c>
      <c r="EM116">
        <v>0</v>
      </c>
      <c r="EN116">
        <v>0</v>
      </c>
      <c r="EO116">
        <v>0</v>
      </c>
      <c r="EP116">
        <v>0</v>
      </c>
      <c r="EQ116">
        <v>0</v>
      </c>
      <c r="ER116">
        <f>SUM(EF116:EQ116)</f>
        <v>60000</v>
      </c>
      <c r="ES116">
        <f>IF(ER116&gt;=150000,150000,ER116)</f>
        <v>60000</v>
      </c>
      <c r="ET116">
        <f>EE116-ES116</f>
        <v>726292</v>
      </c>
      <c r="EU116">
        <v>0</v>
      </c>
      <c r="EV116">
        <v>0</v>
      </c>
      <c r="EW116">
        <v>0</v>
      </c>
      <c r="EX116">
        <v>0</v>
      </c>
      <c r="EY116">
        <v>0</v>
      </c>
      <c r="EZ116">
        <v>0</v>
      </c>
      <c r="FA116">
        <v>0</v>
      </c>
      <c r="FB116">
        <f>SUM(EU116:FA116)+(IF(F116="YES",50000,0))</f>
        <v>0</v>
      </c>
      <c r="FC116">
        <f>ET116-FB116</f>
        <v>726292</v>
      </c>
      <c r="FD116">
        <f>ROUND(IF(FC116&gt;0,IF(FC116&gt;500000,12500,(FC116-250000)*0.05),0),0)</f>
        <v>12500</v>
      </c>
      <c r="FE116">
        <f>IF(ROUND(IF(FC116&gt;0,IF(FC116&gt;1000000,25000,(FC116-500000)*0.2),0),0)&lt;0,0,ROUND(IF(FC116&gt;0,IF(FC116&gt;1000000,25000,(FC116-500000)*0.2),0),0))</f>
        <v>45258</v>
      </c>
      <c r="FF116">
        <f>FD116+FE116</f>
        <v>57758</v>
      </c>
      <c r="FG116">
        <f>IF(FF116&lt;12500,0,FF116)</f>
        <v>57758</v>
      </c>
      <c r="FH116">
        <f>FG116*0.04</f>
        <v>2310.3200000000002</v>
      </c>
      <c r="FI116">
        <f>ROUND(FH116+FG116,0)</f>
        <v>60068</v>
      </c>
      <c r="FJ116">
        <v>0</v>
      </c>
      <c r="FK116">
        <f>FI116-FJ116</f>
        <v>60068</v>
      </c>
      <c r="FL116" t="b">
        <f>IF(EA116&gt;500000,TRUE,FALSE)</f>
        <v>1</v>
      </c>
      <c r="FM116">
        <f ca="1">IF(FL116,RANDBETWEEN(500,1000),RANDBETWEEN(1000,3000))</f>
        <v>952</v>
      </c>
      <c r="FN116">
        <f ca="1">EA116+FM116</f>
        <v>839644</v>
      </c>
      <c r="FO116">
        <f>IF(EA116&gt;0,75000,0)</f>
        <v>75000</v>
      </c>
      <c r="FP116">
        <f ca="1">FN116-FO116</f>
        <v>764644</v>
      </c>
      <c r="FQ116">
        <f ca="1">IF(FP116&gt;2400000,FP116-2400000,0)</f>
        <v>0</v>
      </c>
      <c r="FR116">
        <f ca="1">FQ116*0.3</f>
        <v>0</v>
      </c>
      <c r="FS116">
        <f ca="1">IF(FP116&gt;2000000,FP116-2000000,0)</f>
        <v>0</v>
      </c>
      <c r="FT116">
        <f ca="1">FS116*0.25</f>
        <v>0</v>
      </c>
      <c r="FU116">
        <f ca="1">IF(FP116&gt;1600000,FP116-1600000-FQ116,0)</f>
        <v>0</v>
      </c>
      <c r="FV116">
        <f ca="1">FU116*0.2</f>
        <v>0</v>
      </c>
      <c r="FW116">
        <f ca="1">IF(FP116&gt;1200000,FP116-1200000-IF(F116="YES",50000,0)-FU116,0)</f>
        <v>0</v>
      </c>
      <c r="FX116">
        <f ca="1">FW116*0.15</f>
        <v>0</v>
      </c>
      <c r="FY116">
        <f ca="1">IF(FP116&gt;800000,FP116-800000-FQ116-FU116-FW116,0)</f>
        <v>0</v>
      </c>
      <c r="FZ116">
        <f ca="1">FY116*0.1</f>
        <v>0</v>
      </c>
      <c r="GA116">
        <f ca="1">IF(FP116&gt;400000,FP116-400000-FQ116-FU116-FW116-FY116,0)</f>
        <v>364644</v>
      </c>
      <c r="GB116">
        <f ca="1">GA116*0.05</f>
        <v>18232.2</v>
      </c>
      <c r="GC116">
        <f ca="1">ROUND(FR116+FT116+FV116+FX116+FZ116+GB116,0)</f>
        <v>18232</v>
      </c>
      <c r="GD116">
        <f ca="1">IF(FP116&gt;1200000,FP116,0)</f>
        <v>0</v>
      </c>
      <c r="GE116">
        <f ca="1">IF(FP116&gt;1200000,GD116-1200000,0)</f>
        <v>0</v>
      </c>
      <c r="GF116">
        <f ca="1">IF(FP116&lt;1200001,MIN(GC116,60000),0)</f>
        <v>18232</v>
      </c>
      <c r="GG116">
        <f ca="1">IF(FP116&gt;1200000,GC116-GE116,0)</f>
        <v>0</v>
      </c>
      <c r="GH116" t="b">
        <f ca="1">IF(GG116&gt;0,TRUE,FALSE)</f>
        <v>0</v>
      </c>
      <c r="GI116">
        <f ca="1">IF(GH116,GG116,0)</f>
        <v>0</v>
      </c>
      <c r="GJ116">
        <f ca="1">GF116+GI116</f>
        <v>18232</v>
      </c>
      <c r="GK116">
        <f ca="1">ROUND(GC116-GJ116,0)</f>
        <v>0</v>
      </c>
      <c r="GL116">
        <f ca="1">GK116*0.04</f>
        <v>0</v>
      </c>
      <c r="GM116">
        <f ca="1">ROUNDUP(GK116+GL116,0)</f>
        <v>0</v>
      </c>
    </row>
    <row r="117" spans="1:195" x14ac:dyDescent="0.25">
      <c r="A117">
        <f>_xlfn.AGGREGATE(3,5,$B$2:B117)</f>
        <v>116</v>
      </c>
      <c r="B117" t="s">
        <v>351</v>
      </c>
      <c r="C117" t="s">
        <v>352</v>
      </c>
      <c r="D117" t="s">
        <v>784</v>
      </c>
      <c r="E117" t="s">
        <v>835</v>
      </c>
      <c r="F117" t="s">
        <v>959</v>
      </c>
      <c r="G117" t="s">
        <v>882</v>
      </c>
      <c r="H117">
        <f>IF(_xlfn.DAYS("31-03-2025",G117)&gt;=180,6800,0)</f>
        <v>6800</v>
      </c>
      <c r="I117">
        <f>_xlfn.XLOOKUP(B117,'[1]march-2025'!$A:$A,'[1]march-2025'!$J:$J,0,0)</f>
        <v>0</v>
      </c>
      <c r="J117">
        <f>_xlfn.XLOOKUP(B117,'[1]march-2025'!$A:$A,'[1]march-2025'!$C:$C,0,0)</f>
        <v>47300</v>
      </c>
      <c r="K117">
        <f>J117*0.14</f>
        <v>6622.0000000000009</v>
      </c>
      <c r="L117">
        <f>J117*0.12</f>
        <v>5676</v>
      </c>
      <c r="M117">
        <f>_xlfn.XLOOKUP(B117,'[1]march-2025'!$A:$A,'[1]march-2025'!$D:$D,0,0)</f>
        <v>0</v>
      </c>
      <c r="N117">
        <f>_xlfn.XLOOKUP(B117,'[1]march-2025'!$A:$A,'[1]march-2025'!$G:$G,0,0)</f>
        <v>0</v>
      </c>
      <c r="O117">
        <f>IF(J117&gt;0,SUM(J117:N117),0)</f>
        <v>59598</v>
      </c>
      <c r="P117">
        <f>_xlfn.XLOOKUP(B117,'[1]march-2025'!$A:$A,'[1]march-2025'!$H:$H,0,0)</f>
        <v>6000</v>
      </c>
      <c r="Q117">
        <f>_xlfn.XLOOKUP(B117,'[1]march-2025'!$A:$A,'[1]march-2025'!$I:$I,0,0)</f>
        <v>0</v>
      </c>
      <c r="R117">
        <f>IF($F117="YES",0,IF(O117&gt;40000,200,IF(O117&gt;25000,150,IF(O117&gt;15000,130,IF(O117&gt;10000,110,0)))))</f>
        <v>200</v>
      </c>
      <c r="S117">
        <f>O117-P117-Q117-R117</f>
        <v>53398</v>
      </c>
      <c r="T117">
        <f>_xlfn.XLOOKUP(B117,'[2]april-2025'!$A:$A,'[2]april-2025'!$C:$C,0,0)</f>
        <v>47300</v>
      </c>
      <c r="U117">
        <f>T117*0.18</f>
        <v>8514</v>
      </c>
      <c r="V117">
        <f>T117*0.12</f>
        <v>5676</v>
      </c>
      <c r="W117">
        <f>_xlfn.XLOOKUP(B117,'[2]april-2025'!$A:$A,'[2]april-2025'!$D:$D,0,0)</f>
        <v>0</v>
      </c>
      <c r="X117">
        <f>_xlfn.XLOOKUP(B117,'[2]april-2025'!$A:$A,'[2]april-2025'!$G:$G,0,0)</f>
        <v>0</v>
      </c>
      <c r="Y117">
        <f>IF(T117&gt;0,SUM(T117:X117),0)</f>
        <v>61490</v>
      </c>
      <c r="Z117">
        <f>_xlfn.XLOOKUP(B117,'[2]april-2025'!$A:$A,'[2]april-2025'!$H:$H,0,0)</f>
        <v>6000</v>
      </c>
      <c r="AA117">
        <f>_xlfn.XLOOKUP(B117,'[2]april-2025'!$A:$A,'[2]april-2025'!$I:$I,0,0)</f>
        <v>0</v>
      </c>
      <c r="AB117">
        <f>IF($F117="YES",0,IF(Y117&gt;40000,200,IF(Y117&gt;25000,150,IF(Y117&gt;15000,130,IF(Y117&gt;10000,110,0)))))</f>
        <v>200</v>
      </c>
      <c r="AC117">
        <f>Y117-Z117-AA117-AB117</f>
        <v>55290</v>
      </c>
      <c r="AD117">
        <f>_xlfn.XLOOKUP(B117,'[3]may-2025'!$A:$A,'[3]may-2025'!$C:$C,0,0)</f>
        <v>47300</v>
      </c>
      <c r="AE117">
        <f>AD117*0.18</f>
        <v>8514</v>
      </c>
      <c r="AF117">
        <f>AD117*0.12</f>
        <v>5676</v>
      </c>
      <c r="AG117">
        <f>_xlfn.XLOOKUP(B117,'[3]may-2025'!$A:$A,'[3]may-2025'!$D:$D,0,0)</f>
        <v>0</v>
      </c>
      <c r="AH117">
        <f>_xlfn.XLOOKUP(B117,'[3]may-2025'!$A:$A,'[3]may-2025'!$G:$G,0,0)</f>
        <v>0</v>
      </c>
      <c r="AI117">
        <f>IF(AD117&gt;0,SUM(AD117:AH117),0)</f>
        <v>61490</v>
      </c>
      <c r="AJ117">
        <f>_xlfn.XLOOKUP(B117,'[3]may-2025'!$A:$A,'[3]may-2025'!$H:$H,0,0)</f>
        <v>6000</v>
      </c>
      <c r="AK117">
        <f>_xlfn.XLOOKUP(B117,'[3]may-2025'!$A:$A,'[3]may-2025'!$I:$I,0,0)</f>
        <v>0</v>
      </c>
      <c r="AL117">
        <f>IF($F117="YES",0,IF(AI117&gt;40000,200,IF(AI117&gt;25000,150,IF(AI117&gt;15000,130,IF(AI117&gt;10000,110,0)))))</f>
        <v>200</v>
      </c>
      <c r="AM117">
        <f>AI117-AJ117-AK117-AL117</f>
        <v>55290</v>
      </c>
      <c r="AN117">
        <f>_xlfn.XLOOKUP(B117,'[4]june-2025'!$A:$A,'[4]june-2025'!$C:$C,0,0)</f>
        <v>47300</v>
      </c>
      <c r="AO117">
        <f>AN117*0.18</f>
        <v>8514</v>
      </c>
      <c r="AP117">
        <f>AN117*0.12</f>
        <v>5676</v>
      </c>
      <c r="AQ117">
        <f>_xlfn.XLOOKUP(B117,'[4]june-2025'!$A:$A,'[4]june-2025'!$D:$D,0,0)</f>
        <v>0</v>
      </c>
      <c r="AR117">
        <f>_xlfn.XLOOKUP(B117,'[4]june-2025'!$A:$A,'[4]june-2025'!$G:$G,0,0)</f>
        <v>0</v>
      </c>
      <c r="AS117">
        <f>IF(AN117&gt;0,SUM(AN117:AR117),0)</f>
        <v>61490</v>
      </c>
      <c r="AT117">
        <f>_xlfn.XLOOKUP(B117,'[4]june-2025'!$A:$A,'[4]june-2025'!$H:$H,0,0)</f>
        <v>6000</v>
      </c>
      <c r="AU117">
        <f>_xlfn.XLOOKUP(B117,'[4]june-2025'!$A:$A,'[4]june-2025'!$I:$I,0,0)</f>
        <v>0</v>
      </c>
      <c r="AV117">
        <f>IF($F117="YES",0,IF(AS117&gt;40000,200,IF(AS117&gt;25000,150,IF(AS117&gt;15000,130,IF(AS117&gt;10000,110,0)))))</f>
        <v>200</v>
      </c>
      <c r="AW117">
        <f>AS117-AT117-AU117-AV117</f>
        <v>55290</v>
      </c>
      <c r="AX117">
        <f>_xlfn.XLOOKUP(B117,'[5]july-2025'!$A:$A,'[5]july-2025'!$C:$C,0,0)</f>
        <v>48700</v>
      </c>
      <c r="AY117">
        <f>AX117*0.18</f>
        <v>8766</v>
      </c>
      <c r="AZ117">
        <v>0</v>
      </c>
      <c r="BA117">
        <f>AX117*0.12</f>
        <v>5844</v>
      </c>
      <c r="BB117">
        <f>_xlfn.XLOOKUP(B117,'[5]july-2025'!$A:$A,'[5]july-2025'!$D:$D,0,0)</f>
        <v>0</v>
      </c>
      <c r="BC117">
        <f>_xlfn.XLOOKUP(B117,'[5]july-2025'!$A:$A,'[5]july-2025'!$G:$G,0,0)</f>
        <v>0</v>
      </c>
      <c r="BD117">
        <f>IF(AX117&gt;0,SUM(AX117:BC117),0)</f>
        <v>63310</v>
      </c>
      <c r="BE117">
        <f>_xlfn.XLOOKUP(B117,'[5]july-2025'!$A:$A,'[5]july-2025'!$H:$H,0,0)</f>
        <v>6000</v>
      </c>
      <c r="BF117">
        <f>_xlfn.XLOOKUP(B117,'[5]july-2025'!$A:$A,'[5]july-2025'!$I:$I,0,0)</f>
        <v>0</v>
      </c>
      <c r="BG117">
        <f>IF($F117="YES",0,IF(BD117&gt;40000,200,IF(BD117&gt;25000,150,IF(BD117&gt;15000,130,IF(BD117&gt;10000,110,0)))))</f>
        <v>200</v>
      </c>
      <c r="BH117">
        <f>BD117-BE117-BF117-BG117</f>
        <v>57110</v>
      </c>
      <c r="BI117">
        <f>_xlfn.XLOOKUP(B117,'[6]august-2025'!$A:$A,'[6]august-2025'!$C:$C,0,0)</f>
        <v>48700</v>
      </c>
      <c r="BJ117">
        <f>BI117*0.18</f>
        <v>8766</v>
      </c>
      <c r="BK117">
        <f>BI117*0.12</f>
        <v>5844</v>
      </c>
      <c r="BL117">
        <f>_xlfn.XLOOKUP(B117,'[6]august-2025'!$A:$A,'[6]august-2025'!$D:$D,0,0)</f>
        <v>0</v>
      </c>
      <c r="BM117">
        <f>_xlfn.XLOOKUP(B117,'[6]august-2025'!$A:$A,'[6]august-2025'!$G:$G,0,0)</f>
        <v>0</v>
      </c>
      <c r="BN117">
        <f>IF(BI117&gt;0,SUM(BI117:BM117),0)</f>
        <v>63310</v>
      </c>
      <c r="BO117">
        <f>_xlfn.XLOOKUP(B117,'[6]august-2025'!$A:$A,'[6]august-2025'!$H:$H,0,0)</f>
        <v>6000</v>
      </c>
      <c r="BP117">
        <f>_xlfn.XLOOKUP(B117,'[6]august-2025'!$A:$A,'[6]august-2025'!$I:$I,0,0)</f>
        <v>0</v>
      </c>
      <c r="BQ117">
        <f>IF($F117="YES",0,IF(BN117&gt;40000,200,IF(BN117&gt;25000,150,IF(BN117&gt;15000,130,IF(BN117&gt;10000,110,0)))))</f>
        <v>200</v>
      </c>
      <c r="BR117">
        <f>BN117-BO117-BP117-BQ117</f>
        <v>57110</v>
      </c>
      <c r="BS117">
        <f>_xlfn.XLOOKUP(B117,'[7]september-2025'!$A:$A,'[7]september-2025'!$C:$C,0,0)</f>
        <v>48700</v>
      </c>
      <c r="BT117">
        <f>BS117*0.18</f>
        <v>8766</v>
      </c>
      <c r="BU117">
        <f>BS117*0.12</f>
        <v>5844</v>
      </c>
      <c r="BV117">
        <f>_xlfn.XLOOKUP(B117,'[7]september-2025'!$A:$A,'[7]september-2025'!$D:$D,0,0)</f>
        <v>0</v>
      </c>
      <c r="BW117">
        <f>_xlfn.XLOOKUP(B117,'[7]september-2025'!$A:$A,'[7]september-2025'!$G:$G,0,0)</f>
        <v>0</v>
      </c>
      <c r="BX117">
        <f>IF(BS117&gt;0,SUM(BS117:BW117),0)</f>
        <v>63310</v>
      </c>
      <c r="BY117">
        <f>_xlfn.XLOOKUP(B117,'[7]september-2025'!$A:$A,'[7]september-2025'!$H:$H,0,0)</f>
        <v>6000</v>
      </c>
      <c r="BZ117">
        <f>_xlfn.XLOOKUP(B117,'[7]september-2025'!$A:$A,'[7]september-2025'!$I:$I,0,0)</f>
        <v>0</v>
      </c>
      <c r="CA117">
        <f>IF($F117="YES",0,IF(BX117&gt;40000,200,IF(BX117&gt;25000,150,IF(BX117&gt;15000,130,IF(BX117&gt;10000,110,0)))))</f>
        <v>200</v>
      </c>
      <c r="CB117">
        <f>BX117-BY117-BZ117-CA117</f>
        <v>57110</v>
      </c>
      <c r="CC117">
        <f>_xlfn.XLOOKUP(B117,'[8]october-2025'!$A:$A,'[8]october-2025'!$C:$C,0,0)</f>
        <v>48700</v>
      </c>
      <c r="CD117">
        <f>CC117*0.18</f>
        <v>8766</v>
      </c>
      <c r="CE117">
        <f>CC117*0.12</f>
        <v>5844</v>
      </c>
      <c r="CF117">
        <f>_xlfn.XLOOKUP(B117,'[8]october-2025'!$A:$A,'[8]october-2025'!$D:$D,0,0)</f>
        <v>0</v>
      </c>
      <c r="CG117">
        <f>_xlfn.XLOOKUP(B117,'[8]october-2025'!$A:$A,'[8]october-2025'!$G:$G,0,0)</f>
        <v>0</v>
      </c>
      <c r="CH117">
        <f>IF(CC117&gt;0,SUM(CC117:CG117),0)</f>
        <v>63310</v>
      </c>
      <c r="CI117">
        <f>_xlfn.XLOOKUP(B117,'[8]october-2025'!$A:$A,'[8]october-2025'!$H:$H,0,0)</f>
        <v>6000</v>
      </c>
      <c r="CJ117">
        <f>_xlfn.XLOOKUP(B117,'[8]october-2025'!$A:$A,'[8]october-2025'!$I:$I,0,0)</f>
        <v>0</v>
      </c>
      <c r="CK117">
        <f>IF($F117="YES",0,IF(CH117&gt;40000,200,IF(CH117&gt;25000,150,IF(CH117&gt;15000,130,IF(CH117&gt;10000,110,0)))))</f>
        <v>200</v>
      </c>
      <c r="CL117">
        <f>CH117-CI117-CJ117-CK117</f>
        <v>57110</v>
      </c>
      <c r="CM117">
        <f>_xlfn.XLOOKUP(B117,'[9]november-2025'!$A:$A,'[9]november-2025'!$C:$C,0,0)</f>
        <v>48700</v>
      </c>
      <c r="CN117">
        <f>CM117*0.18</f>
        <v>8766</v>
      </c>
      <c r="CO117">
        <f>CM117*0.12</f>
        <v>5844</v>
      </c>
      <c r="CP117">
        <f>_xlfn.XLOOKUP(B117,'[9]november-2025'!$A:$A,'[9]november-2025'!$D:$D,0,0)</f>
        <v>0</v>
      </c>
      <c r="CQ117">
        <f>_xlfn.XLOOKUP(B117,'[9]november-2025'!$A:$A,'[9]november-2025'!$G:$G,0,0)</f>
        <v>0</v>
      </c>
      <c r="CR117">
        <f>IF(CM117&gt;0,SUM(CM117:CQ117),0)</f>
        <v>63310</v>
      </c>
      <c r="CS117">
        <f>_xlfn.XLOOKUP(B117,'[9]november-2025'!$A:$A,'[9]november-2025'!$H:$H,0,0)</f>
        <v>6000</v>
      </c>
      <c r="CT117">
        <f>_xlfn.XLOOKUP(B117,'[9]november-2025'!$A:$A,'[9]november-2025'!$I:$I,0,0)</f>
        <v>0</v>
      </c>
      <c r="CU117">
        <f>IF($F117="YES",0,IF(CR117&gt;40000,200,IF(CR117&gt;25000,150,IF(CR117&gt;15000,130,IF(CR117&gt;10000,110,0)))))</f>
        <v>200</v>
      </c>
      <c r="CV117">
        <f>CR117-CS117-CT117-CU117</f>
        <v>57110</v>
      </c>
      <c r="CW117">
        <f>_xlfn.XLOOKUP(B117,'[10]december-2025'!$A:$A,'[10]december-2025'!$C:$C,0,0)</f>
        <v>48700</v>
      </c>
      <c r="CX117">
        <f>ROUND(CW117*0.18,0)</f>
        <v>8766</v>
      </c>
      <c r="CY117">
        <f>ROUND(CW117*0.12,0)</f>
        <v>5844</v>
      </c>
      <c r="CZ117">
        <f>_xlfn.XLOOKUP(B117,'[10]december-2025'!$A:$A,'[10]december-2025'!$D:$D,0,0)</f>
        <v>0</v>
      </c>
      <c r="DA117">
        <f>_xlfn.XLOOKUP(B117,'[10]december-2025'!$A:$A,'[10]december-2025'!$G:$G,0,0)</f>
        <v>0</v>
      </c>
      <c r="DB117">
        <f>IF(CW117&gt;0,SUM(CW117:DA117),0)</f>
        <v>63310</v>
      </c>
      <c r="DC117">
        <f>_xlfn.XLOOKUP(B117,'[10]december-2025'!$A:$A,'[10]december-2025'!$H:$H,0,0)</f>
        <v>6000</v>
      </c>
      <c r="DD117">
        <f>_xlfn.XLOOKUP(B117,'[10]december-2025'!$A:$A,'[10]december-2025'!$I:$I,0,0)</f>
        <v>0</v>
      </c>
      <c r="DE117">
        <f>IF($F117="YES",0,IF(DB117&gt;40000,200,IF(DB117&gt;25000,150,IF(DB117&gt;15000,130,IF(DB117&gt;10000,110,0)))))</f>
        <v>200</v>
      </c>
      <c r="DF117">
        <f>DB117-DC117-DD117-DE117</f>
        <v>57110</v>
      </c>
      <c r="DG117">
        <f>_xlfn.XLOOKUP(B117,'[11]january-2026'!$A:$A,'[11]january-2026'!$C:$C,0,0)</f>
        <v>48700</v>
      </c>
      <c r="DH117">
        <f>DG117*0.18</f>
        <v>8766</v>
      </c>
      <c r="DI117">
        <f>DG117*0.12</f>
        <v>5844</v>
      </c>
      <c r="DJ117">
        <f>_xlfn.XLOOKUP(B117,'[11]january-2026'!$A:$A,'[11]january-2026'!$D:$D,0,0)</f>
        <v>0</v>
      </c>
      <c r="DK117">
        <f>_xlfn.XLOOKUP(B117,'[11]january-2026'!$A:$A,'[11]january-2026'!$G:$G,0,0)</f>
        <v>0</v>
      </c>
      <c r="DL117">
        <f>IF(DG117&gt;0,SUM(DG117:DK117),0)</f>
        <v>63310</v>
      </c>
      <c r="DM117">
        <f>_xlfn.XLOOKUP(B117,'[11]january-2026'!$A:$A,'[11]january-2026'!$H:$H,0,0)</f>
        <v>6000</v>
      </c>
      <c r="DN117">
        <f>_xlfn.XLOOKUP(B117,'[11]january-2026'!$A:$A,'[11]january-2026'!$I:$I,0,0)</f>
        <v>0</v>
      </c>
      <c r="DO117">
        <f>IF($F117="YES",0,IF(DL117&gt;40000,200,IF(DL117&gt;25000,150,IF(DL117&gt;15000,130,IF(DL117&gt;10000,110,0)))))</f>
        <v>200</v>
      </c>
      <c r="DP117">
        <f>DL117-DM117-DN117-DO117</f>
        <v>57110</v>
      </c>
      <c r="DQ117">
        <f>_xlfn.XLOOKUP(B117,'[12]february-2026'!$A:$A,'[12]february-2026'!$C:$C,0,0)</f>
        <v>48700</v>
      </c>
      <c r="DR117">
        <f>DQ117*0.18</f>
        <v>8766</v>
      </c>
      <c r="DS117">
        <f>DQ117*0.12</f>
        <v>5844</v>
      </c>
      <c r="DT117">
        <f>_xlfn.XLOOKUP(B117,'[12]february-2026'!$A:$A,'[12]february-2026'!$D:$D,0,0)</f>
        <v>0</v>
      </c>
      <c r="DU117">
        <f>_xlfn.XLOOKUP(B117,'[12]february-2026'!$A:$A,'[12]february-2026'!$G:$G,0,0)</f>
        <v>0</v>
      </c>
      <c r="DV117">
        <f>IF(DQ117&gt;0,SUM(DQ117:DU117),0)</f>
        <v>63310</v>
      </c>
      <c r="DW117">
        <f>_xlfn.XLOOKUP(B117,'[12]february-2026'!$A:$A,'[12]february-2026'!$H:$H,0,0)</f>
        <v>6000</v>
      </c>
      <c r="DX117">
        <f>_xlfn.XLOOKUP(B117,'[12]february-2026'!$A:$A,'[12]february-2026'!$I:$I,0,0)</f>
        <v>0</v>
      </c>
      <c r="DY117">
        <f>IF($F117="YES",0,IF(DV117&gt;40000,200,IF(DV117&gt;25000,150,IF(DV117&gt;15000,130,IF(DV117&gt;10000,110,0)))))</f>
        <v>200</v>
      </c>
      <c r="DZ117">
        <f>DV117-DW117-DX117-DY117</f>
        <v>57110</v>
      </c>
      <c r="EA117">
        <f>DV117+DL117+DB117+CR117+CH117+BX117+BN117+BD117+AS117+AI117+Y117+O117+H117+I117</f>
        <v>757348</v>
      </c>
      <c r="EB117">
        <f>DY117+DO117+DE117+CU117+CK117+CA117+BQ117+BG117+AV117+AL117+AB117+R117</f>
        <v>2400</v>
      </c>
      <c r="EC117">
        <f>IF(EA117&gt;0,50000,0)</f>
        <v>50000</v>
      </c>
      <c r="ED117">
        <v>0</v>
      </c>
      <c r="EE117">
        <f>EA117-EB117-EC117</f>
        <v>704948</v>
      </c>
      <c r="EF117">
        <f>DW117+DM117+DC117+CS117+CI117+BY117+BO117+BE117+AT117+AJ117+Z117+P117</f>
        <v>72000</v>
      </c>
      <c r="EG117">
        <f>DX117+DN117+DD117+CT117+CJ117+BZ117+BP117+BF117+AU117+AK117+AA117+Q117</f>
        <v>0</v>
      </c>
      <c r="EH117">
        <v>0</v>
      </c>
      <c r="EI117">
        <v>0</v>
      </c>
      <c r="EJ117">
        <v>0</v>
      </c>
      <c r="EK117">
        <v>0</v>
      </c>
      <c r="EL117">
        <v>0</v>
      </c>
      <c r="EM117">
        <v>0</v>
      </c>
      <c r="EN117">
        <v>0</v>
      </c>
      <c r="EO117">
        <v>0</v>
      </c>
      <c r="EP117">
        <v>0</v>
      </c>
      <c r="EQ117">
        <v>0</v>
      </c>
      <c r="ER117">
        <f>SUM(EF117:EQ117)</f>
        <v>72000</v>
      </c>
      <c r="ES117">
        <f>IF(ER117&gt;=150000,150000,ER117)</f>
        <v>72000</v>
      </c>
      <c r="ET117">
        <f>EE117-ES117</f>
        <v>632948</v>
      </c>
      <c r="EU117">
        <v>0</v>
      </c>
      <c r="EV117">
        <v>0</v>
      </c>
      <c r="EW117">
        <v>0</v>
      </c>
      <c r="EX117">
        <v>0</v>
      </c>
      <c r="EY117">
        <v>0</v>
      </c>
      <c r="EZ117">
        <v>0</v>
      </c>
      <c r="FA117">
        <v>0</v>
      </c>
      <c r="FB117">
        <f>SUM(EU117:FA117)+(IF(F117="YES",50000,0))</f>
        <v>0</v>
      </c>
      <c r="FC117">
        <f>ET117-FB117</f>
        <v>632948</v>
      </c>
      <c r="FD117">
        <f>ROUND(IF(FC117&gt;0,IF(FC117&gt;500000,12500,(FC117-250000)*0.05),0),0)</f>
        <v>12500</v>
      </c>
      <c r="FE117">
        <f>IF(ROUND(IF(FC117&gt;0,IF(FC117&gt;1000000,25000,(FC117-500000)*0.2),0),0)&lt;0,0,ROUND(IF(FC117&gt;0,IF(FC117&gt;1000000,25000,(FC117-500000)*0.2),0),0))</f>
        <v>26590</v>
      </c>
      <c r="FF117">
        <f>FD117+FE117</f>
        <v>39090</v>
      </c>
      <c r="FG117">
        <f>IF(FF117&lt;12500,0,FF117)</f>
        <v>39090</v>
      </c>
      <c r="FH117">
        <f>FG117*0.04</f>
        <v>1563.6000000000001</v>
      </c>
      <c r="FI117">
        <f>ROUND(FH117+FG117,0)</f>
        <v>40654</v>
      </c>
      <c r="FJ117">
        <v>0</v>
      </c>
      <c r="FK117">
        <f>FI117-FJ117</f>
        <v>40654</v>
      </c>
      <c r="FL117" t="b">
        <f>IF(EA117&gt;500000,TRUE,FALSE)</f>
        <v>1</v>
      </c>
      <c r="FM117">
        <f ca="1">IF(FL117,RANDBETWEEN(500,1000),RANDBETWEEN(1000,3000))</f>
        <v>752</v>
      </c>
      <c r="FN117">
        <f ca="1">EA117+FM117</f>
        <v>758100</v>
      </c>
      <c r="FO117">
        <f>IF(EA117&gt;0,75000,0)</f>
        <v>75000</v>
      </c>
      <c r="FP117">
        <f ca="1">FN117-FO117</f>
        <v>683100</v>
      </c>
      <c r="FQ117">
        <f ca="1">IF(FP117&gt;2400000,FP117-2400000,0)</f>
        <v>0</v>
      </c>
      <c r="FR117">
        <f ca="1">FQ117*0.3</f>
        <v>0</v>
      </c>
      <c r="FS117">
        <f ca="1">IF(FP117&gt;2000000,FP117-2000000,0)</f>
        <v>0</v>
      </c>
      <c r="FT117">
        <f ca="1">FS117*0.25</f>
        <v>0</v>
      </c>
      <c r="FU117">
        <f ca="1">IF(FP117&gt;1600000,FP117-1600000-FQ117,0)</f>
        <v>0</v>
      </c>
      <c r="FV117">
        <f ca="1">FU117*0.2</f>
        <v>0</v>
      </c>
      <c r="FW117">
        <f ca="1">IF(FP117&gt;1200000,FP117-1200000-IF(F117="YES",50000,0)-FU117,0)</f>
        <v>0</v>
      </c>
      <c r="FX117">
        <f ca="1">FW117*0.15</f>
        <v>0</v>
      </c>
      <c r="FY117">
        <f ca="1">IF(FP117&gt;800000,FP117-800000-FQ117-FU117-FW117,0)</f>
        <v>0</v>
      </c>
      <c r="FZ117">
        <f ca="1">FY117*0.1</f>
        <v>0</v>
      </c>
      <c r="GA117">
        <f ca="1">IF(FP117&gt;400000,FP117-400000-FQ117-FU117-FW117-FY117,0)</f>
        <v>283100</v>
      </c>
      <c r="GB117">
        <f ca="1">GA117*0.05</f>
        <v>14155</v>
      </c>
      <c r="GC117">
        <f ca="1">ROUND(FR117+FT117+FV117+FX117+FZ117+GB117,0)</f>
        <v>14155</v>
      </c>
      <c r="GD117">
        <f ca="1">IF(FP117&gt;1200000,FP117,0)</f>
        <v>0</v>
      </c>
      <c r="GE117">
        <f ca="1">IF(FP117&gt;1200000,GD117-1200000,0)</f>
        <v>0</v>
      </c>
      <c r="GF117">
        <f ca="1">IF(FP117&lt;1200001,MIN(GC117,60000),0)</f>
        <v>14155</v>
      </c>
      <c r="GG117">
        <f ca="1">IF(FP117&gt;1200000,GC117-GE117,0)</f>
        <v>0</v>
      </c>
      <c r="GH117" t="b">
        <f ca="1">IF(GG117&gt;0,TRUE,FALSE)</f>
        <v>0</v>
      </c>
      <c r="GI117">
        <f ca="1">IF(GH117,GG117,0)</f>
        <v>0</v>
      </c>
      <c r="GJ117">
        <f ca="1">GF117+GI117</f>
        <v>14155</v>
      </c>
      <c r="GK117">
        <f ca="1">ROUND(GC117-GJ117,0)</f>
        <v>0</v>
      </c>
      <c r="GL117">
        <f ca="1">GK117*0.04</f>
        <v>0</v>
      </c>
      <c r="GM117">
        <f ca="1">ROUNDUP(GK117+GL117,0)</f>
        <v>0</v>
      </c>
    </row>
    <row r="118" spans="1:195" x14ac:dyDescent="0.25">
      <c r="A118">
        <f>_xlfn.AGGREGATE(3,5,$B$2:B118)</f>
        <v>117</v>
      </c>
      <c r="B118" t="s">
        <v>353</v>
      </c>
      <c r="C118" t="s">
        <v>354</v>
      </c>
      <c r="D118" t="s">
        <v>784</v>
      </c>
      <c r="E118" t="s">
        <v>833</v>
      </c>
      <c r="F118" t="s">
        <v>959</v>
      </c>
      <c r="G118" t="s">
        <v>895</v>
      </c>
      <c r="H118">
        <f>IF(_xlfn.DAYS("31-03-2025",G118)&gt;=180,6800,0)</f>
        <v>6800</v>
      </c>
      <c r="I118">
        <f>_xlfn.XLOOKUP(B118,'[1]march-2025'!$A:$A,'[1]march-2025'!$J:$J,0,0)</f>
        <v>0</v>
      </c>
      <c r="J118">
        <f>_xlfn.XLOOKUP(B118,'[1]march-2025'!$A:$A,'[1]march-2025'!$C:$C,0,0)</f>
        <v>34500</v>
      </c>
      <c r="K118">
        <f>J118*0.14</f>
        <v>4830.0000000000009</v>
      </c>
      <c r="L118">
        <f>J118*0.12</f>
        <v>4140</v>
      </c>
      <c r="M118">
        <f>_xlfn.XLOOKUP(B118,'[1]march-2025'!$A:$A,'[1]march-2025'!$D:$D,0,0)</f>
        <v>0</v>
      </c>
      <c r="N118">
        <f>_xlfn.XLOOKUP(B118,'[1]march-2025'!$A:$A,'[1]march-2025'!$G:$G,0,0)</f>
        <v>0</v>
      </c>
      <c r="O118">
        <f>IF(J118&gt;0,SUM(J118:N118),0)</f>
        <v>43470</v>
      </c>
      <c r="P118">
        <f>_xlfn.XLOOKUP(B118,'[1]march-2025'!$A:$A,'[1]march-2025'!$H:$H,0,0)</f>
        <v>5000</v>
      </c>
      <c r="Q118">
        <f>_xlfn.XLOOKUP(B118,'[1]march-2025'!$A:$A,'[1]march-2025'!$I:$I,0,0)</f>
        <v>0</v>
      </c>
      <c r="R118">
        <f>IF($F118="YES",0,IF(O118&gt;40000,200,IF(O118&gt;25000,150,IF(O118&gt;15000,130,IF(O118&gt;10000,110,0)))))</f>
        <v>200</v>
      </c>
      <c r="S118">
        <f>O118-P118-Q118-R118</f>
        <v>38270</v>
      </c>
      <c r="T118">
        <f>_xlfn.XLOOKUP(B118,'[2]april-2025'!$A:$A,'[2]april-2025'!$C:$C,0,0)</f>
        <v>34500</v>
      </c>
      <c r="U118">
        <f>T118*0.18</f>
        <v>6210</v>
      </c>
      <c r="V118">
        <f>T118*0.12</f>
        <v>4140</v>
      </c>
      <c r="W118">
        <f>_xlfn.XLOOKUP(B118,'[2]april-2025'!$A:$A,'[2]april-2025'!$D:$D,0,0)</f>
        <v>0</v>
      </c>
      <c r="X118">
        <f>_xlfn.XLOOKUP(B118,'[2]april-2025'!$A:$A,'[2]april-2025'!$G:$G,0,0)</f>
        <v>0</v>
      </c>
      <c r="Y118">
        <f>IF(T118&gt;0,SUM(T118:X118),0)</f>
        <v>44850</v>
      </c>
      <c r="Z118">
        <f>_xlfn.XLOOKUP(B118,'[2]april-2025'!$A:$A,'[2]april-2025'!$H:$H,0,0)</f>
        <v>5000</v>
      </c>
      <c r="AA118">
        <f>_xlfn.XLOOKUP(B118,'[2]april-2025'!$A:$A,'[2]april-2025'!$I:$I,0,0)</f>
        <v>0</v>
      </c>
      <c r="AB118">
        <f>IF($F118="YES",0,IF(Y118&gt;40000,200,IF(Y118&gt;25000,150,IF(Y118&gt;15000,130,IF(Y118&gt;10000,110,0)))))</f>
        <v>200</v>
      </c>
      <c r="AC118">
        <f>Y118-Z118-AA118-AB118</f>
        <v>39650</v>
      </c>
      <c r="AD118">
        <f>_xlfn.XLOOKUP(B118,'[3]may-2025'!$A:$A,'[3]may-2025'!$C:$C,0,0)</f>
        <v>34500</v>
      </c>
      <c r="AE118">
        <f>AD118*0.18</f>
        <v>6210</v>
      </c>
      <c r="AF118">
        <f>AD118*0.12</f>
        <v>4140</v>
      </c>
      <c r="AG118">
        <f>_xlfn.XLOOKUP(B118,'[3]may-2025'!$A:$A,'[3]may-2025'!$D:$D,0,0)</f>
        <v>0</v>
      </c>
      <c r="AH118">
        <f>_xlfn.XLOOKUP(B118,'[3]may-2025'!$A:$A,'[3]may-2025'!$G:$G,0,0)</f>
        <v>0</v>
      </c>
      <c r="AI118">
        <f>IF(AD118&gt;0,SUM(AD118:AH118),0)</f>
        <v>44850</v>
      </c>
      <c r="AJ118">
        <f>_xlfn.XLOOKUP(B118,'[3]may-2025'!$A:$A,'[3]may-2025'!$H:$H,0,0)</f>
        <v>5000</v>
      </c>
      <c r="AK118">
        <f>_xlfn.XLOOKUP(B118,'[3]may-2025'!$A:$A,'[3]may-2025'!$I:$I,0,0)</f>
        <v>0</v>
      </c>
      <c r="AL118">
        <f>IF($F118="YES",0,IF(AI118&gt;40000,200,IF(AI118&gt;25000,150,IF(AI118&gt;15000,130,IF(AI118&gt;10000,110,0)))))</f>
        <v>200</v>
      </c>
      <c r="AM118">
        <f>AI118-AJ118-AK118-AL118</f>
        <v>39650</v>
      </c>
      <c r="AN118">
        <f>_xlfn.XLOOKUP(B118,'[4]june-2025'!$A:$A,'[4]june-2025'!$C:$C,0,0)</f>
        <v>34500</v>
      </c>
      <c r="AO118">
        <f>AN118*0.18</f>
        <v>6210</v>
      </c>
      <c r="AP118">
        <f>AN118*0.12</f>
        <v>4140</v>
      </c>
      <c r="AQ118">
        <f>_xlfn.XLOOKUP(B118,'[4]june-2025'!$A:$A,'[4]june-2025'!$D:$D,0,0)</f>
        <v>0</v>
      </c>
      <c r="AR118">
        <f>_xlfn.XLOOKUP(B118,'[4]june-2025'!$A:$A,'[4]june-2025'!$G:$G,0,0)</f>
        <v>0</v>
      </c>
      <c r="AS118">
        <f>IF(AN118&gt;0,SUM(AN118:AR118),0)</f>
        <v>44850</v>
      </c>
      <c r="AT118">
        <f>_xlfn.XLOOKUP(B118,'[4]june-2025'!$A:$A,'[4]june-2025'!$H:$H,0,0)</f>
        <v>5000</v>
      </c>
      <c r="AU118">
        <f>_xlfn.XLOOKUP(B118,'[4]june-2025'!$A:$A,'[4]june-2025'!$I:$I,0,0)</f>
        <v>0</v>
      </c>
      <c r="AV118">
        <f>IF($F118="YES",0,IF(AS118&gt;40000,200,IF(AS118&gt;25000,150,IF(AS118&gt;15000,130,IF(AS118&gt;10000,110,0)))))</f>
        <v>200</v>
      </c>
      <c r="AW118">
        <f>AS118-AT118-AU118-AV118</f>
        <v>39650</v>
      </c>
      <c r="AX118">
        <f>_xlfn.XLOOKUP(B118,'[5]july-2025'!$A:$A,'[5]july-2025'!$C:$C,0,0)</f>
        <v>35500</v>
      </c>
      <c r="AY118">
        <f>AX118*0.18</f>
        <v>6390</v>
      </c>
      <c r="AZ118">
        <v>0</v>
      </c>
      <c r="BA118">
        <f>AX118*0.12</f>
        <v>4260</v>
      </c>
      <c r="BB118">
        <f>_xlfn.XLOOKUP(B118,'[5]july-2025'!$A:$A,'[5]july-2025'!$D:$D,0,0)</f>
        <v>0</v>
      </c>
      <c r="BC118">
        <f>_xlfn.XLOOKUP(B118,'[5]july-2025'!$A:$A,'[5]july-2025'!$G:$G,0,0)</f>
        <v>0</v>
      </c>
      <c r="BD118">
        <f>IF(AX118&gt;0,SUM(AX118:BC118),0)</f>
        <v>46150</v>
      </c>
      <c r="BE118">
        <f>_xlfn.XLOOKUP(B118,'[5]july-2025'!$A:$A,'[5]july-2025'!$H:$H,0,0)</f>
        <v>5000</v>
      </c>
      <c r="BF118">
        <f>_xlfn.XLOOKUP(B118,'[5]july-2025'!$A:$A,'[5]july-2025'!$I:$I,0,0)</f>
        <v>0</v>
      </c>
      <c r="BG118">
        <f>IF($F118="YES",0,IF(BD118&gt;40000,200,IF(BD118&gt;25000,150,IF(BD118&gt;15000,130,IF(BD118&gt;10000,110,0)))))</f>
        <v>200</v>
      </c>
      <c r="BH118">
        <f>BD118-BE118-BF118-BG118</f>
        <v>40950</v>
      </c>
      <c r="BI118">
        <f>_xlfn.XLOOKUP(B118,'[6]august-2025'!$A:$A,'[6]august-2025'!$C:$C,0,0)</f>
        <v>35500</v>
      </c>
      <c r="BJ118">
        <f>BI118*0.18</f>
        <v>6390</v>
      </c>
      <c r="BK118">
        <f>BI118*0.12</f>
        <v>4260</v>
      </c>
      <c r="BL118">
        <f>_xlfn.XLOOKUP(B118,'[6]august-2025'!$A:$A,'[6]august-2025'!$D:$D,0,0)</f>
        <v>0</v>
      </c>
      <c r="BM118">
        <f>_xlfn.XLOOKUP(B118,'[6]august-2025'!$A:$A,'[6]august-2025'!$G:$G,0,0)</f>
        <v>0</v>
      </c>
      <c r="BN118">
        <f>IF(BI118&gt;0,SUM(BI118:BM118),0)</f>
        <v>46150</v>
      </c>
      <c r="BO118">
        <f>_xlfn.XLOOKUP(B118,'[6]august-2025'!$A:$A,'[6]august-2025'!$H:$H,0,0)</f>
        <v>5000</v>
      </c>
      <c r="BP118">
        <f>_xlfn.XLOOKUP(B118,'[6]august-2025'!$A:$A,'[6]august-2025'!$I:$I,0,0)</f>
        <v>0</v>
      </c>
      <c r="BQ118">
        <f>IF($F118="YES",0,IF(BN118&gt;40000,200,IF(BN118&gt;25000,150,IF(BN118&gt;15000,130,IF(BN118&gt;10000,110,0)))))</f>
        <v>200</v>
      </c>
      <c r="BR118">
        <f>BN118-BO118-BP118-BQ118</f>
        <v>40950</v>
      </c>
      <c r="BS118">
        <f>_xlfn.XLOOKUP(B118,'[7]september-2025'!$A:$A,'[7]september-2025'!$C:$C,0,0)</f>
        <v>35500</v>
      </c>
      <c r="BT118">
        <f>BS118*0.18</f>
        <v>6390</v>
      </c>
      <c r="BU118">
        <f>BS118*0.12</f>
        <v>4260</v>
      </c>
      <c r="BV118">
        <f>_xlfn.XLOOKUP(B118,'[7]september-2025'!$A:$A,'[7]september-2025'!$D:$D,0,0)</f>
        <v>0</v>
      </c>
      <c r="BW118">
        <f>_xlfn.XLOOKUP(B118,'[7]september-2025'!$A:$A,'[7]september-2025'!$G:$G,0,0)</f>
        <v>0</v>
      </c>
      <c r="BX118">
        <f>IF(BS118&gt;0,SUM(BS118:BW118),0)</f>
        <v>46150</v>
      </c>
      <c r="BY118">
        <f>_xlfn.XLOOKUP(B118,'[7]september-2025'!$A:$A,'[7]september-2025'!$H:$H,0,0)</f>
        <v>5000</v>
      </c>
      <c r="BZ118">
        <f>_xlfn.XLOOKUP(B118,'[7]september-2025'!$A:$A,'[7]september-2025'!$I:$I,0,0)</f>
        <v>0</v>
      </c>
      <c r="CA118">
        <f>IF($F118="YES",0,IF(BX118&gt;40000,200,IF(BX118&gt;25000,150,IF(BX118&gt;15000,130,IF(BX118&gt;10000,110,0)))))</f>
        <v>200</v>
      </c>
      <c r="CB118">
        <f>BX118-BY118-BZ118-CA118</f>
        <v>40950</v>
      </c>
      <c r="CC118">
        <f>_xlfn.XLOOKUP(B118,'[8]october-2025'!$A:$A,'[8]october-2025'!$C:$C,0,0)</f>
        <v>35500</v>
      </c>
      <c r="CD118">
        <f>CC118*0.18</f>
        <v>6390</v>
      </c>
      <c r="CE118">
        <f>CC118*0.12</f>
        <v>4260</v>
      </c>
      <c r="CF118">
        <f>_xlfn.XLOOKUP(B118,'[8]october-2025'!$A:$A,'[8]october-2025'!$D:$D,0,0)</f>
        <v>0</v>
      </c>
      <c r="CG118">
        <f>_xlfn.XLOOKUP(B118,'[8]october-2025'!$A:$A,'[8]october-2025'!$G:$G,0,0)</f>
        <v>0</v>
      </c>
      <c r="CH118">
        <f>IF(CC118&gt;0,SUM(CC118:CG118),0)</f>
        <v>46150</v>
      </c>
      <c r="CI118">
        <f>_xlfn.XLOOKUP(B118,'[8]october-2025'!$A:$A,'[8]october-2025'!$H:$H,0,0)</f>
        <v>5000</v>
      </c>
      <c r="CJ118">
        <f>_xlfn.XLOOKUP(B118,'[8]october-2025'!$A:$A,'[8]october-2025'!$I:$I,0,0)</f>
        <v>0</v>
      </c>
      <c r="CK118">
        <f>IF($F118="YES",0,IF(CH118&gt;40000,200,IF(CH118&gt;25000,150,IF(CH118&gt;15000,130,IF(CH118&gt;10000,110,0)))))</f>
        <v>200</v>
      </c>
      <c r="CL118">
        <f>CH118-CI118-CJ118-CK118</f>
        <v>40950</v>
      </c>
      <c r="CM118">
        <f>_xlfn.XLOOKUP(B118,'[9]november-2025'!$A:$A,'[9]november-2025'!$C:$C,0,0)</f>
        <v>35500</v>
      </c>
      <c r="CN118">
        <f>CM118*0.18</f>
        <v>6390</v>
      </c>
      <c r="CO118">
        <f>CM118*0.12</f>
        <v>4260</v>
      </c>
      <c r="CP118">
        <f>_xlfn.XLOOKUP(B118,'[9]november-2025'!$A:$A,'[9]november-2025'!$D:$D,0,0)</f>
        <v>0</v>
      </c>
      <c r="CQ118">
        <f>_xlfn.XLOOKUP(B118,'[9]november-2025'!$A:$A,'[9]november-2025'!$G:$G,0,0)</f>
        <v>0</v>
      </c>
      <c r="CR118">
        <f>IF(CM118&gt;0,SUM(CM118:CQ118),0)</f>
        <v>46150</v>
      </c>
      <c r="CS118">
        <f>_xlfn.XLOOKUP(B118,'[9]november-2025'!$A:$A,'[9]november-2025'!$H:$H,0,0)</f>
        <v>5000</v>
      </c>
      <c r="CT118">
        <f>_xlfn.XLOOKUP(B118,'[9]november-2025'!$A:$A,'[9]november-2025'!$I:$I,0,0)</f>
        <v>0</v>
      </c>
      <c r="CU118">
        <f>IF($F118="YES",0,IF(CR118&gt;40000,200,IF(CR118&gt;25000,150,IF(CR118&gt;15000,130,IF(CR118&gt;10000,110,0)))))</f>
        <v>200</v>
      </c>
      <c r="CV118">
        <f>CR118-CS118-CT118-CU118</f>
        <v>40950</v>
      </c>
      <c r="CW118">
        <f>_xlfn.XLOOKUP(B118,'[10]december-2025'!$A:$A,'[10]december-2025'!$C:$C,0,0)</f>
        <v>35500</v>
      </c>
      <c r="CX118">
        <f>ROUND(CW118*0.18,0)</f>
        <v>6390</v>
      </c>
      <c r="CY118">
        <f>ROUND(CW118*0.12,0)</f>
        <v>4260</v>
      </c>
      <c r="CZ118">
        <f>_xlfn.XLOOKUP(B118,'[10]december-2025'!$A:$A,'[10]december-2025'!$D:$D,0,0)</f>
        <v>0</v>
      </c>
      <c r="DA118">
        <f>_xlfn.XLOOKUP(B118,'[10]december-2025'!$A:$A,'[10]december-2025'!$G:$G,0,0)</f>
        <v>0</v>
      </c>
      <c r="DB118">
        <f>IF(CW118&gt;0,SUM(CW118:DA118),0)</f>
        <v>46150</v>
      </c>
      <c r="DC118">
        <f>_xlfn.XLOOKUP(B118,'[10]december-2025'!$A:$A,'[10]december-2025'!$H:$H,0,0)</f>
        <v>5000</v>
      </c>
      <c r="DD118">
        <f>_xlfn.XLOOKUP(B118,'[10]december-2025'!$A:$A,'[10]december-2025'!$I:$I,0,0)</f>
        <v>0</v>
      </c>
      <c r="DE118">
        <f>IF($F118="YES",0,IF(DB118&gt;40000,200,IF(DB118&gt;25000,150,IF(DB118&gt;15000,130,IF(DB118&gt;10000,110,0)))))</f>
        <v>200</v>
      </c>
      <c r="DF118">
        <f>DB118-DC118-DD118-DE118</f>
        <v>40950</v>
      </c>
      <c r="DG118">
        <f>_xlfn.XLOOKUP(B118,'[11]january-2026'!$A:$A,'[11]january-2026'!$C:$C,0,0)</f>
        <v>35500</v>
      </c>
      <c r="DH118">
        <f>DG118*0.18</f>
        <v>6390</v>
      </c>
      <c r="DI118">
        <f>DG118*0.12</f>
        <v>4260</v>
      </c>
      <c r="DJ118">
        <f>_xlfn.XLOOKUP(B118,'[11]january-2026'!$A:$A,'[11]january-2026'!$D:$D,0,0)</f>
        <v>0</v>
      </c>
      <c r="DK118">
        <f>_xlfn.XLOOKUP(B118,'[11]january-2026'!$A:$A,'[11]january-2026'!$G:$G,0,0)</f>
        <v>0</v>
      </c>
      <c r="DL118">
        <f>IF(DG118&gt;0,SUM(DG118:DK118),0)</f>
        <v>46150</v>
      </c>
      <c r="DM118">
        <f>_xlfn.XLOOKUP(B118,'[11]january-2026'!$A:$A,'[11]january-2026'!$H:$H,0,0)</f>
        <v>5000</v>
      </c>
      <c r="DN118">
        <f>_xlfn.XLOOKUP(B118,'[11]january-2026'!$A:$A,'[11]january-2026'!$I:$I,0,0)</f>
        <v>0</v>
      </c>
      <c r="DO118">
        <f>IF($F118="YES",0,IF(DL118&gt;40000,200,IF(DL118&gt;25000,150,IF(DL118&gt;15000,130,IF(DL118&gt;10000,110,0)))))</f>
        <v>200</v>
      </c>
      <c r="DP118">
        <f>DL118-DM118-DN118-DO118</f>
        <v>40950</v>
      </c>
      <c r="DQ118">
        <f>_xlfn.XLOOKUP(B118,'[12]february-2026'!$A:$A,'[12]february-2026'!$C:$C,0,0)</f>
        <v>35500</v>
      </c>
      <c r="DR118">
        <f>DQ118*0.18</f>
        <v>6390</v>
      </c>
      <c r="DS118">
        <f>DQ118*0.12</f>
        <v>4260</v>
      </c>
      <c r="DT118">
        <f>_xlfn.XLOOKUP(B118,'[12]february-2026'!$A:$A,'[12]february-2026'!$D:$D,0,0)</f>
        <v>0</v>
      </c>
      <c r="DU118">
        <f>_xlfn.XLOOKUP(B118,'[12]february-2026'!$A:$A,'[12]february-2026'!$G:$G,0,0)</f>
        <v>0</v>
      </c>
      <c r="DV118">
        <f>IF(DQ118&gt;0,SUM(DQ118:DU118),0)</f>
        <v>46150</v>
      </c>
      <c r="DW118">
        <f>_xlfn.XLOOKUP(B118,'[12]february-2026'!$A:$A,'[12]february-2026'!$H:$H,0,0)</f>
        <v>5000</v>
      </c>
      <c r="DX118">
        <f>_xlfn.XLOOKUP(B118,'[12]february-2026'!$A:$A,'[12]february-2026'!$I:$I,0,0)</f>
        <v>0</v>
      </c>
      <c r="DY118">
        <f>IF($F118="YES",0,IF(DV118&gt;40000,200,IF(DV118&gt;25000,150,IF(DV118&gt;15000,130,IF(DV118&gt;10000,110,0)))))</f>
        <v>200</v>
      </c>
      <c r="DZ118">
        <f>DV118-DW118-DX118-DY118</f>
        <v>40950</v>
      </c>
      <c r="EA118">
        <f>DV118+DL118+DB118+CR118+CH118+BX118+BN118+BD118+AS118+AI118+Y118+O118+H118+I118</f>
        <v>554020</v>
      </c>
      <c r="EB118">
        <f>DY118+DO118+DE118+CU118+CK118+CA118+BQ118+BG118+AV118+AL118+AB118+R118</f>
        <v>2400</v>
      </c>
      <c r="EC118">
        <f>IF(EA118&gt;0,50000,0)</f>
        <v>50000</v>
      </c>
      <c r="ED118">
        <v>0</v>
      </c>
      <c r="EE118">
        <f>EA118-EB118-EC118</f>
        <v>501620</v>
      </c>
      <c r="EF118">
        <f>DW118+DM118+DC118+CS118+CI118+BY118+BO118+BE118+AT118+AJ118+Z118+P118</f>
        <v>60000</v>
      </c>
      <c r="EG118">
        <f>DX118+DN118+DD118+CT118+CJ118+BZ118+BP118+BF118+AU118+AK118+AA118+Q118</f>
        <v>0</v>
      </c>
      <c r="EH118">
        <v>0</v>
      </c>
      <c r="EI118">
        <v>0</v>
      </c>
      <c r="EJ118">
        <v>0</v>
      </c>
      <c r="EK118">
        <v>0</v>
      </c>
      <c r="EL118">
        <v>0</v>
      </c>
      <c r="EM118">
        <v>0</v>
      </c>
      <c r="EN118">
        <v>0</v>
      </c>
      <c r="EO118">
        <v>0</v>
      </c>
      <c r="EP118">
        <v>0</v>
      </c>
      <c r="EQ118">
        <v>0</v>
      </c>
      <c r="ER118">
        <f>SUM(EF118:EQ118)</f>
        <v>60000</v>
      </c>
      <c r="ES118">
        <f>IF(ER118&gt;=150000,150000,ER118)</f>
        <v>60000</v>
      </c>
      <c r="ET118">
        <f>EE118-ES118</f>
        <v>441620</v>
      </c>
      <c r="EU118">
        <v>0</v>
      </c>
      <c r="EV118">
        <v>0</v>
      </c>
      <c r="EW118">
        <v>0</v>
      </c>
      <c r="EX118">
        <v>0</v>
      </c>
      <c r="EY118">
        <v>0</v>
      </c>
      <c r="EZ118">
        <v>0</v>
      </c>
      <c r="FA118">
        <v>0</v>
      </c>
      <c r="FB118">
        <f>SUM(EU118:FA118)+(IF(F118="YES",50000,0))</f>
        <v>0</v>
      </c>
      <c r="FC118">
        <f>ET118-FB118</f>
        <v>441620</v>
      </c>
      <c r="FD118">
        <f>ROUND(IF(FC118&gt;0,IF(FC118&gt;500000,12500,(FC118-250000)*0.05),0),0)</f>
        <v>9581</v>
      </c>
      <c r="FE118">
        <f>IF(ROUND(IF(FC118&gt;0,IF(FC118&gt;1000000,25000,(FC118-500000)*0.2),0),0)&lt;0,0,ROUND(IF(FC118&gt;0,IF(FC118&gt;1000000,25000,(FC118-500000)*0.2),0),0))</f>
        <v>0</v>
      </c>
      <c r="FF118">
        <f>FD118+FE118</f>
        <v>9581</v>
      </c>
      <c r="FG118">
        <f>IF(FF118&lt;12500,0,FF118)</f>
        <v>0</v>
      </c>
      <c r="FH118">
        <f>FG118*0.04</f>
        <v>0</v>
      </c>
      <c r="FI118">
        <f>ROUND(FH118+FG118,0)</f>
        <v>0</v>
      </c>
      <c r="FJ118">
        <v>0</v>
      </c>
      <c r="FK118">
        <f>FI118-FJ118</f>
        <v>0</v>
      </c>
      <c r="FL118" t="b">
        <f>IF(EA118&gt;500000,TRUE,FALSE)</f>
        <v>1</v>
      </c>
      <c r="FM118">
        <f ca="1">IF(FL118,RANDBETWEEN(500,1000),RANDBETWEEN(1000,3000))</f>
        <v>508</v>
      </c>
      <c r="FN118">
        <f ca="1">EA118+FM118</f>
        <v>554528</v>
      </c>
      <c r="FO118">
        <f>IF(EA118&gt;0,75000,0)</f>
        <v>75000</v>
      </c>
      <c r="FP118">
        <f ca="1">FN118-FO118</f>
        <v>479528</v>
      </c>
      <c r="FQ118">
        <f ca="1">IF(FP118&gt;2400000,FP118-2400000,0)</f>
        <v>0</v>
      </c>
      <c r="FR118">
        <f ca="1">FQ118*0.3</f>
        <v>0</v>
      </c>
      <c r="FS118">
        <f ca="1">IF(FP118&gt;2000000,FP118-2000000,0)</f>
        <v>0</v>
      </c>
      <c r="FT118">
        <f ca="1">FS118*0.25</f>
        <v>0</v>
      </c>
      <c r="FU118">
        <f ca="1">IF(FP118&gt;1600000,FP118-1600000-FQ118,0)</f>
        <v>0</v>
      </c>
      <c r="FV118">
        <f ca="1">FU118*0.2</f>
        <v>0</v>
      </c>
      <c r="FW118">
        <f ca="1">IF(FP118&gt;1200000,FP118-1200000-IF(F118="YES",50000,0)-FU118,0)</f>
        <v>0</v>
      </c>
      <c r="FX118">
        <f ca="1">FW118*0.15</f>
        <v>0</v>
      </c>
      <c r="FY118">
        <f ca="1">IF(FP118&gt;800000,FP118-800000-FQ118-FU118-FW118,0)</f>
        <v>0</v>
      </c>
      <c r="FZ118">
        <f ca="1">FY118*0.1</f>
        <v>0</v>
      </c>
      <c r="GA118">
        <f ca="1">IF(FP118&gt;400000,FP118-400000-FQ118-FU118-FW118-FY118,0)</f>
        <v>79528</v>
      </c>
      <c r="GB118">
        <f ca="1">GA118*0.05</f>
        <v>3976.4</v>
      </c>
      <c r="GC118">
        <f ca="1">ROUND(FR118+FT118+FV118+FX118+FZ118+GB118,0)</f>
        <v>3976</v>
      </c>
      <c r="GD118">
        <f ca="1">IF(FP118&gt;1200000,FP118,0)</f>
        <v>0</v>
      </c>
      <c r="GE118">
        <f ca="1">IF(FP118&gt;1200000,GD118-1200000,0)</f>
        <v>0</v>
      </c>
      <c r="GF118">
        <f ca="1">IF(FP118&lt;1200001,MIN(GC118,60000),0)</f>
        <v>3976</v>
      </c>
      <c r="GG118">
        <f ca="1">IF(FP118&gt;1200000,GC118-GE118,0)</f>
        <v>0</v>
      </c>
      <c r="GH118" t="b">
        <f ca="1">IF(GG118&gt;0,TRUE,FALSE)</f>
        <v>0</v>
      </c>
      <c r="GI118">
        <f ca="1">IF(GH118,GG118,0)</f>
        <v>0</v>
      </c>
      <c r="GJ118">
        <f ca="1">GF118+GI118</f>
        <v>3976</v>
      </c>
      <c r="GK118">
        <f ca="1">ROUND(GC118-GJ118,0)</f>
        <v>0</v>
      </c>
      <c r="GL118">
        <f ca="1">GK118*0.04</f>
        <v>0</v>
      </c>
      <c r="GM118">
        <f ca="1">ROUNDUP(GK118+GL118,0)</f>
        <v>0</v>
      </c>
    </row>
    <row r="119" spans="1:195" x14ac:dyDescent="0.25">
      <c r="A119">
        <f>_xlfn.AGGREGATE(3,5,$B$2:B119)</f>
        <v>118</v>
      </c>
      <c r="B119" t="s">
        <v>355</v>
      </c>
      <c r="C119" t="s">
        <v>356</v>
      </c>
      <c r="D119" t="s">
        <v>784</v>
      </c>
      <c r="E119" t="s">
        <v>833</v>
      </c>
      <c r="F119" t="s">
        <v>959</v>
      </c>
      <c r="G119" t="s">
        <v>923</v>
      </c>
      <c r="H119">
        <f>IF(_xlfn.DAYS("31-03-2025",G119)&gt;=180,6800,0)</f>
        <v>6800</v>
      </c>
      <c r="I119">
        <f>_xlfn.XLOOKUP(B119,'[1]march-2025'!$A:$A,'[1]march-2025'!$J:$J,0,0)</f>
        <v>0</v>
      </c>
      <c r="J119">
        <f>_xlfn.XLOOKUP(B119,'[1]march-2025'!$A:$A,'[1]march-2025'!$C:$C,0,0)</f>
        <v>34500</v>
      </c>
      <c r="K119">
        <f>J119*0.14</f>
        <v>4830.0000000000009</v>
      </c>
      <c r="L119">
        <f>J119*0.12</f>
        <v>4140</v>
      </c>
      <c r="M119">
        <f>_xlfn.XLOOKUP(B119,'[1]march-2025'!$A:$A,'[1]march-2025'!$D:$D,0,0)</f>
        <v>0</v>
      </c>
      <c r="N119">
        <f>_xlfn.XLOOKUP(B119,'[1]march-2025'!$A:$A,'[1]march-2025'!$G:$G,0,0)</f>
        <v>500</v>
      </c>
      <c r="O119">
        <f>IF(J119&gt;0,SUM(J119:N119),0)</f>
        <v>43970</v>
      </c>
      <c r="P119">
        <f>_xlfn.XLOOKUP(B119,'[1]march-2025'!$A:$A,'[1]march-2025'!$H:$H,0,0)</f>
        <v>5000</v>
      </c>
      <c r="Q119">
        <f>_xlfn.XLOOKUP(B119,'[1]march-2025'!$A:$A,'[1]march-2025'!$I:$I,0,0)</f>
        <v>0</v>
      </c>
      <c r="R119">
        <f>IF($F119="YES",0,IF(O119&gt;40000,200,IF(O119&gt;25000,150,IF(O119&gt;15000,130,IF(O119&gt;10000,110,0)))))</f>
        <v>200</v>
      </c>
      <c r="S119">
        <f>O119-P119-Q119-R119</f>
        <v>38770</v>
      </c>
      <c r="T119">
        <f>_xlfn.XLOOKUP(B119,'[2]april-2025'!$A:$A,'[2]april-2025'!$C:$C,0,0)</f>
        <v>34500</v>
      </c>
      <c r="U119">
        <f>T119*0.18</f>
        <v>6210</v>
      </c>
      <c r="V119">
        <f>T119*0.12</f>
        <v>4140</v>
      </c>
      <c r="W119">
        <f>_xlfn.XLOOKUP(B119,'[2]april-2025'!$A:$A,'[2]april-2025'!$D:$D,0,0)</f>
        <v>0</v>
      </c>
      <c r="X119">
        <f>_xlfn.XLOOKUP(B119,'[2]april-2025'!$A:$A,'[2]april-2025'!$G:$G,0,0)</f>
        <v>500</v>
      </c>
      <c r="Y119">
        <f>IF(T119&gt;0,SUM(T119:X119),0)</f>
        <v>45350</v>
      </c>
      <c r="Z119">
        <f>_xlfn.XLOOKUP(B119,'[2]april-2025'!$A:$A,'[2]april-2025'!$H:$H,0,0)</f>
        <v>5000</v>
      </c>
      <c r="AA119">
        <f>_xlfn.XLOOKUP(B119,'[2]april-2025'!$A:$A,'[2]april-2025'!$I:$I,0,0)</f>
        <v>0</v>
      </c>
      <c r="AB119">
        <f>IF($F119="YES",0,IF(Y119&gt;40000,200,IF(Y119&gt;25000,150,IF(Y119&gt;15000,130,IF(Y119&gt;10000,110,0)))))</f>
        <v>200</v>
      </c>
      <c r="AC119">
        <f>Y119-Z119-AA119-AB119</f>
        <v>40150</v>
      </c>
      <c r="AD119">
        <f>_xlfn.XLOOKUP(B119,'[3]may-2025'!$A:$A,'[3]may-2025'!$C:$C,0,0)</f>
        <v>34500</v>
      </c>
      <c r="AE119">
        <f>AD119*0.18</f>
        <v>6210</v>
      </c>
      <c r="AF119">
        <f>AD119*0.12</f>
        <v>4140</v>
      </c>
      <c r="AG119">
        <f>_xlfn.XLOOKUP(B119,'[3]may-2025'!$A:$A,'[3]may-2025'!$D:$D,0,0)</f>
        <v>0</v>
      </c>
      <c r="AH119">
        <f>_xlfn.XLOOKUP(B119,'[3]may-2025'!$A:$A,'[3]may-2025'!$G:$G,0,0)</f>
        <v>500</v>
      </c>
      <c r="AI119">
        <f>IF(AD119&gt;0,SUM(AD119:AH119),0)</f>
        <v>45350</v>
      </c>
      <c r="AJ119">
        <f>_xlfn.XLOOKUP(B119,'[3]may-2025'!$A:$A,'[3]may-2025'!$H:$H,0,0)</f>
        <v>5000</v>
      </c>
      <c r="AK119">
        <f>_xlfn.XLOOKUP(B119,'[3]may-2025'!$A:$A,'[3]may-2025'!$I:$I,0,0)</f>
        <v>0</v>
      </c>
      <c r="AL119">
        <f>IF($F119="YES",0,IF(AI119&gt;40000,200,IF(AI119&gt;25000,150,IF(AI119&gt;15000,130,IF(AI119&gt;10000,110,0)))))</f>
        <v>200</v>
      </c>
      <c r="AM119">
        <f>AI119-AJ119-AK119-AL119</f>
        <v>40150</v>
      </c>
      <c r="AN119">
        <f>_xlfn.XLOOKUP(B119,'[4]june-2025'!$A:$A,'[4]june-2025'!$C:$C,0,0)</f>
        <v>34500</v>
      </c>
      <c r="AO119">
        <f>AN119*0.18</f>
        <v>6210</v>
      </c>
      <c r="AP119">
        <f>AN119*0.12</f>
        <v>4140</v>
      </c>
      <c r="AQ119">
        <f>_xlfn.XLOOKUP(B119,'[4]june-2025'!$A:$A,'[4]june-2025'!$D:$D,0,0)</f>
        <v>0</v>
      </c>
      <c r="AR119">
        <f>_xlfn.XLOOKUP(B119,'[4]june-2025'!$A:$A,'[4]june-2025'!$G:$G,0,0)</f>
        <v>500</v>
      </c>
      <c r="AS119">
        <f>IF(AN119&gt;0,SUM(AN119:AR119),0)</f>
        <v>45350</v>
      </c>
      <c r="AT119">
        <f>_xlfn.XLOOKUP(B119,'[4]june-2025'!$A:$A,'[4]june-2025'!$H:$H,0,0)</f>
        <v>5000</v>
      </c>
      <c r="AU119">
        <f>_xlfn.XLOOKUP(B119,'[4]june-2025'!$A:$A,'[4]june-2025'!$I:$I,0,0)</f>
        <v>0</v>
      </c>
      <c r="AV119">
        <f>IF($F119="YES",0,IF(AS119&gt;40000,200,IF(AS119&gt;25000,150,IF(AS119&gt;15000,130,IF(AS119&gt;10000,110,0)))))</f>
        <v>200</v>
      </c>
      <c r="AW119">
        <f>AS119-AT119-AU119-AV119</f>
        <v>40150</v>
      </c>
      <c r="AX119">
        <f>_xlfn.XLOOKUP(B119,'[5]july-2025'!$A:$A,'[5]july-2025'!$C:$C,0,0)</f>
        <v>35500</v>
      </c>
      <c r="AY119">
        <f>AX119*0.18</f>
        <v>6390</v>
      </c>
      <c r="AZ119">
        <v>0</v>
      </c>
      <c r="BA119">
        <f>AX119*0.12</f>
        <v>4260</v>
      </c>
      <c r="BB119">
        <f>_xlfn.XLOOKUP(B119,'[5]july-2025'!$A:$A,'[5]july-2025'!$D:$D,0,0)</f>
        <v>0</v>
      </c>
      <c r="BC119">
        <f>_xlfn.XLOOKUP(B119,'[5]july-2025'!$A:$A,'[5]july-2025'!$G:$G,0,0)</f>
        <v>500</v>
      </c>
      <c r="BD119">
        <f>IF(AX119&gt;0,SUM(AX119:BC119),0)</f>
        <v>46650</v>
      </c>
      <c r="BE119">
        <f>_xlfn.XLOOKUP(B119,'[5]july-2025'!$A:$A,'[5]july-2025'!$H:$H,0,0)</f>
        <v>5000</v>
      </c>
      <c r="BF119">
        <f>_xlfn.XLOOKUP(B119,'[5]july-2025'!$A:$A,'[5]july-2025'!$I:$I,0,0)</f>
        <v>0</v>
      </c>
      <c r="BG119">
        <f>IF($F119="YES",0,IF(BD119&gt;40000,200,IF(BD119&gt;25000,150,IF(BD119&gt;15000,130,IF(BD119&gt;10000,110,0)))))</f>
        <v>200</v>
      </c>
      <c r="BH119">
        <f>BD119-BE119-BF119-BG119</f>
        <v>41450</v>
      </c>
      <c r="BI119">
        <f>_xlfn.XLOOKUP(B119,'[6]august-2025'!$A:$A,'[6]august-2025'!$C:$C,0,0)</f>
        <v>35500</v>
      </c>
      <c r="BJ119">
        <f>BI119*0.18</f>
        <v>6390</v>
      </c>
      <c r="BK119">
        <f>BI119*0.12</f>
        <v>4260</v>
      </c>
      <c r="BL119">
        <f>_xlfn.XLOOKUP(B119,'[6]august-2025'!$A:$A,'[6]august-2025'!$D:$D,0,0)</f>
        <v>0</v>
      </c>
      <c r="BM119">
        <f>_xlfn.XLOOKUP(B119,'[6]august-2025'!$A:$A,'[6]august-2025'!$G:$G,0,0)</f>
        <v>500</v>
      </c>
      <c r="BN119">
        <f>IF(BI119&gt;0,SUM(BI119:BM119),0)</f>
        <v>46650</v>
      </c>
      <c r="BO119">
        <f>_xlfn.XLOOKUP(B119,'[6]august-2025'!$A:$A,'[6]august-2025'!$H:$H,0,0)</f>
        <v>5000</v>
      </c>
      <c r="BP119">
        <f>_xlfn.XLOOKUP(B119,'[6]august-2025'!$A:$A,'[6]august-2025'!$I:$I,0,0)</f>
        <v>0</v>
      </c>
      <c r="BQ119">
        <f>IF($F119="YES",0,IF(BN119&gt;40000,200,IF(BN119&gt;25000,150,IF(BN119&gt;15000,130,IF(BN119&gt;10000,110,0)))))</f>
        <v>200</v>
      </c>
      <c r="BR119">
        <f>BN119-BO119-BP119-BQ119</f>
        <v>41450</v>
      </c>
      <c r="BS119">
        <f>_xlfn.XLOOKUP(B119,'[7]september-2025'!$A:$A,'[7]september-2025'!$C:$C,0,0)</f>
        <v>35500</v>
      </c>
      <c r="BT119">
        <f>BS119*0.18</f>
        <v>6390</v>
      </c>
      <c r="BU119">
        <f>BS119*0.12</f>
        <v>4260</v>
      </c>
      <c r="BV119">
        <f>_xlfn.XLOOKUP(B119,'[7]september-2025'!$A:$A,'[7]september-2025'!$D:$D,0,0)</f>
        <v>0</v>
      </c>
      <c r="BW119">
        <f>_xlfn.XLOOKUP(B119,'[7]september-2025'!$A:$A,'[7]september-2025'!$G:$G,0,0)</f>
        <v>500</v>
      </c>
      <c r="BX119">
        <f>IF(BS119&gt;0,SUM(BS119:BW119),0)</f>
        <v>46650</v>
      </c>
      <c r="BY119">
        <f>_xlfn.XLOOKUP(B119,'[7]september-2025'!$A:$A,'[7]september-2025'!$H:$H,0,0)</f>
        <v>5000</v>
      </c>
      <c r="BZ119">
        <f>_xlfn.XLOOKUP(B119,'[7]september-2025'!$A:$A,'[7]september-2025'!$I:$I,0,0)</f>
        <v>0</v>
      </c>
      <c r="CA119">
        <f>IF($F119="YES",0,IF(BX119&gt;40000,200,IF(BX119&gt;25000,150,IF(BX119&gt;15000,130,IF(BX119&gt;10000,110,0)))))</f>
        <v>200</v>
      </c>
      <c r="CB119">
        <f>BX119-BY119-BZ119-CA119</f>
        <v>41450</v>
      </c>
      <c r="CC119">
        <f>_xlfn.XLOOKUP(B119,'[8]october-2025'!$A:$A,'[8]october-2025'!$C:$C,0,0)</f>
        <v>35500</v>
      </c>
      <c r="CD119">
        <f>CC119*0.18</f>
        <v>6390</v>
      </c>
      <c r="CE119">
        <f>CC119*0.12</f>
        <v>4260</v>
      </c>
      <c r="CF119">
        <f>_xlfn.XLOOKUP(B119,'[8]october-2025'!$A:$A,'[8]october-2025'!$D:$D,0,0)</f>
        <v>0</v>
      </c>
      <c r="CG119">
        <f>_xlfn.XLOOKUP(B119,'[8]october-2025'!$A:$A,'[8]october-2025'!$G:$G,0,0)</f>
        <v>500</v>
      </c>
      <c r="CH119">
        <f>IF(CC119&gt;0,SUM(CC119:CG119),0)</f>
        <v>46650</v>
      </c>
      <c r="CI119">
        <f>_xlfn.XLOOKUP(B119,'[8]october-2025'!$A:$A,'[8]october-2025'!$H:$H,0,0)</f>
        <v>5000</v>
      </c>
      <c r="CJ119">
        <f>_xlfn.XLOOKUP(B119,'[8]october-2025'!$A:$A,'[8]october-2025'!$I:$I,0,0)</f>
        <v>0</v>
      </c>
      <c r="CK119">
        <f>IF($F119="YES",0,IF(CH119&gt;40000,200,IF(CH119&gt;25000,150,IF(CH119&gt;15000,130,IF(CH119&gt;10000,110,0)))))</f>
        <v>200</v>
      </c>
      <c r="CL119">
        <f>CH119-CI119-CJ119-CK119</f>
        <v>41450</v>
      </c>
      <c r="CM119">
        <f>_xlfn.XLOOKUP(B119,'[9]november-2025'!$A:$A,'[9]november-2025'!$C:$C,0,0)</f>
        <v>35500</v>
      </c>
      <c r="CN119">
        <f>CM119*0.18</f>
        <v>6390</v>
      </c>
      <c r="CO119">
        <f>CM119*0.12</f>
        <v>4260</v>
      </c>
      <c r="CP119">
        <f>_xlfn.XLOOKUP(B119,'[9]november-2025'!$A:$A,'[9]november-2025'!$D:$D,0,0)</f>
        <v>0</v>
      </c>
      <c r="CQ119">
        <f>_xlfn.XLOOKUP(B119,'[9]november-2025'!$A:$A,'[9]november-2025'!$G:$G,0,0)</f>
        <v>500</v>
      </c>
      <c r="CR119">
        <f>IF(CM119&gt;0,SUM(CM119:CQ119),0)</f>
        <v>46650</v>
      </c>
      <c r="CS119">
        <f>_xlfn.XLOOKUP(B119,'[9]november-2025'!$A:$A,'[9]november-2025'!$H:$H,0,0)</f>
        <v>5000</v>
      </c>
      <c r="CT119">
        <f>_xlfn.XLOOKUP(B119,'[9]november-2025'!$A:$A,'[9]november-2025'!$I:$I,0,0)</f>
        <v>0</v>
      </c>
      <c r="CU119">
        <f>IF($F119="YES",0,IF(CR119&gt;40000,200,IF(CR119&gt;25000,150,IF(CR119&gt;15000,130,IF(CR119&gt;10000,110,0)))))</f>
        <v>200</v>
      </c>
      <c r="CV119">
        <f>CR119-CS119-CT119-CU119</f>
        <v>41450</v>
      </c>
      <c r="CW119">
        <f>_xlfn.XLOOKUP(B119,'[10]december-2025'!$A:$A,'[10]december-2025'!$C:$C,0,0)</f>
        <v>35500</v>
      </c>
      <c r="CX119">
        <f>ROUND(CW119*0.18,0)</f>
        <v>6390</v>
      </c>
      <c r="CY119">
        <f>ROUND(CW119*0.12,0)</f>
        <v>4260</v>
      </c>
      <c r="CZ119">
        <f>_xlfn.XLOOKUP(B119,'[10]december-2025'!$A:$A,'[10]december-2025'!$D:$D,0,0)</f>
        <v>0</v>
      </c>
      <c r="DA119">
        <f>_xlfn.XLOOKUP(B119,'[10]december-2025'!$A:$A,'[10]december-2025'!$G:$G,0,0)</f>
        <v>500</v>
      </c>
      <c r="DB119">
        <f>IF(CW119&gt;0,SUM(CW119:DA119),0)</f>
        <v>46650</v>
      </c>
      <c r="DC119">
        <f>_xlfn.XLOOKUP(B119,'[10]december-2025'!$A:$A,'[10]december-2025'!$H:$H,0,0)</f>
        <v>5000</v>
      </c>
      <c r="DD119">
        <f>_xlfn.XLOOKUP(B119,'[10]december-2025'!$A:$A,'[10]december-2025'!$I:$I,0,0)</f>
        <v>0</v>
      </c>
      <c r="DE119">
        <f>IF($F119="YES",0,IF(DB119&gt;40000,200,IF(DB119&gt;25000,150,IF(DB119&gt;15000,130,IF(DB119&gt;10000,110,0)))))</f>
        <v>200</v>
      </c>
      <c r="DF119">
        <f>DB119-DC119-DD119-DE119</f>
        <v>41450</v>
      </c>
      <c r="DG119">
        <f>_xlfn.XLOOKUP(B119,'[11]january-2026'!$A:$A,'[11]january-2026'!$C:$C,0,0)</f>
        <v>35500</v>
      </c>
      <c r="DH119">
        <f>DG119*0.18</f>
        <v>6390</v>
      </c>
      <c r="DI119">
        <f>DG119*0.12</f>
        <v>4260</v>
      </c>
      <c r="DJ119">
        <f>_xlfn.XLOOKUP(B119,'[11]january-2026'!$A:$A,'[11]january-2026'!$D:$D,0,0)</f>
        <v>0</v>
      </c>
      <c r="DK119">
        <f>_xlfn.XLOOKUP(B119,'[11]january-2026'!$A:$A,'[11]january-2026'!$G:$G,0,0)</f>
        <v>500</v>
      </c>
      <c r="DL119">
        <f>IF(DG119&gt;0,SUM(DG119:DK119),0)</f>
        <v>46650</v>
      </c>
      <c r="DM119">
        <f>_xlfn.XLOOKUP(B119,'[11]january-2026'!$A:$A,'[11]january-2026'!$H:$H,0,0)</f>
        <v>5000</v>
      </c>
      <c r="DN119">
        <f>_xlfn.XLOOKUP(B119,'[11]january-2026'!$A:$A,'[11]january-2026'!$I:$I,0,0)</f>
        <v>0</v>
      </c>
      <c r="DO119">
        <f>IF($F119="YES",0,IF(DL119&gt;40000,200,IF(DL119&gt;25000,150,IF(DL119&gt;15000,130,IF(DL119&gt;10000,110,0)))))</f>
        <v>200</v>
      </c>
      <c r="DP119">
        <f>DL119-DM119-DN119-DO119</f>
        <v>41450</v>
      </c>
      <c r="DQ119">
        <f>_xlfn.XLOOKUP(B119,'[12]february-2026'!$A:$A,'[12]february-2026'!$C:$C,0,0)</f>
        <v>35500</v>
      </c>
      <c r="DR119">
        <f>DQ119*0.18</f>
        <v>6390</v>
      </c>
      <c r="DS119">
        <f>DQ119*0.12</f>
        <v>4260</v>
      </c>
      <c r="DT119">
        <f>_xlfn.XLOOKUP(B119,'[12]february-2026'!$A:$A,'[12]february-2026'!$D:$D,0,0)</f>
        <v>0</v>
      </c>
      <c r="DU119">
        <f>_xlfn.XLOOKUP(B119,'[12]february-2026'!$A:$A,'[12]february-2026'!$G:$G,0,0)</f>
        <v>500</v>
      </c>
      <c r="DV119">
        <f>IF(DQ119&gt;0,SUM(DQ119:DU119),0)</f>
        <v>46650</v>
      </c>
      <c r="DW119">
        <f>_xlfn.XLOOKUP(B119,'[12]february-2026'!$A:$A,'[12]february-2026'!$H:$H,0,0)</f>
        <v>5000</v>
      </c>
      <c r="DX119">
        <f>_xlfn.XLOOKUP(B119,'[12]february-2026'!$A:$A,'[12]february-2026'!$I:$I,0,0)</f>
        <v>0</v>
      </c>
      <c r="DY119">
        <f>IF($F119="YES",0,IF(DV119&gt;40000,200,IF(DV119&gt;25000,150,IF(DV119&gt;15000,130,IF(DV119&gt;10000,110,0)))))</f>
        <v>200</v>
      </c>
      <c r="DZ119">
        <f>DV119-DW119-DX119-DY119</f>
        <v>41450</v>
      </c>
      <c r="EA119">
        <f>DV119+DL119+DB119+CR119+CH119+BX119+BN119+BD119+AS119+AI119+Y119+O119+H119+I119</f>
        <v>560020</v>
      </c>
      <c r="EB119">
        <f>DY119+DO119+DE119+CU119+CK119+CA119+BQ119+BG119+AV119+AL119+AB119+R119</f>
        <v>2400</v>
      </c>
      <c r="EC119">
        <f>IF(EA119&gt;0,50000,0)</f>
        <v>50000</v>
      </c>
      <c r="ED119">
        <v>0</v>
      </c>
      <c r="EE119">
        <f>EA119-EB119-EC119</f>
        <v>507620</v>
      </c>
      <c r="EF119">
        <f>DW119+DM119+DC119+CS119+CI119+BY119+BO119+BE119+AT119+AJ119+Z119+P119</f>
        <v>60000</v>
      </c>
      <c r="EG119">
        <f>DX119+DN119+DD119+CT119+CJ119+BZ119+BP119+BF119+AU119+AK119+AA119+Q119</f>
        <v>0</v>
      </c>
      <c r="EH119">
        <v>0</v>
      </c>
      <c r="EI119">
        <v>0</v>
      </c>
      <c r="EJ119">
        <v>0</v>
      </c>
      <c r="EK119">
        <v>0</v>
      </c>
      <c r="EL119">
        <v>0</v>
      </c>
      <c r="EM119">
        <v>0</v>
      </c>
      <c r="EN119">
        <v>0</v>
      </c>
      <c r="EO119">
        <v>0</v>
      </c>
      <c r="EP119">
        <v>0</v>
      </c>
      <c r="EQ119">
        <v>0</v>
      </c>
      <c r="ER119">
        <f>SUM(EF119:EQ119)</f>
        <v>60000</v>
      </c>
      <c r="ES119">
        <f>IF(ER119&gt;=150000,150000,ER119)</f>
        <v>60000</v>
      </c>
      <c r="ET119">
        <f>EE119-ES119</f>
        <v>447620</v>
      </c>
      <c r="EU119">
        <v>0</v>
      </c>
      <c r="EV119">
        <v>0</v>
      </c>
      <c r="EW119">
        <v>0</v>
      </c>
      <c r="EX119">
        <v>0</v>
      </c>
      <c r="EY119">
        <v>0</v>
      </c>
      <c r="EZ119">
        <v>0</v>
      </c>
      <c r="FA119">
        <v>0</v>
      </c>
      <c r="FB119">
        <f>SUM(EU119:FA119)+(IF(F119="YES",50000,0))</f>
        <v>0</v>
      </c>
      <c r="FC119">
        <f>ET119-FB119</f>
        <v>447620</v>
      </c>
      <c r="FD119">
        <f>ROUND(IF(FC119&gt;0,IF(FC119&gt;500000,12500,(FC119-250000)*0.05),0),0)</f>
        <v>9881</v>
      </c>
      <c r="FE119">
        <f>IF(ROUND(IF(FC119&gt;0,IF(FC119&gt;1000000,25000,(FC119-500000)*0.2),0),0)&lt;0,0,ROUND(IF(FC119&gt;0,IF(FC119&gt;1000000,25000,(FC119-500000)*0.2),0),0))</f>
        <v>0</v>
      </c>
      <c r="FF119">
        <f>FD119+FE119</f>
        <v>9881</v>
      </c>
      <c r="FG119">
        <f>IF(FF119&lt;12500,0,FF119)</f>
        <v>0</v>
      </c>
      <c r="FH119">
        <f>FG119*0.04</f>
        <v>0</v>
      </c>
      <c r="FI119">
        <f>ROUND(FH119+FG119,0)</f>
        <v>0</v>
      </c>
      <c r="FJ119">
        <v>0</v>
      </c>
      <c r="FK119">
        <f>FI119-FJ119</f>
        <v>0</v>
      </c>
      <c r="FL119" t="b">
        <f>IF(EA119&gt;500000,TRUE,FALSE)</f>
        <v>1</v>
      </c>
      <c r="FM119">
        <f ca="1">IF(FL119,RANDBETWEEN(500,1000),RANDBETWEEN(1000,3000))</f>
        <v>784</v>
      </c>
      <c r="FN119">
        <f ca="1">EA119+FM119</f>
        <v>560804</v>
      </c>
      <c r="FO119">
        <f>IF(EA119&gt;0,75000,0)</f>
        <v>75000</v>
      </c>
      <c r="FP119">
        <f ca="1">FN119-FO119</f>
        <v>485804</v>
      </c>
      <c r="FQ119">
        <f ca="1">IF(FP119&gt;2400000,FP119-2400000,0)</f>
        <v>0</v>
      </c>
      <c r="FR119">
        <f ca="1">FQ119*0.3</f>
        <v>0</v>
      </c>
      <c r="FS119">
        <f ca="1">IF(FP119&gt;2000000,FP119-2000000,0)</f>
        <v>0</v>
      </c>
      <c r="FT119">
        <f ca="1">FS119*0.25</f>
        <v>0</v>
      </c>
      <c r="FU119">
        <f ca="1">IF(FP119&gt;1600000,FP119-1600000-FQ119,0)</f>
        <v>0</v>
      </c>
      <c r="FV119">
        <f ca="1">FU119*0.2</f>
        <v>0</v>
      </c>
      <c r="FW119">
        <f ca="1">IF(FP119&gt;1200000,FP119-1200000-IF(F119="YES",50000,0)-FU119,0)</f>
        <v>0</v>
      </c>
      <c r="FX119">
        <f ca="1">FW119*0.15</f>
        <v>0</v>
      </c>
      <c r="FY119">
        <f ca="1">IF(FP119&gt;800000,FP119-800000-FQ119-FU119-FW119,0)</f>
        <v>0</v>
      </c>
      <c r="FZ119">
        <f ca="1">FY119*0.1</f>
        <v>0</v>
      </c>
      <c r="GA119">
        <f ca="1">IF(FP119&gt;400000,FP119-400000-FQ119-FU119-FW119-FY119,0)</f>
        <v>85804</v>
      </c>
      <c r="GB119">
        <f ca="1">GA119*0.05</f>
        <v>4290.2</v>
      </c>
      <c r="GC119">
        <f ca="1">ROUND(FR119+FT119+FV119+FX119+FZ119+GB119,0)</f>
        <v>4290</v>
      </c>
      <c r="GD119">
        <f ca="1">IF(FP119&gt;1200000,FP119,0)</f>
        <v>0</v>
      </c>
      <c r="GE119">
        <f ca="1">IF(FP119&gt;1200000,GD119-1200000,0)</f>
        <v>0</v>
      </c>
      <c r="GF119">
        <f ca="1">IF(FP119&lt;1200001,MIN(GC119,60000),0)</f>
        <v>4290</v>
      </c>
      <c r="GG119">
        <f ca="1">IF(FP119&gt;1200000,GC119-GE119,0)</f>
        <v>0</v>
      </c>
      <c r="GH119" t="b">
        <f ca="1">IF(GG119&gt;0,TRUE,FALSE)</f>
        <v>0</v>
      </c>
      <c r="GI119">
        <f ca="1">IF(GH119,GG119,0)</f>
        <v>0</v>
      </c>
      <c r="GJ119">
        <f ca="1">GF119+GI119</f>
        <v>4290</v>
      </c>
      <c r="GK119">
        <f ca="1">ROUND(GC119-GJ119,0)</f>
        <v>0</v>
      </c>
      <c r="GL119">
        <f ca="1">GK119*0.04</f>
        <v>0</v>
      </c>
      <c r="GM119">
        <f ca="1">ROUNDUP(GK119+GL119,0)</f>
        <v>0</v>
      </c>
    </row>
    <row r="120" spans="1:195" x14ac:dyDescent="0.25">
      <c r="A120">
        <f>_xlfn.AGGREGATE(3,5,$B$2:B120)</f>
        <v>119</v>
      </c>
      <c r="B120" t="s">
        <v>357</v>
      </c>
      <c r="C120" t="s">
        <v>358</v>
      </c>
      <c r="D120" t="s">
        <v>784</v>
      </c>
      <c r="E120" t="s">
        <v>833</v>
      </c>
      <c r="F120" t="s">
        <v>959</v>
      </c>
      <c r="G120" t="s">
        <v>881</v>
      </c>
      <c r="H120">
        <f>IF(_xlfn.DAYS("31-03-2025",G120)&gt;=180,6800,0)</f>
        <v>6800</v>
      </c>
      <c r="I120">
        <f>_xlfn.XLOOKUP(B120,'[1]march-2025'!$A:$A,'[1]march-2025'!$J:$J,0,0)</f>
        <v>0</v>
      </c>
      <c r="J120">
        <f>_xlfn.XLOOKUP(B120,'[1]march-2025'!$A:$A,'[1]march-2025'!$C:$C,0,0)</f>
        <v>27000</v>
      </c>
      <c r="K120">
        <f>J120*0.14</f>
        <v>3780.0000000000005</v>
      </c>
      <c r="L120">
        <f>J120*0.12</f>
        <v>3240</v>
      </c>
      <c r="M120">
        <f>_xlfn.XLOOKUP(B120,'[1]march-2025'!$A:$A,'[1]march-2025'!$D:$D,0,0)</f>
        <v>0</v>
      </c>
      <c r="N120">
        <f>_xlfn.XLOOKUP(B120,'[1]march-2025'!$A:$A,'[1]march-2025'!$G:$G,0,0)</f>
        <v>0</v>
      </c>
      <c r="O120">
        <f>IF(J120&gt;0,SUM(J120:N120),0)</f>
        <v>34020</v>
      </c>
      <c r="P120">
        <f>_xlfn.XLOOKUP(B120,'[1]march-2025'!$A:$A,'[1]march-2025'!$H:$H,0,0)</f>
        <v>2000</v>
      </c>
      <c r="Q120">
        <f>_xlfn.XLOOKUP(B120,'[1]march-2025'!$A:$A,'[1]march-2025'!$I:$I,0,0)</f>
        <v>0</v>
      </c>
      <c r="R120">
        <f>IF($F120="YES",0,IF(O120&gt;40000,200,IF(O120&gt;25000,150,IF(O120&gt;15000,130,IF(O120&gt;10000,110,0)))))</f>
        <v>150</v>
      </c>
      <c r="S120">
        <f>O120-P120-Q120-R120</f>
        <v>31870</v>
      </c>
      <c r="T120">
        <f>_xlfn.XLOOKUP(B120,'[2]april-2025'!$A:$A,'[2]april-2025'!$C:$C,0,0)</f>
        <v>27000</v>
      </c>
      <c r="U120">
        <f>T120*0.18</f>
        <v>4860</v>
      </c>
      <c r="V120">
        <f>T120*0.12</f>
        <v>3240</v>
      </c>
      <c r="W120">
        <f>_xlfn.XLOOKUP(B120,'[2]april-2025'!$A:$A,'[2]april-2025'!$D:$D,0,0)</f>
        <v>0</v>
      </c>
      <c r="X120">
        <f>_xlfn.XLOOKUP(B120,'[2]april-2025'!$A:$A,'[2]april-2025'!$G:$G,0,0)</f>
        <v>0</v>
      </c>
      <c r="Y120">
        <f>IF(T120&gt;0,SUM(T120:X120),0)</f>
        <v>35100</v>
      </c>
      <c r="Z120">
        <f>_xlfn.XLOOKUP(B120,'[2]april-2025'!$A:$A,'[2]april-2025'!$H:$H,0,0)</f>
        <v>2000</v>
      </c>
      <c r="AA120">
        <f>_xlfn.XLOOKUP(B120,'[2]april-2025'!$A:$A,'[2]april-2025'!$I:$I,0,0)</f>
        <v>0</v>
      </c>
      <c r="AB120">
        <f>IF($F120="YES",0,IF(Y120&gt;40000,200,IF(Y120&gt;25000,150,IF(Y120&gt;15000,130,IF(Y120&gt;10000,110,0)))))</f>
        <v>150</v>
      </c>
      <c r="AC120">
        <f>Y120-Z120-AA120-AB120</f>
        <v>32950</v>
      </c>
      <c r="AD120">
        <f>_xlfn.XLOOKUP(B120,'[3]may-2025'!$A:$A,'[3]may-2025'!$C:$C,0,0)</f>
        <v>31600</v>
      </c>
      <c r="AE120">
        <f>AD120*0.18</f>
        <v>5688</v>
      </c>
      <c r="AF120">
        <f>AD120*0.12</f>
        <v>3792</v>
      </c>
      <c r="AG120">
        <f>_xlfn.XLOOKUP(B120,'[3]may-2025'!$A:$A,'[3]may-2025'!$D:$D,0,0)</f>
        <v>0</v>
      </c>
      <c r="AH120">
        <f>_xlfn.XLOOKUP(B120,'[3]may-2025'!$A:$A,'[3]may-2025'!$G:$G,0,0)</f>
        <v>0</v>
      </c>
      <c r="AI120">
        <f>IF(AD120&gt;0,SUM(AD120:AH120),0)</f>
        <v>41080</v>
      </c>
      <c r="AJ120">
        <f>_xlfn.XLOOKUP(B120,'[3]may-2025'!$A:$A,'[3]may-2025'!$H:$H,0,0)</f>
        <v>2000</v>
      </c>
      <c r="AK120">
        <f>_xlfn.XLOOKUP(B120,'[3]may-2025'!$A:$A,'[3]may-2025'!$I:$I,0,0)</f>
        <v>0</v>
      </c>
      <c r="AL120">
        <f>IF($F120="YES",0,IF(AI120&gt;40000,200,IF(AI120&gt;25000,150,IF(AI120&gt;15000,130,IF(AI120&gt;10000,110,0)))))</f>
        <v>200</v>
      </c>
      <c r="AM120">
        <f>AI120-AJ120-AK120-AL120</f>
        <v>38880</v>
      </c>
      <c r="AN120">
        <f>_xlfn.XLOOKUP(B120,'[4]june-2025'!$A:$A,'[4]june-2025'!$C:$C,0,0)</f>
        <v>31600</v>
      </c>
      <c r="AO120">
        <f>AN120*0.18</f>
        <v>5688</v>
      </c>
      <c r="AP120">
        <f>AN120*0.12</f>
        <v>3792</v>
      </c>
      <c r="AQ120">
        <f>_xlfn.XLOOKUP(B120,'[4]june-2025'!$A:$A,'[4]june-2025'!$D:$D,0,0)</f>
        <v>0</v>
      </c>
      <c r="AR120">
        <f>_xlfn.XLOOKUP(B120,'[4]june-2025'!$A:$A,'[4]june-2025'!$G:$G,0,0)</f>
        <v>0</v>
      </c>
      <c r="AS120">
        <f>IF(AN120&gt;0,SUM(AN120:AR120),0)</f>
        <v>41080</v>
      </c>
      <c r="AT120">
        <f>_xlfn.XLOOKUP(B120,'[4]june-2025'!$A:$A,'[4]june-2025'!$H:$H,0,0)</f>
        <v>2000</v>
      </c>
      <c r="AU120">
        <f>_xlfn.XLOOKUP(B120,'[4]june-2025'!$A:$A,'[4]june-2025'!$I:$I,0,0)</f>
        <v>0</v>
      </c>
      <c r="AV120">
        <f>IF($F120="YES",0,IF(AS120&gt;40000,200,IF(AS120&gt;25000,150,IF(AS120&gt;15000,130,IF(AS120&gt;10000,110,0)))))</f>
        <v>200</v>
      </c>
      <c r="AW120">
        <f>AS120-AT120-AU120-AV120</f>
        <v>38880</v>
      </c>
      <c r="AX120">
        <f>_xlfn.XLOOKUP(B120,'[5]july-2025'!$A:$A,'[5]july-2025'!$C:$C,0,0)</f>
        <v>32500</v>
      </c>
      <c r="AY120">
        <f>AX120*0.18</f>
        <v>5850</v>
      </c>
      <c r="AZ120">
        <v>0</v>
      </c>
      <c r="BA120">
        <f>AX120*0.12</f>
        <v>3900</v>
      </c>
      <c r="BB120">
        <f>_xlfn.XLOOKUP(B120,'[5]july-2025'!$A:$A,'[5]july-2025'!$D:$D,0,0)</f>
        <v>0</v>
      </c>
      <c r="BC120">
        <f>_xlfn.XLOOKUP(B120,'[5]july-2025'!$A:$A,'[5]july-2025'!$G:$G,0,0)</f>
        <v>0</v>
      </c>
      <c r="BD120">
        <f>IF(AX120&gt;0,SUM(AX120:BC120),0)</f>
        <v>42250</v>
      </c>
      <c r="BE120">
        <f>_xlfn.XLOOKUP(B120,'[5]july-2025'!$A:$A,'[5]july-2025'!$H:$H,0,0)</f>
        <v>2000</v>
      </c>
      <c r="BF120">
        <f>_xlfn.XLOOKUP(B120,'[5]july-2025'!$A:$A,'[5]july-2025'!$I:$I,0,0)</f>
        <v>0</v>
      </c>
      <c r="BG120">
        <f>IF($F120="YES",0,IF(BD120&gt;40000,200,IF(BD120&gt;25000,150,IF(BD120&gt;15000,130,IF(BD120&gt;10000,110,0)))))</f>
        <v>200</v>
      </c>
      <c r="BH120">
        <f>BD120-BE120-BF120-BG120</f>
        <v>40050</v>
      </c>
      <c r="BI120">
        <f>_xlfn.XLOOKUP(B120,'[6]august-2025'!$A:$A,'[6]august-2025'!$C:$C,0,0)</f>
        <v>32500</v>
      </c>
      <c r="BJ120">
        <f>BI120*0.18</f>
        <v>5850</v>
      </c>
      <c r="BK120">
        <f>BI120*0.12</f>
        <v>3900</v>
      </c>
      <c r="BL120">
        <f>_xlfn.XLOOKUP(B120,'[6]august-2025'!$A:$A,'[6]august-2025'!$D:$D,0,0)</f>
        <v>0</v>
      </c>
      <c r="BM120">
        <f>_xlfn.XLOOKUP(B120,'[6]august-2025'!$A:$A,'[6]august-2025'!$G:$G,0,0)</f>
        <v>0</v>
      </c>
      <c r="BN120">
        <f>IF(BI120&gt;0,SUM(BI120:BM120),0)</f>
        <v>42250</v>
      </c>
      <c r="BO120">
        <f>_xlfn.XLOOKUP(B120,'[6]august-2025'!$A:$A,'[6]august-2025'!$H:$H,0,0)</f>
        <v>2000</v>
      </c>
      <c r="BP120">
        <f>_xlfn.XLOOKUP(B120,'[6]august-2025'!$A:$A,'[6]august-2025'!$I:$I,0,0)</f>
        <v>0</v>
      </c>
      <c r="BQ120">
        <f>IF($F120="YES",0,IF(BN120&gt;40000,200,IF(BN120&gt;25000,150,IF(BN120&gt;15000,130,IF(BN120&gt;10000,110,0)))))</f>
        <v>200</v>
      </c>
      <c r="BR120">
        <f>BN120-BO120-BP120-BQ120</f>
        <v>40050</v>
      </c>
      <c r="BS120">
        <f>_xlfn.XLOOKUP(B120,'[7]september-2025'!$A:$A,'[7]september-2025'!$C:$C,0,0)</f>
        <v>32500</v>
      </c>
      <c r="BT120">
        <f>BS120*0.18</f>
        <v>5850</v>
      </c>
      <c r="BU120">
        <f>BS120*0.12</f>
        <v>3900</v>
      </c>
      <c r="BV120">
        <f>_xlfn.XLOOKUP(B120,'[7]september-2025'!$A:$A,'[7]september-2025'!$D:$D,0,0)</f>
        <v>0</v>
      </c>
      <c r="BW120">
        <f>_xlfn.XLOOKUP(B120,'[7]september-2025'!$A:$A,'[7]september-2025'!$G:$G,0,0)</f>
        <v>0</v>
      </c>
      <c r="BX120">
        <f>IF(BS120&gt;0,SUM(BS120:BW120),0)</f>
        <v>42250</v>
      </c>
      <c r="BY120">
        <f>_xlfn.XLOOKUP(B120,'[7]september-2025'!$A:$A,'[7]september-2025'!$H:$H,0,0)</f>
        <v>2000</v>
      </c>
      <c r="BZ120">
        <f>_xlfn.XLOOKUP(B120,'[7]september-2025'!$A:$A,'[7]september-2025'!$I:$I,0,0)</f>
        <v>0</v>
      </c>
      <c r="CA120">
        <f>IF($F120="YES",0,IF(BX120&gt;40000,200,IF(BX120&gt;25000,150,IF(BX120&gt;15000,130,IF(BX120&gt;10000,110,0)))))</f>
        <v>200</v>
      </c>
      <c r="CB120">
        <f>BX120-BY120-BZ120-CA120</f>
        <v>40050</v>
      </c>
      <c r="CC120">
        <f>_xlfn.XLOOKUP(B120,'[8]october-2025'!$A:$A,'[8]october-2025'!$C:$C,0,0)</f>
        <v>32500</v>
      </c>
      <c r="CD120">
        <f>CC120*0.18</f>
        <v>5850</v>
      </c>
      <c r="CE120">
        <f>CC120*0.12</f>
        <v>3900</v>
      </c>
      <c r="CF120">
        <f>_xlfn.XLOOKUP(B120,'[8]october-2025'!$A:$A,'[8]october-2025'!$D:$D,0,0)</f>
        <v>0</v>
      </c>
      <c r="CG120">
        <f>_xlfn.XLOOKUP(B120,'[8]october-2025'!$A:$A,'[8]october-2025'!$G:$G,0,0)</f>
        <v>0</v>
      </c>
      <c r="CH120">
        <f>IF(CC120&gt;0,SUM(CC120:CG120),0)</f>
        <v>42250</v>
      </c>
      <c r="CI120">
        <f>_xlfn.XLOOKUP(B120,'[8]october-2025'!$A:$A,'[8]october-2025'!$H:$H,0,0)</f>
        <v>2000</v>
      </c>
      <c r="CJ120">
        <f>_xlfn.XLOOKUP(B120,'[8]october-2025'!$A:$A,'[8]october-2025'!$I:$I,0,0)</f>
        <v>0</v>
      </c>
      <c r="CK120">
        <f>IF($F120="YES",0,IF(CH120&gt;40000,200,IF(CH120&gt;25000,150,IF(CH120&gt;15000,130,IF(CH120&gt;10000,110,0)))))</f>
        <v>200</v>
      </c>
      <c r="CL120">
        <f>CH120-CI120-CJ120-CK120</f>
        <v>40050</v>
      </c>
      <c r="CM120">
        <f>_xlfn.XLOOKUP(B120,'[9]november-2025'!$A:$A,'[9]november-2025'!$C:$C,0,0)</f>
        <v>32500</v>
      </c>
      <c r="CN120">
        <f>CM120*0.18</f>
        <v>5850</v>
      </c>
      <c r="CO120">
        <f>CM120*0.12</f>
        <v>3900</v>
      </c>
      <c r="CP120">
        <f>_xlfn.XLOOKUP(B120,'[9]november-2025'!$A:$A,'[9]november-2025'!$D:$D,0,0)</f>
        <v>0</v>
      </c>
      <c r="CQ120">
        <f>_xlfn.XLOOKUP(B120,'[9]november-2025'!$A:$A,'[9]november-2025'!$G:$G,0,0)</f>
        <v>0</v>
      </c>
      <c r="CR120">
        <f>IF(CM120&gt;0,SUM(CM120:CQ120),0)</f>
        <v>42250</v>
      </c>
      <c r="CS120">
        <f>_xlfn.XLOOKUP(B120,'[9]november-2025'!$A:$A,'[9]november-2025'!$H:$H,0,0)</f>
        <v>2000</v>
      </c>
      <c r="CT120">
        <f>_xlfn.XLOOKUP(B120,'[9]november-2025'!$A:$A,'[9]november-2025'!$I:$I,0,0)</f>
        <v>0</v>
      </c>
      <c r="CU120">
        <f>IF($F120="YES",0,IF(CR120&gt;40000,200,IF(CR120&gt;25000,150,IF(CR120&gt;15000,130,IF(CR120&gt;10000,110,0)))))</f>
        <v>200</v>
      </c>
      <c r="CV120">
        <f>CR120-CS120-CT120-CU120</f>
        <v>40050</v>
      </c>
      <c r="CW120">
        <f>_xlfn.XLOOKUP(B120,'[10]december-2025'!$A:$A,'[10]december-2025'!$C:$C,0,0)</f>
        <v>32500</v>
      </c>
      <c r="CX120">
        <f>ROUND(CW120*0.18,0)</f>
        <v>5850</v>
      </c>
      <c r="CY120">
        <f>ROUND(CW120*0.12,0)</f>
        <v>3900</v>
      </c>
      <c r="CZ120">
        <f>_xlfn.XLOOKUP(B120,'[10]december-2025'!$A:$A,'[10]december-2025'!$D:$D,0,0)</f>
        <v>0</v>
      </c>
      <c r="DA120">
        <f>_xlfn.XLOOKUP(B120,'[10]december-2025'!$A:$A,'[10]december-2025'!$G:$G,0,0)</f>
        <v>0</v>
      </c>
      <c r="DB120">
        <f>IF(CW120&gt;0,SUM(CW120:DA120),0)</f>
        <v>42250</v>
      </c>
      <c r="DC120">
        <f>_xlfn.XLOOKUP(B120,'[10]december-2025'!$A:$A,'[10]december-2025'!$H:$H,0,0)</f>
        <v>2000</v>
      </c>
      <c r="DD120">
        <f>_xlfn.XLOOKUP(B120,'[10]december-2025'!$A:$A,'[10]december-2025'!$I:$I,0,0)</f>
        <v>0</v>
      </c>
      <c r="DE120">
        <f>IF($F120="YES",0,IF(DB120&gt;40000,200,IF(DB120&gt;25000,150,IF(DB120&gt;15000,130,IF(DB120&gt;10000,110,0)))))</f>
        <v>200</v>
      </c>
      <c r="DF120">
        <f>DB120-DC120-DD120-DE120</f>
        <v>40050</v>
      </c>
      <c r="DG120">
        <f>_xlfn.XLOOKUP(B120,'[11]january-2026'!$A:$A,'[11]january-2026'!$C:$C,0,0)</f>
        <v>32500</v>
      </c>
      <c r="DH120">
        <f>DG120*0.18</f>
        <v>5850</v>
      </c>
      <c r="DI120">
        <f>DG120*0.12</f>
        <v>3900</v>
      </c>
      <c r="DJ120">
        <f>_xlfn.XLOOKUP(B120,'[11]january-2026'!$A:$A,'[11]january-2026'!$D:$D,0,0)</f>
        <v>0</v>
      </c>
      <c r="DK120">
        <f>_xlfn.XLOOKUP(B120,'[11]january-2026'!$A:$A,'[11]january-2026'!$G:$G,0,0)</f>
        <v>0</v>
      </c>
      <c r="DL120">
        <f>IF(DG120&gt;0,SUM(DG120:DK120),0)</f>
        <v>42250</v>
      </c>
      <c r="DM120">
        <f>_xlfn.XLOOKUP(B120,'[11]january-2026'!$A:$A,'[11]january-2026'!$H:$H,0,0)</f>
        <v>2000</v>
      </c>
      <c r="DN120">
        <f>_xlfn.XLOOKUP(B120,'[11]january-2026'!$A:$A,'[11]january-2026'!$I:$I,0,0)</f>
        <v>0</v>
      </c>
      <c r="DO120">
        <f>IF($F120="YES",0,IF(DL120&gt;40000,200,IF(DL120&gt;25000,150,IF(DL120&gt;15000,130,IF(DL120&gt;10000,110,0)))))</f>
        <v>200</v>
      </c>
      <c r="DP120">
        <f>DL120-DM120-DN120-DO120</f>
        <v>40050</v>
      </c>
      <c r="DQ120">
        <f>_xlfn.XLOOKUP(B120,'[12]february-2026'!$A:$A,'[12]february-2026'!$C:$C,0,0)</f>
        <v>32500</v>
      </c>
      <c r="DR120">
        <f>DQ120*0.18</f>
        <v>5850</v>
      </c>
      <c r="DS120">
        <f>DQ120*0.12</f>
        <v>3900</v>
      </c>
      <c r="DT120">
        <f>_xlfn.XLOOKUP(B120,'[12]february-2026'!$A:$A,'[12]february-2026'!$D:$D,0,0)</f>
        <v>0</v>
      </c>
      <c r="DU120">
        <f>_xlfn.XLOOKUP(B120,'[12]february-2026'!$A:$A,'[12]february-2026'!$G:$G,0,0)</f>
        <v>0</v>
      </c>
      <c r="DV120">
        <f>IF(DQ120&gt;0,SUM(DQ120:DU120),0)</f>
        <v>42250</v>
      </c>
      <c r="DW120">
        <f>_xlfn.XLOOKUP(B120,'[12]february-2026'!$A:$A,'[12]february-2026'!$H:$H,0,0)</f>
        <v>2000</v>
      </c>
      <c r="DX120">
        <f>_xlfn.XLOOKUP(B120,'[12]february-2026'!$A:$A,'[12]february-2026'!$I:$I,0,0)</f>
        <v>0</v>
      </c>
      <c r="DY120">
        <f>IF($F120="YES",0,IF(DV120&gt;40000,200,IF(DV120&gt;25000,150,IF(DV120&gt;15000,130,IF(DV120&gt;10000,110,0)))))</f>
        <v>200</v>
      </c>
      <c r="DZ120">
        <f>DV120-DW120-DX120-DY120</f>
        <v>40050</v>
      </c>
      <c r="EA120">
        <f>DV120+DL120+DB120+CR120+CH120+BX120+BN120+BD120+AS120+AI120+Y120+O120+H120+I120</f>
        <v>496080</v>
      </c>
      <c r="EB120">
        <f>DY120+DO120+DE120+CU120+CK120+CA120+BQ120+BG120+AV120+AL120+AB120+R120</f>
        <v>2300</v>
      </c>
      <c r="EC120">
        <f>IF(EA120&gt;0,50000,0)</f>
        <v>50000</v>
      </c>
      <c r="ED120">
        <v>0</v>
      </c>
      <c r="EE120">
        <f>EA120-EB120-EC120</f>
        <v>443780</v>
      </c>
      <c r="EF120">
        <f>DW120+DM120+DC120+CS120+CI120+BY120+BO120+BE120+AT120+AJ120+Z120+P120</f>
        <v>24000</v>
      </c>
      <c r="EG120">
        <f>DX120+DN120+DD120+CT120+CJ120+BZ120+BP120+BF120+AU120+AK120+AA120+Q120</f>
        <v>0</v>
      </c>
      <c r="EH120">
        <v>0</v>
      </c>
      <c r="EI120">
        <v>0</v>
      </c>
      <c r="EJ120">
        <v>0</v>
      </c>
      <c r="EK120">
        <v>0</v>
      </c>
      <c r="EL120">
        <v>0</v>
      </c>
      <c r="EM120">
        <v>0</v>
      </c>
      <c r="EN120">
        <v>0</v>
      </c>
      <c r="EO120">
        <v>0</v>
      </c>
      <c r="EP120">
        <v>0</v>
      </c>
      <c r="EQ120">
        <v>0</v>
      </c>
      <c r="ER120">
        <f>SUM(EF120:EQ120)</f>
        <v>24000</v>
      </c>
      <c r="ES120">
        <f>IF(ER120&gt;=150000,150000,ER120)</f>
        <v>24000</v>
      </c>
      <c r="ET120">
        <f>EE120-ES120</f>
        <v>419780</v>
      </c>
      <c r="EU120">
        <v>0</v>
      </c>
      <c r="EV120">
        <v>0</v>
      </c>
      <c r="EW120">
        <v>0</v>
      </c>
      <c r="EX120">
        <v>0</v>
      </c>
      <c r="EY120">
        <v>0</v>
      </c>
      <c r="EZ120">
        <v>0</v>
      </c>
      <c r="FA120">
        <v>0</v>
      </c>
      <c r="FB120">
        <f>SUM(EU120:FA120)+(IF(F120="YES",50000,0))</f>
        <v>0</v>
      </c>
      <c r="FC120">
        <f>ET120-FB120</f>
        <v>419780</v>
      </c>
      <c r="FD120">
        <f>ROUND(IF(FC120&gt;0,IF(FC120&gt;500000,12500,(FC120-250000)*0.05),0),0)</f>
        <v>8489</v>
      </c>
      <c r="FE120">
        <f>IF(ROUND(IF(FC120&gt;0,IF(FC120&gt;1000000,25000,(FC120-500000)*0.2),0),0)&lt;0,0,ROUND(IF(FC120&gt;0,IF(FC120&gt;1000000,25000,(FC120-500000)*0.2),0),0))</f>
        <v>0</v>
      </c>
      <c r="FF120">
        <f>FD120+FE120</f>
        <v>8489</v>
      </c>
      <c r="FG120">
        <f>IF(FF120&lt;12500,0,FF120)</f>
        <v>0</v>
      </c>
      <c r="FH120">
        <f>FG120*0.04</f>
        <v>0</v>
      </c>
      <c r="FI120">
        <f>ROUND(FH120+FG120,0)</f>
        <v>0</v>
      </c>
      <c r="FJ120">
        <v>0</v>
      </c>
      <c r="FK120">
        <f>FI120-FJ120</f>
        <v>0</v>
      </c>
      <c r="FL120" t="b">
        <f>IF(EA120&gt;500000,TRUE,FALSE)</f>
        <v>0</v>
      </c>
      <c r="FM120">
        <f ca="1">IF(FL120,RANDBETWEEN(500,1000),RANDBETWEEN(1000,3000))</f>
        <v>1872</v>
      </c>
      <c r="FN120">
        <f ca="1">EA120+FM120</f>
        <v>497952</v>
      </c>
      <c r="FO120">
        <f>IF(EA120&gt;0,75000,0)</f>
        <v>75000</v>
      </c>
      <c r="FP120">
        <f ca="1">FN120-FO120</f>
        <v>422952</v>
      </c>
      <c r="FQ120">
        <f ca="1">IF(FP120&gt;2400000,FP120-2400000,0)</f>
        <v>0</v>
      </c>
      <c r="FR120">
        <f ca="1">FQ120*0.3</f>
        <v>0</v>
      </c>
      <c r="FS120">
        <f ca="1">IF(FP120&gt;2000000,FP120-2000000,0)</f>
        <v>0</v>
      </c>
      <c r="FT120">
        <f ca="1">FS120*0.25</f>
        <v>0</v>
      </c>
      <c r="FU120">
        <f ca="1">IF(FP120&gt;1600000,FP120-1600000-FQ120,0)</f>
        <v>0</v>
      </c>
      <c r="FV120">
        <f ca="1">FU120*0.2</f>
        <v>0</v>
      </c>
      <c r="FW120">
        <f ca="1">IF(FP120&gt;1200000,FP120-1200000-IF(F120="YES",50000,0)-FU120,0)</f>
        <v>0</v>
      </c>
      <c r="FX120">
        <f ca="1">FW120*0.15</f>
        <v>0</v>
      </c>
      <c r="FY120">
        <f ca="1">IF(FP120&gt;800000,FP120-800000-FQ120-FU120-FW120,0)</f>
        <v>0</v>
      </c>
      <c r="FZ120">
        <f ca="1">FY120*0.1</f>
        <v>0</v>
      </c>
      <c r="GA120">
        <f ca="1">IF(FP120&gt;400000,FP120-400000-FQ120-FU120-FW120-FY120,0)</f>
        <v>22952</v>
      </c>
      <c r="GB120">
        <f ca="1">GA120*0.05</f>
        <v>1147.6000000000001</v>
      </c>
      <c r="GC120">
        <f ca="1">ROUND(FR120+FT120+FV120+FX120+FZ120+GB120,0)</f>
        <v>1148</v>
      </c>
      <c r="GD120">
        <f ca="1">IF(FP120&gt;1200000,FP120,0)</f>
        <v>0</v>
      </c>
      <c r="GE120">
        <f ca="1">IF(FP120&gt;1200000,GD120-1200000,0)</f>
        <v>0</v>
      </c>
      <c r="GF120">
        <f ca="1">IF(FP120&lt;1200001,MIN(GC120,60000),0)</f>
        <v>1148</v>
      </c>
      <c r="GG120">
        <f ca="1">IF(FP120&gt;1200000,GC120-GE120,0)</f>
        <v>0</v>
      </c>
      <c r="GH120" t="b">
        <f ca="1">IF(GG120&gt;0,TRUE,FALSE)</f>
        <v>0</v>
      </c>
      <c r="GI120">
        <f ca="1">IF(GH120,GG120,0)</f>
        <v>0</v>
      </c>
      <c r="GJ120">
        <f ca="1">GF120+GI120</f>
        <v>1148</v>
      </c>
      <c r="GK120">
        <f ca="1">ROUND(GC120-GJ120,0)</f>
        <v>0</v>
      </c>
      <c r="GL120">
        <f ca="1">GK120*0.04</f>
        <v>0</v>
      </c>
      <c r="GM120">
        <f ca="1">ROUNDUP(GK120+GL120,0)</f>
        <v>0</v>
      </c>
    </row>
    <row r="121" spans="1:195" x14ac:dyDescent="0.25">
      <c r="A121">
        <f>_xlfn.AGGREGATE(3,5,$B$2:B121)</f>
        <v>120</v>
      </c>
      <c r="B121" t="s">
        <v>359</v>
      </c>
      <c r="C121" t="s">
        <v>360</v>
      </c>
      <c r="D121" t="s">
        <v>784</v>
      </c>
      <c r="E121" t="s">
        <v>833</v>
      </c>
      <c r="F121" t="s">
        <v>959</v>
      </c>
      <c r="G121" t="s">
        <v>881</v>
      </c>
      <c r="H121">
        <f>IF(_xlfn.DAYS("31-03-2025",G121)&gt;=180,6800,0)</f>
        <v>6800</v>
      </c>
      <c r="I121">
        <f>_xlfn.XLOOKUP(B121,'[1]march-2025'!$A:$A,'[1]march-2025'!$J:$J,0,0)</f>
        <v>0</v>
      </c>
      <c r="J121">
        <f>_xlfn.XLOOKUP(B121,'[1]march-2025'!$A:$A,'[1]march-2025'!$C:$C,0,0)</f>
        <v>31600</v>
      </c>
      <c r="K121">
        <f>J121*0.14</f>
        <v>4424</v>
      </c>
      <c r="L121">
        <f>J121*0.12</f>
        <v>3792</v>
      </c>
      <c r="M121">
        <f>_xlfn.XLOOKUP(B121,'[1]march-2025'!$A:$A,'[1]march-2025'!$D:$D,0,0)</f>
        <v>0</v>
      </c>
      <c r="N121">
        <f>_xlfn.XLOOKUP(B121,'[1]march-2025'!$A:$A,'[1]march-2025'!$G:$G,0,0)</f>
        <v>500</v>
      </c>
      <c r="O121">
        <f>IF(J121&gt;0,SUM(J121:N121),0)</f>
        <v>40316</v>
      </c>
      <c r="P121">
        <f>_xlfn.XLOOKUP(B121,'[1]march-2025'!$A:$A,'[1]march-2025'!$H:$H,0,0)</f>
        <v>2000</v>
      </c>
      <c r="Q121">
        <f>_xlfn.XLOOKUP(B121,'[1]march-2025'!$A:$A,'[1]march-2025'!$I:$I,0,0)</f>
        <v>0</v>
      </c>
      <c r="R121">
        <f>IF($F121="YES",0,IF(O121&gt;40000,200,IF(O121&gt;25000,150,IF(O121&gt;15000,130,IF(O121&gt;10000,110,0)))))</f>
        <v>200</v>
      </c>
      <c r="S121">
        <f>O121-P121-Q121-R121</f>
        <v>38116</v>
      </c>
      <c r="T121">
        <f>_xlfn.XLOOKUP(B121,'[2]april-2025'!$A:$A,'[2]april-2025'!$C:$C,0,0)</f>
        <v>31600</v>
      </c>
      <c r="U121">
        <f>T121*0.18</f>
        <v>5688</v>
      </c>
      <c r="V121">
        <f>T121*0.12</f>
        <v>3792</v>
      </c>
      <c r="W121">
        <f>_xlfn.XLOOKUP(B121,'[2]april-2025'!$A:$A,'[2]april-2025'!$D:$D,0,0)</f>
        <v>0</v>
      </c>
      <c r="X121">
        <f>_xlfn.XLOOKUP(B121,'[2]april-2025'!$A:$A,'[2]april-2025'!$G:$G,0,0)</f>
        <v>500</v>
      </c>
      <c r="Y121">
        <f>IF(T121&gt;0,SUM(T121:X121),0)</f>
        <v>41580</v>
      </c>
      <c r="Z121">
        <f>_xlfn.XLOOKUP(B121,'[2]april-2025'!$A:$A,'[2]april-2025'!$H:$H,0,0)</f>
        <v>2000</v>
      </c>
      <c r="AA121">
        <f>_xlfn.XLOOKUP(B121,'[2]april-2025'!$A:$A,'[2]april-2025'!$I:$I,0,0)</f>
        <v>0</v>
      </c>
      <c r="AB121">
        <f>IF($F121="YES",0,IF(Y121&gt;40000,200,IF(Y121&gt;25000,150,IF(Y121&gt;15000,130,IF(Y121&gt;10000,110,0)))))</f>
        <v>200</v>
      </c>
      <c r="AC121">
        <f>Y121-Z121-AA121-AB121</f>
        <v>39380</v>
      </c>
      <c r="AD121">
        <f>_xlfn.XLOOKUP(B121,'[3]may-2025'!$A:$A,'[3]may-2025'!$C:$C,0,0)</f>
        <v>31600</v>
      </c>
      <c r="AE121">
        <f>AD121*0.18</f>
        <v>5688</v>
      </c>
      <c r="AF121">
        <f>AD121*0.12</f>
        <v>3792</v>
      </c>
      <c r="AG121">
        <f>_xlfn.XLOOKUP(B121,'[3]may-2025'!$A:$A,'[3]may-2025'!$D:$D,0,0)</f>
        <v>0</v>
      </c>
      <c r="AH121">
        <f>_xlfn.XLOOKUP(B121,'[3]may-2025'!$A:$A,'[3]may-2025'!$G:$G,0,0)</f>
        <v>500</v>
      </c>
      <c r="AI121">
        <f>IF(AD121&gt;0,SUM(AD121:AH121),0)</f>
        <v>41580</v>
      </c>
      <c r="AJ121">
        <f>_xlfn.XLOOKUP(B121,'[3]may-2025'!$A:$A,'[3]may-2025'!$H:$H,0,0)</f>
        <v>2000</v>
      </c>
      <c r="AK121">
        <f>_xlfn.XLOOKUP(B121,'[3]may-2025'!$A:$A,'[3]may-2025'!$I:$I,0,0)</f>
        <v>0</v>
      </c>
      <c r="AL121">
        <f>IF($F121="YES",0,IF(AI121&gt;40000,200,IF(AI121&gt;25000,150,IF(AI121&gt;15000,130,IF(AI121&gt;10000,110,0)))))</f>
        <v>200</v>
      </c>
      <c r="AM121">
        <f>AI121-AJ121-AK121-AL121</f>
        <v>39380</v>
      </c>
      <c r="AN121">
        <f>_xlfn.XLOOKUP(B121,'[4]june-2025'!$A:$A,'[4]june-2025'!$C:$C,0,0)</f>
        <v>31600</v>
      </c>
      <c r="AO121">
        <f>AN121*0.18</f>
        <v>5688</v>
      </c>
      <c r="AP121">
        <f>AN121*0.12</f>
        <v>3792</v>
      </c>
      <c r="AQ121">
        <f>_xlfn.XLOOKUP(B121,'[4]june-2025'!$A:$A,'[4]june-2025'!$D:$D,0,0)</f>
        <v>0</v>
      </c>
      <c r="AR121">
        <f>_xlfn.XLOOKUP(B121,'[4]june-2025'!$A:$A,'[4]june-2025'!$G:$G,0,0)</f>
        <v>500</v>
      </c>
      <c r="AS121">
        <f>IF(AN121&gt;0,SUM(AN121:AR121),0)</f>
        <v>41580</v>
      </c>
      <c r="AT121">
        <f>_xlfn.XLOOKUP(B121,'[4]june-2025'!$A:$A,'[4]june-2025'!$H:$H,0,0)</f>
        <v>2000</v>
      </c>
      <c r="AU121">
        <f>_xlfn.XLOOKUP(B121,'[4]june-2025'!$A:$A,'[4]june-2025'!$I:$I,0,0)</f>
        <v>0</v>
      </c>
      <c r="AV121">
        <f>IF($F121="YES",0,IF(AS121&gt;40000,200,IF(AS121&gt;25000,150,IF(AS121&gt;15000,130,IF(AS121&gt;10000,110,0)))))</f>
        <v>200</v>
      </c>
      <c r="AW121">
        <f>AS121-AT121-AU121-AV121</f>
        <v>39380</v>
      </c>
      <c r="AX121">
        <f>_xlfn.XLOOKUP(B121,'[5]july-2025'!$A:$A,'[5]july-2025'!$C:$C,0,0)</f>
        <v>32500</v>
      </c>
      <c r="AY121">
        <f>AX121*0.18</f>
        <v>5850</v>
      </c>
      <c r="AZ121">
        <v>0</v>
      </c>
      <c r="BA121">
        <f>AX121*0.12</f>
        <v>3900</v>
      </c>
      <c r="BB121">
        <f>_xlfn.XLOOKUP(B121,'[5]july-2025'!$A:$A,'[5]july-2025'!$D:$D,0,0)</f>
        <v>0</v>
      </c>
      <c r="BC121">
        <f>_xlfn.XLOOKUP(B121,'[5]july-2025'!$A:$A,'[5]july-2025'!$G:$G,0,0)</f>
        <v>500</v>
      </c>
      <c r="BD121">
        <f>IF(AX121&gt;0,SUM(AX121:BC121),0)</f>
        <v>42750</v>
      </c>
      <c r="BE121">
        <f>_xlfn.XLOOKUP(B121,'[5]july-2025'!$A:$A,'[5]july-2025'!$H:$H,0,0)</f>
        <v>2000</v>
      </c>
      <c r="BF121">
        <f>_xlfn.XLOOKUP(B121,'[5]july-2025'!$A:$A,'[5]july-2025'!$I:$I,0,0)</f>
        <v>0</v>
      </c>
      <c r="BG121">
        <f>IF($F121="YES",0,IF(BD121&gt;40000,200,IF(BD121&gt;25000,150,IF(BD121&gt;15000,130,IF(BD121&gt;10000,110,0)))))</f>
        <v>200</v>
      </c>
      <c r="BH121">
        <f>BD121-BE121-BF121-BG121</f>
        <v>40550</v>
      </c>
      <c r="BI121">
        <f>_xlfn.XLOOKUP(B121,'[6]august-2025'!$A:$A,'[6]august-2025'!$C:$C,0,0)</f>
        <v>32500</v>
      </c>
      <c r="BJ121">
        <f>BI121*0.18</f>
        <v>5850</v>
      </c>
      <c r="BK121">
        <f>BI121*0.12</f>
        <v>3900</v>
      </c>
      <c r="BL121">
        <f>_xlfn.XLOOKUP(B121,'[6]august-2025'!$A:$A,'[6]august-2025'!$D:$D,0,0)</f>
        <v>0</v>
      </c>
      <c r="BM121">
        <f>_xlfn.XLOOKUP(B121,'[6]august-2025'!$A:$A,'[6]august-2025'!$G:$G,0,0)</f>
        <v>500</v>
      </c>
      <c r="BN121">
        <f>IF(BI121&gt;0,SUM(BI121:BM121),0)</f>
        <v>42750</v>
      </c>
      <c r="BO121">
        <f>_xlfn.XLOOKUP(B121,'[6]august-2025'!$A:$A,'[6]august-2025'!$H:$H,0,0)</f>
        <v>2000</v>
      </c>
      <c r="BP121">
        <f>_xlfn.XLOOKUP(B121,'[6]august-2025'!$A:$A,'[6]august-2025'!$I:$I,0,0)</f>
        <v>0</v>
      </c>
      <c r="BQ121">
        <f>IF($F121="YES",0,IF(BN121&gt;40000,200,IF(BN121&gt;25000,150,IF(BN121&gt;15000,130,IF(BN121&gt;10000,110,0)))))</f>
        <v>200</v>
      </c>
      <c r="BR121">
        <f>BN121-BO121-BP121-BQ121</f>
        <v>40550</v>
      </c>
      <c r="BS121">
        <f>_xlfn.XLOOKUP(B121,'[7]september-2025'!$A:$A,'[7]september-2025'!$C:$C,0,0)</f>
        <v>32500</v>
      </c>
      <c r="BT121">
        <f>BS121*0.18</f>
        <v>5850</v>
      </c>
      <c r="BU121">
        <f>BS121*0.12</f>
        <v>3900</v>
      </c>
      <c r="BV121">
        <f>_xlfn.XLOOKUP(B121,'[7]september-2025'!$A:$A,'[7]september-2025'!$D:$D,0,0)</f>
        <v>0</v>
      </c>
      <c r="BW121">
        <f>_xlfn.XLOOKUP(B121,'[7]september-2025'!$A:$A,'[7]september-2025'!$G:$G,0,0)</f>
        <v>500</v>
      </c>
      <c r="BX121">
        <f>IF(BS121&gt;0,SUM(BS121:BW121),0)</f>
        <v>42750</v>
      </c>
      <c r="BY121">
        <f>_xlfn.XLOOKUP(B121,'[7]september-2025'!$A:$A,'[7]september-2025'!$H:$H,0,0)</f>
        <v>2000</v>
      </c>
      <c r="BZ121">
        <f>_xlfn.XLOOKUP(B121,'[7]september-2025'!$A:$A,'[7]september-2025'!$I:$I,0,0)</f>
        <v>0</v>
      </c>
      <c r="CA121">
        <f>IF($F121="YES",0,IF(BX121&gt;40000,200,IF(BX121&gt;25000,150,IF(BX121&gt;15000,130,IF(BX121&gt;10000,110,0)))))</f>
        <v>200</v>
      </c>
      <c r="CB121">
        <f>BX121-BY121-BZ121-CA121</f>
        <v>40550</v>
      </c>
      <c r="CC121">
        <f>_xlfn.XLOOKUP(B121,'[8]october-2025'!$A:$A,'[8]october-2025'!$C:$C,0,0)</f>
        <v>32500</v>
      </c>
      <c r="CD121">
        <f>CC121*0.18</f>
        <v>5850</v>
      </c>
      <c r="CE121">
        <f>CC121*0.12</f>
        <v>3900</v>
      </c>
      <c r="CF121">
        <f>_xlfn.XLOOKUP(B121,'[8]october-2025'!$A:$A,'[8]october-2025'!$D:$D,0,0)</f>
        <v>0</v>
      </c>
      <c r="CG121">
        <f>_xlfn.XLOOKUP(B121,'[8]october-2025'!$A:$A,'[8]october-2025'!$G:$G,0,0)</f>
        <v>500</v>
      </c>
      <c r="CH121">
        <f>IF(CC121&gt;0,SUM(CC121:CG121),0)</f>
        <v>42750</v>
      </c>
      <c r="CI121">
        <f>_xlfn.XLOOKUP(B121,'[8]october-2025'!$A:$A,'[8]october-2025'!$H:$H,0,0)</f>
        <v>2000</v>
      </c>
      <c r="CJ121">
        <f>_xlfn.XLOOKUP(B121,'[8]october-2025'!$A:$A,'[8]october-2025'!$I:$I,0,0)</f>
        <v>0</v>
      </c>
      <c r="CK121">
        <f>IF($F121="YES",0,IF(CH121&gt;40000,200,IF(CH121&gt;25000,150,IF(CH121&gt;15000,130,IF(CH121&gt;10000,110,0)))))</f>
        <v>200</v>
      </c>
      <c r="CL121">
        <f>CH121-CI121-CJ121-CK121</f>
        <v>40550</v>
      </c>
      <c r="CM121">
        <f>_xlfn.XLOOKUP(B121,'[9]november-2025'!$A:$A,'[9]november-2025'!$C:$C,0,0)</f>
        <v>32500</v>
      </c>
      <c r="CN121">
        <f>CM121*0.18</f>
        <v>5850</v>
      </c>
      <c r="CO121">
        <f>CM121*0.12</f>
        <v>3900</v>
      </c>
      <c r="CP121">
        <f>_xlfn.XLOOKUP(B121,'[9]november-2025'!$A:$A,'[9]november-2025'!$D:$D,0,0)</f>
        <v>0</v>
      </c>
      <c r="CQ121">
        <f>_xlfn.XLOOKUP(B121,'[9]november-2025'!$A:$A,'[9]november-2025'!$G:$G,0,0)</f>
        <v>500</v>
      </c>
      <c r="CR121">
        <f>IF(CM121&gt;0,SUM(CM121:CQ121),0)</f>
        <v>42750</v>
      </c>
      <c r="CS121">
        <f>_xlfn.XLOOKUP(B121,'[9]november-2025'!$A:$A,'[9]november-2025'!$H:$H,0,0)</f>
        <v>2000</v>
      </c>
      <c r="CT121">
        <f>_xlfn.XLOOKUP(B121,'[9]november-2025'!$A:$A,'[9]november-2025'!$I:$I,0,0)</f>
        <v>0</v>
      </c>
      <c r="CU121">
        <f>IF($F121="YES",0,IF(CR121&gt;40000,200,IF(CR121&gt;25000,150,IF(CR121&gt;15000,130,IF(CR121&gt;10000,110,0)))))</f>
        <v>200</v>
      </c>
      <c r="CV121">
        <f>CR121-CS121-CT121-CU121</f>
        <v>40550</v>
      </c>
      <c r="CW121">
        <f>_xlfn.XLOOKUP(B121,'[10]december-2025'!$A:$A,'[10]december-2025'!$C:$C,0,0)</f>
        <v>32500</v>
      </c>
      <c r="CX121">
        <f>ROUND(CW121*0.18,0)</f>
        <v>5850</v>
      </c>
      <c r="CY121">
        <f>ROUND(CW121*0.12,0)</f>
        <v>3900</v>
      </c>
      <c r="CZ121">
        <f>_xlfn.XLOOKUP(B121,'[10]december-2025'!$A:$A,'[10]december-2025'!$D:$D,0,0)</f>
        <v>0</v>
      </c>
      <c r="DA121">
        <f>_xlfn.XLOOKUP(B121,'[10]december-2025'!$A:$A,'[10]december-2025'!$G:$G,0,0)</f>
        <v>500</v>
      </c>
      <c r="DB121">
        <f>IF(CW121&gt;0,SUM(CW121:DA121),0)</f>
        <v>42750</v>
      </c>
      <c r="DC121">
        <f>_xlfn.XLOOKUP(B121,'[10]december-2025'!$A:$A,'[10]december-2025'!$H:$H,0,0)</f>
        <v>2000</v>
      </c>
      <c r="DD121">
        <f>_xlfn.XLOOKUP(B121,'[10]december-2025'!$A:$A,'[10]december-2025'!$I:$I,0,0)</f>
        <v>0</v>
      </c>
      <c r="DE121">
        <f>IF($F121="YES",0,IF(DB121&gt;40000,200,IF(DB121&gt;25000,150,IF(DB121&gt;15000,130,IF(DB121&gt;10000,110,0)))))</f>
        <v>200</v>
      </c>
      <c r="DF121">
        <f>DB121-DC121-DD121-DE121</f>
        <v>40550</v>
      </c>
      <c r="DG121">
        <f>_xlfn.XLOOKUP(B121,'[11]january-2026'!$A:$A,'[11]january-2026'!$C:$C,0,0)</f>
        <v>32500</v>
      </c>
      <c r="DH121">
        <f>DG121*0.18</f>
        <v>5850</v>
      </c>
      <c r="DI121">
        <f>DG121*0.12</f>
        <v>3900</v>
      </c>
      <c r="DJ121">
        <f>_xlfn.XLOOKUP(B121,'[11]january-2026'!$A:$A,'[11]january-2026'!$D:$D,0,0)</f>
        <v>0</v>
      </c>
      <c r="DK121">
        <f>_xlfn.XLOOKUP(B121,'[11]january-2026'!$A:$A,'[11]january-2026'!$G:$G,0,0)</f>
        <v>500</v>
      </c>
      <c r="DL121">
        <f>IF(DG121&gt;0,SUM(DG121:DK121),0)</f>
        <v>42750</v>
      </c>
      <c r="DM121">
        <f>_xlfn.XLOOKUP(B121,'[11]january-2026'!$A:$A,'[11]january-2026'!$H:$H,0,0)</f>
        <v>2000</v>
      </c>
      <c r="DN121">
        <f>_xlfn.XLOOKUP(B121,'[11]january-2026'!$A:$A,'[11]january-2026'!$I:$I,0,0)</f>
        <v>0</v>
      </c>
      <c r="DO121">
        <f>IF($F121="YES",0,IF(DL121&gt;40000,200,IF(DL121&gt;25000,150,IF(DL121&gt;15000,130,IF(DL121&gt;10000,110,0)))))</f>
        <v>200</v>
      </c>
      <c r="DP121">
        <f>DL121-DM121-DN121-DO121</f>
        <v>40550</v>
      </c>
      <c r="DQ121">
        <f>_xlfn.XLOOKUP(B121,'[12]february-2026'!$A:$A,'[12]february-2026'!$C:$C,0,0)</f>
        <v>32500</v>
      </c>
      <c r="DR121">
        <f>DQ121*0.18</f>
        <v>5850</v>
      </c>
      <c r="DS121">
        <f>DQ121*0.12</f>
        <v>3900</v>
      </c>
      <c r="DT121">
        <f>_xlfn.XLOOKUP(B121,'[12]february-2026'!$A:$A,'[12]february-2026'!$D:$D,0,0)</f>
        <v>0</v>
      </c>
      <c r="DU121">
        <f>_xlfn.XLOOKUP(B121,'[12]february-2026'!$A:$A,'[12]february-2026'!$G:$G,0,0)</f>
        <v>500</v>
      </c>
      <c r="DV121">
        <f>IF(DQ121&gt;0,SUM(DQ121:DU121),0)</f>
        <v>42750</v>
      </c>
      <c r="DW121">
        <f>_xlfn.XLOOKUP(B121,'[12]february-2026'!$A:$A,'[12]february-2026'!$H:$H,0,0)</f>
        <v>2000</v>
      </c>
      <c r="DX121">
        <f>_xlfn.XLOOKUP(B121,'[12]february-2026'!$A:$A,'[12]february-2026'!$I:$I,0,0)</f>
        <v>0</v>
      </c>
      <c r="DY121">
        <f>IF($F121="YES",0,IF(DV121&gt;40000,200,IF(DV121&gt;25000,150,IF(DV121&gt;15000,130,IF(DV121&gt;10000,110,0)))))</f>
        <v>200</v>
      </c>
      <c r="DZ121">
        <f>DV121-DW121-DX121-DY121</f>
        <v>40550</v>
      </c>
      <c r="EA121">
        <f>DV121+DL121+DB121+CR121+CH121+BX121+BN121+BD121+AS121+AI121+Y121+O121+H121+I121</f>
        <v>513856</v>
      </c>
      <c r="EB121">
        <f>DY121+DO121+DE121+CU121+CK121+CA121+BQ121+BG121+AV121+AL121+AB121+R121</f>
        <v>2400</v>
      </c>
      <c r="EC121">
        <f>IF(EA121&gt;0,50000,0)</f>
        <v>50000</v>
      </c>
      <c r="ED121">
        <v>0</v>
      </c>
      <c r="EE121">
        <f>EA121-EB121-EC121</f>
        <v>461456</v>
      </c>
      <c r="EF121">
        <f>DW121+DM121+DC121+CS121+CI121+BY121+BO121+BE121+AT121+AJ121+Z121+P121</f>
        <v>24000</v>
      </c>
      <c r="EG121">
        <f>DX121+DN121+DD121+CT121+CJ121+BZ121+BP121+BF121+AU121+AK121+AA121+Q121</f>
        <v>0</v>
      </c>
      <c r="EH121">
        <v>0</v>
      </c>
      <c r="EI121">
        <v>0</v>
      </c>
      <c r="EJ121">
        <v>0</v>
      </c>
      <c r="EK121">
        <v>0</v>
      </c>
      <c r="EL121">
        <v>0</v>
      </c>
      <c r="EM121">
        <v>0</v>
      </c>
      <c r="EN121">
        <v>0</v>
      </c>
      <c r="EO121">
        <v>0</v>
      </c>
      <c r="EP121">
        <v>0</v>
      </c>
      <c r="EQ121">
        <v>0</v>
      </c>
      <c r="ER121">
        <f>SUM(EF121:EQ121)</f>
        <v>24000</v>
      </c>
      <c r="ES121">
        <f>IF(ER121&gt;=150000,150000,ER121)</f>
        <v>24000</v>
      </c>
      <c r="ET121">
        <f>EE121-ES121</f>
        <v>437456</v>
      </c>
      <c r="EU121">
        <v>0</v>
      </c>
      <c r="EV121">
        <v>0</v>
      </c>
      <c r="EW121">
        <v>0</v>
      </c>
      <c r="EX121">
        <v>0</v>
      </c>
      <c r="EY121">
        <v>0</v>
      </c>
      <c r="EZ121">
        <v>0</v>
      </c>
      <c r="FA121">
        <v>0</v>
      </c>
      <c r="FB121">
        <f>SUM(EU121:FA121)+(IF(F121="YES",50000,0))</f>
        <v>0</v>
      </c>
      <c r="FC121">
        <f>ET121-FB121</f>
        <v>437456</v>
      </c>
      <c r="FD121">
        <f>ROUND(IF(FC121&gt;0,IF(FC121&gt;500000,12500,(FC121-250000)*0.05),0),0)</f>
        <v>9373</v>
      </c>
      <c r="FE121">
        <f>IF(ROUND(IF(FC121&gt;0,IF(FC121&gt;1000000,25000,(FC121-500000)*0.2),0),0)&lt;0,0,ROUND(IF(FC121&gt;0,IF(FC121&gt;1000000,25000,(FC121-500000)*0.2),0),0))</f>
        <v>0</v>
      </c>
      <c r="FF121">
        <f>FD121+FE121</f>
        <v>9373</v>
      </c>
      <c r="FG121">
        <f>IF(FF121&lt;12500,0,FF121)</f>
        <v>0</v>
      </c>
      <c r="FH121">
        <f>FG121*0.04</f>
        <v>0</v>
      </c>
      <c r="FI121">
        <f>ROUND(FH121+FG121,0)</f>
        <v>0</v>
      </c>
      <c r="FJ121">
        <v>0</v>
      </c>
      <c r="FK121">
        <f>FI121-FJ121</f>
        <v>0</v>
      </c>
      <c r="FL121" t="b">
        <f>IF(EA121&gt;500000,TRUE,FALSE)</f>
        <v>1</v>
      </c>
      <c r="FM121">
        <f ca="1">IF(FL121,RANDBETWEEN(500,1000),RANDBETWEEN(1000,3000))</f>
        <v>932</v>
      </c>
      <c r="FN121">
        <f ca="1">EA121+FM121</f>
        <v>514788</v>
      </c>
      <c r="FO121">
        <f>IF(EA121&gt;0,75000,0)</f>
        <v>75000</v>
      </c>
      <c r="FP121">
        <f ca="1">FN121-FO121</f>
        <v>439788</v>
      </c>
      <c r="FQ121">
        <f ca="1">IF(FP121&gt;2400000,FP121-2400000,0)</f>
        <v>0</v>
      </c>
      <c r="FR121">
        <f ca="1">FQ121*0.3</f>
        <v>0</v>
      </c>
      <c r="FS121">
        <f ca="1">IF(FP121&gt;2000000,FP121-2000000,0)</f>
        <v>0</v>
      </c>
      <c r="FT121">
        <f ca="1">FS121*0.25</f>
        <v>0</v>
      </c>
      <c r="FU121">
        <f ca="1">IF(FP121&gt;1600000,FP121-1600000-FQ121,0)</f>
        <v>0</v>
      </c>
      <c r="FV121">
        <f ca="1">FU121*0.2</f>
        <v>0</v>
      </c>
      <c r="FW121">
        <f ca="1">IF(FP121&gt;1200000,FP121-1200000-IF(F121="YES",50000,0)-FU121,0)</f>
        <v>0</v>
      </c>
      <c r="FX121">
        <f ca="1">FW121*0.15</f>
        <v>0</v>
      </c>
      <c r="FY121">
        <f ca="1">IF(FP121&gt;800000,FP121-800000-FQ121-FU121-FW121,0)</f>
        <v>0</v>
      </c>
      <c r="FZ121">
        <f ca="1">FY121*0.1</f>
        <v>0</v>
      </c>
      <c r="GA121">
        <f ca="1">IF(FP121&gt;400000,FP121-400000-FQ121-FU121-FW121-FY121,0)</f>
        <v>39788</v>
      </c>
      <c r="GB121">
        <f ca="1">GA121*0.05</f>
        <v>1989.4</v>
      </c>
      <c r="GC121">
        <f ca="1">ROUND(FR121+FT121+FV121+FX121+FZ121+GB121,0)</f>
        <v>1989</v>
      </c>
      <c r="GD121">
        <f ca="1">IF(FP121&gt;1200000,FP121,0)</f>
        <v>0</v>
      </c>
      <c r="GE121">
        <f ca="1">IF(FP121&gt;1200000,GD121-1200000,0)</f>
        <v>0</v>
      </c>
      <c r="GF121">
        <f ca="1">IF(FP121&lt;1200001,MIN(GC121,60000),0)</f>
        <v>1989</v>
      </c>
      <c r="GG121">
        <f ca="1">IF(FP121&gt;1200000,GC121-GE121,0)</f>
        <v>0</v>
      </c>
      <c r="GH121" t="b">
        <f ca="1">IF(GG121&gt;0,TRUE,FALSE)</f>
        <v>0</v>
      </c>
      <c r="GI121">
        <f ca="1">IF(GH121,GG121,0)</f>
        <v>0</v>
      </c>
      <c r="GJ121">
        <f ca="1">GF121+GI121</f>
        <v>1989</v>
      </c>
      <c r="GK121">
        <f ca="1">ROUND(GC121-GJ121,0)</f>
        <v>0</v>
      </c>
      <c r="GL121">
        <f ca="1">GK121*0.04</f>
        <v>0</v>
      </c>
      <c r="GM121">
        <f ca="1">ROUNDUP(GK121+GL121,0)</f>
        <v>0</v>
      </c>
    </row>
    <row r="122" spans="1:195" x14ac:dyDescent="0.25">
      <c r="A122">
        <f>_xlfn.AGGREGATE(3,5,$B$2:B122)</f>
        <v>121</v>
      </c>
      <c r="B122" t="s">
        <v>361</v>
      </c>
      <c r="C122" t="s">
        <v>362</v>
      </c>
      <c r="D122" t="s">
        <v>785</v>
      </c>
      <c r="E122" t="s">
        <v>833</v>
      </c>
      <c r="F122" t="s">
        <v>959</v>
      </c>
      <c r="G122" t="s">
        <v>887</v>
      </c>
      <c r="H122">
        <f>IF(_xlfn.DAYS("31-03-2025",G122)&gt;=180,6800,0)</f>
        <v>6800</v>
      </c>
      <c r="I122">
        <f>_xlfn.XLOOKUP(B122,'[1]march-2025'!$A:$A,'[1]march-2025'!$J:$J,0,0)</f>
        <v>0</v>
      </c>
      <c r="J122">
        <f>_xlfn.XLOOKUP(B122,'[1]march-2025'!$A:$A,'[1]march-2025'!$C:$C,0,0)</f>
        <v>47300</v>
      </c>
      <c r="K122">
        <f>J122*0.14</f>
        <v>6622.0000000000009</v>
      </c>
      <c r="L122">
        <f>J122*0.12</f>
        <v>5676</v>
      </c>
      <c r="M122">
        <f>_xlfn.XLOOKUP(B122,'[1]march-2025'!$A:$A,'[1]march-2025'!$D:$D,0,0)</f>
        <v>400</v>
      </c>
      <c r="N122">
        <f>_xlfn.XLOOKUP(B122,'[1]march-2025'!$A:$A,'[1]march-2025'!$G:$G,0,0)</f>
        <v>500</v>
      </c>
      <c r="O122">
        <f>IF(J122&gt;0,SUM(J122:N122),0)</f>
        <v>60498</v>
      </c>
      <c r="P122">
        <f>_xlfn.XLOOKUP(B122,'[1]march-2025'!$A:$A,'[1]march-2025'!$H:$H,0,0)</f>
        <v>3000</v>
      </c>
      <c r="Q122">
        <f>_xlfn.XLOOKUP(B122,'[1]march-2025'!$A:$A,'[1]march-2025'!$I:$I,0,0)</f>
        <v>60</v>
      </c>
      <c r="R122">
        <f>IF($F122="YES",0,IF(O122&gt;40000,200,IF(O122&gt;25000,150,IF(O122&gt;15000,130,IF(O122&gt;10000,110,0)))))</f>
        <v>200</v>
      </c>
      <c r="S122">
        <f>O122-P122-Q122-R122</f>
        <v>57238</v>
      </c>
      <c r="T122">
        <f>_xlfn.XLOOKUP(B122,'[2]april-2025'!$A:$A,'[2]april-2025'!$C:$C,0,0)</f>
        <v>47300</v>
      </c>
      <c r="U122">
        <f>T122*0.18</f>
        <v>8514</v>
      </c>
      <c r="V122">
        <f>T122*0.12</f>
        <v>5676</v>
      </c>
      <c r="W122">
        <f>_xlfn.XLOOKUP(B122,'[2]april-2025'!$A:$A,'[2]april-2025'!$D:$D,0,0)</f>
        <v>400</v>
      </c>
      <c r="X122">
        <f>_xlfn.XLOOKUP(B122,'[2]april-2025'!$A:$A,'[2]april-2025'!$G:$G,0,0)</f>
        <v>500</v>
      </c>
      <c r="Y122">
        <f>IF(T122&gt;0,SUM(T122:X122),0)</f>
        <v>62390</v>
      </c>
      <c r="Z122">
        <f>_xlfn.XLOOKUP(B122,'[2]april-2025'!$A:$A,'[2]april-2025'!$H:$H,0,0)</f>
        <v>3000</v>
      </c>
      <c r="AA122">
        <f>_xlfn.XLOOKUP(B122,'[2]april-2025'!$A:$A,'[2]april-2025'!$I:$I,0,0)</f>
        <v>60</v>
      </c>
      <c r="AB122">
        <f>IF($F122="YES",0,IF(Y122&gt;40000,200,IF(Y122&gt;25000,150,IF(Y122&gt;15000,130,IF(Y122&gt;10000,110,0)))))</f>
        <v>200</v>
      </c>
      <c r="AC122">
        <f>Y122-Z122-AA122-AB122</f>
        <v>59130</v>
      </c>
      <c r="AD122">
        <f>_xlfn.XLOOKUP(B122,'[3]may-2025'!$A:$A,'[3]may-2025'!$C:$C,0,0)</f>
        <v>47300</v>
      </c>
      <c r="AE122">
        <f>AD122*0.18</f>
        <v>8514</v>
      </c>
      <c r="AF122">
        <f>AD122*0.12</f>
        <v>5676</v>
      </c>
      <c r="AG122">
        <f>_xlfn.XLOOKUP(B122,'[3]may-2025'!$A:$A,'[3]may-2025'!$D:$D,0,0)</f>
        <v>400</v>
      </c>
      <c r="AH122">
        <f>_xlfn.XLOOKUP(B122,'[3]may-2025'!$A:$A,'[3]may-2025'!$G:$G,0,0)</f>
        <v>500</v>
      </c>
      <c r="AI122">
        <f>IF(AD122&gt;0,SUM(AD122:AH122),0)</f>
        <v>62390</v>
      </c>
      <c r="AJ122">
        <f>_xlfn.XLOOKUP(B122,'[3]may-2025'!$A:$A,'[3]may-2025'!$H:$H,0,0)</f>
        <v>3000</v>
      </c>
      <c r="AK122">
        <f>_xlfn.XLOOKUP(B122,'[3]may-2025'!$A:$A,'[3]may-2025'!$I:$I,0,0)</f>
        <v>60</v>
      </c>
      <c r="AL122">
        <f>IF($F122="YES",0,IF(AI122&gt;40000,200,IF(AI122&gt;25000,150,IF(AI122&gt;15000,130,IF(AI122&gt;10000,110,0)))))</f>
        <v>200</v>
      </c>
      <c r="AM122">
        <f>AI122-AJ122-AK122-AL122</f>
        <v>59130</v>
      </c>
      <c r="AN122">
        <f>_xlfn.XLOOKUP(B122,'[4]june-2025'!$A:$A,'[4]june-2025'!$C:$C,0,0)</f>
        <v>47300</v>
      </c>
      <c r="AO122">
        <f>AN122*0.18</f>
        <v>8514</v>
      </c>
      <c r="AP122">
        <f>AN122*0.12</f>
        <v>5676</v>
      </c>
      <c r="AQ122">
        <f>_xlfn.XLOOKUP(B122,'[4]june-2025'!$A:$A,'[4]june-2025'!$D:$D,0,0)</f>
        <v>400</v>
      </c>
      <c r="AR122">
        <f>_xlfn.XLOOKUP(B122,'[4]june-2025'!$A:$A,'[4]june-2025'!$G:$G,0,0)</f>
        <v>500</v>
      </c>
      <c r="AS122">
        <f>IF(AN122&gt;0,SUM(AN122:AR122),0)</f>
        <v>62390</v>
      </c>
      <c r="AT122">
        <f>_xlfn.XLOOKUP(B122,'[4]june-2025'!$A:$A,'[4]june-2025'!$H:$H,0,0)</f>
        <v>3000</v>
      </c>
      <c r="AU122">
        <f>_xlfn.XLOOKUP(B122,'[4]june-2025'!$A:$A,'[4]june-2025'!$I:$I,0,0)</f>
        <v>60</v>
      </c>
      <c r="AV122">
        <f>IF($F122="YES",0,IF(AS122&gt;40000,200,IF(AS122&gt;25000,150,IF(AS122&gt;15000,130,IF(AS122&gt;10000,110,0)))))</f>
        <v>200</v>
      </c>
      <c r="AW122">
        <f>AS122-AT122-AU122-AV122</f>
        <v>59130</v>
      </c>
      <c r="AX122">
        <f>_xlfn.XLOOKUP(B122,'[5]july-2025'!$A:$A,'[5]july-2025'!$C:$C,0,0)</f>
        <v>48700</v>
      </c>
      <c r="AY122">
        <f>AX122*0.18</f>
        <v>8766</v>
      </c>
      <c r="AZ122">
        <v>0</v>
      </c>
      <c r="BA122">
        <f>AX122*0.12</f>
        <v>5844</v>
      </c>
      <c r="BB122">
        <f>_xlfn.XLOOKUP(B122,'[5]july-2025'!$A:$A,'[5]july-2025'!$D:$D,0,0)</f>
        <v>400</v>
      </c>
      <c r="BC122">
        <f>_xlfn.XLOOKUP(B122,'[5]july-2025'!$A:$A,'[5]july-2025'!$G:$G,0,0)</f>
        <v>500</v>
      </c>
      <c r="BD122">
        <f>IF(AX122&gt;0,SUM(AX122:BC122),0)</f>
        <v>64210</v>
      </c>
      <c r="BE122">
        <f>_xlfn.XLOOKUP(B122,'[5]july-2025'!$A:$A,'[5]july-2025'!$H:$H,0,0)</f>
        <v>3000</v>
      </c>
      <c r="BF122">
        <f>_xlfn.XLOOKUP(B122,'[5]july-2025'!$A:$A,'[5]july-2025'!$I:$I,0,0)</f>
        <v>60</v>
      </c>
      <c r="BG122">
        <f>IF($F122="YES",0,IF(BD122&gt;40000,200,IF(BD122&gt;25000,150,IF(BD122&gt;15000,130,IF(BD122&gt;10000,110,0)))))</f>
        <v>200</v>
      </c>
      <c r="BH122">
        <f>BD122-BE122-BF122-BG122</f>
        <v>60950</v>
      </c>
      <c r="BI122">
        <f>_xlfn.XLOOKUP(B122,'[6]august-2025'!$A:$A,'[6]august-2025'!$C:$C,0,0)</f>
        <v>48700</v>
      </c>
      <c r="BJ122">
        <f>BI122*0.18</f>
        <v>8766</v>
      </c>
      <c r="BK122">
        <f>BI122*0.12</f>
        <v>5844</v>
      </c>
      <c r="BL122">
        <f>_xlfn.XLOOKUP(B122,'[6]august-2025'!$A:$A,'[6]august-2025'!$D:$D,0,0)</f>
        <v>400</v>
      </c>
      <c r="BM122">
        <f>_xlfn.XLOOKUP(B122,'[6]august-2025'!$A:$A,'[6]august-2025'!$G:$G,0,0)</f>
        <v>500</v>
      </c>
      <c r="BN122">
        <f>IF(BI122&gt;0,SUM(BI122:BM122),0)</f>
        <v>64210</v>
      </c>
      <c r="BO122">
        <f>_xlfn.XLOOKUP(B122,'[6]august-2025'!$A:$A,'[6]august-2025'!$H:$H,0,0)</f>
        <v>3000</v>
      </c>
      <c r="BP122">
        <f>_xlfn.XLOOKUP(B122,'[6]august-2025'!$A:$A,'[6]august-2025'!$I:$I,0,0)</f>
        <v>60</v>
      </c>
      <c r="BQ122">
        <f>IF($F122="YES",0,IF(BN122&gt;40000,200,IF(BN122&gt;25000,150,IF(BN122&gt;15000,130,IF(BN122&gt;10000,110,0)))))</f>
        <v>200</v>
      </c>
      <c r="BR122">
        <f>BN122-BO122-BP122-BQ122</f>
        <v>60950</v>
      </c>
      <c r="BS122">
        <f>_xlfn.XLOOKUP(B122,'[7]september-2025'!$A:$A,'[7]september-2025'!$C:$C,0,0)</f>
        <v>48700</v>
      </c>
      <c r="BT122">
        <f>BS122*0.18</f>
        <v>8766</v>
      </c>
      <c r="BU122">
        <f>BS122*0.12</f>
        <v>5844</v>
      </c>
      <c r="BV122">
        <f>_xlfn.XLOOKUP(B122,'[7]september-2025'!$A:$A,'[7]september-2025'!$D:$D,0,0)</f>
        <v>400</v>
      </c>
      <c r="BW122">
        <f>_xlfn.XLOOKUP(B122,'[7]september-2025'!$A:$A,'[7]september-2025'!$G:$G,0,0)</f>
        <v>500</v>
      </c>
      <c r="BX122">
        <f>IF(BS122&gt;0,SUM(BS122:BW122),0)</f>
        <v>64210</v>
      </c>
      <c r="BY122">
        <f>_xlfn.XLOOKUP(B122,'[7]september-2025'!$A:$A,'[7]september-2025'!$H:$H,0,0)</f>
        <v>3000</v>
      </c>
      <c r="BZ122">
        <f>_xlfn.XLOOKUP(B122,'[7]september-2025'!$A:$A,'[7]september-2025'!$I:$I,0,0)</f>
        <v>60</v>
      </c>
      <c r="CA122">
        <f>IF($F122="YES",0,IF(BX122&gt;40000,200,IF(BX122&gt;25000,150,IF(BX122&gt;15000,130,IF(BX122&gt;10000,110,0)))))</f>
        <v>200</v>
      </c>
      <c r="CB122">
        <f>BX122-BY122-BZ122-CA122</f>
        <v>60950</v>
      </c>
      <c r="CC122">
        <f>_xlfn.XLOOKUP(B122,'[8]october-2025'!$A:$A,'[8]october-2025'!$C:$C,0,0)</f>
        <v>48700</v>
      </c>
      <c r="CD122">
        <f>CC122*0.18</f>
        <v>8766</v>
      </c>
      <c r="CE122">
        <f>CC122*0.12</f>
        <v>5844</v>
      </c>
      <c r="CF122">
        <f>_xlfn.XLOOKUP(B122,'[8]october-2025'!$A:$A,'[8]october-2025'!$D:$D,0,0)</f>
        <v>400</v>
      </c>
      <c r="CG122">
        <f>_xlfn.XLOOKUP(B122,'[8]october-2025'!$A:$A,'[8]october-2025'!$G:$G,0,0)</f>
        <v>500</v>
      </c>
      <c r="CH122">
        <f>IF(CC122&gt;0,SUM(CC122:CG122),0)</f>
        <v>64210</v>
      </c>
      <c r="CI122">
        <f>_xlfn.XLOOKUP(B122,'[8]october-2025'!$A:$A,'[8]october-2025'!$H:$H,0,0)</f>
        <v>3000</v>
      </c>
      <c r="CJ122">
        <f>_xlfn.XLOOKUP(B122,'[8]october-2025'!$A:$A,'[8]october-2025'!$I:$I,0,0)</f>
        <v>60</v>
      </c>
      <c r="CK122">
        <f>IF($F122="YES",0,IF(CH122&gt;40000,200,IF(CH122&gt;25000,150,IF(CH122&gt;15000,130,IF(CH122&gt;10000,110,0)))))</f>
        <v>200</v>
      </c>
      <c r="CL122">
        <f>CH122-CI122-CJ122-CK122</f>
        <v>60950</v>
      </c>
      <c r="CM122">
        <f>_xlfn.XLOOKUP(B122,'[9]november-2025'!$A:$A,'[9]november-2025'!$C:$C,0,0)</f>
        <v>48700</v>
      </c>
      <c r="CN122">
        <f>CM122*0.18</f>
        <v>8766</v>
      </c>
      <c r="CO122">
        <f>CM122*0.12</f>
        <v>5844</v>
      </c>
      <c r="CP122">
        <f>_xlfn.XLOOKUP(B122,'[9]november-2025'!$A:$A,'[9]november-2025'!$D:$D,0,0)</f>
        <v>400</v>
      </c>
      <c r="CQ122">
        <f>_xlfn.XLOOKUP(B122,'[9]november-2025'!$A:$A,'[9]november-2025'!$G:$G,0,0)</f>
        <v>500</v>
      </c>
      <c r="CR122">
        <f>IF(CM122&gt;0,SUM(CM122:CQ122),0)</f>
        <v>64210</v>
      </c>
      <c r="CS122">
        <f>_xlfn.XLOOKUP(B122,'[9]november-2025'!$A:$A,'[9]november-2025'!$H:$H,0,0)</f>
        <v>3000</v>
      </c>
      <c r="CT122">
        <f>_xlfn.XLOOKUP(B122,'[9]november-2025'!$A:$A,'[9]november-2025'!$I:$I,0,0)</f>
        <v>60</v>
      </c>
      <c r="CU122">
        <f>IF($F122="YES",0,IF(CR122&gt;40000,200,IF(CR122&gt;25000,150,IF(CR122&gt;15000,130,IF(CR122&gt;10000,110,0)))))</f>
        <v>200</v>
      </c>
      <c r="CV122">
        <f>CR122-CS122-CT122-CU122</f>
        <v>60950</v>
      </c>
      <c r="CW122">
        <f>_xlfn.XLOOKUP(B122,'[10]december-2025'!$A:$A,'[10]december-2025'!$C:$C,0,0)</f>
        <v>48700</v>
      </c>
      <c r="CX122">
        <f>ROUND(CW122*0.18,0)</f>
        <v>8766</v>
      </c>
      <c r="CY122">
        <f>ROUND(CW122*0.12,0)</f>
        <v>5844</v>
      </c>
      <c r="CZ122">
        <f>_xlfn.XLOOKUP(B122,'[10]december-2025'!$A:$A,'[10]december-2025'!$D:$D,0,0)</f>
        <v>400</v>
      </c>
      <c r="DA122">
        <f>_xlfn.XLOOKUP(B122,'[10]december-2025'!$A:$A,'[10]december-2025'!$G:$G,0,0)</f>
        <v>500</v>
      </c>
      <c r="DB122">
        <f>IF(CW122&gt;0,SUM(CW122:DA122),0)</f>
        <v>64210</v>
      </c>
      <c r="DC122">
        <f>_xlfn.XLOOKUP(B122,'[10]december-2025'!$A:$A,'[10]december-2025'!$H:$H,0,0)</f>
        <v>3000</v>
      </c>
      <c r="DD122">
        <f>_xlfn.XLOOKUP(B122,'[10]december-2025'!$A:$A,'[10]december-2025'!$I:$I,0,0)</f>
        <v>60</v>
      </c>
      <c r="DE122">
        <f>IF($F122="YES",0,IF(DB122&gt;40000,200,IF(DB122&gt;25000,150,IF(DB122&gt;15000,130,IF(DB122&gt;10000,110,0)))))</f>
        <v>200</v>
      </c>
      <c r="DF122">
        <f>DB122-DC122-DD122-DE122</f>
        <v>60950</v>
      </c>
      <c r="DG122">
        <f>_xlfn.XLOOKUP(B122,'[11]january-2026'!$A:$A,'[11]january-2026'!$C:$C,0,0)</f>
        <v>48700</v>
      </c>
      <c r="DH122">
        <f>DG122*0.18</f>
        <v>8766</v>
      </c>
      <c r="DI122">
        <f>DG122*0.12</f>
        <v>5844</v>
      </c>
      <c r="DJ122">
        <f>_xlfn.XLOOKUP(B122,'[11]january-2026'!$A:$A,'[11]january-2026'!$D:$D,0,0)</f>
        <v>400</v>
      </c>
      <c r="DK122">
        <f>_xlfn.XLOOKUP(B122,'[11]january-2026'!$A:$A,'[11]january-2026'!$G:$G,0,0)</f>
        <v>500</v>
      </c>
      <c r="DL122">
        <f>IF(DG122&gt;0,SUM(DG122:DK122),0)</f>
        <v>64210</v>
      </c>
      <c r="DM122">
        <f>_xlfn.XLOOKUP(B122,'[11]january-2026'!$A:$A,'[11]january-2026'!$H:$H,0,0)</f>
        <v>3000</v>
      </c>
      <c r="DN122">
        <f>_xlfn.XLOOKUP(B122,'[11]january-2026'!$A:$A,'[11]january-2026'!$I:$I,0,0)</f>
        <v>60</v>
      </c>
      <c r="DO122">
        <f>IF($F122="YES",0,IF(DL122&gt;40000,200,IF(DL122&gt;25000,150,IF(DL122&gt;15000,130,IF(DL122&gt;10000,110,0)))))</f>
        <v>200</v>
      </c>
      <c r="DP122">
        <f>DL122-DM122-DN122-DO122</f>
        <v>60950</v>
      </c>
      <c r="DQ122">
        <f>_xlfn.XLOOKUP(B122,'[12]february-2026'!$A:$A,'[12]february-2026'!$C:$C,0,0)</f>
        <v>48700</v>
      </c>
      <c r="DR122">
        <f>DQ122*0.18</f>
        <v>8766</v>
      </c>
      <c r="DS122">
        <f>DQ122*0.12</f>
        <v>5844</v>
      </c>
      <c r="DT122">
        <f>_xlfn.XLOOKUP(B122,'[12]february-2026'!$A:$A,'[12]february-2026'!$D:$D,0,0)</f>
        <v>400</v>
      </c>
      <c r="DU122">
        <f>_xlfn.XLOOKUP(B122,'[12]february-2026'!$A:$A,'[12]february-2026'!$G:$G,0,0)</f>
        <v>500</v>
      </c>
      <c r="DV122">
        <f>IF(DQ122&gt;0,SUM(DQ122:DU122),0)</f>
        <v>64210</v>
      </c>
      <c r="DW122">
        <f>_xlfn.XLOOKUP(B122,'[12]february-2026'!$A:$A,'[12]february-2026'!$H:$H,0,0)</f>
        <v>3000</v>
      </c>
      <c r="DX122">
        <f>_xlfn.XLOOKUP(B122,'[12]february-2026'!$A:$A,'[12]february-2026'!$I:$I,0,0)</f>
        <v>60</v>
      </c>
      <c r="DY122">
        <f>IF($F122="YES",0,IF(DV122&gt;40000,200,IF(DV122&gt;25000,150,IF(DV122&gt;15000,130,IF(DV122&gt;10000,110,0)))))</f>
        <v>200</v>
      </c>
      <c r="DZ122">
        <f>DV122-DW122-DX122-DY122</f>
        <v>60950</v>
      </c>
      <c r="EA122">
        <f>DV122+DL122+DB122+CR122+CH122+BX122+BN122+BD122+AS122+AI122+Y122+O122+H122+I122</f>
        <v>768148</v>
      </c>
      <c r="EB122">
        <f>DY122+DO122+DE122+CU122+CK122+CA122+BQ122+BG122+AV122+AL122+AB122+R122</f>
        <v>2400</v>
      </c>
      <c r="EC122">
        <f>IF(EA122&gt;0,50000,0)</f>
        <v>50000</v>
      </c>
      <c r="ED122">
        <v>0</v>
      </c>
      <c r="EE122">
        <f>EA122-EB122-EC122</f>
        <v>715748</v>
      </c>
      <c r="EF122">
        <f>DW122+DM122+DC122+CS122+CI122+BY122+BO122+BE122+AT122+AJ122+Z122+P122</f>
        <v>36000</v>
      </c>
      <c r="EG122">
        <f>DX122+DN122+DD122+CT122+CJ122+BZ122+BP122+BF122+AU122+AK122+AA122+Q122</f>
        <v>720</v>
      </c>
      <c r="EH122">
        <v>0</v>
      </c>
      <c r="EI122">
        <v>0</v>
      </c>
      <c r="EJ122">
        <v>0</v>
      </c>
      <c r="EK122">
        <v>0</v>
      </c>
      <c r="EL122">
        <v>0</v>
      </c>
      <c r="EM122">
        <v>0</v>
      </c>
      <c r="EN122">
        <v>0</v>
      </c>
      <c r="EO122">
        <v>0</v>
      </c>
      <c r="EP122">
        <v>0</v>
      </c>
      <c r="EQ122">
        <v>0</v>
      </c>
      <c r="ER122">
        <f>SUM(EF122:EQ122)</f>
        <v>36720</v>
      </c>
      <c r="ES122">
        <f>IF(ER122&gt;=150000,150000,ER122)</f>
        <v>36720</v>
      </c>
      <c r="ET122">
        <f>EE122-ES122</f>
        <v>679028</v>
      </c>
      <c r="EU122">
        <v>0</v>
      </c>
      <c r="EV122">
        <v>0</v>
      </c>
      <c r="EW122">
        <v>0</v>
      </c>
      <c r="EX122">
        <v>0</v>
      </c>
      <c r="EY122">
        <v>0</v>
      </c>
      <c r="EZ122">
        <v>0</v>
      </c>
      <c r="FA122">
        <v>0</v>
      </c>
      <c r="FB122">
        <f>SUM(EU122:FA122)+(IF(F122="YES",50000,0))</f>
        <v>0</v>
      </c>
      <c r="FC122">
        <f>ET122-FB122</f>
        <v>679028</v>
      </c>
      <c r="FD122">
        <f>ROUND(IF(FC122&gt;0,IF(FC122&gt;500000,12500,(FC122-250000)*0.05),0),0)</f>
        <v>12500</v>
      </c>
      <c r="FE122">
        <f>IF(ROUND(IF(FC122&gt;0,IF(FC122&gt;1000000,25000,(FC122-500000)*0.2),0),0)&lt;0,0,ROUND(IF(FC122&gt;0,IF(FC122&gt;1000000,25000,(FC122-500000)*0.2),0),0))</f>
        <v>35806</v>
      </c>
      <c r="FF122">
        <f>FD122+FE122</f>
        <v>48306</v>
      </c>
      <c r="FG122">
        <f>IF(FF122&lt;12500,0,FF122)</f>
        <v>48306</v>
      </c>
      <c r="FH122">
        <f>FG122*0.04</f>
        <v>1932.24</v>
      </c>
      <c r="FI122">
        <f>ROUND(FH122+FG122,0)</f>
        <v>50238</v>
      </c>
      <c r="FJ122">
        <v>0</v>
      </c>
      <c r="FK122">
        <f>FI122-FJ122</f>
        <v>50238</v>
      </c>
      <c r="FL122" t="b">
        <f>IF(EA122&gt;500000,TRUE,FALSE)</f>
        <v>1</v>
      </c>
      <c r="FM122">
        <f ca="1">IF(FL122,RANDBETWEEN(500,1000),RANDBETWEEN(1000,3000))</f>
        <v>983</v>
      </c>
      <c r="FN122">
        <f ca="1">EA122+FM122</f>
        <v>769131</v>
      </c>
      <c r="FO122">
        <f>IF(EA122&gt;0,75000,0)</f>
        <v>75000</v>
      </c>
      <c r="FP122">
        <f ca="1">FN122-FO122</f>
        <v>694131</v>
      </c>
      <c r="FQ122">
        <f ca="1">IF(FP122&gt;2400000,FP122-2400000,0)</f>
        <v>0</v>
      </c>
      <c r="FR122">
        <f ca="1">FQ122*0.3</f>
        <v>0</v>
      </c>
      <c r="FS122">
        <f ca="1">IF(FP122&gt;2000000,FP122-2000000,0)</f>
        <v>0</v>
      </c>
      <c r="FT122">
        <f ca="1">FS122*0.25</f>
        <v>0</v>
      </c>
      <c r="FU122">
        <f ca="1">IF(FP122&gt;1600000,FP122-1600000-FQ122,0)</f>
        <v>0</v>
      </c>
      <c r="FV122">
        <f ca="1">FU122*0.2</f>
        <v>0</v>
      </c>
      <c r="FW122">
        <f ca="1">IF(FP122&gt;1200000,FP122-1200000-IF(F122="YES",50000,0)-FU122,0)</f>
        <v>0</v>
      </c>
      <c r="FX122">
        <f ca="1">FW122*0.15</f>
        <v>0</v>
      </c>
      <c r="FY122">
        <f ca="1">IF(FP122&gt;800000,FP122-800000-FQ122-FU122-FW122,0)</f>
        <v>0</v>
      </c>
      <c r="FZ122">
        <f ca="1">FY122*0.1</f>
        <v>0</v>
      </c>
      <c r="GA122">
        <f ca="1">IF(FP122&gt;400000,FP122-400000-FQ122-FU122-FW122-FY122,0)</f>
        <v>294131</v>
      </c>
      <c r="GB122">
        <f ca="1">GA122*0.05</f>
        <v>14706.550000000001</v>
      </c>
      <c r="GC122">
        <f ca="1">ROUND(FR122+FT122+FV122+FX122+FZ122+GB122,0)</f>
        <v>14707</v>
      </c>
      <c r="GD122">
        <f ca="1">IF(FP122&gt;1200000,FP122,0)</f>
        <v>0</v>
      </c>
      <c r="GE122">
        <f ca="1">IF(FP122&gt;1200000,GD122-1200000,0)</f>
        <v>0</v>
      </c>
      <c r="GF122">
        <f ca="1">IF(FP122&lt;1200001,MIN(GC122,60000),0)</f>
        <v>14707</v>
      </c>
      <c r="GG122">
        <f ca="1">IF(FP122&gt;1200000,GC122-GE122,0)</f>
        <v>0</v>
      </c>
      <c r="GH122" t="b">
        <f ca="1">IF(GG122&gt;0,TRUE,FALSE)</f>
        <v>0</v>
      </c>
      <c r="GI122">
        <f ca="1">IF(GH122,GG122,0)</f>
        <v>0</v>
      </c>
      <c r="GJ122">
        <f ca="1">GF122+GI122</f>
        <v>14707</v>
      </c>
      <c r="GK122">
        <f ca="1">ROUND(GC122-GJ122,0)</f>
        <v>0</v>
      </c>
      <c r="GL122">
        <f ca="1">GK122*0.04</f>
        <v>0</v>
      </c>
      <c r="GM122">
        <f ca="1">ROUNDUP(GK122+GL122,0)</f>
        <v>0</v>
      </c>
    </row>
    <row r="123" spans="1:195" x14ac:dyDescent="0.25">
      <c r="A123">
        <f>_xlfn.AGGREGATE(3,5,$B$2:B123)</f>
        <v>122</v>
      </c>
      <c r="B123" t="s">
        <v>363</v>
      </c>
      <c r="C123" t="s">
        <v>364</v>
      </c>
      <c r="D123" t="s">
        <v>785</v>
      </c>
      <c r="E123" t="s">
        <v>833</v>
      </c>
      <c r="F123" t="s">
        <v>959</v>
      </c>
      <c r="G123" t="s">
        <v>924</v>
      </c>
      <c r="H123">
        <f>IF(_xlfn.DAYS("31-03-2025",G123)&gt;=180,6800,0)</f>
        <v>6800</v>
      </c>
      <c r="I123">
        <f>_xlfn.XLOOKUP(B123,'[1]march-2025'!$A:$A,'[1]march-2025'!$J:$J,0,0)</f>
        <v>0</v>
      </c>
      <c r="J123">
        <f>_xlfn.XLOOKUP(B123,'[1]march-2025'!$A:$A,'[1]march-2025'!$C:$C,0,0)</f>
        <v>31600</v>
      </c>
      <c r="K123">
        <f>J123*0.14</f>
        <v>4424</v>
      </c>
      <c r="L123">
        <f>J123*0.12</f>
        <v>3792</v>
      </c>
      <c r="M123">
        <f>_xlfn.XLOOKUP(B123,'[1]march-2025'!$A:$A,'[1]march-2025'!$D:$D,0,0)</f>
        <v>0</v>
      </c>
      <c r="N123">
        <f>_xlfn.XLOOKUP(B123,'[1]march-2025'!$A:$A,'[1]march-2025'!$G:$G,0,0)</f>
        <v>500</v>
      </c>
      <c r="O123">
        <f>IF(J123&gt;0,SUM(J123:N123),0)</f>
        <v>40316</v>
      </c>
      <c r="P123">
        <f>_xlfn.XLOOKUP(B123,'[1]march-2025'!$A:$A,'[1]march-2025'!$H:$H,0,0)</f>
        <v>2000</v>
      </c>
      <c r="Q123">
        <f>_xlfn.XLOOKUP(B123,'[1]march-2025'!$A:$A,'[1]march-2025'!$I:$I,0,0)</f>
        <v>0</v>
      </c>
      <c r="R123">
        <f>IF($F123="YES",0,IF(O123&gt;40000,200,IF(O123&gt;25000,150,IF(O123&gt;15000,130,IF(O123&gt;10000,110,0)))))</f>
        <v>200</v>
      </c>
      <c r="S123">
        <f>O123-P123-Q123-R123</f>
        <v>38116</v>
      </c>
      <c r="T123">
        <f>_xlfn.XLOOKUP(B123,'[2]april-2025'!$A:$A,'[2]april-2025'!$C:$C,0,0)</f>
        <v>31600</v>
      </c>
      <c r="U123">
        <f>T123*0.18</f>
        <v>5688</v>
      </c>
      <c r="V123">
        <f>T123*0.12</f>
        <v>3792</v>
      </c>
      <c r="W123">
        <f>_xlfn.XLOOKUP(B123,'[2]april-2025'!$A:$A,'[2]april-2025'!$D:$D,0,0)</f>
        <v>0</v>
      </c>
      <c r="X123">
        <f>_xlfn.XLOOKUP(B123,'[2]april-2025'!$A:$A,'[2]april-2025'!$G:$G,0,0)</f>
        <v>500</v>
      </c>
      <c r="Y123">
        <f>IF(T123&gt;0,SUM(T123:X123),0)</f>
        <v>41580</v>
      </c>
      <c r="Z123">
        <f>_xlfn.XLOOKUP(B123,'[2]april-2025'!$A:$A,'[2]april-2025'!$H:$H,0,0)</f>
        <v>2000</v>
      </c>
      <c r="AA123">
        <f>_xlfn.XLOOKUP(B123,'[2]april-2025'!$A:$A,'[2]april-2025'!$I:$I,0,0)</f>
        <v>0</v>
      </c>
      <c r="AB123">
        <f>IF($F123="YES",0,IF(Y123&gt;40000,200,IF(Y123&gt;25000,150,IF(Y123&gt;15000,130,IF(Y123&gt;10000,110,0)))))</f>
        <v>200</v>
      </c>
      <c r="AC123">
        <f>Y123-Z123-AA123-AB123</f>
        <v>39380</v>
      </c>
      <c r="AD123">
        <f>_xlfn.XLOOKUP(B123,'[3]may-2025'!$A:$A,'[3]may-2025'!$C:$C,0,0)</f>
        <v>31600</v>
      </c>
      <c r="AE123">
        <f>AD123*0.18</f>
        <v>5688</v>
      </c>
      <c r="AF123">
        <f>AD123*0.12</f>
        <v>3792</v>
      </c>
      <c r="AG123">
        <f>_xlfn.XLOOKUP(B123,'[3]may-2025'!$A:$A,'[3]may-2025'!$D:$D,0,0)</f>
        <v>0</v>
      </c>
      <c r="AH123">
        <f>_xlfn.XLOOKUP(B123,'[3]may-2025'!$A:$A,'[3]may-2025'!$G:$G,0,0)</f>
        <v>500</v>
      </c>
      <c r="AI123">
        <f>IF(AD123&gt;0,SUM(AD123:AH123),0)</f>
        <v>41580</v>
      </c>
      <c r="AJ123">
        <f>_xlfn.XLOOKUP(B123,'[3]may-2025'!$A:$A,'[3]may-2025'!$H:$H,0,0)</f>
        <v>2000</v>
      </c>
      <c r="AK123">
        <f>_xlfn.XLOOKUP(B123,'[3]may-2025'!$A:$A,'[3]may-2025'!$I:$I,0,0)</f>
        <v>0</v>
      </c>
      <c r="AL123">
        <f>IF($F123="YES",0,IF(AI123&gt;40000,200,IF(AI123&gt;25000,150,IF(AI123&gt;15000,130,IF(AI123&gt;10000,110,0)))))</f>
        <v>200</v>
      </c>
      <c r="AM123">
        <f>AI123-AJ123-AK123-AL123</f>
        <v>39380</v>
      </c>
      <c r="AN123">
        <f>_xlfn.XLOOKUP(B123,'[4]june-2025'!$A:$A,'[4]june-2025'!$C:$C,0,0)</f>
        <v>31600</v>
      </c>
      <c r="AO123">
        <f>AN123*0.18</f>
        <v>5688</v>
      </c>
      <c r="AP123">
        <f>AN123*0.12</f>
        <v>3792</v>
      </c>
      <c r="AQ123">
        <f>_xlfn.XLOOKUP(B123,'[4]june-2025'!$A:$A,'[4]june-2025'!$D:$D,0,0)</f>
        <v>0</v>
      </c>
      <c r="AR123">
        <f>_xlfn.XLOOKUP(B123,'[4]june-2025'!$A:$A,'[4]june-2025'!$G:$G,0,0)</f>
        <v>500</v>
      </c>
      <c r="AS123">
        <f>IF(AN123&gt;0,SUM(AN123:AR123),0)</f>
        <v>41580</v>
      </c>
      <c r="AT123">
        <f>_xlfn.XLOOKUP(B123,'[4]june-2025'!$A:$A,'[4]june-2025'!$H:$H,0,0)</f>
        <v>2000</v>
      </c>
      <c r="AU123">
        <f>_xlfn.XLOOKUP(B123,'[4]june-2025'!$A:$A,'[4]june-2025'!$I:$I,0,0)</f>
        <v>0</v>
      </c>
      <c r="AV123">
        <f>IF($F123="YES",0,IF(AS123&gt;40000,200,IF(AS123&gt;25000,150,IF(AS123&gt;15000,130,IF(AS123&gt;10000,110,0)))))</f>
        <v>200</v>
      </c>
      <c r="AW123">
        <f>AS123-AT123-AU123-AV123</f>
        <v>39380</v>
      </c>
      <c r="AX123">
        <f>_xlfn.XLOOKUP(B123,'[5]july-2025'!$A:$A,'[5]july-2025'!$C:$C,0,0)</f>
        <v>32500</v>
      </c>
      <c r="AY123">
        <f>AX123*0.18</f>
        <v>5850</v>
      </c>
      <c r="AZ123">
        <v>0</v>
      </c>
      <c r="BA123">
        <f>AX123*0.12</f>
        <v>3900</v>
      </c>
      <c r="BB123">
        <f>_xlfn.XLOOKUP(B123,'[5]july-2025'!$A:$A,'[5]july-2025'!$D:$D,0,0)</f>
        <v>0</v>
      </c>
      <c r="BC123">
        <f>_xlfn.XLOOKUP(B123,'[5]july-2025'!$A:$A,'[5]july-2025'!$G:$G,0,0)</f>
        <v>500</v>
      </c>
      <c r="BD123">
        <f>IF(AX123&gt;0,SUM(AX123:BC123),0)</f>
        <v>42750</v>
      </c>
      <c r="BE123">
        <f>_xlfn.XLOOKUP(B123,'[5]july-2025'!$A:$A,'[5]july-2025'!$H:$H,0,0)</f>
        <v>2000</v>
      </c>
      <c r="BF123">
        <f>_xlfn.XLOOKUP(B123,'[5]july-2025'!$A:$A,'[5]july-2025'!$I:$I,0,0)</f>
        <v>0</v>
      </c>
      <c r="BG123">
        <f>IF($F123="YES",0,IF(BD123&gt;40000,200,IF(BD123&gt;25000,150,IF(BD123&gt;15000,130,IF(BD123&gt;10000,110,0)))))</f>
        <v>200</v>
      </c>
      <c r="BH123">
        <f>BD123-BE123-BF123-BG123</f>
        <v>40550</v>
      </c>
      <c r="BI123">
        <f>_xlfn.XLOOKUP(B123,'[6]august-2025'!$A:$A,'[6]august-2025'!$C:$C,0,0)</f>
        <v>32500</v>
      </c>
      <c r="BJ123">
        <f>BI123*0.18</f>
        <v>5850</v>
      </c>
      <c r="BK123">
        <f>BI123*0.12</f>
        <v>3900</v>
      </c>
      <c r="BL123">
        <f>_xlfn.XLOOKUP(B123,'[6]august-2025'!$A:$A,'[6]august-2025'!$D:$D,0,0)</f>
        <v>0</v>
      </c>
      <c r="BM123">
        <f>_xlfn.XLOOKUP(B123,'[6]august-2025'!$A:$A,'[6]august-2025'!$G:$G,0,0)</f>
        <v>500</v>
      </c>
      <c r="BN123">
        <f>IF(BI123&gt;0,SUM(BI123:BM123),0)</f>
        <v>42750</v>
      </c>
      <c r="BO123">
        <f>_xlfn.XLOOKUP(B123,'[6]august-2025'!$A:$A,'[6]august-2025'!$H:$H,0,0)</f>
        <v>2000</v>
      </c>
      <c r="BP123">
        <f>_xlfn.XLOOKUP(B123,'[6]august-2025'!$A:$A,'[6]august-2025'!$I:$I,0,0)</f>
        <v>0</v>
      </c>
      <c r="BQ123">
        <f>IF($F123="YES",0,IF(BN123&gt;40000,200,IF(BN123&gt;25000,150,IF(BN123&gt;15000,130,IF(BN123&gt;10000,110,0)))))</f>
        <v>200</v>
      </c>
      <c r="BR123">
        <f>BN123-BO123-BP123-BQ123</f>
        <v>40550</v>
      </c>
      <c r="BS123">
        <f>_xlfn.XLOOKUP(B123,'[7]september-2025'!$A:$A,'[7]september-2025'!$C:$C,0,0)</f>
        <v>32500</v>
      </c>
      <c r="BT123">
        <f>BS123*0.18</f>
        <v>5850</v>
      </c>
      <c r="BU123">
        <f>BS123*0.12</f>
        <v>3900</v>
      </c>
      <c r="BV123">
        <f>_xlfn.XLOOKUP(B123,'[7]september-2025'!$A:$A,'[7]september-2025'!$D:$D,0,0)</f>
        <v>0</v>
      </c>
      <c r="BW123">
        <f>_xlfn.XLOOKUP(B123,'[7]september-2025'!$A:$A,'[7]september-2025'!$G:$G,0,0)</f>
        <v>500</v>
      </c>
      <c r="BX123">
        <f>IF(BS123&gt;0,SUM(BS123:BW123),0)</f>
        <v>42750</v>
      </c>
      <c r="BY123">
        <f>_xlfn.XLOOKUP(B123,'[7]september-2025'!$A:$A,'[7]september-2025'!$H:$H,0,0)</f>
        <v>2000</v>
      </c>
      <c r="BZ123">
        <f>_xlfn.XLOOKUP(B123,'[7]september-2025'!$A:$A,'[7]september-2025'!$I:$I,0,0)</f>
        <v>0</v>
      </c>
      <c r="CA123">
        <f>IF($F123="YES",0,IF(BX123&gt;40000,200,IF(BX123&gt;25000,150,IF(BX123&gt;15000,130,IF(BX123&gt;10000,110,0)))))</f>
        <v>200</v>
      </c>
      <c r="CB123">
        <f>BX123-BY123-BZ123-CA123</f>
        <v>40550</v>
      </c>
      <c r="CC123">
        <f>_xlfn.XLOOKUP(B123,'[8]october-2025'!$A:$A,'[8]october-2025'!$C:$C,0,0)</f>
        <v>32500</v>
      </c>
      <c r="CD123">
        <f>CC123*0.18</f>
        <v>5850</v>
      </c>
      <c r="CE123">
        <f>CC123*0.12</f>
        <v>3900</v>
      </c>
      <c r="CF123">
        <f>_xlfn.XLOOKUP(B123,'[8]october-2025'!$A:$A,'[8]october-2025'!$D:$D,0,0)</f>
        <v>0</v>
      </c>
      <c r="CG123">
        <f>_xlfn.XLOOKUP(B123,'[8]october-2025'!$A:$A,'[8]october-2025'!$G:$G,0,0)</f>
        <v>500</v>
      </c>
      <c r="CH123">
        <f>IF(CC123&gt;0,SUM(CC123:CG123),0)</f>
        <v>42750</v>
      </c>
      <c r="CI123">
        <f>_xlfn.XLOOKUP(B123,'[8]october-2025'!$A:$A,'[8]october-2025'!$H:$H,0,0)</f>
        <v>2000</v>
      </c>
      <c r="CJ123">
        <f>_xlfn.XLOOKUP(B123,'[8]october-2025'!$A:$A,'[8]october-2025'!$I:$I,0,0)</f>
        <v>0</v>
      </c>
      <c r="CK123">
        <f>IF($F123="YES",0,IF(CH123&gt;40000,200,IF(CH123&gt;25000,150,IF(CH123&gt;15000,130,IF(CH123&gt;10000,110,0)))))</f>
        <v>200</v>
      </c>
      <c r="CL123">
        <f>CH123-CI123-CJ123-CK123</f>
        <v>40550</v>
      </c>
      <c r="CM123">
        <f>_xlfn.XLOOKUP(B123,'[9]november-2025'!$A:$A,'[9]november-2025'!$C:$C,0,0)</f>
        <v>32500</v>
      </c>
      <c r="CN123">
        <f>CM123*0.18</f>
        <v>5850</v>
      </c>
      <c r="CO123">
        <f>CM123*0.12</f>
        <v>3900</v>
      </c>
      <c r="CP123">
        <f>_xlfn.XLOOKUP(B123,'[9]november-2025'!$A:$A,'[9]november-2025'!$D:$D,0,0)</f>
        <v>0</v>
      </c>
      <c r="CQ123">
        <f>_xlfn.XLOOKUP(B123,'[9]november-2025'!$A:$A,'[9]november-2025'!$G:$G,0,0)</f>
        <v>500</v>
      </c>
      <c r="CR123">
        <f>IF(CM123&gt;0,SUM(CM123:CQ123),0)</f>
        <v>42750</v>
      </c>
      <c r="CS123">
        <f>_xlfn.XLOOKUP(B123,'[9]november-2025'!$A:$A,'[9]november-2025'!$H:$H,0,0)</f>
        <v>2000</v>
      </c>
      <c r="CT123">
        <f>_xlfn.XLOOKUP(B123,'[9]november-2025'!$A:$A,'[9]november-2025'!$I:$I,0,0)</f>
        <v>0</v>
      </c>
      <c r="CU123">
        <f>IF($F123="YES",0,IF(CR123&gt;40000,200,IF(CR123&gt;25000,150,IF(CR123&gt;15000,130,IF(CR123&gt;10000,110,0)))))</f>
        <v>200</v>
      </c>
      <c r="CV123">
        <f>CR123-CS123-CT123-CU123</f>
        <v>40550</v>
      </c>
      <c r="CW123">
        <f>_xlfn.XLOOKUP(B123,'[10]december-2025'!$A:$A,'[10]december-2025'!$C:$C,0,0)</f>
        <v>32500</v>
      </c>
      <c r="CX123">
        <f>ROUND(CW123*0.18,0)</f>
        <v>5850</v>
      </c>
      <c r="CY123">
        <f>ROUND(CW123*0.12,0)</f>
        <v>3900</v>
      </c>
      <c r="CZ123">
        <f>_xlfn.XLOOKUP(B123,'[10]december-2025'!$A:$A,'[10]december-2025'!$D:$D,0,0)</f>
        <v>0</v>
      </c>
      <c r="DA123">
        <f>_xlfn.XLOOKUP(B123,'[10]december-2025'!$A:$A,'[10]december-2025'!$G:$G,0,0)</f>
        <v>500</v>
      </c>
      <c r="DB123">
        <f>IF(CW123&gt;0,SUM(CW123:DA123),0)</f>
        <v>42750</v>
      </c>
      <c r="DC123">
        <f>_xlfn.XLOOKUP(B123,'[10]december-2025'!$A:$A,'[10]december-2025'!$H:$H,0,0)</f>
        <v>2000</v>
      </c>
      <c r="DD123">
        <f>_xlfn.XLOOKUP(B123,'[10]december-2025'!$A:$A,'[10]december-2025'!$I:$I,0,0)</f>
        <v>0</v>
      </c>
      <c r="DE123">
        <f>IF($F123="YES",0,IF(DB123&gt;40000,200,IF(DB123&gt;25000,150,IF(DB123&gt;15000,130,IF(DB123&gt;10000,110,0)))))</f>
        <v>200</v>
      </c>
      <c r="DF123">
        <f>DB123-DC123-DD123-DE123</f>
        <v>40550</v>
      </c>
      <c r="DG123">
        <f>_xlfn.XLOOKUP(B123,'[11]january-2026'!$A:$A,'[11]january-2026'!$C:$C,0,0)</f>
        <v>32500</v>
      </c>
      <c r="DH123">
        <f>DG123*0.18</f>
        <v>5850</v>
      </c>
      <c r="DI123">
        <f>DG123*0.12</f>
        <v>3900</v>
      </c>
      <c r="DJ123">
        <f>_xlfn.XLOOKUP(B123,'[11]january-2026'!$A:$A,'[11]january-2026'!$D:$D,0,0)</f>
        <v>0</v>
      </c>
      <c r="DK123">
        <f>_xlfn.XLOOKUP(B123,'[11]january-2026'!$A:$A,'[11]january-2026'!$G:$G,0,0)</f>
        <v>500</v>
      </c>
      <c r="DL123">
        <f>IF(DG123&gt;0,SUM(DG123:DK123),0)</f>
        <v>42750</v>
      </c>
      <c r="DM123">
        <f>_xlfn.XLOOKUP(B123,'[11]january-2026'!$A:$A,'[11]january-2026'!$H:$H,0,0)</f>
        <v>2000</v>
      </c>
      <c r="DN123">
        <f>_xlfn.XLOOKUP(B123,'[11]january-2026'!$A:$A,'[11]january-2026'!$I:$I,0,0)</f>
        <v>0</v>
      </c>
      <c r="DO123">
        <f>IF($F123="YES",0,IF(DL123&gt;40000,200,IF(DL123&gt;25000,150,IF(DL123&gt;15000,130,IF(DL123&gt;10000,110,0)))))</f>
        <v>200</v>
      </c>
      <c r="DP123">
        <f>DL123-DM123-DN123-DO123</f>
        <v>40550</v>
      </c>
      <c r="DQ123">
        <f>_xlfn.XLOOKUP(B123,'[12]february-2026'!$A:$A,'[12]february-2026'!$C:$C,0,0)</f>
        <v>32500</v>
      </c>
      <c r="DR123">
        <f>DQ123*0.18</f>
        <v>5850</v>
      </c>
      <c r="DS123">
        <f>DQ123*0.12</f>
        <v>3900</v>
      </c>
      <c r="DT123">
        <f>_xlfn.XLOOKUP(B123,'[12]february-2026'!$A:$A,'[12]february-2026'!$D:$D,0,0)</f>
        <v>0</v>
      </c>
      <c r="DU123">
        <f>_xlfn.XLOOKUP(B123,'[12]february-2026'!$A:$A,'[12]february-2026'!$G:$G,0,0)</f>
        <v>500</v>
      </c>
      <c r="DV123">
        <f>IF(DQ123&gt;0,SUM(DQ123:DU123),0)</f>
        <v>42750</v>
      </c>
      <c r="DW123">
        <f>_xlfn.XLOOKUP(B123,'[12]february-2026'!$A:$A,'[12]february-2026'!$H:$H,0,0)</f>
        <v>2000</v>
      </c>
      <c r="DX123">
        <f>_xlfn.XLOOKUP(B123,'[12]february-2026'!$A:$A,'[12]february-2026'!$I:$I,0,0)</f>
        <v>0</v>
      </c>
      <c r="DY123">
        <f>IF($F123="YES",0,IF(DV123&gt;40000,200,IF(DV123&gt;25000,150,IF(DV123&gt;15000,130,IF(DV123&gt;10000,110,0)))))</f>
        <v>200</v>
      </c>
      <c r="DZ123">
        <f>DV123-DW123-DX123-DY123</f>
        <v>40550</v>
      </c>
      <c r="EA123">
        <f>DV123+DL123+DB123+CR123+CH123+BX123+BN123+BD123+AS123+AI123+Y123+O123+H123+I123</f>
        <v>513856</v>
      </c>
      <c r="EB123">
        <f>DY123+DO123+DE123+CU123+CK123+CA123+BQ123+BG123+AV123+AL123+AB123+R123</f>
        <v>2400</v>
      </c>
      <c r="EC123">
        <f>IF(EA123&gt;0,50000,0)</f>
        <v>50000</v>
      </c>
      <c r="ED123">
        <v>0</v>
      </c>
      <c r="EE123">
        <f>EA123-EB123-EC123</f>
        <v>461456</v>
      </c>
      <c r="EF123">
        <f>DW123+DM123+DC123+CS123+CI123+BY123+BO123+BE123+AT123+AJ123+Z123+P123</f>
        <v>24000</v>
      </c>
      <c r="EG123">
        <f>DX123+DN123+DD123+CT123+CJ123+BZ123+BP123+BF123+AU123+AK123+AA123+Q123</f>
        <v>0</v>
      </c>
      <c r="EH123">
        <v>0</v>
      </c>
      <c r="EI123">
        <v>0</v>
      </c>
      <c r="EJ123">
        <v>0</v>
      </c>
      <c r="EK123">
        <v>0</v>
      </c>
      <c r="EL123">
        <v>0</v>
      </c>
      <c r="EM123">
        <v>0</v>
      </c>
      <c r="EN123">
        <v>0</v>
      </c>
      <c r="EO123">
        <v>0</v>
      </c>
      <c r="EP123">
        <v>0</v>
      </c>
      <c r="EQ123">
        <v>0</v>
      </c>
      <c r="ER123">
        <f>SUM(EF123:EQ123)</f>
        <v>24000</v>
      </c>
      <c r="ES123">
        <f>IF(ER123&gt;=150000,150000,ER123)</f>
        <v>24000</v>
      </c>
      <c r="ET123">
        <f>EE123-ES123</f>
        <v>437456</v>
      </c>
      <c r="EU123">
        <v>0</v>
      </c>
      <c r="EV123">
        <v>0</v>
      </c>
      <c r="EW123">
        <v>0</v>
      </c>
      <c r="EX123">
        <v>0</v>
      </c>
      <c r="EY123">
        <v>0</v>
      </c>
      <c r="EZ123">
        <v>0</v>
      </c>
      <c r="FA123">
        <v>0</v>
      </c>
      <c r="FB123">
        <f>SUM(EU123:FA123)+(IF(F123="YES",50000,0))</f>
        <v>0</v>
      </c>
      <c r="FC123">
        <f>ET123-FB123</f>
        <v>437456</v>
      </c>
      <c r="FD123">
        <f>ROUND(IF(FC123&gt;0,IF(FC123&gt;500000,12500,(FC123-250000)*0.05),0),0)</f>
        <v>9373</v>
      </c>
      <c r="FE123">
        <f>IF(ROUND(IF(FC123&gt;0,IF(FC123&gt;1000000,25000,(FC123-500000)*0.2),0),0)&lt;0,0,ROUND(IF(FC123&gt;0,IF(FC123&gt;1000000,25000,(FC123-500000)*0.2),0),0))</f>
        <v>0</v>
      </c>
      <c r="FF123">
        <f>FD123+FE123</f>
        <v>9373</v>
      </c>
      <c r="FG123">
        <f>IF(FF123&lt;12500,0,FF123)</f>
        <v>0</v>
      </c>
      <c r="FH123">
        <f>FG123*0.04</f>
        <v>0</v>
      </c>
      <c r="FI123">
        <f>ROUND(FH123+FG123,0)</f>
        <v>0</v>
      </c>
      <c r="FJ123">
        <v>0</v>
      </c>
      <c r="FK123">
        <f>FI123-FJ123</f>
        <v>0</v>
      </c>
      <c r="FL123" t="b">
        <f>IF(EA123&gt;500000,TRUE,FALSE)</f>
        <v>1</v>
      </c>
      <c r="FM123">
        <f ca="1">IF(FL123,RANDBETWEEN(500,1000),RANDBETWEEN(1000,3000))</f>
        <v>669</v>
      </c>
      <c r="FN123">
        <f ca="1">EA123+FM123</f>
        <v>514525</v>
      </c>
      <c r="FO123">
        <f>IF(EA123&gt;0,75000,0)</f>
        <v>75000</v>
      </c>
      <c r="FP123">
        <f ca="1">FN123-FO123</f>
        <v>439525</v>
      </c>
      <c r="FQ123">
        <f ca="1">IF(FP123&gt;2400000,FP123-2400000,0)</f>
        <v>0</v>
      </c>
      <c r="FR123">
        <f ca="1">FQ123*0.3</f>
        <v>0</v>
      </c>
      <c r="FS123">
        <f ca="1">IF(FP123&gt;2000000,FP123-2000000,0)</f>
        <v>0</v>
      </c>
      <c r="FT123">
        <f ca="1">FS123*0.25</f>
        <v>0</v>
      </c>
      <c r="FU123">
        <f ca="1">IF(FP123&gt;1600000,FP123-1600000-FQ123,0)</f>
        <v>0</v>
      </c>
      <c r="FV123">
        <f ca="1">FU123*0.2</f>
        <v>0</v>
      </c>
      <c r="FW123">
        <f ca="1">IF(FP123&gt;1200000,FP123-1200000-IF(F123="YES",50000,0)-FU123,0)</f>
        <v>0</v>
      </c>
      <c r="FX123">
        <f ca="1">FW123*0.15</f>
        <v>0</v>
      </c>
      <c r="FY123">
        <f ca="1">IF(FP123&gt;800000,FP123-800000-FQ123-FU123-FW123,0)</f>
        <v>0</v>
      </c>
      <c r="FZ123">
        <f ca="1">FY123*0.1</f>
        <v>0</v>
      </c>
      <c r="GA123">
        <f ca="1">IF(FP123&gt;400000,FP123-400000-FQ123-FU123-FW123-FY123,0)</f>
        <v>39525</v>
      </c>
      <c r="GB123">
        <f ca="1">GA123*0.05</f>
        <v>1976.25</v>
      </c>
      <c r="GC123">
        <f ca="1">ROUND(FR123+FT123+FV123+FX123+FZ123+GB123,0)</f>
        <v>1976</v>
      </c>
      <c r="GD123">
        <f ca="1">IF(FP123&gt;1200000,FP123,0)</f>
        <v>0</v>
      </c>
      <c r="GE123">
        <f ca="1">IF(FP123&gt;1200000,GD123-1200000,0)</f>
        <v>0</v>
      </c>
      <c r="GF123">
        <f ca="1">IF(FP123&lt;1200001,MIN(GC123,60000),0)</f>
        <v>1976</v>
      </c>
      <c r="GG123">
        <f ca="1">IF(FP123&gt;1200000,GC123-GE123,0)</f>
        <v>0</v>
      </c>
      <c r="GH123" t="b">
        <f ca="1">IF(GG123&gt;0,TRUE,FALSE)</f>
        <v>0</v>
      </c>
      <c r="GI123">
        <f ca="1">IF(GH123,GG123,0)</f>
        <v>0</v>
      </c>
      <c r="GJ123">
        <f ca="1">GF123+GI123</f>
        <v>1976</v>
      </c>
      <c r="GK123">
        <f ca="1">ROUND(GC123-GJ123,0)</f>
        <v>0</v>
      </c>
      <c r="GL123">
        <f ca="1">GK123*0.04</f>
        <v>0</v>
      </c>
      <c r="GM123">
        <f ca="1">ROUNDUP(GK123+GL123,0)</f>
        <v>0</v>
      </c>
    </row>
    <row r="124" spans="1:195" x14ac:dyDescent="0.25">
      <c r="A124">
        <f>_xlfn.AGGREGATE(3,5,$B$2:B124)</f>
        <v>123</v>
      </c>
      <c r="B124" t="s">
        <v>365</v>
      </c>
      <c r="C124" t="s">
        <v>366</v>
      </c>
      <c r="D124" t="s">
        <v>785</v>
      </c>
      <c r="E124" t="s">
        <v>833</v>
      </c>
      <c r="F124" t="s">
        <v>959</v>
      </c>
      <c r="G124" t="s">
        <v>925</v>
      </c>
      <c r="H124">
        <f>IF(_xlfn.DAYS("31-03-2025",G124)&gt;=180,6800,0)</f>
        <v>6800</v>
      </c>
      <c r="I124">
        <f>_xlfn.XLOOKUP(B124,'[1]march-2025'!$A:$A,'[1]march-2025'!$J:$J,0,0)</f>
        <v>0</v>
      </c>
      <c r="J124">
        <f>_xlfn.XLOOKUP(B124,'[1]march-2025'!$A:$A,'[1]march-2025'!$C:$C,0,0)</f>
        <v>30700</v>
      </c>
      <c r="K124">
        <f>J124*0.14</f>
        <v>4298</v>
      </c>
      <c r="L124">
        <f>J124*0.12</f>
        <v>3684</v>
      </c>
      <c r="M124">
        <f>_xlfn.XLOOKUP(B124,'[1]march-2025'!$A:$A,'[1]march-2025'!$D:$D,0,0)</f>
        <v>0</v>
      </c>
      <c r="N124">
        <f>_xlfn.XLOOKUP(B124,'[1]march-2025'!$A:$A,'[1]march-2025'!$G:$G,0,0)</f>
        <v>500</v>
      </c>
      <c r="O124">
        <f>IF(J124&gt;0,SUM(J124:N124),0)</f>
        <v>39182</v>
      </c>
      <c r="P124">
        <f>_xlfn.XLOOKUP(B124,'[1]march-2025'!$A:$A,'[1]march-2025'!$H:$H,0,0)</f>
        <v>2000</v>
      </c>
      <c r="Q124">
        <f>_xlfn.XLOOKUP(B124,'[1]march-2025'!$A:$A,'[1]march-2025'!$I:$I,0,0)</f>
        <v>0</v>
      </c>
      <c r="R124">
        <f>IF($F124="YES",0,IF(O124&gt;40000,200,IF(O124&gt;25000,150,IF(O124&gt;15000,130,IF(O124&gt;10000,110,0)))))</f>
        <v>150</v>
      </c>
      <c r="S124">
        <f>O124-P124-Q124-R124</f>
        <v>37032</v>
      </c>
      <c r="T124">
        <f>_xlfn.XLOOKUP(B124,'[2]april-2025'!$A:$A,'[2]april-2025'!$C:$C,0,0)</f>
        <v>30700</v>
      </c>
      <c r="U124">
        <f>T124*0.18</f>
        <v>5526</v>
      </c>
      <c r="V124">
        <f>T124*0.12</f>
        <v>3684</v>
      </c>
      <c r="W124">
        <f>_xlfn.XLOOKUP(B124,'[2]april-2025'!$A:$A,'[2]april-2025'!$D:$D,0,0)</f>
        <v>0</v>
      </c>
      <c r="X124">
        <f>_xlfn.XLOOKUP(B124,'[2]april-2025'!$A:$A,'[2]april-2025'!$G:$G,0,0)</f>
        <v>500</v>
      </c>
      <c r="Y124">
        <f>IF(T124&gt;0,SUM(T124:X124),0)</f>
        <v>40410</v>
      </c>
      <c r="Z124">
        <f>_xlfn.XLOOKUP(B124,'[2]april-2025'!$A:$A,'[2]april-2025'!$H:$H,0,0)</f>
        <v>2000</v>
      </c>
      <c r="AA124">
        <f>_xlfn.XLOOKUP(B124,'[2]april-2025'!$A:$A,'[2]april-2025'!$I:$I,0,0)</f>
        <v>0</v>
      </c>
      <c r="AB124">
        <f>IF($F124="YES",0,IF(Y124&gt;40000,200,IF(Y124&gt;25000,150,IF(Y124&gt;15000,130,IF(Y124&gt;10000,110,0)))))</f>
        <v>200</v>
      </c>
      <c r="AC124">
        <f>Y124-Z124-AA124-AB124</f>
        <v>38210</v>
      </c>
      <c r="AD124">
        <f>_xlfn.XLOOKUP(B124,'[3]may-2025'!$A:$A,'[3]may-2025'!$C:$C,0,0)</f>
        <v>30700</v>
      </c>
      <c r="AE124">
        <f>AD124*0.18</f>
        <v>5526</v>
      </c>
      <c r="AF124">
        <f>AD124*0.12</f>
        <v>3684</v>
      </c>
      <c r="AG124">
        <f>_xlfn.XLOOKUP(B124,'[3]may-2025'!$A:$A,'[3]may-2025'!$D:$D,0,0)</f>
        <v>0</v>
      </c>
      <c r="AH124">
        <f>_xlfn.XLOOKUP(B124,'[3]may-2025'!$A:$A,'[3]may-2025'!$G:$G,0,0)</f>
        <v>500</v>
      </c>
      <c r="AI124">
        <f>IF(AD124&gt;0,SUM(AD124:AH124),0)</f>
        <v>40410</v>
      </c>
      <c r="AJ124">
        <f>_xlfn.XLOOKUP(B124,'[3]may-2025'!$A:$A,'[3]may-2025'!$H:$H,0,0)</f>
        <v>2000</v>
      </c>
      <c r="AK124">
        <f>_xlfn.XLOOKUP(B124,'[3]may-2025'!$A:$A,'[3]may-2025'!$I:$I,0,0)</f>
        <v>0</v>
      </c>
      <c r="AL124">
        <f>IF($F124="YES",0,IF(AI124&gt;40000,200,IF(AI124&gt;25000,150,IF(AI124&gt;15000,130,IF(AI124&gt;10000,110,0)))))</f>
        <v>200</v>
      </c>
      <c r="AM124">
        <f>AI124-AJ124-AK124-AL124</f>
        <v>38210</v>
      </c>
      <c r="AN124">
        <f>_xlfn.XLOOKUP(B124,'[4]june-2025'!$A:$A,'[4]june-2025'!$C:$C,0,0)</f>
        <v>30700</v>
      </c>
      <c r="AO124">
        <f>AN124*0.18</f>
        <v>5526</v>
      </c>
      <c r="AP124">
        <f>AN124*0.12</f>
        <v>3684</v>
      </c>
      <c r="AQ124">
        <f>_xlfn.XLOOKUP(B124,'[4]june-2025'!$A:$A,'[4]june-2025'!$D:$D,0,0)</f>
        <v>0</v>
      </c>
      <c r="AR124">
        <f>_xlfn.XLOOKUP(B124,'[4]june-2025'!$A:$A,'[4]june-2025'!$G:$G,0,0)</f>
        <v>500</v>
      </c>
      <c r="AS124">
        <f>IF(AN124&gt;0,SUM(AN124:AR124),0)</f>
        <v>40410</v>
      </c>
      <c r="AT124">
        <f>_xlfn.XLOOKUP(B124,'[4]june-2025'!$A:$A,'[4]june-2025'!$H:$H,0,0)</f>
        <v>2000</v>
      </c>
      <c r="AU124">
        <f>_xlfn.XLOOKUP(B124,'[4]june-2025'!$A:$A,'[4]june-2025'!$I:$I,0,0)</f>
        <v>0</v>
      </c>
      <c r="AV124">
        <f>IF($F124="YES",0,IF(AS124&gt;40000,200,IF(AS124&gt;25000,150,IF(AS124&gt;15000,130,IF(AS124&gt;10000,110,0)))))</f>
        <v>200</v>
      </c>
      <c r="AW124">
        <f>AS124-AT124-AU124-AV124</f>
        <v>38210</v>
      </c>
      <c r="AX124">
        <f>_xlfn.XLOOKUP(B124,'[5]july-2025'!$A:$A,'[5]july-2025'!$C:$C,0,0)</f>
        <v>34500</v>
      </c>
      <c r="AY124">
        <f>AX124*0.18</f>
        <v>6210</v>
      </c>
      <c r="AZ124">
        <v>0</v>
      </c>
      <c r="BA124">
        <f>AX124*0.12</f>
        <v>4140</v>
      </c>
      <c r="BB124">
        <f>_xlfn.XLOOKUP(B124,'[5]july-2025'!$A:$A,'[5]july-2025'!$D:$D,0,0)</f>
        <v>0</v>
      </c>
      <c r="BC124">
        <f>_xlfn.XLOOKUP(B124,'[5]july-2025'!$A:$A,'[5]july-2025'!$G:$G,0,0)</f>
        <v>500</v>
      </c>
      <c r="BD124">
        <f>IF(AX124&gt;0,SUM(AX124:BC124),0)</f>
        <v>45350</v>
      </c>
      <c r="BE124">
        <f>_xlfn.XLOOKUP(B124,'[5]july-2025'!$A:$A,'[5]july-2025'!$H:$H,0,0)</f>
        <v>2000</v>
      </c>
      <c r="BF124">
        <f>_xlfn.XLOOKUP(B124,'[5]july-2025'!$A:$A,'[5]july-2025'!$I:$I,0,0)</f>
        <v>0</v>
      </c>
      <c r="BG124">
        <f>IF($F124="YES",0,IF(BD124&gt;40000,200,IF(BD124&gt;25000,150,IF(BD124&gt;15000,130,IF(BD124&gt;10000,110,0)))))</f>
        <v>200</v>
      </c>
      <c r="BH124">
        <f>BD124-BE124-BF124-BG124</f>
        <v>43150</v>
      </c>
      <c r="BI124">
        <f>_xlfn.XLOOKUP(B124,'[6]august-2025'!$A:$A,'[6]august-2025'!$C:$C,0,0)</f>
        <v>31600</v>
      </c>
      <c r="BJ124">
        <f>BI124*0.18</f>
        <v>5688</v>
      </c>
      <c r="BK124">
        <f>BI124*0.12</f>
        <v>3792</v>
      </c>
      <c r="BL124">
        <f>_xlfn.XLOOKUP(B124,'[6]august-2025'!$A:$A,'[6]august-2025'!$D:$D,0,0)</f>
        <v>0</v>
      </c>
      <c r="BM124">
        <f>_xlfn.XLOOKUP(B124,'[6]august-2025'!$A:$A,'[6]august-2025'!$G:$G,0,0)</f>
        <v>500</v>
      </c>
      <c r="BN124">
        <f>IF(BI124&gt;0,SUM(BI124:BM124),0)</f>
        <v>41580</v>
      </c>
      <c r="BO124">
        <f>_xlfn.XLOOKUP(B124,'[6]august-2025'!$A:$A,'[6]august-2025'!$H:$H,0,0)</f>
        <v>2500</v>
      </c>
      <c r="BP124">
        <f>_xlfn.XLOOKUP(B124,'[6]august-2025'!$A:$A,'[6]august-2025'!$I:$I,0,0)</f>
        <v>0</v>
      </c>
      <c r="BQ124">
        <f>IF($F124="YES",0,IF(BN124&gt;40000,200,IF(BN124&gt;25000,150,IF(BN124&gt;15000,130,IF(BN124&gt;10000,110,0)))))</f>
        <v>200</v>
      </c>
      <c r="BR124">
        <f>BN124-BO124-BP124-BQ124</f>
        <v>38880</v>
      </c>
      <c r="BS124">
        <f>_xlfn.XLOOKUP(B124,'[7]september-2025'!$A:$A,'[7]september-2025'!$C:$C,0,0)</f>
        <v>34500</v>
      </c>
      <c r="BT124">
        <f>BS124*0.18</f>
        <v>6210</v>
      </c>
      <c r="BU124">
        <f>BS124*0.12</f>
        <v>4140</v>
      </c>
      <c r="BV124">
        <f>_xlfn.XLOOKUP(B124,'[7]september-2025'!$A:$A,'[7]september-2025'!$D:$D,0,0)</f>
        <v>0</v>
      </c>
      <c r="BW124">
        <f>_xlfn.XLOOKUP(B124,'[7]september-2025'!$A:$A,'[7]september-2025'!$G:$G,0,0)</f>
        <v>500</v>
      </c>
      <c r="BX124">
        <f>IF(BS124&gt;0,SUM(BS124:BW124),0)</f>
        <v>45350</v>
      </c>
      <c r="BY124">
        <f>_xlfn.XLOOKUP(B124,'[7]september-2025'!$A:$A,'[7]september-2025'!$H:$H,0,0)</f>
        <v>2500</v>
      </c>
      <c r="BZ124">
        <f>_xlfn.XLOOKUP(B124,'[7]september-2025'!$A:$A,'[7]september-2025'!$I:$I,0,0)</f>
        <v>0</v>
      </c>
      <c r="CA124">
        <f>IF($F124="YES",0,IF(BX124&gt;40000,200,IF(BX124&gt;25000,150,IF(BX124&gt;15000,130,IF(BX124&gt;10000,110,0)))))</f>
        <v>200</v>
      </c>
      <c r="CB124">
        <f>BX124-BY124-BZ124-CA124</f>
        <v>42650</v>
      </c>
      <c r="CC124">
        <f>_xlfn.XLOOKUP(B124,'[8]october-2025'!$A:$A,'[8]october-2025'!$C:$C,0,0)</f>
        <v>31600</v>
      </c>
      <c r="CD124">
        <f>CC124*0.18</f>
        <v>5688</v>
      </c>
      <c r="CE124">
        <f>CC124*0.12</f>
        <v>3792</v>
      </c>
      <c r="CF124">
        <f>_xlfn.XLOOKUP(B124,'[8]october-2025'!$A:$A,'[8]october-2025'!$D:$D,0,0)</f>
        <v>0</v>
      </c>
      <c r="CG124">
        <f>_xlfn.XLOOKUP(B124,'[8]october-2025'!$A:$A,'[8]october-2025'!$G:$G,0,0)</f>
        <v>500</v>
      </c>
      <c r="CH124">
        <f>IF(CC124&gt;0,SUM(CC124:CG124),0)</f>
        <v>41580</v>
      </c>
      <c r="CI124">
        <f>_xlfn.XLOOKUP(B124,'[8]october-2025'!$A:$A,'[8]october-2025'!$H:$H,0,0)</f>
        <v>2500</v>
      </c>
      <c r="CJ124">
        <f>_xlfn.XLOOKUP(B124,'[8]october-2025'!$A:$A,'[8]october-2025'!$I:$I,0,0)</f>
        <v>0</v>
      </c>
      <c r="CK124">
        <f>IF($F124="YES",0,IF(CH124&gt;40000,200,IF(CH124&gt;25000,150,IF(CH124&gt;15000,130,IF(CH124&gt;10000,110,0)))))</f>
        <v>200</v>
      </c>
      <c r="CL124">
        <f>CH124-CI124-CJ124-CK124</f>
        <v>38880</v>
      </c>
      <c r="CM124">
        <f>_xlfn.XLOOKUP(B124,'[9]november-2025'!$A:$A,'[9]november-2025'!$C:$C,0,0)</f>
        <v>31600</v>
      </c>
      <c r="CN124">
        <f>CM124*0.18</f>
        <v>5688</v>
      </c>
      <c r="CO124">
        <f>CM124*0.12</f>
        <v>3792</v>
      </c>
      <c r="CP124">
        <f>_xlfn.XLOOKUP(B124,'[9]november-2025'!$A:$A,'[9]november-2025'!$D:$D,0,0)</f>
        <v>0</v>
      </c>
      <c r="CQ124">
        <f>_xlfn.XLOOKUP(B124,'[9]november-2025'!$A:$A,'[9]november-2025'!$G:$G,0,0)</f>
        <v>500</v>
      </c>
      <c r="CR124">
        <f>IF(CM124&gt;0,SUM(CM124:CQ124),0)</f>
        <v>41580</v>
      </c>
      <c r="CS124">
        <f>_xlfn.XLOOKUP(B124,'[9]november-2025'!$A:$A,'[9]november-2025'!$H:$H,0,0)</f>
        <v>2500</v>
      </c>
      <c r="CT124">
        <f>_xlfn.XLOOKUP(B124,'[9]november-2025'!$A:$A,'[9]november-2025'!$I:$I,0,0)</f>
        <v>0</v>
      </c>
      <c r="CU124">
        <f>IF($F124="YES",0,IF(CR124&gt;40000,200,IF(CR124&gt;25000,150,IF(CR124&gt;15000,130,IF(CR124&gt;10000,110,0)))))</f>
        <v>200</v>
      </c>
      <c r="CV124">
        <f>CR124-CS124-CT124-CU124</f>
        <v>38880</v>
      </c>
      <c r="CW124">
        <f>_xlfn.XLOOKUP(B124,'[10]december-2025'!$A:$A,'[10]december-2025'!$C:$C,0,0)</f>
        <v>31600</v>
      </c>
      <c r="CX124">
        <f>ROUND(CW124*0.18,0)</f>
        <v>5688</v>
      </c>
      <c r="CY124">
        <f>ROUND(CW124*0.12,0)</f>
        <v>3792</v>
      </c>
      <c r="CZ124">
        <f>_xlfn.XLOOKUP(B124,'[10]december-2025'!$A:$A,'[10]december-2025'!$D:$D,0,0)</f>
        <v>0</v>
      </c>
      <c r="DA124">
        <f>_xlfn.XLOOKUP(B124,'[10]december-2025'!$A:$A,'[10]december-2025'!$G:$G,0,0)</f>
        <v>500</v>
      </c>
      <c r="DB124">
        <f>IF(CW124&gt;0,SUM(CW124:DA124),0)</f>
        <v>41580</v>
      </c>
      <c r="DC124">
        <f>_xlfn.XLOOKUP(B124,'[10]december-2025'!$A:$A,'[10]december-2025'!$H:$H,0,0)</f>
        <v>2500</v>
      </c>
      <c r="DD124">
        <f>_xlfn.XLOOKUP(B124,'[10]december-2025'!$A:$A,'[10]december-2025'!$I:$I,0,0)</f>
        <v>0</v>
      </c>
      <c r="DE124">
        <f>IF($F124="YES",0,IF(DB124&gt;40000,200,IF(DB124&gt;25000,150,IF(DB124&gt;15000,130,IF(DB124&gt;10000,110,0)))))</f>
        <v>200</v>
      </c>
      <c r="DF124">
        <f>DB124-DC124-DD124-DE124</f>
        <v>38880</v>
      </c>
      <c r="DG124">
        <f>_xlfn.XLOOKUP(B124,'[11]january-2026'!$A:$A,'[11]january-2026'!$C:$C,0,0)</f>
        <v>31600</v>
      </c>
      <c r="DH124">
        <f>DG124*0.18</f>
        <v>5688</v>
      </c>
      <c r="DI124">
        <f>DG124*0.12</f>
        <v>3792</v>
      </c>
      <c r="DJ124">
        <f>_xlfn.XLOOKUP(B124,'[11]january-2026'!$A:$A,'[11]january-2026'!$D:$D,0,0)</f>
        <v>0</v>
      </c>
      <c r="DK124">
        <f>_xlfn.XLOOKUP(B124,'[11]january-2026'!$A:$A,'[11]january-2026'!$G:$G,0,0)</f>
        <v>500</v>
      </c>
      <c r="DL124">
        <f>IF(DG124&gt;0,SUM(DG124:DK124),0)</f>
        <v>41580</v>
      </c>
      <c r="DM124">
        <f>_xlfn.XLOOKUP(B124,'[11]january-2026'!$A:$A,'[11]january-2026'!$H:$H,0,0)</f>
        <v>2500</v>
      </c>
      <c r="DN124">
        <f>_xlfn.XLOOKUP(B124,'[11]january-2026'!$A:$A,'[11]january-2026'!$I:$I,0,0)</f>
        <v>0</v>
      </c>
      <c r="DO124">
        <f>IF($F124="YES",0,IF(DL124&gt;40000,200,IF(DL124&gt;25000,150,IF(DL124&gt;15000,130,IF(DL124&gt;10000,110,0)))))</f>
        <v>200</v>
      </c>
      <c r="DP124">
        <f>DL124-DM124-DN124-DO124</f>
        <v>38880</v>
      </c>
      <c r="DQ124">
        <f>_xlfn.XLOOKUP(B124,'[12]february-2026'!$A:$A,'[12]february-2026'!$C:$C,0,0)</f>
        <v>31600</v>
      </c>
      <c r="DR124">
        <f>DQ124*0.18</f>
        <v>5688</v>
      </c>
      <c r="DS124">
        <f>DQ124*0.12</f>
        <v>3792</v>
      </c>
      <c r="DT124">
        <f>_xlfn.XLOOKUP(B124,'[12]february-2026'!$A:$A,'[12]february-2026'!$D:$D,0,0)</f>
        <v>0</v>
      </c>
      <c r="DU124">
        <f>_xlfn.XLOOKUP(B124,'[12]february-2026'!$A:$A,'[12]february-2026'!$G:$G,0,0)</f>
        <v>500</v>
      </c>
      <c r="DV124">
        <f>IF(DQ124&gt;0,SUM(DQ124:DU124),0)</f>
        <v>41580</v>
      </c>
      <c r="DW124">
        <f>_xlfn.XLOOKUP(B124,'[12]february-2026'!$A:$A,'[12]february-2026'!$H:$H,0,0)</f>
        <v>2500</v>
      </c>
      <c r="DX124">
        <f>_xlfn.XLOOKUP(B124,'[12]february-2026'!$A:$A,'[12]february-2026'!$I:$I,0,0)</f>
        <v>0</v>
      </c>
      <c r="DY124">
        <f>IF($F124="YES",0,IF(DV124&gt;40000,200,IF(DV124&gt;25000,150,IF(DV124&gt;15000,130,IF(DV124&gt;10000,110,0)))))</f>
        <v>200</v>
      </c>
      <c r="DZ124">
        <f>DV124-DW124-DX124-DY124</f>
        <v>38880</v>
      </c>
      <c r="EA124">
        <f>DV124+DL124+DB124+CR124+CH124+BX124+BN124+BD124+AS124+AI124+Y124+O124+H124+I124</f>
        <v>507392</v>
      </c>
      <c r="EB124">
        <f>DY124+DO124+DE124+CU124+CK124+CA124+BQ124+BG124+AV124+AL124+AB124+R124</f>
        <v>2350</v>
      </c>
      <c r="EC124">
        <f>IF(EA124&gt;0,50000,0)</f>
        <v>50000</v>
      </c>
      <c r="ED124">
        <v>0</v>
      </c>
      <c r="EE124">
        <f>EA124-EB124-EC124</f>
        <v>455042</v>
      </c>
      <c r="EF124">
        <f>DW124+DM124+DC124+CS124+CI124+BY124+BO124+BE124+AT124+AJ124+Z124+P124</f>
        <v>27500</v>
      </c>
      <c r="EG124">
        <f>DX124+DN124+DD124+CT124+CJ124+BZ124+BP124+BF124+AU124+AK124+AA124+Q124</f>
        <v>0</v>
      </c>
      <c r="EH124">
        <v>0</v>
      </c>
      <c r="EI124">
        <v>0</v>
      </c>
      <c r="EJ124">
        <v>0</v>
      </c>
      <c r="EK124">
        <v>0</v>
      </c>
      <c r="EL124">
        <v>0</v>
      </c>
      <c r="EM124">
        <v>0</v>
      </c>
      <c r="EN124">
        <v>0</v>
      </c>
      <c r="EO124">
        <v>0</v>
      </c>
      <c r="EP124">
        <v>0</v>
      </c>
      <c r="EQ124">
        <v>0</v>
      </c>
      <c r="ER124">
        <f>SUM(EF124:EQ124)</f>
        <v>27500</v>
      </c>
      <c r="ES124">
        <f>IF(ER124&gt;=150000,150000,ER124)</f>
        <v>27500</v>
      </c>
      <c r="ET124">
        <f>EE124-ES124</f>
        <v>427542</v>
      </c>
      <c r="EU124">
        <v>0</v>
      </c>
      <c r="EV124">
        <v>0</v>
      </c>
      <c r="EW124">
        <v>0</v>
      </c>
      <c r="EX124">
        <v>0</v>
      </c>
      <c r="EY124">
        <v>0</v>
      </c>
      <c r="EZ124">
        <v>0</v>
      </c>
      <c r="FA124">
        <v>0</v>
      </c>
      <c r="FB124">
        <f>SUM(EU124:FA124)+(IF(F124="YES",50000,0))</f>
        <v>0</v>
      </c>
      <c r="FC124">
        <f>ET124-FB124</f>
        <v>427542</v>
      </c>
      <c r="FD124">
        <f>ROUND(IF(FC124&gt;0,IF(FC124&gt;500000,12500,(FC124-250000)*0.05),0),0)</f>
        <v>8877</v>
      </c>
      <c r="FE124">
        <f>IF(ROUND(IF(FC124&gt;0,IF(FC124&gt;1000000,25000,(FC124-500000)*0.2),0),0)&lt;0,0,ROUND(IF(FC124&gt;0,IF(FC124&gt;1000000,25000,(FC124-500000)*0.2),0),0))</f>
        <v>0</v>
      </c>
      <c r="FF124">
        <f>FD124+FE124</f>
        <v>8877</v>
      </c>
      <c r="FG124">
        <f>IF(FF124&lt;12500,0,FF124)</f>
        <v>0</v>
      </c>
      <c r="FH124">
        <f>FG124*0.04</f>
        <v>0</v>
      </c>
      <c r="FI124">
        <f>ROUND(FH124+FG124,0)</f>
        <v>0</v>
      </c>
      <c r="FJ124">
        <v>0</v>
      </c>
      <c r="FK124">
        <f>FI124-FJ124</f>
        <v>0</v>
      </c>
      <c r="FL124" t="b">
        <f>IF(EA124&gt;500000,TRUE,FALSE)</f>
        <v>1</v>
      </c>
      <c r="FM124">
        <f ca="1">IF(FL124,RANDBETWEEN(500,1000),RANDBETWEEN(1000,3000))</f>
        <v>515</v>
      </c>
      <c r="FN124">
        <f ca="1">EA124+FM124</f>
        <v>507907</v>
      </c>
      <c r="FO124">
        <f>IF(EA124&gt;0,75000,0)</f>
        <v>75000</v>
      </c>
      <c r="FP124">
        <f ca="1">FN124-FO124</f>
        <v>432907</v>
      </c>
      <c r="FQ124">
        <f ca="1">IF(FP124&gt;2400000,FP124-2400000,0)</f>
        <v>0</v>
      </c>
      <c r="FR124">
        <f ca="1">FQ124*0.3</f>
        <v>0</v>
      </c>
      <c r="FS124">
        <f ca="1">IF(FP124&gt;2000000,FP124-2000000,0)</f>
        <v>0</v>
      </c>
      <c r="FT124">
        <f ca="1">FS124*0.25</f>
        <v>0</v>
      </c>
      <c r="FU124">
        <f ca="1">IF(FP124&gt;1600000,FP124-1600000-FQ124,0)</f>
        <v>0</v>
      </c>
      <c r="FV124">
        <f ca="1">FU124*0.2</f>
        <v>0</v>
      </c>
      <c r="FW124">
        <f ca="1">IF(FP124&gt;1200000,FP124-1200000-IF(F124="YES",50000,0)-FU124,0)</f>
        <v>0</v>
      </c>
      <c r="FX124">
        <f ca="1">FW124*0.15</f>
        <v>0</v>
      </c>
      <c r="FY124">
        <f ca="1">IF(FP124&gt;800000,FP124-800000-FQ124-FU124-FW124,0)</f>
        <v>0</v>
      </c>
      <c r="FZ124">
        <f ca="1">FY124*0.1</f>
        <v>0</v>
      </c>
      <c r="GA124">
        <f ca="1">IF(FP124&gt;400000,FP124-400000-FQ124-FU124-FW124-FY124,0)</f>
        <v>32907</v>
      </c>
      <c r="GB124">
        <f ca="1">GA124*0.05</f>
        <v>1645.3500000000001</v>
      </c>
      <c r="GC124">
        <f ca="1">ROUND(FR124+FT124+FV124+FX124+FZ124+GB124,0)</f>
        <v>1645</v>
      </c>
      <c r="GD124">
        <f ca="1">IF(FP124&gt;1200000,FP124,0)</f>
        <v>0</v>
      </c>
      <c r="GE124">
        <f ca="1">IF(FP124&gt;1200000,GD124-1200000,0)</f>
        <v>0</v>
      </c>
      <c r="GF124">
        <f ca="1">IF(FP124&lt;1200001,MIN(GC124,60000),0)</f>
        <v>1645</v>
      </c>
      <c r="GG124">
        <f ca="1">IF(FP124&gt;1200000,GC124-GE124,0)</f>
        <v>0</v>
      </c>
      <c r="GH124" t="b">
        <f ca="1">IF(GG124&gt;0,TRUE,FALSE)</f>
        <v>0</v>
      </c>
      <c r="GI124">
        <f ca="1">IF(GH124,GG124,0)</f>
        <v>0</v>
      </c>
      <c r="GJ124">
        <f ca="1">GF124+GI124</f>
        <v>1645</v>
      </c>
      <c r="GK124">
        <f ca="1">ROUND(GC124-GJ124,0)</f>
        <v>0</v>
      </c>
      <c r="GL124">
        <f ca="1">GK124*0.04</f>
        <v>0</v>
      </c>
      <c r="GM124">
        <f ca="1">ROUNDUP(GK124+GL124,0)</f>
        <v>0</v>
      </c>
    </row>
    <row r="125" spans="1:195" x14ac:dyDescent="0.25">
      <c r="A125">
        <f>_xlfn.AGGREGATE(3,5,$B$2:B125)</f>
        <v>124</v>
      </c>
      <c r="B125" t="s">
        <v>367</v>
      </c>
      <c r="C125" t="s">
        <v>368</v>
      </c>
      <c r="D125" t="s">
        <v>786</v>
      </c>
      <c r="E125" t="s">
        <v>833</v>
      </c>
      <c r="F125" t="s">
        <v>959</v>
      </c>
      <c r="G125" t="s">
        <v>926</v>
      </c>
      <c r="H125">
        <f>IF(_xlfn.DAYS("31-03-2025",G125)&gt;=180,6800,0)</f>
        <v>6800</v>
      </c>
      <c r="I125">
        <f>_xlfn.XLOOKUP(B125,'[1]march-2025'!$A:$A,'[1]march-2025'!$J:$J,0,0)</f>
        <v>0</v>
      </c>
      <c r="J125">
        <f>_xlfn.XLOOKUP(B125,'[1]march-2025'!$A:$A,'[1]march-2025'!$C:$C,0,0)</f>
        <v>33500</v>
      </c>
      <c r="K125">
        <f>J125*0.14</f>
        <v>4690</v>
      </c>
      <c r="L125">
        <f>J125*0.12</f>
        <v>4020</v>
      </c>
      <c r="M125">
        <f>_xlfn.XLOOKUP(B125,'[1]march-2025'!$A:$A,'[1]march-2025'!$D:$D,0,0)</f>
        <v>400</v>
      </c>
      <c r="N125">
        <f>_xlfn.XLOOKUP(B125,'[1]march-2025'!$A:$A,'[1]march-2025'!$G:$G,0,0)</f>
        <v>0</v>
      </c>
      <c r="O125">
        <f>IF(J125&gt;0,SUM(J125:N125),0)</f>
        <v>42610</v>
      </c>
      <c r="P125">
        <f>_xlfn.XLOOKUP(B125,'[1]march-2025'!$A:$A,'[1]march-2025'!$H:$H,0,0)</f>
        <v>2500</v>
      </c>
      <c r="Q125">
        <f>_xlfn.XLOOKUP(B125,'[1]march-2025'!$A:$A,'[1]march-2025'!$I:$I,0,0)</f>
        <v>0</v>
      </c>
      <c r="R125">
        <f>IF($F125="YES",0,IF(O125&gt;40000,200,IF(O125&gt;25000,150,IF(O125&gt;15000,130,IF(O125&gt;10000,110,0)))))</f>
        <v>200</v>
      </c>
      <c r="S125">
        <f>O125-P125-Q125-R125</f>
        <v>39910</v>
      </c>
      <c r="T125">
        <f>_xlfn.XLOOKUP(B125,'[2]april-2025'!$A:$A,'[2]april-2025'!$C:$C,0,0)</f>
        <v>33500</v>
      </c>
      <c r="U125">
        <f>T125*0.18</f>
        <v>6030</v>
      </c>
      <c r="V125">
        <f>T125*0.12</f>
        <v>4020</v>
      </c>
      <c r="W125">
        <f>_xlfn.XLOOKUP(B125,'[2]april-2025'!$A:$A,'[2]april-2025'!$D:$D,0,0)</f>
        <v>400</v>
      </c>
      <c r="X125">
        <f>_xlfn.XLOOKUP(B125,'[2]april-2025'!$A:$A,'[2]april-2025'!$G:$G,0,0)</f>
        <v>0</v>
      </c>
      <c r="Y125">
        <f>IF(T125&gt;0,SUM(T125:X125),0)</f>
        <v>43950</v>
      </c>
      <c r="Z125">
        <f>_xlfn.XLOOKUP(B125,'[2]april-2025'!$A:$A,'[2]april-2025'!$H:$H,0,0)</f>
        <v>2500</v>
      </c>
      <c r="AA125">
        <f>_xlfn.XLOOKUP(B125,'[2]april-2025'!$A:$A,'[2]april-2025'!$I:$I,0,0)</f>
        <v>0</v>
      </c>
      <c r="AB125">
        <f>IF($F125="YES",0,IF(Y125&gt;40000,200,IF(Y125&gt;25000,150,IF(Y125&gt;15000,130,IF(Y125&gt;10000,110,0)))))</f>
        <v>200</v>
      </c>
      <c r="AC125">
        <f>Y125-Z125-AA125-AB125</f>
        <v>41250</v>
      </c>
      <c r="AD125">
        <f>_xlfn.XLOOKUP(B125,'[3]may-2025'!$A:$A,'[3]may-2025'!$C:$C,0,0)</f>
        <v>33500</v>
      </c>
      <c r="AE125">
        <f>AD125*0.18</f>
        <v>6030</v>
      </c>
      <c r="AF125">
        <f>AD125*0.12</f>
        <v>4020</v>
      </c>
      <c r="AG125">
        <f>_xlfn.XLOOKUP(B125,'[3]may-2025'!$A:$A,'[3]may-2025'!$D:$D,0,0)</f>
        <v>400</v>
      </c>
      <c r="AH125">
        <f>_xlfn.XLOOKUP(B125,'[3]may-2025'!$A:$A,'[3]may-2025'!$G:$G,0,0)</f>
        <v>0</v>
      </c>
      <c r="AI125">
        <f>IF(AD125&gt;0,SUM(AD125:AH125),0)</f>
        <v>43950</v>
      </c>
      <c r="AJ125">
        <f>_xlfn.XLOOKUP(B125,'[3]may-2025'!$A:$A,'[3]may-2025'!$H:$H,0,0)</f>
        <v>2500</v>
      </c>
      <c r="AK125">
        <f>_xlfn.XLOOKUP(B125,'[3]may-2025'!$A:$A,'[3]may-2025'!$I:$I,0,0)</f>
        <v>0</v>
      </c>
      <c r="AL125">
        <f>IF($F125="YES",0,IF(AI125&gt;40000,200,IF(AI125&gt;25000,150,IF(AI125&gt;15000,130,IF(AI125&gt;10000,110,0)))))</f>
        <v>200</v>
      </c>
      <c r="AM125">
        <f>AI125-AJ125-AK125-AL125</f>
        <v>41250</v>
      </c>
      <c r="AN125">
        <f>_xlfn.XLOOKUP(B125,'[4]june-2025'!$A:$A,'[4]june-2025'!$C:$C,0,0)</f>
        <v>33500</v>
      </c>
      <c r="AO125">
        <f>AN125*0.18</f>
        <v>6030</v>
      </c>
      <c r="AP125">
        <f>AN125*0.12</f>
        <v>4020</v>
      </c>
      <c r="AQ125">
        <f>_xlfn.XLOOKUP(B125,'[4]june-2025'!$A:$A,'[4]june-2025'!$D:$D,0,0)</f>
        <v>400</v>
      </c>
      <c r="AR125">
        <f>_xlfn.XLOOKUP(B125,'[4]june-2025'!$A:$A,'[4]june-2025'!$G:$G,0,0)</f>
        <v>0</v>
      </c>
      <c r="AS125">
        <f>IF(AN125&gt;0,SUM(AN125:AR125),0)</f>
        <v>43950</v>
      </c>
      <c r="AT125">
        <f>_xlfn.XLOOKUP(B125,'[4]june-2025'!$A:$A,'[4]june-2025'!$H:$H,0,0)</f>
        <v>2500</v>
      </c>
      <c r="AU125">
        <f>_xlfn.XLOOKUP(B125,'[4]june-2025'!$A:$A,'[4]june-2025'!$I:$I,0,0)</f>
        <v>0</v>
      </c>
      <c r="AV125">
        <f>IF($F125="YES",0,IF(AS125&gt;40000,200,IF(AS125&gt;25000,150,IF(AS125&gt;15000,130,IF(AS125&gt;10000,110,0)))))</f>
        <v>200</v>
      </c>
      <c r="AW125">
        <f>AS125-AT125-AU125-AV125</f>
        <v>41250</v>
      </c>
      <c r="AX125">
        <f>_xlfn.XLOOKUP(B125,'[5]july-2025'!$A:$A,'[5]july-2025'!$C:$C,0,0)</f>
        <v>34500</v>
      </c>
      <c r="AY125">
        <f>AX125*0.18</f>
        <v>6210</v>
      </c>
      <c r="AZ125">
        <v>0</v>
      </c>
      <c r="BA125">
        <f>AX125*0.12</f>
        <v>4140</v>
      </c>
      <c r="BB125">
        <f>_xlfn.XLOOKUP(B125,'[5]july-2025'!$A:$A,'[5]july-2025'!$D:$D,0,0)</f>
        <v>400</v>
      </c>
      <c r="BC125">
        <f>_xlfn.XLOOKUP(B125,'[5]july-2025'!$A:$A,'[5]july-2025'!$G:$G,0,0)</f>
        <v>0</v>
      </c>
      <c r="BD125">
        <f>IF(AX125&gt;0,SUM(AX125:BC125),0)</f>
        <v>45250</v>
      </c>
      <c r="BE125">
        <f>_xlfn.XLOOKUP(B125,'[5]july-2025'!$A:$A,'[5]july-2025'!$H:$H,0,0)</f>
        <v>2500</v>
      </c>
      <c r="BF125">
        <f>_xlfn.XLOOKUP(B125,'[5]july-2025'!$A:$A,'[5]july-2025'!$I:$I,0,0)</f>
        <v>0</v>
      </c>
      <c r="BG125">
        <f>IF($F125="YES",0,IF(BD125&gt;40000,200,IF(BD125&gt;25000,150,IF(BD125&gt;15000,130,IF(BD125&gt;10000,110,0)))))</f>
        <v>200</v>
      </c>
      <c r="BH125">
        <f>BD125-BE125-BF125-BG125</f>
        <v>42550</v>
      </c>
      <c r="BI125">
        <f>_xlfn.XLOOKUP(B125,'[6]august-2025'!$A:$A,'[6]august-2025'!$C:$C,0,0)</f>
        <v>34500</v>
      </c>
      <c r="BJ125">
        <f>BI125*0.18</f>
        <v>6210</v>
      </c>
      <c r="BK125">
        <f>BI125*0.12</f>
        <v>4140</v>
      </c>
      <c r="BL125">
        <f>_xlfn.XLOOKUP(B125,'[6]august-2025'!$A:$A,'[6]august-2025'!$D:$D,0,0)</f>
        <v>400</v>
      </c>
      <c r="BM125">
        <f>_xlfn.XLOOKUP(B125,'[6]august-2025'!$A:$A,'[6]august-2025'!$G:$G,0,0)</f>
        <v>0</v>
      </c>
      <c r="BN125">
        <f>IF(BI125&gt;0,SUM(BI125:BM125),0)</f>
        <v>45250</v>
      </c>
      <c r="BO125">
        <f>_xlfn.XLOOKUP(B125,'[6]august-2025'!$A:$A,'[6]august-2025'!$H:$H,0,0)</f>
        <v>2500</v>
      </c>
      <c r="BP125">
        <f>_xlfn.XLOOKUP(B125,'[6]august-2025'!$A:$A,'[6]august-2025'!$I:$I,0,0)</f>
        <v>0</v>
      </c>
      <c r="BQ125">
        <f>IF($F125="YES",0,IF(BN125&gt;40000,200,IF(BN125&gt;25000,150,IF(BN125&gt;15000,130,IF(BN125&gt;10000,110,0)))))</f>
        <v>200</v>
      </c>
      <c r="BR125">
        <f>BN125-BO125-BP125-BQ125</f>
        <v>42550</v>
      </c>
      <c r="BS125">
        <f>_xlfn.XLOOKUP(B125,'[7]september-2025'!$A:$A,'[7]september-2025'!$C:$C,0,0)</f>
        <v>34500</v>
      </c>
      <c r="BT125">
        <f>BS125*0.18</f>
        <v>6210</v>
      </c>
      <c r="BU125">
        <f>BS125*0.12</f>
        <v>4140</v>
      </c>
      <c r="BV125">
        <f>_xlfn.XLOOKUP(B125,'[7]september-2025'!$A:$A,'[7]september-2025'!$D:$D,0,0)</f>
        <v>400</v>
      </c>
      <c r="BW125">
        <f>_xlfn.XLOOKUP(B125,'[7]september-2025'!$A:$A,'[7]september-2025'!$G:$G,0,0)</f>
        <v>0</v>
      </c>
      <c r="BX125">
        <f>IF(BS125&gt;0,SUM(BS125:BW125),0)</f>
        <v>45250</v>
      </c>
      <c r="BY125">
        <f>_xlfn.XLOOKUP(B125,'[7]september-2025'!$A:$A,'[7]september-2025'!$H:$H,0,0)</f>
        <v>2500</v>
      </c>
      <c r="BZ125">
        <f>_xlfn.XLOOKUP(B125,'[7]september-2025'!$A:$A,'[7]september-2025'!$I:$I,0,0)</f>
        <v>0</v>
      </c>
      <c r="CA125">
        <f>IF($F125="YES",0,IF(BX125&gt;40000,200,IF(BX125&gt;25000,150,IF(BX125&gt;15000,130,IF(BX125&gt;10000,110,0)))))</f>
        <v>200</v>
      </c>
      <c r="CB125">
        <f>BX125-BY125-BZ125-CA125</f>
        <v>42550</v>
      </c>
      <c r="CC125">
        <f>_xlfn.XLOOKUP(B125,'[8]october-2025'!$A:$A,'[8]october-2025'!$C:$C,0,0)</f>
        <v>34500</v>
      </c>
      <c r="CD125">
        <f>CC125*0.18</f>
        <v>6210</v>
      </c>
      <c r="CE125">
        <f>CC125*0.12</f>
        <v>4140</v>
      </c>
      <c r="CF125">
        <f>_xlfn.XLOOKUP(B125,'[8]october-2025'!$A:$A,'[8]october-2025'!$D:$D,0,0)</f>
        <v>400</v>
      </c>
      <c r="CG125">
        <f>_xlfn.XLOOKUP(B125,'[8]october-2025'!$A:$A,'[8]october-2025'!$G:$G,0,0)</f>
        <v>0</v>
      </c>
      <c r="CH125">
        <f>IF(CC125&gt;0,SUM(CC125:CG125),0)</f>
        <v>45250</v>
      </c>
      <c r="CI125">
        <f>_xlfn.XLOOKUP(B125,'[8]october-2025'!$A:$A,'[8]october-2025'!$H:$H,0,0)</f>
        <v>2500</v>
      </c>
      <c r="CJ125">
        <f>_xlfn.XLOOKUP(B125,'[8]october-2025'!$A:$A,'[8]october-2025'!$I:$I,0,0)</f>
        <v>0</v>
      </c>
      <c r="CK125">
        <f>IF($F125="YES",0,IF(CH125&gt;40000,200,IF(CH125&gt;25000,150,IF(CH125&gt;15000,130,IF(CH125&gt;10000,110,0)))))</f>
        <v>200</v>
      </c>
      <c r="CL125">
        <f>CH125-CI125-CJ125-CK125</f>
        <v>42550</v>
      </c>
      <c r="CM125">
        <f>_xlfn.XLOOKUP(B125,'[9]november-2025'!$A:$A,'[9]november-2025'!$C:$C,0,0)</f>
        <v>34500</v>
      </c>
      <c r="CN125">
        <f>CM125*0.18</f>
        <v>6210</v>
      </c>
      <c r="CO125">
        <f>CM125*0.12</f>
        <v>4140</v>
      </c>
      <c r="CP125">
        <f>_xlfn.XLOOKUP(B125,'[9]november-2025'!$A:$A,'[9]november-2025'!$D:$D,0,0)</f>
        <v>400</v>
      </c>
      <c r="CQ125">
        <f>_xlfn.XLOOKUP(B125,'[9]november-2025'!$A:$A,'[9]november-2025'!$G:$G,0,0)</f>
        <v>0</v>
      </c>
      <c r="CR125">
        <f>IF(CM125&gt;0,SUM(CM125:CQ125),0)</f>
        <v>45250</v>
      </c>
      <c r="CS125">
        <f>_xlfn.XLOOKUP(B125,'[9]november-2025'!$A:$A,'[9]november-2025'!$H:$H,0,0)</f>
        <v>2500</v>
      </c>
      <c r="CT125">
        <f>_xlfn.XLOOKUP(B125,'[9]november-2025'!$A:$A,'[9]november-2025'!$I:$I,0,0)</f>
        <v>0</v>
      </c>
      <c r="CU125">
        <f>IF($F125="YES",0,IF(CR125&gt;40000,200,IF(CR125&gt;25000,150,IF(CR125&gt;15000,130,IF(CR125&gt;10000,110,0)))))</f>
        <v>200</v>
      </c>
      <c r="CV125">
        <f>CR125-CS125-CT125-CU125</f>
        <v>42550</v>
      </c>
      <c r="CW125">
        <f>_xlfn.XLOOKUP(B125,'[10]december-2025'!$A:$A,'[10]december-2025'!$C:$C,0,0)</f>
        <v>34500</v>
      </c>
      <c r="CX125">
        <f>ROUND(CW125*0.18,0)</f>
        <v>6210</v>
      </c>
      <c r="CY125">
        <f>ROUND(CW125*0.12,0)</f>
        <v>4140</v>
      </c>
      <c r="CZ125">
        <f>_xlfn.XLOOKUP(B125,'[10]december-2025'!$A:$A,'[10]december-2025'!$D:$D,0,0)</f>
        <v>400</v>
      </c>
      <c r="DA125">
        <f>_xlfn.XLOOKUP(B125,'[10]december-2025'!$A:$A,'[10]december-2025'!$G:$G,0,0)</f>
        <v>0</v>
      </c>
      <c r="DB125">
        <f>IF(CW125&gt;0,SUM(CW125:DA125),0)</f>
        <v>45250</v>
      </c>
      <c r="DC125">
        <f>_xlfn.XLOOKUP(B125,'[10]december-2025'!$A:$A,'[10]december-2025'!$H:$H,0,0)</f>
        <v>2500</v>
      </c>
      <c r="DD125">
        <f>_xlfn.XLOOKUP(B125,'[10]december-2025'!$A:$A,'[10]december-2025'!$I:$I,0,0)</f>
        <v>0</v>
      </c>
      <c r="DE125">
        <f>IF($F125="YES",0,IF(DB125&gt;40000,200,IF(DB125&gt;25000,150,IF(DB125&gt;15000,130,IF(DB125&gt;10000,110,0)))))</f>
        <v>200</v>
      </c>
      <c r="DF125">
        <f>DB125-DC125-DD125-DE125</f>
        <v>42550</v>
      </c>
      <c r="DG125">
        <f>_xlfn.XLOOKUP(B125,'[11]january-2026'!$A:$A,'[11]january-2026'!$C:$C,0,0)</f>
        <v>34500</v>
      </c>
      <c r="DH125">
        <f>DG125*0.18</f>
        <v>6210</v>
      </c>
      <c r="DI125">
        <f>DG125*0.12</f>
        <v>4140</v>
      </c>
      <c r="DJ125">
        <f>_xlfn.XLOOKUP(B125,'[11]january-2026'!$A:$A,'[11]january-2026'!$D:$D,0,0)</f>
        <v>400</v>
      </c>
      <c r="DK125">
        <f>_xlfn.XLOOKUP(B125,'[11]january-2026'!$A:$A,'[11]january-2026'!$G:$G,0,0)</f>
        <v>0</v>
      </c>
      <c r="DL125">
        <f>IF(DG125&gt;0,SUM(DG125:DK125),0)</f>
        <v>45250</v>
      </c>
      <c r="DM125">
        <f>_xlfn.XLOOKUP(B125,'[11]january-2026'!$A:$A,'[11]january-2026'!$H:$H,0,0)</f>
        <v>2500</v>
      </c>
      <c r="DN125">
        <f>_xlfn.XLOOKUP(B125,'[11]january-2026'!$A:$A,'[11]january-2026'!$I:$I,0,0)</f>
        <v>0</v>
      </c>
      <c r="DO125">
        <f>IF($F125="YES",0,IF(DL125&gt;40000,200,IF(DL125&gt;25000,150,IF(DL125&gt;15000,130,IF(DL125&gt;10000,110,0)))))</f>
        <v>200</v>
      </c>
      <c r="DP125">
        <f>DL125-DM125-DN125-DO125</f>
        <v>42550</v>
      </c>
      <c r="DQ125">
        <f>_xlfn.XLOOKUP(B125,'[12]february-2026'!$A:$A,'[12]february-2026'!$C:$C,0,0)</f>
        <v>34500</v>
      </c>
      <c r="DR125">
        <f>DQ125*0.18</f>
        <v>6210</v>
      </c>
      <c r="DS125">
        <f>DQ125*0.12</f>
        <v>4140</v>
      </c>
      <c r="DT125">
        <f>_xlfn.XLOOKUP(B125,'[12]february-2026'!$A:$A,'[12]february-2026'!$D:$D,0,0)</f>
        <v>400</v>
      </c>
      <c r="DU125">
        <f>_xlfn.XLOOKUP(B125,'[12]february-2026'!$A:$A,'[12]february-2026'!$G:$G,0,0)</f>
        <v>0</v>
      </c>
      <c r="DV125">
        <f>IF(DQ125&gt;0,SUM(DQ125:DU125),0)</f>
        <v>45250</v>
      </c>
      <c r="DW125">
        <f>_xlfn.XLOOKUP(B125,'[12]february-2026'!$A:$A,'[12]february-2026'!$H:$H,0,0)</f>
        <v>2500</v>
      </c>
      <c r="DX125">
        <f>_xlfn.XLOOKUP(B125,'[12]february-2026'!$A:$A,'[12]february-2026'!$I:$I,0,0)</f>
        <v>0</v>
      </c>
      <c r="DY125">
        <f>IF($F125="YES",0,IF(DV125&gt;40000,200,IF(DV125&gt;25000,150,IF(DV125&gt;15000,130,IF(DV125&gt;10000,110,0)))))</f>
        <v>200</v>
      </c>
      <c r="DZ125">
        <f>DV125-DW125-DX125-DY125</f>
        <v>42550</v>
      </c>
      <c r="EA125">
        <f>DV125+DL125+DB125+CR125+CH125+BX125+BN125+BD125+AS125+AI125+Y125+O125+H125+I125</f>
        <v>543260</v>
      </c>
      <c r="EB125">
        <f>DY125+DO125+DE125+CU125+CK125+CA125+BQ125+BG125+AV125+AL125+AB125+R125</f>
        <v>2400</v>
      </c>
      <c r="EC125">
        <f>IF(EA125&gt;0,50000,0)</f>
        <v>50000</v>
      </c>
      <c r="ED125">
        <v>0</v>
      </c>
      <c r="EE125">
        <f>EA125-EB125-EC125</f>
        <v>490860</v>
      </c>
      <c r="EF125">
        <f>DW125+DM125+DC125+CS125+CI125+BY125+BO125+BE125+AT125+AJ125+Z125+P125</f>
        <v>30000</v>
      </c>
      <c r="EG125">
        <f>DX125+DN125+DD125+CT125+CJ125+BZ125+BP125+BF125+AU125+AK125+AA125+Q125</f>
        <v>0</v>
      </c>
      <c r="EH125">
        <v>0</v>
      </c>
      <c r="EI125">
        <v>0</v>
      </c>
      <c r="EJ125">
        <v>0</v>
      </c>
      <c r="EK125">
        <v>0</v>
      </c>
      <c r="EL125">
        <v>0</v>
      </c>
      <c r="EM125">
        <v>0</v>
      </c>
      <c r="EN125">
        <v>0</v>
      </c>
      <c r="EO125">
        <v>0</v>
      </c>
      <c r="EP125">
        <v>0</v>
      </c>
      <c r="EQ125">
        <v>0</v>
      </c>
      <c r="ER125">
        <f>SUM(EF125:EQ125)</f>
        <v>30000</v>
      </c>
      <c r="ES125">
        <f>IF(ER125&gt;=150000,150000,ER125)</f>
        <v>30000</v>
      </c>
      <c r="ET125">
        <f>EE125-ES125</f>
        <v>460860</v>
      </c>
      <c r="EU125">
        <v>0</v>
      </c>
      <c r="EV125">
        <v>0</v>
      </c>
      <c r="EW125">
        <v>0</v>
      </c>
      <c r="EX125">
        <v>0</v>
      </c>
      <c r="EY125">
        <v>0</v>
      </c>
      <c r="EZ125">
        <v>0</v>
      </c>
      <c r="FA125">
        <v>0</v>
      </c>
      <c r="FB125">
        <f>SUM(EU125:FA125)+(IF(F125="YES",50000,0))</f>
        <v>0</v>
      </c>
      <c r="FC125">
        <f>ET125-FB125</f>
        <v>460860</v>
      </c>
      <c r="FD125">
        <f>ROUND(IF(FC125&gt;0,IF(FC125&gt;500000,12500,(FC125-250000)*0.05),0),0)</f>
        <v>10543</v>
      </c>
      <c r="FE125">
        <f>IF(ROUND(IF(FC125&gt;0,IF(FC125&gt;1000000,25000,(FC125-500000)*0.2),0),0)&lt;0,0,ROUND(IF(FC125&gt;0,IF(FC125&gt;1000000,25000,(FC125-500000)*0.2),0),0))</f>
        <v>0</v>
      </c>
      <c r="FF125">
        <f>FD125+FE125</f>
        <v>10543</v>
      </c>
      <c r="FG125">
        <f>IF(FF125&lt;12500,0,FF125)</f>
        <v>0</v>
      </c>
      <c r="FH125">
        <f>FG125*0.04</f>
        <v>0</v>
      </c>
      <c r="FI125">
        <f>ROUND(FH125+FG125,0)</f>
        <v>0</v>
      </c>
      <c r="FJ125">
        <v>0</v>
      </c>
      <c r="FK125">
        <f>FI125-FJ125</f>
        <v>0</v>
      </c>
      <c r="FL125" t="b">
        <f>IF(EA125&gt;500000,TRUE,FALSE)</f>
        <v>1</v>
      </c>
      <c r="FM125">
        <f ca="1">IF(FL125,RANDBETWEEN(500,1000),RANDBETWEEN(1000,3000))</f>
        <v>997</v>
      </c>
      <c r="FN125">
        <f ca="1">EA125+FM125</f>
        <v>544257</v>
      </c>
      <c r="FO125">
        <f>IF(EA125&gt;0,75000,0)</f>
        <v>75000</v>
      </c>
      <c r="FP125">
        <f ca="1">FN125-FO125</f>
        <v>469257</v>
      </c>
      <c r="FQ125">
        <f ca="1">IF(FP125&gt;2400000,FP125-2400000,0)</f>
        <v>0</v>
      </c>
      <c r="FR125">
        <f ca="1">FQ125*0.3</f>
        <v>0</v>
      </c>
      <c r="FS125">
        <f ca="1">IF(FP125&gt;2000000,FP125-2000000,0)</f>
        <v>0</v>
      </c>
      <c r="FT125">
        <f ca="1">FS125*0.25</f>
        <v>0</v>
      </c>
      <c r="FU125">
        <f ca="1">IF(FP125&gt;1600000,FP125-1600000-FQ125,0)</f>
        <v>0</v>
      </c>
      <c r="FV125">
        <f ca="1">FU125*0.2</f>
        <v>0</v>
      </c>
      <c r="FW125">
        <f ca="1">IF(FP125&gt;1200000,FP125-1200000-IF(F125="YES",50000,0)-FU125,0)</f>
        <v>0</v>
      </c>
      <c r="FX125">
        <f ca="1">FW125*0.15</f>
        <v>0</v>
      </c>
      <c r="FY125">
        <f ca="1">IF(FP125&gt;800000,FP125-800000-FQ125-FU125-FW125,0)</f>
        <v>0</v>
      </c>
      <c r="FZ125">
        <f ca="1">FY125*0.1</f>
        <v>0</v>
      </c>
      <c r="GA125">
        <f ca="1">IF(FP125&gt;400000,FP125-400000-FQ125-FU125-FW125-FY125,0)</f>
        <v>69257</v>
      </c>
      <c r="GB125">
        <f ca="1">GA125*0.05</f>
        <v>3462.8500000000004</v>
      </c>
      <c r="GC125">
        <f ca="1">ROUND(FR125+FT125+FV125+FX125+FZ125+GB125,0)</f>
        <v>3463</v>
      </c>
      <c r="GD125">
        <f ca="1">IF(FP125&gt;1200000,FP125,0)</f>
        <v>0</v>
      </c>
      <c r="GE125">
        <f ca="1">IF(FP125&gt;1200000,GD125-1200000,0)</f>
        <v>0</v>
      </c>
      <c r="GF125">
        <f ca="1">IF(FP125&lt;1200001,MIN(GC125,60000),0)</f>
        <v>3463</v>
      </c>
      <c r="GG125">
        <f ca="1">IF(FP125&gt;1200000,GC125-GE125,0)</f>
        <v>0</v>
      </c>
      <c r="GH125" t="b">
        <f ca="1">IF(GG125&gt;0,TRUE,FALSE)</f>
        <v>0</v>
      </c>
      <c r="GI125">
        <f ca="1">IF(GH125,GG125,0)</f>
        <v>0</v>
      </c>
      <c r="GJ125">
        <f ca="1">GF125+GI125</f>
        <v>3463</v>
      </c>
      <c r="GK125">
        <f ca="1">ROUND(GC125-GJ125,0)</f>
        <v>0</v>
      </c>
      <c r="GL125">
        <f ca="1">GK125*0.04</f>
        <v>0</v>
      </c>
      <c r="GM125">
        <f ca="1">ROUNDUP(GK125+GL125,0)</f>
        <v>0</v>
      </c>
    </row>
    <row r="126" spans="1:195" x14ac:dyDescent="0.25">
      <c r="A126">
        <f>_xlfn.AGGREGATE(3,5,$B$2:B126)</f>
        <v>125</v>
      </c>
      <c r="B126" t="s">
        <v>369</v>
      </c>
      <c r="C126" t="s">
        <v>370</v>
      </c>
      <c r="D126" t="s">
        <v>786</v>
      </c>
      <c r="E126" t="s">
        <v>833</v>
      </c>
      <c r="F126" t="s">
        <v>959</v>
      </c>
      <c r="G126" t="s">
        <v>884</v>
      </c>
      <c r="H126">
        <f>IF(_xlfn.DAYS("31-03-2025",G126)&gt;=180,6800,0)</f>
        <v>6800</v>
      </c>
      <c r="I126">
        <f>_xlfn.XLOOKUP(B126,'[1]march-2025'!$A:$A,'[1]march-2025'!$J:$J,0,0)</f>
        <v>0</v>
      </c>
      <c r="J126">
        <f>_xlfn.XLOOKUP(B126,'[1]march-2025'!$A:$A,'[1]march-2025'!$C:$C,0,0)</f>
        <v>27000</v>
      </c>
      <c r="K126">
        <f>J126*0.14</f>
        <v>3780.0000000000005</v>
      </c>
      <c r="L126">
        <f>J126*0.12</f>
        <v>3240</v>
      </c>
      <c r="M126">
        <f>_xlfn.XLOOKUP(B126,'[1]march-2025'!$A:$A,'[1]march-2025'!$D:$D,0,0)</f>
        <v>0</v>
      </c>
      <c r="N126">
        <f>_xlfn.XLOOKUP(B126,'[1]march-2025'!$A:$A,'[1]march-2025'!$G:$G,0,0)</f>
        <v>0</v>
      </c>
      <c r="O126">
        <f>IF(J126&gt;0,SUM(J126:N126),0)</f>
        <v>34020</v>
      </c>
      <c r="P126">
        <f>_xlfn.XLOOKUP(B126,'[1]march-2025'!$A:$A,'[1]march-2025'!$H:$H,0,0)</f>
        <v>2000</v>
      </c>
      <c r="Q126">
        <f>_xlfn.XLOOKUP(B126,'[1]march-2025'!$A:$A,'[1]march-2025'!$I:$I,0,0)</f>
        <v>0</v>
      </c>
      <c r="R126">
        <f>IF($F126="YES",0,IF(O126&gt;40000,200,IF(O126&gt;25000,150,IF(O126&gt;15000,130,IF(O126&gt;10000,110,0)))))</f>
        <v>150</v>
      </c>
      <c r="S126">
        <f>O126-P126-Q126-R126</f>
        <v>31870</v>
      </c>
      <c r="T126">
        <f>_xlfn.XLOOKUP(B126,'[2]april-2025'!$A:$A,'[2]april-2025'!$C:$C,0,0)</f>
        <v>27000</v>
      </c>
      <c r="U126">
        <f>T126*0.18</f>
        <v>4860</v>
      </c>
      <c r="V126">
        <f>T126*0.12</f>
        <v>3240</v>
      </c>
      <c r="W126">
        <f>_xlfn.XLOOKUP(B126,'[2]april-2025'!$A:$A,'[2]april-2025'!$D:$D,0,0)</f>
        <v>0</v>
      </c>
      <c r="X126">
        <f>_xlfn.XLOOKUP(B126,'[2]april-2025'!$A:$A,'[2]april-2025'!$G:$G,0,0)</f>
        <v>0</v>
      </c>
      <c r="Y126">
        <f>IF(T126&gt;0,SUM(T126:X126),0)</f>
        <v>35100</v>
      </c>
      <c r="Z126">
        <f>_xlfn.XLOOKUP(B126,'[2]april-2025'!$A:$A,'[2]april-2025'!$H:$H,0,0)</f>
        <v>2000</v>
      </c>
      <c r="AA126">
        <f>_xlfn.XLOOKUP(B126,'[2]april-2025'!$A:$A,'[2]april-2025'!$I:$I,0,0)</f>
        <v>0</v>
      </c>
      <c r="AB126">
        <f>IF($F126="YES",0,IF(Y126&gt;40000,200,IF(Y126&gt;25000,150,IF(Y126&gt;15000,130,IF(Y126&gt;10000,110,0)))))</f>
        <v>150</v>
      </c>
      <c r="AC126">
        <f>Y126-Z126-AA126-AB126</f>
        <v>32950</v>
      </c>
      <c r="AD126">
        <f>_xlfn.XLOOKUP(B126,'[3]may-2025'!$A:$A,'[3]may-2025'!$C:$C,0,0)</f>
        <v>31600</v>
      </c>
      <c r="AE126">
        <f>AD126*0.18</f>
        <v>5688</v>
      </c>
      <c r="AF126">
        <f>AD126*0.12</f>
        <v>3792</v>
      </c>
      <c r="AG126">
        <f>_xlfn.XLOOKUP(B126,'[3]may-2025'!$A:$A,'[3]may-2025'!$D:$D,0,0)</f>
        <v>0</v>
      </c>
      <c r="AH126">
        <f>_xlfn.XLOOKUP(B126,'[3]may-2025'!$A:$A,'[3]may-2025'!$G:$G,0,0)</f>
        <v>0</v>
      </c>
      <c r="AI126">
        <f>IF(AD126&gt;0,SUM(AD126:AH126),0)</f>
        <v>41080</v>
      </c>
      <c r="AJ126">
        <f>_xlfn.XLOOKUP(B126,'[3]may-2025'!$A:$A,'[3]may-2025'!$H:$H,0,0)</f>
        <v>2000</v>
      </c>
      <c r="AK126">
        <f>_xlfn.XLOOKUP(B126,'[3]may-2025'!$A:$A,'[3]may-2025'!$I:$I,0,0)</f>
        <v>0</v>
      </c>
      <c r="AL126">
        <f>IF($F126="YES",0,IF(AI126&gt;40000,200,IF(AI126&gt;25000,150,IF(AI126&gt;15000,130,IF(AI126&gt;10000,110,0)))))</f>
        <v>200</v>
      </c>
      <c r="AM126">
        <f>AI126-AJ126-AK126-AL126</f>
        <v>38880</v>
      </c>
      <c r="AN126">
        <f>_xlfn.XLOOKUP(B126,'[4]june-2025'!$A:$A,'[4]june-2025'!$C:$C,0,0)</f>
        <v>31600</v>
      </c>
      <c r="AO126">
        <f>AN126*0.18</f>
        <v>5688</v>
      </c>
      <c r="AP126">
        <f>AN126*0.12</f>
        <v>3792</v>
      </c>
      <c r="AQ126">
        <f>_xlfn.XLOOKUP(B126,'[4]june-2025'!$A:$A,'[4]june-2025'!$D:$D,0,0)</f>
        <v>0</v>
      </c>
      <c r="AR126">
        <f>_xlfn.XLOOKUP(B126,'[4]june-2025'!$A:$A,'[4]june-2025'!$G:$G,0,0)</f>
        <v>0</v>
      </c>
      <c r="AS126">
        <f>IF(AN126&gt;0,SUM(AN126:AR126),0)</f>
        <v>41080</v>
      </c>
      <c r="AT126">
        <f>_xlfn.XLOOKUP(B126,'[4]june-2025'!$A:$A,'[4]june-2025'!$H:$H,0,0)</f>
        <v>2000</v>
      </c>
      <c r="AU126">
        <f>_xlfn.XLOOKUP(B126,'[4]june-2025'!$A:$A,'[4]june-2025'!$I:$I,0,0)</f>
        <v>0</v>
      </c>
      <c r="AV126">
        <f>IF($F126="YES",0,IF(AS126&gt;40000,200,IF(AS126&gt;25000,150,IF(AS126&gt;15000,130,IF(AS126&gt;10000,110,0)))))</f>
        <v>200</v>
      </c>
      <c r="AW126">
        <f>AS126-AT126-AU126-AV126</f>
        <v>38880</v>
      </c>
      <c r="AX126">
        <f>_xlfn.XLOOKUP(B126,'[5]july-2025'!$A:$A,'[5]july-2025'!$C:$C,0,0)</f>
        <v>32500</v>
      </c>
      <c r="AY126">
        <f>AX126*0.18</f>
        <v>5850</v>
      </c>
      <c r="AZ126">
        <v>0</v>
      </c>
      <c r="BA126">
        <f>AX126*0.12</f>
        <v>3900</v>
      </c>
      <c r="BB126">
        <f>_xlfn.XLOOKUP(B126,'[5]july-2025'!$A:$A,'[5]july-2025'!$D:$D,0,0)</f>
        <v>0</v>
      </c>
      <c r="BC126">
        <f>_xlfn.XLOOKUP(B126,'[5]july-2025'!$A:$A,'[5]july-2025'!$G:$G,0,0)</f>
        <v>0</v>
      </c>
      <c r="BD126">
        <f>IF(AX126&gt;0,SUM(AX126:BC126),0)</f>
        <v>42250</v>
      </c>
      <c r="BE126">
        <f>_xlfn.XLOOKUP(B126,'[5]july-2025'!$A:$A,'[5]july-2025'!$H:$H,0,0)</f>
        <v>2000</v>
      </c>
      <c r="BF126">
        <f>_xlfn.XLOOKUP(B126,'[5]july-2025'!$A:$A,'[5]july-2025'!$I:$I,0,0)</f>
        <v>0</v>
      </c>
      <c r="BG126">
        <f>IF($F126="YES",0,IF(BD126&gt;40000,200,IF(BD126&gt;25000,150,IF(BD126&gt;15000,130,IF(BD126&gt;10000,110,0)))))</f>
        <v>200</v>
      </c>
      <c r="BH126">
        <f>BD126-BE126-BF126-BG126</f>
        <v>40050</v>
      </c>
      <c r="BI126">
        <f>_xlfn.XLOOKUP(B126,'[6]august-2025'!$A:$A,'[6]august-2025'!$C:$C,0,0)</f>
        <v>32500</v>
      </c>
      <c r="BJ126">
        <f>BI126*0.18</f>
        <v>5850</v>
      </c>
      <c r="BK126">
        <f>BI126*0.12</f>
        <v>3900</v>
      </c>
      <c r="BL126">
        <f>_xlfn.XLOOKUP(B126,'[6]august-2025'!$A:$A,'[6]august-2025'!$D:$D,0,0)</f>
        <v>0</v>
      </c>
      <c r="BM126">
        <f>_xlfn.XLOOKUP(B126,'[6]august-2025'!$A:$A,'[6]august-2025'!$G:$G,0,0)</f>
        <v>0</v>
      </c>
      <c r="BN126">
        <f>IF(BI126&gt;0,SUM(BI126:BM126),0)</f>
        <v>42250</v>
      </c>
      <c r="BO126">
        <f>_xlfn.XLOOKUP(B126,'[6]august-2025'!$A:$A,'[6]august-2025'!$H:$H,0,0)</f>
        <v>2000</v>
      </c>
      <c r="BP126">
        <f>_xlfn.XLOOKUP(B126,'[6]august-2025'!$A:$A,'[6]august-2025'!$I:$I,0,0)</f>
        <v>0</v>
      </c>
      <c r="BQ126">
        <f>IF($F126="YES",0,IF(BN126&gt;40000,200,IF(BN126&gt;25000,150,IF(BN126&gt;15000,130,IF(BN126&gt;10000,110,0)))))</f>
        <v>200</v>
      </c>
      <c r="BR126">
        <f>BN126-BO126-BP126-BQ126</f>
        <v>40050</v>
      </c>
      <c r="BS126">
        <f>_xlfn.XLOOKUP(B126,'[7]september-2025'!$A:$A,'[7]september-2025'!$C:$C,0,0)</f>
        <v>32500</v>
      </c>
      <c r="BT126">
        <f>BS126*0.18</f>
        <v>5850</v>
      </c>
      <c r="BU126">
        <f>BS126*0.12</f>
        <v>3900</v>
      </c>
      <c r="BV126">
        <f>_xlfn.XLOOKUP(B126,'[7]september-2025'!$A:$A,'[7]september-2025'!$D:$D,0,0)</f>
        <v>0</v>
      </c>
      <c r="BW126">
        <f>_xlfn.XLOOKUP(B126,'[7]september-2025'!$A:$A,'[7]september-2025'!$G:$G,0,0)</f>
        <v>0</v>
      </c>
      <c r="BX126">
        <f>IF(BS126&gt;0,SUM(BS126:BW126),0)</f>
        <v>42250</v>
      </c>
      <c r="BY126">
        <f>_xlfn.XLOOKUP(B126,'[7]september-2025'!$A:$A,'[7]september-2025'!$H:$H,0,0)</f>
        <v>2000</v>
      </c>
      <c r="BZ126">
        <f>_xlfn.XLOOKUP(B126,'[7]september-2025'!$A:$A,'[7]september-2025'!$I:$I,0,0)</f>
        <v>0</v>
      </c>
      <c r="CA126">
        <f>IF($F126="YES",0,IF(BX126&gt;40000,200,IF(BX126&gt;25000,150,IF(BX126&gt;15000,130,IF(BX126&gt;10000,110,0)))))</f>
        <v>200</v>
      </c>
      <c r="CB126">
        <f>BX126-BY126-BZ126-CA126</f>
        <v>40050</v>
      </c>
      <c r="CC126">
        <f>_xlfn.XLOOKUP(B126,'[8]october-2025'!$A:$A,'[8]october-2025'!$C:$C,0,0)</f>
        <v>32500</v>
      </c>
      <c r="CD126">
        <f>CC126*0.18</f>
        <v>5850</v>
      </c>
      <c r="CE126">
        <f>CC126*0.12</f>
        <v>3900</v>
      </c>
      <c r="CF126">
        <f>_xlfn.XLOOKUP(B126,'[8]october-2025'!$A:$A,'[8]october-2025'!$D:$D,0,0)</f>
        <v>0</v>
      </c>
      <c r="CG126">
        <f>_xlfn.XLOOKUP(B126,'[8]october-2025'!$A:$A,'[8]october-2025'!$G:$G,0,0)</f>
        <v>0</v>
      </c>
      <c r="CH126">
        <f>IF(CC126&gt;0,SUM(CC126:CG126),0)</f>
        <v>42250</v>
      </c>
      <c r="CI126">
        <f>_xlfn.XLOOKUP(B126,'[8]october-2025'!$A:$A,'[8]october-2025'!$H:$H,0,0)</f>
        <v>2000</v>
      </c>
      <c r="CJ126">
        <f>_xlfn.XLOOKUP(B126,'[8]october-2025'!$A:$A,'[8]october-2025'!$I:$I,0,0)</f>
        <v>0</v>
      </c>
      <c r="CK126">
        <f>IF($F126="YES",0,IF(CH126&gt;40000,200,IF(CH126&gt;25000,150,IF(CH126&gt;15000,130,IF(CH126&gt;10000,110,0)))))</f>
        <v>200</v>
      </c>
      <c r="CL126">
        <f>CH126-CI126-CJ126-CK126</f>
        <v>40050</v>
      </c>
      <c r="CM126">
        <f>_xlfn.XLOOKUP(B126,'[9]november-2025'!$A:$A,'[9]november-2025'!$C:$C,0,0)</f>
        <v>32500</v>
      </c>
      <c r="CN126">
        <f>CM126*0.18</f>
        <v>5850</v>
      </c>
      <c r="CO126">
        <f>CM126*0.12</f>
        <v>3900</v>
      </c>
      <c r="CP126">
        <f>_xlfn.XLOOKUP(B126,'[9]november-2025'!$A:$A,'[9]november-2025'!$D:$D,0,0)</f>
        <v>0</v>
      </c>
      <c r="CQ126">
        <f>_xlfn.XLOOKUP(B126,'[9]november-2025'!$A:$A,'[9]november-2025'!$G:$G,0,0)</f>
        <v>0</v>
      </c>
      <c r="CR126">
        <f>IF(CM126&gt;0,SUM(CM126:CQ126),0)</f>
        <v>42250</v>
      </c>
      <c r="CS126">
        <f>_xlfn.XLOOKUP(B126,'[9]november-2025'!$A:$A,'[9]november-2025'!$H:$H,0,0)</f>
        <v>2000</v>
      </c>
      <c r="CT126">
        <f>_xlfn.XLOOKUP(B126,'[9]november-2025'!$A:$A,'[9]november-2025'!$I:$I,0,0)</f>
        <v>0</v>
      </c>
      <c r="CU126">
        <f>IF($F126="YES",0,IF(CR126&gt;40000,200,IF(CR126&gt;25000,150,IF(CR126&gt;15000,130,IF(CR126&gt;10000,110,0)))))</f>
        <v>200</v>
      </c>
      <c r="CV126">
        <f>CR126-CS126-CT126-CU126</f>
        <v>40050</v>
      </c>
      <c r="CW126">
        <f>_xlfn.XLOOKUP(B126,'[10]december-2025'!$A:$A,'[10]december-2025'!$C:$C,0,0)</f>
        <v>32500</v>
      </c>
      <c r="CX126">
        <f>ROUND(CW126*0.18,0)</f>
        <v>5850</v>
      </c>
      <c r="CY126">
        <f>ROUND(CW126*0.12,0)</f>
        <v>3900</v>
      </c>
      <c r="CZ126">
        <f>_xlfn.XLOOKUP(B126,'[10]december-2025'!$A:$A,'[10]december-2025'!$D:$D,0,0)</f>
        <v>0</v>
      </c>
      <c r="DA126">
        <f>_xlfn.XLOOKUP(B126,'[10]december-2025'!$A:$A,'[10]december-2025'!$G:$G,0,0)</f>
        <v>0</v>
      </c>
      <c r="DB126">
        <f>IF(CW126&gt;0,SUM(CW126:DA126),0)</f>
        <v>42250</v>
      </c>
      <c r="DC126">
        <f>_xlfn.XLOOKUP(B126,'[10]december-2025'!$A:$A,'[10]december-2025'!$H:$H,0,0)</f>
        <v>2000</v>
      </c>
      <c r="DD126">
        <f>_xlfn.XLOOKUP(B126,'[10]december-2025'!$A:$A,'[10]december-2025'!$I:$I,0,0)</f>
        <v>0</v>
      </c>
      <c r="DE126">
        <f>IF($F126="YES",0,IF(DB126&gt;40000,200,IF(DB126&gt;25000,150,IF(DB126&gt;15000,130,IF(DB126&gt;10000,110,0)))))</f>
        <v>200</v>
      </c>
      <c r="DF126">
        <f>DB126-DC126-DD126-DE126</f>
        <v>40050</v>
      </c>
      <c r="DG126">
        <f>_xlfn.XLOOKUP(B126,'[11]january-2026'!$A:$A,'[11]january-2026'!$C:$C,0,0)</f>
        <v>32500</v>
      </c>
      <c r="DH126">
        <f>DG126*0.18</f>
        <v>5850</v>
      </c>
      <c r="DI126">
        <f>DG126*0.12</f>
        <v>3900</v>
      </c>
      <c r="DJ126">
        <f>_xlfn.XLOOKUP(B126,'[11]january-2026'!$A:$A,'[11]january-2026'!$D:$D,0,0)</f>
        <v>0</v>
      </c>
      <c r="DK126">
        <f>_xlfn.XLOOKUP(B126,'[11]january-2026'!$A:$A,'[11]january-2026'!$G:$G,0,0)</f>
        <v>0</v>
      </c>
      <c r="DL126">
        <f>IF(DG126&gt;0,SUM(DG126:DK126),0)</f>
        <v>42250</v>
      </c>
      <c r="DM126">
        <f>_xlfn.XLOOKUP(B126,'[11]january-2026'!$A:$A,'[11]january-2026'!$H:$H,0,0)</f>
        <v>2000</v>
      </c>
      <c r="DN126">
        <f>_xlfn.XLOOKUP(B126,'[11]january-2026'!$A:$A,'[11]january-2026'!$I:$I,0,0)</f>
        <v>0</v>
      </c>
      <c r="DO126">
        <f>IF($F126="YES",0,IF(DL126&gt;40000,200,IF(DL126&gt;25000,150,IF(DL126&gt;15000,130,IF(DL126&gt;10000,110,0)))))</f>
        <v>200</v>
      </c>
      <c r="DP126">
        <f>DL126-DM126-DN126-DO126</f>
        <v>40050</v>
      </c>
      <c r="DQ126">
        <f>_xlfn.XLOOKUP(B126,'[12]february-2026'!$A:$A,'[12]february-2026'!$C:$C,0,0)</f>
        <v>32500</v>
      </c>
      <c r="DR126">
        <f>DQ126*0.18</f>
        <v>5850</v>
      </c>
      <c r="DS126">
        <f>DQ126*0.12</f>
        <v>3900</v>
      </c>
      <c r="DT126">
        <f>_xlfn.XLOOKUP(B126,'[12]february-2026'!$A:$A,'[12]february-2026'!$D:$D,0,0)</f>
        <v>0</v>
      </c>
      <c r="DU126">
        <f>_xlfn.XLOOKUP(B126,'[12]february-2026'!$A:$A,'[12]february-2026'!$G:$G,0,0)</f>
        <v>0</v>
      </c>
      <c r="DV126">
        <f>IF(DQ126&gt;0,SUM(DQ126:DU126),0)</f>
        <v>42250</v>
      </c>
      <c r="DW126">
        <f>_xlfn.XLOOKUP(B126,'[12]february-2026'!$A:$A,'[12]february-2026'!$H:$H,0,0)</f>
        <v>2000</v>
      </c>
      <c r="DX126">
        <f>_xlfn.XLOOKUP(B126,'[12]february-2026'!$A:$A,'[12]february-2026'!$I:$I,0,0)</f>
        <v>0</v>
      </c>
      <c r="DY126">
        <f>IF($F126="YES",0,IF(DV126&gt;40000,200,IF(DV126&gt;25000,150,IF(DV126&gt;15000,130,IF(DV126&gt;10000,110,0)))))</f>
        <v>200</v>
      </c>
      <c r="DZ126">
        <f>DV126-DW126-DX126-DY126</f>
        <v>40050</v>
      </c>
      <c r="EA126">
        <f>DV126+DL126+DB126+CR126+CH126+BX126+BN126+BD126+AS126+AI126+Y126+O126+H126+I126</f>
        <v>496080</v>
      </c>
      <c r="EB126">
        <f>DY126+DO126+DE126+CU126+CK126+CA126+BQ126+BG126+AV126+AL126+AB126+R126</f>
        <v>2300</v>
      </c>
      <c r="EC126">
        <f>IF(EA126&gt;0,50000,0)</f>
        <v>50000</v>
      </c>
      <c r="ED126">
        <v>0</v>
      </c>
      <c r="EE126">
        <f>EA126-EB126-EC126</f>
        <v>443780</v>
      </c>
      <c r="EF126">
        <f>DW126+DM126+DC126+CS126+CI126+BY126+BO126+BE126+AT126+AJ126+Z126+P126</f>
        <v>24000</v>
      </c>
      <c r="EG126">
        <f>DX126+DN126+DD126+CT126+CJ126+BZ126+BP126+BF126+AU126+AK126+AA126+Q126</f>
        <v>0</v>
      </c>
      <c r="EH126">
        <v>0</v>
      </c>
      <c r="EI126">
        <v>0</v>
      </c>
      <c r="EJ126">
        <v>0</v>
      </c>
      <c r="EK126">
        <v>0</v>
      </c>
      <c r="EL126">
        <v>0</v>
      </c>
      <c r="EM126">
        <v>0</v>
      </c>
      <c r="EN126">
        <v>0</v>
      </c>
      <c r="EO126">
        <v>0</v>
      </c>
      <c r="EP126">
        <v>0</v>
      </c>
      <c r="EQ126">
        <v>0</v>
      </c>
      <c r="ER126">
        <f>SUM(EF126:EQ126)</f>
        <v>24000</v>
      </c>
      <c r="ES126">
        <f>IF(ER126&gt;=150000,150000,ER126)</f>
        <v>24000</v>
      </c>
      <c r="ET126">
        <f>EE126-ES126</f>
        <v>419780</v>
      </c>
      <c r="EU126">
        <v>0</v>
      </c>
      <c r="EV126">
        <v>0</v>
      </c>
      <c r="EW126">
        <v>0</v>
      </c>
      <c r="EX126">
        <v>0</v>
      </c>
      <c r="EY126">
        <v>0</v>
      </c>
      <c r="EZ126">
        <v>0</v>
      </c>
      <c r="FA126">
        <v>0</v>
      </c>
      <c r="FB126">
        <f>SUM(EU126:FA126)+(IF(F126="YES",50000,0))</f>
        <v>0</v>
      </c>
      <c r="FC126">
        <f>ET126-FB126</f>
        <v>419780</v>
      </c>
      <c r="FD126">
        <f>ROUND(IF(FC126&gt;0,IF(FC126&gt;500000,12500,(FC126-250000)*0.05),0),0)</f>
        <v>8489</v>
      </c>
      <c r="FE126">
        <f>IF(ROUND(IF(FC126&gt;0,IF(FC126&gt;1000000,25000,(FC126-500000)*0.2),0),0)&lt;0,0,ROUND(IF(FC126&gt;0,IF(FC126&gt;1000000,25000,(FC126-500000)*0.2),0),0))</f>
        <v>0</v>
      </c>
      <c r="FF126">
        <f>FD126+FE126</f>
        <v>8489</v>
      </c>
      <c r="FG126">
        <f>IF(FF126&lt;12500,0,FF126)</f>
        <v>0</v>
      </c>
      <c r="FH126">
        <f>FG126*0.04</f>
        <v>0</v>
      </c>
      <c r="FI126">
        <f>ROUND(FH126+FG126,0)</f>
        <v>0</v>
      </c>
      <c r="FJ126">
        <v>0</v>
      </c>
      <c r="FK126">
        <f>FI126-FJ126</f>
        <v>0</v>
      </c>
      <c r="FL126" t="b">
        <f>IF(EA126&gt;500000,TRUE,FALSE)</f>
        <v>0</v>
      </c>
      <c r="FM126">
        <f ca="1">IF(FL126,RANDBETWEEN(500,1000),RANDBETWEEN(1000,3000))</f>
        <v>2874</v>
      </c>
      <c r="FN126">
        <f ca="1">EA126+FM126</f>
        <v>498954</v>
      </c>
      <c r="FO126">
        <f>IF(EA126&gt;0,75000,0)</f>
        <v>75000</v>
      </c>
      <c r="FP126">
        <f ca="1">FN126-FO126</f>
        <v>423954</v>
      </c>
      <c r="FQ126">
        <f ca="1">IF(FP126&gt;2400000,FP126-2400000,0)</f>
        <v>0</v>
      </c>
      <c r="FR126">
        <f ca="1">FQ126*0.3</f>
        <v>0</v>
      </c>
      <c r="FS126">
        <f ca="1">IF(FP126&gt;2000000,FP126-2000000,0)</f>
        <v>0</v>
      </c>
      <c r="FT126">
        <f ca="1">FS126*0.25</f>
        <v>0</v>
      </c>
      <c r="FU126">
        <f ca="1">IF(FP126&gt;1600000,FP126-1600000-FQ126,0)</f>
        <v>0</v>
      </c>
      <c r="FV126">
        <f ca="1">FU126*0.2</f>
        <v>0</v>
      </c>
      <c r="FW126">
        <f ca="1">IF(FP126&gt;1200000,FP126-1200000-IF(F126="YES",50000,0)-FU126,0)</f>
        <v>0</v>
      </c>
      <c r="FX126">
        <f ca="1">FW126*0.15</f>
        <v>0</v>
      </c>
      <c r="FY126">
        <f ca="1">IF(FP126&gt;800000,FP126-800000-FQ126-FU126-FW126,0)</f>
        <v>0</v>
      </c>
      <c r="FZ126">
        <f ca="1">FY126*0.1</f>
        <v>0</v>
      </c>
      <c r="GA126">
        <f ca="1">IF(FP126&gt;400000,FP126-400000-FQ126-FU126-FW126-FY126,0)</f>
        <v>23954</v>
      </c>
      <c r="GB126">
        <f ca="1">GA126*0.05</f>
        <v>1197.7</v>
      </c>
      <c r="GC126">
        <f ca="1">ROUND(FR126+FT126+FV126+FX126+FZ126+GB126,0)</f>
        <v>1198</v>
      </c>
      <c r="GD126">
        <f ca="1">IF(FP126&gt;1200000,FP126,0)</f>
        <v>0</v>
      </c>
      <c r="GE126">
        <f ca="1">IF(FP126&gt;1200000,GD126-1200000,0)</f>
        <v>0</v>
      </c>
      <c r="GF126">
        <f ca="1">IF(FP126&lt;1200001,MIN(GC126,60000),0)</f>
        <v>1198</v>
      </c>
      <c r="GG126">
        <f ca="1">IF(FP126&gt;1200000,GC126-GE126,0)</f>
        <v>0</v>
      </c>
      <c r="GH126" t="b">
        <f ca="1">IF(GG126&gt;0,TRUE,FALSE)</f>
        <v>0</v>
      </c>
      <c r="GI126">
        <f ca="1">IF(GH126,GG126,0)</f>
        <v>0</v>
      </c>
      <c r="GJ126">
        <f ca="1">GF126+GI126</f>
        <v>1198</v>
      </c>
      <c r="GK126">
        <f ca="1">ROUND(GC126-GJ126,0)</f>
        <v>0</v>
      </c>
      <c r="GL126">
        <f ca="1">GK126*0.04</f>
        <v>0</v>
      </c>
      <c r="GM126">
        <f ca="1">ROUNDUP(GK126+GL126,0)</f>
        <v>0</v>
      </c>
    </row>
    <row r="127" spans="1:195" x14ac:dyDescent="0.25">
      <c r="A127">
        <f>_xlfn.AGGREGATE(3,5,$B$2:B127)</f>
        <v>126</v>
      </c>
      <c r="B127" t="s">
        <v>371</v>
      </c>
      <c r="C127" t="s">
        <v>372</v>
      </c>
      <c r="D127" t="s">
        <v>786</v>
      </c>
      <c r="E127" t="s">
        <v>833</v>
      </c>
      <c r="F127" t="s">
        <v>959</v>
      </c>
      <c r="G127" t="s">
        <v>906</v>
      </c>
      <c r="H127">
        <f>IF(_xlfn.DAYS("31-03-2025",G127)&gt;=180,6800,0)</f>
        <v>6800</v>
      </c>
      <c r="I127">
        <f>_xlfn.XLOOKUP(B127,'[1]march-2025'!$A:$A,'[1]march-2025'!$J:$J,0,0)</f>
        <v>0</v>
      </c>
      <c r="J127">
        <f>_xlfn.XLOOKUP(B127,'[1]march-2025'!$A:$A,'[1]march-2025'!$C:$C,0,0)</f>
        <v>28900</v>
      </c>
      <c r="K127">
        <f>J127*0.14</f>
        <v>4046.0000000000005</v>
      </c>
      <c r="L127">
        <f>J127*0.12</f>
        <v>3468</v>
      </c>
      <c r="M127">
        <f>_xlfn.XLOOKUP(B127,'[1]march-2025'!$A:$A,'[1]march-2025'!$D:$D,0,0)</f>
        <v>0</v>
      </c>
      <c r="N127">
        <f>_xlfn.XLOOKUP(B127,'[1]march-2025'!$A:$A,'[1]march-2025'!$G:$G,0,0)</f>
        <v>500</v>
      </c>
      <c r="O127">
        <f>IF(J127&gt;0,SUM(J127:N127),0)</f>
        <v>36914</v>
      </c>
      <c r="P127">
        <f>_xlfn.XLOOKUP(B127,'[1]march-2025'!$A:$A,'[1]march-2025'!$H:$H,0,0)</f>
        <v>2000</v>
      </c>
      <c r="Q127">
        <f>_xlfn.XLOOKUP(B127,'[1]march-2025'!$A:$A,'[1]march-2025'!$I:$I,0,0)</f>
        <v>0</v>
      </c>
      <c r="R127">
        <f>IF($F127="YES",0,IF(O127&gt;40000,200,IF(O127&gt;25000,150,IF(O127&gt;15000,130,IF(O127&gt;10000,110,0)))))</f>
        <v>150</v>
      </c>
      <c r="S127">
        <f>O127-P127-Q127-R127</f>
        <v>34764</v>
      </c>
      <c r="T127">
        <f>_xlfn.XLOOKUP(B127,'[2]april-2025'!$A:$A,'[2]april-2025'!$C:$C,0,0)</f>
        <v>28900</v>
      </c>
      <c r="U127">
        <f>T127*0.18</f>
        <v>5202</v>
      </c>
      <c r="V127">
        <f>T127*0.12</f>
        <v>3468</v>
      </c>
      <c r="W127">
        <f>_xlfn.XLOOKUP(B127,'[2]april-2025'!$A:$A,'[2]april-2025'!$D:$D,0,0)</f>
        <v>0</v>
      </c>
      <c r="X127">
        <f>_xlfn.XLOOKUP(B127,'[2]april-2025'!$A:$A,'[2]april-2025'!$G:$G,0,0)</f>
        <v>500</v>
      </c>
      <c r="Y127">
        <f>IF(T127&gt;0,SUM(T127:X127),0)</f>
        <v>38070</v>
      </c>
      <c r="Z127">
        <f>_xlfn.XLOOKUP(B127,'[2]april-2025'!$A:$A,'[2]april-2025'!$H:$H,0,0)</f>
        <v>2000</v>
      </c>
      <c r="AA127">
        <f>_xlfn.XLOOKUP(B127,'[2]april-2025'!$A:$A,'[2]april-2025'!$I:$I,0,0)</f>
        <v>0</v>
      </c>
      <c r="AB127">
        <f>IF($F127="YES",0,IF(Y127&gt;40000,200,IF(Y127&gt;25000,150,IF(Y127&gt;15000,130,IF(Y127&gt;10000,110,0)))))</f>
        <v>150</v>
      </c>
      <c r="AC127">
        <f>Y127-Z127-AA127-AB127</f>
        <v>35920</v>
      </c>
      <c r="AD127">
        <f>_xlfn.XLOOKUP(B127,'[3]may-2025'!$A:$A,'[3]may-2025'!$C:$C,0,0)</f>
        <v>28900</v>
      </c>
      <c r="AE127">
        <f>AD127*0.18</f>
        <v>5202</v>
      </c>
      <c r="AF127">
        <f>AD127*0.12</f>
        <v>3468</v>
      </c>
      <c r="AG127">
        <f>_xlfn.XLOOKUP(B127,'[3]may-2025'!$A:$A,'[3]may-2025'!$D:$D,0,0)</f>
        <v>0</v>
      </c>
      <c r="AH127">
        <f>_xlfn.XLOOKUP(B127,'[3]may-2025'!$A:$A,'[3]may-2025'!$G:$G,0,0)</f>
        <v>500</v>
      </c>
      <c r="AI127">
        <f>IF(AD127&gt;0,SUM(AD127:AH127),0)</f>
        <v>38070</v>
      </c>
      <c r="AJ127">
        <f>_xlfn.XLOOKUP(B127,'[3]may-2025'!$A:$A,'[3]may-2025'!$H:$H,0,0)</f>
        <v>2000</v>
      </c>
      <c r="AK127">
        <f>_xlfn.XLOOKUP(B127,'[3]may-2025'!$A:$A,'[3]may-2025'!$I:$I,0,0)</f>
        <v>0</v>
      </c>
      <c r="AL127">
        <f>IF($F127="YES",0,IF(AI127&gt;40000,200,IF(AI127&gt;25000,150,IF(AI127&gt;15000,130,IF(AI127&gt;10000,110,0)))))</f>
        <v>150</v>
      </c>
      <c r="AM127">
        <f>AI127-AJ127-AK127-AL127</f>
        <v>35920</v>
      </c>
      <c r="AN127">
        <f>_xlfn.XLOOKUP(B127,'[4]june-2025'!$A:$A,'[4]june-2025'!$C:$C,0,0)</f>
        <v>28900</v>
      </c>
      <c r="AO127">
        <f>AN127*0.18</f>
        <v>5202</v>
      </c>
      <c r="AP127">
        <f>AN127*0.12</f>
        <v>3468</v>
      </c>
      <c r="AQ127">
        <f>_xlfn.XLOOKUP(B127,'[4]june-2025'!$A:$A,'[4]june-2025'!$D:$D,0,0)</f>
        <v>0</v>
      </c>
      <c r="AR127">
        <f>_xlfn.XLOOKUP(B127,'[4]june-2025'!$A:$A,'[4]june-2025'!$G:$G,0,0)</f>
        <v>500</v>
      </c>
      <c r="AS127">
        <f>IF(AN127&gt;0,SUM(AN127:AR127),0)</f>
        <v>38070</v>
      </c>
      <c r="AT127">
        <f>_xlfn.XLOOKUP(B127,'[4]june-2025'!$A:$A,'[4]june-2025'!$H:$H,0,0)</f>
        <v>2000</v>
      </c>
      <c r="AU127">
        <f>_xlfn.XLOOKUP(B127,'[4]june-2025'!$A:$A,'[4]june-2025'!$I:$I,0,0)</f>
        <v>0</v>
      </c>
      <c r="AV127">
        <f>IF($F127="YES",0,IF(AS127&gt;40000,200,IF(AS127&gt;25000,150,IF(AS127&gt;15000,130,IF(AS127&gt;10000,110,0)))))</f>
        <v>150</v>
      </c>
      <c r="AW127">
        <f>AS127-AT127-AU127-AV127</f>
        <v>35920</v>
      </c>
      <c r="AX127">
        <f>_xlfn.XLOOKUP(B127,'[5]july-2025'!$A:$A,'[5]july-2025'!$C:$C,0,0)</f>
        <v>29800</v>
      </c>
      <c r="AY127">
        <f>AX127*0.18</f>
        <v>5364</v>
      </c>
      <c r="AZ127">
        <v>0</v>
      </c>
      <c r="BA127">
        <f>AX127*0.12</f>
        <v>3576</v>
      </c>
      <c r="BB127">
        <f>_xlfn.XLOOKUP(B127,'[5]july-2025'!$A:$A,'[5]july-2025'!$D:$D,0,0)</f>
        <v>0</v>
      </c>
      <c r="BC127">
        <f>_xlfn.XLOOKUP(B127,'[5]july-2025'!$A:$A,'[5]july-2025'!$G:$G,0,0)</f>
        <v>500</v>
      </c>
      <c r="BD127">
        <f>IF(AX127&gt;0,SUM(AX127:BC127),0)</f>
        <v>39240</v>
      </c>
      <c r="BE127">
        <f>_xlfn.XLOOKUP(B127,'[5]july-2025'!$A:$A,'[5]july-2025'!$H:$H,0,0)</f>
        <v>2000</v>
      </c>
      <c r="BF127">
        <f>_xlfn.XLOOKUP(B127,'[5]july-2025'!$A:$A,'[5]july-2025'!$I:$I,0,0)</f>
        <v>0</v>
      </c>
      <c r="BG127">
        <f>IF($F127="YES",0,IF(BD127&gt;40000,200,IF(BD127&gt;25000,150,IF(BD127&gt;15000,130,IF(BD127&gt;10000,110,0)))))</f>
        <v>150</v>
      </c>
      <c r="BH127">
        <f>BD127-BE127-BF127-BG127</f>
        <v>37090</v>
      </c>
      <c r="BI127">
        <f>_xlfn.XLOOKUP(B127,'[6]august-2025'!$A:$A,'[6]august-2025'!$C:$C,0,0)</f>
        <v>29800</v>
      </c>
      <c r="BJ127">
        <f>BI127*0.18</f>
        <v>5364</v>
      </c>
      <c r="BK127">
        <f>BI127*0.12</f>
        <v>3576</v>
      </c>
      <c r="BL127">
        <f>_xlfn.XLOOKUP(B127,'[6]august-2025'!$A:$A,'[6]august-2025'!$D:$D,0,0)</f>
        <v>0</v>
      </c>
      <c r="BM127">
        <f>_xlfn.XLOOKUP(B127,'[6]august-2025'!$A:$A,'[6]august-2025'!$G:$G,0,0)</f>
        <v>500</v>
      </c>
      <c r="BN127">
        <f>IF(BI127&gt;0,SUM(BI127:BM127),0)</f>
        <v>39240</v>
      </c>
      <c r="BO127">
        <f>_xlfn.XLOOKUP(B127,'[6]august-2025'!$A:$A,'[6]august-2025'!$H:$H,0,0)</f>
        <v>2000</v>
      </c>
      <c r="BP127">
        <f>_xlfn.XLOOKUP(B127,'[6]august-2025'!$A:$A,'[6]august-2025'!$I:$I,0,0)</f>
        <v>0</v>
      </c>
      <c r="BQ127">
        <f>IF($F127="YES",0,IF(BN127&gt;40000,200,IF(BN127&gt;25000,150,IF(BN127&gt;15000,130,IF(BN127&gt;10000,110,0)))))</f>
        <v>150</v>
      </c>
      <c r="BR127">
        <f>BN127-BO127-BP127-BQ127</f>
        <v>37090</v>
      </c>
      <c r="BS127">
        <f>_xlfn.XLOOKUP(B127,'[7]september-2025'!$A:$A,'[7]september-2025'!$C:$C,0,0)</f>
        <v>29800</v>
      </c>
      <c r="BT127">
        <f>BS127*0.18</f>
        <v>5364</v>
      </c>
      <c r="BU127">
        <f>BS127*0.12</f>
        <v>3576</v>
      </c>
      <c r="BV127">
        <f>_xlfn.XLOOKUP(B127,'[7]september-2025'!$A:$A,'[7]september-2025'!$D:$D,0,0)</f>
        <v>0</v>
      </c>
      <c r="BW127">
        <f>_xlfn.XLOOKUP(B127,'[7]september-2025'!$A:$A,'[7]september-2025'!$G:$G,0,0)</f>
        <v>500</v>
      </c>
      <c r="BX127">
        <f>IF(BS127&gt;0,SUM(BS127:BW127),0)</f>
        <v>39240</v>
      </c>
      <c r="BY127">
        <f>_xlfn.XLOOKUP(B127,'[7]september-2025'!$A:$A,'[7]september-2025'!$H:$H,0,0)</f>
        <v>2000</v>
      </c>
      <c r="BZ127">
        <f>_xlfn.XLOOKUP(B127,'[7]september-2025'!$A:$A,'[7]september-2025'!$I:$I,0,0)</f>
        <v>0</v>
      </c>
      <c r="CA127">
        <f>IF($F127="YES",0,IF(BX127&gt;40000,200,IF(BX127&gt;25000,150,IF(BX127&gt;15000,130,IF(BX127&gt;10000,110,0)))))</f>
        <v>150</v>
      </c>
      <c r="CB127">
        <f>BX127-BY127-BZ127-CA127</f>
        <v>37090</v>
      </c>
      <c r="CC127">
        <f>_xlfn.XLOOKUP(B127,'[8]october-2025'!$A:$A,'[8]october-2025'!$C:$C,0,0)</f>
        <v>29800</v>
      </c>
      <c r="CD127">
        <f>CC127*0.18</f>
        <v>5364</v>
      </c>
      <c r="CE127">
        <f>CC127*0.12</f>
        <v>3576</v>
      </c>
      <c r="CF127">
        <f>_xlfn.XLOOKUP(B127,'[8]october-2025'!$A:$A,'[8]october-2025'!$D:$D,0,0)</f>
        <v>0</v>
      </c>
      <c r="CG127">
        <f>_xlfn.XLOOKUP(B127,'[8]october-2025'!$A:$A,'[8]october-2025'!$G:$G,0,0)</f>
        <v>500</v>
      </c>
      <c r="CH127">
        <f>IF(CC127&gt;0,SUM(CC127:CG127),0)</f>
        <v>39240</v>
      </c>
      <c r="CI127">
        <f>_xlfn.XLOOKUP(B127,'[8]october-2025'!$A:$A,'[8]october-2025'!$H:$H,0,0)</f>
        <v>2000</v>
      </c>
      <c r="CJ127">
        <f>_xlfn.XLOOKUP(B127,'[8]october-2025'!$A:$A,'[8]october-2025'!$I:$I,0,0)</f>
        <v>0</v>
      </c>
      <c r="CK127">
        <f>IF($F127="YES",0,IF(CH127&gt;40000,200,IF(CH127&gt;25000,150,IF(CH127&gt;15000,130,IF(CH127&gt;10000,110,0)))))</f>
        <v>150</v>
      </c>
      <c r="CL127">
        <f>CH127-CI127-CJ127-CK127</f>
        <v>37090</v>
      </c>
      <c r="CM127">
        <f>_xlfn.XLOOKUP(B127,'[9]november-2025'!$A:$A,'[9]november-2025'!$C:$C,0,0)</f>
        <v>29800</v>
      </c>
      <c r="CN127">
        <f>CM127*0.18</f>
        <v>5364</v>
      </c>
      <c r="CO127">
        <f>CM127*0.12</f>
        <v>3576</v>
      </c>
      <c r="CP127">
        <f>_xlfn.XLOOKUP(B127,'[9]november-2025'!$A:$A,'[9]november-2025'!$D:$D,0,0)</f>
        <v>0</v>
      </c>
      <c r="CQ127">
        <f>_xlfn.XLOOKUP(B127,'[9]november-2025'!$A:$A,'[9]november-2025'!$G:$G,0,0)</f>
        <v>500</v>
      </c>
      <c r="CR127">
        <f>IF(CM127&gt;0,SUM(CM127:CQ127),0)</f>
        <v>39240</v>
      </c>
      <c r="CS127">
        <f>_xlfn.XLOOKUP(B127,'[9]november-2025'!$A:$A,'[9]november-2025'!$H:$H,0,0)</f>
        <v>2000</v>
      </c>
      <c r="CT127">
        <f>_xlfn.XLOOKUP(B127,'[9]november-2025'!$A:$A,'[9]november-2025'!$I:$I,0,0)</f>
        <v>0</v>
      </c>
      <c r="CU127">
        <f>IF($F127="YES",0,IF(CR127&gt;40000,200,IF(CR127&gt;25000,150,IF(CR127&gt;15000,130,IF(CR127&gt;10000,110,0)))))</f>
        <v>150</v>
      </c>
      <c r="CV127">
        <f>CR127-CS127-CT127-CU127</f>
        <v>37090</v>
      </c>
      <c r="CW127">
        <f>_xlfn.XLOOKUP(B127,'[10]december-2025'!$A:$A,'[10]december-2025'!$C:$C,0,0)</f>
        <v>29800</v>
      </c>
      <c r="CX127">
        <f>ROUND(CW127*0.18,0)</f>
        <v>5364</v>
      </c>
      <c r="CY127">
        <f>ROUND(CW127*0.12,0)</f>
        <v>3576</v>
      </c>
      <c r="CZ127">
        <f>_xlfn.XLOOKUP(B127,'[10]december-2025'!$A:$A,'[10]december-2025'!$D:$D,0,0)</f>
        <v>0</v>
      </c>
      <c r="DA127">
        <f>_xlfn.XLOOKUP(B127,'[10]december-2025'!$A:$A,'[10]december-2025'!$G:$G,0,0)</f>
        <v>500</v>
      </c>
      <c r="DB127">
        <f>IF(CW127&gt;0,SUM(CW127:DA127),0)</f>
        <v>39240</v>
      </c>
      <c r="DC127">
        <f>_xlfn.XLOOKUP(B127,'[10]december-2025'!$A:$A,'[10]december-2025'!$H:$H,0,0)</f>
        <v>2000</v>
      </c>
      <c r="DD127">
        <f>_xlfn.XLOOKUP(B127,'[10]december-2025'!$A:$A,'[10]december-2025'!$I:$I,0,0)</f>
        <v>0</v>
      </c>
      <c r="DE127">
        <f>IF($F127="YES",0,IF(DB127&gt;40000,200,IF(DB127&gt;25000,150,IF(DB127&gt;15000,130,IF(DB127&gt;10000,110,0)))))</f>
        <v>150</v>
      </c>
      <c r="DF127">
        <f>DB127-DC127-DD127-DE127</f>
        <v>37090</v>
      </c>
      <c r="DG127">
        <f>_xlfn.XLOOKUP(B127,'[11]january-2026'!$A:$A,'[11]january-2026'!$C:$C,0,0)</f>
        <v>29800</v>
      </c>
      <c r="DH127">
        <f>DG127*0.18</f>
        <v>5364</v>
      </c>
      <c r="DI127">
        <f>DG127*0.12</f>
        <v>3576</v>
      </c>
      <c r="DJ127">
        <f>_xlfn.XLOOKUP(B127,'[11]january-2026'!$A:$A,'[11]january-2026'!$D:$D,0,0)</f>
        <v>0</v>
      </c>
      <c r="DK127">
        <f>_xlfn.XLOOKUP(B127,'[11]january-2026'!$A:$A,'[11]january-2026'!$G:$G,0,0)</f>
        <v>500</v>
      </c>
      <c r="DL127">
        <f>IF(DG127&gt;0,SUM(DG127:DK127),0)</f>
        <v>39240</v>
      </c>
      <c r="DM127">
        <f>_xlfn.XLOOKUP(B127,'[11]january-2026'!$A:$A,'[11]january-2026'!$H:$H,0,0)</f>
        <v>2000</v>
      </c>
      <c r="DN127">
        <f>_xlfn.XLOOKUP(B127,'[11]january-2026'!$A:$A,'[11]january-2026'!$I:$I,0,0)</f>
        <v>0</v>
      </c>
      <c r="DO127">
        <f>IF($F127="YES",0,IF(DL127&gt;40000,200,IF(DL127&gt;25000,150,IF(DL127&gt;15000,130,IF(DL127&gt;10000,110,0)))))</f>
        <v>150</v>
      </c>
      <c r="DP127">
        <f>DL127-DM127-DN127-DO127</f>
        <v>37090</v>
      </c>
      <c r="DQ127">
        <f>_xlfn.XLOOKUP(B127,'[12]february-2026'!$A:$A,'[12]february-2026'!$C:$C,0,0)</f>
        <v>29800</v>
      </c>
      <c r="DR127">
        <f>DQ127*0.18</f>
        <v>5364</v>
      </c>
      <c r="DS127">
        <f>DQ127*0.12</f>
        <v>3576</v>
      </c>
      <c r="DT127">
        <f>_xlfn.XLOOKUP(B127,'[12]february-2026'!$A:$A,'[12]february-2026'!$D:$D,0,0)</f>
        <v>0</v>
      </c>
      <c r="DU127">
        <f>_xlfn.XLOOKUP(B127,'[12]february-2026'!$A:$A,'[12]february-2026'!$G:$G,0,0)</f>
        <v>500</v>
      </c>
      <c r="DV127">
        <f>IF(DQ127&gt;0,SUM(DQ127:DU127),0)</f>
        <v>39240</v>
      </c>
      <c r="DW127">
        <f>_xlfn.XLOOKUP(B127,'[12]february-2026'!$A:$A,'[12]february-2026'!$H:$H,0,0)</f>
        <v>2000</v>
      </c>
      <c r="DX127">
        <f>_xlfn.XLOOKUP(B127,'[12]february-2026'!$A:$A,'[12]february-2026'!$I:$I,0,0)</f>
        <v>0</v>
      </c>
      <c r="DY127">
        <f>IF($F127="YES",0,IF(DV127&gt;40000,200,IF(DV127&gt;25000,150,IF(DV127&gt;15000,130,IF(DV127&gt;10000,110,0)))))</f>
        <v>150</v>
      </c>
      <c r="DZ127">
        <f>DV127-DW127-DX127-DY127</f>
        <v>37090</v>
      </c>
      <c r="EA127">
        <f>DV127+DL127+DB127+CR127+CH127+BX127+BN127+BD127+AS127+AI127+Y127+O127+H127+I127</f>
        <v>471844</v>
      </c>
      <c r="EB127">
        <f>DY127+DO127+DE127+CU127+CK127+CA127+BQ127+BG127+AV127+AL127+AB127+R127</f>
        <v>1800</v>
      </c>
      <c r="EC127">
        <f>IF(EA127&gt;0,50000,0)</f>
        <v>50000</v>
      </c>
      <c r="ED127">
        <v>0</v>
      </c>
      <c r="EE127">
        <f>EA127-EB127-EC127</f>
        <v>420044</v>
      </c>
      <c r="EF127">
        <f>DW127+DM127+DC127+CS127+CI127+BY127+BO127+BE127+AT127+AJ127+Z127+P127</f>
        <v>24000</v>
      </c>
      <c r="EG127">
        <f>DX127+DN127+DD127+CT127+CJ127+BZ127+BP127+BF127+AU127+AK127+AA127+Q127</f>
        <v>0</v>
      </c>
      <c r="EH127">
        <v>0</v>
      </c>
      <c r="EI127">
        <v>0</v>
      </c>
      <c r="EJ127">
        <v>0</v>
      </c>
      <c r="EK127">
        <v>0</v>
      </c>
      <c r="EL127">
        <v>0</v>
      </c>
      <c r="EM127">
        <v>0</v>
      </c>
      <c r="EN127">
        <v>0</v>
      </c>
      <c r="EO127">
        <v>0</v>
      </c>
      <c r="EP127">
        <v>0</v>
      </c>
      <c r="EQ127">
        <v>0</v>
      </c>
      <c r="ER127">
        <f>SUM(EF127:EQ127)</f>
        <v>24000</v>
      </c>
      <c r="ES127">
        <f>IF(ER127&gt;=150000,150000,ER127)</f>
        <v>24000</v>
      </c>
      <c r="ET127">
        <f>EE127-ES127</f>
        <v>396044</v>
      </c>
      <c r="EU127">
        <v>0</v>
      </c>
      <c r="EV127">
        <v>0</v>
      </c>
      <c r="EW127">
        <v>0</v>
      </c>
      <c r="EX127">
        <v>0</v>
      </c>
      <c r="EY127">
        <v>0</v>
      </c>
      <c r="EZ127">
        <v>0</v>
      </c>
      <c r="FA127">
        <v>0</v>
      </c>
      <c r="FB127">
        <f>SUM(EU127:FA127)+(IF(F127="YES",50000,0))</f>
        <v>0</v>
      </c>
      <c r="FC127">
        <f>ET127-FB127</f>
        <v>396044</v>
      </c>
      <c r="FD127">
        <f>ROUND(IF(FC127&gt;0,IF(FC127&gt;500000,12500,(FC127-250000)*0.05),0),0)</f>
        <v>7302</v>
      </c>
      <c r="FE127">
        <f>IF(ROUND(IF(FC127&gt;0,IF(FC127&gt;1000000,25000,(FC127-500000)*0.2),0),0)&lt;0,0,ROUND(IF(FC127&gt;0,IF(FC127&gt;1000000,25000,(FC127-500000)*0.2),0),0))</f>
        <v>0</v>
      </c>
      <c r="FF127">
        <f>FD127+FE127</f>
        <v>7302</v>
      </c>
      <c r="FG127">
        <f>IF(FF127&lt;12500,0,FF127)</f>
        <v>0</v>
      </c>
      <c r="FH127">
        <f>FG127*0.04</f>
        <v>0</v>
      </c>
      <c r="FI127">
        <f>ROUND(FH127+FG127,0)</f>
        <v>0</v>
      </c>
      <c r="FJ127">
        <v>0</v>
      </c>
      <c r="FK127">
        <f>FI127-FJ127</f>
        <v>0</v>
      </c>
      <c r="FL127" t="b">
        <f>IF(EA127&gt;500000,TRUE,FALSE)</f>
        <v>0</v>
      </c>
      <c r="FM127">
        <f ca="1">IF(FL127,RANDBETWEEN(500,1000),RANDBETWEEN(1000,3000))</f>
        <v>2666</v>
      </c>
      <c r="FN127">
        <f ca="1">EA127+FM127</f>
        <v>474510</v>
      </c>
      <c r="FO127">
        <f>IF(EA127&gt;0,75000,0)</f>
        <v>75000</v>
      </c>
      <c r="FP127">
        <f ca="1">FN127-FO127</f>
        <v>399510</v>
      </c>
      <c r="FQ127">
        <f ca="1">IF(FP127&gt;2400000,FP127-2400000,0)</f>
        <v>0</v>
      </c>
      <c r="FR127">
        <f ca="1">FQ127*0.3</f>
        <v>0</v>
      </c>
      <c r="FS127">
        <f ca="1">IF(FP127&gt;2000000,FP127-2000000,0)</f>
        <v>0</v>
      </c>
      <c r="FT127">
        <f ca="1">FS127*0.25</f>
        <v>0</v>
      </c>
      <c r="FU127">
        <f ca="1">IF(FP127&gt;1600000,FP127-1600000-FQ127,0)</f>
        <v>0</v>
      </c>
      <c r="FV127">
        <f ca="1">FU127*0.2</f>
        <v>0</v>
      </c>
      <c r="FW127">
        <f ca="1">IF(FP127&gt;1200000,FP127-1200000-IF(F127="YES",50000,0)-FU127,0)</f>
        <v>0</v>
      </c>
      <c r="FX127">
        <f ca="1">FW127*0.15</f>
        <v>0</v>
      </c>
      <c r="FY127">
        <f ca="1">IF(FP127&gt;800000,FP127-800000-FQ127-FU127-FW127,0)</f>
        <v>0</v>
      </c>
      <c r="FZ127">
        <f ca="1">FY127*0.1</f>
        <v>0</v>
      </c>
      <c r="GA127">
        <f ca="1">IF(FP127&gt;400000,FP127-400000-FQ127-FU127-FW127-FY127,0)</f>
        <v>0</v>
      </c>
      <c r="GB127">
        <f ca="1">GA127*0.05</f>
        <v>0</v>
      </c>
      <c r="GC127">
        <f ca="1">ROUND(FR127+FT127+FV127+FX127+FZ127+GB127,0)</f>
        <v>0</v>
      </c>
      <c r="GD127">
        <f ca="1">IF(FP127&gt;1200000,FP127,0)</f>
        <v>0</v>
      </c>
      <c r="GE127">
        <f ca="1">IF(FP127&gt;1200000,GD127-1200000,0)</f>
        <v>0</v>
      </c>
      <c r="GF127">
        <f ca="1">IF(FP127&lt;1200001,MIN(GC127,60000),0)</f>
        <v>0</v>
      </c>
      <c r="GG127">
        <f ca="1">IF(FP127&gt;1200000,GC127-GE127,0)</f>
        <v>0</v>
      </c>
      <c r="GH127" t="b">
        <f ca="1">IF(GG127&gt;0,TRUE,FALSE)</f>
        <v>0</v>
      </c>
      <c r="GI127">
        <f ca="1">IF(GH127,GG127,0)</f>
        <v>0</v>
      </c>
      <c r="GJ127">
        <f ca="1">GF127+GI127</f>
        <v>0</v>
      </c>
      <c r="GK127">
        <f ca="1">ROUND(GC127-GJ127,0)</f>
        <v>0</v>
      </c>
      <c r="GL127">
        <f ca="1">GK127*0.04</f>
        <v>0</v>
      </c>
      <c r="GM127">
        <f ca="1">ROUNDUP(GK127+GL127,0)</f>
        <v>0</v>
      </c>
    </row>
    <row r="128" spans="1:195" x14ac:dyDescent="0.25">
      <c r="A128">
        <f>_xlfn.AGGREGATE(3,5,$B$2:B128)</f>
        <v>127</v>
      </c>
      <c r="B128" t="s">
        <v>373</v>
      </c>
      <c r="C128" t="s">
        <v>374</v>
      </c>
      <c r="D128" t="s">
        <v>787</v>
      </c>
      <c r="E128" t="s">
        <v>834</v>
      </c>
      <c r="F128" t="s">
        <v>959</v>
      </c>
      <c r="G128" t="s">
        <v>882</v>
      </c>
      <c r="H128">
        <f>IF(_xlfn.DAYS("31-03-2025",G128)&gt;=180,6800,0)</f>
        <v>6800</v>
      </c>
      <c r="I128">
        <f>_xlfn.XLOOKUP(B128,'[1]march-2025'!$A:$A,'[1]march-2025'!$J:$J,0,0)</f>
        <v>0</v>
      </c>
      <c r="J128">
        <f>_xlfn.XLOOKUP(B128,'[1]march-2025'!$A:$A,'[1]march-2025'!$C:$C,0,0)</f>
        <v>51700</v>
      </c>
      <c r="K128">
        <f>J128*0.14</f>
        <v>7238.0000000000009</v>
      </c>
      <c r="L128">
        <f>J128*0.12</f>
        <v>6204</v>
      </c>
      <c r="M128">
        <f>_xlfn.XLOOKUP(B128,'[1]march-2025'!$A:$A,'[1]march-2025'!$D:$D,0,0)</f>
        <v>400</v>
      </c>
      <c r="N128">
        <f>_xlfn.XLOOKUP(B128,'[1]march-2025'!$A:$A,'[1]march-2025'!$G:$G,0,0)</f>
        <v>500</v>
      </c>
      <c r="O128">
        <f>IF(J128&gt;0,SUM(J128:N128),0)</f>
        <v>66042</v>
      </c>
      <c r="P128">
        <f>_xlfn.XLOOKUP(B128,'[1]march-2025'!$A:$A,'[1]march-2025'!$H:$H,0,0)</f>
        <v>5000</v>
      </c>
      <c r="Q128">
        <f>_xlfn.XLOOKUP(B128,'[1]march-2025'!$A:$A,'[1]march-2025'!$I:$I,0,0)</f>
        <v>0</v>
      </c>
      <c r="R128">
        <f>IF($F128="YES",0,IF(O128&gt;40000,200,IF(O128&gt;25000,150,IF(O128&gt;15000,130,IF(O128&gt;10000,110,0)))))</f>
        <v>200</v>
      </c>
      <c r="S128">
        <f>O128-P128-Q128-R128</f>
        <v>60842</v>
      </c>
      <c r="T128">
        <f>_xlfn.XLOOKUP(B128,'[2]april-2025'!$A:$A,'[2]april-2025'!$C:$C,0,0)</f>
        <v>51700</v>
      </c>
      <c r="U128">
        <f>T128*0.18</f>
        <v>9306</v>
      </c>
      <c r="V128">
        <f>T128*0.12</f>
        <v>6204</v>
      </c>
      <c r="W128">
        <f>_xlfn.XLOOKUP(B128,'[2]april-2025'!$A:$A,'[2]april-2025'!$D:$D,0,0)</f>
        <v>400</v>
      </c>
      <c r="X128">
        <f>_xlfn.XLOOKUP(B128,'[2]april-2025'!$A:$A,'[2]april-2025'!$G:$G,0,0)</f>
        <v>500</v>
      </c>
      <c r="Y128">
        <f>IF(T128&gt;0,SUM(T128:X128),0)</f>
        <v>68110</v>
      </c>
      <c r="Z128">
        <f>_xlfn.XLOOKUP(B128,'[2]april-2025'!$A:$A,'[2]april-2025'!$H:$H,0,0)</f>
        <v>5000</v>
      </c>
      <c r="AA128">
        <f>_xlfn.XLOOKUP(B128,'[2]april-2025'!$A:$A,'[2]april-2025'!$I:$I,0,0)</f>
        <v>0</v>
      </c>
      <c r="AB128">
        <f>IF($F128="YES",0,IF(Y128&gt;40000,200,IF(Y128&gt;25000,150,IF(Y128&gt;15000,130,IF(Y128&gt;10000,110,0)))))</f>
        <v>200</v>
      </c>
      <c r="AC128">
        <f>Y128-Z128-AA128-AB128</f>
        <v>62910</v>
      </c>
      <c r="AD128">
        <f>_xlfn.XLOOKUP(B128,'[3]may-2025'!$A:$A,'[3]may-2025'!$C:$C,0,0)</f>
        <v>51700</v>
      </c>
      <c r="AE128">
        <f>AD128*0.18</f>
        <v>9306</v>
      </c>
      <c r="AF128">
        <f>AD128*0.12</f>
        <v>6204</v>
      </c>
      <c r="AG128">
        <f>_xlfn.XLOOKUP(B128,'[3]may-2025'!$A:$A,'[3]may-2025'!$D:$D,0,0)</f>
        <v>400</v>
      </c>
      <c r="AH128">
        <f>_xlfn.XLOOKUP(B128,'[3]may-2025'!$A:$A,'[3]may-2025'!$G:$G,0,0)</f>
        <v>500</v>
      </c>
      <c r="AI128">
        <f>IF(AD128&gt;0,SUM(AD128:AH128),0)</f>
        <v>68110</v>
      </c>
      <c r="AJ128">
        <f>_xlfn.XLOOKUP(B128,'[3]may-2025'!$A:$A,'[3]may-2025'!$H:$H,0,0)</f>
        <v>5000</v>
      </c>
      <c r="AK128">
        <f>_xlfn.XLOOKUP(B128,'[3]may-2025'!$A:$A,'[3]may-2025'!$I:$I,0,0)</f>
        <v>0</v>
      </c>
      <c r="AL128">
        <f>IF($F128="YES",0,IF(AI128&gt;40000,200,IF(AI128&gt;25000,150,IF(AI128&gt;15000,130,IF(AI128&gt;10000,110,0)))))</f>
        <v>200</v>
      </c>
      <c r="AM128">
        <f>AI128-AJ128-AK128-AL128</f>
        <v>62910</v>
      </c>
      <c r="AN128">
        <f>_xlfn.XLOOKUP(B128,'[4]june-2025'!$A:$A,'[4]june-2025'!$C:$C,0,0)</f>
        <v>51700</v>
      </c>
      <c r="AO128">
        <f>AN128*0.18</f>
        <v>9306</v>
      </c>
      <c r="AP128">
        <f>AN128*0.12</f>
        <v>6204</v>
      </c>
      <c r="AQ128">
        <f>_xlfn.XLOOKUP(B128,'[4]june-2025'!$A:$A,'[4]june-2025'!$D:$D,0,0)</f>
        <v>400</v>
      </c>
      <c r="AR128">
        <f>_xlfn.XLOOKUP(B128,'[4]june-2025'!$A:$A,'[4]june-2025'!$G:$G,0,0)</f>
        <v>500</v>
      </c>
      <c r="AS128">
        <f>IF(AN128&gt;0,SUM(AN128:AR128),0)</f>
        <v>68110</v>
      </c>
      <c r="AT128">
        <f>_xlfn.XLOOKUP(B128,'[4]june-2025'!$A:$A,'[4]june-2025'!$H:$H,0,0)</f>
        <v>5000</v>
      </c>
      <c r="AU128">
        <f>_xlfn.XLOOKUP(B128,'[4]june-2025'!$A:$A,'[4]june-2025'!$I:$I,0,0)</f>
        <v>0</v>
      </c>
      <c r="AV128">
        <f>IF($F128="YES",0,IF(AS128&gt;40000,200,IF(AS128&gt;25000,150,IF(AS128&gt;15000,130,IF(AS128&gt;10000,110,0)))))</f>
        <v>200</v>
      </c>
      <c r="AW128">
        <f>AS128-AT128-AU128-AV128</f>
        <v>62910</v>
      </c>
      <c r="AX128">
        <f>_xlfn.XLOOKUP(B128,'[5]july-2025'!$A:$A,'[5]july-2025'!$C:$C,0,0)</f>
        <v>53300</v>
      </c>
      <c r="AY128">
        <f>AX128*0.18</f>
        <v>9594</v>
      </c>
      <c r="AZ128">
        <v>0</v>
      </c>
      <c r="BA128">
        <f>AX128*0.12</f>
        <v>6396</v>
      </c>
      <c r="BB128">
        <f>_xlfn.XLOOKUP(B128,'[5]july-2025'!$A:$A,'[5]july-2025'!$D:$D,0,0)</f>
        <v>400</v>
      </c>
      <c r="BC128">
        <f>_xlfn.XLOOKUP(B128,'[5]july-2025'!$A:$A,'[5]july-2025'!$G:$G,0,0)</f>
        <v>500</v>
      </c>
      <c r="BD128">
        <f>IF(AX128&gt;0,SUM(AX128:BC128),0)</f>
        <v>70190</v>
      </c>
      <c r="BE128">
        <f>_xlfn.XLOOKUP(B128,'[5]july-2025'!$A:$A,'[5]july-2025'!$H:$H,0,0)</f>
        <v>5000</v>
      </c>
      <c r="BF128">
        <f>_xlfn.XLOOKUP(B128,'[5]july-2025'!$A:$A,'[5]july-2025'!$I:$I,0,0)</f>
        <v>0</v>
      </c>
      <c r="BG128">
        <f>IF($F128="YES",0,IF(BD128&gt;40000,200,IF(BD128&gt;25000,150,IF(BD128&gt;15000,130,IF(BD128&gt;10000,110,0)))))</f>
        <v>200</v>
      </c>
      <c r="BH128">
        <f>BD128-BE128-BF128-BG128</f>
        <v>64990</v>
      </c>
      <c r="BI128">
        <f>_xlfn.XLOOKUP(B128,'[6]august-2025'!$A:$A,'[6]august-2025'!$C:$C,0,0)</f>
        <v>53300</v>
      </c>
      <c r="BJ128">
        <f>BI128*0.18</f>
        <v>9594</v>
      </c>
      <c r="BK128">
        <f>BI128*0.12</f>
        <v>6396</v>
      </c>
      <c r="BL128">
        <f>_xlfn.XLOOKUP(B128,'[6]august-2025'!$A:$A,'[6]august-2025'!$D:$D,0,0)</f>
        <v>400</v>
      </c>
      <c r="BM128">
        <f>_xlfn.XLOOKUP(B128,'[6]august-2025'!$A:$A,'[6]august-2025'!$G:$G,0,0)</f>
        <v>500</v>
      </c>
      <c r="BN128">
        <f>IF(BI128&gt;0,SUM(BI128:BM128),0)</f>
        <v>70190</v>
      </c>
      <c r="BO128">
        <f>_xlfn.XLOOKUP(B128,'[6]august-2025'!$A:$A,'[6]august-2025'!$H:$H,0,0)</f>
        <v>5000</v>
      </c>
      <c r="BP128">
        <f>_xlfn.XLOOKUP(B128,'[6]august-2025'!$A:$A,'[6]august-2025'!$I:$I,0,0)</f>
        <v>0</v>
      </c>
      <c r="BQ128">
        <f>IF($F128="YES",0,IF(BN128&gt;40000,200,IF(BN128&gt;25000,150,IF(BN128&gt;15000,130,IF(BN128&gt;10000,110,0)))))</f>
        <v>200</v>
      </c>
      <c r="BR128">
        <f>BN128-BO128-BP128-BQ128</f>
        <v>64990</v>
      </c>
      <c r="BS128">
        <f>_xlfn.XLOOKUP(B128,'[7]september-2025'!$A:$A,'[7]september-2025'!$C:$C,0,0)</f>
        <v>53300</v>
      </c>
      <c r="BT128">
        <f>BS128*0.18</f>
        <v>9594</v>
      </c>
      <c r="BU128">
        <f>BS128*0.12</f>
        <v>6396</v>
      </c>
      <c r="BV128">
        <f>_xlfn.XLOOKUP(B128,'[7]september-2025'!$A:$A,'[7]september-2025'!$D:$D,0,0)</f>
        <v>400</v>
      </c>
      <c r="BW128">
        <f>_xlfn.XLOOKUP(B128,'[7]september-2025'!$A:$A,'[7]september-2025'!$G:$G,0,0)</f>
        <v>500</v>
      </c>
      <c r="BX128">
        <f>IF(BS128&gt;0,SUM(BS128:BW128),0)</f>
        <v>70190</v>
      </c>
      <c r="BY128">
        <f>_xlfn.XLOOKUP(B128,'[7]september-2025'!$A:$A,'[7]september-2025'!$H:$H,0,0)</f>
        <v>5000</v>
      </c>
      <c r="BZ128">
        <f>_xlfn.XLOOKUP(B128,'[7]september-2025'!$A:$A,'[7]september-2025'!$I:$I,0,0)</f>
        <v>0</v>
      </c>
      <c r="CA128">
        <f>IF($F128="YES",0,IF(BX128&gt;40000,200,IF(BX128&gt;25000,150,IF(BX128&gt;15000,130,IF(BX128&gt;10000,110,0)))))</f>
        <v>200</v>
      </c>
      <c r="CB128">
        <f>BX128-BY128-BZ128-CA128</f>
        <v>64990</v>
      </c>
      <c r="CC128">
        <f>_xlfn.XLOOKUP(B128,'[8]october-2025'!$A:$A,'[8]october-2025'!$C:$C,0,0)</f>
        <v>53300</v>
      </c>
      <c r="CD128">
        <f>CC128*0.18</f>
        <v>9594</v>
      </c>
      <c r="CE128">
        <f>CC128*0.12</f>
        <v>6396</v>
      </c>
      <c r="CF128">
        <f>_xlfn.XLOOKUP(B128,'[8]october-2025'!$A:$A,'[8]october-2025'!$D:$D,0,0)</f>
        <v>400</v>
      </c>
      <c r="CG128">
        <f>_xlfn.XLOOKUP(B128,'[8]october-2025'!$A:$A,'[8]october-2025'!$G:$G,0,0)</f>
        <v>500</v>
      </c>
      <c r="CH128">
        <f>IF(CC128&gt;0,SUM(CC128:CG128),0)</f>
        <v>70190</v>
      </c>
      <c r="CI128">
        <f>_xlfn.XLOOKUP(B128,'[8]october-2025'!$A:$A,'[8]october-2025'!$H:$H,0,0)</f>
        <v>5000</v>
      </c>
      <c r="CJ128">
        <f>_xlfn.XLOOKUP(B128,'[8]october-2025'!$A:$A,'[8]october-2025'!$I:$I,0,0)</f>
        <v>0</v>
      </c>
      <c r="CK128">
        <f>IF($F128="YES",0,IF(CH128&gt;40000,200,IF(CH128&gt;25000,150,IF(CH128&gt;15000,130,IF(CH128&gt;10000,110,0)))))</f>
        <v>200</v>
      </c>
      <c r="CL128">
        <f>CH128-CI128-CJ128-CK128</f>
        <v>64990</v>
      </c>
      <c r="CM128">
        <f>_xlfn.XLOOKUP(B128,'[9]november-2025'!$A:$A,'[9]november-2025'!$C:$C,0,0)</f>
        <v>53300</v>
      </c>
      <c r="CN128">
        <f>CM128*0.18</f>
        <v>9594</v>
      </c>
      <c r="CO128">
        <f>CM128*0.12</f>
        <v>6396</v>
      </c>
      <c r="CP128">
        <f>_xlfn.XLOOKUP(B128,'[9]november-2025'!$A:$A,'[9]november-2025'!$D:$D,0,0)</f>
        <v>400</v>
      </c>
      <c r="CQ128">
        <f>_xlfn.XLOOKUP(B128,'[9]november-2025'!$A:$A,'[9]november-2025'!$G:$G,0,0)</f>
        <v>500</v>
      </c>
      <c r="CR128">
        <f>IF(CM128&gt;0,SUM(CM128:CQ128),0)</f>
        <v>70190</v>
      </c>
      <c r="CS128">
        <f>_xlfn.XLOOKUP(B128,'[9]november-2025'!$A:$A,'[9]november-2025'!$H:$H,0,0)</f>
        <v>5000</v>
      </c>
      <c r="CT128">
        <f>_xlfn.XLOOKUP(B128,'[9]november-2025'!$A:$A,'[9]november-2025'!$I:$I,0,0)</f>
        <v>0</v>
      </c>
      <c r="CU128">
        <f>IF($F128="YES",0,IF(CR128&gt;40000,200,IF(CR128&gt;25000,150,IF(CR128&gt;15000,130,IF(CR128&gt;10000,110,0)))))</f>
        <v>200</v>
      </c>
      <c r="CV128">
        <f>CR128-CS128-CT128-CU128</f>
        <v>64990</v>
      </c>
      <c r="CW128">
        <f>_xlfn.XLOOKUP(B128,'[10]december-2025'!$A:$A,'[10]december-2025'!$C:$C,0,0)</f>
        <v>53300</v>
      </c>
      <c r="CX128">
        <f>ROUND(CW128*0.18,0)</f>
        <v>9594</v>
      </c>
      <c r="CY128">
        <f>ROUND(CW128*0.12,0)</f>
        <v>6396</v>
      </c>
      <c r="CZ128">
        <f>_xlfn.XLOOKUP(B128,'[10]december-2025'!$A:$A,'[10]december-2025'!$D:$D,0,0)</f>
        <v>400</v>
      </c>
      <c r="DA128">
        <f>_xlfn.XLOOKUP(B128,'[10]december-2025'!$A:$A,'[10]december-2025'!$G:$G,0,0)</f>
        <v>500</v>
      </c>
      <c r="DB128">
        <f>IF(CW128&gt;0,SUM(CW128:DA128),0)</f>
        <v>70190</v>
      </c>
      <c r="DC128">
        <f>_xlfn.XLOOKUP(B128,'[10]december-2025'!$A:$A,'[10]december-2025'!$H:$H,0,0)</f>
        <v>5000</v>
      </c>
      <c r="DD128">
        <f>_xlfn.XLOOKUP(B128,'[10]december-2025'!$A:$A,'[10]december-2025'!$I:$I,0,0)</f>
        <v>0</v>
      </c>
      <c r="DE128">
        <f>IF($F128="YES",0,IF(DB128&gt;40000,200,IF(DB128&gt;25000,150,IF(DB128&gt;15000,130,IF(DB128&gt;10000,110,0)))))</f>
        <v>200</v>
      </c>
      <c r="DF128">
        <f>DB128-DC128-DD128-DE128</f>
        <v>64990</v>
      </c>
      <c r="DG128">
        <f>_xlfn.XLOOKUP(B128,'[11]january-2026'!$A:$A,'[11]january-2026'!$C:$C,0,0)</f>
        <v>53300</v>
      </c>
      <c r="DH128">
        <f>DG128*0.18</f>
        <v>9594</v>
      </c>
      <c r="DI128">
        <f>DG128*0.12</f>
        <v>6396</v>
      </c>
      <c r="DJ128">
        <f>_xlfn.XLOOKUP(B128,'[11]january-2026'!$A:$A,'[11]january-2026'!$D:$D,0,0)</f>
        <v>400</v>
      </c>
      <c r="DK128">
        <f>_xlfn.XLOOKUP(B128,'[11]january-2026'!$A:$A,'[11]january-2026'!$G:$G,0,0)</f>
        <v>500</v>
      </c>
      <c r="DL128">
        <f>IF(DG128&gt;0,SUM(DG128:DK128),0)</f>
        <v>70190</v>
      </c>
      <c r="DM128">
        <f>_xlfn.XLOOKUP(B128,'[11]january-2026'!$A:$A,'[11]january-2026'!$H:$H,0,0)</f>
        <v>5000</v>
      </c>
      <c r="DN128">
        <f>_xlfn.XLOOKUP(B128,'[11]january-2026'!$A:$A,'[11]january-2026'!$I:$I,0,0)</f>
        <v>0</v>
      </c>
      <c r="DO128">
        <f>IF($F128="YES",0,IF(DL128&gt;40000,200,IF(DL128&gt;25000,150,IF(DL128&gt;15000,130,IF(DL128&gt;10000,110,0)))))</f>
        <v>200</v>
      </c>
      <c r="DP128">
        <f>DL128-DM128-DN128-DO128</f>
        <v>64990</v>
      </c>
      <c r="DQ128">
        <f>_xlfn.XLOOKUP(B128,'[12]february-2026'!$A:$A,'[12]february-2026'!$C:$C,0,0)</f>
        <v>53300</v>
      </c>
      <c r="DR128">
        <f>DQ128*0.18</f>
        <v>9594</v>
      </c>
      <c r="DS128">
        <f>DQ128*0.12</f>
        <v>6396</v>
      </c>
      <c r="DT128">
        <f>_xlfn.XLOOKUP(B128,'[12]february-2026'!$A:$A,'[12]february-2026'!$D:$D,0,0)</f>
        <v>400</v>
      </c>
      <c r="DU128">
        <f>_xlfn.XLOOKUP(B128,'[12]february-2026'!$A:$A,'[12]february-2026'!$G:$G,0,0)</f>
        <v>500</v>
      </c>
      <c r="DV128">
        <f>IF(DQ128&gt;0,SUM(DQ128:DU128),0)</f>
        <v>70190</v>
      </c>
      <c r="DW128">
        <f>_xlfn.XLOOKUP(B128,'[12]february-2026'!$A:$A,'[12]february-2026'!$H:$H,0,0)</f>
        <v>5000</v>
      </c>
      <c r="DX128">
        <f>_xlfn.XLOOKUP(B128,'[12]february-2026'!$A:$A,'[12]february-2026'!$I:$I,0,0)</f>
        <v>0</v>
      </c>
      <c r="DY128">
        <f>IF($F128="YES",0,IF(DV128&gt;40000,200,IF(DV128&gt;25000,150,IF(DV128&gt;15000,130,IF(DV128&gt;10000,110,0)))))</f>
        <v>200</v>
      </c>
      <c r="DZ128">
        <f>DV128-DW128-DX128-DY128</f>
        <v>64990</v>
      </c>
      <c r="EA128">
        <f>DV128+DL128+DB128+CR128+CH128+BX128+BN128+BD128+AS128+AI128+Y128+O128+H128+I128</f>
        <v>838692</v>
      </c>
      <c r="EB128">
        <f>DY128+DO128+DE128+CU128+CK128+CA128+BQ128+BG128+AV128+AL128+AB128+R128</f>
        <v>2400</v>
      </c>
      <c r="EC128">
        <f>IF(EA128&gt;0,50000,0)</f>
        <v>50000</v>
      </c>
      <c r="ED128">
        <v>0</v>
      </c>
      <c r="EE128">
        <f>EA128-EB128-EC128</f>
        <v>786292</v>
      </c>
      <c r="EF128">
        <f>DW128+DM128+DC128+CS128+CI128+BY128+BO128+BE128+AT128+AJ128+Z128+P128</f>
        <v>60000</v>
      </c>
      <c r="EG128">
        <f>DX128+DN128+DD128+CT128+CJ128+BZ128+BP128+BF128+AU128+AK128+AA128+Q128</f>
        <v>0</v>
      </c>
      <c r="EH128">
        <v>0</v>
      </c>
      <c r="EI128">
        <v>0</v>
      </c>
      <c r="EJ128">
        <v>0</v>
      </c>
      <c r="EK128">
        <v>0</v>
      </c>
      <c r="EL128">
        <v>0</v>
      </c>
      <c r="EM128">
        <v>0</v>
      </c>
      <c r="EN128">
        <v>0</v>
      </c>
      <c r="EO128">
        <v>0</v>
      </c>
      <c r="EP128">
        <v>0</v>
      </c>
      <c r="EQ128">
        <v>0</v>
      </c>
      <c r="ER128">
        <f>SUM(EF128:EQ128)</f>
        <v>60000</v>
      </c>
      <c r="ES128">
        <f>IF(ER128&gt;=150000,150000,ER128)</f>
        <v>60000</v>
      </c>
      <c r="ET128">
        <f>EE128-ES128</f>
        <v>726292</v>
      </c>
      <c r="EU128">
        <v>0</v>
      </c>
      <c r="EV128">
        <v>0</v>
      </c>
      <c r="EW128">
        <v>0</v>
      </c>
      <c r="EX128">
        <v>0</v>
      </c>
      <c r="EY128">
        <v>0</v>
      </c>
      <c r="EZ128">
        <v>0</v>
      </c>
      <c r="FA128">
        <v>0</v>
      </c>
      <c r="FB128">
        <f>SUM(EU128:FA128)+(IF(F128="YES",50000,0))</f>
        <v>0</v>
      </c>
      <c r="FC128">
        <f>ET128-FB128</f>
        <v>726292</v>
      </c>
      <c r="FD128">
        <f>ROUND(IF(FC128&gt;0,IF(FC128&gt;500000,12500,(FC128-250000)*0.05),0),0)</f>
        <v>12500</v>
      </c>
      <c r="FE128">
        <f>IF(ROUND(IF(FC128&gt;0,IF(FC128&gt;1000000,25000,(FC128-500000)*0.2),0),0)&lt;0,0,ROUND(IF(FC128&gt;0,IF(FC128&gt;1000000,25000,(FC128-500000)*0.2),0),0))</f>
        <v>45258</v>
      </c>
      <c r="FF128">
        <f>FD128+FE128</f>
        <v>57758</v>
      </c>
      <c r="FG128">
        <f>IF(FF128&lt;12500,0,FF128)</f>
        <v>57758</v>
      </c>
      <c r="FH128">
        <f>FG128*0.04</f>
        <v>2310.3200000000002</v>
      </c>
      <c r="FI128">
        <f>ROUND(FH128+FG128,0)</f>
        <v>60068</v>
      </c>
      <c r="FJ128">
        <v>0</v>
      </c>
      <c r="FK128">
        <f>FI128-FJ128</f>
        <v>60068</v>
      </c>
      <c r="FL128" t="b">
        <f>IF(EA128&gt;500000,TRUE,FALSE)</f>
        <v>1</v>
      </c>
      <c r="FM128">
        <f ca="1">IF(FL128,RANDBETWEEN(500,1000),RANDBETWEEN(1000,3000))</f>
        <v>592</v>
      </c>
      <c r="FN128">
        <f ca="1">EA128+FM128</f>
        <v>839284</v>
      </c>
      <c r="FO128">
        <f>IF(EA128&gt;0,75000,0)</f>
        <v>75000</v>
      </c>
      <c r="FP128">
        <f ca="1">FN128-FO128</f>
        <v>764284</v>
      </c>
      <c r="FQ128">
        <f ca="1">IF(FP128&gt;2400000,FP128-2400000,0)</f>
        <v>0</v>
      </c>
      <c r="FR128">
        <f ca="1">FQ128*0.3</f>
        <v>0</v>
      </c>
      <c r="FS128">
        <f ca="1">IF(FP128&gt;2000000,FP128-2000000,0)</f>
        <v>0</v>
      </c>
      <c r="FT128">
        <f ca="1">FS128*0.25</f>
        <v>0</v>
      </c>
      <c r="FU128">
        <f ca="1">IF(FP128&gt;1600000,FP128-1600000-FQ128,0)</f>
        <v>0</v>
      </c>
      <c r="FV128">
        <f ca="1">FU128*0.2</f>
        <v>0</v>
      </c>
      <c r="FW128">
        <f ca="1">IF(FP128&gt;1200000,FP128-1200000-IF(F128="YES",50000,0)-FU128,0)</f>
        <v>0</v>
      </c>
      <c r="FX128">
        <f ca="1">FW128*0.15</f>
        <v>0</v>
      </c>
      <c r="FY128">
        <f ca="1">IF(FP128&gt;800000,FP128-800000-FQ128-FU128-FW128,0)</f>
        <v>0</v>
      </c>
      <c r="FZ128">
        <f ca="1">FY128*0.1</f>
        <v>0</v>
      </c>
      <c r="GA128">
        <f ca="1">IF(FP128&gt;400000,FP128-400000-FQ128-FU128-FW128-FY128,0)</f>
        <v>364284</v>
      </c>
      <c r="GB128">
        <f ca="1">GA128*0.05</f>
        <v>18214.2</v>
      </c>
      <c r="GC128">
        <f ca="1">ROUND(FR128+FT128+FV128+FX128+FZ128+GB128,0)</f>
        <v>18214</v>
      </c>
      <c r="GD128">
        <f ca="1">IF(FP128&gt;1200000,FP128,0)</f>
        <v>0</v>
      </c>
      <c r="GE128">
        <f ca="1">IF(FP128&gt;1200000,GD128-1200000,0)</f>
        <v>0</v>
      </c>
      <c r="GF128">
        <f ca="1">IF(FP128&lt;1200001,MIN(GC128,60000),0)</f>
        <v>18214</v>
      </c>
      <c r="GG128">
        <f ca="1">IF(FP128&gt;1200000,GC128-GE128,0)</f>
        <v>0</v>
      </c>
      <c r="GH128" t="b">
        <f ca="1">IF(GG128&gt;0,TRUE,FALSE)</f>
        <v>0</v>
      </c>
      <c r="GI128">
        <f ca="1">IF(GH128,GG128,0)</f>
        <v>0</v>
      </c>
      <c r="GJ128">
        <f ca="1">GF128+GI128</f>
        <v>18214</v>
      </c>
      <c r="GK128">
        <f ca="1">ROUND(GC128-GJ128,0)</f>
        <v>0</v>
      </c>
      <c r="GL128">
        <f ca="1">GK128*0.04</f>
        <v>0</v>
      </c>
      <c r="GM128">
        <f ca="1">ROUNDUP(GK128+GL128,0)</f>
        <v>0</v>
      </c>
    </row>
    <row r="129" spans="1:195" x14ac:dyDescent="0.25">
      <c r="A129">
        <f>_xlfn.AGGREGATE(3,5,$B$2:B129)</f>
        <v>128</v>
      </c>
      <c r="B129" t="s">
        <v>375</v>
      </c>
      <c r="C129" t="s">
        <v>376</v>
      </c>
      <c r="D129" t="s">
        <v>787</v>
      </c>
      <c r="E129" t="s">
        <v>833</v>
      </c>
      <c r="F129" t="s">
        <v>959</v>
      </c>
      <c r="G129" t="s">
        <v>927</v>
      </c>
      <c r="H129">
        <f>IF(_xlfn.DAYS("31-03-2025",G129)&gt;=180,6800,0)</f>
        <v>6800</v>
      </c>
      <c r="I129">
        <f>_xlfn.XLOOKUP(B129,'[1]march-2025'!$A:$A,'[1]march-2025'!$J:$J,0,0)</f>
        <v>0</v>
      </c>
      <c r="J129">
        <f>_xlfn.XLOOKUP(B129,'[1]march-2025'!$A:$A,'[1]march-2025'!$C:$C,0,0)</f>
        <v>31600</v>
      </c>
      <c r="K129">
        <f>J129*0.14</f>
        <v>4424</v>
      </c>
      <c r="L129">
        <f>J129*0.12</f>
        <v>3792</v>
      </c>
      <c r="M129">
        <f>_xlfn.XLOOKUP(B129,'[1]march-2025'!$A:$A,'[1]march-2025'!$D:$D,0,0)</f>
        <v>0</v>
      </c>
      <c r="N129">
        <f>_xlfn.XLOOKUP(B129,'[1]march-2025'!$A:$A,'[1]march-2025'!$G:$G,0,0)</f>
        <v>500</v>
      </c>
      <c r="O129">
        <f>IF(J129&gt;0,SUM(J129:N129),0)</f>
        <v>40316</v>
      </c>
      <c r="P129">
        <f>_xlfn.XLOOKUP(B129,'[1]march-2025'!$A:$A,'[1]march-2025'!$H:$H,0,0)</f>
        <v>3000</v>
      </c>
      <c r="Q129">
        <f>_xlfn.XLOOKUP(B129,'[1]march-2025'!$A:$A,'[1]march-2025'!$I:$I,0,0)</f>
        <v>0</v>
      </c>
      <c r="R129">
        <f>IF($F129="YES",0,IF(O129&gt;40000,200,IF(O129&gt;25000,150,IF(O129&gt;15000,130,IF(O129&gt;10000,110,0)))))</f>
        <v>200</v>
      </c>
      <c r="S129">
        <f>O129-P129-Q129-R129</f>
        <v>37116</v>
      </c>
      <c r="T129">
        <f>_xlfn.XLOOKUP(B129,'[2]april-2025'!$A:$A,'[2]april-2025'!$C:$C,0,0)</f>
        <v>31600</v>
      </c>
      <c r="U129">
        <f>T129*0.18</f>
        <v>5688</v>
      </c>
      <c r="V129">
        <f>T129*0.12</f>
        <v>3792</v>
      </c>
      <c r="W129">
        <f>_xlfn.XLOOKUP(B129,'[2]april-2025'!$A:$A,'[2]april-2025'!$D:$D,0,0)</f>
        <v>0</v>
      </c>
      <c r="X129">
        <f>_xlfn.XLOOKUP(B129,'[2]april-2025'!$A:$A,'[2]april-2025'!$G:$G,0,0)</f>
        <v>500</v>
      </c>
      <c r="Y129">
        <f>IF(T129&gt;0,SUM(T129:X129),0)</f>
        <v>41580</v>
      </c>
      <c r="Z129">
        <f>_xlfn.XLOOKUP(B129,'[2]april-2025'!$A:$A,'[2]april-2025'!$H:$H,0,0)</f>
        <v>3000</v>
      </c>
      <c r="AA129">
        <f>_xlfn.XLOOKUP(B129,'[2]april-2025'!$A:$A,'[2]april-2025'!$I:$I,0,0)</f>
        <v>0</v>
      </c>
      <c r="AB129">
        <f>IF($F129="YES",0,IF(Y129&gt;40000,200,IF(Y129&gt;25000,150,IF(Y129&gt;15000,130,IF(Y129&gt;10000,110,0)))))</f>
        <v>200</v>
      </c>
      <c r="AC129">
        <f>Y129-Z129-AA129-AB129</f>
        <v>38380</v>
      </c>
      <c r="AD129">
        <f>_xlfn.XLOOKUP(B129,'[3]may-2025'!$A:$A,'[3]may-2025'!$C:$C,0,0)</f>
        <v>31600</v>
      </c>
      <c r="AE129">
        <f>AD129*0.18</f>
        <v>5688</v>
      </c>
      <c r="AF129">
        <f>AD129*0.12</f>
        <v>3792</v>
      </c>
      <c r="AG129">
        <f>_xlfn.XLOOKUP(B129,'[3]may-2025'!$A:$A,'[3]may-2025'!$D:$D,0,0)</f>
        <v>0</v>
      </c>
      <c r="AH129">
        <f>_xlfn.XLOOKUP(B129,'[3]may-2025'!$A:$A,'[3]may-2025'!$G:$G,0,0)</f>
        <v>500</v>
      </c>
      <c r="AI129">
        <f>IF(AD129&gt;0,SUM(AD129:AH129),0)</f>
        <v>41580</v>
      </c>
      <c r="AJ129">
        <f>_xlfn.XLOOKUP(B129,'[3]may-2025'!$A:$A,'[3]may-2025'!$H:$H,0,0)</f>
        <v>3000</v>
      </c>
      <c r="AK129">
        <f>_xlfn.XLOOKUP(B129,'[3]may-2025'!$A:$A,'[3]may-2025'!$I:$I,0,0)</f>
        <v>0</v>
      </c>
      <c r="AL129">
        <f>IF($F129="YES",0,IF(AI129&gt;40000,200,IF(AI129&gt;25000,150,IF(AI129&gt;15000,130,IF(AI129&gt;10000,110,0)))))</f>
        <v>200</v>
      </c>
      <c r="AM129">
        <f>AI129-AJ129-AK129-AL129</f>
        <v>38380</v>
      </c>
      <c r="AN129">
        <f>_xlfn.XLOOKUP(B129,'[4]june-2025'!$A:$A,'[4]june-2025'!$C:$C,0,0)</f>
        <v>31600</v>
      </c>
      <c r="AO129">
        <f>AN129*0.18</f>
        <v>5688</v>
      </c>
      <c r="AP129">
        <f>AN129*0.12</f>
        <v>3792</v>
      </c>
      <c r="AQ129">
        <f>_xlfn.XLOOKUP(B129,'[4]june-2025'!$A:$A,'[4]june-2025'!$D:$D,0,0)</f>
        <v>0</v>
      </c>
      <c r="AR129">
        <f>_xlfn.XLOOKUP(B129,'[4]june-2025'!$A:$A,'[4]june-2025'!$G:$G,0,0)</f>
        <v>500</v>
      </c>
      <c r="AS129">
        <f>IF(AN129&gt;0,SUM(AN129:AR129),0)</f>
        <v>41580</v>
      </c>
      <c r="AT129">
        <f>_xlfn.XLOOKUP(B129,'[4]june-2025'!$A:$A,'[4]june-2025'!$H:$H,0,0)</f>
        <v>3000</v>
      </c>
      <c r="AU129">
        <f>_xlfn.XLOOKUP(B129,'[4]june-2025'!$A:$A,'[4]june-2025'!$I:$I,0,0)</f>
        <v>0</v>
      </c>
      <c r="AV129">
        <f>IF($F129="YES",0,IF(AS129&gt;40000,200,IF(AS129&gt;25000,150,IF(AS129&gt;15000,130,IF(AS129&gt;10000,110,0)))))</f>
        <v>200</v>
      </c>
      <c r="AW129">
        <f>AS129-AT129-AU129-AV129</f>
        <v>38380</v>
      </c>
      <c r="AX129">
        <f>_xlfn.XLOOKUP(B129,'[5]july-2025'!$A:$A,'[5]july-2025'!$C:$C,0,0)</f>
        <v>32500</v>
      </c>
      <c r="AY129">
        <f>AX129*0.18</f>
        <v>5850</v>
      </c>
      <c r="AZ129">
        <v>0</v>
      </c>
      <c r="BA129">
        <f>AX129*0.12</f>
        <v>3900</v>
      </c>
      <c r="BB129">
        <f>_xlfn.XLOOKUP(B129,'[5]july-2025'!$A:$A,'[5]july-2025'!$D:$D,0,0)</f>
        <v>0</v>
      </c>
      <c r="BC129">
        <f>_xlfn.XLOOKUP(B129,'[5]july-2025'!$A:$A,'[5]july-2025'!$G:$G,0,0)</f>
        <v>500</v>
      </c>
      <c r="BD129">
        <f>IF(AX129&gt;0,SUM(AX129:BC129),0)</f>
        <v>42750</v>
      </c>
      <c r="BE129">
        <f>_xlfn.XLOOKUP(B129,'[5]july-2025'!$A:$A,'[5]july-2025'!$H:$H,0,0)</f>
        <v>3000</v>
      </c>
      <c r="BF129">
        <f>_xlfn.XLOOKUP(B129,'[5]july-2025'!$A:$A,'[5]july-2025'!$I:$I,0,0)</f>
        <v>0</v>
      </c>
      <c r="BG129">
        <f>IF($F129="YES",0,IF(BD129&gt;40000,200,IF(BD129&gt;25000,150,IF(BD129&gt;15000,130,IF(BD129&gt;10000,110,0)))))</f>
        <v>200</v>
      </c>
      <c r="BH129">
        <f>BD129-BE129-BF129-BG129</f>
        <v>39550</v>
      </c>
      <c r="BI129">
        <f>_xlfn.XLOOKUP(B129,'[6]august-2025'!$A:$A,'[6]august-2025'!$C:$C,0,0)</f>
        <v>32500</v>
      </c>
      <c r="BJ129">
        <f>BI129*0.18</f>
        <v>5850</v>
      </c>
      <c r="BK129">
        <f>BI129*0.12</f>
        <v>3900</v>
      </c>
      <c r="BL129">
        <f>_xlfn.XLOOKUP(B129,'[6]august-2025'!$A:$A,'[6]august-2025'!$D:$D,0,0)</f>
        <v>0</v>
      </c>
      <c r="BM129">
        <f>_xlfn.XLOOKUP(B129,'[6]august-2025'!$A:$A,'[6]august-2025'!$G:$G,0,0)</f>
        <v>500</v>
      </c>
      <c r="BN129">
        <f>IF(BI129&gt;0,SUM(BI129:BM129),0)</f>
        <v>42750</v>
      </c>
      <c r="BO129">
        <f>_xlfn.XLOOKUP(B129,'[6]august-2025'!$A:$A,'[6]august-2025'!$H:$H,0,0)</f>
        <v>3000</v>
      </c>
      <c r="BP129">
        <f>_xlfn.XLOOKUP(B129,'[6]august-2025'!$A:$A,'[6]august-2025'!$I:$I,0,0)</f>
        <v>0</v>
      </c>
      <c r="BQ129">
        <f>IF($F129="YES",0,IF(BN129&gt;40000,200,IF(BN129&gt;25000,150,IF(BN129&gt;15000,130,IF(BN129&gt;10000,110,0)))))</f>
        <v>200</v>
      </c>
      <c r="BR129">
        <f>BN129-BO129-BP129-BQ129</f>
        <v>39550</v>
      </c>
      <c r="BS129">
        <f>_xlfn.XLOOKUP(B129,'[7]september-2025'!$A:$A,'[7]september-2025'!$C:$C,0,0)</f>
        <v>32500</v>
      </c>
      <c r="BT129">
        <f>BS129*0.18</f>
        <v>5850</v>
      </c>
      <c r="BU129">
        <f>BS129*0.12</f>
        <v>3900</v>
      </c>
      <c r="BV129">
        <f>_xlfn.XLOOKUP(B129,'[7]september-2025'!$A:$A,'[7]september-2025'!$D:$D,0,0)</f>
        <v>0</v>
      </c>
      <c r="BW129">
        <f>_xlfn.XLOOKUP(B129,'[7]september-2025'!$A:$A,'[7]september-2025'!$G:$G,0,0)</f>
        <v>500</v>
      </c>
      <c r="BX129">
        <f>IF(BS129&gt;0,SUM(BS129:BW129),0)</f>
        <v>42750</v>
      </c>
      <c r="BY129">
        <f>_xlfn.XLOOKUP(B129,'[7]september-2025'!$A:$A,'[7]september-2025'!$H:$H,0,0)</f>
        <v>3000</v>
      </c>
      <c r="BZ129">
        <f>_xlfn.XLOOKUP(B129,'[7]september-2025'!$A:$A,'[7]september-2025'!$I:$I,0,0)</f>
        <v>0</v>
      </c>
      <c r="CA129">
        <f>IF($F129="YES",0,IF(BX129&gt;40000,200,IF(BX129&gt;25000,150,IF(BX129&gt;15000,130,IF(BX129&gt;10000,110,0)))))</f>
        <v>200</v>
      </c>
      <c r="CB129">
        <f>BX129-BY129-BZ129-CA129</f>
        <v>39550</v>
      </c>
      <c r="CC129">
        <f>_xlfn.XLOOKUP(B129,'[8]october-2025'!$A:$A,'[8]october-2025'!$C:$C,0,0)</f>
        <v>32500</v>
      </c>
      <c r="CD129">
        <f>CC129*0.18</f>
        <v>5850</v>
      </c>
      <c r="CE129">
        <f>CC129*0.12</f>
        <v>3900</v>
      </c>
      <c r="CF129">
        <f>_xlfn.XLOOKUP(B129,'[8]october-2025'!$A:$A,'[8]october-2025'!$D:$D,0,0)</f>
        <v>0</v>
      </c>
      <c r="CG129">
        <f>_xlfn.XLOOKUP(B129,'[8]october-2025'!$A:$A,'[8]october-2025'!$G:$G,0,0)</f>
        <v>500</v>
      </c>
      <c r="CH129">
        <f>IF(CC129&gt;0,SUM(CC129:CG129),0)</f>
        <v>42750</v>
      </c>
      <c r="CI129">
        <f>_xlfn.XLOOKUP(B129,'[8]october-2025'!$A:$A,'[8]october-2025'!$H:$H,0,0)</f>
        <v>3000</v>
      </c>
      <c r="CJ129">
        <f>_xlfn.XLOOKUP(B129,'[8]october-2025'!$A:$A,'[8]october-2025'!$I:$I,0,0)</f>
        <v>0</v>
      </c>
      <c r="CK129">
        <f>IF($F129="YES",0,IF(CH129&gt;40000,200,IF(CH129&gt;25000,150,IF(CH129&gt;15000,130,IF(CH129&gt;10000,110,0)))))</f>
        <v>200</v>
      </c>
      <c r="CL129">
        <f>CH129-CI129-CJ129-CK129</f>
        <v>39550</v>
      </c>
      <c r="CM129">
        <f>_xlfn.XLOOKUP(B129,'[9]november-2025'!$A:$A,'[9]november-2025'!$C:$C,0,0)</f>
        <v>32500</v>
      </c>
      <c r="CN129">
        <f>CM129*0.18</f>
        <v>5850</v>
      </c>
      <c r="CO129">
        <f>CM129*0.12</f>
        <v>3900</v>
      </c>
      <c r="CP129">
        <f>_xlfn.XLOOKUP(B129,'[9]november-2025'!$A:$A,'[9]november-2025'!$D:$D,0,0)</f>
        <v>0</v>
      </c>
      <c r="CQ129">
        <f>_xlfn.XLOOKUP(B129,'[9]november-2025'!$A:$A,'[9]november-2025'!$G:$G,0,0)</f>
        <v>500</v>
      </c>
      <c r="CR129">
        <f>IF(CM129&gt;0,SUM(CM129:CQ129),0)</f>
        <v>42750</v>
      </c>
      <c r="CS129">
        <f>_xlfn.XLOOKUP(B129,'[9]november-2025'!$A:$A,'[9]november-2025'!$H:$H,0,0)</f>
        <v>3000</v>
      </c>
      <c r="CT129">
        <f>_xlfn.XLOOKUP(B129,'[9]november-2025'!$A:$A,'[9]november-2025'!$I:$I,0,0)</f>
        <v>0</v>
      </c>
      <c r="CU129">
        <f>IF($F129="YES",0,IF(CR129&gt;40000,200,IF(CR129&gt;25000,150,IF(CR129&gt;15000,130,IF(CR129&gt;10000,110,0)))))</f>
        <v>200</v>
      </c>
      <c r="CV129">
        <f>CR129-CS129-CT129-CU129</f>
        <v>39550</v>
      </c>
      <c r="CW129">
        <f>_xlfn.XLOOKUP(B129,'[10]december-2025'!$A:$A,'[10]december-2025'!$C:$C,0,0)</f>
        <v>32500</v>
      </c>
      <c r="CX129">
        <f>ROUND(CW129*0.18,0)</f>
        <v>5850</v>
      </c>
      <c r="CY129">
        <f>ROUND(CW129*0.12,0)</f>
        <v>3900</v>
      </c>
      <c r="CZ129">
        <f>_xlfn.XLOOKUP(B129,'[10]december-2025'!$A:$A,'[10]december-2025'!$D:$D,0,0)</f>
        <v>0</v>
      </c>
      <c r="DA129">
        <f>_xlfn.XLOOKUP(B129,'[10]december-2025'!$A:$A,'[10]december-2025'!$G:$G,0,0)</f>
        <v>500</v>
      </c>
      <c r="DB129">
        <f>IF(CW129&gt;0,SUM(CW129:DA129),0)</f>
        <v>42750</v>
      </c>
      <c r="DC129">
        <f>_xlfn.XLOOKUP(B129,'[10]december-2025'!$A:$A,'[10]december-2025'!$H:$H,0,0)</f>
        <v>3000</v>
      </c>
      <c r="DD129">
        <f>_xlfn.XLOOKUP(B129,'[10]december-2025'!$A:$A,'[10]december-2025'!$I:$I,0,0)</f>
        <v>0</v>
      </c>
      <c r="DE129">
        <f>IF($F129="YES",0,IF(DB129&gt;40000,200,IF(DB129&gt;25000,150,IF(DB129&gt;15000,130,IF(DB129&gt;10000,110,0)))))</f>
        <v>200</v>
      </c>
      <c r="DF129">
        <f>DB129-DC129-DD129-DE129</f>
        <v>39550</v>
      </c>
      <c r="DG129">
        <f>_xlfn.XLOOKUP(B129,'[11]january-2026'!$A:$A,'[11]january-2026'!$C:$C,0,0)</f>
        <v>32500</v>
      </c>
      <c r="DH129">
        <f>DG129*0.18</f>
        <v>5850</v>
      </c>
      <c r="DI129">
        <f>DG129*0.12</f>
        <v>3900</v>
      </c>
      <c r="DJ129">
        <f>_xlfn.XLOOKUP(B129,'[11]january-2026'!$A:$A,'[11]january-2026'!$D:$D,0,0)</f>
        <v>0</v>
      </c>
      <c r="DK129">
        <f>_xlfn.XLOOKUP(B129,'[11]january-2026'!$A:$A,'[11]january-2026'!$G:$G,0,0)</f>
        <v>500</v>
      </c>
      <c r="DL129">
        <f>IF(DG129&gt;0,SUM(DG129:DK129),0)</f>
        <v>42750</v>
      </c>
      <c r="DM129">
        <f>_xlfn.XLOOKUP(B129,'[11]january-2026'!$A:$A,'[11]january-2026'!$H:$H,0,0)</f>
        <v>3000</v>
      </c>
      <c r="DN129">
        <f>_xlfn.XLOOKUP(B129,'[11]january-2026'!$A:$A,'[11]january-2026'!$I:$I,0,0)</f>
        <v>0</v>
      </c>
      <c r="DO129">
        <f>IF($F129="YES",0,IF(DL129&gt;40000,200,IF(DL129&gt;25000,150,IF(DL129&gt;15000,130,IF(DL129&gt;10000,110,0)))))</f>
        <v>200</v>
      </c>
      <c r="DP129">
        <f>DL129-DM129-DN129-DO129</f>
        <v>39550</v>
      </c>
      <c r="DQ129">
        <f>_xlfn.XLOOKUP(B129,'[12]february-2026'!$A:$A,'[12]february-2026'!$C:$C,0,0)</f>
        <v>32500</v>
      </c>
      <c r="DR129">
        <f>DQ129*0.18</f>
        <v>5850</v>
      </c>
      <c r="DS129">
        <f>DQ129*0.12</f>
        <v>3900</v>
      </c>
      <c r="DT129">
        <f>_xlfn.XLOOKUP(B129,'[12]february-2026'!$A:$A,'[12]february-2026'!$D:$D,0,0)</f>
        <v>0</v>
      </c>
      <c r="DU129">
        <f>_xlfn.XLOOKUP(B129,'[12]february-2026'!$A:$A,'[12]february-2026'!$G:$G,0,0)</f>
        <v>500</v>
      </c>
      <c r="DV129">
        <f>IF(DQ129&gt;0,SUM(DQ129:DU129),0)</f>
        <v>42750</v>
      </c>
      <c r="DW129">
        <f>_xlfn.XLOOKUP(B129,'[12]february-2026'!$A:$A,'[12]february-2026'!$H:$H,0,0)</f>
        <v>3000</v>
      </c>
      <c r="DX129">
        <f>_xlfn.XLOOKUP(B129,'[12]february-2026'!$A:$A,'[12]february-2026'!$I:$I,0,0)</f>
        <v>0</v>
      </c>
      <c r="DY129">
        <f>IF($F129="YES",0,IF(DV129&gt;40000,200,IF(DV129&gt;25000,150,IF(DV129&gt;15000,130,IF(DV129&gt;10000,110,0)))))</f>
        <v>200</v>
      </c>
      <c r="DZ129">
        <f>DV129-DW129-DX129-DY129</f>
        <v>39550</v>
      </c>
      <c r="EA129">
        <f>DV129+DL129+DB129+CR129+CH129+BX129+BN129+BD129+AS129+AI129+Y129+O129+H129+I129</f>
        <v>513856</v>
      </c>
      <c r="EB129">
        <f>DY129+DO129+DE129+CU129+CK129+CA129+BQ129+BG129+AV129+AL129+AB129+R129</f>
        <v>2400</v>
      </c>
      <c r="EC129">
        <f>IF(EA129&gt;0,50000,0)</f>
        <v>50000</v>
      </c>
      <c r="ED129">
        <v>0</v>
      </c>
      <c r="EE129">
        <f>EA129-EB129-EC129</f>
        <v>461456</v>
      </c>
      <c r="EF129">
        <f>DW129+DM129+DC129+CS129+CI129+BY129+BO129+BE129+AT129+AJ129+Z129+P129</f>
        <v>36000</v>
      </c>
      <c r="EG129">
        <f>DX129+DN129+DD129+CT129+CJ129+BZ129+BP129+BF129+AU129+AK129+AA129+Q129</f>
        <v>0</v>
      </c>
      <c r="EH129">
        <v>0</v>
      </c>
      <c r="EI129">
        <v>0</v>
      </c>
      <c r="EJ129">
        <v>0</v>
      </c>
      <c r="EK129">
        <v>0</v>
      </c>
      <c r="EL129">
        <v>0</v>
      </c>
      <c r="EM129">
        <v>0</v>
      </c>
      <c r="EN129">
        <v>0</v>
      </c>
      <c r="EO129">
        <v>0</v>
      </c>
      <c r="EP129">
        <v>0</v>
      </c>
      <c r="EQ129">
        <v>0</v>
      </c>
      <c r="ER129">
        <f>SUM(EF129:EQ129)</f>
        <v>36000</v>
      </c>
      <c r="ES129">
        <f>IF(ER129&gt;=150000,150000,ER129)</f>
        <v>36000</v>
      </c>
      <c r="ET129">
        <f>EE129-ES129</f>
        <v>425456</v>
      </c>
      <c r="EU129">
        <v>0</v>
      </c>
      <c r="EV129">
        <v>0</v>
      </c>
      <c r="EW129">
        <v>0</v>
      </c>
      <c r="EX129">
        <v>0</v>
      </c>
      <c r="EY129">
        <v>0</v>
      </c>
      <c r="EZ129">
        <v>0</v>
      </c>
      <c r="FA129">
        <v>0</v>
      </c>
      <c r="FB129">
        <f>SUM(EU129:FA129)+(IF(F129="YES",50000,0))</f>
        <v>0</v>
      </c>
      <c r="FC129">
        <f>ET129-FB129</f>
        <v>425456</v>
      </c>
      <c r="FD129">
        <f>ROUND(IF(FC129&gt;0,IF(FC129&gt;500000,12500,(FC129-250000)*0.05),0),0)</f>
        <v>8773</v>
      </c>
      <c r="FE129">
        <f>IF(ROUND(IF(FC129&gt;0,IF(FC129&gt;1000000,25000,(FC129-500000)*0.2),0),0)&lt;0,0,ROUND(IF(FC129&gt;0,IF(FC129&gt;1000000,25000,(FC129-500000)*0.2),0),0))</f>
        <v>0</v>
      </c>
      <c r="FF129">
        <f>FD129+FE129</f>
        <v>8773</v>
      </c>
      <c r="FG129">
        <f>IF(FF129&lt;12500,0,FF129)</f>
        <v>0</v>
      </c>
      <c r="FH129">
        <f>FG129*0.04</f>
        <v>0</v>
      </c>
      <c r="FI129">
        <f>ROUND(FH129+FG129,0)</f>
        <v>0</v>
      </c>
      <c r="FJ129">
        <v>0</v>
      </c>
      <c r="FK129">
        <f>FI129-FJ129</f>
        <v>0</v>
      </c>
      <c r="FL129" t="b">
        <f>IF(EA129&gt;500000,TRUE,FALSE)</f>
        <v>1</v>
      </c>
      <c r="FM129">
        <f ca="1">IF(FL129,RANDBETWEEN(500,1000),RANDBETWEEN(1000,3000))</f>
        <v>592</v>
      </c>
      <c r="FN129">
        <f ca="1">EA129+FM129</f>
        <v>514448</v>
      </c>
      <c r="FO129">
        <f>IF(EA129&gt;0,75000,0)</f>
        <v>75000</v>
      </c>
      <c r="FP129">
        <f ca="1">FN129-FO129</f>
        <v>439448</v>
      </c>
      <c r="FQ129">
        <f ca="1">IF(FP129&gt;2400000,FP129-2400000,0)</f>
        <v>0</v>
      </c>
      <c r="FR129">
        <f ca="1">FQ129*0.3</f>
        <v>0</v>
      </c>
      <c r="FS129">
        <f ca="1">IF(FP129&gt;2000000,FP129-2000000,0)</f>
        <v>0</v>
      </c>
      <c r="FT129">
        <f ca="1">FS129*0.25</f>
        <v>0</v>
      </c>
      <c r="FU129">
        <f ca="1">IF(FP129&gt;1600000,FP129-1600000-FQ129,0)</f>
        <v>0</v>
      </c>
      <c r="FV129">
        <f ca="1">FU129*0.2</f>
        <v>0</v>
      </c>
      <c r="FW129">
        <f ca="1">IF(FP129&gt;1200000,FP129-1200000-IF(F129="YES",50000,0)-FU129,0)</f>
        <v>0</v>
      </c>
      <c r="FX129">
        <f ca="1">FW129*0.15</f>
        <v>0</v>
      </c>
      <c r="FY129">
        <f ca="1">IF(FP129&gt;800000,FP129-800000-FQ129-FU129-FW129,0)</f>
        <v>0</v>
      </c>
      <c r="FZ129">
        <f ca="1">FY129*0.1</f>
        <v>0</v>
      </c>
      <c r="GA129">
        <f ca="1">IF(FP129&gt;400000,FP129-400000-FQ129-FU129-FW129-FY129,0)</f>
        <v>39448</v>
      </c>
      <c r="GB129">
        <f ca="1">GA129*0.05</f>
        <v>1972.4</v>
      </c>
      <c r="GC129">
        <f ca="1">ROUND(FR129+FT129+FV129+FX129+FZ129+GB129,0)</f>
        <v>1972</v>
      </c>
      <c r="GD129">
        <f ca="1">IF(FP129&gt;1200000,FP129,0)</f>
        <v>0</v>
      </c>
      <c r="GE129">
        <f ca="1">IF(FP129&gt;1200000,GD129-1200000,0)</f>
        <v>0</v>
      </c>
      <c r="GF129">
        <f ca="1">IF(FP129&lt;1200001,MIN(GC129,60000),0)</f>
        <v>1972</v>
      </c>
      <c r="GG129">
        <f ca="1">IF(FP129&gt;1200000,GC129-GE129,0)</f>
        <v>0</v>
      </c>
      <c r="GH129" t="b">
        <f ca="1">IF(GG129&gt;0,TRUE,FALSE)</f>
        <v>0</v>
      </c>
      <c r="GI129">
        <f ca="1">IF(GH129,GG129,0)</f>
        <v>0</v>
      </c>
      <c r="GJ129">
        <f ca="1">GF129+GI129</f>
        <v>1972</v>
      </c>
      <c r="GK129">
        <f ca="1">ROUND(GC129-GJ129,0)</f>
        <v>0</v>
      </c>
      <c r="GL129">
        <f ca="1">GK129*0.04</f>
        <v>0</v>
      </c>
      <c r="GM129">
        <f ca="1">ROUNDUP(GK129+GL129,0)</f>
        <v>0</v>
      </c>
    </row>
    <row r="130" spans="1:195" x14ac:dyDescent="0.25">
      <c r="A130">
        <f>_xlfn.AGGREGATE(3,5,$B$2:B130)</f>
        <v>129</v>
      </c>
      <c r="B130" t="s">
        <v>865</v>
      </c>
      <c r="C130" t="s">
        <v>866</v>
      </c>
      <c r="D130" t="s">
        <v>787</v>
      </c>
      <c r="E130" t="s">
        <v>833</v>
      </c>
      <c r="F130" t="s">
        <v>961</v>
      </c>
      <c r="G130" t="s">
        <v>928</v>
      </c>
      <c r="H130">
        <f>IF(_xlfn.DAYS("31-03-2025",G130)&gt;=180,6800,0)</f>
        <v>0</v>
      </c>
      <c r="I130">
        <f>_xlfn.XLOOKUP(B130,'[1]march-2025'!$A:$A,'[1]march-2025'!$J:$J,0,0)</f>
        <v>0</v>
      </c>
      <c r="J130">
        <f>_xlfn.XLOOKUP(B130,'[1]march-2025'!$A:$A,'[1]march-2025'!$C:$C,0,0)</f>
        <v>0</v>
      </c>
      <c r="K130">
        <f>J130*0.14</f>
        <v>0</v>
      </c>
      <c r="L130">
        <f>J130*0.12</f>
        <v>0</v>
      </c>
      <c r="M130">
        <f>_xlfn.XLOOKUP(B130,'[1]march-2025'!$A:$A,'[1]march-2025'!$D:$D,0,0)</f>
        <v>0</v>
      </c>
      <c r="N130">
        <f>_xlfn.XLOOKUP(B130,'[1]march-2025'!$A:$A,'[1]march-2025'!$G:$G,0,0)</f>
        <v>0</v>
      </c>
      <c r="O130">
        <f>IF(J130&gt;0,SUM(J130:N130),0)</f>
        <v>0</v>
      </c>
      <c r="P130">
        <f>_xlfn.XLOOKUP(B130,'[1]march-2025'!$A:$A,'[1]march-2025'!$H:$H,0,0)</f>
        <v>0</v>
      </c>
      <c r="Q130">
        <f>_xlfn.XLOOKUP(B130,'[1]march-2025'!$A:$A,'[1]march-2025'!$I:$I,0,0)</f>
        <v>0</v>
      </c>
      <c r="R130">
        <f>IF($F130="YES",0,IF(O130&gt;40000,200,IF(O130&gt;25000,150,IF(O130&gt;15000,130,IF(O130&gt;10000,110,0)))))</f>
        <v>0</v>
      </c>
      <c r="S130">
        <f>O130-P130-Q130-R130</f>
        <v>0</v>
      </c>
      <c r="T130">
        <f>_xlfn.XLOOKUP(B130,'[2]april-2025'!$A:$A,'[2]april-2025'!$C:$C,0,0)</f>
        <v>0</v>
      </c>
      <c r="U130">
        <f>T130*0.18</f>
        <v>0</v>
      </c>
      <c r="V130">
        <f>T130*0.12</f>
        <v>0</v>
      </c>
      <c r="W130">
        <f>_xlfn.XLOOKUP(B130,'[2]april-2025'!$A:$A,'[2]april-2025'!$D:$D,0,0)</f>
        <v>0</v>
      </c>
      <c r="X130">
        <f>_xlfn.XLOOKUP(B130,'[2]april-2025'!$A:$A,'[2]april-2025'!$G:$G,0,0)</f>
        <v>0</v>
      </c>
      <c r="Y130">
        <f>IF(T130&gt;0,SUM(T130:X130),0)</f>
        <v>0</v>
      </c>
      <c r="Z130">
        <f>_xlfn.XLOOKUP(B130,'[2]april-2025'!$A:$A,'[2]april-2025'!$H:$H,0,0)</f>
        <v>0</v>
      </c>
      <c r="AA130">
        <f>_xlfn.XLOOKUP(B130,'[2]april-2025'!$A:$A,'[2]april-2025'!$I:$I,0,0)</f>
        <v>0</v>
      </c>
      <c r="AB130">
        <f>IF($F130="YES",0,IF(Y130&gt;40000,200,IF(Y130&gt;25000,150,IF(Y130&gt;15000,130,IF(Y130&gt;10000,110,0)))))</f>
        <v>0</v>
      </c>
      <c r="AC130">
        <f>Y130-Z130-AA130-AB130</f>
        <v>0</v>
      </c>
      <c r="AD130">
        <f>_xlfn.XLOOKUP(B130,'[3]may-2025'!$A:$A,'[3]may-2025'!$C:$C,0,0)</f>
        <v>24700</v>
      </c>
      <c r="AE130">
        <f>AD130*0.18</f>
        <v>4446</v>
      </c>
      <c r="AF130">
        <f>AD130*0.12</f>
        <v>2964</v>
      </c>
      <c r="AG130">
        <f>_xlfn.XLOOKUP(B130,'[3]may-2025'!$A:$A,'[3]may-2025'!$D:$D,0,0)</f>
        <v>0</v>
      </c>
      <c r="AH130">
        <f>_xlfn.XLOOKUP(B130,'[3]may-2025'!$A:$A,'[3]may-2025'!$G:$G,0,0)</f>
        <v>0</v>
      </c>
      <c r="AI130">
        <f>IF(AD130&gt;0,SUM(AD130:AH130),0)</f>
        <v>32110</v>
      </c>
      <c r="AJ130">
        <f>_xlfn.XLOOKUP(B130,'[3]may-2025'!$A:$A,'[3]may-2025'!$H:$H,0,0)</f>
        <v>0</v>
      </c>
      <c r="AK130">
        <f>_xlfn.XLOOKUP(B130,'[3]may-2025'!$A:$A,'[3]may-2025'!$I:$I,0,0)</f>
        <v>0</v>
      </c>
      <c r="AL130">
        <f>IF($F130="YES",0,IF(AI130&gt;40000,200,IF(AI130&gt;25000,150,IF(AI130&gt;15000,130,IF(AI130&gt;10000,110,0)))))</f>
        <v>150</v>
      </c>
      <c r="AM130">
        <f>AI130-AJ130-AK130-AL130</f>
        <v>31960</v>
      </c>
      <c r="AN130">
        <f>_xlfn.XLOOKUP(B130,'[4]june-2025'!$A:$A,'[4]june-2025'!$C:$C,0,0)</f>
        <v>24700</v>
      </c>
      <c r="AO130">
        <f>AN130*0.18</f>
        <v>4446</v>
      </c>
      <c r="AP130">
        <f>AN130*0.12</f>
        <v>2964</v>
      </c>
      <c r="AQ130">
        <f>_xlfn.XLOOKUP(B130,'[4]june-2025'!$A:$A,'[4]june-2025'!$D:$D,0,0)</f>
        <v>0</v>
      </c>
      <c r="AR130">
        <f>_xlfn.XLOOKUP(B130,'[4]june-2025'!$A:$A,'[4]june-2025'!$G:$G,0,0)</f>
        <v>0</v>
      </c>
      <c r="AS130">
        <f>IF(AN130&gt;0,SUM(AN130:AR130),0)</f>
        <v>32110</v>
      </c>
      <c r="AT130">
        <f>_xlfn.XLOOKUP(B130,'[4]june-2025'!$A:$A,'[4]june-2025'!$H:$H,0,0)</f>
        <v>0</v>
      </c>
      <c r="AU130">
        <f>_xlfn.XLOOKUP(B130,'[4]june-2025'!$A:$A,'[4]june-2025'!$I:$I,0,0)</f>
        <v>0</v>
      </c>
      <c r="AV130">
        <f>IF($F130="YES",0,IF(AS130&gt;40000,200,IF(AS130&gt;25000,150,IF(AS130&gt;15000,130,IF(AS130&gt;10000,110,0)))))</f>
        <v>150</v>
      </c>
      <c r="AW130">
        <f>AS130-AT130-AU130-AV130</f>
        <v>31960</v>
      </c>
      <c r="AX130">
        <f>_xlfn.XLOOKUP(B130,'[5]july-2025'!$A:$A,'[5]july-2025'!$C:$C,0,0)</f>
        <v>24700</v>
      </c>
      <c r="AY130">
        <f>AX130*0.18</f>
        <v>4446</v>
      </c>
      <c r="AZ130">
        <v>0</v>
      </c>
      <c r="BA130">
        <f>AX130*0.12</f>
        <v>2964</v>
      </c>
      <c r="BB130">
        <f>_xlfn.XLOOKUP(B130,'[5]july-2025'!$A:$A,'[5]july-2025'!$D:$D,0,0)</f>
        <v>0</v>
      </c>
      <c r="BC130">
        <f>_xlfn.XLOOKUP(B130,'[5]july-2025'!$A:$A,'[5]july-2025'!$G:$G,0,0)</f>
        <v>0</v>
      </c>
      <c r="BD130">
        <f>IF(AX130&gt;0,SUM(AX130:BC130),0)</f>
        <v>32110</v>
      </c>
      <c r="BE130">
        <f>_xlfn.XLOOKUP(B130,'[5]july-2025'!$A:$A,'[5]july-2025'!$H:$H,0,0)</f>
        <v>0</v>
      </c>
      <c r="BF130">
        <f>_xlfn.XLOOKUP(B130,'[5]july-2025'!$A:$A,'[5]july-2025'!$I:$I,0,0)</f>
        <v>0</v>
      </c>
      <c r="BG130">
        <f>IF($F130="YES",0,IF(BD130&gt;40000,200,IF(BD130&gt;25000,150,IF(BD130&gt;15000,130,IF(BD130&gt;10000,110,0)))))</f>
        <v>150</v>
      </c>
      <c r="BH130">
        <f>BD130-BE130-BF130-BG130</f>
        <v>31960</v>
      </c>
      <c r="BI130">
        <f>_xlfn.XLOOKUP(B130,'[6]august-2025'!$A:$A,'[6]august-2025'!$C:$C,0,0)</f>
        <v>24700</v>
      </c>
      <c r="BJ130">
        <f>BI130*0.18</f>
        <v>4446</v>
      </c>
      <c r="BK130">
        <f>BI130*0.12</f>
        <v>2964</v>
      </c>
      <c r="BL130">
        <f>_xlfn.XLOOKUP(B130,'[6]august-2025'!$A:$A,'[6]august-2025'!$D:$D,0,0)</f>
        <v>0</v>
      </c>
      <c r="BM130">
        <f>_xlfn.XLOOKUP(B130,'[6]august-2025'!$A:$A,'[6]august-2025'!$G:$G,0,0)</f>
        <v>0</v>
      </c>
      <c r="BN130">
        <f>IF(BI130&gt;0,SUM(BI130:BM130),0)</f>
        <v>32110</v>
      </c>
      <c r="BO130">
        <f>_xlfn.XLOOKUP(B130,'[6]august-2025'!$A:$A,'[6]august-2025'!$H:$H,0,0)</f>
        <v>0</v>
      </c>
      <c r="BP130">
        <f>_xlfn.XLOOKUP(B130,'[6]august-2025'!$A:$A,'[6]august-2025'!$I:$I,0,0)</f>
        <v>0</v>
      </c>
      <c r="BQ130">
        <f>IF($F130="YES",0,IF(BN130&gt;40000,200,IF(BN130&gt;25000,150,IF(BN130&gt;15000,130,IF(BN130&gt;10000,110,0)))))</f>
        <v>150</v>
      </c>
      <c r="BR130">
        <f>BN130-BO130-BP130-BQ130</f>
        <v>31960</v>
      </c>
      <c r="BS130">
        <f>_xlfn.XLOOKUP(B130,'[7]september-2025'!$A:$A,'[7]september-2025'!$C:$C,0,0)</f>
        <v>24700</v>
      </c>
      <c r="BT130">
        <f>BS130*0.18</f>
        <v>4446</v>
      </c>
      <c r="BU130">
        <f>BS130*0.12</f>
        <v>2964</v>
      </c>
      <c r="BV130">
        <f>_xlfn.XLOOKUP(B130,'[7]september-2025'!$A:$A,'[7]september-2025'!$D:$D,0,0)</f>
        <v>0</v>
      </c>
      <c r="BW130">
        <f>_xlfn.XLOOKUP(B130,'[7]september-2025'!$A:$A,'[7]september-2025'!$G:$G,0,0)</f>
        <v>0</v>
      </c>
      <c r="BX130">
        <f>IF(BS130&gt;0,SUM(BS130:BW130),0)</f>
        <v>32110</v>
      </c>
      <c r="BY130">
        <f>_xlfn.XLOOKUP(B130,'[7]september-2025'!$A:$A,'[7]september-2025'!$H:$H,0,0)</f>
        <v>0</v>
      </c>
      <c r="BZ130">
        <f>_xlfn.XLOOKUP(B130,'[7]september-2025'!$A:$A,'[7]september-2025'!$I:$I,0,0)</f>
        <v>0</v>
      </c>
      <c r="CA130">
        <f>IF($F130="YES",0,IF(BX130&gt;40000,200,IF(BX130&gt;25000,150,IF(BX130&gt;15000,130,IF(BX130&gt;10000,110,0)))))</f>
        <v>150</v>
      </c>
      <c r="CB130">
        <f>BX130-BY130-BZ130-CA130</f>
        <v>31960</v>
      </c>
      <c r="CC130">
        <f>_xlfn.XLOOKUP(B130,'[8]october-2025'!$A:$A,'[8]october-2025'!$C:$C,0,0)</f>
        <v>24700</v>
      </c>
      <c r="CD130">
        <f>CC130*0.18</f>
        <v>4446</v>
      </c>
      <c r="CE130">
        <f>CC130*0.12</f>
        <v>2964</v>
      </c>
      <c r="CF130">
        <f>_xlfn.XLOOKUP(B130,'[8]october-2025'!$A:$A,'[8]october-2025'!$D:$D,0,0)</f>
        <v>0</v>
      </c>
      <c r="CG130">
        <f>_xlfn.XLOOKUP(B130,'[8]october-2025'!$A:$A,'[8]october-2025'!$G:$G,0,0)</f>
        <v>0</v>
      </c>
      <c r="CH130">
        <f>IF(CC130&gt;0,SUM(CC130:CG130),0)</f>
        <v>32110</v>
      </c>
      <c r="CI130">
        <f>_xlfn.XLOOKUP(B130,'[8]october-2025'!$A:$A,'[8]october-2025'!$H:$H,0,0)</f>
        <v>0</v>
      </c>
      <c r="CJ130">
        <f>_xlfn.XLOOKUP(B130,'[8]october-2025'!$A:$A,'[8]october-2025'!$I:$I,0,0)</f>
        <v>0</v>
      </c>
      <c r="CK130">
        <f>IF($F130="YES",0,IF(CH130&gt;40000,200,IF(CH130&gt;25000,150,IF(CH130&gt;15000,130,IF(CH130&gt;10000,110,0)))))</f>
        <v>150</v>
      </c>
      <c r="CL130">
        <f>CH130-CI130-CJ130-CK130</f>
        <v>31960</v>
      </c>
      <c r="CM130">
        <f>_xlfn.XLOOKUP(B130,'[9]november-2025'!$A:$A,'[9]november-2025'!$C:$C,0,0)</f>
        <v>24700</v>
      </c>
      <c r="CN130">
        <f>CM130*0.18</f>
        <v>4446</v>
      </c>
      <c r="CO130">
        <f>CM130*0.12</f>
        <v>2964</v>
      </c>
      <c r="CP130">
        <f>_xlfn.XLOOKUP(B130,'[9]november-2025'!$A:$A,'[9]november-2025'!$D:$D,0,0)</f>
        <v>0</v>
      </c>
      <c r="CQ130">
        <f>_xlfn.XLOOKUP(B130,'[9]november-2025'!$A:$A,'[9]november-2025'!$G:$G,0,0)</f>
        <v>0</v>
      </c>
      <c r="CR130">
        <f>IF(CM130&gt;0,SUM(CM130:CQ130),0)</f>
        <v>32110</v>
      </c>
      <c r="CS130">
        <f>_xlfn.XLOOKUP(B130,'[9]november-2025'!$A:$A,'[9]november-2025'!$H:$H,0,0)</f>
        <v>0</v>
      </c>
      <c r="CT130">
        <f>_xlfn.XLOOKUP(B130,'[9]november-2025'!$A:$A,'[9]november-2025'!$I:$I,0,0)</f>
        <v>0</v>
      </c>
      <c r="CU130">
        <f>IF($F130="YES",0,IF(CR130&gt;40000,200,IF(CR130&gt;25000,150,IF(CR130&gt;15000,130,IF(CR130&gt;10000,110,0)))))</f>
        <v>150</v>
      </c>
      <c r="CV130">
        <f>CR130-CS130-CT130-CU130</f>
        <v>31960</v>
      </c>
      <c r="CW130">
        <f>_xlfn.XLOOKUP(B130,'[10]december-2025'!$A:$A,'[10]december-2025'!$C:$C,0,0)</f>
        <v>24700</v>
      </c>
      <c r="CX130">
        <f>ROUND(CW130*0.18,0)</f>
        <v>4446</v>
      </c>
      <c r="CY130">
        <f>ROUND(CW130*0.12,0)</f>
        <v>2964</v>
      </c>
      <c r="CZ130">
        <f>_xlfn.XLOOKUP(B130,'[10]december-2025'!$A:$A,'[10]december-2025'!$D:$D,0,0)</f>
        <v>0</v>
      </c>
      <c r="DA130">
        <f>_xlfn.XLOOKUP(B130,'[10]december-2025'!$A:$A,'[10]december-2025'!$G:$G,0,0)</f>
        <v>0</v>
      </c>
      <c r="DB130">
        <f>IF(CW130&gt;0,SUM(CW130:DA130),0)</f>
        <v>32110</v>
      </c>
      <c r="DC130">
        <f>_xlfn.XLOOKUP(B130,'[10]december-2025'!$A:$A,'[10]december-2025'!$H:$H,0,0)</f>
        <v>0</v>
      </c>
      <c r="DD130">
        <f>_xlfn.XLOOKUP(B130,'[10]december-2025'!$A:$A,'[10]december-2025'!$I:$I,0,0)</f>
        <v>0</v>
      </c>
      <c r="DE130">
        <f>IF($F130="YES",0,IF(DB130&gt;40000,200,IF(DB130&gt;25000,150,IF(DB130&gt;15000,130,IF(DB130&gt;10000,110,0)))))</f>
        <v>150</v>
      </c>
      <c r="DF130">
        <f>DB130-DC130-DD130-DE130</f>
        <v>31960</v>
      </c>
      <c r="DG130">
        <f>_xlfn.XLOOKUP(B130,'[11]january-2026'!$A:$A,'[11]january-2026'!$C:$C,0,0)</f>
        <v>24700</v>
      </c>
      <c r="DH130">
        <f>DG130*0.18</f>
        <v>4446</v>
      </c>
      <c r="DI130">
        <f>DG130*0.12</f>
        <v>2964</v>
      </c>
      <c r="DJ130">
        <f>_xlfn.XLOOKUP(B130,'[11]january-2026'!$A:$A,'[11]january-2026'!$D:$D,0,0)</f>
        <v>0</v>
      </c>
      <c r="DK130">
        <f>_xlfn.XLOOKUP(B130,'[11]january-2026'!$A:$A,'[11]january-2026'!$G:$G,0,0)</f>
        <v>0</v>
      </c>
      <c r="DL130">
        <f>IF(DG130&gt;0,SUM(DG130:DK130),0)</f>
        <v>32110</v>
      </c>
      <c r="DM130">
        <f>_xlfn.XLOOKUP(B130,'[11]january-2026'!$A:$A,'[11]january-2026'!$H:$H,0,0)</f>
        <v>2000</v>
      </c>
      <c r="DN130">
        <f>_xlfn.XLOOKUP(B130,'[11]january-2026'!$A:$A,'[11]january-2026'!$I:$I,0,0)</f>
        <v>0</v>
      </c>
      <c r="DO130">
        <f>IF($F130="YES",0,IF(DL130&gt;40000,200,IF(DL130&gt;25000,150,IF(DL130&gt;15000,130,IF(DL130&gt;10000,110,0)))))</f>
        <v>150</v>
      </c>
      <c r="DP130">
        <f>DL130-DM130-DN130-DO130</f>
        <v>29960</v>
      </c>
      <c r="DQ130">
        <f>_xlfn.XLOOKUP(B130,'[12]february-2026'!$A:$A,'[12]february-2026'!$C:$C,0,0)</f>
        <v>24700</v>
      </c>
      <c r="DR130">
        <f>DQ130*0.18</f>
        <v>4446</v>
      </c>
      <c r="DS130">
        <f>DQ130*0.12</f>
        <v>2964</v>
      </c>
      <c r="DT130">
        <f>_xlfn.XLOOKUP(B130,'[12]february-2026'!$A:$A,'[12]february-2026'!$D:$D,0,0)</f>
        <v>0</v>
      </c>
      <c r="DU130">
        <f>_xlfn.XLOOKUP(B130,'[12]february-2026'!$A:$A,'[12]february-2026'!$G:$G,0,0)</f>
        <v>0</v>
      </c>
      <c r="DV130">
        <f>IF(DQ130&gt;0,SUM(DQ130:DU130),0)</f>
        <v>32110</v>
      </c>
      <c r="DW130">
        <f>_xlfn.XLOOKUP(B130,'[12]february-2026'!$A:$A,'[12]february-2026'!$H:$H,0,0)</f>
        <v>2000</v>
      </c>
      <c r="DX130">
        <f>_xlfn.XLOOKUP(B130,'[12]february-2026'!$A:$A,'[12]february-2026'!$I:$I,0,0)</f>
        <v>0</v>
      </c>
      <c r="DY130">
        <f>IF($F130="YES",0,IF(DV130&gt;40000,200,IF(DV130&gt;25000,150,IF(DV130&gt;15000,130,IF(DV130&gt;10000,110,0)))))</f>
        <v>150</v>
      </c>
      <c r="DZ130">
        <f>DV130-DW130-DX130-DY130</f>
        <v>29960</v>
      </c>
      <c r="EA130">
        <f>DV130+DL130+DB130+CR130+CH130+BX130+BN130+BD130+AS130+AI130+Y130+O130+H130+I130</f>
        <v>321100</v>
      </c>
      <c r="EB130">
        <f>DY130+DO130+DE130+CU130+CK130+CA130+BQ130+BG130+AV130+AL130+AB130+R130</f>
        <v>1500</v>
      </c>
      <c r="EC130">
        <f>IF(EA130&gt;0,50000,0)</f>
        <v>50000</v>
      </c>
      <c r="ED130">
        <v>0</v>
      </c>
      <c r="EE130">
        <f>EA130-EB130-EC130</f>
        <v>269600</v>
      </c>
      <c r="EF130">
        <f>DW130+DM130+DC130+CS130+CI130+BY130+BO130+BE130+AT130+AJ130+Z130+P130</f>
        <v>4000</v>
      </c>
      <c r="EG130">
        <f>DX130+DN130+DD130+CT130+CJ130+BZ130+BP130+BF130+AU130+AK130+AA130+Q130</f>
        <v>0</v>
      </c>
      <c r="EH130">
        <v>0</v>
      </c>
      <c r="EI130">
        <v>0</v>
      </c>
      <c r="EJ130">
        <v>0</v>
      </c>
      <c r="EK130">
        <v>0</v>
      </c>
      <c r="EL130">
        <v>0</v>
      </c>
      <c r="EM130">
        <v>0</v>
      </c>
      <c r="EN130">
        <v>0</v>
      </c>
      <c r="EO130">
        <v>0</v>
      </c>
      <c r="EP130">
        <v>0</v>
      </c>
      <c r="EQ130">
        <v>0</v>
      </c>
      <c r="ER130">
        <f>SUM(EF130:EQ130)</f>
        <v>4000</v>
      </c>
      <c r="ES130">
        <f>IF(ER130&gt;=150000,150000,ER130)</f>
        <v>4000</v>
      </c>
      <c r="ET130">
        <f>EE130-ES130</f>
        <v>265600</v>
      </c>
      <c r="EU130">
        <v>0</v>
      </c>
      <c r="EV130">
        <v>0</v>
      </c>
      <c r="EW130">
        <v>0</v>
      </c>
      <c r="EX130">
        <v>0</v>
      </c>
      <c r="EY130">
        <v>0</v>
      </c>
      <c r="EZ130">
        <v>0</v>
      </c>
      <c r="FA130">
        <v>0</v>
      </c>
      <c r="FB130">
        <f>SUM(EU130:FA130)+(IF(F130="YES",50000,0))</f>
        <v>0</v>
      </c>
      <c r="FC130">
        <f>ET130-FB130</f>
        <v>265600</v>
      </c>
      <c r="FD130">
        <f>ROUND(IF(FC130&gt;0,IF(FC130&gt;500000,12500,(FC130-250000)*0.05),0),0)</f>
        <v>780</v>
      </c>
      <c r="FE130">
        <f>IF(ROUND(IF(FC130&gt;0,IF(FC130&gt;1000000,25000,(FC130-500000)*0.2),0),0)&lt;0,0,ROUND(IF(FC130&gt;0,IF(FC130&gt;1000000,25000,(FC130-500000)*0.2),0),0))</f>
        <v>0</v>
      </c>
      <c r="FF130">
        <f>FD130+FE130</f>
        <v>780</v>
      </c>
      <c r="FG130">
        <f>IF(FF130&lt;12500,0,FF130)</f>
        <v>0</v>
      </c>
      <c r="FH130">
        <f>FG130*0.04</f>
        <v>0</v>
      </c>
      <c r="FI130">
        <f>ROUND(FH130+FG130,0)</f>
        <v>0</v>
      </c>
      <c r="FJ130">
        <v>0</v>
      </c>
      <c r="FK130">
        <f>FI130-FJ130</f>
        <v>0</v>
      </c>
      <c r="FL130" t="b">
        <f>IF(EA130&gt;500000,TRUE,FALSE)</f>
        <v>0</v>
      </c>
      <c r="FM130">
        <f ca="1">IF(FL130,RANDBETWEEN(500,1000),RANDBETWEEN(1000,3000))</f>
        <v>1868</v>
      </c>
      <c r="FN130">
        <f ca="1">EA130+FM130</f>
        <v>322968</v>
      </c>
      <c r="FO130">
        <f>IF(EA130&gt;0,75000,0)</f>
        <v>75000</v>
      </c>
      <c r="FP130">
        <f ca="1">FN130-FO130</f>
        <v>247968</v>
      </c>
      <c r="FQ130">
        <f ca="1">IF(FP130&gt;2400000,FP130-2400000,0)</f>
        <v>0</v>
      </c>
      <c r="FR130">
        <f ca="1">FQ130*0.3</f>
        <v>0</v>
      </c>
      <c r="FS130">
        <f ca="1">IF(FP130&gt;2000000,FP130-2000000,0)</f>
        <v>0</v>
      </c>
      <c r="FT130">
        <f ca="1">FS130*0.25</f>
        <v>0</v>
      </c>
      <c r="FU130">
        <f ca="1">IF(FP130&gt;1600000,FP130-1600000-FQ130,0)</f>
        <v>0</v>
      </c>
      <c r="FV130">
        <f ca="1">FU130*0.2</f>
        <v>0</v>
      </c>
      <c r="FW130">
        <f ca="1">IF(FP130&gt;1200000,FP130-1200000-IF(F130="YES",50000,0)-FU130,0)</f>
        <v>0</v>
      </c>
      <c r="FX130">
        <f ca="1">FW130*0.15</f>
        <v>0</v>
      </c>
      <c r="FY130">
        <f ca="1">IF(FP130&gt;800000,FP130-800000-FQ130-FU130-FW130,0)</f>
        <v>0</v>
      </c>
      <c r="FZ130">
        <f ca="1">FY130*0.1</f>
        <v>0</v>
      </c>
      <c r="GA130">
        <f ca="1">IF(FP130&gt;400000,FP130-400000-FQ130-FU130-FW130-FY130,0)</f>
        <v>0</v>
      </c>
      <c r="GB130">
        <f ca="1">GA130*0.05</f>
        <v>0</v>
      </c>
      <c r="GC130">
        <f ca="1">ROUND(FR130+FT130+FV130+FX130+FZ130+GB130,0)</f>
        <v>0</v>
      </c>
      <c r="GD130">
        <f ca="1">IF(FP130&gt;1200000,FP130,0)</f>
        <v>0</v>
      </c>
      <c r="GE130">
        <f ca="1">IF(FP130&gt;1200000,GD130-1200000,0)</f>
        <v>0</v>
      </c>
      <c r="GF130">
        <f ca="1">IF(FP130&lt;1200001,MIN(GC130,60000),0)</f>
        <v>0</v>
      </c>
      <c r="GG130">
        <f ca="1">IF(FP130&gt;1200000,GC130-GE130,0)</f>
        <v>0</v>
      </c>
      <c r="GH130" t="b">
        <f ca="1">IF(GG130&gt;0,TRUE,FALSE)</f>
        <v>0</v>
      </c>
      <c r="GI130">
        <f ca="1">IF(GH130,GG130,0)</f>
        <v>0</v>
      </c>
      <c r="GJ130">
        <f ca="1">GF130+GI130</f>
        <v>0</v>
      </c>
      <c r="GK130">
        <f ca="1">ROUND(GC130-GJ130,0)</f>
        <v>0</v>
      </c>
      <c r="GL130">
        <f ca="1">GK130*0.04</f>
        <v>0</v>
      </c>
      <c r="GM130">
        <f ca="1">ROUNDUP(GK130+GL130,0)</f>
        <v>0</v>
      </c>
    </row>
    <row r="131" spans="1:195" x14ac:dyDescent="0.25">
      <c r="A131">
        <f>_xlfn.AGGREGATE(3,5,$B$2:B131)</f>
        <v>130</v>
      </c>
      <c r="B131" t="s">
        <v>377</v>
      </c>
      <c r="C131" t="s">
        <v>378</v>
      </c>
      <c r="D131" t="s">
        <v>788</v>
      </c>
      <c r="E131" t="s">
        <v>833</v>
      </c>
      <c r="F131" t="s">
        <v>959</v>
      </c>
      <c r="G131" t="s">
        <v>899</v>
      </c>
      <c r="H131">
        <f>IF(_xlfn.DAYS("31-03-2025",G131)&gt;=180,6800,0)</f>
        <v>6800</v>
      </c>
      <c r="I131">
        <f>_xlfn.XLOOKUP(B131,'[1]march-2025'!$A:$A,'[1]march-2025'!$J:$J,0,0)</f>
        <v>0</v>
      </c>
      <c r="J131">
        <f>_xlfn.XLOOKUP(B131,'[1]march-2025'!$A:$A,'[1]march-2025'!$C:$C,0,0)</f>
        <v>33500</v>
      </c>
      <c r="K131">
        <f>J131*0.14</f>
        <v>4690</v>
      </c>
      <c r="L131">
        <f>J131*0.12</f>
        <v>4020</v>
      </c>
      <c r="M131">
        <f>_xlfn.XLOOKUP(B131,'[1]march-2025'!$A:$A,'[1]march-2025'!$D:$D,0,0)</f>
        <v>0</v>
      </c>
      <c r="N131">
        <f>_xlfn.XLOOKUP(B131,'[1]march-2025'!$A:$A,'[1]march-2025'!$G:$G,0,0)</f>
        <v>500</v>
      </c>
      <c r="O131">
        <f>IF(J131&gt;0,SUM(J131:N131),0)</f>
        <v>42710</v>
      </c>
      <c r="P131">
        <f>_xlfn.XLOOKUP(B131,'[1]march-2025'!$A:$A,'[1]march-2025'!$H:$H,0,0)</f>
        <v>2500</v>
      </c>
      <c r="Q131">
        <f>_xlfn.XLOOKUP(B131,'[1]march-2025'!$A:$A,'[1]march-2025'!$I:$I,0,0)</f>
        <v>0</v>
      </c>
      <c r="R131">
        <f>IF($F131="YES",0,IF(O131&gt;40000,200,IF(O131&gt;25000,150,IF(O131&gt;15000,130,IF(O131&gt;10000,110,0)))))</f>
        <v>200</v>
      </c>
      <c r="S131">
        <f>O131-P131-Q131-R131</f>
        <v>40010</v>
      </c>
      <c r="T131">
        <f>_xlfn.XLOOKUP(B131,'[2]april-2025'!$A:$A,'[2]april-2025'!$C:$C,0,0)</f>
        <v>33500</v>
      </c>
      <c r="U131">
        <f>T131*0.18</f>
        <v>6030</v>
      </c>
      <c r="V131">
        <f>T131*0.12</f>
        <v>4020</v>
      </c>
      <c r="W131">
        <f>_xlfn.XLOOKUP(B131,'[2]april-2025'!$A:$A,'[2]april-2025'!$D:$D,0,0)</f>
        <v>0</v>
      </c>
      <c r="X131">
        <f>_xlfn.XLOOKUP(B131,'[2]april-2025'!$A:$A,'[2]april-2025'!$G:$G,0,0)</f>
        <v>500</v>
      </c>
      <c r="Y131">
        <f>IF(T131&gt;0,SUM(T131:X131),0)</f>
        <v>44050</v>
      </c>
      <c r="Z131">
        <f>_xlfn.XLOOKUP(B131,'[2]april-2025'!$A:$A,'[2]april-2025'!$H:$H,0,0)</f>
        <v>2500</v>
      </c>
      <c r="AA131">
        <f>_xlfn.XLOOKUP(B131,'[2]april-2025'!$A:$A,'[2]april-2025'!$I:$I,0,0)</f>
        <v>0</v>
      </c>
      <c r="AB131">
        <f>IF($F131="YES",0,IF(Y131&gt;40000,200,IF(Y131&gt;25000,150,IF(Y131&gt;15000,130,IF(Y131&gt;10000,110,0)))))</f>
        <v>200</v>
      </c>
      <c r="AC131">
        <f>Y131-Z131-AA131-AB131</f>
        <v>41350</v>
      </c>
      <c r="AD131">
        <f>_xlfn.XLOOKUP(B131,'[3]may-2025'!$A:$A,'[3]may-2025'!$C:$C,0,0)</f>
        <v>33500</v>
      </c>
      <c r="AE131">
        <f>AD131*0.18</f>
        <v>6030</v>
      </c>
      <c r="AF131">
        <f>AD131*0.12</f>
        <v>4020</v>
      </c>
      <c r="AG131">
        <f>_xlfn.XLOOKUP(B131,'[3]may-2025'!$A:$A,'[3]may-2025'!$D:$D,0,0)</f>
        <v>0</v>
      </c>
      <c r="AH131">
        <f>_xlfn.XLOOKUP(B131,'[3]may-2025'!$A:$A,'[3]may-2025'!$G:$G,0,0)</f>
        <v>500</v>
      </c>
      <c r="AI131">
        <f>IF(AD131&gt;0,SUM(AD131:AH131),0)</f>
        <v>44050</v>
      </c>
      <c r="AJ131">
        <f>_xlfn.XLOOKUP(B131,'[3]may-2025'!$A:$A,'[3]may-2025'!$H:$H,0,0)</f>
        <v>2500</v>
      </c>
      <c r="AK131">
        <f>_xlfn.XLOOKUP(B131,'[3]may-2025'!$A:$A,'[3]may-2025'!$I:$I,0,0)</f>
        <v>0</v>
      </c>
      <c r="AL131">
        <f>IF($F131="YES",0,IF(AI131&gt;40000,200,IF(AI131&gt;25000,150,IF(AI131&gt;15000,130,IF(AI131&gt;10000,110,0)))))</f>
        <v>200</v>
      </c>
      <c r="AM131">
        <f>AI131-AJ131-AK131-AL131</f>
        <v>41350</v>
      </c>
      <c r="AN131">
        <f>_xlfn.XLOOKUP(B131,'[4]june-2025'!$A:$A,'[4]june-2025'!$C:$C,0,0)</f>
        <v>33500</v>
      </c>
      <c r="AO131">
        <f>AN131*0.18</f>
        <v>6030</v>
      </c>
      <c r="AP131">
        <f>AN131*0.12</f>
        <v>4020</v>
      </c>
      <c r="AQ131">
        <f>_xlfn.XLOOKUP(B131,'[4]june-2025'!$A:$A,'[4]june-2025'!$D:$D,0,0)</f>
        <v>0</v>
      </c>
      <c r="AR131">
        <f>_xlfn.XLOOKUP(B131,'[4]june-2025'!$A:$A,'[4]june-2025'!$G:$G,0,0)</f>
        <v>500</v>
      </c>
      <c r="AS131">
        <f>IF(AN131&gt;0,SUM(AN131:AR131),0)</f>
        <v>44050</v>
      </c>
      <c r="AT131">
        <f>_xlfn.XLOOKUP(B131,'[4]june-2025'!$A:$A,'[4]june-2025'!$H:$H,0,0)</f>
        <v>2500</v>
      </c>
      <c r="AU131">
        <f>_xlfn.XLOOKUP(B131,'[4]june-2025'!$A:$A,'[4]june-2025'!$I:$I,0,0)</f>
        <v>0</v>
      </c>
      <c r="AV131">
        <f>IF($F131="YES",0,IF(AS131&gt;40000,200,IF(AS131&gt;25000,150,IF(AS131&gt;15000,130,IF(AS131&gt;10000,110,0)))))</f>
        <v>200</v>
      </c>
      <c r="AW131">
        <f>AS131-AT131-AU131-AV131</f>
        <v>41350</v>
      </c>
      <c r="AX131">
        <f>_xlfn.XLOOKUP(B131,'[5]july-2025'!$A:$A,'[5]july-2025'!$C:$C,0,0)</f>
        <v>34500</v>
      </c>
      <c r="AY131">
        <f>AX131*0.18</f>
        <v>6210</v>
      </c>
      <c r="AZ131">
        <v>0</v>
      </c>
      <c r="BA131">
        <f>AX131*0.12</f>
        <v>4140</v>
      </c>
      <c r="BB131">
        <f>_xlfn.XLOOKUP(B131,'[5]july-2025'!$A:$A,'[5]july-2025'!$D:$D,0,0)</f>
        <v>0</v>
      </c>
      <c r="BC131">
        <f>_xlfn.XLOOKUP(B131,'[5]july-2025'!$A:$A,'[5]july-2025'!$G:$G,0,0)</f>
        <v>500</v>
      </c>
      <c r="BD131">
        <f>IF(AX131&gt;0,SUM(AX131:BC131),0)</f>
        <v>45350</v>
      </c>
      <c r="BE131">
        <f>_xlfn.XLOOKUP(B131,'[5]july-2025'!$A:$A,'[5]july-2025'!$H:$H,0,0)</f>
        <v>2500</v>
      </c>
      <c r="BF131">
        <f>_xlfn.XLOOKUP(B131,'[5]july-2025'!$A:$A,'[5]july-2025'!$I:$I,0,0)</f>
        <v>0</v>
      </c>
      <c r="BG131">
        <f>IF($F131="YES",0,IF(BD131&gt;40000,200,IF(BD131&gt;25000,150,IF(BD131&gt;15000,130,IF(BD131&gt;10000,110,0)))))</f>
        <v>200</v>
      </c>
      <c r="BH131">
        <f>BD131-BE131-BF131-BG131</f>
        <v>42650</v>
      </c>
      <c r="BI131">
        <f>_xlfn.XLOOKUP(B131,'[6]august-2025'!$A:$A,'[6]august-2025'!$C:$C,0,0)</f>
        <v>34500</v>
      </c>
      <c r="BJ131">
        <f>BI131*0.18</f>
        <v>6210</v>
      </c>
      <c r="BK131">
        <f>BI131*0.12</f>
        <v>4140</v>
      </c>
      <c r="BL131">
        <f>_xlfn.XLOOKUP(B131,'[6]august-2025'!$A:$A,'[6]august-2025'!$D:$D,0,0)</f>
        <v>0</v>
      </c>
      <c r="BM131">
        <f>_xlfn.XLOOKUP(B131,'[6]august-2025'!$A:$A,'[6]august-2025'!$G:$G,0,0)</f>
        <v>500</v>
      </c>
      <c r="BN131">
        <f>IF(BI131&gt;0,SUM(BI131:BM131),0)</f>
        <v>45350</v>
      </c>
      <c r="BO131">
        <f>_xlfn.XLOOKUP(B131,'[6]august-2025'!$A:$A,'[6]august-2025'!$H:$H,0,0)</f>
        <v>2500</v>
      </c>
      <c r="BP131">
        <f>_xlfn.XLOOKUP(B131,'[6]august-2025'!$A:$A,'[6]august-2025'!$I:$I,0,0)</f>
        <v>0</v>
      </c>
      <c r="BQ131">
        <f>IF($F131="YES",0,IF(BN131&gt;40000,200,IF(BN131&gt;25000,150,IF(BN131&gt;15000,130,IF(BN131&gt;10000,110,0)))))</f>
        <v>200</v>
      </c>
      <c r="BR131">
        <f>BN131-BO131-BP131-BQ131</f>
        <v>42650</v>
      </c>
      <c r="BS131">
        <f>_xlfn.XLOOKUP(B131,'[7]september-2025'!$A:$A,'[7]september-2025'!$C:$C,0,0)</f>
        <v>34500</v>
      </c>
      <c r="BT131">
        <f>BS131*0.18</f>
        <v>6210</v>
      </c>
      <c r="BU131">
        <f>BS131*0.12</f>
        <v>4140</v>
      </c>
      <c r="BV131">
        <f>_xlfn.XLOOKUP(B131,'[7]september-2025'!$A:$A,'[7]september-2025'!$D:$D,0,0)</f>
        <v>0</v>
      </c>
      <c r="BW131">
        <f>_xlfn.XLOOKUP(B131,'[7]september-2025'!$A:$A,'[7]september-2025'!$G:$G,0,0)</f>
        <v>500</v>
      </c>
      <c r="BX131">
        <f>IF(BS131&gt;0,SUM(BS131:BW131),0)</f>
        <v>45350</v>
      </c>
      <c r="BY131">
        <f>_xlfn.XLOOKUP(B131,'[7]september-2025'!$A:$A,'[7]september-2025'!$H:$H,0,0)</f>
        <v>2500</v>
      </c>
      <c r="BZ131">
        <f>_xlfn.XLOOKUP(B131,'[7]september-2025'!$A:$A,'[7]september-2025'!$I:$I,0,0)</f>
        <v>0</v>
      </c>
      <c r="CA131">
        <f>IF($F131="YES",0,IF(BX131&gt;40000,200,IF(BX131&gt;25000,150,IF(BX131&gt;15000,130,IF(BX131&gt;10000,110,0)))))</f>
        <v>200</v>
      </c>
      <c r="CB131">
        <f>BX131-BY131-BZ131-CA131</f>
        <v>42650</v>
      </c>
      <c r="CC131">
        <f>_xlfn.XLOOKUP(B131,'[8]october-2025'!$A:$A,'[8]october-2025'!$C:$C,0,0)</f>
        <v>34500</v>
      </c>
      <c r="CD131">
        <f>CC131*0.18</f>
        <v>6210</v>
      </c>
      <c r="CE131">
        <f>CC131*0.12</f>
        <v>4140</v>
      </c>
      <c r="CF131">
        <f>_xlfn.XLOOKUP(B131,'[8]october-2025'!$A:$A,'[8]october-2025'!$D:$D,0,0)</f>
        <v>0</v>
      </c>
      <c r="CG131">
        <f>_xlfn.XLOOKUP(B131,'[8]october-2025'!$A:$A,'[8]october-2025'!$G:$G,0,0)</f>
        <v>500</v>
      </c>
      <c r="CH131">
        <f>IF(CC131&gt;0,SUM(CC131:CG131),0)</f>
        <v>45350</v>
      </c>
      <c r="CI131">
        <f>_xlfn.XLOOKUP(B131,'[8]october-2025'!$A:$A,'[8]october-2025'!$H:$H,0,0)</f>
        <v>2500</v>
      </c>
      <c r="CJ131">
        <f>_xlfn.XLOOKUP(B131,'[8]october-2025'!$A:$A,'[8]october-2025'!$I:$I,0,0)</f>
        <v>0</v>
      </c>
      <c r="CK131">
        <f>IF($F131="YES",0,IF(CH131&gt;40000,200,IF(CH131&gt;25000,150,IF(CH131&gt;15000,130,IF(CH131&gt;10000,110,0)))))</f>
        <v>200</v>
      </c>
      <c r="CL131">
        <f>CH131-CI131-CJ131-CK131</f>
        <v>42650</v>
      </c>
      <c r="CM131">
        <f>_xlfn.XLOOKUP(B131,'[9]november-2025'!$A:$A,'[9]november-2025'!$C:$C,0,0)</f>
        <v>34500</v>
      </c>
      <c r="CN131">
        <f>CM131*0.18</f>
        <v>6210</v>
      </c>
      <c r="CO131">
        <f>CM131*0.12</f>
        <v>4140</v>
      </c>
      <c r="CP131">
        <f>_xlfn.XLOOKUP(B131,'[9]november-2025'!$A:$A,'[9]november-2025'!$D:$D,0,0)</f>
        <v>0</v>
      </c>
      <c r="CQ131">
        <f>_xlfn.XLOOKUP(B131,'[9]november-2025'!$A:$A,'[9]november-2025'!$G:$G,0,0)</f>
        <v>500</v>
      </c>
      <c r="CR131">
        <f>IF(CM131&gt;0,SUM(CM131:CQ131),0)</f>
        <v>45350</v>
      </c>
      <c r="CS131">
        <f>_xlfn.XLOOKUP(B131,'[9]november-2025'!$A:$A,'[9]november-2025'!$H:$H,0,0)</f>
        <v>2500</v>
      </c>
      <c r="CT131">
        <f>_xlfn.XLOOKUP(B131,'[9]november-2025'!$A:$A,'[9]november-2025'!$I:$I,0,0)</f>
        <v>0</v>
      </c>
      <c r="CU131">
        <f>IF($F131="YES",0,IF(CR131&gt;40000,200,IF(CR131&gt;25000,150,IF(CR131&gt;15000,130,IF(CR131&gt;10000,110,0)))))</f>
        <v>200</v>
      </c>
      <c r="CV131">
        <f>CR131-CS131-CT131-CU131</f>
        <v>42650</v>
      </c>
      <c r="CW131">
        <f>_xlfn.XLOOKUP(B131,'[10]december-2025'!$A:$A,'[10]december-2025'!$C:$C,0,0)</f>
        <v>34500</v>
      </c>
      <c r="CX131">
        <f>ROUND(CW131*0.18,0)</f>
        <v>6210</v>
      </c>
      <c r="CY131">
        <f>ROUND(CW131*0.12,0)</f>
        <v>4140</v>
      </c>
      <c r="CZ131">
        <f>_xlfn.XLOOKUP(B131,'[10]december-2025'!$A:$A,'[10]december-2025'!$D:$D,0,0)</f>
        <v>0</v>
      </c>
      <c r="DA131">
        <f>_xlfn.XLOOKUP(B131,'[10]december-2025'!$A:$A,'[10]december-2025'!$G:$G,0,0)</f>
        <v>500</v>
      </c>
      <c r="DB131">
        <f>IF(CW131&gt;0,SUM(CW131:DA131),0)</f>
        <v>45350</v>
      </c>
      <c r="DC131">
        <f>_xlfn.XLOOKUP(B131,'[10]december-2025'!$A:$A,'[10]december-2025'!$H:$H,0,0)</f>
        <v>2500</v>
      </c>
      <c r="DD131">
        <f>_xlfn.XLOOKUP(B131,'[10]december-2025'!$A:$A,'[10]december-2025'!$I:$I,0,0)</f>
        <v>0</v>
      </c>
      <c r="DE131">
        <f>IF($F131="YES",0,IF(DB131&gt;40000,200,IF(DB131&gt;25000,150,IF(DB131&gt;15000,130,IF(DB131&gt;10000,110,0)))))</f>
        <v>200</v>
      </c>
      <c r="DF131">
        <f>DB131-DC131-DD131-DE131</f>
        <v>42650</v>
      </c>
      <c r="DG131">
        <f>_xlfn.XLOOKUP(B131,'[11]january-2026'!$A:$A,'[11]january-2026'!$C:$C,0,0)</f>
        <v>34500</v>
      </c>
      <c r="DH131">
        <f>DG131*0.18</f>
        <v>6210</v>
      </c>
      <c r="DI131">
        <f>DG131*0.12</f>
        <v>4140</v>
      </c>
      <c r="DJ131">
        <f>_xlfn.XLOOKUP(B131,'[11]january-2026'!$A:$A,'[11]january-2026'!$D:$D,0,0)</f>
        <v>0</v>
      </c>
      <c r="DK131">
        <f>_xlfn.XLOOKUP(B131,'[11]january-2026'!$A:$A,'[11]january-2026'!$G:$G,0,0)</f>
        <v>500</v>
      </c>
      <c r="DL131">
        <f>IF(DG131&gt;0,SUM(DG131:DK131),0)</f>
        <v>45350</v>
      </c>
      <c r="DM131">
        <f>_xlfn.XLOOKUP(B131,'[11]january-2026'!$A:$A,'[11]january-2026'!$H:$H,0,0)</f>
        <v>2500</v>
      </c>
      <c r="DN131">
        <f>_xlfn.XLOOKUP(B131,'[11]january-2026'!$A:$A,'[11]january-2026'!$I:$I,0,0)</f>
        <v>0</v>
      </c>
      <c r="DO131">
        <f>IF($F131="YES",0,IF(DL131&gt;40000,200,IF(DL131&gt;25000,150,IF(DL131&gt;15000,130,IF(DL131&gt;10000,110,0)))))</f>
        <v>200</v>
      </c>
      <c r="DP131">
        <f>DL131-DM131-DN131-DO131</f>
        <v>42650</v>
      </c>
      <c r="DQ131">
        <f>_xlfn.XLOOKUP(B131,'[12]february-2026'!$A:$A,'[12]february-2026'!$C:$C,0,0)</f>
        <v>34500</v>
      </c>
      <c r="DR131">
        <f>DQ131*0.18</f>
        <v>6210</v>
      </c>
      <c r="DS131">
        <f>DQ131*0.12</f>
        <v>4140</v>
      </c>
      <c r="DT131">
        <f>_xlfn.XLOOKUP(B131,'[12]february-2026'!$A:$A,'[12]february-2026'!$D:$D,0,0)</f>
        <v>0</v>
      </c>
      <c r="DU131">
        <f>_xlfn.XLOOKUP(B131,'[12]february-2026'!$A:$A,'[12]february-2026'!$G:$G,0,0)</f>
        <v>500</v>
      </c>
      <c r="DV131">
        <f>IF(DQ131&gt;0,SUM(DQ131:DU131),0)</f>
        <v>45350</v>
      </c>
      <c r="DW131">
        <f>_xlfn.XLOOKUP(B131,'[12]february-2026'!$A:$A,'[12]february-2026'!$H:$H,0,0)</f>
        <v>2500</v>
      </c>
      <c r="DX131">
        <f>_xlfn.XLOOKUP(B131,'[12]february-2026'!$A:$A,'[12]february-2026'!$I:$I,0,0)</f>
        <v>0</v>
      </c>
      <c r="DY131">
        <f>IF($F131="YES",0,IF(DV131&gt;40000,200,IF(DV131&gt;25000,150,IF(DV131&gt;15000,130,IF(DV131&gt;10000,110,0)))))</f>
        <v>200</v>
      </c>
      <c r="DZ131">
        <f>DV131-DW131-DX131-DY131</f>
        <v>42650</v>
      </c>
      <c r="EA131">
        <f>DV131+DL131+DB131+CR131+CH131+BX131+BN131+BD131+AS131+AI131+Y131+O131+H131+I131</f>
        <v>544460</v>
      </c>
      <c r="EB131">
        <f>DY131+DO131+DE131+CU131+CK131+CA131+BQ131+BG131+AV131+AL131+AB131+R131</f>
        <v>2400</v>
      </c>
      <c r="EC131">
        <f>IF(EA131&gt;0,50000,0)</f>
        <v>50000</v>
      </c>
      <c r="ED131">
        <v>0</v>
      </c>
      <c r="EE131">
        <f>EA131-EB131-EC131</f>
        <v>492060</v>
      </c>
      <c r="EF131">
        <f>DW131+DM131+DC131+CS131+CI131+BY131+BO131+BE131+AT131+AJ131+Z131+P131</f>
        <v>30000</v>
      </c>
      <c r="EG131">
        <f>DX131+DN131+DD131+CT131+CJ131+BZ131+BP131+BF131+AU131+AK131+AA131+Q131</f>
        <v>0</v>
      </c>
      <c r="EH131">
        <v>0</v>
      </c>
      <c r="EI131">
        <v>0</v>
      </c>
      <c r="EJ131">
        <v>0</v>
      </c>
      <c r="EK131">
        <v>0</v>
      </c>
      <c r="EL131">
        <v>0</v>
      </c>
      <c r="EM131">
        <v>0</v>
      </c>
      <c r="EN131">
        <v>0</v>
      </c>
      <c r="EO131">
        <v>0</v>
      </c>
      <c r="EP131">
        <v>0</v>
      </c>
      <c r="EQ131">
        <v>0</v>
      </c>
      <c r="ER131">
        <f>SUM(EF131:EQ131)</f>
        <v>30000</v>
      </c>
      <c r="ES131">
        <f>IF(ER131&gt;=150000,150000,ER131)</f>
        <v>30000</v>
      </c>
      <c r="ET131">
        <f>EE131-ES131</f>
        <v>462060</v>
      </c>
      <c r="EU131">
        <v>0</v>
      </c>
      <c r="EV131">
        <v>0</v>
      </c>
      <c r="EW131">
        <v>0</v>
      </c>
      <c r="EX131">
        <v>0</v>
      </c>
      <c r="EY131">
        <v>0</v>
      </c>
      <c r="EZ131">
        <v>0</v>
      </c>
      <c r="FA131">
        <v>0</v>
      </c>
      <c r="FB131">
        <f>SUM(EU131:FA131)+(IF(F131="YES",50000,0))</f>
        <v>0</v>
      </c>
      <c r="FC131">
        <f>ET131-FB131</f>
        <v>462060</v>
      </c>
      <c r="FD131">
        <f>ROUND(IF(FC131&gt;0,IF(FC131&gt;500000,12500,(FC131-250000)*0.05),0),0)</f>
        <v>10603</v>
      </c>
      <c r="FE131">
        <f>IF(ROUND(IF(FC131&gt;0,IF(FC131&gt;1000000,25000,(FC131-500000)*0.2),0),0)&lt;0,0,ROUND(IF(FC131&gt;0,IF(FC131&gt;1000000,25000,(FC131-500000)*0.2),0),0))</f>
        <v>0</v>
      </c>
      <c r="FF131">
        <f>FD131+FE131</f>
        <v>10603</v>
      </c>
      <c r="FG131">
        <f>IF(FF131&lt;12500,0,FF131)</f>
        <v>0</v>
      </c>
      <c r="FH131">
        <f>FG131*0.04</f>
        <v>0</v>
      </c>
      <c r="FI131">
        <f>ROUND(FH131+FG131,0)</f>
        <v>0</v>
      </c>
      <c r="FJ131">
        <v>0</v>
      </c>
      <c r="FK131">
        <f>FI131-FJ131</f>
        <v>0</v>
      </c>
      <c r="FL131" t="b">
        <f>IF(EA131&gt;500000,TRUE,FALSE)</f>
        <v>1</v>
      </c>
      <c r="FM131">
        <f ca="1">IF(FL131,RANDBETWEEN(500,1000),RANDBETWEEN(1000,3000))</f>
        <v>610</v>
      </c>
      <c r="FN131">
        <f ca="1">EA131+FM131</f>
        <v>545070</v>
      </c>
      <c r="FO131">
        <f>IF(EA131&gt;0,75000,0)</f>
        <v>75000</v>
      </c>
      <c r="FP131">
        <f ca="1">FN131-FO131</f>
        <v>470070</v>
      </c>
      <c r="FQ131">
        <f ca="1">IF(FP131&gt;2400000,FP131-2400000,0)</f>
        <v>0</v>
      </c>
      <c r="FR131">
        <f ca="1">FQ131*0.3</f>
        <v>0</v>
      </c>
      <c r="FS131">
        <f ca="1">IF(FP131&gt;2000000,FP131-2000000,0)</f>
        <v>0</v>
      </c>
      <c r="FT131">
        <f ca="1">FS131*0.25</f>
        <v>0</v>
      </c>
      <c r="FU131">
        <f ca="1">IF(FP131&gt;1600000,FP131-1600000-FQ131,0)</f>
        <v>0</v>
      </c>
      <c r="FV131">
        <f ca="1">FU131*0.2</f>
        <v>0</v>
      </c>
      <c r="FW131">
        <f ca="1">IF(FP131&gt;1200000,FP131-1200000-IF(F131="YES",50000,0)-FU131,0)</f>
        <v>0</v>
      </c>
      <c r="FX131">
        <f ca="1">FW131*0.15</f>
        <v>0</v>
      </c>
      <c r="FY131">
        <f ca="1">IF(FP131&gt;800000,FP131-800000-FQ131-FU131-FW131,0)</f>
        <v>0</v>
      </c>
      <c r="FZ131">
        <f ca="1">FY131*0.1</f>
        <v>0</v>
      </c>
      <c r="GA131">
        <f ca="1">IF(FP131&gt;400000,FP131-400000-FQ131-FU131-FW131-FY131,0)</f>
        <v>70070</v>
      </c>
      <c r="GB131">
        <f ca="1">GA131*0.05</f>
        <v>3503.5</v>
      </c>
      <c r="GC131">
        <f ca="1">ROUND(FR131+FT131+FV131+FX131+FZ131+GB131,0)</f>
        <v>3504</v>
      </c>
      <c r="GD131">
        <f ca="1">IF(FP131&gt;1200000,FP131,0)</f>
        <v>0</v>
      </c>
      <c r="GE131">
        <f ca="1">IF(FP131&gt;1200000,GD131-1200000,0)</f>
        <v>0</v>
      </c>
      <c r="GF131">
        <f ca="1">IF(FP131&lt;1200001,MIN(GC131,60000),0)</f>
        <v>3504</v>
      </c>
      <c r="GG131">
        <f ca="1">IF(FP131&gt;1200000,GC131-GE131,0)</f>
        <v>0</v>
      </c>
      <c r="GH131" t="b">
        <f ca="1">IF(GG131&gt;0,TRUE,FALSE)</f>
        <v>0</v>
      </c>
      <c r="GI131">
        <f ca="1">IF(GH131,GG131,0)</f>
        <v>0</v>
      </c>
      <c r="GJ131">
        <f ca="1">GF131+GI131</f>
        <v>3504</v>
      </c>
      <c r="GK131">
        <f ca="1">ROUND(GC131-GJ131,0)</f>
        <v>0</v>
      </c>
      <c r="GL131">
        <f ca="1">GK131*0.04</f>
        <v>0</v>
      </c>
      <c r="GM131">
        <f ca="1">ROUNDUP(GK131+GL131,0)</f>
        <v>0</v>
      </c>
    </row>
    <row r="132" spans="1:195" x14ac:dyDescent="0.25">
      <c r="A132">
        <f>_xlfn.AGGREGATE(3,5,$B$2:B132)</f>
        <v>131</v>
      </c>
      <c r="B132" t="s">
        <v>966</v>
      </c>
      <c r="C132" t="s">
        <v>967</v>
      </c>
      <c r="D132" t="s">
        <v>788</v>
      </c>
      <c r="E132" t="s">
        <v>833</v>
      </c>
      <c r="F132" t="s">
        <v>959</v>
      </c>
      <c r="G132" s="1">
        <v>45864</v>
      </c>
      <c r="H132">
        <v>0</v>
      </c>
      <c r="I132">
        <v>0</v>
      </c>
      <c r="J132">
        <f>_xlfn.XLOOKUP(B132,'[1]march-2025'!$A:$A,'[1]march-2025'!$C:$C,0,0)</f>
        <v>0</v>
      </c>
      <c r="K132">
        <f>J132*0.14</f>
        <v>0</v>
      </c>
      <c r="L132">
        <f>J132*0.12</f>
        <v>0</v>
      </c>
      <c r="M132">
        <f>_xlfn.XLOOKUP(B132,'[1]march-2025'!$A:$A,'[1]march-2025'!$D:$D,0,0)</f>
        <v>0</v>
      </c>
      <c r="N132">
        <f>_xlfn.XLOOKUP(B132,'[1]march-2025'!$A:$A,'[1]march-2025'!$G:$G,0,0)</f>
        <v>500</v>
      </c>
      <c r="O132">
        <f>IF(J132&gt;0,SUM(J132:N132),0)</f>
        <v>0</v>
      </c>
      <c r="P132">
        <f>_xlfn.XLOOKUP(B132,'[1]march-2025'!$A:$A,'[1]march-2025'!$H:$H,0,0)</f>
        <v>0</v>
      </c>
      <c r="Q132">
        <f>_xlfn.XLOOKUP(B132,'[1]march-2025'!$A:$A,'[1]march-2025'!$I:$I,0,0)</f>
        <v>0</v>
      </c>
      <c r="R132">
        <f>IF($F132="YES",0,IF(O132&gt;40000,200,IF(O132&gt;25000,150,IF(O132&gt;15000,130,IF(O132&gt;10000,110,0)))))</f>
        <v>0</v>
      </c>
      <c r="S132">
        <f>O132-P132-Q132-R132</f>
        <v>0</v>
      </c>
      <c r="T132">
        <f>_xlfn.XLOOKUP(B132,'[2]april-2025'!$A:$A,'[2]april-2025'!$C:$C,0,0)</f>
        <v>0</v>
      </c>
      <c r="U132">
        <f>T132*0.18</f>
        <v>0</v>
      </c>
      <c r="V132">
        <f>T132*0.12</f>
        <v>0</v>
      </c>
      <c r="W132">
        <f>_xlfn.XLOOKUP(B132,'[2]april-2025'!$A:$A,'[2]april-2025'!$D:$D,0,0)</f>
        <v>0</v>
      </c>
      <c r="X132">
        <f>_xlfn.XLOOKUP(B132,'[2]april-2025'!$A:$A,'[2]april-2025'!$G:$G,0,0)</f>
        <v>500</v>
      </c>
      <c r="Y132">
        <f>IF(T132&gt;0,SUM(T132:X132),0)</f>
        <v>0</v>
      </c>
      <c r="Z132">
        <f>_xlfn.XLOOKUP(B132,'[2]april-2025'!$A:$A,'[2]april-2025'!$H:$H,0,0)</f>
        <v>0</v>
      </c>
      <c r="AA132">
        <f>_xlfn.XLOOKUP(B132,'[2]april-2025'!$A:$A,'[2]april-2025'!$I:$I,0,0)</f>
        <v>0</v>
      </c>
      <c r="AB132">
        <f>IF($F132="YES",0,IF(Y132&gt;40000,200,IF(Y132&gt;25000,150,IF(Y132&gt;15000,130,IF(Y132&gt;10000,110,0)))))</f>
        <v>0</v>
      </c>
      <c r="AC132">
        <f>Y132-Z132-AA132-AB132</f>
        <v>0</v>
      </c>
      <c r="AD132">
        <f>_xlfn.XLOOKUP(B132,'[3]may-2025'!$A:$A,'[3]may-2025'!$C:$C,0,0)</f>
        <v>0</v>
      </c>
      <c r="AE132">
        <f>AD132*0.18</f>
        <v>0</v>
      </c>
      <c r="AF132">
        <f>AD132*0.12</f>
        <v>0</v>
      </c>
      <c r="AG132">
        <f>_xlfn.XLOOKUP(B132,'[3]may-2025'!$A:$A,'[3]may-2025'!$D:$D,0,0)</f>
        <v>0</v>
      </c>
      <c r="AH132">
        <f>_xlfn.XLOOKUP(B132,'[3]may-2025'!$A:$A,'[3]may-2025'!$G:$G,0,0)</f>
        <v>500</v>
      </c>
      <c r="AI132">
        <f>IF(AD132&gt;0,SUM(AD132:AH132),0)</f>
        <v>0</v>
      </c>
      <c r="AJ132">
        <f>_xlfn.XLOOKUP(B132,'[3]may-2025'!$A:$A,'[3]may-2025'!$H:$H,0,0)</f>
        <v>0</v>
      </c>
      <c r="AK132">
        <f>_xlfn.XLOOKUP(B132,'[3]may-2025'!$A:$A,'[3]may-2025'!$I:$I,0,0)</f>
        <v>0</v>
      </c>
      <c r="AL132">
        <f>IF($F132="YES",0,IF(AI132&gt;40000,200,IF(AI132&gt;25000,150,IF(AI132&gt;15000,130,IF(AI132&gt;10000,110,0)))))</f>
        <v>0</v>
      </c>
      <c r="AM132">
        <f>AI132-AJ132-AK132-AL132</f>
        <v>0</v>
      </c>
      <c r="AN132">
        <f>_xlfn.XLOOKUP(B132,'[4]june-2025'!$A:$A,'[4]june-2025'!$C:$C,0,0)</f>
        <v>0</v>
      </c>
      <c r="AO132">
        <f>AN132*0.18</f>
        <v>0</v>
      </c>
      <c r="AP132">
        <f>AN132*0.12</f>
        <v>0</v>
      </c>
      <c r="AQ132">
        <f>_xlfn.XLOOKUP(B132,'[4]june-2025'!$A:$A,'[4]june-2025'!$D:$D,0,0)</f>
        <v>0</v>
      </c>
      <c r="AR132">
        <f>_xlfn.XLOOKUP(B132,'[4]june-2025'!$A:$A,'[4]june-2025'!$G:$G,0,0)</f>
        <v>500</v>
      </c>
      <c r="AS132">
        <f>IF(AN132&gt;0,SUM(AN132:AR132),0)</f>
        <v>0</v>
      </c>
      <c r="AT132">
        <f>_xlfn.XLOOKUP(B132,'[4]june-2025'!$A:$A,'[4]june-2025'!$H:$H,0,0)</f>
        <v>0</v>
      </c>
      <c r="AU132">
        <f>_xlfn.XLOOKUP(B132,'[4]june-2025'!$A:$A,'[4]june-2025'!$I:$I,0,0)</f>
        <v>0</v>
      </c>
      <c r="AV132">
        <f>IF($F132="YES",0,IF(AS132&gt;40000,200,IF(AS132&gt;25000,150,IF(AS132&gt;15000,130,IF(AS132&gt;10000,110,0)))))</f>
        <v>0</v>
      </c>
      <c r="AW132">
        <f>AS132-AT132-AU132-AV132</f>
        <v>0</v>
      </c>
      <c r="AX132">
        <f>_xlfn.XLOOKUP(B132,'[5]july-2025'!$A:$A,'[5]july-2025'!$C:$C,0,0)</f>
        <v>0</v>
      </c>
      <c r="AY132">
        <f>AX132*0.18</f>
        <v>0</v>
      </c>
      <c r="AZ132">
        <v>1</v>
      </c>
      <c r="BA132">
        <f>AX132*0.12</f>
        <v>0</v>
      </c>
      <c r="BB132">
        <f>_xlfn.XLOOKUP(B132,'[5]july-2025'!$A:$A,'[5]july-2025'!$D:$D,0,0)</f>
        <v>0</v>
      </c>
      <c r="BC132">
        <f>_xlfn.XLOOKUP(B132,'[5]july-2025'!$A:$A,'[5]july-2025'!$G:$G,0,0)</f>
        <v>500</v>
      </c>
      <c r="BD132">
        <f>IF(AX132&gt;0,SUM(AX132:BC132),0)</f>
        <v>0</v>
      </c>
      <c r="BE132">
        <f>_xlfn.XLOOKUP(B132,'[5]july-2025'!$A:$A,'[5]july-2025'!$H:$H,0,0)</f>
        <v>0</v>
      </c>
      <c r="BF132">
        <f>_xlfn.XLOOKUP(B132,'[5]july-2025'!$A:$A,'[5]july-2025'!$I:$I,0,0)</f>
        <v>0</v>
      </c>
      <c r="BG132">
        <f>IF($F132="YES",0,IF(BD132&gt;40000,200,IF(BD132&gt;25000,150,IF(BD132&gt;15000,130,IF(BD132&gt;10000,110,0)))))</f>
        <v>0</v>
      </c>
      <c r="BH132">
        <f>BD132-BE132-BF132-BG132</f>
        <v>0</v>
      </c>
      <c r="BI132">
        <f>_xlfn.XLOOKUP(B132,'[6]august-2025'!$A:$A,'[6]august-2025'!$C:$C,0,0)</f>
        <v>0</v>
      </c>
      <c r="BJ132">
        <f>BI132*0.18</f>
        <v>0</v>
      </c>
      <c r="BK132">
        <f>BI132*0.12</f>
        <v>0</v>
      </c>
      <c r="BL132">
        <f>_xlfn.XLOOKUP(B132,'[6]august-2025'!$A:$A,'[6]august-2025'!$D:$D,0,0)</f>
        <v>0</v>
      </c>
      <c r="BM132">
        <f>_xlfn.XLOOKUP(B132,'[6]august-2025'!$A:$A,'[6]august-2025'!$G:$G,0,0)</f>
        <v>500</v>
      </c>
      <c r="BN132">
        <f>IF(BI132&gt;0,SUM(BI132:BM132),0)</f>
        <v>0</v>
      </c>
      <c r="BO132">
        <f>_xlfn.XLOOKUP(B132,'[6]august-2025'!$A:$A,'[6]august-2025'!$H:$H,0,0)</f>
        <v>0</v>
      </c>
      <c r="BP132">
        <f>_xlfn.XLOOKUP(B132,'[6]august-2025'!$A:$A,'[6]august-2025'!$I:$I,0,0)</f>
        <v>0</v>
      </c>
      <c r="BQ132">
        <f>IF($F132="YES",0,IF(BN132&gt;40000,200,IF(BN132&gt;25000,150,IF(BN132&gt;15000,130,IF(BN132&gt;10000,110,0)))))</f>
        <v>0</v>
      </c>
      <c r="BR132">
        <f>BN132-BO132-BP132-BQ132</f>
        <v>0</v>
      </c>
      <c r="BS132">
        <f>_xlfn.XLOOKUP(B132,'[7]september-2025'!$A:$A,'[7]september-2025'!$C:$C,0,0)</f>
        <v>0</v>
      </c>
      <c r="BT132">
        <f>BS132*0.18</f>
        <v>0</v>
      </c>
      <c r="BU132">
        <f>BS132*0.12</f>
        <v>0</v>
      </c>
      <c r="BV132">
        <f>_xlfn.XLOOKUP(B132,'[7]september-2025'!$A:$A,'[7]september-2025'!$D:$D,0,0)</f>
        <v>0</v>
      </c>
      <c r="BW132">
        <f>_xlfn.XLOOKUP(B132,'[7]september-2025'!$A:$A,'[7]september-2025'!$G:$G,0,0)</f>
        <v>500</v>
      </c>
      <c r="BX132">
        <f>IF(BS132&gt;0,SUM(BS132:BW132),0)</f>
        <v>0</v>
      </c>
      <c r="BY132">
        <f>_xlfn.XLOOKUP(B132,'[7]september-2025'!$A:$A,'[7]september-2025'!$H:$H,0,0)</f>
        <v>0</v>
      </c>
      <c r="BZ132">
        <f>_xlfn.XLOOKUP(B132,'[7]september-2025'!$A:$A,'[7]september-2025'!$I:$I,0,0)</f>
        <v>0</v>
      </c>
      <c r="CA132">
        <f>IF($F132="YES",0,IF(BX132&gt;40000,200,IF(BX132&gt;25000,150,IF(BX132&gt;15000,130,IF(BX132&gt;10000,110,0)))))</f>
        <v>0</v>
      </c>
      <c r="CB132">
        <f>BX132-BY132-BZ132-CA132</f>
        <v>0</v>
      </c>
      <c r="CC132">
        <f>_xlfn.XLOOKUP(B132,'[8]october-2025'!$A:$A,'[8]october-2025'!$C:$C,0,0)</f>
        <v>0</v>
      </c>
      <c r="CD132">
        <f>CC132*0.18</f>
        <v>0</v>
      </c>
      <c r="CE132">
        <f>CC132*0.12</f>
        <v>0</v>
      </c>
      <c r="CF132">
        <f>_xlfn.XLOOKUP(B132,'[8]october-2025'!$A:$A,'[8]october-2025'!$D:$D,0,0)</f>
        <v>0</v>
      </c>
      <c r="CG132">
        <f>_xlfn.XLOOKUP(B132,'[8]october-2025'!$A:$A,'[8]october-2025'!$G:$G,0,0)</f>
        <v>500</v>
      </c>
      <c r="CH132">
        <f>IF(CC132&gt;0,SUM(CC132:CG132),0)</f>
        <v>0</v>
      </c>
      <c r="CI132">
        <f>_xlfn.XLOOKUP(B132,'[8]october-2025'!$A:$A,'[8]october-2025'!$H:$H,0,0)</f>
        <v>0</v>
      </c>
      <c r="CJ132">
        <f>_xlfn.XLOOKUP(B132,'[8]october-2025'!$A:$A,'[8]october-2025'!$I:$I,0,0)</f>
        <v>0</v>
      </c>
      <c r="CK132">
        <f>IF($F132="YES",0,IF(CH132&gt;40000,200,IF(CH132&gt;25000,150,IF(CH132&gt;15000,130,IF(CH132&gt;10000,110,0)))))</f>
        <v>0</v>
      </c>
      <c r="CL132">
        <f>CH132-CI132-CJ132-CK132</f>
        <v>0</v>
      </c>
      <c r="CM132">
        <f>_xlfn.XLOOKUP(B132,'[9]november-2025'!$A:$A,'[9]november-2025'!$C:$C,0,0)</f>
        <v>0</v>
      </c>
      <c r="CN132">
        <f>CM132*0.18</f>
        <v>0</v>
      </c>
      <c r="CO132">
        <f>CM132*0.12</f>
        <v>0</v>
      </c>
      <c r="CP132">
        <f>_xlfn.XLOOKUP(B132,'[9]november-2025'!$A:$A,'[9]november-2025'!$D:$D,0,0)</f>
        <v>0</v>
      </c>
      <c r="CQ132">
        <f>_xlfn.XLOOKUP(B132,'[9]november-2025'!$A:$A,'[9]november-2025'!$G:$G,0,0)</f>
        <v>500</v>
      </c>
      <c r="CR132">
        <f>IF(CM132&gt;0,SUM(CM132:CQ132),0)</f>
        <v>0</v>
      </c>
      <c r="CS132">
        <f>_xlfn.XLOOKUP(B132,'[9]november-2025'!$A:$A,'[9]november-2025'!$H:$H,0,0)</f>
        <v>0</v>
      </c>
      <c r="CT132">
        <f>_xlfn.XLOOKUP(B132,'[9]november-2025'!$A:$A,'[9]november-2025'!$I:$I,0,0)</f>
        <v>0</v>
      </c>
      <c r="CU132">
        <f>IF($F132="YES",0,IF(CR132&gt;40000,200,IF(CR132&gt;25000,150,IF(CR132&gt;15000,130,IF(CR132&gt;10000,110,0)))))</f>
        <v>0</v>
      </c>
      <c r="CV132">
        <f>CR132-CS132-CT132-CU132</f>
        <v>0</v>
      </c>
      <c r="CW132">
        <f>_xlfn.XLOOKUP(B132,'[10]december-2025'!$A:$A,'[10]december-2025'!$C:$C,0,0)</f>
        <v>0</v>
      </c>
      <c r="CX132">
        <f>ROUND(CW132*0.18,0)</f>
        <v>0</v>
      </c>
      <c r="CY132">
        <f>ROUND(CW132*0.12,0)</f>
        <v>0</v>
      </c>
      <c r="CZ132">
        <f>_xlfn.XLOOKUP(B132,'[10]december-2025'!$A:$A,'[10]december-2025'!$D:$D,0,0)</f>
        <v>0</v>
      </c>
      <c r="DA132">
        <f>_xlfn.XLOOKUP(B132,'[10]december-2025'!$A:$A,'[10]december-2025'!$G:$G,0,0)</f>
        <v>500</v>
      </c>
      <c r="DB132">
        <f>IF(CW132&gt;0,SUM(CW132:DA132),0)</f>
        <v>0</v>
      </c>
      <c r="DC132">
        <f>_xlfn.XLOOKUP(B132,'[10]december-2025'!$A:$A,'[10]december-2025'!$H:$H,0,0)</f>
        <v>0</v>
      </c>
      <c r="DD132">
        <f>_xlfn.XLOOKUP(B132,'[10]december-2025'!$A:$A,'[10]december-2025'!$I:$I,0,0)</f>
        <v>0</v>
      </c>
      <c r="DE132">
        <f>IF($F132="YES",0,IF(DB132&gt;40000,200,IF(DB132&gt;25000,150,IF(DB132&gt;15000,130,IF(DB132&gt;10000,110,0)))))</f>
        <v>0</v>
      </c>
      <c r="DF132">
        <f>DB132-DC132-DD132-DE132</f>
        <v>0</v>
      </c>
      <c r="DG132">
        <f>_xlfn.XLOOKUP(B132,'[11]january-2026'!$A:$A,'[11]january-2026'!$C:$C,0,0)</f>
        <v>0</v>
      </c>
      <c r="DH132">
        <f>DG132*0.18</f>
        <v>0</v>
      </c>
      <c r="DI132">
        <f>DG132*0.12</f>
        <v>0</v>
      </c>
      <c r="DJ132">
        <f>_xlfn.XLOOKUP(B132,'[11]january-2026'!$A:$A,'[11]january-2026'!$D:$D,0,0)</f>
        <v>0</v>
      </c>
      <c r="DK132">
        <f>_xlfn.XLOOKUP(B132,'[11]january-2026'!$A:$A,'[11]january-2026'!$G:$G,0,0)</f>
        <v>500</v>
      </c>
      <c r="DL132">
        <f>IF(DG132&gt;0,SUM(DG132:DK132),0)</f>
        <v>0</v>
      </c>
      <c r="DM132">
        <f>_xlfn.XLOOKUP(B132,'[11]january-2026'!$A:$A,'[11]january-2026'!$H:$H,0,0)</f>
        <v>0</v>
      </c>
      <c r="DN132">
        <f>_xlfn.XLOOKUP(B132,'[11]january-2026'!$A:$A,'[11]january-2026'!$I:$I,0,0)</f>
        <v>0</v>
      </c>
      <c r="DO132">
        <f>IF($F132="YES",0,IF(DL132&gt;40000,200,IF(DL132&gt;25000,150,IF(DL132&gt;15000,130,IF(DL132&gt;10000,110,0)))))</f>
        <v>0</v>
      </c>
      <c r="DP132">
        <f>DL132-DM132-DN132-DO132</f>
        <v>0</v>
      </c>
      <c r="DQ132">
        <f>_xlfn.XLOOKUP(B132,'[12]february-2026'!$A:$A,'[12]february-2026'!$C:$C,0,0)</f>
        <v>0</v>
      </c>
      <c r="DR132">
        <f>DQ132*0.18</f>
        <v>0</v>
      </c>
      <c r="DS132">
        <f>DQ132*0.12</f>
        <v>0</v>
      </c>
      <c r="DT132">
        <f>_xlfn.XLOOKUP(B132,'[12]february-2026'!$A:$A,'[12]february-2026'!$D:$D,0,0)</f>
        <v>0</v>
      </c>
      <c r="DU132">
        <f>_xlfn.XLOOKUP(B132,'[12]february-2026'!$A:$A,'[12]february-2026'!$G:$G,0,0)</f>
        <v>500</v>
      </c>
      <c r="DV132">
        <f>IF(DQ132&gt;0,SUM(DQ132:DU132),0)</f>
        <v>0</v>
      </c>
      <c r="DW132">
        <f>_xlfn.XLOOKUP(B132,'[12]february-2026'!$A:$A,'[12]february-2026'!$H:$H,0,0)</f>
        <v>0</v>
      </c>
      <c r="DX132">
        <f>_xlfn.XLOOKUP(B132,'[12]february-2026'!$A:$A,'[12]february-2026'!$I:$I,0,0)</f>
        <v>0</v>
      </c>
      <c r="DY132">
        <f>IF($F132="YES",0,IF(DV132&gt;40000,200,IF(DV132&gt;25000,150,IF(DV132&gt;15000,130,IF(DV132&gt;10000,110,0)))))</f>
        <v>0</v>
      </c>
      <c r="DZ132">
        <f>DV132-DW132-DX132-DY132</f>
        <v>0</v>
      </c>
      <c r="EA132">
        <f>DV132+DL132+DB132+CR132+CH132+BX132+BN132+BD132+AS132+AI132+Y132+O132+H132+I132</f>
        <v>0</v>
      </c>
      <c r="EB132">
        <f>DY132+DO132+DE132+CU132+CK132+CA132+BQ132+BG132+AV132+AL132+AB132+R132</f>
        <v>0</v>
      </c>
      <c r="EC132">
        <f>IF(EA132&gt;0,50000,0)</f>
        <v>0</v>
      </c>
      <c r="ED132">
        <v>1</v>
      </c>
      <c r="EE132">
        <f>EA132-EB132-EC132</f>
        <v>0</v>
      </c>
      <c r="EF132">
        <f>DW132+DM132+DC132+CS132+CI132+BY132+BO132+BE132+AT132+AJ132+Z132+P132</f>
        <v>0</v>
      </c>
      <c r="EG132">
        <f>DX132+DN132+DD132+CT132+CJ132+BZ132+BP132+BF132+AU132+AK132+AA132+Q132</f>
        <v>0</v>
      </c>
      <c r="EH132">
        <v>0</v>
      </c>
      <c r="EI132">
        <v>0</v>
      </c>
      <c r="EJ132">
        <v>0</v>
      </c>
      <c r="EK132">
        <v>0</v>
      </c>
      <c r="EL132">
        <v>0</v>
      </c>
      <c r="EM132">
        <v>0</v>
      </c>
      <c r="EN132">
        <v>0</v>
      </c>
      <c r="EO132">
        <v>0</v>
      </c>
      <c r="EP132">
        <v>0</v>
      </c>
      <c r="EQ132">
        <v>0</v>
      </c>
      <c r="ER132">
        <f>SUM(EF132:EQ132)</f>
        <v>0</v>
      </c>
      <c r="ES132">
        <f>IF(ER132&gt;=150000,150000,ER132)</f>
        <v>0</v>
      </c>
      <c r="ET132">
        <f>EE132-ES132</f>
        <v>0</v>
      </c>
      <c r="EU132">
        <v>0</v>
      </c>
      <c r="EV132">
        <v>0</v>
      </c>
      <c r="EW132">
        <v>0</v>
      </c>
      <c r="EX132">
        <v>0</v>
      </c>
      <c r="EY132">
        <v>0</v>
      </c>
      <c r="EZ132">
        <v>0</v>
      </c>
      <c r="FA132">
        <v>0</v>
      </c>
      <c r="FB132">
        <f>SUM(EU132:FA132)+(IF(F132="YES",50000,0))</f>
        <v>0</v>
      </c>
      <c r="FC132">
        <f>ET132-FB132</f>
        <v>0</v>
      </c>
      <c r="FD132">
        <f>ROUND(IF(FC132&gt;0,IF(FC132&gt;500000,12500,(FC132-250000)*0.05),0),0)</f>
        <v>0</v>
      </c>
      <c r="FE132">
        <f>IF(ROUND(IF(FC132&gt;0,IF(FC132&gt;1000000,25000,(FC132-500000)*0.2),0),0)&lt;0,0,ROUND(IF(FC132&gt;0,IF(FC132&gt;1000000,25000,(FC132-500000)*0.2),0),0))</f>
        <v>0</v>
      </c>
      <c r="FF132">
        <f>FD132+FE132</f>
        <v>0</v>
      </c>
      <c r="FG132">
        <f>IF(FF132&lt;12500,0,FF132)</f>
        <v>0</v>
      </c>
      <c r="FH132">
        <f>FG132*0.04</f>
        <v>0</v>
      </c>
      <c r="FI132">
        <f>ROUND(FH132+FG132,0)</f>
        <v>0</v>
      </c>
      <c r="FJ132">
        <v>1</v>
      </c>
      <c r="FK132">
        <f>FI132-FJ132</f>
        <v>-1</v>
      </c>
      <c r="FL132" t="b">
        <f>IF(EA132&gt;500000,TRUE,FALSE)</f>
        <v>0</v>
      </c>
      <c r="FM132">
        <f ca="1">IF(FL132,RANDBETWEEN(500,1000),RANDBETWEEN(1000,3000))</f>
        <v>1334</v>
      </c>
      <c r="FN132">
        <f ca="1">EA132+FM132</f>
        <v>1334</v>
      </c>
      <c r="FO132">
        <f>IF(EA132&gt;0,75000,0)</f>
        <v>0</v>
      </c>
      <c r="FP132">
        <f ca="1">FN132-FO132</f>
        <v>1334</v>
      </c>
      <c r="FQ132">
        <f ca="1">IF(FP132&gt;2400000,FP132-2400000,0)</f>
        <v>0</v>
      </c>
      <c r="FR132">
        <f ca="1">FQ132*0.3</f>
        <v>0</v>
      </c>
      <c r="FS132">
        <f ca="1">IF(FP132&gt;2000000,FP132-2000000,0)</f>
        <v>0</v>
      </c>
      <c r="FT132">
        <f ca="1">FS132*0.25</f>
        <v>0</v>
      </c>
      <c r="FU132">
        <f ca="1">IF(FP132&gt;1600000,FP132-1600000-FQ132,0)</f>
        <v>0</v>
      </c>
      <c r="FV132">
        <f ca="1">FU132*0.2</f>
        <v>0</v>
      </c>
      <c r="FW132">
        <f ca="1">IF(FP132&gt;1200000,FP132-1200000-IF(F132="YES",50000,0)-FU132,0)</f>
        <v>0</v>
      </c>
      <c r="FX132">
        <f ca="1">FW132*0.15</f>
        <v>0</v>
      </c>
      <c r="FY132">
        <f ca="1">IF(FP132&gt;800000,FP132-800000-FQ132-FU132-FW132,0)</f>
        <v>0</v>
      </c>
      <c r="FZ132">
        <f ca="1">FY132*0.1</f>
        <v>0</v>
      </c>
      <c r="GA132">
        <f ca="1">IF(FP132&gt;400000,FP132-400000-FQ132-FU132-FW132-FY132,0)</f>
        <v>0</v>
      </c>
      <c r="GB132">
        <f ca="1">GA132*0.05</f>
        <v>0</v>
      </c>
      <c r="GC132">
        <f ca="1">ROUND(FR132+FT132+FV132+FX132+FZ132+GB132,0)</f>
        <v>0</v>
      </c>
      <c r="GD132">
        <f ca="1">IF(FP132&gt;1200000,FP132,0)</f>
        <v>0</v>
      </c>
      <c r="GE132">
        <f ca="1">IF(FP132&gt;1200000,GD132-1200000,0)</f>
        <v>0</v>
      </c>
      <c r="GF132">
        <f ca="1">IF(FP132&lt;1200001,MIN(GC132,60000),0)</f>
        <v>0</v>
      </c>
      <c r="GG132">
        <f ca="1">IF(FP132&gt;1200000,GC132-GE132,0)</f>
        <v>0</v>
      </c>
      <c r="GH132" t="b">
        <f ca="1">IF(GG132&gt;0,TRUE,FALSE)</f>
        <v>0</v>
      </c>
      <c r="GI132">
        <f ca="1">IF(GH132,GG132,0)</f>
        <v>0</v>
      </c>
      <c r="GJ132">
        <f ca="1">GF132+GI132</f>
        <v>0</v>
      </c>
      <c r="GK132">
        <f ca="1">ROUND(GC132-GJ132,0)</f>
        <v>0</v>
      </c>
      <c r="GL132">
        <f ca="1">GK132*0.04</f>
        <v>0</v>
      </c>
      <c r="GM132">
        <f ca="1">ROUNDUP(GK132+GL132,0)</f>
        <v>0</v>
      </c>
    </row>
    <row r="133" spans="1:195" x14ac:dyDescent="0.25">
      <c r="A133">
        <f>_xlfn.AGGREGATE(3,5,$B$2:B133)</f>
        <v>132</v>
      </c>
      <c r="B133" t="s">
        <v>379</v>
      </c>
      <c r="C133" t="s">
        <v>380</v>
      </c>
      <c r="D133" t="s">
        <v>789</v>
      </c>
      <c r="E133" t="s">
        <v>834</v>
      </c>
      <c r="F133" t="s">
        <v>959</v>
      </c>
      <c r="G133" t="s">
        <v>880</v>
      </c>
      <c r="H133">
        <f>IF(_xlfn.DAYS("31-03-2025",G133)&gt;=180,6800,0)</f>
        <v>6800</v>
      </c>
      <c r="I133">
        <f>_xlfn.XLOOKUP(B133,'[1]march-2025'!$A:$A,'[1]march-2025'!$J:$J,0,0)</f>
        <v>0</v>
      </c>
      <c r="J133">
        <f>_xlfn.XLOOKUP(B133,'[1]march-2025'!$A:$A,'[1]march-2025'!$C:$C,0,0)</f>
        <v>35500</v>
      </c>
      <c r="K133">
        <f>J133*0.14</f>
        <v>4970.0000000000009</v>
      </c>
      <c r="L133">
        <f>J133*0.12</f>
        <v>4260</v>
      </c>
      <c r="M133">
        <f>_xlfn.XLOOKUP(B133,'[1]march-2025'!$A:$A,'[1]march-2025'!$D:$D,0,0)</f>
        <v>400</v>
      </c>
      <c r="N133">
        <f>_xlfn.XLOOKUP(B133,'[1]march-2025'!$A:$A,'[1]march-2025'!$G:$G,0,0)</f>
        <v>500</v>
      </c>
      <c r="O133">
        <f>IF(J133&gt;0,SUM(J133:N133),0)</f>
        <v>45630</v>
      </c>
      <c r="P133">
        <f>_xlfn.XLOOKUP(B133,'[1]march-2025'!$A:$A,'[1]march-2025'!$H:$H,0,0)</f>
        <v>5000</v>
      </c>
      <c r="Q133">
        <f>_xlfn.XLOOKUP(B133,'[1]march-2025'!$A:$A,'[1]march-2025'!$I:$I,0,0)</f>
        <v>0</v>
      </c>
      <c r="R133">
        <f>IF($F133="YES",0,IF(O133&gt;40000,200,IF(O133&gt;25000,150,IF(O133&gt;15000,130,IF(O133&gt;10000,110,0)))))</f>
        <v>200</v>
      </c>
      <c r="S133">
        <f>O133-P133-Q133-R133</f>
        <v>40430</v>
      </c>
      <c r="T133">
        <f>_xlfn.XLOOKUP(B133,'[2]april-2025'!$A:$A,'[2]april-2025'!$C:$C,0,0)</f>
        <v>35500</v>
      </c>
      <c r="U133">
        <f>T133*0.18</f>
        <v>6390</v>
      </c>
      <c r="V133">
        <f>T133*0.12</f>
        <v>4260</v>
      </c>
      <c r="W133">
        <f>_xlfn.XLOOKUP(B133,'[2]april-2025'!$A:$A,'[2]april-2025'!$D:$D,0,0)</f>
        <v>400</v>
      </c>
      <c r="X133">
        <f>_xlfn.XLOOKUP(B133,'[2]april-2025'!$A:$A,'[2]april-2025'!$G:$G,0,0)</f>
        <v>500</v>
      </c>
      <c r="Y133">
        <f>IF(T133&gt;0,SUM(T133:X133),0)</f>
        <v>47050</v>
      </c>
      <c r="Z133">
        <f>_xlfn.XLOOKUP(B133,'[2]april-2025'!$A:$A,'[2]april-2025'!$H:$H,0,0)</f>
        <v>5000</v>
      </c>
      <c r="AA133">
        <f>_xlfn.XLOOKUP(B133,'[2]april-2025'!$A:$A,'[2]april-2025'!$I:$I,0,0)</f>
        <v>0</v>
      </c>
      <c r="AB133">
        <f>IF($F133="YES",0,IF(Y133&gt;40000,200,IF(Y133&gt;25000,150,IF(Y133&gt;15000,130,IF(Y133&gt;10000,110,0)))))</f>
        <v>200</v>
      </c>
      <c r="AC133">
        <f>Y133-Z133-AA133-AB133</f>
        <v>41850</v>
      </c>
      <c r="AD133">
        <f>_xlfn.XLOOKUP(B133,'[3]may-2025'!$A:$A,'[3]may-2025'!$C:$C,0,0)</f>
        <v>35500</v>
      </c>
      <c r="AE133">
        <f>AD133*0.18</f>
        <v>6390</v>
      </c>
      <c r="AF133">
        <f>AD133*0.12</f>
        <v>4260</v>
      </c>
      <c r="AG133">
        <f>_xlfn.XLOOKUP(B133,'[3]may-2025'!$A:$A,'[3]may-2025'!$D:$D,0,0)</f>
        <v>400</v>
      </c>
      <c r="AH133">
        <f>_xlfn.XLOOKUP(B133,'[3]may-2025'!$A:$A,'[3]may-2025'!$G:$G,0,0)</f>
        <v>500</v>
      </c>
      <c r="AI133">
        <f>IF(AD133&gt;0,SUM(AD133:AH133),0)</f>
        <v>47050</v>
      </c>
      <c r="AJ133">
        <f>_xlfn.XLOOKUP(B133,'[3]may-2025'!$A:$A,'[3]may-2025'!$H:$H,0,0)</f>
        <v>5000</v>
      </c>
      <c r="AK133">
        <f>_xlfn.XLOOKUP(B133,'[3]may-2025'!$A:$A,'[3]may-2025'!$I:$I,0,0)</f>
        <v>0</v>
      </c>
      <c r="AL133">
        <f>IF($F133="YES",0,IF(AI133&gt;40000,200,IF(AI133&gt;25000,150,IF(AI133&gt;15000,130,IF(AI133&gt;10000,110,0)))))</f>
        <v>200</v>
      </c>
      <c r="AM133">
        <f>AI133-AJ133-AK133-AL133</f>
        <v>41850</v>
      </c>
      <c r="AN133">
        <f>_xlfn.XLOOKUP(B133,'[4]june-2025'!$A:$A,'[4]june-2025'!$C:$C,0,0)</f>
        <v>35500</v>
      </c>
      <c r="AO133">
        <f>AN133*0.18</f>
        <v>6390</v>
      </c>
      <c r="AP133">
        <f>AN133*0.12</f>
        <v>4260</v>
      </c>
      <c r="AQ133">
        <f>_xlfn.XLOOKUP(B133,'[4]june-2025'!$A:$A,'[4]june-2025'!$D:$D,0,0)</f>
        <v>400</v>
      </c>
      <c r="AR133">
        <f>_xlfn.XLOOKUP(B133,'[4]june-2025'!$A:$A,'[4]june-2025'!$G:$G,0,0)</f>
        <v>500</v>
      </c>
      <c r="AS133">
        <f>IF(AN133&gt;0,SUM(AN133:AR133),0)</f>
        <v>47050</v>
      </c>
      <c r="AT133">
        <f>_xlfn.XLOOKUP(B133,'[4]june-2025'!$A:$A,'[4]june-2025'!$H:$H,0,0)</f>
        <v>5000</v>
      </c>
      <c r="AU133">
        <f>_xlfn.XLOOKUP(B133,'[4]june-2025'!$A:$A,'[4]june-2025'!$I:$I,0,0)</f>
        <v>0</v>
      </c>
      <c r="AV133">
        <f>IF($F133="YES",0,IF(AS133&gt;40000,200,IF(AS133&gt;25000,150,IF(AS133&gt;15000,130,IF(AS133&gt;10000,110,0)))))</f>
        <v>200</v>
      </c>
      <c r="AW133">
        <f>AS133-AT133-AU133-AV133</f>
        <v>41850</v>
      </c>
      <c r="AX133">
        <f>_xlfn.XLOOKUP(B133,'[5]july-2025'!$A:$A,'[5]july-2025'!$C:$C,0,0)</f>
        <v>36600</v>
      </c>
      <c r="AY133">
        <f>AX133*0.18</f>
        <v>6588</v>
      </c>
      <c r="AZ133">
        <v>0</v>
      </c>
      <c r="BA133">
        <f>AX133*0.12</f>
        <v>4392</v>
      </c>
      <c r="BB133">
        <f>_xlfn.XLOOKUP(B133,'[5]july-2025'!$A:$A,'[5]july-2025'!$D:$D,0,0)</f>
        <v>400</v>
      </c>
      <c r="BC133">
        <f>_xlfn.XLOOKUP(B133,'[5]july-2025'!$A:$A,'[5]july-2025'!$G:$G,0,0)</f>
        <v>500</v>
      </c>
      <c r="BD133">
        <f>IF(AX133&gt;0,SUM(AX133:BC133),0)</f>
        <v>48480</v>
      </c>
      <c r="BE133">
        <f>_xlfn.XLOOKUP(B133,'[5]july-2025'!$A:$A,'[5]july-2025'!$H:$H,0,0)</f>
        <v>5000</v>
      </c>
      <c r="BF133">
        <f>_xlfn.XLOOKUP(B133,'[5]july-2025'!$A:$A,'[5]july-2025'!$I:$I,0,0)</f>
        <v>0</v>
      </c>
      <c r="BG133">
        <f>IF($F133="YES",0,IF(BD133&gt;40000,200,IF(BD133&gt;25000,150,IF(BD133&gt;15000,130,IF(BD133&gt;10000,110,0)))))</f>
        <v>200</v>
      </c>
      <c r="BH133">
        <f>BD133-BE133-BF133-BG133</f>
        <v>43280</v>
      </c>
      <c r="BI133">
        <f>_xlfn.XLOOKUP(B133,'[6]august-2025'!$A:$A,'[6]august-2025'!$C:$C,0,0)</f>
        <v>36600</v>
      </c>
      <c r="BJ133">
        <f>BI133*0.18</f>
        <v>6588</v>
      </c>
      <c r="BK133">
        <f>BI133*0.12</f>
        <v>4392</v>
      </c>
      <c r="BL133">
        <f>_xlfn.XLOOKUP(B133,'[6]august-2025'!$A:$A,'[6]august-2025'!$D:$D,0,0)</f>
        <v>400</v>
      </c>
      <c r="BM133">
        <f>_xlfn.XLOOKUP(B133,'[6]august-2025'!$A:$A,'[6]august-2025'!$G:$G,0,0)</f>
        <v>500</v>
      </c>
      <c r="BN133">
        <f>IF(BI133&gt;0,SUM(BI133:BM133),0)</f>
        <v>48480</v>
      </c>
      <c r="BO133">
        <f>_xlfn.XLOOKUP(B133,'[6]august-2025'!$A:$A,'[6]august-2025'!$H:$H,0,0)</f>
        <v>5000</v>
      </c>
      <c r="BP133">
        <f>_xlfn.XLOOKUP(B133,'[6]august-2025'!$A:$A,'[6]august-2025'!$I:$I,0,0)</f>
        <v>0</v>
      </c>
      <c r="BQ133">
        <f>IF($F133="YES",0,IF(BN133&gt;40000,200,IF(BN133&gt;25000,150,IF(BN133&gt;15000,130,IF(BN133&gt;10000,110,0)))))</f>
        <v>200</v>
      </c>
      <c r="BR133">
        <f>BN133-BO133-BP133-BQ133</f>
        <v>43280</v>
      </c>
      <c r="BS133">
        <f>_xlfn.XLOOKUP(B133,'[7]september-2025'!$A:$A,'[7]september-2025'!$C:$C,0,0)</f>
        <v>36600</v>
      </c>
      <c r="BT133">
        <f>BS133*0.18</f>
        <v>6588</v>
      </c>
      <c r="BU133">
        <f>BS133*0.12</f>
        <v>4392</v>
      </c>
      <c r="BV133">
        <f>_xlfn.XLOOKUP(B133,'[7]september-2025'!$A:$A,'[7]september-2025'!$D:$D,0,0)</f>
        <v>400</v>
      </c>
      <c r="BW133">
        <f>_xlfn.XLOOKUP(B133,'[7]september-2025'!$A:$A,'[7]september-2025'!$G:$G,0,0)</f>
        <v>500</v>
      </c>
      <c r="BX133">
        <f>IF(BS133&gt;0,SUM(BS133:BW133),0)</f>
        <v>48480</v>
      </c>
      <c r="BY133">
        <f>_xlfn.XLOOKUP(B133,'[7]september-2025'!$A:$A,'[7]september-2025'!$H:$H,0,0)</f>
        <v>5000</v>
      </c>
      <c r="BZ133">
        <f>_xlfn.XLOOKUP(B133,'[7]september-2025'!$A:$A,'[7]september-2025'!$I:$I,0,0)</f>
        <v>0</v>
      </c>
      <c r="CA133">
        <f>IF($F133="YES",0,IF(BX133&gt;40000,200,IF(BX133&gt;25000,150,IF(BX133&gt;15000,130,IF(BX133&gt;10000,110,0)))))</f>
        <v>200</v>
      </c>
      <c r="CB133">
        <f>BX133-BY133-BZ133-CA133</f>
        <v>43280</v>
      </c>
      <c r="CC133">
        <f>_xlfn.XLOOKUP(B133,'[8]october-2025'!$A:$A,'[8]october-2025'!$C:$C,0,0)</f>
        <v>36600</v>
      </c>
      <c r="CD133">
        <f>CC133*0.18</f>
        <v>6588</v>
      </c>
      <c r="CE133">
        <f>CC133*0.12</f>
        <v>4392</v>
      </c>
      <c r="CF133">
        <f>_xlfn.XLOOKUP(B133,'[8]october-2025'!$A:$A,'[8]october-2025'!$D:$D,0,0)</f>
        <v>400</v>
      </c>
      <c r="CG133">
        <f>_xlfn.XLOOKUP(B133,'[8]october-2025'!$A:$A,'[8]october-2025'!$G:$G,0,0)</f>
        <v>500</v>
      </c>
      <c r="CH133">
        <f>IF(CC133&gt;0,SUM(CC133:CG133),0)</f>
        <v>48480</v>
      </c>
      <c r="CI133">
        <f>_xlfn.XLOOKUP(B133,'[8]october-2025'!$A:$A,'[8]october-2025'!$H:$H,0,0)</f>
        <v>5000</v>
      </c>
      <c r="CJ133">
        <f>_xlfn.XLOOKUP(B133,'[8]october-2025'!$A:$A,'[8]october-2025'!$I:$I,0,0)</f>
        <v>0</v>
      </c>
      <c r="CK133">
        <f>IF($F133="YES",0,IF(CH133&gt;40000,200,IF(CH133&gt;25000,150,IF(CH133&gt;15000,130,IF(CH133&gt;10000,110,0)))))</f>
        <v>200</v>
      </c>
      <c r="CL133">
        <f>CH133-CI133-CJ133-CK133</f>
        <v>43280</v>
      </c>
      <c r="CM133">
        <f>_xlfn.XLOOKUP(B133,'[9]november-2025'!$A:$A,'[9]november-2025'!$C:$C,0,0)</f>
        <v>36600</v>
      </c>
      <c r="CN133">
        <f>CM133*0.18</f>
        <v>6588</v>
      </c>
      <c r="CO133">
        <f>CM133*0.12</f>
        <v>4392</v>
      </c>
      <c r="CP133">
        <f>_xlfn.XLOOKUP(B133,'[9]november-2025'!$A:$A,'[9]november-2025'!$D:$D,0,0)</f>
        <v>400</v>
      </c>
      <c r="CQ133">
        <f>_xlfn.XLOOKUP(B133,'[9]november-2025'!$A:$A,'[9]november-2025'!$G:$G,0,0)</f>
        <v>500</v>
      </c>
      <c r="CR133">
        <f>IF(CM133&gt;0,SUM(CM133:CQ133),0)</f>
        <v>48480</v>
      </c>
      <c r="CS133">
        <f>_xlfn.XLOOKUP(B133,'[9]november-2025'!$A:$A,'[9]november-2025'!$H:$H,0,0)</f>
        <v>5000</v>
      </c>
      <c r="CT133">
        <f>_xlfn.XLOOKUP(B133,'[9]november-2025'!$A:$A,'[9]november-2025'!$I:$I,0,0)</f>
        <v>0</v>
      </c>
      <c r="CU133">
        <f>IF($F133="YES",0,IF(CR133&gt;40000,200,IF(CR133&gt;25000,150,IF(CR133&gt;15000,130,IF(CR133&gt;10000,110,0)))))</f>
        <v>200</v>
      </c>
      <c r="CV133">
        <f>CR133-CS133-CT133-CU133</f>
        <v>43280</v>
      </c>
      <c r="CW133">
        <f>_xlfn.XLOOKUP(B133,'[10]december-2025'!$A:$A,'[10]december-2025'!$C:$C,0,0)</f>
        <v>36600</v>
      </c>
      <c r="CX133">
        <f>ROUND(CW133*0.18,0)</f>
        <v>6588</v>
      </c>
      <c r="CY133">
        <f>ROUND(CW133*0.12,0)</f>
        <v>4392</v>
      </c>
      <c r="CZ133">
        <f>_xlfn.XLOOKUP(B133,'[10]december-2025'!$A:$A,'[10]december-2025'!$D:$D,0,0)</f>
        <v>400</v>
      </c>
      <c r="DA133">
        <f>_xlfn.XLOOKUP(B133,'[10]december-2025'!$A:$A,'[10]december-2025'!$G:$G,0,0)</f>
        <v>500</v>
      </c>
      <c r="DB133">
        <f>IF(CW133&gt;0,SUM(CW133:DA133),0)</f>
        <v>48480</v>
      </c>
      <c r="DC133">
        <f>_xlfn.XLOOKUP(B133,'[10]december-2025'!$A:$A,'[10]december-2025'!$H:$H,0,0)</f>
        <v>5000</v>
      </c>
      <c r="DD133">
        <f>_xlfn.XLOOKUP(B133,'[10]december-2025'!$A:$A,'[10]december-2025'!$I:$I,0,0)</f>
        <v>0</v>
      </c>
      <c r="DE133">
        <f>IF($F133="YES",0,IF(DB133&gt;40000,200,IF(DB133&gt;25000,150,IF(DB133&gt;15000,130,IF(DB133&gt;10000,110,0)))))</f>
        <v>200</v>
      </c>
      <c r="DF133">
        <f>DB133-DC133-DD133-DE133</f>
        <v>43280</v>
      </c>
      <c r="DG133">
        <f>_xlfn.XLOOKUP(B133,'[11]january-2026'!$A:$A,'[11]january-2026'!$C:$C,0,0)</f>
        <v>36600</v>
      </c>
      <c r="DH133">
        <f>DG133*0.18</f>
        <v>6588</v>
      </c>
      <c r="DI133">
        <f>DG133*0.12</f>
        <v>4392</v>
      </c>
      <c r="DJ133">
        <f>_xlfn.XLOOKUP(B133,'[11]january-2026'!$A:$A,'[11]january-2026'!$D:$D,0,0)</f>
        <v>400</v>
      </c>
      <c r="DK133">
        <f>_xlfn.XLOOKUP(B133,'[11]january-2026'!$A:$A,'[11]january-2026'!$G:$G,0,0)</f>
        <v>500</v>
      </c>
      <c r="DL133">
        <f>IF(DG133&gt;0,SUM(DG133:DK133),0)</f>
        <v>48480</v>
      </c>
      <c r="DM133">
        <f>_xlfn.XLOOKUP(B133,'[11]january-2026'!$A:$A,'[11]january-2026'!$H:$H,0,0)</f>
        <v>5000</v>
      </c>
      <c r="DN133">
        <f>_xlfn.XLOOKUP(B133,'[11]january-2026'!$A:$A,'[11]january-2026'!$I:$I,0,0)</f>
        <v>0</v>
      </c>
      <c r="DO133">
        <f>IF($F133="YES",0,IF(DL133&gt;40000,200,IF(DL133&gt;25000,150,IF(DL133&gt;15000,130,IF(DL133&gt;10000,110,0)))))</f>
        <v>200</v>
      </c>
      <c r="DP133">
        <f>DL133-DM133-DN133-DO133</f>
        <v>43280</v>
      </c>
      <c r="DQ133">
        <f>_xlfn.XLOOKUP(B133,'[12]february-2026'!$A:$A,'[12]february-2026'!$C:$C,0,0)</f>
        <v>36600</v>
      </c>
      <c r="DR133">
        <f>DQ133*0.18</f>
        <v>6588</v>
      </c>
      <c r="DS133">
        <f>DQ133*0.12</f>
        <v>4392</v>
      </c>
      <c r="DT133">
        <f>_xlfn.XLOOKUP(B133,'[12]february-2026'!$A:$A,'[12]february-2026'!$D:$D,0,0)</f>
        <v>400</v>
      </c>
      <c r="DU133">
        <f>_xlfn.XLOOKUP(B133,'[12]february-2026'!$A:$A,'[12]february-2026'!$G:$G,0,0)</f>
        <v>500</v>
      </c>
      <c r="DV133">
        <f>IF(DQ133&gt;0,SUM(DQ133:DU133),0)</f>
        <v>48480</v>
      </c>
      <c r="DW133">
        <f>_xlfn.XLOOKUP(B133,'[12]february-2026'!$A:$A,'[12]february-2026'!$H:$H,0,0)</f>
        <v>5000</v>
      </c>
      <c r="DX133">
        <f>_xlfn.XLOOKUP(B133,'[12]february-2026'!$A:$A,'[12]february-2026'!$I:$I,0,0)</f>
        <v>0</v>
      </c>
      <c r="DY133">
        <f>IF($F133="YES",0,IF(DV133&gt;40000,200,IF(DV133&gt;25000,150,IF(DV133&gt;15000,130,IF(DV133&gt;10000,110,0)))))</f>
        <v>200</v>
      </c>
      <c r="DZ133">
        <f>DV133-DW133-DX133-DY133</f>
        <v>43280</v>
      </c>
      <c r="EA133">
        <f>DV133+DL133+DB133+CR133+CH133+BX133+BN133+BD133+AS133+AI133+Y133+O133+H133+I133</f>
        <v>581420</v>
      </c>
      <c r="EB133">
        <f>DY133+DO133+DE133+CU133+CK133+CA133+BQ133+BG133+AV133+AL133+AB133+R133</f>
        <v>2400</v>
      </c>
      <c r="EC133">
        <f>IF(EA133&gt;0,50000,0)</f>
        <v>50000</v>
      </c>
      <c r="ED133">
        <v>0</v>
      </c>
      <c r="EE133">
        <f>EA133-EB133-EC133</f>
        <v>529020</v>
      </c>
      <c r="EF133">
        <f>DW133+DM133+DC133+CS133+CI133+BY133+BO133+BE133+AT133+AJ133+Z133+P133</f>
        <v>60000</v>
      </c>
      <c r="EG133">
        <f>DX133+DN133+DD133+CT133+CJ133+BZ133+BP133+BF133+AU133+AK133+AA133+Q133</f>
        <v>0</v>
      </c>
      <c r="EH133">
        <v>0</v>
      </c>
      <c r="EI133">
        <v>0</v>
      </c>
      <c r="EJ133">
        <v>0</v>
      </c>
      <c r="EK133">
        <v>0</v>
      </c>
      <c r="EL133">
        <v>0</v>
      </c>
      <c r="EM133">
        <v>0</v>
      </c>
      <c r="EN133">
        <v>0</v>
      </c>
      <c r="EO133">
        <v>0</v>
      </c>
      <c r="EP133">
        <v>0</v>
      </c>
      <c r="EQ133">
        <v>0</v>
      </c>
      <c r="ER133">
        <f>SUM(EF133:EQ133)</f>
        <v>60000</v>
      </c>
      <c r="ES133">
        <f>IF(ER133&gt;=150000,150000,ER133)</f>
        <v>60000</v>
      </c>
      <c r="ET133">
        <f>EE133-ES133</f>
        <v>469020</v>
      </c>
      <c r="EU133">
        <v>0</v>
      </c>
      <c r="EV133">
        <v>0</v>
      </c>
      <c r="EW133">
        <v>0</v>
      </c>
      <c r="EX133">
        <v>0</v>
      </c>
      <c r="EY133">
        <v>0</v>
      </c>
      <c r="EZ133">
        <v>0</v>
      </c>
      <c r="FA133">
        <v>0</v>
      </c>
      <c r="FB133">
        <f>SUM(EU133:FA133)+(IF(F133="YES",50000,0))</f>
        <v>0</v>
      </c>
      <c r="FC133">
        <f>ET133-FB133</f>
        <v>469020</v>
      </c>
      <c r="FD133">
        <f>ROUND(IF(FC133&gt;0,IF(FC133&gt;500000,12500,(FC133-250000)*0.05),0),0)</f>
        <v>10951</v>
      </c>
      <c r="FE133">
        <f>IF(ROUND(IF(FC133&gt;0,IF(FC133&gt;1000000,25000,(FC133-500000)*0.2),0),0)&lt;0,0,ROUND(IF(FC133&gt;0,IF(FC133&gt;1000000,25000,(FC133-500000)*0.2),0),0))</f>
        <v>0</v>
      </c>
      <c r="FF133">
        <f>FD133+FE133</f>
        <v>10951</v>
      </c>
      <c r="FG133">
        <f>IF(FF133&lt;12500,0,FF133)</f>
        <v>0</v>
      </c>
      <c r="FH133">
        <f>FG133*0.04</f>
        <v>0</v>
      </c>
      <c r="FI133">
        <f>ROUND(FH133+FG133,0)</f>
        <v>0</v>
      </c>
      <c r="FJ133">
        <v>0</v>
      </c>
      <c r="FK133">
        <f>FI133-FJ133</f>
        <v>0</v>
      </c>
      <c r="FL133" t="b">
        <f>IF(EA133&gt;500000,TRUE,FALSE)</f>
        <v>1</v>
      </c>
      <c r="FM133">
        <f ca="1">IF(FL133,RANDBETWEEN(500,1000),RANDBETWEEN(1000,3000))</f>
        <v>921</v>
      </c>
      <c r="FN133">
        <f ca="1">EA133+FM133</f>
        <v>582341</v>
      </c>
      <c r="FO133">
        <f>IF(EA133&gt;0,75000,0)</f>
        <v>75000</v>
      </c>
      <c r="FP133">
        <f ca="1">FN133-FO133</f>
        <v>507341</v>
      </c>
      <c r="FQ133">
        <f ca="1">IF(FP133&gt;2400000,FP133-2400000,0)</f>
        <v>0</v>
      </c>
      <c r="FR133">
        <f ca="1">FQ133*0.3</f>
        <v>0</v>
      </c>
      <c r="FS133">
        <f ca="1">IF(FP133&gt;2000000,FP133-2000000,0)</f>
        <v>0</v>
      </c>
      <c r="FT133">
        <f ca="1">FS133*0.25</f>
        <v>0</v>
      </c>
      <c r="FU133">
        <f ca="1">IF(FP133&gt;1600000,FP133-1600000-FQ133,0)</f>
        <v>0</v>
      </c>
      <c r="FV133">
        <f ca="1">FU133*0.2</f>
        <v>0</v>
      </c>
      <c r="FW133">
        <f ca="1">IF(FP133&gt;1200000,FP133-1200000-IF(F133="YES",50000,0)-FU133,0)</f>
        <v>0</v>
      </c>
      <c r="FX133">
        <f ca="1">FW133*0.15</f>
        <v>0</v>
      </c>
      <c r="FY133">
        <f ca="1">IF(FP133&gt;800000,FP133-800000-FQ133-FU133-FW133,0)</f>
        <v>0</v>
      </c>
      <c r="FZ133">
        <f ca="1">FY133*0.1</f>
        <v>0</v>
      </c>
      <c r="GA133">
        <f ca="1">IF(FP133&gt;400000,FP133-400000-FQ133-FU133-FW133-FY133,0)</f>
        <v>107341</v>
      </c>
      <c r="GB133">
        <f ca="1">GA133*0.05</f>
        <v>5367.05</v>
      </c>
      <c r="GC133">
        <f ca="1">ROUND(FR133+FT133+FV133+FX133+FZ133+GB133,0)</f>
        <v>5367</v>
      </c>
      <c r="GD133">
        <f ca="1">IF(FP133&gt;1200000,FP133,0)</f>
        <v>0</v>
      </c>
      <c r="GE133">
        <f ca="1">IF(FP133&gt;1200000,GD133-1200000,0)</f>
        <v>0</v>
      </c>
      <c r="GF133">
        <f ca="1">IF(FP133&lt;1200001,MIN(GC133,60000),0)</f>
        <v>5367</v>
      </c>
      <c r="GG133">
        <f ca="1">IF(FP133&gt;1200000,GC133-GE133,0)</f>
        <v>0</v>
      </c>
      <c r="GH133" t="b">
        <f ca="1">IF(GG133&gt;0,TRUE,FALSE)</f>
        <v>0</v>
      </c>
      <c r="GI133">
        <f ca="1">IF(GH133,GG133,0)</f>
        <v>0</v>
      </c>
      <c r="GJ133">
        <f ca="1">GF133+GI133</f>
        <v>5367</v>
      </c>
      <c r="GK133">
        <f ca="1">ROUND(GC133-GJ133,0)</f>
        <v>0</v>
      </c>
      <c r="GL133">
        <f ca="1">GK133*0.04</f>
        <v>0</v>
      </c>
      <c r="GM133">
        <f ca="1">ROUNDUP(GK133+GL133,0)</f>
        <v>0</v>
      </c>
    </row>
    <row r="134" spans="1:195" x14ac:dyDescent="0.25">
      <c r="A134">
        <f>_xlfn.AGGREGATE(3,5,$B$2:B134)</f>
        <v>133</v>
      </c>
      <c r="B134" t="s">
        <v>381</v>
      </c>
      <c r="C134" t="s">
        <v>382</v>
      </c>
      <c r="D134" t="s">
        <v>789</v>
      </c>
      <c r="E134" t="s">
        <v>833</v>
      </c>
      <c r="F134" t="s">
        <v>959</v>
      </c>
      <c r="G134" t="s">
        <v>883</v>
      </c>
      <c r="H134">
        <f>IF(_xlfn.DAYS("31-03-2025",G134)&gt;=180,6800,0)</f>
        <v>6800</v>
      </c>
      <c r="I134">
        <f>_xlfn.XLOOKUP(B134,'[1]march-2025'!$A:$A,'[1]march-2025'!$J:$J,0,0)</f>
        <v>0</v>
      </c>
      <c r="J134">
        <f>_xlfn.XLOOKUP(B134,'[1]march-2025'!$A:$A,'[1]march-2025'!$C:$C,0,0)</f>
        <v>28900</v>
      </c>
      <c r="K134">
        <f>J134*0.14</f>
        <v>4046.0000000000005</v>
      </c>
      <c r="L134">
        <f>J134*0.12</f>
        <v>3468</v>
      </c>
      <c r="M134">
        <f>_xlfn.XLOOKUP(B134,'[1]march-2025'!$A:$A,'[1]march-2025'!$D:$D,0,0)</f>
        <v>0</v>
      </c>
      <c r="N134">
        <f>_xlfn.XLOOKUP(B134,'[1]march-2025'!$A:$A,'[1]march-2025'!$G:$G,0,0)</f>
        <v>500</v>
      </c>
      <c r="O134">
        <f>IF(J134&gt;0,SUM(J134:N134),0)</f>
        <v>36914</v>
      </c>
      <c r="P134">
        <f>_xlfn.XLOOKUP(B134,'[1]march-2025'!$A:$A,'[1]march-2025'!$H:$H,0,0)</f>
        <v>2000</v>
      </c>
      <c r="Q134">
        <f>_xlfn.XLOOKUP(B134,'[1]march-2025'!$A:$A,'[1]march-2025'!$I:$I,0,0)</f>
        <v>0</v>
      </c>
      <c r="R134">
        <f>IF($F134="YES",0,IF(O134&gt;40000,200,IF(O134&gt;25000,150,IF(O134&gt;15000,130,IF(O134&gt;10000,110,0)))))</f>
        <v>150</v>
      </c>
      <c r="S134">
        <f>O134-P134-Q134-R134</f>
        <v>34764</v>
      </c>
      <c r="T134">
        <f>_xlfn.XLOOKUP(B134,'[2]april-2025'!$A:$A,'[2]april-2025'!$C:$C,0,0)</f>
        <v>28900</v>
      </c>
      <c r="U134">
        <f>T134*0.18</f>
        <v>5202</v>
      </c>
      <c r="V134">
        <f>T134*0.12</f>
        <v>3468</v>
      </c>
      <c r="W134">
        <f>_xlfn.XLOOKUP(B134,'[2]april-2025'!$A:$A,'[2]april-2025'!$D:$D,0,0)</f>
        <v>0</v>
      </c>
      <c r="X134">
        <f>_xlfn.XLOOKUP(B134,'[2]april-2025'!$A:$A,'[2]april-2025'!$G:$G,0,0)</f>
        <v>500</v>
      </c>
      <c r="Y134">
        <f>IF(T134&gt;0,SUM(T134:X134),0)</f>
        <v>38070</v>
      </c>
      <c r="Z134">
        <f>_xlfn.XLOOKUP(B134,'[2]april-2025'!$A:$A,'[2]april-2025'!$H:$H,0,0)</f>
        <v>2000</v>
      </c>
      <c r="AA134">
        <f>_xlfn.XLOOKUP(B134,'[2]april-2025'!$A:$A,'[2]april-2025'!$I:$I,0,0)</f>
        <v>0</v>
      </c>
      <c r="AB134">
        <f>IF($F134="YES",0,IF(Y134&gt;40000,200,IF(Y134&gt;25000,150,IF(Y134&gt;15000,130,IF(Y134&gt;10000,110,0)))))</f>
        <v>150</v>
      </c>
      <c r="AC134">
        <f>Y134-Z134-AA134-AB134</f>
        <v>35920</v>
      </c>
      <c r="AD134">
        <f>_xlfn.XLOOKUP(B134,'[3]may-2025'!$A:$A,'[3]may-2025'!$C:$C,0,0)</f>
        <v>28900</v>
      </c>
      <c r="AE134">
        <f>AD134*0.18</f>
        <v>5202</v>
      </c>
      <c r="AF134">
        <f>AD134*0.12</f>
        <v>3468</v>
      </c>
      <c r="AG134">
        <f>_xlfn.XLOOKUP(B134,'[3]may-2025'!$A:$A,'[3]may-2025'!$D:$D,0,0)</f>
        <v>0</v>
      </c>
      <c r="AH134">
        <f>_xlfn.XLOOKUP(B134,'[3]may-2025'!$A:$A,'[3]may-2025'!$G:$G,0,0)</f>
        <v>500</v>
      </c>
      <c r="AI134">
        <f>IF(AD134&gt;0,SUM(AD134:AH134),0)</f>
        <v>38070</v>
      </c>
      <c r="AJ134">
        <f>_xlfn.XLOOKUP(B134,'[3]may-2025'!$A:$A,'[3]may-2025'!$H:$H,0,0)</f>
        <v>2000</v>
      </c>
      <c r="AK134">
        <f>_xlfn.XLOOKUP(B134,'[3]may-2025'!$A:$A,'[3]may-2025'!$I:$I,0,0)</f>
        <v>0</v>
      </c>
      <c r="AL134">
        <f>IF($F134="YES",0,IF(AI134&gt;40000,200,IF(AI134&gt;25000,150,IF(AI134&gt;15000,130,IF(AI134&gt;10000,110,0)))))</f>
        <v>150</v>
      </c>
      <c r="AM134">
        <f>AI134-AJ134-AK134-AL134</f>
        <v>35920</v>
      </c>
      <c r="AN134">
        <f>_xlfn.XLOOKUP(B134,'[4]june-2025'!$A:$A,'[4]june-2025'!$C:$C,0,0)</f>
        <v>28900</v>
      </c>
      <c r="AO134">
        <f>AN134*0.18</f>
        <v>5202</v>
      </c>
      <c r="AP134">
        <f>AN134*0.12</f>
        <v>3468</v>
      </c>
      <c r="AQ134">
        <f>_xlfn.XLOOKUP(B134,'[4]june-2025'!$A:$A,'[4]june-2025'!$D:$D,0,0)</f>
        <v>0</v>
      </c>
      <c r="AR134">
        <f>_xlfn.XLOOKUP(B134,'[4]june-2025'!$A:$A,'[4]june-2025'!$G:$G,0,0)</f>
        <v>500</v>
      </c>
      <c r="AS134">
        <f>IF(AN134&gt;0,SUM(AN134:AR134),0)</f>
        <v>38070</v>
      </c>
      <c r="AT134">
        <f>_xlfn.XLOOKUP(B134,'[4]june-2025'!$A:$A,'[4]june-2025'!$H:$H,0,0)</f>
        <v>2000</v>
      </c>
      <c r="AU134">
        <f>_xlfn.XLOOKUP(B134,'[4]june-2025'!$A:$A,'[4]june-2025'!$I:$I,0,0)</f>
        <v>0</v>
      </c>
      <c r="AV134">
        <f>IF($F134="YES",0,IF(AS134&gt;40000,200,IF(AS134&gt;25000,150,IF(AS134&gt;15000,130,IF(AS134&gt;10000,110,0)))))</f>
        <v>150</v>
      </c>
      <c r="AW134">
        <f>AS134-AT134-AU134-AV134</f>
        <v>35920</v>
      </c>
      <c r="AX134">
        <f>_xlfn.XLOOKUP(B134,'[5]july-2025'!$A:$A,'[5]july-2025'!$C:$C,0,0)</f>
        <v>29800</v>
      </c>
      <c r="AY134">
        <f>AX134*0.18</f>
        <v>5364</v>
      </c>
      <c r="AZ134">
        <v>0</v>
      </c>
      <c r="BA134">
        <f>AX134*0.12</f>
        <v>3576</v>
      </c>
      <c r="BB134">
        <f>_xlfn.XLOOKUP(B134,'[5]july-2025'!$A:$A,'[5]july-2025'!$D:$D,0,0)</f>
        <v>0</v>
      </c>
      <c r="BC134">
        <f>_xlfn.XLOOKUP(B134,'[5]july-2025'!$A:$A,'[5]july-2025'!$G:$G,0,0)</f>
        <v>500</v>
      </c>
      <c r="BD134">
        <f>IF(AX134&gt;0,SUM(AX134:BC134),0)</f>
        <v>39240</v>
      </c>
      <c r="BE134">
        <f>_xlfn.XLOOKUP(B134,'[5]july-2025'!$A:$A,'[5]july-2025'!$H:$H,0,0)</f>
        <v>2000</v>
      </c>
      <c r="BF134">
        <f>_xlfn.XLOOKUP(B134,'[5]july-2025'!$A:$A,'[5]july-2025'!$I:$I,0,0)</f>
        <v>0</v>
      </c>
      <c r="BG134">
        <f>IF($F134="YES",0,IF(BD134&gt;40000,200,IF(BD134&gt;25000,150,IF(BD134&gt;15000,130,IF(BD134&gt;10000,110,0)))))</f>
        <v>150</v>
      </c>
      <c r="BH134">
        <f>BD134-BE134-BF134-BG134</f>
        <v>37090</v>
      </c>
      <c r="BI134">
        <f>_xlfn.XLOOKUP(B134,'[6]august-2025'!$A:$A,'[6]august-2025'!$C:$C,0,0)</f>
        <v>29800</v>
      </c>
      <c r="BJ134">
        <f>BI134*0.18</f>
        <v>5364</v>
      </c>
      <c r="BK134">
        <f>BI134*0.12</f>
        <v>3576</v>
      </c>
      <c r="BL134">
        <f>_xlfn.XLOOKUP(B134,'[6]august-2025'!$A:$A,'[6]august-2025'!$D:$D,0,0)</f>
        <v>0</v>
      </c>
      <c r="BM134">
        <f>_xlfn.XLOOKUP(B134,'[6]august-2025'!$A:$A,'[6]august-2025'!$G:$G,0,0)</f>
        <v>500</v>
      </c>
      <c r="BN134">
        <f>IF(BI134&gt;0,SUM(BI134:BM134),0)</f>
        <v>39240</v>
      </c>
      <c r="BO134">
        <f>_xlfn.XLOOKUP(B134,'[6]august-2025'!$A:$A,'[6]august-2025'!$H:$H,0,0)</f>
        <v>2000</v>
      </c>
      <c r="BP134">
        <f>_xlfn.XLOOKUP(B134,'[6]august-2025'!$A:$A,'[6]august-2025'!$I:$I,0,0)</f>
        <v>0</v>
      </c>
      <c r="BQ134">
        <f>IF($F134="YES",0,IF(BN134&gt;40000,200,IF(BN134&gt;25000,150,IF(BN134&gt;15000,130,IF(BN134&gt;10000,110,0)))))</f>
        <v>150</v>
      </c>
      <c r="BR134">
        <f>BN134-BO134-BP134-BQ134</f>
        <v>37090</v>
      </c>
      <c r="BS134">
        <f>_xlfn.XLOOKUP(B134,'[7]september-2025'!$A:$A,'[7]september-2025'!$C:$C,0,0)</f>
        <v>29800</v>
      </c>
      <c r="BT134">
        <f>BS134*0.18</f>
        <v>5364</v>
      </c>
      <c r="BU134">
        <f>BS134*0.12</f>
        <v>3576</v>
      </c>
      <c r="BV134">
        <f>_xlfn.XLOOKUP(B134,'[7]september-2025'!$A:$A,'[7]september-2025'!$D:$D,0,0)</f>
        <v>0</v>
      </c>
      <c r="BW134">
        <f>_xlfn.XLOOKUP(B134,'[7]september-2025'!$A:$A,'[7]september-2025'!$G:$G,0,0)</f>
        <v>500</v>
      </c>
      <c r="BX134">
        <f>IF(BS134&gt;0,SUM(BS134:BW134),0)</f>
        <v>39240</v>
      </c>
      <c r="BY134">
        <f>_xlfn.XLOOKUP(B134,'[7]september-2025'!$A:$A,'[7]september-2025'!$H:$H,0,0)</f>
        <v>2000</v>
      </c>
      <c r="BZ134">
        <f>_xlfn.XLOOKUP(B134,'[7]september-2025'!$A:$A,'[7]september-2025'!$I:$I,0,0)</f>
        <v>0</v>
      </c>
      <c r="CA134">
        <f>IF($F134="YES",0,IF(BX134&gt;40000,200,IF(BX134&gt;25000,150,IF(BX134&gt;15000,130,IF(BX134&gt;10000,110,0)))))</f>
        <v>150</v>
      </c>
      <c r="CB134">
        <f>BX134-BY134-BZ134-CA134</f>
        <v>37090</v>
      </c>
      <c r="CC134">
        <f>_xlfn.XLOOKUP(B134,'[8]october-2025'!$A:$A,'[8]october-2025'!$C:$C,0,0)</f>
        <v>29800</v>
      </c>
      <c r="CD134">
        <f>CC134*0.18</f>
        <v>5364</v>
      </c>
      <c r="CE134">
        <f>CC134*0.12</f>
        <v>3576</v>
      </c>
      <c r="CF134">
        <f>_xlfn.XLOOKUP(B134,'[8]october-2025'!$A:$A,'[8]october-2025'!$D:$D,0,0)</f>
        <v>0</v>
      </c>
      <c r="CG134">
        <f>_xlfn.XLOOKUP(B134,'[8]october-2025'!$A:$A,'[8]october-2025'!$G:$G,0,0)</f>
        <v>500</v>
      </c>
      <c r="CH134">
        <f>IF(CC134&gt;0,SUM(CC134:CG134),0)</f>
        <v>39240</v>
      </c>
      <c r="CI134">
        <f>_xlfn.XLOOKUP(B134,'[8]october-2025'!$A:$A,'[8]october-2025'!$H:$H,0,0)</f>
        <v>2000</v>
      </c>
      <c r="CJ134">
        <f>_xlfn.XLOOKUP(B134,'[8]october-2025'!$A:$A,'[8]october-2025'!$I:$I,0,0)</f>
        <v>0</v>
      </c>
      <c r="CK134">
        <f>IF($F134="YES",0,IF(CH134&gt;40000,200,IF(CH134&gt;25000,150,IF(CH134&gt;15000,130,IF(CH134&gt;10000,110,0)))))</f>
        <v>150</v>
      </c>
      <c r="CL134">
        <f>CH134-CI134-CJ134-CK134</f>
        <v>37090</v>
      </c>
      <c r="CM134">
        <f>_xlfn.XLOOKUP(B134,'[9]november-2025'!$A:$A,'[9]november-2025'!$C:$C,0,0)</f>
        <v>29800</v>
      </c>
      <c r="CN134">
        <f>CM134*0.18</f>
        <v>5364</v>
      </c>
      <c r="CO134">
        <f>CM134*0.12</f>
        <v>3576</v>
      </c>
      <c r="CP134">
        <f>_xlfn.XLOOKUP(B134,'[9]november-2025'!$A:$A,'[9]november-2025'!$D:$D,0,0)</f>
        <v>0</v>
      </c>
      <c r="CQ134">
        <f>_xlfn.XLOOKUP(B134,'[9]november-2025'!$A:$A,'[9]november-2025'!$G:$G,0,0)</f>
        <v>500</v>
      </c>
      <c r="CR134">
        <f>IF(CM134&gt;0,SUM(CM134:CQ134),0)</f>
        <v>39240</v>
      </c>
      <c r="CS134">
        <f>_xlfn.XLOOKUP(B134,'[9]november-2025'!$A:$A,'[9]november-2025'!$H:$H,0,0)</f>
        <v>2000</v>
      </c>
      <c r="CT134">
        <f>_xlfn.XLOOKUP(B134,'[9]november-2025'!$A:$A,'[9]november-2025'!$I:$I,0,0)</f>
        <v>0</v>
      </c>
      <c r="CU134">
        <f>IF($F134="YES",0,IF(CR134&gt;40000,200,IF(CR134&gt;25000,150,IF(CR134&gt;15000,130,IF(CR134&gt;10000,110,0)))))</f>
        <v>150</v>
      </c>
      <c r="CV134">
        <f>CR134-CS134-CT134-CU134</f>
        <v>37090</v>
      </c>
      <c r="CW134">
        <f>_xlfn.XLOOKUP(B134,'[10]december-2025'!$A:$A,'[10]december-2025'!$C:$C,0,0)</f>
        <v>29800</v>
      </c>
      <c r="CX134">
        <f>ROUND(CW134*0.18,0)</f>
        <v>5364</v>
      </c>
      <c r="CY134">
        <f>ROUND(CW134*0.12,0)</f>
        <v>3576</v>
      </c>
      <c r="CZ134">
        <f>_xlfn.XLOOKUP(B134,'[10]december-2025'!$A:$A,'[10]december-2025'!$D:$D,0,0)</f>
        <v>0</v>
      </c>
      <c r="DA134">
        <f>_xlfn.XLOOKUP(B134,'[10]december-2025'!$A:$A,'[10]december-2025'!$G:$G,0,0)</f>
        <v>500</v>
      </c>
      <c r="DB134">
        <f>IF(CW134&gt;0,SUM(CW134:DA134),0)</f>
        <v>39240</v>
      </c>
      <c r="DC134">
        <f>_xlfn.XLOOKUP(B134,'[10]december-2025'!$A:$A,'[10]december-2025'!$H:$H,0,0)</f>
        <v>2000</v>
      </c>
      <c r="DD134">
        <f>_xlfn.XLOOKUP(B134,'[10]december-2025'!$A:$A,'[10]december-2025'!$I:$I,0,0)</f>
        <v>0</v>
      </c>
      <c r="DE134">
        <f>IF($F134="YES",0,IF(DB134&gt;40000,200,IF(DB134&gt;25000,150,IF(DB134&gt;15000,130,IF(DB134&gt;10000,110,0)))))</f>
        <v>150</v>
      </c>
      <c r="DF134">
        <f>DB134-DC134-DD134-DE134</f>
        <v>37090</v>
      </c>
      <c r="DG134">
        <f>_xlfn.XLOOKUP(B134,'[11]january-2026'!$A:$A,'[11]january-2026'!$C:$C,0,0)</f>
        <v>29800</v>
      </c>
      <c r="DH134">
        <f>DG134*0.18</f>
        <v>5364</v>
      </c>
      <c r="DI134">
        <f>DG134*0.12</f>
        <v>3576</v>
      </c>
      <c r="DJ134">
        <f>_xlfn.XLOOKUP(B134,'[11]january-2026'!$A:$A,'[11]january-2026'!$D:$D,0,0)</f>
        <v>0</v>
      </c>
      <c r="DK134">
        <f>_xlfn.XLOOKUP(B134,'[11]january-2026'!$A:$A,'[11]january-2026'!$G:$G,0,0)</f>
        <v>500</v>
      </c>
      <c r="DL134">
        <f>IF(DG134&gt;0,SUM(DG134:DK134),0)</f>
        <v>39240</v>
      </c>
      <c r="DM134">
        <f>_xlfn.XLOOKUP(B134,'[11]january-2026'!$A:$A,'[11]january-2026'!$H:$H,0,0)</f>
        <v>2000</v>
      </c>
      <c r="DN134">
        <f>_xlfn.XLOOKUP(B134,'[11]january-2026'!$A:$A,'[11]january-2026'!$I:$I,0,0)</f>
        <v>0</v>
      </c>
      <c r="DO134">
        <f>IF($F134="YES",0,IF(DL134&gt;40000,200,IF(DL134&gt;25000,150,IF(DL134&gt;15000,130,IF(DL134&gt;10000,110,0)))))</f>
        <v>150</v>
      </c>
      <c r="DP134">
        <f>DL134-DM134-DN134-DO134</f>
        <v>37090</v>
      </c>
      <c r="DQ134">
        <f>_xlfn.XLOOKUP(B134,'[12]february-2026'!$A:$A,'[12]february-2026'!$C:$C,0,0)</f>
        <v>29800</v>
      </c>
      <c r="DR134">
        <f>DQ134*0.18</f>
        <v>5364</v>
      </c>
      <c r="DS134">
        <f>DQ134*0.12</f>
        <v>3576</v>
      </c>
      <c r="DT134">
        <f>_xlfn.XLOOKUP(B134,'[12]february-2026'!$A:$A,'[12]february-2026'!$D:$D,0,0)</f>
        <v>0</v>
      </c>
      <c r="DU134">
        <f>_xlfn.XLOOKUP(B134,'[12]february-2026'!$A:$A,'[12]february-2026'!$G:$G,0,0)</f>
        <v>500</v>
      </c>
      <c r="DV134">
        <f>IF(DQ134&gt;0,SUM(DQ134:DU134),0)</f>
        <v>39240</v>
      </c>
      <c r="DW134">
        <f>_xlfn.XLOOKUP(B134,'[12]february-2026'!$A:$A,'[12]february-2026'!$H:$H,0,0)</f>
        <v>2000</v>
      </c>
      <c r="DX134">
        <f>_xlfn.XLOOKUP(B134,'[12]february-2026'!$A:$A,'[12]february-2026'!$I:$I,0,0)</f>
        <v>0</v>
      </c>
      <c r="DY134">
        <f>IF($F134="YES",0,IF(DV134&gt;40000,200,IF(DV134&gt;25000,150,IF(DV134&gt;15000,130,IF(DV134&gt;10000,110,0)))))</f>
        <v>150</v>
      </c>
      <c r="DZ134">
        <f>DV134-DW134-DX134-DY134</f>
        <v>37090</v>
      </c>
      <c r="EA134">
        <f>DV134+DL134+DB134+CR134+CH134+BX134+BN134+BD134+AS134+AI134+Y134+O134+H134+I134</f>
        <v>471844</v>
      </c>
      <c r="EB134">
        <f>DY134+DO134+DE134+CU134+CK134+CA134+BQ134+BG134+AV134+AL134+AB134+R134</f>
        <v>1800</v>
      </c>
      <c r="EC134">
        <f>IF(EA134&gt;0,50000,0)</f>
        <v>50000</v>
      </c>
      <c r="ED134">
        <v>0</v>
      </c>
      <c r="EE134">
        <f>EA134-EB134-EC134</f>
        <v>420044</v>
      </c>
      <c r="EF134">
        <f>DW134+DM134+DC134+CS134+CI134+BY134+BO134+BE134+AT134+AJ134+Z134+P134</f>
        <v>24000</v>
      </c>
      <c r="EG134">
        <f>DX134+DN134+DD134+CT134+CJ134+BZ134+BP134+BF134+AU134+AK134+AA134+Q134</f>
        <v>0</v>
      </c>
      <c r="EH134">
        <v>0</v>
      </c>
      <c r="EI134">
        <v>0</v>
      </c>
      <c r="EJ134">
        <v>0</v>
      </c>
      <c r="EK134">
        <v>0</v>
      </c>
      <c r="EL134">
        <v>0</v>
      </c>
      <c r="EM134">
        <v>0</v>
      </c>
      <c r="EN134">
        <v>0</v>
      </c>
      <c r="EO134">
        <v>0</v>
      </c>
      <c r="EP134">
        <v>0</v>
      </c>
      <c r="EQ134">
        <v>0</v>
      </c>
      <c r="ER134">
        <f>SUM(EF134:EQ134)</f>
        <v>24000</v>
      </c>
      <c r="ES134">
        <f>IF(ER134&gt;=150000,150000,ER134)</f>
        <v>24000</v>
      </c>
      <c r="ET134">
        <f>EE134-ES134</f>
        <v>396044</v>
      </c>
      <c r="EU134">
        <v>0</v>
      </c>
      <c r="EV134">
        <v>0</v>
      </c>
      <c r="EW134">
        <v>0</v>
      </c>
      <c r="EX134">
        <v>0</v>
      </c>
      <c r="EY134">
        <v>0</v>
      </c>
      <c r="EZ134">
        <v>0</v>
      </c>
      <c r="FA134">
        <v>0</v>
      </c>
      <c r="FB134">
        <f>SUM(EU134:FA134)+(IF(F134="YES",50000,0))</f>
        <v>0</v>
      </c>
      <c r="FC134">
        <f>ET134-FB134</f>
        <v>396044</v>
      </c>
      <c r="FD134">
        <f>ROUND(IF(FC134&gt;0,IF(FC134&gt;500000,12500,(FC134-250000)*0.05),0),0)</f>
        <v>7302</v>
      </c>
      <c r="FE134">
        <f>IF(ROUND(IF(FC134&gt;0,IF(FC134&gt;1000000,25000,(FC134-500000)*0.2),0),0)&lt;0,0,ROUND(IF(FC134&gt;0,IF(FC134&gt;1000000,25000,(FC134-500000)*0.2),0),0))</f>
        <v>0</v>
      </c>
      <c r="FF134">
        <f>FD134+FE134</f>
        <v>7302</v>
      </c>
      <c r="FG134">
        <f>IF(FF134&lt;12500,0,FF134)</f>
        <v>0</v>
      </c>
      <c r="FH134">
        <f>FG134*0.04</f>
        <v>0</v>
      </c>
      <c r="FI134">
        <f>ROUND(FH134+FG134,0)</f>
        <v>0</v>
      </c>
      <c r="FJ134">
        <v>0</v>
      </c>
      <c r="FK134">
        <f>FI134-FJ134</f>
        <v>0</v>
      </c>
      <c r="FL134" t="b">
        <f>IF(EA134&gt;500000,TRUE,FALSE)</f>
        <v>0</v>
      </c>
      <c r="FM134">
        <f ca="1">IF(FL134,RANDBETWEEN(500,1000),RANDBETWEEN(1000,3000))</f>
        <v>1912</v>
      </c>
      <c r="FN134">
        <f ca="1">EA134+FM134</f>
        <v>473756</v>
      </c>
      <c r="FO134">
        <f>IF(EA134&gt;0,75000,0)</f>
        <v>75000</v>
      </c>
      <c r="FP134">
        <f ca="1">FN134-FO134</f>
        <v>398756</v>
      </c>
      <c r="FQ134">
        <f ca="1">IF(FP134&gt;2400000,FP134-2400000,0)</f>
        <v>0</v>
      </c>
      <c r="FR134">
        <f ca="1">FQ134*0.3</f>
        <v>0</v>
      </c>
      <c r="FS134">
        <f ca="1">IF(FP134&gt;2000000,FP134-2000000,0)</f>
        <v>0</v>
      </c>
      <c r="FT134">
        <f ca="1">FS134*0.25</f>
        <v>0</v>
      </c>
      <c r="FU134">
        <f ca="1">IF(FP134&gt;1600000,FP134-1600000-FQ134,0)</f>
        <v>0</v>
      </c>
      <c r="FV134">
        <f ca="1">FU134*0.2</f>
        <v>0</v>
      </c>
      <c r="FW134">
        <f ca="1">IF(FP134&gt;1200000,FP134-1200000-IF(F134="YES",50000,0)-FU134,0)</f>
        <v>0</v>
      </c>
      <c r="FX134">
        <f ca="1">FW134*0.15</f>
        <v>0</v>
      </c>
      <c r="FY134">
        <f ca="1">IF(FP134&gt;800000,FP134-800000-FQ134-FU134-FW134,0)</f>
        <v>0</v>
      </c>
      <c r="FZ134">
        <f ca="1">FY134*0.1</f>
        <v>0</v>
      </c>
      <c r="GA134">
        <f ca="1">IF(FP134&gt;400000,FP134-400000-FQ134-FU134-FW134-FY134,0)</f>
        <v>0</v>
      </c>
      <c r="GB134">
        <f ca="1">GA134*0.05</f>
        <v>0</v>
      </c>
      <c r="GC134">
        <f ca="1">ROUND(FR134+FT134+FV134+FX134+FZ134+GB134,0)</f>
        <v>0</v>
      </c>
      <c r="GD134">
        <f ca="1">IF(FP134&gt;1200000,FP134,0)</f>
        <v>0</v>
      </c>
      <c r="GE134">
        <f ca="1">IF(FP134&gt;1200000,GD134-1200000,0)</f>
        <v>0</v>
      </c>
      <c r="GF134">
        <f ca="1">IF(FP134&lt;1200001,MIN(GC134,60000),0)</f>
        <v>0</v>
      </c>
      <c r="GG134">
        <f ca="1">IF(FP134&gt;1200000,GC134-GE134,0)</f>
        <v>0</v>
      </c>
      <c r="GH134" t="b">
        <f ca="1">IF(GG134&gt;0,TRUE,FALSE)</f>
        <v>0</v>
      </c>
      <c r="GI134">
        <f ca="1">IF(GH134,GG134,0)</f>
        <v>0</v>
      </c>
      <c r="GJ134">
        <f ca="1">GF134+GI134</f>
        <v>0</v>
      </c>
      <c r="GK134">
        <f ca="1">ROUND(GC134-GJ134,0)</f>
        <v>0</v>
      </c>
      <c r="GL134">
        <f ca="1">GK134*0.04</f>
        <v>0</v>
      </c>
      <c r="GM134">
        <f ca="1">ROUNDUP(GK134+GL134,0)</f>
        <v>0</v>
      </c>
    </row>
    <row r="135" spans="1:195" x14ac:dyDescent="0.25">
      <c r="A135">
        <f>_xlfn.AGGREGATE(3,5,$B$2:B135)</f>
        <v>134</v>
      </c>
      <c r="B135" t="s">
        <v>867</v>
      </c>
      <c r="C135" t="s">
        <v>868</v>
      </c>
      <c r="D135" t="s">
        <v>789</v>
      </c>
      <c r="E135" t="s">
        <v>833</v>
      </c>
      <c r="F135" t="s">
        <v>961</v>
      </c>
      <c r="G135" t="s">
        <v>929</v>
      </c>
      <c r="H135">
        <f>IF(_xlfn.DAYS("31-03-2025",G135)&gt;=180,6800,0)</f>
        <v>0</v>
      </c>
      <c r="I135">
        <f>_xlfn.XLOOKUP(B135,'[1]march-2025'!$A:$A,'[1]march-2025'!$J:$J,0,0)</f>
        <v>0</v>
      </c>
      <c r="J135">
        <f>_xlfn.XLOOKUP(B135,'[1]march-2025'!$A:$A,'[1]march-2025'!$C:$C,0,0)</f>
        <v>0</v>
      </c>
      <c r="K135">
        <f>J135*0.14</f>
        <v>0</v>
      </c>
      <c r="L135">
        <f>J135*0.12</f>
        <v>0</v>
      </c>
      <c r="M135">
        <f>_xlfn.XLOOKUP(B135,'[1]march-2025'!$A:$A,'[1]march-2025'!$D:$D,0,0)</f>
        <v>0</v>
      </c>
      <c r="N135">
        <f>_xlfn.XLOOKUP(B135,'[1]march-2025'!$A:$A,'[1]march-2025'!$G:$G,0,0)</f>
        <v>0</v>
      </c>
      <c r="O135">
        <f>IF(J135&gt;0,SUM(J135:N135),0)</f>
        <v>0</v>
      </c>
      <c r="P135">
        <f>_xlfn.XLOOKUP(B135,'[1]march-2025'!$A:$A,'[1]march-2025'!$H:$H,0,0)</f>
        <v>0</v>
      </c>
      <c r="Q135">
        <f>_xlfn.XLOOKUP(B135,'[1]march-2025'!$A:$A,'[1]march-2025'!$I:$I,0,0)</f>
        <v>0</v>
      </c>
      <c r="R135">
        <f>IF($F135="YES",0,IF(O135&gt;40000,200,IF(O135&gt;25000,150,IF(O135&gt;15000,130,IF(O135&gt;10000,110,0)))))</f>
        <v>0</v>
      </c>
      <c r="S135">
        <f>O135-P135-Q135-R135</f>
        <v>0</v>
      </c>
      <c r="T135">
        <f>_xlfn.XLOOKUP(B135,'[2]april-2025'!$A:$A,'[2]april-2025'!$C:$C,0,0)</f>
        <v>0</v>
      </c>
      <c r="U135">
        <f>T135*0.18</f>
        <v>0</v>
      </c>
      <c r="V135">
        <f>T135*0.12</f>
        <v>0</v>
      </c>
      <c r="W135">
        <f>_xlfn.XLOOKUP(B135,'[2]april-2025'!$A:$A,'[2]april-2025'!$D:$D,0,0)</f>
        <v>0</v>
      </c>
      <c r="X135">
        <f>_xlfn.XLOOKUP(B135,'[2]april-2025'!$A:$A,'[2]april-2025'!$G:$G,0,0)</f>
        <v>0</v>
      </c>
      <c r="Y135">
        <f>IF(T135&gt;0,SUM(T135:X135),0)</f>
        <v>0</v>
      </c>
      <c r="Z135">
        <f>_xlfn.XLOOKUP(B135,'[2]april-2025'!$A:$A,'[2]april-2025'!$H:$H,0,0)</f>
        <v>0</v>
      </c>
      <c r="AA135">
        <f>_xlfn.XLOOKUP(B135,'[2]april-2025'!$A:$A,'[2]april-2025'!$I:$I,0,0)</f>
        <v>0</v>
      </c>
      <c r="AB135">
        <f>IF($F135="YES",0,IF(Y135&gt;40000,200,IF(Y135&gt;25000,150,IF(Y135&gt;15000,130,IF(Y135&gt;10000,110,0)))))</f>
        <v>0</v>
      </c>
      <c r="AC135">
        <f>Y135-Z135-AA135-AB135</f>
        <v>0</v>
      </c>
      <c r="AD135">
        <f>_xlfn.XLOOKUP(B135,'[3]may-2025'!$A:$A,'[3]may-2025'!$C:$C,0,0)</f>
        <v>24700</v>
      </c>
      <c r="AE135">
        <f>AD135*0.18</f>
        <v>4446</v>
      </c>
      <c r="AF135">
        <f>AD135*0.12</f>
        <v>2964</v>
      </c>
      <c r="AG135">
        <f>_xlfn.XLOOKUP(B135,'[3]may-2025'!$A:$A,'[3]may-2025'!$D:$D,0,0)</f>
        <v>0</v>
      </c>
      <c r="AH135">
        <f>_xlfn.XLOOKUP(B135,'[3]may-2025'!$A:$A,'[3]may-2025'!$G:$G,0,0)</f>
        <v>500</v>
      </c>
      <c r="AI135">
        <f>IF(AD135&gt;0,SUM(AD135:AH135),0)</f>
        <v>32610</v>
      </c>
      <c r="AJ135">
        <f>_xlfn.XLOOKUP(B135,'[3]may-2025'!$A:$A,'[3]may-2025'!$H:$H,0,0)</f>
        <v>0</v>
      </c>
      <c r="AK135">
        <f>_xlfn.XLOOKUP(B135,'[3]may-2025'!$A:$A,'[3]may-2025'!$I:$I,0,0)</f>
        <v>0</v>
      </c>
      <c r="AL135">
        <f>IF($F135="YES",0,IF(AI135&gt;40000,200,IF(AI135&gt;25000,150,IF(AI135&gt;15000,130,IF(AI135&gt;10000,110,0)))))</f>
        <v>150</v>
      </c>
      <c r="AM135">
        <f>AI135-AJ135-AK135-AL135</f>
        <v>32460</v>
      </c>
      <c r="AN135">
        <f>_xlfn.XLOOKUP(B135,'[4]june-2025'!$A:$A,'[4]june-2025'!$C:$C,0,0)</f>
        <v>24700</v>
      </c>
      <c r="AO135">
        <f>AN135*0.18</f>
        <v>4446</v>
      </c>
      <c r="AP135">
        <f>AN135*0.12</f>
        <v>2964</v>
      </c>
      <c r="AQ135">
        <f>_xlfn.XLOOKUP(B135,'[4]june-2025'!$A:$A,'[4]june-2025'!$D:$D,0,0)</f>
        <v>0</v>
      </c>
      <c r="AR135">
        <f>_xlfn.XLOOKUP(B135,'[4]june-2025'!$A:$A,'[4]june-2025'!$G:$G,0,0)</f>
        <v>500</v>
      </c>
      <c r="AS135">
        <f>IF(AN135&gt;0,SUM(AN135:AR135),0)</f>
        <v>32610</v>
      </c>
      <c r="AT135">
        <f>_xlfn.XLOOKUP(B135,'[4]june-2025'!$A:$A,'[4]june-2025'!$H:$H,0,0)</f>
        <v>0</v>
      </c>
      <c r="AU135">
        <f>_xlfn.XLOOKUP(B135,'[4]june-2025'!$A:$A,'[4]june-2025'!$I:$I,0,0)</f>
        <v>0</v>
      </c>
      <c r="AV135">
        <f>IF($F135="YES",0,IF(AS135&gt;40000,200,IF(AS135&gt;25000,150,IF(AS135&gt;15000,130,IF(AS135&gt;10000,110,0)))))</f>
        <v>150</v>
      </c>
      <c r="AW135">
        <f>AS135-AT135-AU135-AV135</f>
        <v>32460</v>
      </c>
      <c r="AX135">
        <f>_xlfn.XLOOKUP(B135,'[5]july-2025'!$A:$A,'[5]july-2025'!$C:$C,0,0)</f>
        <v>24700</v>
      </c>
      <c r="AY135">
        <f>AX135*0.18</f>
        <v>4446</v>
      </c>
      <c r="AZ135">
        <v>0</v>
      </c>
      <c r="BA135">
        <f>AX135*0.12</f>
        <v>2964</v>
      </c>
      <c r="BB135">
        <f>_xlfn.XLOOKUP(B135,'[5]july-2025'!$A:$A,'[5]july-2025'!$D:$D,0,0)</f>
        <v>0</v>
      </c>
      <c r="BC135">
        <f>_xlfn.XLOOKUP(B135,'[5]july-2025'!$A:$A,'[5]july-2025'!$G:$G,0,0)</f>
        <v>500</v>
      </c>
      <c r="BD135">
        <f>IF(AX135&gt;0,SUM(AX135:BC135),0)</f>
        <v>32610</v>
      </c>
      <c r="BE135">
        <f>_xlfn.XLOOKUP(B135,'[5]july-2025'!$A:$A,'[5]july-2025'!$H:$H,0,0)</f>
        <v>0</v>
      </c>
      <c r="BF135">
        <f>_xlfn.XLOOKUP(B135,'[5]july-2025'!$A:$A,'[5]july-2025'!$I:$I,0,0)</f>
        <v>0</v>
      </c>
      <c r="BG135">
        <f>IF($F135="YES",0,IF(BD135&gt;40000,200,IF(BD135&gt;25000,150,IF(BD135&gt;15000,130,IF(BD135&gt;10000,110,0)))))</f>
        <v>150</v>
      </c>
      <c r="BH135">
        <f>BD135-BE135-BF135-BG135</f>
        <v>32460</v>
      </c>
      <c r="BI135">
        <f>_xlfn.XLOOKUP(B135,'[6]august-2025'!$A:$A,'[6]august-2025'!$C:$C,0,0)</f>
        <v>24700</v>
      </c>
      <c r="BJ135">
        <f>BI135*0.18</f>
        <v>4446</v>
      </c>
      <c r="BK135">
        <f>BI135*0.12</f>
        <v>2964</v>
      </c>
      <c r="BL135">
        <f>_xlfn.XLOOKUP(B135,'[6]august-2025'!$A:$A,'[6]august-2025'!$D:$D,0,0)</f>
        <v>0</v>
      </c>
      <c r="BM135">
        <f>_xlfn.XLOOKUP(B135,'[6]august-2025'!$A:$A,'[6]august-2025'!$G:$G,0,0)</f>
        <v>500</v>
      </c>
      <c r="BN135">
        <f>IF(BI135&gt;0,SUM(BI135:BM135),0)</f>
        <v>32610</v>
      </c>
      <c r="BO135">
        <f>_xlfn.XLOOKUP(B135,'[6]august-2025'!$A:$A,'[6]august-2025'!$H:$H,0,0)</f>
        <v>0</v>
      </c>
      <c r="BP135">
        <f>_xlfn.XLOOKUP(B135,'[6]august-2025'!$A:$A,'[6]august-2025'!$I:$I,0,0)</f>
        <v>0</v>
      </c>
      <c r="BQ135">
        <f>IF($F135="YES",0,IF(BN135&gt;40000,200,IF(BN135&gt;25000,150,IF(BN135&gt;15000,130,IF(BN135&gt;10000,110,0)))))</f>
        <v>150</v>
      </c>
      <c r="BR135">
        <f>BN135-BO135-BP135-BQ135</f>
        <v>32460</v>
      </c>
      <c r="BS135">
        <f>_xlfn.XLOOKUP(B135,'[7]september-2025'!$A:$A,'[7]september-2025'!$C:$C,0,0)</f>
        <v>24700</v>
      </c>
      <c r="BT135">
        <f>BS135*0.18</f>
        <v>4446</v>
      </c>
      <c r="BU135">
        <f>BS135*0.12</f>
        <v>2964</v>
      </c>
      <c r="BV135">
        <f>_xlfn.XLOOKUP(B135,'[7]september-2025'!$A:$A,'[7]september-2025'!$D:$D,0,0)</f>
        <v>0</v>
      </c>
      <c r="BW135">
        <f>_xlfn.XLOOKUP(B135,'[7]september-2025'!$A:$A,'[7]september-2025'!$G:$G,0,0)</f>
        <v>500</v>
      </c>
      <c r="BX135">
        <f>IF(BS135&gt;0,SUM(BS135:BW135),0)</f>
        <v>32610</v>
      </c>
      <c r="BY135">
        <f>_xlfn.XLOOKUP(B135,'[7]september-2025'!$A:$A,'[7]september-2025'!$H:$H,0,0)</f>
        <v>0</v>
      </c>
      <c r="BZ135">
        <f>_xlfn.XLOOKUP(B135,'[7]september-2025'!$A:$A,'[7]september-2025'!$I:$I,0,0)</f>
        <v>0</v>
      </c>
      <c r="CA135">
        <f>IF($F135="YES",0,IF(BX135&gt;40000,200,IF(BX135&gt;25000,150,IF(BX135&gt;15000,130,IF(BX135&gt;10000,110,0)))))</f>
        <v>150</v>
      </c>
      <c r="CB135">
        <f>BX135-BY135-BZ135-CA135</f>
        <v>32460</v>
      </c>
      <c r="CC135">
        <f>_xlfn.XLOOKUP(B135,'[8]october-2025'!$A:$A,'[8]october-2025'!$C:$C,0,0)</f>
        <v>24700</v>
      </c>
      <c r="CD135">
        <f>CC135*0.18</f>
        <v>4446</v>
      </c>
      <c r="CE135">
        <f>CC135*0.12</f>
        <v>2964</v>
      </c>
      <c r="CF135">
        <f>_xlfn.XLOOKUP(B135,'[8]october-2025'!$A:$A,'[8]october-2025'!$D:$D,0,0)</f>
        <v>0</v>
      </c>
      <c r="CG135">
        <f>_xlfn.XLOOKUP(B135,'[8]october-2025'!$A:$A,'[8]october-2025'!$G:$G,0,0)</f>
        <v>500</v>
      </c>
      <c r="CH135">
        <f>IF(CC135&gt;0,SUM(CC135:CG135),0)</f>
        <v>32610</v>
      </c>
      <c r="CI135">
        <f>_xlfn.XLOOKUP(B135,'[8]october-2025'!$A:$A,'[8]october-2025'!$H:$H,0,0)</f>
        <v>0</v>
      </c>
      <c r="CJ135">
        <f>_xlfn.XLOOKUP(B135,'[8]october-2025'!$A:$A,'[8]october-2025'!$I:$I,0,0)</f>
        <v>0</v>
      </c>
      <c r="CK135">
        <f>IF($F135="YES",0,IF(CH135&gt;40000,200,IF(CH135&gt;25000,150,IF(CH135&gt;15000,130,IF(CH135&gt;10000,110,0)))))</f>
        <v>150</v>
      </c>
      <c r="CL135">
        <f>CH135-CI135-CJ135-CK135</f>
        <v>32460</v>
      </c>
      <c r="CM135">
        <f>_xlfn.XLOOKUP(B135,'[9]november-2025'!$A:$A,'[9]november-2025'!$C:$C,0,0)</f>
        <v>24700</v>
      </c>
      <c r="CN135">
        <f>CM135*0.18</f>
        <v>4446</v>
      </c>
      <c r="CO135">
        <f>CM135*0.12</f>
        <v>2964</v>
      </c>
      <c r="CP135">
        <f>_xlfn.XLOOKUP(B135,'[9]november-2025'!$A:$A,'[9]november-2025'!$D:$D,0,0)</f>
        <v>0</v>
      </c>
      <c r="CQ135">
        <f>_xlfn.XLOOKUP(B135,'[9]november-2025'!$A:$A,'[9]november-2025'!$G:$G,0,0)</f>
        <v>500</v>
      </c>
      <c r="CR135">
        <f>IF(CM135&gt;0,SUM(CM135:CQ135),0)</f>
        <v>32610</v>
      </c>
      <c r="CS135">
        <f>_xlfn.XLOOKUP(B135,'[9]november-2025'!$A:$A,'[9]november-2025'!$H:$H,0,0)</f>
        <v>0</v>
      </c>
      <c r="CT135">
        <f>_xlfn.XLOOKUP(B135,'[9]november-2025'!$A:$A,'[9]november-2025'!$I:$I,0,0)</f>
        <v>0</v>
      </c>
      <c r="CU135">
        <f>IF($F135="YES",0,IF(CR135&gt;40000,200,IF(CR135&gt;25000,150,IF(CR135&gt;15000,130,IF(CR135&gt;10000,110,0)))))</f>
        <v>150</v>
      </c>
      <c r="CV135">
        <f>CR135-CS135-CT135-CU135</f>
        <v>32460</v>
      </c>
      <c r="CW135">
        <f>_xlfn.XLOOKUP(B135,'[10]december-2025'!$A:$A,'[10]december-2025'!$C:$C,0,0)</f>
        <v>24700</v>
      </c>
      <c r="CX135">
        <f>ROUND(CW135*0.18,0)</f>
        <v>4446</v>
      </c>
      <c r="CY135">
        <f>ROUND(CW135*0.12,0)</f>
        <v>2964</v>
      </c>
      <c r="CZ135">
        <f>_xlfn.XLOOKUP(B135,'[10]december-2025'!$A:$A,'[10]december-2025'!$D:$D,0,0)</f>
        <v>0</v>
      </c>
      <c r="DA135">
        <f>_xlfn.XLOOKUP(B135,'[10]december-2025'!$A:$A,'[10]december-2025'!$G:$G,0,0)</f>
        <v>500</v>
      </c>
      <c r="DB135">
        <f>IF(CW135&gt;0,SUM(CW135:DA135),0)</f>
        <v>32610</v>
      </c>
      <c r="DC135">
        <f>_xlfn.XLOOKUP(B135,'[10]december-2025'!$A:$A,'[10]december-2025'!$H:$H,0,0)</f>
        <v>0</v>
      </c>
      <c r="DD135">
        <f>_xlfn.XLOOKUP(B135,'[10]december-2025'!$A:$A,'[10]december-2025'!$I:$I,0,0)</f>
        <v>0</v>
      </c>
      <c r="DE135">
        <f>IF($F135="YES",0,IF(DB135&gt;40000,200,IF(DB135&gt;25000,150,IF(DB135&gt;15000,130,IF(DB135&gt;10000,110,0)))))</f>
        <v>150</v>
      </c>
      <c r="DF135">
        <f>DB135-DC135-DD135-DE135</f>
        <v>32460</v>
      </c>
      <c r="DG135">
        <f>_xlfn.XLOOKUP(B135,'[11]january-2026'!$A:$A,'[11]january-2026'!$C:$C,0,0)</f>
        <v>24700</v>
      </c>
      <c r="DH135">
        <f>DG135*0.18</f>
        <v>4446</v>
      </c>
      <c r="DI135">
        <f>DG135*0.12</f>
        <v>2964</v>
      </c>
      <c r="DJ135">
        <f>_xlfn.XLOOKUP(B135,'[11]january-2026'!$A:$A,'[11]january-2026'!$D:$D,0,0)</f>
        <v>0</v>
      </c>
      <c r="DK135">
        <f>_xlfn.XLOOKUP(B135,'[11]january-2026'!$A:$A,'[11]january-2026'!$G:$G,0,0)</f>
        <v>500</v>
      </c>
      <c r="DL135">
        <f>IF(DG135&gt;0,SUM(DG135:DK135),0)</f>
        <v>32610</v>
      </c>
      <c r="DM135">
        <f>_xlfn.XLOOKUP(B135,'[11]january-2026'!$A:$A,'[11]january-2026'!$H:$H,0,0)</f>
        <v>2000</v>
      </c>
      <c r="DN135">
        <f>_xlfn.XLOOKUP(B135,'[11]january-2026'!$A:$A,'[11]january-2026'!$I:$I,0,0)</f>
        <v>0</v>
      </c>
      <c r="DO135">
        <f>IF($F135="YES",0,IF(DL135&gt;40000,200,IF(DL135&gt;25000,150,IF(DL135&gt;15000,130,IF(DL135&gt;10000,110,0)))))</f>
        <v>150</v>
      </c>
      <c r="DP135">
        <f>DL135-DM135-DN135-DO135</f>
        <v>30460</v>
      </c>
      <c r="DQ135">
        <f>_xlfn.XLOOKUP(B135,'[12]february-2026'!$A:$A,'[12]february-2026'!$C:$C,0,0)</f>
        <v>24700</v>
      </c>
      <c r="DR135">
        <f>DQ135*0.18</f>
        <v>4446</v>
      </c>
      <c r="DS135">
        <f>DQ135*0.12</f>
        <v>2964</v>
      </c>
      <c r="DT135">
        <f>_xlfn.XLOOKUP(B135,'[12]february-2026'!$A:$A,'[12]february-2026'!$D:$D,0,0)</f>
        <v>0</v>
      </c>
      <c r="DU135">
        <f>_xlfn.XLOOKUP(B135,'[12]february-2026'!$A:$A,'[12]february-2026'!$G:$G,0,0)</f>
        <v>500</v>
      </c>
      <c r="DV135">
        <f>IF(DQ135&gt;0,SUM(DQ135:DU135),0)</f>
        <v>32610</v>
      </c>
      <c r="DW135">
        <f>_xlfn.XLOOKUP(B135,'[12]february-2026'!$A:$A,'[12]february-2026'!$H:$H,0,0)</f>
        <v>2000</v>
      </c>
      <c r="DX135">
        <f>_xlfn.XLOOKUP(B135,'[12]february-2026'!$A:$A,'[12]february-2026'!$I:$I,0,0)</f>
        <v>0</v>
      </c>
      <c r="DY135">
        <f>IF($F135="YES",0,IF(DV135&gt;40000,200,IF(DV135&gt;25000,150,IF(DV135&gt;15000,130,IF(DV135&gt;10000,110,0)))))</f>
        <v>150</v>
      </c>
      <c r="DZ135">
        <f>DV135-DW135-DX135-DY135</f>
        <v>30460</v>
      </c>
      <c r="EA135">
        <f>DV135+DL135+DB135+CR135+CH135+BX135+BN135+BD135+AS135+AI135+Y135+O135+H135+I135</f>
        <v>326100</v>
      </c>
      <c r="EB135">
        <f>DY135+DO135+DE135+CU135+CK135+CA135+BQ135+BG135+AV135+AL135+AB135+R135</f>
        <v>1500</v>
      </c>
      <c r="EC135">
        <f>IF(EA135&gt;0,50000,0)</f>
        <v>50000</v>
      </c>
      <c r="ED135">
        <v>0</v>
      </c>
      <c r="EE135">
        <f>EA135-EB135-EC135</f>
        <v>274600</v>
      </c>
      <c r="EF135">
        <f>DW135+DM135+DC135+CS135+CI135+BY135+BO135+BE135+AT135+AJ135+Z135+P135</f>
        <v>4000</v>
      </c>
      <c r="EG135">
        <f>DX135+DN135+DD135+CT135+CJ135+BZ135+BP135+BF135+AU135+AK135+AA135+Q135</f>
        <v>0</v>
      </c>
      <c r="EH135">
        <v>0</v>
      </c>
      <c r="EI135">
        <v>0</v>
      </c>
      <c r="EJ135">
        <v>0</v>
      </c>
      <c r="EK135">
        <v>0</v>
      </c>
      <c r="EL135">
        <v>0</v>
      </c>
      <c r="EM135">
        <v>0</v>
      </c>
      <c r="EN135">
        <v>0</v>
      </c>
      <c r="EO135">
        <v>0</v>
      </c>
      <c r="EP135">
        <v>0</v>
      </c>
      <c r="EQ135">
        <v>0</v>
      </c>
      <c r="ER135">
        <f>SUM(EF135:EQ135)</f>
        <v>4000</v>
      </c>
      <c r="ES135">
        <f>IF(ER135&gt;=150000,150000,ER135)</f>
        <v>4000</v>
      </c>
      <c r="ET135">
        <f>EE135-ES135</f>
        <v>270600</v>
      </c>
      <c r="EU135">
        <v>0</v>
      </c>
      <c r="EV135">
        <v>0</v>
      </c>
      <c r="EW135">
        <v>0</v>
      </c>
      <c r="EX135">
        <v>0</v>
      </c>
      <c r="EY135">
        <v>0</v>
      </c>
      <c r="EZ135">
        <v>0</v>
      </c>
      <c r="FA135">
        <v>0</v>
      </c>
      <c r="FB135">
        <f>SUM(EU135:FA135)+(IF(F135="YES",50000,0))</f>
        <v>0</v>
      </c>
      <c r="FC135">
        <f>ET135-FB135</f>
        <v>270600</v>
      </c>
      <c r="FD135">
        <f>ROUND(IF(FC135&gt;0,IF(FC135&gt;500000,12500,(FC135-250000)*0.05),0),0)</f>
        <v>1030</v>
      </c>
      <c r="FE135">
        <f>IF(ROUND(IF(FC135&gt;0,IF(FC135&gt;1000000,25000,(FC135-500000)*0.2),0),0)&lt;0,0,ROUND(IF(FC135&gt;0,IF(FC135&gt;1000000,25000,(FC135-500000)*0.2),0),0))</f>
        <v>0</v>
      </c>
      <c r="FF135">
        <f>FD135+FE135</f>
        <v>1030</v>
      </c>
      <c r="FG135">
        <f>IF(FF135&lt;12500,0,FF135)</f>
        <v>0</v>
      </c>
      <c r="FH135">
        <f>FG135*0.04</f>
        <v>0</v>
      </c>
      <c r="FI135">
        <f>ROUND(FH135+FG135,0)</f>
        <v>0</v>
      </c>
      <c r="FJ135">
        <v>0</v>
      </c>
      <c r="FK135">
        <f>FI135-FJ135</f>
        <v>0</v>
      </c>
      <c r="FL135" t="b">
        <f>IF(EA135&gt;500000,TRUE,FALSE)</f>
        <v>0</v>
      </c>
      <c r="FM135">
        <f ca="1">IF(FL135,RANDBETWEEN(500,1000),RANDBETWEEN(1000,3000))</f>
        <v>2519</v>
      </c>
      <c r="FN135">
        <f ca="1">EA135+FM135</f>
        <v>328619</v>
      </c>
      <c r="FO135">
        <f>IF(EA135&gt;0,75000,0)</f>
        <v>75000</v>
      </c>
      <c r="FP135">
        <f ca="1">FN135-FO135</f>
        <v>253619</v>
      </c>
      <c r="FQ135">
        <f ca="1">IF(FP135&gt;2400000,FP135-2400000,0)</f>
        <v>0</v>
      </c>
      <c r="FR135">
        <f ca="1">FQ135*0.3</f>
        <v>0</v>
      </c>
      <c r="FS135">
        <f ca="1">IF(FP135&gt;2000000,FP135-2000000,0)</f>
        <v>0</v>
      </c>
      <c r="FT135">
        <f ca="1">FS135*0.25</f>
        <v>0</v>
      </c>
      <c r="FU135">
        <f ca="1">IF(FP135&gt;1600000,FP135-1600000-FQ135,0)</f>
        <v>0</v>
      </c>
      <c r="FV135">
        <f ca="1">FU135*0.2</f>
        <v>0</v>
      </c>
      <c r="FW135">
        <f ca="1">IF(FP135&gt;1200000,FP135-1200000-IF(F135="YES",50000,0)-FU135,0)</f>
        <v>0</v>
      </c>
      <c r="FX135">
        <f ca="1">FW135*0.15</f>
        <v>0</v>
      </c>
      <c r="FY135">
        <f ca="1">IF(FP135&gt;800000,FP135-800000-FQ135-FU135-FW135,0)</f>
        <v>0</v>
      </c>
      <c r="FZ135">
        <f ca="1">FY135*0.1</f>
        <v>0</v>
      </c>
      <c r="GA135">
        <f ca="1">IF(FP135&gt;400000,FP135-400000-FQ135-FU135-FW135-FY135,0)</f>
        <v>0</v>
      </c>
      <c r="GB135">
        <f ca="1">GA135*0.05</f>
        <v>0</v>
      </c>
      <c r="GC135">
        <f ca="1">ROUND(FR135+FT135+FV135+FX135+FZ135+GB135,0)</f>
        <v>0</v>
      </c>
      <c r="GD135">
        <f ca="1">IF(FP135&gt;1200000,FP135,0)</f>
        <v>0</v>
      </c>
      <c r="GE135">
        <f ca="1">IF(FP135&gt;1200000,GD135-1200000,0)</f>
        <v>0</v>
      </c>
      <c r="GF135">
        <f ca="1">IF(FP135&lt;1200001,MIN(GC135,60000),0)</f>
        <v>0</v>
      </c>
      <c r="GG135">
        <f ca="1">IF(FP135&gt;1200000,GC135-GE135,0)</f>
        <v>0</v>
      </c>
      <c r="GH135" t="b">
        <f ca="1">IF(GG135&gt;0,TRUE,FALSE)</f>
        <v>0</v>
      </c>
      <c r="GI135">
        <f ca="1">IF(GH135,GG135,0)</f>
        <v>0</v>
      </c>
      <c r="GJ135">
        <f ca="1">GF135+GI135</f>
        <v>0</v>
      </c>
      <c r="GK135">
        <f ca="1">ROUND(GC135-GJ135,0)</f>
        <v>0</v>
      </c>
      <c r="GL135">
        <f ca="1">GK135*0.04</f>
        <v>0</v>
      </c>
      <c r="GM135">
        <f ca="1">ROUNDUP(GK135+GL135,0)</f>
        <v>0</v>
      </c>
    </row>
    <row r="136" spans="1:195" x14ac:dyDescent="0.25">
      <c r="A136">
        <f>_xlfn.AGGREGATE(3,5,$B$2:B136)</f>
        <v>135</v>
      </c>
      <c r="B136" t="s">
        <v>383</v>
      </c>
      <c r="C136" t="s">
        <v>384</v>
      </c>
      <c r="D136" t="s">
        <v>790</v>
      </c>
      <c r="E136" t="s">
        <v>833</v>
      </c>
      <c r="F136" t="s">
        <v>960</v>
      </c>
      <c r="G136" t="s">
        <v>882</v>
      </c>
      <c r="H136">
        <f>IF(_xlfn.DAYS("31-03-2025",G136)&gt;=180,6800,0)</f>
        <v>6800</v>
      </c>
      <c r="I136">
        <f>_xlfn.XLOOKUP(B136,'[1]march-2025'!$A:$A,'[1]march-2025'!$J:$J,0,0)</f>
        <v>0</v>
      </c>
      <c r="J136">
        <f>_xlfn.XLOOKUP(B136,'[1]march-2025'!$A:$A,'[1]march-2025'!$C:$C,0,0)</f>
        <v>47300</v>
      </c>
      <c r="K136">
        <f>J136*0.14</f>
        <v>6622.0000000000009</v>
      </c>
      <c r="L136">
        <f>J136*0.12</f>
        <v>5676</v>
      </c>
      <c r="M136">
        <f>_xlfn.XLOOKUP(B136,'[1]march-2025'!$A:$A,'[1]march-2025'!$D:$D,0,0)</f>
        <v>400</v>
      </c>
      <c r="N136">
        <f>_xlfn.XLOOKUP(B136,'[1]march-2025'!$A:$A,'[1]march-2025'!$G:$G,0,0)</f>
        <v>500</v>
      </c>
      <c r="O136">
        <f>IF(J136&gt;0,SUM(J136:N136),0)</f>
        <v>60498</v>
      </c>
      <c r="P136">
        <f>_xlfn.XLOOKUP(B136,'[1]march-2025'!$A:$A,'[1]march-2025'!$H:$H,0,0)</f>
        <v>5000</v>
      </c>
      <c r="Q136">
        <f>_xlfn.XLOOKUP(B136,'[1]march-2025'!$A:$A,'[1]march-2025'!$I:$I,0,0)</f>
        <v>60</v>
      </c>
      <c r="R136">
        <f>IF($F136="YES",0,IF(O136&gt;40000,200,IF(O136&gt;25000,150,IF(O136&gt;15000,130,IF(O136&gt;10000,110,0)))))</f>
        <v>0</v>
      </c>
      <c r="S136">
        <f>O136-P136-Q136-R136</f>
        <v>55438</v>
      </c>
      <c r="T136">
        <f>_xlfn.XLOOKUP(B136,'[2]april-2025'!$A:$A,'[2]april-2025'!$C:$C,0,0)</f>
        <v>47300</v>
      </c>
      <c r="U136">
        <f>T136*0.18</f>
        <v>8514</v>
      </c>
      <c r="V136">
        <f>T136*0.12</f>
        <v>5676</v>
      </c>
      <c r="W136">
        <f>_xlfn.XLOOKUP(B136,'[2]april-2025'!$A:$A,'[2]april-2025'!$D:$D,0,0)</f>
        <v>400</v>
      </c>
      <c r="X136">
        <f>_xlfn.XLOOKUP(B136,'[2]april-2025'!$A:$A,'[2]april-2025'!$G:$G,0,0)</f>
        <v>500</v>
      </c>
      <c r="Y136">
        <f>IF(T136&gt;0,SUM(T136:X136),0)</f>
        <v>62390</v>
      </c>
      <c r="Z136">
        <f>_xlfn.XLOOKUP(B136,'[2]april-2025'!$A:$A,'[2]april-2025'!$H:$H,0,0)</f>
        <v>5000</v>
      </c>
      <c r="AA136">
        <f>_xlfn.XLOOKUP(B136,'[2]april-2025'!$A:$A,'[2]april-2025'!$I:$I,0,0)</f>
        <v>60</v>
      </c>
      <c r="AB136">
        <f>IF($F136="YES",0,IF(Y136&gt;40000,200,IF(Y136&gt;25000,150,IF(Y136&gt;15000,130,IF(Y136&gt;10000,110,0)))))</f>
        <v>0</v>
      </c>
      <c r="AC136">
        <f>Y136-Z136-AA136-AB136</f>
        <v>57330</v>
      </c>
      <c r="AD136">
        <f>_xlfn.XLOOKUP(B136,'[3]may-2025'!$A:$A,'[3]may-2025'!$C:$C,0,0)</f>
        <v>47300</v>
      </c>
      <c r="AE136">
        <f>AD136*0.18</f>
        <v>8514</v>
      </c>
      <c r="AF136">
        <f>AD136*0.12</f>
        <v>5676</v>
      </c>
      <c r="AG136">
        <f>_xlfn.XLOOKUP(B136,'[3]may-2025'!$A:$A,'[3]may-2025'!$D:$D,0,0)</f>
        <v>400</v>
      </c>
      <c r="AH136">
        <f>_xlfn.XLOOKUP(B136,'[3]may-2025'!$A:$A,'[3]may-2025'!$G:$G,0,0)</f>
        <v>500</v>
      </c>
      <c r="AI136">
        <f>IF(AD136&gt;0,SUM(AD136:AH136),0)</f>
        <v>62390</v>
      </c>
      <c r="AJ136">
        <f>_xlfn.XLOOKUP(B136,'[3]may-2025'!$A:$A,'[3]may-2025'!$H:$H,0,0)</f>
        <v>5000</v>
      </c>
      <c r="AK136">
        <f>_xlfn.XLOOKUP(B136,'[3]may-2025'!$A:$A,'[3]may-2025'!$I:$I,0,0)</f>
        <v>60</v>
      </c>
      <c r="AL136">
        <f>IF($F136="YES",0,IF(AI136&gt;40000,200,IF(AI136&gt;25000,150,IF(AI136&gt;15000,130,IF(AI136&gt;10000,110,0)))))</f>
        <v>0</v>
      </c>
      <c r="AM136">
        <f>AI136-AJ136-AK136-AL136</f>
        <v>57330</v>
      </c>
      <c r="AN136">
        <f>_xlfn.XLOOKUP(B136,'[4]june-2025'!$A:$A,'[4]june-2025'!$C:$C,0,0)</f>
        <v>47300</v>
      </c>
      <c r="AO136">
        <f>AN136*0.18</f>
        <v>8514</v>
      </c>
      <c r="AP136">
        <f>AN136*0.12</f>
        <v>5676</v>
      </c>
      <c r="AQ136">
        <f>_xlfn.XLOOKUP(B136,'[4]june-2025'!$A:$A,'[4]june-2025'!$D:$D,0,0)</f>
        <v>400</v>
      </c>
      <c r="AR136">
        <f>_xlfn.XLOOKUP(B136,'[4]june-2025'!$A:$A,'[4]june-2025'!$G:$G,0,0)</f>
        <v>500</v>
      </c>
      <c r="AS136">
        <f>IF(AN136&gt;0,SUM(AN136:AR136),0)</f>
        <v>62390</v>
      </c>
      <c r="AT136">
        <f>_xlfn.XLOOKUP(B136,'[4]june-2025'!$A:$A,'[4]june-2025'!$H:$H,0,0)</f>
        <v>5000</v>
      </c>
      <c r="AU136">
        <f>_xlfn.XLOOKUP(B136,'[4]june-2025'!$A:$A,'[4]june-2025'!$I:$I,0,0)</f>
        <v>60</v>
      </c>
      <c r="AV136">
        <f>IF($F136="YES",0,IF(AS136&gt;40000,200,IF(AS136&gt;25000,150,IF(AS136&gt;15000,130,IF(AS136&gt;10000,110,0)))))</f>
        <v>0</v>
      </c>
      <c r="AW136">
        <f>AS136-AT136-AU136-AV136</f>
        <v>57330</v>
      </c>
      <c r="AX136">
        <f>_xlfn.XLOOKUP(B136,'[5]july-2025'!$A:$A,'[5]july-2025'!$C:$C,0,0)</f>
        <v>48700</v>
      </c>
      <c r="AY136">
        <f>AX136*0.18</f>
        <v>8766</v>
      </c>
      <c r="AZ136">
        <v>0</v>
      </c>
      <c r="BA136">
        <f>AX136*0.12</f>
        <v>5844</v>
      </c>
      <c r="BB136">
        <f>_xlfn.XLOOKUP(B136,'[5]july-2025'!$A:$A,'[5]july-2025'!$D:$D,0,0)</f>
        <v>400</v>
      </c>
      <c r="BC136">
        <f>_xlfn.XLOOKUP(B136,'[5]july-2025'!$A:$A,'[5]july-2025'!$G:$G,0,0)</f>
        <v>500</v>
      </c>
      <c r="BD136">
        <f>IF(AX136&gt;0,SUM(AX136:BC136),0)</f>
        <v>64210</v>
      </c>
      <c r="BE136">
        <f>_xlfn.XLOOKUP(B136,'[5]july-2025'!$A:$A,'[5]july-2025'!$H:$H,0,0)</f>
        <v>5000</v>
      </c>
      <c r="BF136">
        <f>_xlfn.XLOOKUP(B136,'[5]july-2025'!$A:$A,'[5]july-2025'!$I:$I,0,0)</f>
        <v>60</v>
      </c>
      <c r="BG136">
        <f>IF($F136="YES",0,IF(BD136&gt;40000,200,IF(BD136&gt;25000,150,IF(BD136&gt;15000,130,IF(BD136&gt;10000,110,0)))))</f>
        <v>0</v>
      </c>
      <c r="BH136">
        <f>BD136-BE136-BF136-BG136</f>
        <v>59150</v>
      </c>
      <c r="BI136">
        <f>_xlfn.XLOOKUP(B136,'[6]august-2025'!$A:$A,'[6]august-2025'!$C:$C,0,0)</f>
        <v>48700</v>
      </c>
      <c r="BJ136">
        <f>BI136*0.18</f>
        <v>8766</v>
      </c>
      <c r="BK136">
        <f>BI136*0.12</f>
        <v>5844</v>
      </c>
      <c r="BL136">
        <f>_xlfn.XLOOKUP(B136,'[6]august-2025'!$A:$A,'[6]august-2025'!$D:$D,0,0)</f>
        <v>400</v>
      </c>
      <c r="BM136">
        <f>_xlfn.XLOOKUP(B136,'[6]august-2025'!$A:$A,'[6]august-2025'!$G:$G,0,0)</f>
        <v>500</v>
      </c>
      <c r="BN136">
        <f>IF(BI136&gt;0,SUM(BI136:BM136),0)</f>
        <v>64210</v>
      </c>
      <c r="BO136">
        <f>_xlfn.XLOOKUP(B136,'[6]august-2025'!$A:$A,'[6]august-2025'!$H:$H,0,0)</f>
        <v>5000</v>
      </c>
      <c r="BP136">
        <f>_xlfn.XLOOKUP(B136,'[6]august-2025'!$A:$A,'[6]august-2025'!$I:$I,0,0)</f>
        <v>60</v>
      </c>
      <c r="BQ136">
        <f>IF($F136="YES",0,IF(BN136&gt;40000,200,IF(BN136&gt;25000,150,IF(BN136&gt;15000,130,IF(BN136&gt;10000,110,0)))))</f>
        <v>0</v>
      </c>
      <c r="BR136">
        <f>BN136-BO136-BP136-BQ136</f>
        <v>59150</v>
      </c>
      <c r="BS136">
        <f>_xlfn.XLOOKUP(B136,'[7]september-2025'!$A:$A,'[7]september-2025'!$C:$C,0,0)</f>
        <v>48700</v>
      </c>
      <c r="BT136">
        <f>BS136*0.18</f>
        <v>8766</v>
      </c>
      <c r="BU136">
        <f>BS136*0.12</f>
        <v>5844</v>
      </c>
      <c r="BV136">
        <f>_xlfn.XLOOKUP(B136,'[7]september-2025'!$A:$A,'[7]september-2025'!$D:$D,0,0)</f>
        <v>400</v>
      </c>
      <c r="BW136">
        <f>_xlfn.XLOOKUP(B136,'[7]september-2025'!$A:$A,'[7]september-2025'!$G:$G,0,0)</f>
        <v>500</v>
      </c>
      <c r="BX136">
        <f>IF(BS136&gt;0,SUM(BS136:BW136),0)</f>
        <v>64210</v>
      </c>
      <c r="BY136">
        <f>_xlfn.XLOOKUP(B136,'[7]september-2025'!$A:$A,'[7]september-2025'!$H:$H,0,0)</f>
        <v>5000</v>
      </c>
      <c r="BZ136">
        <f>_xlfn.XLOOKUP(B136,'[7]september-2025'!$A:$A,'[7]september-2025'!$I:$I,0,0)</f>
        <v>60</v>
      </c>
      <c r="CA136">
        <f>IF($F136="YES",0,IF(BX136&gt;40000,200,IF(BX136&gt;25000,150,IF(BX136&gt;15000,130,IF(BX136&gt;10000,110,0)))))</f>
        <v>0</v>
      </c>
      <c r="CB136">
        <f>BX136-BY136-BZ136-CA136</f>
        <v>59150</v>
      </c>
      <c r="CC136">
        <f>_xlfn.XLOOKUP(B136,'[8]october-2025'!$A:$A,'[8]october-2025'!$C:$C,0,0)</f>
        <v>48700</v>
      </c>
      <c r="CD136">
        <f>CC136*0.18</f>
        <v>8766</v>
      </c>
      <c r="CE136">
        <f>CC136*0.12</f>
        <v>5844</v>
      </c>
      <c r="CF136">
        <f>_xlfn.XLOOKUP(B136,'[8]october-2025'!$A:$A,'[8]october-2025'!$D:$D,0,0)</f>
        <v>400</v>
      </c>
      <c r="CG136">
        <f>_xlfn.XLOOKUP(B136,'[8]october-2025'!$A:$A,'[8]october-2025'!$G:$G,0,0)</f>
        <v>500</v>
      </c>
      <c r="CH136">
        <f>IF(CC136&gt;0,SUM(CC136:CG136),0)</f>
        <v>64210</v>
      </c>
      <c r="CI136">
        <f>_xlfn.XLOOKUP(B136,'[8]october-2025'!$A:$A,'[8]october-2025'!$H:$H,0,0)</f>
        <v>5000</v>
      </c>
      <c r="CJ136">
        <f>_xlfn.XLOOKUP(B136,'[8]october-2025'!$A:$A,'[8]october-2025'!$I:$I,0,0)</f>
        <v>60</v>
      </c>
      <c r="CK136">
        <f>IF($F136="YES",0,IF(CH136&gt;40000,200,IF(CH136&gt;25000,150,IF(CH136&gt;15000,130,IF(CH136&gt;10000,110,0)))))</f>
        <v>0</v>
      </c>
      <c r="CL136">
        <f>CH136-CI136-CJ136-CK136</f>
        <v>59150</v>
      </c>
      <c r="CM136">
        <f>_xlfn.XLOOKUP(B136,'[9]november-2025'!$A:$A,'[9]november-2025'!$C:$C,0,0)</f>
        <v>48700</v>
      </c>
      <c r="CN136">
        <f>CM136*0.18</f>
        <v>8766</v>
      </c>
      <c r="CO136">
        <f>CM136*0.12</f>
        <v>5844</v>
      </c>
      <c r="CP136">
        <f>_xlfn.XLOOKUP(B136,'[9]november-2025'!$A:$A,'[9]november-2025'!$D:$D,0,0)</f>
        <v>400</v>
      </c>
      <c r="CQ136">
        <f>_xlfn.XLOOKUP(B136,'[9]november-2025'!$A:$A,'[9]november-2025'!$G:$G,0,0)</f>
        <v>500</v>
      </c>
      <c r="CR136">
        <f>IF(CM136&gt;0,SUM(CM136:CQ136),0)</f>
        <v>64210</v>
      </c>
      <c r="CS136">
        <f>_xlfn.XLOOKUP(B136,'[9]november-2025'!$A:$A,'[9]november-2025'!$H:$H,0,0)</f>
        <v>5000</v>
      </c>
      <c r="CT136">
        <f>_xlfn.XLOOKUP(B136,'[9]november-2025'!$A:$A,'[9]november-2025'!$I:$I,0,0)</f>
        <v>60</v>
      </c>
      <c r="CU136">
        <f>IF($F136="YES",0,IF(CR136&gt;40000,200,IF(CR136&gt;25000,150,IF(CR136&gt;15000,130,IF(CR136&gt;10000,110,0)))))</f>
        <v>0</v>
      </c>
      <c r="CV136">
        <f>CR136-CS136-CT136-CU136</f>
        <v>59150</v>
      </c>
      <c r="CW136">
        <f>_xlfn.XLOOKUP(B136,'[10]december-2025'!$A:$A,'[10]december-2025'!$C:$C,0,0)</f>
        <v>48700</v>
      </c>
      <c r="CX136">
        <f>ROUND(CW136*0.18,0)</f>
        <v>8766</v>
      </c>
      <c r="CY136">
        <f>ROUND(CW136*0.12,0)</f>
        <v>5844</v>
      </c>
      <c r="CZ136">
        <f>_xlfn.XLOOKUP(B136,'[10]december-2025'!$A:$A,'[10]december-2025'!$D:$D,0,0)</f>
        <v>400</v>
      </c>
      <c r="DA136">
        <f>_xlfn.XLOOKUP(B136,'[10]december-2025'!$A:$A,'[10]december-2025'!$G:$G,0,0)</f>
        <v>500</v>
      </c>
      <c r="DB136">
        <f>IF(CW136&gt;0,SUM(CW136:DA136),0)</f>
        <v>64210</v>
      </c>
      <c r="DC136">
        <f>_xlfn.XLOOKUP(B136,'[10]december-2025'!$A:$A,'[10]december-2025'!$H:$H,0,0)</f>
        <v>5000</v>
      </c>
      <c r="DD136">
        <f>_xlfn.XLOOKUP(B136,'[10]december-2025'!$A:$A,'[10]december-2025'!$I:$I,0,0)</f>
        <v>60</v>
      </c>
      <c r="DE136">
        <f>IF($F136="YES",0,IF(DB136&gt;40000,200,IF(DB136&gt;25000,150,IF(DB136&gt;15000,130,IF(DB136&gt;10000,110,0)))))</f>
        <v>0</v>
      </c>
      <c r="DF136">
        <f>DB136-DC136-DD136-DE136</f>
        <v>59150</v>
      </c>
      <c r="DG136">
        <f>_xlfn.XLOOKUP(B136,'[11]january-2026'!$A:$A,'[11]january-2026'!$C:$C,0,0)</f>
        <v>48700</v>
      </c>
      <c r="DH136">
        <f>DG136*0.18</f>
        <v>8766</v>
      </c>
      <c r="DI136">
        <f>DG136*0.12</f>
        <v>5844</v>
      </c>
      <c r="DJ136">
        <f>_xlfn.XLOOKUP(B136,'[11]january-2026'!$A:$A,'[11]january-2026'!$D:$D,0,0)</f>
        <v>400</v>
      </c>
      <c r="DK136">
        <f>_xlfn.XLOOKUP(B136,'[11]january-2026'!$A:$A,'[11]january-2026'!$G:$G,0,0)</f>
        <v>500</v>
      </c>
      <c r="DL136">
        <f>IF(DG136&gt;0,SUM(DG136:DK136),0)</f>
        <v>64210</v>
      </c>
      <c r="DM136">
        <f>_xlfn.XLOOKUP(B136,'[11]january-2026'!$A:$A,'[11]january-2026'!$H:$H,0,0)</f>
        <v>5000</v>
      </c>
      <c r="DN136">
        <f>_xlfn.XLOOKUP(B136,'[11]january-2026'!$A:$A,'[11]january-2026'!$I:$I,0,0)</f>
        <v>60</v>
      </c>
      <c r="DO136">
        <f>IF($F136="YES",0,IF(DL136&gt;40000,200,IF(DL136&gt;25000,150,IF(DL136&gt;15000,130,IF(DL136&gt;10000,110,0)))))</f>
        <v>0</v>
      </c>
      <c r="DP136">
        <f>DL136-DM136-DN136-DO136</f>
        <v>59150</v>
      </c>
      <c r="DQ136">
        <f>_xlfn.XLOOKUP(B136,'[12]february-2026'!$A:$A,'[12]february-2026'!$C:$C,0,0)</f>
        <v>48700</v>
      </c>
      <c r="DR136">
        <f>DQ136*0.18</f>
        <v>8766</v>
      </c>
      <c r="DS136">
        <f>DQ136*0.12</f>
        <v>5844</v>
      </c>
      <c r="DT136">
        <f>_xlfn.XLOOKUP(B136,'[12]february-2026'!$A:$A,'[12]february-2026'!$D:$D,0,0)</f>
        <v>400</v>
      </c>
      <c r="DU136">
        <f>_xlfn.XLOOKUP(B136,'[12]february-2026'!$A:$A,'[12]february-2026'!$G:$G,0,0)</f>
        <v>500</v>
      </c>
      <c r="DV136">
        <f>IF(DQ136&gt;0,SUM(DQ136:DU136),0)</f>
        <v>64210</v>
      </c>
      <c r="DW136">
        <f>_xlfn.XLOOKUP(B136,'[12]february-2026'!$A:$A,'[12]february-2026'!$H:$H,0,0)</f>
        <v>5000</v>
      </c>
      <c r="DX136">
        <f>_xlfn.XLOOKUP(B136,'[12]february-2026'!$A:$A,'[12]february-2026'!$I:$I,0,0)</f>
        <v>60</v>
      </c>
      <c r="DY136">
        <f>IF($F136="YES",0,IF(DV136&gt;40000,200,IF(DV136&gt;25000,150,IF(DV136&gt;15000,130,IF(DV136&gt;10000,110,0)))))</f>
        <v>0</v>
      </c>
      <c r="DZ136">
        <f>DV136-DW136-DX136-DY136</f>
        <v>59150</v>
      </c>
      <c r="EA136">
        <f>DV136+DL136+DB136+CR136+CH136+BX136+BN136+BD136+AS136+AI136+Y136+O136+H136+I136</f>
        <v>768148</v>
      </c>
      <c r="EB136">
        <f>DY136+DO136+DE136+CU136+CK136+CA136+BQ136+BG136+AV136+AL136+AB136+R136</f>
        <v>0</v>
      </c>
      <c r="EC136">
        <f>IF(EA136&gt;0,50000,0)</f>
        <v>50000</v>
      </c>
      <c r="ED136">
        <v>0</v>
      </c>
      <c r="EE136">
        <f>EA136-EB136-EC136</f>
        <v>718148</v>
      </c>
      <c r="EF136">
        <f>DW136+DM136+DC136+CS136+CI136+BY136+BO136+BE136+AT136+AJ136+Z136+P136</f>
        <v>60000</v>
      </c>
      <c r="EG136">
        <f>DX136+DN136+DD136+CT136+CJ136+BZ136+BP136+BF136+AU136+AK136+AA136+Q136</f>
        <v>720</v>
      </c>
      <c r="EH136">
        <v>0</v>
      </c>
      <c r="EI136">
        <v>0</v>
      </c>
      <c r="EJ136">
        <v>0</v>
      </c>
      <c r="EK136">
        <v>0</v>
      </c>
      <c r="EL136">
        <v>0</v>
      </c>
      <c r="EM136">
        <v>0</v>
      </c>
      <c r="EN136">
        <v>0</v>
      </c>
      <c r="EO136">
        <v>0</v>
      </c>
      <c r="EP136">
        <v>0</v>
      </c>
      <c r="EQ136">
        <v>0</v>
      </c>
      <c r="ER136">
        <f>SUM(EF136:EQ136)</f>
        <v>60720</v>
      </c>
      <c r="ES136">
        <f>IF(ER136&gt;=150000,150000,ER136)</f>
        <v>60720</v>
      </c>
      <c r="ET136">
        <f>EE136-ES136</f>
        <v>657428</v>
      </c>
      <c r="EU136">
        <v>0</v>
      </c>
      <c r="EV136">
        <v>0</v>
      </c>
      <c r="EW136">
        <v>0</v>
      </c>
      <c r="EX136">
        <v>0</v>
      </c>
      <c r="EY136">
        <v>0</v>
      </c>
      <c r="EZ136">
        <v>0</v>
      </c>
      <c r="FA136">
        <v>0</v>
      </c>
      <c r="FB136">
        <f>SUM(EU136:FA136)+(IF(F136="YES",50000,0))</f>
        <v>50000</v>
      </c>
      <c r="FC136">
        <f>ET136-FB136</f>
        <v>607428</v>
      </c>
      <c r="FD136">
        <f>ROUND(IF(FC136&gt;0,IF(FC136&gt;500000,12500,(FC136-250000)*0.05),0),0)</f>
        <v>12500</v>
      </c>
      <c r="FE136">
        <f>IF(ROUND(IF(FC136&gt;0,IF(FC136&gt;1000000,25000,(FC136-500000)*0.2),0),0)&lt;0,0,ROUND(IF(FC136&gt;0,IF(FC136&gt;1000000,25000,(FC136-500000)*0.2),0),0))</f>
        <v>21486</v>
      </c>
      <c r="FF136">
        <f>FD136+FE136</f>
        <v>33986</v>
      </c>
      <c r="FG136">
        <f>IF(FF136&lt;12500,0,FF136)</f>
        <v>33986</v>
      </c>
      <c r="FH136">
        <f>FG136*0.04</f>
        <v>1359.44</v>
      </c>
      <c r="FI136">
        <f>ROUND(FH136+FG136,0)</f>
        <v>35345</v>
      </c>
      <c r="FJ136">
        <v>0</v>
      </c>
      <c r="FK136">
        <f>FI136-FJ136</f>
        <v>35345</v>
      </c>
      <c r="FL136" t="b">
        <f>IF(EA136&gt;500000,TRUE,FALSE)</f>
        <v>1</v>
      </c>
      <c r="FM136">
        <f ca="1">IF(FL136,RANDBETWEEN(500,1000),RANDBETWEEN(1000,3000))</f>
        <v>984</v>
      </c>
      <c r="FN136">
        <f ca="1">EA136+FM136</f>
        <v>769132</v>
      </c>
      <c r="FO136">
        <f>IF(EA136&gt;0,75000,0)</f>
        <v>75000</v>
      </c>
      <c r="FP136">
        <f ca="1">FN136-FO136</f>
        <v>694132</v>
      </c>
      <c r="FQ136">
        <f ca="1">IF(FP136&gt;2400000,FP136-2400000,0)</f>
        <v>0</v>
      </c>
      <c r="FR136">
        <f ca="1">FQ136*0.3</f>
        <v>0</v>
      </c>
      <c r="FS136">
        <f ca="1">IF(FP136&gt;2000000,FP136-2000000,0)</f>
        <v>0</v>
      </c>
      <c r="FT136">
        <f ca="1">FS136*0.25</f>
        <v>0</v>
      </c>
      <c r="FU136">
        <f ca="1">IF(FP136&gt;1600000,FP136-1600000-FQ136,0)</f>
        <v>0</v>
      </c>
      <c r="FV136">
        <f ca="1">FU136*0.2</f>
        <v>0</v>
      </c>
      <c r="FW136">
        <f ca="1">IF(FP136&gt;1200000,FP136-1200000-IF(F136="YES",50000,0)-FU136,0)</f>
        <v>0</v>
      </c>
      <c r="FX136">
        <f ca="1">FW136*0.15</f>
        <v>0</v>
      </c>
      <c r="FY136">
        <f ca="1">IF(FP136&gt;800000,FP136-800000-FQ136-FU136-FW136,0)</f>
        <v>0</v>
      </c>
      <c r="FZ136">
        <f ca="1">FY136*0.1</f>
        <v>0</v>
      </c>
      <c r="GA136">
        <f ca="1">IF(FP136&gt;400000,FP136-400000-FQ136-FU136-FW136-FY136,0)</f>
        <v>294132</v>
      </c>
      <c r="GB136">
        <f ca="1">GA136*0.05</f>
        <v>14706.6</v>
      </c>
      <c r="GC136">
        <f ca="1">ROUND(FR136+FT136+FV136+FX136+FZ136+GB136,0)</f>
        <v>14707</v>
      </c>
      <c r="GD136">
        <f ca="1">IF(FP136&gt;1200000,FP136,0)</f>
        <v>0</v>
      </c>
      <c r="GE136">
        <f ca="1">IF(FP136&gt;1200000,GD136-1200000,0)</f>
        <v>0</v>
      </c>
      <c r="GF136">
        <f ca="1">IF(FP136&lt;1200001,MIN(GC136,60000),0)</f>
        <v>14707</v>
      </c>
      <c r="GG136">
        <f ca="1">IF(FP136&gt;1200000,GC136-GE136,0)</f>
        <v>0</v>
      </c>
      <c r="GH136" t="b">
        <f ca="1">IF(GG136&gt;0,TRUE,FALSE)</f>
        <v>0</v>
      </c>
      <c r="GI136">
        <f ca="1">IF(GH136,GG136,0)</f>
        <v>0</v>
      </c>
      <c r="GJ136">
        <f ca="1">GF136+GI136</f>
        <v>14707</v>
      </c>
      <c r="GK136">
        <f ca="1">ROUND(GC136-GJ136,0)</f>
        <v>0</v>
      </c>
      <c r="GL136">
        <f ca="1">GK136*0.04</f>
        <v>0</v>
      </c>
      <c r="GM136">
        <f ca="1">ROUNDUP(GK136+GL136,0)</f>
        <v>0</v>
      </c>
    </row>
    <row r="137" spans="1:195" x14ac:dyDescent="0.25">
      <c r="A137">
        <f>_xlfn.AGGREGATE(3,5,$B$2:B137)</f>
        <v>136</v>
      </c>
      <c r="B137" t="s">
        <v>385</v>
      </c>
      <c r="C137" t="s">
        <v>386</v>
      </c>
      <c r="D137" t="s">
        <v>790</v>
      </c>
      <c r="E137" t="s">
        <v>833</v>
      </c>
      <c r="F137" t="s">
        <v>959</v>
      </c>
      <c r="G137" t="s">
        <v>880</v>
      </c>
      <c r="H137">
        <f>IF(_xlfn.DAYS("31-03-2025",G137)&gt;=180,6800,0)</f>
        <v>6800</v>
      </c>
      <c r="I137">
        <f>_xlfn.XLOOKUP(B137,'[1]march-2025'!$A:$A,'[1]march-2025'!$J:$J,0,0)</f>
        <v>0</v>
      </c>
      <c r="J137">
        <f>_xlfn.XLOOKUP(B137,'[1]march-2025'!$A:$A,'[1]march-2025'!$C:$C,0,0)</f>
        <v>34500</v>
      </c>
      <c r="K137">
        <f>J137*0.14</f>
        <v>4830.0000000000009</v>
      </c>
      <c r="L137">
        <f>J137*0.12</f>
        <v>4140</v>
      </c>
      <c r="M137">
        <f>_xlfn.XLOOKUP(B137,'[1]march-2025'!$A:$A,'[1]march-2025'!$D:$D,0,0)</f>
        <v>0</v>
      </c>
      <c r="N137">
        <f>_xlfn.XLOOKUP(B137,'[1]march-2025'!$A:$A,'[1]march-2025'!$G:$G,0,0)</f>
        <v>500</v>
      </c>
      <c r="O137">
        <f>IF(J137&gt;0,SUM(J137:N137),0)</f>
        <v>43970</v>
      </c>
      <c r="P137">
        <f>_xlfn.XLOOKUP(B137,'[1]march-2025'!$A:$A,'[1]march-2025'!$H:$H,0,0)</f>
        <v>3000</v>
      </c>
      <c r="Q137">
        <f>_xlfn.XLOOKUP(B137,'[1]march-2025'!$A:$A,'[1]march-2025'!$I:$I,0,0)</f>
        <v>0</v>
      </c>
      <c r="R137">
        <f>IF($F137="YES",0,IF(O137&gt;40000,200,IF(O137&gt;25000,150,IF(O137&gt;15000,130,IF(O137&gt;10000,110,0)))))</f>
        <v>200</v>
      </c>
      <c r="S137">
        <f>O137-P137-Q137-R137</f>
        <v>40770</v>
      </c>
      <c r="T137">
        <f>_xlfn.XLOOKUP(B137,'[2]april-2025'!$A:$A,'[2]april-2025'!$C:$C,0,0)</f>
        <v>34500</v>
      </c>
      <c r="U137">
        <f>T137*0.18</f>
        <v>6210</v>
      </c>
      <c r="V137">
        <f>T137*0.12</f>
        <v>4140</v>
      </c>
      <c r="W137">
        <f>_xlfn.XLOOKUP(B137,'[2]april-2025'!$A:$A,'[2]april-2025'!$D:$D,0,0)</f>
        <v>0</v>
      </c>
      <c r="X137">
        <f>_xlfn.XLOOKUP(B137,'[2]april-2025'!$A:$A,'[2]april-2025'!$G:$G,0,0)</f>
        <v>500</v>
      </c>
      <c r="Y137">
        <f>IF(T137&gt;0,SUM(T137:X137),0)</f>
        <v>45350</v>
      </c>
      <c r="Z137">
        <f>_xlfn.XLOOKUP(B137,'[2]april-2025'!$A:$A,'[2]april-2025'!$H:$H,0,0)</f>
        <v>3000</v>
      </c>
      <c r="AA137">
        <f>_xlfn.XLOOKUP(B137,'[2]april-2025'!$A:$A,'[2]april-2025'!$I:$I,0,0)</f>
        <v>0</v>
      </c>
      <c r="AB137">
        <f>IF($F137="YES",0,IF(Y137&gt;40000,200,IF(Y137&gt;25000,150,IF(Y137&gt;15000,130,IF(Y137&gt;10000,110,0)))))</f>
        <v>200</v>
      </c>
      <c r="AC137">
        <f>Y137-Z137-AA137-AB137</f>
        <v>42150</v>
      </c>
      <c r="AD137">
        <f>_xlfn.XLOOKUP(B137,'[3]may-2025'!$A:$A,'[3]may-2025'!$C:$C,0,0)</f>
        <v>34500</v>
      </c>
      <c r="AE137">
        <f>AD137*0.18</f>
        <v>6210</v>
      </c>
      <c r="AF137">
        <f>AD137*0.12</f>
        <v>4140</v>
      </c>
      <c r="AG137">
        <f>_xlfn.XLOOKUP(B137,'[3]may-2025'!$A:$A,'[3]may-2025'!$D:$D,0,0)</f>
        <v>0</v>
      </c>
      <c r="AH137">
        <f>_xlfn.XLOOKUP(B137,'[3]may-2025'!$A:$A,'[3]may-2025'!$G:$G,0,0)</f>
        <v>500</v>
      </c>
      <c r="AI137">
        <f>IF(AD137&gt;0,SUM(AD137:AH137),0)</f>
        <v>45350</v>
      </c>
      <c r="AJ137">
        <f>_xlfn.XLOOKUP(B137,'[3]may-2025'!$A:$A,'[3]may-2025'!$H:$H,0,0)</f>
        <v>3000</v>
      </c>
      <c r="AK137">
        <f>_xlfn.XLOOKUP(B137,'[3]may-2025'!$A:$A,'[3]may-2025'!$I:$I,0,0)</f>
        <v>0</v>
      </c>
      <c r="AL137">
        <f>IF($F137="YES",0,IF(AI137&gt;40000,200,IF(AI137&gt;25000,150,IF(AI137&gt;15000,130,IF(AI137&gt;10000,110,0)))))</f>
        <v>200</v>
      </c>
      <c r="AM137">
        <f>AI137-AJ137-AK137-AL137</f>
        <v>42150</v>
      </c>
      <c r="AN137">
        <f>_xlfn.XLOOKUP(B137,'[4]june-2025'!$A:$A,'[4]june-2025'!$C:$C,0,0)</f>
        <v>34500</v>
      </c>
      <c r="AO137">
        <f>AN137*0.18</f>
        <v>6210</v>
      </c>
      <c r="AP137">
        <f>AN137*0.12</f>
        <v>4140</v>
      </c>
      <c r="AQ137">
        <f>_xlfn.XLOOKUP(B137,'[4]june-2025'!$A:$A,'[4]june-2025'!$D:$D,0,0)</f>
        <v>0</v>
      </c>
      <c r="AR137">
        <f>_xlfn.XLOOKUP(B137,'[4]june-2025'!$A:$A,'[4]june-2025'!$G:$G,0,0)</f>
        <v>500</v>
      </c>
      <c r="AS137">
        <f>IF(AN137&gt;0,SUM(AN137:AR137),0)</f>
        <v>45350</v>
      </c>
      <c r="AT137">
        <f>_xlfn.XLOOKUP(B137,'[4]june-2025'!$A:$A,'[4]june-2025'!$H:$H,0,0)</f>
        <v>3000</v>
      </c>
      <c r="AU137">
        <f>_xlfn.XLOOKUP(B137,'[4]june-2025'!$A:$A,'[4]june-2025'!$I:$I,0,0)</f>
        <v>0</v>
      </c>
      <c r="AV137">
        <f>IF($F137="YES",0,IF(AS137&gt;40000,200,IF(AS137&gt;25000,150,IF(AS137&gt;15000,130,IF(AS137&gt;10000,110,0)))))</f>
        <v>200</v>
      </c>
      <c r="AW137">
        <f>AS137-AT137-AU137-AV137</f>
        <v>42150</v>
      </c>
      <c r="AX137">
        <f>_xlfn.XLOOKUP(B137,'[5]july-2025'!$A:$A,'[5]july-2025'!$C:$C,0,0)</f>
        <v>35500</v>
      </c>
      <c r="AY137">
        <f>AX137*0.18</f>
        <v>6390</v>
      </c>
      <c r="AZ137">
        <v>0</v>
      </c>
      <c r="BA137">
        <f>AX137*0.12</f>
        <v>4260</v>
      </c>
      <c r="BB137">
        <f>_xlfn.XLOOKUP(B137,'[5]july-2025'!$A:$A,'[5]july-2025'!$D:$D,0,0)</f>
        <v>0</v>
      </c>
      <c r="BC137">
        <f>_xlfn.XLOOKUP(B137,'[5]july-2025'!$A:$A,'[5]july-2025'!$G:$G,0,0)</f>
        <v>500</v>
      </c>
      <c r="BD137">
        <f>IF(AX137&gt;0,SUM(AX137:BC137),0)</f>
        <v>46650</v>
      </c>
      <c r="BE137">
        <f>_xlfn.XLOOKUP(B137,'[5]july-2025'!$A:$A,'[5]july-2025'!$H:$H,0,0)</f>
        <v>3000</v>
      </c>
      <c r="BF137">
        <f>_xlfn.XLOOKUP(B137,'[5]july-2025'!$A:$A,'[5]july-2025'!$I:$I,0,0)</f>
        <v>0</v>
      </c>
      <c r="BG137">
        <f>IF($F137="YES",0,IF(BD137&gt;40000,200,IF(BD137&gt;25000,150,IF(BD137&gt;15000,130,IF(BD137&gt;10000,110,0)))))</f>
        <v>200</v>
      </c>
      <c r="BH137">
        <f>BD137-BE137-BF137-BG137</f>
        <v>43450</v>
      </c>
      <c r="BI137">
        <f>_xlfn.XLOOKUP(B137,'[6]august-2025'!$A:$A,'[6]august-2025'!$C:$C,0,0)</f>
        <v>35500</v>
      </c>
      <c r="BJ137">
        <f>BI137*0.18</f>
        <v>6390</v>
      </c>
      <c r="BK137">
        <f>BI137*0.12</f>
        <v>4260</v>
      </c>
      <c r="BL137">
        <f>_xlfn.XLOOKUP(B137,'[6]august-2025'!$A:$A,'[6]august-2025'!$D:$D,0,0)</f>
        <v>0</v>
      </c>
      <c r="BM137">
        <f>_xlfn.XLOOKUP(B137,'[6]august-2025'!$A:$A,'[6]august-2025'!$G:$G,0,0)</f>
        <v>500</v>
      </c>
      <c r="BN137">
        <f>IF(BI137&gt;0,SUM(BI137:BM137),0)</f>
        <v>46650</v>
      </c>
      <c r="BO137">
        <f>_xlfn.XLOOKUP(B137,'[6]august-2025'!$A:$A,'[6]august-2025'!$H:$H,0,0)</f>
        <v>3000</v>
      </c>
      <c r="BP137">
        <f>_xlfn.XLOOKUP(B137,'[6]august-2025'!$A:$A,'[6]august-2025'!$I:$I,0,0)</f>
        <v>0</v>
      </c>
      <c r="BQ137">
        <f>IF($F137="YES",0,IF(BN137&gt;40000,200,IF(BN137&gt;25000,150,IF(BN137&gt;15000,130,IF(BN137&gt;10000,110,0)))))</f>
        <v>200</v>
      </c>
      <c r="BR137">
        <f>BN137-BO137-BP137-BQ137</f>
        <v>43450</v>
      </c>
      <c r="BS137">
        <f>_xlfn.XLOOKUP(B137,'[7]september-2025'!$A:$A,'[7]september-2025'!$C:$C,0,0)</f>
        <v>35500</v>
      </c>
      <c r="BT137">
        <f>BS137*0.18</f>
        <v>6390</v>
      </c>
      <c r="BU137">
        <f>BS137*0.12</f>
        <v>4260</v>
      </c>
      <c r="BV137">
        <f>_xlfn.XLOOKUP(B137,'[7]september-2025'!$A:$A,'[7]september-2025'!$D:$D,0,0)</f>
        <v>0</v>
      </c>
      <c r="BW137">
        <f>_xlfn.XLOOKUP(B137,'[7]september-2025'!$A:$A,'[7]september-2025'!$G:$G,0,0)</f>
        <v>500</v>
      </c>
      <c r="BX137">
        <f>IF(BS137&gt;0,SUM(BS137:BW137),0)</f>
        <v>46650</v>
      </c>
      <c r="BY137">
        <f>_xlfn.XLOOKUP(B137,'[7]september-2025'!$A:$A,'[7]september-2025'!$H:$H,0,0)</f>
        <v>3000</v>
      </c>
      <c r="BZ137">
        <f>_xlfn.XLOOKUP(B137,'[7]september-2025'!$A:$A,'[7]september-2025'!$I:$I,0,0)</f>
        <v>0</v>
      </c>
      <c r="CA137">
        <f>IF($F137="YES",0,IF(BX137&gt;40000,200,IF(BX137&gt;25000,150,IF(BX137&gt;15000,130,IF(BX137&gt;10000,110,0)))))</f>
        <v>200</v>
      </c>
      <c r="CB137">
        <f>BX137-BY137-BZ137-CA137</f>
        <v>43450</v>
      </c>
      <c r="CC137">
        <f>_xlfn.XLOOKUP(B137,'[8]october-2025'!$A:$A,'[8]october-2025'!$C:$C,0,0)</f>
        <v>35500</v>
      </c>
      <c r="CD137">
        <f>CC137*0.18</f>
        <v>6390</v>
      </c>
      <c r="CE137">
        <f>CC137*0.12</f>
        <v>4260</v>
      </c>
      <c r="CF137">
        <f>_xlfn.XLOOKUP(B137,'[8]october-2025'!$A:$A,'[8]october-2025'!$D:$D,0,0)</f>
        <v>0</v>
      </c>
      <c r="CG137">
        <f>_xlfn.XLOOKUP(B137,'[8]october-2025'!$A:$A,'[8]october-2025'!$G:$G,0,0)</f>
        <v>500</v>
      </c>
      <c r="CH137">
        <f>IF(CC137&gt;0,SUM(CC137:CG137),0)</f>
        <v>46650</v>
      </c>
      <c r="CI137">
        <f>_xlfn.XLOOKUP(B137,'[8]october-2025'!$A:$A,'[8]october-2025'!$H:$H,0,0)</f>
        <v>3000</v>
      </c>
      <c r="CJ137">
        <f>_xlfn.XLOOKUP(B137,'[8]october-2025'!$A:$A,'[8]october-2025'!$I:$I,0,0)</f>
        <v>0</v>
      </c>
      <c r="CK137">
        <f>IF($F137="YES",0,IF(CH137&gt;40000,200,IF(CH137&gt;25000,150,IF(CH137&gt;15000,130,IF(CH137&gt;10000,110,0)))))</f>
        <v>200</v>
      </c>
      <c r="CL137">
        <f>CH137-CI137-CJ137-CK137</f>
        <v>43450</v>
      </c>
      <c r="CM137">
        <f>_xlfn.XLOOKUP(B137,'[9]november-2025'!$A:$A,'[9]november-2025'!$C:$C,0,0)</f>
        <v>35500</v>
      </c>
      <c r="CN137">
        <f>CM137*0.18</f>
        <v>6390</v>
      </c>
      <c r="CO137">
        <f>CM137*0.12</f>
        <v>4260</v>
      </c>
      <c r="CP137">
        <f>_xlfn.XLOOKUP(B137,'[9]november-2025'!$A:$A,'[9]november-2025'!$D:$D,0,0)</f>
        <v>0</v>
      </c>
      <c r="CQ137">
        <f>_xlfn.XLOOKUP(B137,'[9]november-2025'!$A:$A,'[9]november-2025'!$G:$G,0,0)</f>
        <v>500</v>
      </c>
      <c r="CR137">
        <f>IF(CM137&gt;0,SUM(CM137:CQ137),0)</f>
        <v>46650</v>
      </c>
      <c r="CS137">
        <f>_xlfn.XLOOKUP(B137,'[9]november-2025'!$A:$A,'[9]november-2025'!$H:$H,0,0)</f>
        <v>3000</v>
      </c>
      <c r="CT137">
        <f>_xlfn.XLOOKUP(B137,'[9]november-2025'!$A:$A,'[9]november-2025'!$I:$I,0,0)</f>
        <v>0</v>
      </c>
      <c r="CU137">
        <f>IF($F137="YES",0,IF(CR137&gt;40000,200,IF(CR137&gt;25000,150,IF(CR137&gt;15000,130,IF(CR137&gt;10000,110,0)))))</f>
        <v>200</v>
      </c>
      <c r="CV137">
        <f>CR137-CS137-CT137-CU137</f>
        <v>43450</v>
      </c>
      <c r="CW137">
        <f>_xlfn.XLOOKUP(B137,'[10]december-2025'!$A:$A,'[10]december-2025'!$C:$C,0,0)</f>
        <v>35500</v>
      </c>
      <c r="CX137">
        <f>ROUND(CW137*0.18,0)</f>
        <v>6390</v>
      </c>
      <c r="CY137">
        <f>ROUND(CW137*0.12,0)</f>
        <v>4260</v>
      </c>
      <c r="CZ137">
        <f>_xlfn.XLOOKUP(B137,'[10]december-2025'!$A:$A,'[10]december-2025'!$D:$D,0,0)</f>
        <v>0</v>
      </c>
      <c r="DA137">
        <f>_xlfn.XLOOKUP(B137,'[10]december-2025'!$A:$A,'[10]december-2025'!$G:$G,0,0)</f>
        <v>500</v>
      </c>
      <c r="DB137">
        <f>IF(CW137&gt;0,SUM(CW137:DA137),0)</f>
        <v>46650</v>
      </c>
      <c r="DC137">
        <f>_xlfn.XLOOKUP(B137,'[10]december-2025'!$A:$A,'[10]december-2025'!$H:$H,0,0)</f>
        <v>3000</v>
      </c>
      <c r="DD137">
        <f>_xlfn.XLOOKUP(B137,'[10]december-2025'!$A:$A,'[10]december-2025'!$I:$I,0,0)</f>
        <v>0</v>
      </c>
      <c r="DE137">
        <f>IF($F137="YES",0,IF(DB137&gt;40000,200,IF(DB137&gt;25000,150,IF(DB137&gt;15000,130,IF(DB137&gt;10000,110,0)))))</f>
        <v>200</v>
      </c>
      <c r="DF137">
        <f>DB137-DC137-DD137-DE137</f>
        <v>43450</v>
      </c>
      <c r="DG137">
        <f>_xlfn.XLOOKUP(B137,'[11]january-2026'!$A:$A,'[11]january-2026'!$C:$C,0,0)</f>
        <v>35500</v>
      </c>
      <c r="DH137">
        <f>DG137*0.18</f>
        <v>6390</v>
      </c>
      <c r="DI137">
        <f>DG137*0.12</f>
        <v>4260</v>
      </c>
      <c r="DJ137">
        <f>_xlfn.XLOOKUP(B137,'[11]january-2026'!$A:$A,'[11]january-2026'!$D:$D,0,0)</f>
        <v>0</v>
      </c>
      <c r="DK137">
        <f>_xlfn.XLOOKUP(B137,'[11]january-2026'!$A:$A,'[11]january-2026'!$G:$G,0,0)</f>
        <v>500</v>
      </c>
      <c r="DL137">
        <f>IF(DG137&gt;0,SUM(DG137:DK137),0)</f>
        <v>46650</v>
      </c>
      <c r="DM137">
        <f>_xlfn.XLOOKUP(B137,'[11]january-2026'!$A:$A,'[11]january-2026'!$H:$H,0,0)</f>
        <v>3000</v>
      </c>
      <c r="DN137">
        <f>_xlfn.XLOOKUP(B137,'[11]january-2026'!$A:$A,'[11]january-2026'!$I:$I,0,0)</f>
        <v>0</v>
      </c>
      <c r="DO137">
        <f>IF($F137="YES",0,IF(DL137&gt;40000,200,IF(DL137&gt;25000,150,IF(DL137&gt;15000,130,IF(DL137&gt;10000,110,0)))))</f>
        <v>200</v>
      </c>
      <c r="DP137">
        <f>DL137-DM137-DN137-DO137</f>
        <v>43450</v>
      </c>
      <c r="DQ137">
        <f>_xlfn.XLOOKUP(B137,'[12]february-2026'!$A:$A,'[12]february-2026'!$C:$C,0,0)</f>
        <v>35500</v>
      </c>
      <c r="DR137">
        <f>DQ137*0.18</f>
        <v>6390</v>
      </c>
      <c r="DS137">
        <f>DQ137*0.12</f>
        <v>4260</v>
      </c>
      <c r="DT137">
        <f>_xlfn.XLOOKUP(B137,'[12]february-2026'!$A:$A,'[12]february-2026'!$D:$D,0,0)</f>
        <v>0</v>
      </c>
      <c r="DU137">
        <f>_xlfn.XLOOKUP(B137,'[12]february-2026'!$A:$A,'[12]february-2026'!$G:$G,0,0)</f>
        <v>500</v>
      </c>
      <c r="DV137">
        <f>IF(DQ137&gt;0,SUM(DQ137:DU137),0)</f>
        <v>46650</v>
      </c>
      <c r="DW137">
        <f>_xlfn.XLOOKUP(B137,'[12]february-2026'!$A:$A,'[12]february-2026'!$H:$H,0,0)</f>
        <v>3000</v>
      </c>
      <c r="DX137">
        <f>_xlfn.XLOOKUP(B137,'[12]february-2026'!$A:$A,'[12]february-2026'!$I:$I,0,0)</f>
        <v>0</v>
      </c>
      <c r="DY137">
        <f>IF($F137="YES",0,IF(DV137&gt;40000,200,IF(DV137&gt;25000,150,IF(DV137&gt;15000,130,IF(DV137&gt;10000,110,0)))))</f>
        <v>200</v>
      </c>
      <c r="DZ137">
        <f>DV137-DW137-DX137-DY137</f>
        <v>43450</v>
      </c>
      <c r="EA137">
        <f>DV137+DL137+DB137+CR137+CH137+BX137+BN137+BD137+AS137+AI137+Y137+O137+H137+I137</f>
        <v>560020</v>
      </c>
      <c r="EB137">
        <f>DY137+DO137+DE137+CU137+CK137+CA137+BQ137+BG137+AV137+AL137+AB137+R137</f>
        <v>2400</v>
      </c>
      <c r="EC137">
        <f>IF(EA137&gt;0,50000,0)</f>
        <v>50000</v>
      </c>
      <c r="ED137">
        <v>0</v>
      </c>
      <c r="EE137">
        <f>EA137-EB137-EC137</f>
        <v>507620</v>
      </c>
      <c r="EF137">
        <f>DW137+DM137+DC137+CS137+CI137+BY137+BO137+BE137+AT137+AJ137+Z137+P137</f>
        <v>36000</v>
      </c>
      <c r="EG137">
        <f>DX137+DN137+DD137+CT137+CJ137+BZ137+BP137+BF137+AU137+AK137+AA137+Q137</f>
        <v>0</v>
      </c>
      <c r="EH137">
        <v>0</v>
      </c>
      <c r="EI137">
        <v>0</v>
      </c>
      <c r="EJ137">
        <v>0</v>
      </c>
      <c r="EK137">
        <v>0</v>
      </c>
      <c r="EL137">
        <v>0</v>
      </c>
      <c r="EM137">
        <v>0</v>
      </c>
      <c r="EN137">
        <v>0</v>
      </c>
      <c r="EO137">
        <v>0</v>
      </c>
      <c r="EP137">
        <v>0</v>
      </c>
      <c r="EQ137">
        <v>0</v>
      </c>
      <c r="ER137">
        <f>SUM(EF137:EQ137)</f>
        <v>36000</v>
      </c>
      <c r="ES137">
        <f>IF(ER137&gt;=150000,150000,ER137)</f>
        <v>36000</v>
      </c>
      <c r="ET137">
        <f>EE137-ES137</f>
        <v>471620</v>
      </c>
      <c r="EU137">
        <v>0</v>
      </c>
      <c r="EV137">
        <v>0</v>
      </c>
      <c r="EW137">
        <v>0</v>
      </c>
      <c r="EX137">
        <v>0</v>
      </c>
      <c r="EY137">
        <v>0</v>
      </c>
      <c r="EZ137">
        <v>0</v>
      </c>
      <c r="FA137">
        <v>0</v>
      </c>
      <c r="FB137">
        <f>SUM(EU137:FA137)+(IF(F137="YES",50000,0))</f>
        <v>0</v>
      </c>
      <c r="FC137">
        <f>ET137-FB137</f>
        <v>471620</v>
      </c>
      <c r="FD137">
        <f>ROUND(IF(FC137&gt;0,IF(FC137&gt;500000,12500,(FC137-250000)*0.05),0),0)</f>
        <v>11081</v>
      </c>
      <c r="FE137">
        <f>IF(ROUND(IF(FC137&gt;0,IF(FC137&gt;1000000,25000,(FC137-500000)*0.2),0),0)&lt;0,0,ROUND(IF(FC137&gt;0,IF(FC137&gt;1000000,25000,(FC137-500000)*0.2),0),0))</f>
        <v>0</v>
      </c>
      <c r="FF137">
        <f>FD137+FE137</f>
        <v>11081</v>
      </c>
      <c r="FG137">
        <f>IF(FF137&lt;12500,0,FF137)</f>
        <v>0</v>
      </c>
      <c r="FH137">
        <f>FG137*0.04</f>
        <v>0</v>
      </c>
      <c r="FI137">
        <f>ROUND(FH137+FG137,0)</f>
        <v>0</v>
      </c>
      <c r="FJ137">
        <v>0</v>
      </c>
      <c r="FK137">
        <f>FI137-FJ137</f>
        <v>0</v>
      </c>
      <c r="FL137" t="b">
        <f>IF(EA137&gt;500000,TRUE,FALSE)</f>
        <v>1</v>
      </c>
      <c r="FM137">
        <f ca="1">IF(FL137,RANDBETWEEN(500,1000),RANDBETWEEN(1000,3000))</f>
        <v>516</v>
      </c>
      <c r="FN137">
        <f ca="1">EA137+FM137</f>
        <v>560536</v>
      </c>
      <c r="FO137">
        <f>IF(EA137&gt;0,75000,0)</f>
        <v>75000</v>
      </c>
      <c r="FP137">
        <f ca="1">FN137-FO137</f>
        <v>485536</v>
      </c>
      <c r="FQ137">
        <f ca="1">IF(FP137&gt;2400000,FP137-2400000,0)</f>
        <v>0</v>
      </c>
      <c r="FR137">
        <f ca="1">FQ137*0.3</f>
        <v>0</v>
      </c>
      <c r="FS137">
        <f ca="1">IF(FP137&gt;2000000,FP137-2000000,0)</f>
        <v>0</v>
      </c>
      <c r="FT137">
        <f ca="1">FS137*0.25</f>
        <v>0</v>
      </c>
      <c r="FU137">
        <f ca="1">IF(FP137&gt;1600000,FP137-1600000-FQ137,0)</f>
        <v>0</v>
      </c>
      <c r="FV137">
        <f ca="1">FU137*0.2</f>
        <v>0</v>
      </c>
      <c r="FW137">
        <f ca="1">IF(FP137&gt;1200000,FP137-1200000-IF(F137="YES",50000,0)-FU137,0)</f>
        <v>0</v>
      </c>
      <c r="FX137">
        <f ca="1">FW137*0.15</f>
        <v>0</v>
      </c>
      <c r="FY137">
        <f ca="1">IF(FP137&gt;800000,FP137-800000-FQ137-FU137-FW137,0)</f>
        <v>0</v>
      </c>
      <c r="FZ137">
        <f ca="1">FY137*0.1</f>
        <v>0</v>
      </c>
      <c r="GA137">
        <f ca="1">IF(FP137&gt;400000,FP137-400000-FQ137-FU137-FW137-FY137,0)</f>
        <v>85536</v>
      </c>
      <c r="GB137">
        <f ca="1">GA137*0.05</f>
        <v>4276.8</v>
      </c>
      <c r="GC137">
        <f ca="1">ROUND(FR137+FT137+FV137+FX137+FZ137+GB137,0)</f>
        <v>4277</v>
      </c>
      <c r="GD137">
        <f ca="1">IF(FP137&gt;1200000,FP137,0)</f>
        <v>0</v>
      </c>
      <c r="GE137">
        <f ca="1">IF(FP137&gt;1200000,GD137-1200000,0)</f>
        <v>0</v>
      </c>
      <c r="GF137">
        <f ca="1">IF(FP137&lt;1200001,MIN(GC137,60000),0)</f>
        <v>4277</v>
      </c>
      <c r="GG137">
        <f ca="1">IF(FP137&gt;1200000,GC137-GE137,0)</f>
        <v>0</v>
      </c>
      <c r="GH137" t="b">
        <f ca="1">IF(GG137&gt;0,TRUE,FALSE)</f>
        <v>0</v>
      </c>
      <c r="GI137">
        <f ca="1">IF(GH137,GG137,0)</f>
        <v>0</v>
      </c>
      <c r="GJ137">
        <f ca="1">GF137+GI137</f>
        <v>4277</v>
      </c>
      <c r="GK137">
        <f ca="1">ROUND(GC137-GJ137,0)</f>
        <v>0</v>
      </c>
      <c r="GL137">
        <f ca="1">GK137*0.04</f>
        <v>0</v>
      </c>
      <c r="GM137">
        <f ca="1">ROUNDUP(GK137+GL137,0)</f>
        <v>0</v>
      </c>
    </row>
    <row r="138" spans="1:195" x14ac:dyDescent="0.25">
      <c r="A138">
        <f>_xlfn.AGGREGATE(3,5,$B$2:B138)</f>
        <v>137</v>
      </c>
      <c r="B138" t="s">
        <v>387</v>
      </c>
      <c r="C138" t="s">
        <v>388</v>
      </c>
      <c r="D138" t="s">
        <v>790</v>
      </c>
      <c r="E138" t="s">
        <v>833</v>
      </c>
      <c r="F138" t="s">
        <v>959</v>
      </c>
      <c r="G138" t="s">
        <v>930</v>
      </c>
      <c r="H138">
        <f>IF(_xlfn.DAYS("31-03-2025",G138)&gt;=180,6800,0)</f>
        <v>6800</v>
      </c>
      <c r="I138">
        <f>_xlfn.XLOOKUP(B138,'[1]march-2025'!$A:$A,'[1]march-2025'!$J:$J,0,0)</f>
        <v>0</v>
      </c>
      <c r="J138">
        <f>_xlfn.XLOOKUP(B138,'[1]march-2025'!$A:$A,'[1]march-2025'!$C:$C,0,0)</f>
        <v>33500</v>
      </c>
      <c r="K138">
        <f>J138*0.14</f>
        <v>4690</v>
      </c>
      <c r="L138">
        <f>J138*0.12</f>
        <v>4020</v>
      </c>
      <c r="M138">
        <f>_xlfn.XLOOKUP(B138,'[1]march-2025'!$A:$A,'[1]march-2025'!$D:$D,0,0)</f>
        <v>0</v>
      </c>
      <c r="N138">
        <f>_xlfn.XLOOKUP(B138,'[1]march-2025'!$A:$A,'[1]march-2025'!$G:$G,0,0)</f>
        <v>0</v>
      </c>
      <c r="O138">
        <f>IF(J138&gt;0,SUM(J138:N138),0)</f>
        <v>42210</v>
      </c>
      <c r="P138">
        <f>_xlfn.XLOOKUP(B138,'[1]march-2025'!$A:$A,'[1]march-2025'!$H:$H,0,0)</f>
        <v>3000</v>
      </c>
      <c r="Q138">
        <f>_xlfn.XLOOKUP(B138,'[1]march-2025'!$A:$A,'[1]march-2025'!$I:$I,0,0)</f>
        <v>0</v>
      </c>
      <c r="R138">
        <f>IF($F138="YES",0,IF(O138&gt;40000,200,IF(O138&gt;25000,150,IF(O138&gt;15000,130,IF(O138&gt;10000,110,0)))))</f>
        <v>200</v>
      </c>
      <c r="S138">
        <f>O138-P138-Q138-R138</f>
        <v>39010</v>
      </c>
      <c r="T138">
        <f>_xlfn.XLOOKUP(B138,'[2]april-2025'!$A:$A,'[2]april-2025'!$C:$C,0,0)</f>
        <v>33500</v>
      </c>
      <c r="U138">
        <f>T138*0.18</f>
        <v>6030</v>
      </c>
      <c r="V138">
        <f>T138*0.12</f>
        <v>4020</v>
      </c>
      <c r="W138">
        <f>_xlfn.XLOOKUP(B138,'[2]april-2025'!$A:$A,'[2]april-2025'!$D:$D,0,0)</f>
        <v>0</v>
      </c>
      <c r="X138">
        <f>_xlfn.XLOOKUP(B138,'[2]april-2025'!$A:$A,'[2]april-2025'!$G:$G,0,0)</f>
        <v>0</v>
      </c>
      <c r="Y138">
        <f>IF(T138&gt;0,SUM(T138:X138),0)</f>
        <v>43550</v>
      </c>
      <c r="Z138">
        <f>_xlfn.XLOOKUP(B138,'[2]april-2025'!$A:$A,'[2]april-2025'!$H:$H,0,0)</f>
        <v>3000</v>
      </c>
      <c r="AA138">
        <f>_xlfn.XLOOKUP(B138,'[2]april-2025'!$A:$A,'[2]april-2025'!$I:$I,0,0)</f>
        <v>0</v>
      </c>
      <c r="AB138">
        <f>IF($F138="YES",0,IF(Y138&gt;40000,200,IF(Y138&gt;25000,150,IF(Y138&gt;15000,130,IF(Y138&gt;10000,110,0)))))</f>
        <v>200</v>
      </c>
      <c r="AC138">
        <f>Y138-Z138-AA138-AB138</f>
        <v>40350</v>
      </c>
      <c r="AD138">
        <f>_xlfn.XLOOKUP(B138,'[3]may-2025'!$A:$A,'[3]may-2025'!$C:$C,0,0)</f>
        <v>33500</v>
      </c>
      <c r="AE138">
        <f>AD138*0.18</f>
        <v>6030</v>
      </c>
      <c r="AF138">
        <f>AD138*0.12</f>
        <v>4020</v>
      </c>
      <c r="AG138">
        <f>_xlfn.XLOOKUP(B138,'[3]may-2025'!$A:$A,'[3]may-2025'!$D:$D,0,0)</f>
        <v>0</v>
      </c>
      <c r="AH138">
        <f>_xlfn.XLOOKUP(B138,'[3]may-2025'!$A:$A,'[3]may-2025'!$G:$G,0,0)</f>
        <v>0</v>
      </c>
      <c r="AI138">
        <f>IF(AD138&gt;0,SUM(AD138:AH138),0)</f>
        <v>43550</v>
      </c>
      <c r="AJ138">
        <f>_xlfn.XLOOKUP(B138,'[3]may-2025'!$A:$A,'[3]may-2025'!$H:$H,0,0)</f>
        <v>3000</v>
      </c>
      <c r="AK138">
        <f>_xlfn.XLOOKUP(B138,'[3]may-2025'!$A:$A,'[3]may-2025'!$I:$I,0,0)</f>
        <v>0</v>
      </c>
      <c r="AL138">
        <f>IF($F138="YES",0,IF(AI138&gt;40000,200,IF(AI138&gt;25000,150,IF(AI138&gt;15000,130,IF(AI138&gt;10000,110,0)))))</f>
        <v>200</v>
      </c>
      <c r="AM138">
        <f>AI138-AJ138-AK138-AL138</f>
        <v>40350</v>
      </c>
      <c r="AN138">
        <f>_xlfn.XLOOKUP(B138,'[4]june-2025'!$A:$A,'[4]june-2025'!$C:$C,0,0)</f>
        <v>33500</v>
      </c>
      <c r="AO138">
        <f>AN138*0.18</f>
        <v>6030</v>
      </c>
      <c r="AP138">
        <f>AN138*0.12</f>
        <v>4020</v>
      </c>
      <c r="AQ138">
        <f>_xlfn.XLOOKUP(B138,'[4]june-2025'!$A:$A,'[4]june-2025'!$D:$D,0,0)</f>
        <v>0</v>
      </c>
      <c r="AR138">
        <f>_xlfn.XLOOKUP(B138,'[4]june-2025'!$A:$A,'[4]june-2025'!$G:$G,0,0)</f>
        <v>0</v>
      </c>
      <c r="AS138">
        <f>IF(AN138&gt;0,SUM(AN138:AR138),0)</f>
        <v>43550</v>
      </c>
      <c r="AT138">
        <f>_xlfn.XLOOKUP(B138,'[4]june-2025'!$A:$A,'[4]june-2025'!$H:$H,0,0)</f>
        <v>3000</v>
      </c>
      <c r="AU138">
        <f>_xlfn.XLOOKUP(B138,'[4]june-2025'!$A:$A,'[4]june-2025'!$I:$I,0,0)</f>
        <v>0</v>
      </c>
      <c r="AV138">
        <f>IF($F138="YES",0,IF(AS138&gt;40000,200,IF(AS138&gt;25000,150,IF(AS138&gt;15000,130,IF(AS138&gt;10000,110,0)))))</f>
        <v>200</v>
      </c>
      <c r="AW138">
        <f>AS138-AT138-AU138-AV138</f>
        <v>40350</v>
      </c>
      <c r="AX138">
        <f>_xlfn.XLOOKUP(B138,'[5]july-2025'!$A:$A,'[5]july-2025'!$C:$C,0,0)</f>
        <v>34500</v>
      </c>
      <c r="AY138">
        <f>AX138*0.18</f>
        <v>6210</v>
      </c>
      <c r="AZ138">
        <v>0</v>
      </c>
      <c r="BA138">
        <f>AX138*0.12</f>
        <v>4140</v>
      </c>
      <c r="BB138">
        <f>_xlfn.XLOOKUP(B138,'[5]july-2025'!$A:$A,'[5]july-2025'!$D:$D,0,0)</f>
        <v>0</v>
      </c>
      <c r="BC138">
        <f>_xlfn.XLOOKUP(B138,'[5]july-2025'!$A:$A,'[5]july-2025'!$G:$G,0,0)</f>
        <v>0</v>
      </c>
      <c r="BD138">
        <f>IF(AX138&gt;0,SUM(AX138:BC138),0)</f>
        <v>44850</v>
      </c>
      <c r="BE138">
        <f>_xlfn.XLOOKUP(B138,'[5]july-2025'!$A:$A,'[5]july-2025'!$H:$H,0,0)</f>
        <v>3000</v>
      </c>
      <c r="BF138">
        <f>_xlfn.XLOOKUP(B138,'[5]july-2025'!$A:$A,'[5]july-2025'!$I:$I,0,0)</f>
        <v>0</v>
      </c>
      <c r="BG138">
        <f>IF($F138="YES",0,IF(BD138&gt;40000,200,IF(BD138&gt;25000,150,IF(BD138&gt;15000,130,IF(BD138&gt;10000,110,0)))))</f>
        <v>200</v>
      </c>
      <c r="BH138">
        <f>BD138-BE138-BF138-BG138</f>
        <v>41650</v>
      </c>
      <c r="BI138">
        <f>_xlfn.XLOOKUP(B138,'[6]august-2025'!$A:$A,'[6]august-2025'!$C:$C,0,0)</f>
        <v>34500</v>
      </c>
      <c r="BJ138">
        <f>BI138*0.18</f>
        <v>6210</v>
      </c>
      <c r="BK138">
        <f>BI138*0.12</f>
        <v>4140</v>
      </c>
      <c r="BL138">
        <f>_xlfn.XLOOKUP(B138,'[6]august-2025'!$A:$A,'[6]august-2025'!$D:$D,0,0)</f>
        <v>0</v>
      </c>
      <c r="BM138">
        <f>_xlfn.XLOOKUP(B138,'[6]august-2025'!$A:$A,'[6]august-2025'!$G:$G,0,0)</f>
        <v>0</v>
      </c>
      <c r="BN138">
        <f>IF(BI138&gt;0,SUM(BI138:BM138),0)</f>
        <v>44850</v>
      </c>
      <c r="BO138">
        <f>_xlfn.XLOOKUP(B138,'[6]august-2025'!$A:$A,'[6]august-2025'!$H:$H,0,0)</f>
        <v>3000</v>
      </c>
      <c r="BP138">
        <f>_xlfn.XLOOKUP(B138,'[6]august-2025'!$A:$A,'[6]august-2025'!$I:$I,0,0)</f>
        <v>0</v>
      </c>
      <c r="BQ138">
        <f>IF($F138="YES",0,IF(BN138&gt;40000,200,IF(BN138&gt;25000,150,IF(BN138&gt;15000,130,IF(BN138&gt;10000,110,0)))))</f>
        <v>200</v>
      </c>
      <c r="BR138">
        <f>BN138-BO138-BP138-BQ138</f>
        <v>41650</v>
      </c>
      <c r="BS138">
        <f>_xlfn.XLOOKUP(B138,'[7]september-2025'!$A:$A,'[7]september-2025'!$C:$C,0,0)</f>
        <v>34500</v>
      </c>
      <c r="BT138">
        <f>BS138*0.18</f>
        <v>6210</v>
      </c>
      <c r="BU138">
        <f>BS138*0.12</f>
        <v>4140</v>
      </c>
      <c r="BV138">
        <f>_xlfn.XLOOKUP(B138,'[7]september-2025'!$A:$A,'[7]september-2025'!$D:$D,0,0)</f>
        <v>0</v>
      </c>
      <c r="BW138">
        <f>_xlfn.XLOOKUP(B138,'[7]september-2025'!$A:$A,'[7]september-2025'!$G:$G,0,0)</f>
        <v>0</v>
      </c>
      <c r="BX138">
        <f>IF(BS138&gt;0,SUM(BS138:BW138),0)</f>
        <v>44850</v>
      </c>
      <c r="BY138">
        <f>_xlfn.XLOOKUP(B138,'[7]september-2025'!$A:$A,'[7]september-2025'!$H:$H,0,0)</f>
        <v>3000</v>
      </c>
      <c r="BZ138">
        <f>_xlfn.XLOOKUP(B138,'[7]september-2025'!$A:$A,'[7]september-2025'!$I:$I,0,0)</f>
        <v>0</v>
      </c>
      <c r="CA138">
        <f>IF($F138="YES",0,IF(BX138&gt;40000,200,IF(BX138&gt;25000,150,IF(BX138&gt;15000,130,IF(BX138&gt;10000,110,0)))))</f>
        <v>200</v>
      </c>
      <c r="CB138">
        <f>BX138-BY138-BZ138-CA138</f>
        <v>41650</v>
      </c>
      <c r="CC138">
        <f>_xlfn.XLOOKUP(B138,'[8]october-2025'!$A:$A,'[8]october-2025'!$C:$C,0,0)</f>
        <v>34500</v>
      </c>
      <c r="CD138">
        <f>CC138*0.18</f>
        <v>6210</v>
      </c>
      <c r="CE138">
        <f>CC138*0.12</f>
        <v>4140</v>
      </c>
      <c r="CF138">
        <f>_xlfn.XLOOKUP(B138,'[8]october-2025'!$A:$A,'[8]october-2025'!$D:$D,0,0)</f>
        <v>0</v>
      </c>
      <c r="CG138">
        <f>_xlfn.XLOOKUP(B138,'[8]october-2025'!$A:$A,'[8]october-2025'!$G:$G,0,0)</f>
        <v>0</v>
      </c>
      <c r="CH138">
        <f>IF(CC138&gt;0,SUM(CC138:CG138),0)</f>
        <v>44850</v>
      </c>
      <c r="CI138">
        <f>_xlfn.XLOOKUP(B138,'[8]october-2025'!$A:$A,'[8]october-2025'!$H:$H,0,0)</f>
        <v>3000</v>
      </c>
      <c r="CJ138">
        <f>_xlfn.XLOOKUP(B138,'[8]october-2025'!$A:$A,'[8]october-2025'!$I:$I,0,0)</f>
        <v>0</v>
      </c>
      <c r="CK138">
        <f>IF($F138="YES",0,IF(CH138&gt;40000,200,IF(CH138&gt;25000,150,IF(CH138&gt;15000,130,IF(CH138&gt;10000,110,0)))))</f>
        <v>200</v>
      </c>
      <c r="CL138">
        <f>CH138-CI138-CJ138-CK138</f>
        <v>41650</v>
      </c>
      <c r="CM138">
        <f>_xlfn.XLOOKUP(B138,'[9]november-2025'!$A:$A,'[9]november-2025'!$C:$C,0,0)</f>
        <v>34500</v>
      </c>
      <c r="CN138">
        <f>CM138*0.18</f>
        <v>6210</v>
      </c>
      <c r="CO138">
        <f>CM138*0.12</f>
        <v>4140</v>
      </c>
      <c r="CP138">
        <f>_xlfn.XLOOKUP(B138,'[9]november-2025'!$A:$A,'[9]november-2025'!$D:$D,0,0)</f>
        <v>0</v>
      </c>
      <c r="CQ138">
        <f>_xlfn.XLOOKUP(B138,'[9]november-2025'!$A:$A,'[9]november-2025'!$G:$G,0,0)</f>
        <v>0</v>
      </c>
      <c r="CR138">
        <f>IF(CM138&gt;0,SUM(CM138:CQ138),0)</f>
        <v>44850</v>
      </c>
      <c r="CS138">
        <f>_xlfn.XLOOKUP(B138,'[9]november-2025'!$A:$A,'[9]november-2025'!$H:$H,0,0)</f>
        <v>3000</v>
      </c>
      <c r="CT138">
        <f>_xlfn.XLOOKUP(B138,'[9]november-2025'!$A:$A,'[9]november-2025'!$I:$I,0,0)</f>
        <v>0</v>
      </c>
      <c r="CU138">
        <f>IF($F138="YES",0,IF(CR138&gt;40000,200,IF(CR138&gt;25000,150,IF(CR138&gt;15000,130,IF(CR138&gt;10000,110,0)))))</f>
        <v>200</v>
      </c>
      <c r="CV138">
        <f>CR138-CS138-CT138-CU138</f>
        <v>41650</v>
      </c>
      <c r="CW138">
        <f>_xlfn.XLOOKUP(B138,'[10]december-2025'!$A:$A,'[10]december-2025'!$C:$C,0,0)</f>
        <v>34500</v>
      </c>
      <c r="CX138">
        <f>ROUND(CW138*0.18,0)</f>
        <v>6210</v>
      </c>
      <c r="CY138">
        <f>ROUND(CW138*0.12,0)</f>
        <v>4140</v>
      </c>
      <c r="CZ138">
        <f>_xlfn.XLOOKUP(B138,'[10]december-2025'!$A:$A,'[10]december-2025'!$D:$D,0,0)</f>
        <v>0</v>
      </c>
      <c r="DA138">
        <f>_xlfn.XLOOKUP(B138,'[10]december-2025'!$A:$A,'[10]december-2025'!$G:$G,0,0)</f>
        <v>0</v>
      </c>
      <c r="DB138">
        <f>IF(CW138&gt;0,SUM(CW138:DA138),0)</f>
        <v>44850</v>
      </c>
      <c r="DC138">
        <f>_xlfn.XLOOKUP(B138,'[10]december-2025'!$A:$A,'[10]december-2025'!$H:$H,0,0)</f>
        <v>3000</v>
      </c>
      <c r="DD138">
        <f>_xlfn.XLOOKUP(B138,'[10]december-2025'!$A:$A,'[10]december-2025'!$I:$I,0,0)</f>
        <v>0</v>
      </c>
      <c r="DE138">
        <f>IF($F138="YES",0,IF(DB138&gt;40000,200,IF(DB138&gt;25000,150,IF(DB138&gt;15000,130,IF(DB138&gt;10000,110,0)))))</f>
        <v>200</v>
      </c>
      <c r="DF138">
        <f>DB138-DC138-DD138-DE138</f>
        <v>41650</v>
      </c>
      <c r="DG138">
        <f>_xlfn.XLOOKUP(B138,'[11]january-2026'!$A:$A,'[11]january-2026'!$C:$C,0,0)</f>
        <v>34500</v>
      </c>
      <c r="DH138">
        <f>DG138*0.18</f>
        <v>6210</v>
      </c>
      <c r="DI138">
        <f>DG138*0.12</f>
        <v>4140</v>
      </c>
      <c r="DJ138">
        <f>_xlfn.XLOOKUP(B138,'[11]january-2026'!$A:$A,'[11]january-2026'!$D:$D,0,0)</f>
        <v>0</v>
      </c>
      <c r="DK138">
        <f>_xlfn.XLOOKUP(B138,'[11]january-2026'!$A:$A,'[11]january-2026'!$G:$G,0,0)</f>
        <v>0</v>
      </c>
      <c r="DL138">
        <f>IF(DG138&gt;0,SUM(DG138:DK138),0)</f>
        <v>44850</v>
      </c>
      <c r="DM138">
        <f>_xlfn.XLOOKUP(B138,'[11]january-2026'!$A:$A,'[11]january-2026'!$H:$H,0,0)</f>
        <v>3000</v>
      </c>
      <c r="DN138">
        <f>_xlfn.XLOOKUP(B138,'[11]january-2026'!$A:$A,'[11]january-2026'!$I:$I,0,0)</f>
        <v>0</v>
      </c>
      <c r="DO138">
        <f>IF($F138="YES",0,IF(DL138&gt;40000,200,IF(DL138&gt;25000,150,IF(DL138&gt;15000,130,IF(DL138&gt;10000,110,0)))))</f>
        <v>200</v>
      </c>
      <c r="DP138">
        <f>DL138-DM138-DN138-DO138</f>
        <v>41650</v>
      </c>
      <c r="DQ138">
        <f>_xlfn.XLOOKUP(B138,'[12]february-2026'!$A:$A,'[12]february-2026'!$C:$C,0,0)</f>
        <v>34500</v>
      </c>
      <c r="DR138">
        <f>DQ138*0.18</f>
        <v>6210</v>
      </c>
      <c r="DS138">
        <f>DQ138*0.12</f>
        <v>4140</v>
      </c>
      <c r="DT138">
        <f>_xlfn.XLOOKUP(B138,'[12]february-2026'!$A:$A,'[12]february-2026'!$D:$D,0,0)</f>
        <v>0</v>
      </c>
      <c r="DU138">
        <f>_xlfn.XLOOKUP(B138,'[12]february-2026'!$A:$A,'[12]february-2026'!$G:$G,0,0)</f>
        <v>0</v>
      </c>
      <c r="DV138">
        <f>IF(DQ138&gt;0,SUM(DQ138:DU138),0)</f>
        <v>44850</v>
      </c>
      <c r="DW138">
        <f>_xlfn.XLOOKUP(B138,'[12]february-2026'!$A:$A,'[12]february-2026'!$H:$H,0,0)</f>
        <v>3000</v>
      </c>
      <c r="DX138">
        <f>_xlfn.XLOOKUP(B138,'[12]february-2026'!$A:$A,'[12]february-2026'!$I:$I,0,0)</f>
        <v>0</v>
      </c>
      <c r="DY138">
        <f>IF($F138="YES",0,IF(DV138&gt;40000,200,IF(DV138&gt;25000,150,IF(DV138&gt;15000,130,IF(DV138&gt;10000,110,0)))))</f>
        <v>200</v>
      </c>
      <c r="DZ138">
        <f>DV138-DW138-DX138-DY138</f>
        <v>41650</v>
      </c>
      <c r="EA138">
        <f>DV138+DL138+DB138+CR138+CH138+BX138+BN138+BD138+AS138+AI138+Y138+O138+H138+I138</f>
        <v>538460</v>
      </c>
      <c r="EB138">
        <f>DY138+DO138+DE138+CU138+CK138+CA138+BQ138+BG138+AV138+AL138+AB138+R138</f>
        <v>2400</v>
      </c>
      <c r="EC138">
        <f>IF(EA138&gt;0,50000,0)</f>
        <v>50000</v>
      </c>
      <c r="ED138">
        <v>0</v>
      </c>
      <c r="EE138">
        <f>EA138-EB138-EC138</f>
        <v>486060</v>
      </c>
      <c r="EF138">
        <f>DW138+DM138+DC138+CS138+CI138+BY138+BO138+BE138+AT138+AJ138+Z138+P138</f>
        <v>36000</v>
      </c>
      <c r="EG138">
        <f>DX138+DN138+DD138+CT138+CJ138+BZ138+BP138+BF138+AU138+AK138+AA138+Q138</f>
        <v>0</v>
      </c>
      <c r="EH138">
        <v>0</v>
      </c>
      <c r="EI138">
        <v>0</v>
      </c>
      <c r="EJ138">
        <v>0</v>
      </c>
      <c r="EK138">
        <v>0</v>
      </c>
      <c r="EL138">
        <v>0</v>
      </c>
      <c r="EM138">
        <v>0</v>
      </c>
      <c r="EN138">
        <v>0</v>
      </c>
      <c r="EO138">
        <v>0</v>
      </c>
      <c r="EP138">
        <v>0</v>
      </c>
      <c r="EQ138">
        <v>0</v>
      </c>
      <c r="ER138">
        <f>SUM(EF138:EQ138)</f>
        <v>36000</v>
      </c>
      <c r="ES138">
        <f>IF(ER138&gt;=150000,150000,ER138)</f>
        <v>36000</v>
      </c>
      <c r="ET138">
        <f>EE138-ES138</f>
        <v>450060</v>
      </c>
      <c r="EU138">
        <v>0</v>
      </c>
      <c r="EV138">
        <v>0</v>
      </c>
      <c r="EW138">
        <v>0</v>
      </c>
      <c r="EX138">
        <v>0</v>
      </c>
      <c r="EY138">
        <v>0</v>
      </c>
      <c r="EZ138">
        <v>0</v>
      </c>
      <c r="FA138">
        <v>0</v>
      </c>
      <c r="FB138">
        <f>SUM(EU138:FA138)+(IF(F138="YES",50000,0))</f>
        <v>0</v>
      </c>
      <c r="FC138">
        <f>ET138-FB138</f>
        <v>450060</v>
      </c>
      <c r="FD138">
        <f>ROUND(IF(FC138&gt;0,IF(FC138&gt;500000,12500,(FC138-250000)*0.05),0),0)</f>
        <v>10003</v>
      </c>
      <c r="FE138">
        <f>IF(ROUND(IF(FC138&gt;0,IF(FC138&gt;1000000,25000,(FC138-500000)*0.2),0),0)&lt;0,0,ROUND(IF(FC138&gt;0,IF(FC138&gt;1000000,25000,(FC138-500000)*0.2),0),0))</f>
        <v>0</v>
      </c>
      <c r="FF138">
        <f>FD138+FE138</f>
        <v>10003</v>
      </c>
      <c r="FG138">
        <f>IF(FF138&lt;12500,0,FF138)</f>
        <v>0</v>
      </c>
      <c r="FH138">
        <f>FG138*0.04</f>
        <v>0</v>
      </c>
      <c r="FI138">
        <f>ROUND(FH138+FG138,0)</f>
        <v>0</v>
      </c>
      <c r="FJ138">
        <v>0</v>
      </c>
      <c r="FK138">
        <f>FI138-FJ138</f>
        <v>0</v>
      </c>
      <c r="FL138" t="b">
        <f>IF(EA138&gt;500000,TRUE,FALSE)</f>
        <v>1</v>
      </c>
      <c r="FM138">
        <f ca="1">IF(FL138,RANDBETWEEN(500,1000),RANDBETWEEN(1000,3000))</f>
        <v>535</v>
      </c>
      <c r="FN138">
        <f ca="1">EA138+FM138</f>
        <v>538995</v>
      </c>
      <c r="FO138">
        <f>IF(EA138&gt;0,75000,0)</f>
        <v>75000</v>
      </c>
      <c r="FP138">
        <f ca="1">FN138-FO138</f>
        <v>463995</v>
      </c>
      <c r="FQ138">
        <f ca="1">IF(FP138&gt;2400000,FP138-2400000,0)</f>
        <v>0</v>
      </c>
      <c r="FR138">
        <f ca="1">FQ138*0.3</f>
        <v>0</v>
      </c>
      <c r="FS138">
        <f ca="1">IF(FP138&gt;2000000,FP138-2000000,0)</f>
        <v>0</v>
      </c>
      <c r="FT138">
        <f ca="1">FS138*0.25</f>
        <v>0</v>
      </c>
      <c r="FU138">
        <f ca="1">IF(FP138&gt;1600000,FP138-1600000-FQ138,0)</f>
        <v>0</v>
      </c>
      <c r="FV138">
        <f ca="1">FU138*0.2</f>
        <v>0</v>
      </c>
      <c r="FW138">
        <f ca="1">IF(FP138&gt;1200000,FP138-1200000-IF(F138="YES",50000,0)-FU138,0)</f>
        <v>0</v>
      </c>
      <c r="FX138">
        <f ca="1">FW138*0.15</f>
        <v>0</v>
      </c>
      <c r="FY138">
        <f ca="1">IF(FP138&gt;800000,FP138-800000-FQ138-FU138-FW138,0)</f>
        <v>0</v>
      </c>
      <c r="FZ138">
        <f ca="1">FY138*0.1</f>
        <v>0</v>
      </c>
      <c r="GA138">
        <f ca="1">IF(FP138&gt;400000,FP138-400000-FQ138-FU138-FW138-FY138,0)</f>
        <v>63995</v>
      </c>
      <c r="GB138">
        <f ca="1">GA138*0.05</f>
        <v>3199.75</v>
      </c>
      <c r="GC138">
        <f ca="1">ROUND(FR138+FT138+FV138+FX138+FZ138+GB138,0)</f>
        <v>3200</v>
      </c>
      <c r="GD138">
        <f ca="1">IF(FP138&gt;1200000,FP138,0)</f>
        <v>0</v>
      </c>
      <c r="GE138">
        <f ca="1">IF(FP138&gt;1200000,GD138-1200000,0)</f>
        <v>0</v>
      </c>
      <c r="GF138">
        <f ca="1">IF(FP138&lt;1200001,MIN(GC138,60000),0)</f>
        <v>3200</v>
      </c>
      <c r="GG138">
        <f ca="1">IF(FP138&gt;1200000,GC138-GE138,0)</f>
        <v>0</v>
      </c>
      <c r="GH138" t="b">
        <f ca="1">IF(GG138&gt;0,TRUE,FALSE)</f>
        <v>0</v>
      </c>
      <c r="GI138">
        <f ca="1">IF(GH138,GG138,0)</f>
        <v>0</v>
      </c>
      <c r="GJ138">
        <f ca="1">GF138+GI138</f>
        <v>3200</v>
      </c>
      <c r="GK138">
        <f ca="1">ROUND(GC138-GJ138,0)</f>
        <v>0</v>
      </c>
      <c r="GL138">
        <f ca="1">GK138*0.04</f>
        <v>0</v>
      </c>
      <c r="GM138">
        <f ca="1">ROUNDUP(GK138+GL138,0)</f>
        <v>0</v>
      </c>
    </row>
    <row r="139" spans="1:195" x14ac:dyDescent="0.25">
      <c r="A139">
        <f>_xlfn.AGGREGATE(3,5,$B$2:B139)</f>
        <v>138</v>
      </c>
      <c r="B139" t="s">
        <v>389</v>
      </c>
      <c r="C139" t="s">
        <v>390</v>
      </c>
      <c r="D139" t="s">
        <v>790</v>
      </c>
      <c r="E139" t="s">
        <v>833</v>
      </c>
      <c r="F139" t="s">
        <v>959</v>
      </c>
      <c r="G139" t="s">
        <v>883</v>
      </c>
      <c r="H139">
        <f>IF(_xlfn.DAYS("31-03-2025",G139)&gt;=180,6800,0)</f>
        <v>6800</v>
      </c>
      <c r="I139">
        <f>_xlfn.XLOOKUP(B139,'[1]march-2025'!$A:$A,'[1]march-2025'!$J:$J,0,0)</f>
        <v>0</v>
      </c>
      <c r="J139">
        <f>_xlfn.XLOOKUP(B139,'[1]march-2025'!$A:$A,'[1]march-2025'!$C:$C,0,0)</f>
        <v>28900</v>
      </c>
      <c r="K139">
        <f>J139*0.14</f>
        <v>4046.0000000000005</v>
      </c>
      <c r="L139">
        <f>J139*0.12</f>
        <v>3468</v>
      </c>
      <c r="M139">
        <f>_xlfn.XLOOKUP(B139,'[1]march-2025'!$A:$A,'[1]march-2025'!$D:$D,0,0)</f>
        <v>0</v>
      </c>
      <c r="N139">
        <f>_xlfn.XLOOKUP(B139,'[1]march-2025'!$A:$A,'[1]march-2025'!$G:$G,0,0)</f>
        <v>500</v>
      </c>
      <c r="O139">
        <f>IF(J139&gt;0,SUM(J139:N139),0)</f>
        <v>36914</v>
      </c>
      <c r="P139">
        <f>_xlfn.XLOOKUP(B139,'[1]march-2025'!$A:$A,'[1]march-2025'!$H:$H,0,0)</f>
        <v>4000</v>
      </c>
      <c r="Q139">
        <f>_xlfn.XLOOKUP(B139,'[1]march-2025'!$A:$A,'[1]march-2025'!$I:$I,0,0)</f>
        <v>0</v>
      </c>
      <c r="R139">
        <f>IF($F139="YES",0,IF(O139&gt;40000,200,IF(O139&gt;25000,150,IF(O139&gt;15000,130,IF(O139&gt;10000,110,0)))))</f>
        <v>150</v>
      </c>
      <c r="S139">
        <f>O139-P139-Q139-R139</f>
        <v>32764</v>
      </c>
      <c r="T139">
        <f>_xlfn.XLOOKUP(B139,'[2]april-2025'!$A:$A,'[2]april-2025'!$C:$C,0,0)</f>
        <v>28900</v>
      </c>
      <c r="U139">
        <f>T139*0.18</f>
        <v>5202</v>
      </c>
      <c r="V139">
        <f>T139*0.12</f>
        <v>3468</v>
      </c>
      <c r="W139">
        <f>_xlfn.XLOOKUP(B139,'[2]april-2025'!$A:$A,'[2]april-2025'!$D:$D,0,0)</f>
        <v>0</v>
      </c>
      <c r="X139">
        <f>_xlfn.XLOOKUP(B139,'[2]april-2025'!$A:$A,'[2]april-2025'!$G:$G,0,0)</f>
        <v>500</v>
      </c>
      <c r="Y139">
        <f>IF(T139&gt;0,SUM(T139:X139),0)</f>
        <v>38070</v>
      </c>
      <c r="Z139">
        <f>_xlfn.XLOOKUP(B139,'[2]april-2025'!$A:$A,'[2]april-2025'!$H:$H,0,0)</f>
        <v>4000</v>
      </c>
      <c r="AA139">
        <f>_xlfn.XLOOKUP(B139,'[2]april-2025'!$A:$A,'[2]april-2025'!$I:$I,0,0)</f>
        <v>0</v>
      </c>
      <c r="AB139">
        <f>IF($F139="YES",0,IF(Y139&gt;40000,200,IF(Y139&gt;25000,150,IF(Y139&gt;15000,130,IF(Y139&gt;10000,110,0)))))</f>
        <v>150</v>
      </c>
      <c r="AC139">
        <f>Y139-Z139-AA139-AB139</f>
        <v>33920</v>
      </c>
      <c r="AD139">
        <f>_xlfn.XLOOKUP(B139,'[3]may-2025'!$A:$A,'[3]may-2025'!$C:$C,0,0)</f>
        <v>28900</v>
      </c>
      <c r="AE139">
        <f>AD139*0.18</f>
        <v>5202</v>
      </c>
      <c r="AF139">
        <f>AD139*0.12</f>
        <v>3468</v>
      </c>
      <c r="AG139">
        <f>_xlfn.XLOOKUP(B139,'[3]may-2025'!$A:$A,'[3]may-2025'!$D:$D,0,0)</f>
        <v>0</v>
      </c>
      <c r="AH139">
        <f>_xlfn.XLOOKUP(B139,'[3]may-2025'!$A:$A,'[3]may-2025'!$G:$G,0,0)</f>
        <v>500</v>
      </c>
      <c r="AI139">
        <f>IF(AD139&gt;0,SUM(AD139:AH139),0)</f>
        <v>38070</v>
      </c>
      <c r="AJ139">
        <f>_xlfn.XLOOKUP(B139,'[3]may-2025'!$A:$A,'[3]may-2025'!$H:$H,0,0)</f>
        <v>4000</v>
      </c>
      <c r="AK139">
        <f>_xlfn.XLOOKUP(B139,'[3]may-2025'!$A:$A,'[3]may-2025'!$I:$I,0,0)</f>
        <v>0</v>
      </c>
      <c r="AL139">
        <f>IF($F139="YES",0,IF(AI139&gt;40000,200,IF(AI139&gt;25000,150,IF(AI139&gt;15000,130,IF(AI139&gt;10000,110,0)))))</f>
        <v>150</v>
      </c>
      <c r="AM139">
        <f>AI139-AJ139-AK139-AL139</f>
        <v>33920</v>
      </c>
      <c r="AN139">
        <f>_xlfn.XLOOKUP(B139,'[4]june-2025'!$A:$A,'[4]june-2025'!$C:$C,0,0)</f>
        <v>28900</v>
      </c>
      <c r="AO139">
        <f>AN139*0.18</f>
        <v>5202</v>
      </c>
      <c r="AP139">
        <f>AN139*0.12</f>
        <v>3468</v>
      </c>
      <c r="AQ139">
        <f>_xlfn.XLOOKUP(B139,'[4]june-2025'!$A:$A,'[4]june-2025'!$D:$D,0,0)</f>
        <v>0</v>
      </c>
      <c r="AR139">
        <f>_xlfn.XLOOKUP(B139,'[4]june-2025'!$A:$A,'[4]june-2025'!$G:$G,0,0)</f>
        <v>500</v>
      </c>
      <c r="AS139">
        <f>IF(AN139&gt;0,SUM(AN139:AR139),0)</f>
        <v>38070</v>
      </c>
      <c r="AT139">
        <f>_xlfn.XLOOKUP(B139,'[4]june-2025'!$A:$A,'[4]june-2025'!$H:$H,0,0)</f>
        <v>4000</v>
      </c>
      <c r="AU139">
        <f>_xlfn.XLOOKUP(B139,'[4]june-2025'!$A:$A,'[4]june-2025'!$I:$I,0,0)</f>
        <v>0</v>
      </c>
      <c r="AV139">
        <f>IF($F139="YES",0,IF(AS139&gt;40000,200,IF(AS139&gt;25000,150,IF(AS139&gt;15000,130,IF(AS139&gt;10000,110,0)))))</f>
        <v>150</v>
      </c>
      <c r="AW139">
        <f>AS139-AT139-AU139-AV139</f>
        <v>33920</v>
      </c>
      <c r="AX139">
        <f>_xlfn.XLOOKUP(B139,'[5]july-2025'!$A:$A,'[5]july-2025'!$C:$C,0,0)</f>
        <v>29800</v>
      </c>
      <c r="AY139">
        <f>AX139*0.18</f>
        <v>5364</v>
      </c>
      <c r="AZ139">
        <v>0</v>
      </c>
      <c r="BA139">
        <f>AX139*0.12</f>
        <v>3576</v>
      </c>
      <c r="BB139">
        <f>_xlfn.XLOOKUP(B139,'[5]july-2025'!$A:$A,'[5]july-2025'!$D:$D,0,0)</f>
        <v>0</v>
      </c>
      <c r="BC139">
        <f>_xlfn.XLOOKUP(B139,'[5]july-2025'!$A:$A,'[5]july-2025'!$G:$G,0,0)</f>
        <v>500</v>
      </c>
      <c r="BD139">
        <f>IF(AX139&gt;0,SUM(AX139:BC139),0)</f>
        <v>39240</v>
      </c>
      <c r="BE139">
        <f>_xlfn.XLOOKUP(B139,'[5]july-2025'!$A:$A,'[5]july-2025'!$H:$H,0,0)</f>
        <v>4000</v>
      </c>
      <c r="BF139">
        <f>_xlfn.XLOOKUP(B139,'[5]july-2025'!$A:$A,'[5]july-2025'!$I:$I,0,0)</f>
        <v>0</v>
      </c>
      <c r="BG139">
        <f>IF($F139="YES",0,IF(BD139&gt;40000,200,IF(BD139&gt;25000,150,IF(BD139&gt;15000,130,IF(BD139&gt;10000,110,0)))))</f>
        <v>150</v>
      </c>
      <c r="BH139">
        <f>BD139-BE139-BF139-BG139</f>
        <v>35090</v>
      </c>
      <c r="BI139">
        <f>_xlfn.XLOOKUP(B139,'[6]august-2025'!$A:$A,'[6]august-2025'!$C:$C,0,0)</f>
        <v>29800</v>
      </c>
      <c r="BJ139">
        <f>BI139*0.18</f>
        <v>5364</v>
      </c>
      <c r="BK139">
        <f>BI139*0.12</f>
        <v>3576</v>
      </c>
      <c r="BL139">
        <f>_xlfn.XLOOKUP(B139,'[6]august-2025'!$A:$A,'[6]august-2025'!$D:$D,0,0)</f>
        <v>0</v>
      </c>
      <c r="BM139">
        <f>_xlfn.XLOOKUP(B139,'[6]august-2025'!$A:$A,'[6]august-2025'!$G:$G,0,0)</f>
        <v>500</v>
      </c>
      <c r="BN139">
        <f>IF(BI139&gt;0,SUM(BI139:BM139),0)</f>
        <v>39240</v>
      </c>
      <c r="BO139">
        <f>_xlfn.XLOOKUP(B139,'[6]august-2025'!$A:$A,'[6]august-2025'!$H:$H,0,0)</f>
        <v>4000</v>
      </c>
      <c r="BP139">
        <f>_xlfn.XLOOKUP(B139,'[6]august-2025'!$A:$A,'[6]august-2025'!$I:$I,0,0)</f>
        <v>0</v>
      </c>
      <c r="BQ139">
        <f>IF($F139="YES",0,IF(BN139&gt;40000,200,IF(BN139&gt;25000,150,IF(BN139&gt;15000,130,IF(BN139&gt;10000,110,0)))))</f>
        <v>150</v>
      </c>
      <c r="BR139">
        <f>BN139-BO139-BP139-BQ139</f>
        <v>35090</v>
      </c>
      <c r="BS139">
        <f>_xlfn.XLOOKUP(B139,'[7]september-2025'!$A:$A,'[7]september-2025'!$C:$C,0,0)</f>
        <v>29800</v>
      </c>
      <c r="BT139">
        <f>BS139*0.18</f>
        <v>5364</v>
      </c>
      <c r="BU139">
        <f>BS139*0.12</f>
        <v>3576</v>
      </c>
      <c r="BV139">
        <f>_xlfn.XLOOKUP(B139,'[7]september-2025'!$A:$A,'[7]september-2025'!$D:$D,0,0)</f>
        <v>0</v>
      </c>
      <c r="BW139">
        <f>_xlfn.XLOOKUP(B139,'[7]september-2025'!$A:$A,'[7]september-2025'!$G:$G,0,0)</f>
        <v>500</v>
      </c>
      <c r="BX139">
        <f>IF(BS139&gt;0,SUM(BS139:BW139),0)</f>
        <v>39240</v>
      </c>
      <c r="BY139">
        <f>_xlfn.XLOOKUP(B139,'[7]september-2025'!$A:$A,'[7]september-2025'!$H:$H,0,0)</f>
        <v>4000</v>
      </c>
      <c r="BZ139">
        <f>_xlfn.XLOOKUP(B139,'[7]september-2025'!$A:$A,'[7]september-2025'!$I:$I,0,0)</f>
        <v>0</v>
      </c>
      <c r="CA139">
        <f>IF($F139="YES",0,IF(BX139&gt;40000,200,IF(BX139&gt;25000,150,IF(BX139&gt;15000,130,IF(BX139&gt;10000,110,0)))))</f>
        <v>150</v>
      </c>
      <c r="CB139">
        <f>BX139-BY139-BZ139-CA139</f>
        <v>35090</v>
      </c>
      <c r="CC139">
        <f>_xlfn.XLOOKUP(B139,'[8]october-2025'!$A:$A,'[8]october-2025'!$C:$C,0,0)</f>
        <v>29800</v>
      </c>
      <c r="CD139">
        <f>CC139*0.18</f>
        <v>5364</v>
      </c>
      <c r="CE139">
        <f>CC139*0.12</f>
        <v>3576</v>
      </c>
      <c r="CF139">
        <f>_xlfn.XLOOKUP(B139,'[8]october-2025'!$A:$A,'[8]october-2025'!$D:$D,0,0)</f>
        <v>0</v>
      </c>
      <c r="CG139">
        <f>_xlfn.XLOOKUP(B139,'[8]october-2025'!$A:$A,'[8]october-2025'!$G:$G,0,0)</f>
        <v>500</v>
      </c>
      <c r="CH139">
        <f>IF(CC139&gt;0,SUM(CC139:CG139),0)</f>
        <v>39240</v>
      </c>
      <c r="CI139">
        <f>_xlfn.XLOOKUP(B139,'[8]october-2025'!$A:$A,'[8]october-2025'!$H:$H,0,0)</f>
        <v>4000</v>
      </c>
      <c r="CJ139">
        <f>_xlfn.XLOOKUP(B139,'[8]october-2025'!$A:$A,'[8]october-2025'!$I:$I,0,0)</f>
        <v>0</v>
      </c>
      <c r="CK139">
        <f>IF($F139="YES",0,IF(CH139&gt;40000,200,IF(CH139&gt;25000,150,IF(CH139&gt;15000,130,IF(CH139&gt;10000,110,0)))))</f>
        <v>150</v>
      </c>
      <c r="CL139">
        <f>CH139-CI139-CJ139-CK139</f>
        <v>35090</v>
      </c>
      <c r="CM139">
        <f>_xlfn.XLOOKUP(B139,'[9]november-2025'!$A:$A,'[9]november-2025'!$C:$C,0,0)</f>
        <v>29800</v>
      </c>
      <c r="CN139">
        <f>CM139*0.18</f>
        <v>5364</v>
      </c>
      <c r="CO139">
        <f>CM139*0.12</f>
        <v>3576</v>
      </c>
      <c r="CP139">
        <f>_xlfn.XLOOKUP(B139,'[9]november-2025'!$A:$A,'[9]november-2025'!$D:$D,0,0)</f>
        <v>0</v>
      </c>
      <c r="CQ139">
        <f>_xlfn.XLOOKUP(B139,'[9]november-2025'!$A:$A,'[9]november-2025'!$G:$G,0,0)</f>
        <v>500</v>
      </c>
      <c r="CR139">
        <f>IF(CM139&gt;0,SUM(CM139:CQ139),0)</f>
        <v>39240</v>
      </c>
      <c r="CS139">
        <f>_xlfn.XLOOKUP(B139,'[9]november-2025'!$A:$A,'[9]november-2025'!$H:$H,0,0)</f>
        <v>4000</v>
      </c>
      <c r="CT139">
        <f>_xlfn.XLOOKUP(B139,'[9]november-2025'!$A:$A,'[9]november-2025'!$I:$I,0,0)</f>
        <v>0</v>
      </c>
      <c r="CU139">
        <f>IF($F139="YES",0,IF(CR139&gt;40000,200,IF(CR139&gt;25000,150,IF(CR139&gt;15000,130,IF(CR139&gt;10000,110,0)))))</f>
        <v>150</v>
      </c>
      <c r="CV139">
        <f>CR139-CS139-CT139-CU139</f>
        <v>35090</v>
      </c>
      <c r="CW139">
        <f>_xlfn.XLOOKUP(B139,'[10]december-2025'!$A:$A,'[10]december-2025'!$C:$C,0,0)</f>
        <v>29800</v>
      </c>
      <c r="CX139">
        <f>ROUND(CW139*0.18,0)</f>
        <v>5364</v>
      </c>
      <c r="CY139">
        <f>ROUND(CW139*0.12,0)</f>
        <v>3576</v>
      </c>
      <c r="CZ139">
        <f>_xlfn.XLOOKUP(B139,'[10]december-2025'!$A:$A,'[10]december-2025'!$D:$D,0,0)</f>
        <v>0</v>
      </c>
      <c r="DA139">
        <f>_xlfn.XLOOKUP(B139,'[10]december-2025'!$A:$A,'[10]december-2025'!$G:$G,0,0)</f>
        <v>500</v>
      </c>
      <c r="DB139">
        <f>IF(CW139&gt;0,SUM(CW139:DA139),0)</f>
        <v>39240</v>
      </c>
      <c r="DC139">
        <f>_xlfn.XLOOKUP(B139,'[10]december-2025'!$A:$A,'[10]december-2025'!$H:$H,0,0)</f>
        <v>4000</v>
      </c>
      <c r="DD139">
        <f>_xlfn.XLOOKUP(B139,'[10]december-2025'!$A:$A,'[10]december-2025'!$I:$I,0,0)</f>
        <v>0</v>
      </c>
      <c r="DE139">
        <f>IF($F139="YES",0,IF(DB139&gt;40000,200,IF(DB139&gt;25000,150,IF(DB139&gt;15000,130,IF(DB139&gt;10000,110,0)))))</f>
        <v>150</v>
      </c>
      <c r="DF139">
        <f>DB139-DC139-DD139-DE139</f>
        <v>35090</v>
      </c>
      <c r="DG139">
        <f>_xlfn.XLOOKUP(B139,'[11]january-2026'!$A:$A,'[11]january-2026'!$C:$C,0,0)</f>
        <v>29800</v>
      </c>
      <c r="DH139">
        <f>DG139*0.18</f>
        <v>5364</v>
      </c>
      <c r="DI139">
        <f>DG139*0.12</f>
        <v>3576</v>
      </c>
      <c r="DJ139">
        <f>_xlfn.XLOOKUP(B139,'[11]january-2026'!$A:$A,'[11]january-2026'!$D:$D,0,0)</f>
        <v>0</v>
      </c>
      <c r="DK139">
        <f>_xlfn.XLOOKUP(B139,'[11]january-2026'!$A:$A,'[11]january-2026'!$G:$G,0,0)</f>
        <v>500</v>
      </c>
      <c r="DL139">
        <f>IF(DG139&gt;0,SUM(DG139:DK139),0)</f>
        <v>39240</v>
      </c>
      <c r="DM139">
        <f>_xlfn.XLOOKUP(B139,'[11]january-2026'!$A:$A,'[11]january-2026'!$H:$H,0,0)</f>
        <v>4000</v>
      </c>
      <c r="DN139">
        <f>_xlfn.XLOOKUP(B139,'[11]january-2026'!$A:$A,'[11]january-2026'!$I:$I,0,0)</f>
        <v>0</v>
      </c>
      <c r="DO139">
        <f>IF($F139="YES",0,IF(DL139&gt;40000,200,IF(DL139&gt;25000,150,IF(DL139&gt;15000,130,IF(DL139&gt;10000,110,0)))))</f>
        <v>150</v>
      </c>
      <c r="DP139">
        <f>DL139-DM139-DN139-DO139</f>
        <v>35090</v>
      </c>
      <c r="DQ139">
        <f>_xlfn.XLOOKUP(B139,'[12]february-2026'!$A:$A,'[12]february-2026'!$C:$C,0,0)</f>
        <v>29800</v>
      </c>
      <c r="DR139">
        <f>DQ139*0.18</f>
        <v>5364</v>
      </c>
      <c r="DS139">
        <f>DQ139*0.12</f>
        <v>3576</v>
      </c>
      <c r="DT139">
        <f>_xlfn.XLOOKUP(B139,'[12]february-2026'!$A:$A,'[12]february-2026'!$D:$D,0,0)</f>
        <v>0</v>
      </c>
      <c r="DU139">
        <f>_xlfn.XLOOKUP(B139,'[12]february-2026'!$A:$A,'[12]february-2026'!$G:$G,0,0)</f>
        <v>500</v>
      </c>
      <c r="DV139">
        <f>IF(DQ139&gt;0,SUM(DQ139:DU139),0)</f>
        <v>39240</v>
      </c>
      <c r="DW139">
        <f>_xlfn.XLOOKUP(B139,'[12]february-2026'!$A:$A,'[12]february-2026'!$H:$H,0,0)</f>
        <v>4000</v>
      </c>
      <c r="DX139">
        <f>_xlfn.XLOOKUP(B139,'[12]february-2026'!$A:$A,'[12]february-2026'!$I:$I,0,0)</f>
        <v>0</v>
      </c>
      <c r="DY139">
        <f>IF($F139="YES",0,IF(DV139&gt;40000,200,IF(DV139&gt;25000,150,IF(DV139&gt;15000,130,IF(DV139&gt;10000,110,0)))))</f>
        <v>150</v>
      </c>
      <c r="DZ139">
        <f>DV139-DW139-DX139-DY139</f>
        <v>35090</v>
      </c>
      <c r="EA139">
        <f>DV139+DL139+DB139+CR139+CH139+BX139+BN139+BD139+AS139+AI139+Y139+O139+H139+I139</f>
        <v>471844</v>
      </c>
      <c r="EB139">
        <f>DY139+DO139+DE139+CU139+CK139+CA139+BQ139+BG139+AV139+AL139+AB139+R139</f>
        <v>1800</v>
      </c>
      <c r="EC139">
        <f>IF(EA139&gt;0,50000,0)</f>
        <v>50000</v>
      </c>
      <c r="ED139">
        <v>0</v>
      </c>
      <c r="EE139">
        <f>EA139-EB139-EC139</f>
        <v>420044</v>
      </c>
      <c r="EF139">
        <f>DW139+DM139+DC139+CS139+CI139+BY139+BO139+BE139+AT139+AJ139+Z139+P139</f>
        <v>48000</v>
      </c>
      <c r="EG139">
        <f>DX139+DN139+DD139+CT139+CJ139+BZ139+BP139+BF139+AU139+AK139+AA139+Q139</f>
        <v>0</v>
      </c>
      <c r="EH139">
        <v>0</v>
      </c>
      <c r="EI139">
        <v>0</v>
      </c>
      <c r="EJ139">
        <v>0</v>
      </c>
      <c r="EK139">
        <v>0</v>
      </c>
      <c r="EL139">
        <v>0</v>
      </c>
      <c r="EM139">
        <v>0</v>
      </c>
      <c r="EN139">
        <v>0</v>
      </c>
      <c r="EO139">
        <v>0</v>
      </c>
      <c r="EP139">
        <v>0</v>
      </c>
      <c r="EQ139">
        <v>0</v>
      </c>
      <c r="ER139">
        <f>SUM(EF139:EQ139)</f>
        <v>48000</v>
      </c>
      <c r="ES139">
        <f>IF(ER139&gt;=150000,150000,ER139)</f>
        <v>48000</v>
      </c>
      <c r="ET139">
        <f>EE139-ES139</f>
        <v>372044</v>
      </c>
      <c r="EU139">
        <v>0</v>
      </c>
      <c r="EV139">
        <v>0</v>
      </c>
      <c r="EW139">
        <v>0</v>
      </c>
      <c r="EX139">
        <v>0</v>
      </c>
      <c r="EY139">
        <v>0</v>
      </c>
      <c r="EZ139">
        <v>0</v>
      </c>
      <c r="FA139">
        <v>0</v>
      </c>
      <c r="FB139">
        <f>SUM(EU139:FA139)+(IF(F139="YES",50000,0))</f>
        <v>0</v>
      </c>
      <c r="FC139">
        <f>ET139-FB139</f>
        <v>372044</v>
      </c>
      <c r="FD139">
        <f>ROUND(IF(FC139&gt;0,IF(FC139&gt;500000,12500,(FC139-250000)*0.05),0),0)</f>
        <v>6102</v>
      </c>
      <c r="FE139">
        <f>IF(ROUND(IF(FC139&gt;0,IF(FC139&gt;1000000,25000,(FC139-500000)*0.2),0),0)&lt;0,0,ROUND(IF(FC139&gt;0,IF(FC139&gt;1000000,25000,(FC139-500000)*0.2),0),0))</f>
        <v>0</v>
      </c>
      <c r="FF139">
        <f>FD139+FE139</f>
        <v>6102</v>
      </c>
      <c r="FG139">
        <f>IF(FF139&lt;12500,0,FF139)</f>
        <v>0</v>
      </c>
      <c r="FH139">
        <f>FG139*0.04</f>
        <v>0</v>
      </c>
      <c r="FI139">
        <f>ROUND(FH139+FG139,0)</f>
        <v>0</v>
      </c>
      <c r="FJ139">
        <v>0</v>
      </c>
      <c r="FK139">
        <f>FI139-FJ139</f>
        <v>0</v>
      </c>
      <c r="FL139" t="b">
        <f>IF(EA139&gt;500000,TRUE,FALSE)</f>
        <v>0</v>
      </c>
      <c r="FM139">
        <f ca="1">IF(FL139,RANDBETWEEN(500,1000),RANDBETWEEN(1000,3000))</f>
        <v>2821</v>
      </c>
      <c r="FN139">
        <f ca="1">EA139+FM139</f>
        <v>474665</v>
      </c>
      <c r="FO139">
        <f>IF(EA139&gt;0,75000,0)</f>
        <v>75000</v>
      </c>
      <c r="FP139">
        <f ca="1">FN139-FO139</f>
        <v>399665</v>
      </c>
      <c r="FQ139">
        <f ca="1">IF(FP139&gt;2400000,FP139-2400000,0)</f>
        <v>0</v>
      </c>
      <c r="FR139">
        <f ca="1">FQ139*0.3</f>
        <v>0</v>
      </c>
      <c r="FS139">
        <f ca="1">IF(FP139&gt;2000000,FP139-2000000,0)</f>
        <v>0</v>
      </c>
      <c r="FT139">
        <f ca="1">FS139*0.25</f>
        <v>0</v>
      </c>
      <c r="FU139">
        <f ca="1">IF(FP139&gt;1600000,FP139-1600000-FQ139,0)</f>
        <v>0</v>
      </c>
      <c r="FV139">
        <f ca="1">FU139*0.2</f>
        <v>0</v>
      </c>
      <c r="FW139">
        <f ca="1">IF(FP139&gt;1200000,FP139-1200000-IF(F139="YES",50000,0)-FU139,0)</f>
        <v>0</v>
      </c>
      <c r="FX139">
        <f ca="1">FW139*0.15</f>
        <v>0</v>
      </c>
      <c r="FY139">
        <f ca="1">IF(FP139&gt;800000,FP139-800000-FQ139-FU139-FW139,0)</f>
        <v>0</v>
      </c>
      <c r="FZ139">
        <f ca="1">FY139*0.1</f>
        <v>0</v>
      </c>
      <c r="GA139">
        <f ca="1">IF(FP139&gt;400000,FP139-400000-FQ139-FU139-FW139-FY139,0)</f>
        <v>0</v>
      </c>
      <c r="GB139">
        <f ca="1">GA139*0.05</f>
        <v>0</v>
      </c>
      <c r="GC139">
        <f ca="1">ROUND(FR139+FT139+FV139+FX139+FZ139+GB139,0)</f>
        <v>0</v>
      </c>
      <c r="GD139">
        <f ca="1">IF(FP139&gt;1200000,FP139,0)</f>
        <v>0</v>
      </c>
      <c r="GE139">
        <f ca="1">IF(FP139&gt;1200000,GD139-1200000,0)</f>
        <v>0</v>
      </c>
      <c r="GF139">
        <f ca="1">IF(FP139&lt;1200001,MIN(GC139,60000),0)</f>
        <v>0</v>
      </c>
      <c r="GG139">
        <f ca="1">IF(FP139&gt;1200000,GC139-GE139,0)</f>
        <v>0</v>
      </c>
      <c r="GH139" t="b">
        <f ca="1">IF(GG139&gt;0,TRUE,FALSE)</f>
        <v>0</v>
      </c>
      <c r="GI139">
        <f ca="1">IF(GH139,GG139,0)</f>
        <v>0</v>
      </c>
      <c r="GJ139">
        <f ca="1">GF139+GI139</f>
        <v>0</v>
      </c>
      <c r="GK139">
        <f ca="1">ROUND(GC139-GJ139,0)</f>
        <v>0</v>
      </c>
      <c r="GL139">
        <f ca="1">GK139*0.04</f>
        <v>0</v>
      </c>
      <c r="GM139">
        <f ca="1">ROUNDUP(GK139+GL139,0)</f>
        <v>0</v>
      </c>
    </row>
    <row r="140" spans="1:195" x14ac:dyDescent="0.25">
      <c r="A140">
        <f>_xlfn.AGGREGATE(3,5,$B$2:B140)</f>
        <v>139</v>
      </c>
      <c r="B140" t="s">
        <v>391</v>
      </c>
      <c r="C140" t="s">
        <v>392</v>
      </c>
      <c r="D140" t="s">
        <v>790</v>
      </c>
      <c r="E140" t="s">
        <v>833</v>
      </c>
      <c r="F140" t="s">
        <v>959</v>
      </c>
      <c r="G140" t="s">
        <v>885</v>
      </c>
      <c r="H140">
        <f>IF(_xlfn.DAYS("31-03-2025",G140)&gt;=180,6800,0)</f>
        <v>6800</v>
      </c>
      <c r="I140">
        <f>_xlfn.XLOOKUP(B140,'[1]march-2025'!$A:$A,'[1]march-2025'!$J:$J,0,0)</f>
        <v>0</v>
      </c>
      <c r="J140">
        <f>_xlfn.XLOOKUP(B140,'[1]march-2025'!$A:$A,'[1]march-2025'!$C:$C,0,0)</f>
        <v>28900</v>
      </c>
      <c r="K140">
        <f>J140*0.14</f>
        <v>4046.0000000000005</v>
      </c>
      <c r="L140">
        <f>J140*0.12</f>
        <v>3468</v>
      </c>
      <c r="M140">
        <f>_xlfn.XLOOKUP(B140,'[1]march-2025'!$A:$A,'[1]march-2025'!$D:$D,0,0)</f>
        <v>0</v>
      </c>
      <c r="N140">
        <f>_xlfn.XLOOKUP(B140,'[1]march-2025'!$A:$A,'[1]march-2025'!$G:$G,0,0)</f>
        <v>0</v>
      </c>
      <c r="O140">
        <f>IF(J140&gt;0,SUM(J140:N140),0)</f>
        <v>36414</v>
      </c>
      <c r="P140">
        <f>_xlfn.XLOOKUP(B140,'[1]march-2025'!$A:$A,'[1]march-2025'!$H:$H,0,0)</f>
        <v>0</v>
      </c>
      <c r="Q140">
        <f>_xlfn.XLOOKUP(B140,'[1]march-2025'!$A:$A,'[1]march-2025'!$I:$I,0,0)</f>
        <v>0</v>
      </c>
      <c r="R140">
        <f>IF($F140="YES",0,IF(O140&gt;40000,200,IF(O140&gt;25000,150,IF(O140&gt;15000,130,IF(O140&gt;10000,110,0)))))</f>
        <v>150</v>
      </c>
      <c r="S140">
        <f>O140-P140-Q140-R140</f>
        <v>36264</v>
      </c>
      <c r="T140">
        <f>_xlfn.XLOOKUP(B140,'[2]april-2025'!$A:$A,'[2]april-2025'!$C:$C,0,0)</f>
        <v>28900</v>
      </c>
      <c r="U140">
        <f>T140*0.18</f>
        <v>5202</v>
      </c>
      <c r="V140">
        <f>T140*0.12</f>
        <v>3468</v>
      </c>
      <c r="W140">
        <f>_xlfn.XLOOKUP(B140,'[2]april-2025'!$A:$A,'[2]april-2025'!$D:$D,0,0)</f>
        <v>0</v>
      </c>
      <c r="X140">
        <f>_xlfn.XLOOKUP(B140,'[2]april-2025'!$A:$A,'[2]april-2025'!$G:$G,0,0)</f>
        <v>0</v>
      </c>
      <c r="Y140">
        <f>IF(T140&gt;0,SUM(T140:X140),0)</f>
        <v>37570</v>
      </c>
      <c r="Z140">
        <f>_xlfn.XLOOKUP(B140,'[2]april-2025'!$A:$A,'[2]april-2025'!$H:$H,0,0)</f>
        <v>0</v>
      </c>
      <c r="AA140">
        <f>_xlfn.XLOOKUP(B140,'[2]april-2025'!$A:$A,'[2]april-2025'!$I:$I,0,0)</f>
        <v>0</v>
      </c>
      <c r="AB140">
        <f>IF($F140="YES",0,IF(Y140&gt;40000,200,IF(Y140&gt;25000,150,IF(Y140&gt;15000,130,IF(Y140&gt;10000,110,0)))))</f>
        <v>150</v>
      </c>
      <c r="AC140">
        <f>Y140-Z140-AA140-AB140</f>
        <v>37420</v>
      </c>
      <c r="AD140">
        <f>_xlfn.XLOOKUP(B140,'[3]may-2025'!$A:$A,'[3]may-2025'!$C:$C,0,0)</f>
        <v>28900</v>
      </c>
      <c r="AE140">
        <f>AD140*0.18</f>
        <v>5202</v>
      </c>
      <c r="AF140">
        <f>AD140*0.12</f>
        <v>3468</v>
      </c>
      <c r="AG140">
        <f>_xlfn.XLOOKUP(B140,'[3]may-2025'!$A:$A,'[3]may-2025'!$D:$D,0,0)</f>
        <v>0</v>
      </c>
      <c r="AH140">
        <f>_xlfn.XLOOKUP(B140,'[3]may-2025'!$A:$A,'[3]may-2025'!$G:$G,0,0)</f>
        <v>0</v>
      </c>
      <c r="AI140">
        <f>IF(AD140&gt;0,SUM(AD140:AH140),0)</f>
        <v>37570</v>
      </c>
      <c r="AJ140">
        <f>_xlfn.XLOOKUP(B140,'[3]may-2025'!$A:$A,'[3]may-2025'!$H:$H,0,0)</f>
        <v>0</v>
      </c>
      <c r="AK140">
        <f>_xlfn.XLOOKUP(B140,'[3]may-2025'!$A:$A,'[3]may-2025'!$I:$I,0,0)</f>
        <v>0</v>
      </c>
      <c r="AL140">
        <f>IF($F140="YES",0,IF(AI140&gt;40000,200,IF(AI140&gt;25000,150,IF(AI140&gt;15000,130,IF(AI140&gt;10000,110,0)))))</f>
        <v>150</v>
      </c>
      <c r="AM140">
        <f>AI140-AJ140-AK140-AL140</f>
        <v>37420</v>
      </c>
      <c r="AN140">
        <f>_xlfn.XLOOKUP(B140,'[4]june-2025'!$A:$A,'[4]june-2025'!$C:$C,0,0)</f>
        <v>28900</v>
      </c>
      <c r="AO140">
        <f>AN140*0.18</f>
        <v>5202</v>
      </c>
      <c r="AP140">
        <f>AN140*0.12</f>
        <v>3468</v>
      </c>
      <c r="AQ140">
        <f>_xlfn.XLOOKUP(B140,'[4]june-2025'!$A:$A,'[4]june-2025'!$D:$D,0,0)</f>
        <v>0</v>
      </c>
      <c r="AR140">
        <f>_xlfn.XLOOKUP(B140,'[4]june-2025'!$A:$A,'[4]june-2025'!$G:$G,0,0)</f>
        <v>0</v>
      </c>
      <c r="AS140">
        <f>IF(AN140&gt;0,SUM(AN140:AR140),0)</f>
        <v>37570</v>
      </c>
      <c r="AT140">
        <f>_xlfn.XLOOKUP(B140,'[4]june-2025'!$A:$A,'[4]june-2025'!$H:$H,0,0)</f>
        <v>0</v>
      </c>
      <c r="AU140">
        <f>_xlfn.XLOOKUP(B140,'[4]june-2025'!$A:$A,'[4]june-2025'!$I:$I,0,0)</f>
        <v>0</v>
      </c>
      <c r="AV140">
        <f>IF($F140="YES",0,IF(AS140&gt;40000,200,IF(AS140&gt;25000,150,IF(AS140&gt;15000,130,IF(AS140&gt;10000,110,0)))))</f>
        <v>150</v>
      </c>
      <c r="AW140">
        <f>AS140-AT140-AU140-AV140</f>
        <v>37420</v>
      </c>
      <c r="AX140">
        <f>_xlfn.XLOOKUP(B140,'[5]july-2025'!$A:$A,'[5]july-2025'!$C:$C,0,0)</f>
        <v>29800</v>
      </c>
      <c r="AY140">
        <f>AX140*0.18</f>
        <v>5364</v>
      </c>
      <c r="AZ140">
        <v>0</v>
      </c>
      <c r="BA140">
        <f>AX140*0.12</f>
        <v>3576</v>
      </c>
      <c r="BB140">
        <f>_xlfn.XLOOKUP(B140,'[5]july-2025'!$A:$A,'[5]july-2025'!$D:$D,0,0)</f>
        <v>0</v>
      </c>
      <c r="BC140">
        <f>_xlfn.XLOOKUP(B140,'[5]july-2025'!$A:$A,'[5]july-2025'!$G:$G,0,0)</f>
        <v>0</v>
      </c>
      <c r="BD140">
        <f>IF(AX140&gt;0,SUM(AX140:BC140),0)</f>
        <v>38740</v>
      </c>
      <c r="BE140">
        <f>_xlfn.XLOOKUP(B140,'[5]july-2025'!$A:$A,'[5]july-2025'!$H:$H,0,0)</f>
        <v>0</v>
      </c>
      <c r="BF140">
        <f>_xlfn.XLOOKUP(B140,'[5]july-2025'!$A:$A,'[5]july-2025'!$I:$I,0,0)</f>
        <v>0</v>
      </c>
      <c r="BG140">
        <f>IF($F140="YES",0,IF(BD140&gt;40000,200,IF(BD140&gt;25000,150,IF(BD140&gt;15000,130,IF(BD140&gt;10000,110,0)))))</f>
        <v>150</v>
      </c>
      <c r="BH140">
        <f>BD140-BE140-BF140-BG140</f>
        <v>38590</v>
      </c>
      <c r="BI140">
        <f>_xlfn.XLOOKUP(B140,'[6]august-2025'!$A:$A,'[6]august-2025'!$C:$C,0,0)</f>
        <v>29800</v>
      </c>
      <c r="BJ140">
        <f>BI140*0.18</f>
        <v>5364</v>
      </c>
      <c r="BK140">
        <f>BI140*0.12</f>
        <v>3576</v>
      </c>
      <c r="BL140">
        <f>_xlfn.XLOOKUP(B140,'[6]august-2025'!$A:$A,'[6]august-2025'!$D:$D,0,0)</f>
        <v>0</v>
      </c>
      <c r="BM140">
        <f>_xlfn.XLOOKUP(B140,'[6]august-2025'!$A:$A,'[6]august-2025'!$G:$G,0,0)</f>
        <v>0</v>
      </c>
      <c r="BN140">
        <f>IF(BI140&gt;0,SUM(BI140:BM140),0)</f>
        <v>38740</v>
      </c>
      <c r="BO140">
        <f>_xlfn.XLOOKUP(B140,'[6]august-2025'!$A:$A,'[6]august-2025'!$H:$H,0,0)</f>
        <v>0</v>
      </c>
      <c r="BP140">
        <f>_xlfn.XLOOKUP(B140,'[6]august-2025'!$A:$A,'[6]august-2025'!$I:$I,0,0)</f>
        <v>0</v>
      </c>
      <c r="BQ140">
        <f>IF($F140="YES",0,IF(BN140&gt;40000,200,IF(BN140&gt;25000,150,IF(BN140&gt;15000,130,IF(BN140&gt;10000,110,0)))))</f>
        <v>150</v>
      </c>
      <c r="BR140">
        <f>BN140-BO140-BP140-BQ140</f>
        <v>38590</v>
      </c>
      <c r="BS140">
        <f>_xlfn.XLOOKUP(B140,'[7]september-2025'!$A:$A,'[7]september-2025'!$C:$C,0,0)</f>
        <v>29800</v>
      </c>
      <c r="BT140">
        <f>BS140*0.18</f>
        <v>5364</v>
      </c>
      <c r="BU140">
        <f>BS140*0.12</f>
        <v>3576</v>
      </c>
      <c r="BV140">
        <f>_xlfn.XLOOKUP(B140,'[7]september-2025'!$A:$A,'[7]september-2025'!$D:$D,0,0)</f>
        <v>0</v>
      </c>
      <c r="BW140">
        <f>_xlfn.XLOOKUP(B140,'[7]september-2025'!$A:$A,'[7]september-2025'!$G:$G,0,0)</f>
        <v>0</v>
      </c>
      <c r="BX140">
        <f>IF(BS140&gt;0,SUM(BS140:BW140),0)</f>
        <v>38740</v>
      </c>
      <c r="BY140">
        <f>_xlfn.XLOOKUP(B140,'[7]september-2025'!$A:$A,'[7]september-2025'!$H:$H,0,0)</f>
        <v>2000</v>
      </c>
      <c r="BZ140">
        <f>_xlfn.XLOOKUP(B140,'[7]september-2025'!$A:$A,'[7]september-2025'!$I:$I,0,0)</f>
        <v>0</v>
      </c>
      <c r="CA140">
        <f>IF($F140="YES",0,IF(BX140&gt;40000,200,IF(BX140&gt;25000,150,IF(BX140&gt;15000,130,IF(BX140&gt;10000,110,0)))))</f>
        <v>150</v>
      </c>
      <c r="CB140">
        <f>BX140-BY140-BZ140-CA140</f>
        <v>36590</v>
      </c>
      <c r="CC140">
        <f>_xlfn.XLOOKUP(B140,'[8]october-2025'!$A:$A,'[8]october-2025'!$C:$C,0,0)</f>
        <v>29800</v>
      </c>
      <c r="CD140">
        <f>CC140*0.18</f>
        <v>5364</v>
      </c>
      <c r="CE140">
        <f>CC140*0.12</f>
        <v>3576</v>
      </c>
      <c r="CF140">
        <f>_xlfn.XLOOKUP(B140,'[8]october-2025'!$A:$A,'[8]october-2025'!$D:$D,0,0)</f>
        <v>0</v>
      </c>
      <c r="CG140">
        <f>_xlfn.XLOOKUP(B140,'[8]october-2025'!$A:$A,'[8]october-2025'!$G:$G,0,0)</f>
        <v>0</v>
      </c>
      <c r="CH140">
        <f>IF(CC140&gt;0,SUM(CC140:CG140),0)</f>
        <v>38740</v>
      </c>
      <c r="CI140">
        <f>_xlfn.XLOOKUP(B140,'[8]october-2025'!$A:$A,'[8]october-2025'!$H:$H,0,0)</f>
        <v>2000</v>
      </c>
      <c r="CJ140">
        <f>_xlfn.XLOOKUP(B140,'[8]october-2025'!$A:$A,'[8]october-2025'!$I:$I,0,0)</f>
        <v>0</v>
      </c>
      <c r="CK140">
        <f>IF($F140="YES",0,IF(CH140&gt;40000,200,IF(CH140&gt;25000,150,IF(CH140&gt;15000,130,IF(CH140&gt;10000,110,0)))))</f>
        <v>150</v>
      </c>
      <c r="CL140">
        <f>CH140-CI140-CJ140-CK140</f>
        <v>36590</v>
      </c>
      <c r="CM140">
        <f>_xlfn.XLOOKUP(B140,'[9]november-2025'!$A:$A,'[9]november-2025'!$C:$C,0,0)</f>
        <v>29800</v>
      </c>
      <c r="CN140">
        <f>CM140*0.18</f>
        <v>5364</v>
      </c>
      <c r="CO140">
        <f>CM140*0.12</f>
        <v>3576</v>
      </c>
      <c r="CP140">
        <f>_xlfn.XLOOKUP(B140,'[9]november-2025'!$A:$A,'[9]november-2025'!$D:$D,0,0)</f>
        <v>0</v>
      </c>
      <c r="CQ140">
        <f>_xlfn.XLOOKUP(B140,'[9]november-2025'!$A:$A,'[9]november-2025'!$G:$G,0,0)</f>
        <v>0</v>
      </c>
      <c r="CR140">
        <f>IF(CM140&gt;0,SUM(CM140:CQ140),0)</f>
        <v>38740</v>
      </c>
      <c r="CS140">
        <f>_xlfn.XLOOKUP(B140,'[9]november-2025'!$A:$A,'[9]november-2025'!$H:$H,0,0)</f>
        <v>2000</v>
      </c>
      <c r="CT140">
        <f>_xlfn.XLOOKUP(B140,'[9]november-2025'!$A:$A,'[9]november-2025'!$I:$I,0,0)</f>
        <v>0</v>
      </c>
      <c r="CU140">
        <f>IF($F140="YES",0,IF(CR140&gt;40000,200,IF(CR140&gt;25000,150,IF(CR140&gt;15000,130,IF(CR140&gt;10000,110,0)))))</f>
        <v>150</v>
      </c>
      <c r="CV140">
        <f>CR140-CS140-CT140-CU140</f>
        <v>36590</v>
      </c>
      <c r="CW140">
        <f>_xlfn.XLOOKUP(B140,'[10]december-2025'!$A:$A,'[10]december-2025'!$C:$C,0,0)</f>
        <v>29800</v>
      </c>
      <c r="CX140">
        <f>ROUND(CW140*0.18,0)</f>
        <v>5364</v>
      </c>
      <c r="CY140">
        <f>ROUND(CW140*0.12,0)</f>
        <v>3576</v>
      </c>
      <c r="CZ140">
        <f>_xlfn.XLOOKUP(B140,'[10]december-2025'!$A:$A,'[10]december-2025'!$D:$D,0,0)</f>
        <v>0</v>
      </c>
      <c r="DA140">
        <f>_xlfn.XLOOKUP(B140,'[10]december-2025'!$A:$A,'[10]december-2025'!$G:$G,0,0)</f>
        <v>0</v>
      </c>
      <c r="DB140">
        <f>IF(CW140&gt;0,SUM(CW140:DA140),0)</f>
        <v>38740</v>
      </c>
      <c r="DC140">
        <f>_xlfn.XLOOKUP(B140,'[10]december-2025'!$A:$A,'[10]december-2025'!$H:$H,0,0)</f>
        <v>2000</v>
      </c>
      <c r="DD140">
        <f>_xlfn.XLOOKUP(B140,'[10]december-2025'!$A:$A,'[10]december-2025'!$I:$I,0,0)</f>
        <v>0</v>
      </c>
      <c r="DE140">
        <f>IF($F140="YES",0,IF(DB140&gt;40000,200,IF(DB140&gt;25000,150,IF(DB140&gt;15000,130,IF(DB140&gt;10000,110,0)))))</f>
        <v>150</v>
      </c>
      <c r="DF140">
        <f>DB140-DC140-DD140-DE140</f>
        <v>36590</v>
      </c>
      <c r="DG140">
        <f>_xlfn.XLOOKUP(B140,'[11]january-2026'!$A:$A,'[11]january-2026'!$C:$C,0,0)</f>
        <v>29800</v>
      </c>
      <c r="DH140">
        <f>DG140*0.18</f>
        <v>5364</v>
      </c>
      <c r="DI140">
        <f>DG140*0.12</f>
        <v>3576</v>
      </c>
      <c r="DJ140">
        <f>_xlfn.XLOOKUP(B140,'[11]january-2026'!$A:$A,'[11]january-2026'!$D:$D,0,0)</f>
        <v>0</v>
      </c>
      <c r="DK140">
        <f>_xlfn.XLOOKUP(B140,'[11]january-2026'!$A:$A,'[11]january-2026'!$G:$G,0,0)</f>
        <v>0</v>
      </c>
      <c r="DL140">
        <f>IF(DG140&gt;0,SUM(DG140:DK140),0)</f>
        <v>38740</v>
      </c>
      <c r="DM140">
        <f>_xlfn.XLOOKUP(B140,'[11]january-2026'!$A:$A,'[11]january-2026'!$H:$H,0,0)</f>
        <v>2000</v>
      </c>
      <c r="DN140">
        <f>_xlfn.XLOOKUP(B140,'[11]january-2026'!$A:$A,'[11]january-2026'!$I:$I,0,0)</f>
        <v>0</v>
      </c>
      <c r="DO140">
        <f>IF($F140="YES",0,IF(DL140&gt;40000,200,IF(DL140&gt;25000,150,IF(DL140&gt;15000,130,IF(DL140&gt;10000,110,0)))))</f>
        <v>150</v>
      </c>
      <c r="DP140">
        <f>DL140-DM140-DN140-DO140</f>
        <v>36590</v>
      </c>
      <c r="DQ140">
        <f>_xlfn.XLOOKUP(B140,'[12]february-2026'!$A:$A,'[12]february-2026'!$C:$C,0,0)</f>
        <v>29800</v>
      </c>
      <c r="DR140">
        <f>DQ140*0.18</f>
        <v>5364</v>
      </c>
      <c r="DS140">
        <f>DQ140*0.12</f>
        <v>3576</v>
      </c>
      <c r="DT140">
        <f>_xlfn.XLOOKUP(B140,'[12]february-2026'!$A:$A,'[12]february-2026'!$D:$D,0,0)</f>
        <v>0</v>
      </c>
      <c r="DU140">
        <f>_xlfn.XLOOKUP(B140,'[12]february-2026'!$A:$A,'[12]february-2026'!$G:$G,0,0)</f>
        <v>0</v>
      </c>
      <c r="DV140">
        <f>IF(DQ140&gt;0,SUM(DQ140:DU140),0)</f>
        <v>38740</v>
      </c>
      <c r="DW140">
        <f>_xlfn.XLOOKUP(B140,'[12]february-2026'!$A:$A,'[12]february-2026'!$H:$H,0,0)</f>
        <v>2000</v>
      </c>
      <c r="DX140">
        <f>_xlfn.XLOOKUP(B140,'[12]february-2026'!$A:$A,'[12]february-2026'!$I:$I,0,0)</f>
        <v>0</v>
      </c>
      <c r="DY140">
        <f>IF($F140="YES",0,IF(DV140&gt;40000,200,IF(DV140&gt;25000,150,IF(DV140&gt;15000,130,IF(DV140&gt;10000,110,0)))))</f>
        <v>150</v>
      </c>
      <c r="DZ140">
        <f>DV140-DW140-DX140-DY140</f>
        <v>36590</v>
      </c>
      <c r="EA140">
        <f>DV140+DL140+DB140+CR140+CH140+BX140+BN140+BD140+AS140+AI140+Y140+O140+H140+I140</f>
        <v>465844</v>
      </c>
      <c r="EB140">
        <f>DY140+DO140+DE140+CU140+CK140+CA140+BQ140+BG140+AV140+AL140+AB140+R140</f>
        <v>1800</v>
      </c>
      <c r="EC140">
        <f>IF(EA140&gt;0,50000,0)</f>
        <v>50000</v>
      </c>
      <c r="ED140">
        <v>0</v>
      </c>
      <c r="EE140">
        <f>EA140-EB140-EC140</f>
        <v>414044</v>
      </c>
      <c r="EF140">
        <f>DW140+DM140+DC140+CS140+CI140+BY140+BO140+BE140+AT140+AJ140+Z140+P140</f>
        <v>12000</v>
      </c>
      <c r="EG140">
        <f>DX140+DN140+DD140+CT140+CJ140+BZ140+BP140+BF140+AU140+AK140+AA140+Q140</f>
        <v>0</v>
      </c>
      <c r="EH140">
        <v>0</v>
      </c>
      <c r="EI140">
        <v>0</v>
      </c>
      <c r="EJ140">
        <v>0</v>
      </c>
      <c r="EK140">
        <v>0</v>
      </c>
      <c r="EL140">
        <v>0</v>
      </c>
      <c r="EM140">
        <v>0</v>
      </c>
      <c r="EN140">
        <v>0</v>
      </c>
      <c r="EO140">
        <v>0</v>
      </c>
      <c r="EP140">
        <v>0</v>
      </c>
      <c r="EQ140">
        <v>0</v>
      </c>
      <c r="ER140">
        <f>SUM(EF140:EQ140)</f>
        <v>12000</v>
      </c>
      <c r="ES140">
        <f>IF(ER140&gt;=150000,150000,ER140)</f>
        <v>12000</v>
      </c>
      <c r="ET140">
        <f>EE140-ES140</f>
        <v>402044</v>
      </c>
      <c r="EU140">
        <v>0</v>
      </c>
      <c r="EV140">
        <v>0</v>
      </c>
      <c r="EW140">
        <v>0</v>
      </c>
      <c r="EX140">
        <v>0</v>
      </c>
      <c r="EY140">
        <v>0</v>
      </c>
      <c r="EZ140">
        <v>0</v>
      </c>
      <c r="FA140">
        <v>0</v>
      </c>
      <c r="FB140">
        <f>SUM(EU140:FA140)+(IF(F140="YES",50000,0))</f>
        <v>0</v>
      </c>
      <c r="FC140">
        <f>ET140-FB140</f>
        <v>402044</v>
      </c>
      <c r="FD140">
        <f>ROUND(IF(FC140&gt;0,IF(FC140&gt;500000,12500,(FC140-250000)*0.05),0),0)</f>
        <v>7602</v>
      </c>
      <c r="FE140">
        <f>IF(ROUND(IF(FC140&gt;0,IF(FC140&gt;1000000,25000,(FC140-500000)*0.2),0),0)&lt;0,0,ROUND(IF(FC140&gt;0,IF(FC140&gt;1000000,25000,(FC140-500000)*0.2),0),0))</f>
        <v>0</v>
      </c>
      <c r="FF140">
        <f>FD140+FE140</f>
        <v>7602</v>
      </c>
      <c r="FG140">
        <f>IF(FF140&lt;12500,0,FF140)</f>
        <v>0</v>
      </c>
      <c r="FH140">
        <f>FG140*0.04</f>
        <v>0</v>
      </c>
      <c r="FI140">
        <f>ROUND(FH140+FG140,0)</f>
        <v>0</v>
      </c>
      <c r="FJ140">
        <v>0</v>
      </c>
      <c r="FK140">
        <f>FI140-FJ140</f>
        <v>0</v>
      </c>
      <c r="FL140" t="b">
        <f>IF(EA140&gt;500000,TRUE,FALSE)</f>
        <v>0</v>
      </c>
      <c r="FM140">
        <f ca="1">IF(FL140,RANDBETWEEN(500,1000),RANDBETWEEN(1000,3000))</f>
        <v>1814</v>
      </c>
      <c r="FN140">
        <f ca="1">EA140+FM140</f>
        <v>467658</v>
      </c>
      <c r="FO140">
        <f>IF(EA140&gt;0,75000,0)</f>
        <v>75000</v>
      </c>
      <c r="FP140">
        <f ca="1">FN140-FO140</f>
        <v>392658</v>
      </c>
      <c r="FQ140">
        <f ca="1">IF(FP140&gt;2400000,FP140-2400000,0)</f>
        <v>0</v>
      </c>
      <c r="FR140">
        <f ca="1">FQ140*0.3</f>
        <v>0</v>
      </c>
      <c r="FS140">
        <f ca="1">IF(FP140&gt;2000000,FP140-2000000,0)</f>
        <v>0</v>
      </c>
      <c r="FT140">
        <f ca="1">FS140*0.25</f>
        <v>0</v>
      </c>
      <c r="FU140">
        <f ca="1">IF(FP140&gt;1600000,FP140-1600000-FQ140,0)</f>
        <v>0</v>
      </c>
      <c r="FV140">
        <f ca="1">FU140*0.2</f>
        <v>0</v>
      </c>
      <c r="FW140">
        <f ca="1">IF(FP140&gt;1200000,FP140-1200000-IF(F140="YES",50000,0)-FU140,0)</f>
        <v>0</v>
      </c>
      <c r="FX140">
        <f ca="1">FW140*0.15</f>
        <v>0</v>
      </c>
      <c r="FY140">
        <f ca="1">IF(FP140&gt;800000,FP140-800000-FQ140-FU140-FW140,0)</f>
        <v>0</v>
      </c>
      <c r="FZ140">
        <f ca="1">FY140*0.1</f>
        <v>0</v>
      </c>
      <c r="GA140">
        <f ca="1">IF(FP140&gt;400000,FP140-400000-FQ140-FU140-FW140-FY140,0)</f>
        <v>0</v>
      </c>
      <c r="GB140">
        <f ca="1">GA140*0.05</f>
        <v>0</v>
      </c>
      <c r="GC140">
        <f ca="1">ROUND(FR140+FT140+FV140+FX140+FZ140+GB140,0)</f>
        <v>0</v>
      </c>
      <c r="GD140">
        <f ca="1">IF(FP140&gt;1200000,FP140,0)</f>
        <v>0</v>
      </c>
      <c r="GE140">
        <f ca="1">IF(FP140&gt;1200000,GD140-1200000,0)</f>
        <v>0</v>
      </c>
      <c r="GF140">
        <f ca="1">IF(FP140&lt;1200001,MIN(GC140,60000),0)</f>
        <v>0</v>
      </c>
      <c r="GG140">
        <f ca="1">IF(FP140&gt;1200000,GC140-GE140,0)</f>
        <v>0</v>
      </c>
      <c r="GH140" t="b">
        <f ca="1">IF(GG140&gt;0,TRUE,FALSE)</f>
        <v>0</v>
      </c>
      <c r="GI140">
        <f ca="1">IF(GH140,GG140,0)</f>
        <v>0</v>
      </c>
      <c r="GJ140">
        <f ca="1">GF140+GI140</f>
        <v>0</v>
      </c>
      <c r="GK140">
        <f ca="1">ROUND(GC140-GJ140,0)</f>
        <v>0</v>
      </c>
      <c r="GL140">
        <f ca="1">GK140*0.04</f>
        <v>0</v>
      </c>
      <c r="GM140">
        <f ca="1">ROUNDUP(GK140+GL140,0)</f>
        <v>0</v>
      </c>
    </row>
    <row r="141" spans="1:195" x14ac:dyDescent="0.25">
      <c r="A141">
        <f>_xlfn.AGGREGATE(3,5,$B$2:B141)</f>
        <v>140</v>
      </c>
      <c r="B141" t="s">
        <v>393</v>
      </c>
      <c r="C141" t="s">
        <v>394</v>
      </c>
      <c r="D141" t="s">
        <v>791</v>
      </c>
      <c r="E141" t="s">
        <v>833</v>
      </c>
      <c r="F141" t="s">
        <v>959</v>
      </c>
      <c r="G141" t="s">
        <v>931</v>
      </c>
      <c r="H141">
        <f>IF(_xlfn.DAYS("31-03-2025",G141)&gt;=180,6800,0)</f>
        <v>6800</v>
      </c>
      <c r="I141">
        <f>_xlfn.XLOOKUP(B141,'[1]march-2025'!$A:$A,'[1]march-2025'!$J:$J,0,0)</f>
        <v>0</v>
      </c>
      <c r="J141">
        <f>_xlfn.XLOOKUP(B141,'[1]march-2025'!$A:$A,'[1]march-2025'!$C:$C,0,0)</f>
        <v>34500</v>
      </c>
      <c r="K141">
        <f>J141*0.14</f>
        <v>4830.0000000000009</v>
      </c>
      <c r="L141">
        <f>J141*0.12</f>
        <v>4140</v>
      </c>
      <c r="M141">
        <f>_xlfn.XLOOKUP(B141,'[1]march-2025'!$A:$A,'[1]march-2025'!$D:$D,0,0)</f>
        <v>400</v>
      </c>
      <c r="N141">
        <f>_xlfn.XLOOKUP(B141,'[1]march-2025'!$A:$A,'[1]march-2025'!$G:$G,0,0)</f>
        <v>500</v>
      </c>
      <c r="O141">
        <f>IF(J141&gt;0,SUM(J141:N141),0)</f>
        <v>44370</v>
      </c>
      <c r="P141">
        <f>_xlfn.XLOOKUP(B141,'[1]march-2025'!$A:$A,'[1]march-2025'!$H:$H,0,0)</f>
        <v>7000</v>
      </c>
      <c r="Q141">
        <f>_xlfn.XLOOKUP(B141,'[1]march-2025'!$A:$A,'[1]march-2025'!$I:$I,0,0)</f>
        <v>0</v>
      </c>
      <c r="R141">
        <f>IF($F141="YES",0,IF(O141&gt;40000,200,IF(O141&gt;25000,150,IF(O141&gt;15000,130,IF(O141&gt;10000,110,0)))))</f>
        <v>200</v>
      </c>
      <c r="S141">
        <f>O141-P141-Q141-R141</f>
        <v>37170</v>
      </c>
      <c r="T141">
        <f>_xlfn.XLOOKUP(B141,'[2]april-2025'!$A:$A,'[2]april-2025'!$C:$C,0,0)</f>
        <v>34500</v>
      </c>
      <c r="U141">
        <f>T141*0.18</f>
        <v>6210</v>
      </c>
      <c r="V141">
        <f>T141*0.12</f>
        <v>4140</v>
      </c>
      <c r="W141">
        <f>_xlfn.XLOOKUP(B141,'[2]april-2025'!$A:$A,'[2]april-2025'!$D:$D,0,0)</f>
        <v>400</v>
      </c>
      <c r="X141">
        <f>_xlfn.XLOOKUP(B141,'[2]april-2025'!$A:$A,'[2]april-2025'!$G:$G,0,0)</f>
        <v>500</v>
      </c>
      <c r="Y141">
        <f>IF(T141&gt;0,SUM(T141:X141),0)</f>
        <v>45750</v>
      </c>
      <c r="Z141">
        <f>_xlfn.XLOOKUP(B141,'[2]april-2025'!$A:$A,'[2]april-2025'!$H:$H,0,0)</f>
        <v>7000</v>
      </c>
      <c r="AA141">
        <f>_xlfn.XLOOKUP(B141,'[2]april-2025'!$A:$A,'[2]april-2025'!$I:$I,0,0)</f>
        <v>0</v>
      </c>
      <c r="AB141">
        <f>IF($F141="YES",0,IF(Y141&gt;40000,200,IF(Y141&gt;25000,150,IF(Y141&gt;15000,130,IF(Y141&gt;10000,110,0)))))</f>
        <v>200</v>
      </c>
      <c r="AC141">
        <f>Y141-Z141-AA141-AB141</f>
        <v>38550</v>
      </c>
      <c r="AD141">
        <f>_xlfn.XLOOKUP(B141,'[3]may-2025'!$A:$A,'[3]may-2025'!$C:$C,0,0)</f>
        <v>34500</v>
      </c>
      <c r="AE141">
        <f>AD141*0.18</f>
        <v>6210</v>
      </c>
      <c r="AF141">
        <f>AD141*0.12</f>
        <v>4140</v>
      </c>
      <c r="AG141">
        <f>_xlfn.XLOOKUP(B141,'[3]may-2025'!$A:$A,'[3]may-2025'!$D:$D,0,0)</f>
        <v>400</v>
      </c>
      <c r="AH141">
        <f>_xlfn.XLOOKUP(B141,'[3]may-2025'!$A:$A,'[3]may-2025'!$G:$G,0,0)</f>
        <v>500</v>
      </c>
      <c r="AI141">
        <f>IF(AD141&gt;0,SUM(AD141:AH141),0)</f>
        <v>45750</v>
      </c>
      <c r="AJ141">
        <f>_xlfn.XLOOKUP(B141,'[3]may-2025'!$A:$A,'[3]may-2025'!$H:$H,0,0)</f>
        <v>7000</v>
      </c>
      <c r="AK141">
        <f>_xlfn.XLOOKUP(B141,'[3]may-2025'!$A:$A,'[3]may-2025'!$I:$I,0,0)</f>
        <v>0</v>
      </c>
      <c r="AL141">
        <f>IF($F141="YES",0,IF(AI141&gt;40000,200,IF(AI141&gt;25000,150,IF(AI141&gt;15000,130,IF(AI141&gt;10000,110,0)))))</f>
        <v>200</v>
      </c>
      <c r="AM141">
        <f>AI141-AJ141-AK141-AL141</f>
        <v>38550</v>
      </c>
      <c r="AN141">
        <f>_xlfn.XLOOKUP(B141,'[4]june-2025'!$A:$A,'[4]june-2025'!$C:$C,0,0)</f>
        <v>34500</v>
      </c>
      <c r="AO141">
        <f>AN141*0.18</f>
        <v>6210</v>
      </c>
      <c r="AP141">
        <f>AN141*0.12</f>
        <v>4140</v>
      </c>
      <c r="AQ141">
        <f>_xlfn.XLOOKUP(B141,'[4]june-2025'!$A:$A,'[4]june-2025'!$D:$D,0,0)</f>
        <v>400</v>
      </c>
      <c r="AR141">
        <f>_xlfn.XLOOKUP(B141,'[4]june-2025'!$A:$A,'[4]june-2025'!$G:$G,0,0)</f>
        <v>500</v>
      </c>
      <c r="AS141">
        <f>IF(AN141&gt;0,SUM(AN141:AR141),0)</f>
        <v>45750</v>
      </c>
      <c r="AT141">
        <f>_xlfn.XLOOKUP(B141,'[4]june-2025'!$A:$A,'[4]june-2025'!$H:$H,0,0)</f>
        <v>7000</v>
      </c>
      <c r="AU141">
        <f>_xlfn.XLOOKUP(B141,'[4]june-2025'!$A:$A,'[4]june-2025'!$I:$I,0,0)</f>
        <v>0</v>
      </c>
      <c r="AV141">
        <f>IF($F141="YES",0,IF(AS141&gt;40000,200,IF(AS141&gt;25000,150,IF(AS141&gt;15000,130,IF(AS141&gt;10000,110,0)))))</f>
        <v>200</v>
      </c>
      <c r="AW141">
        <f>AS141-AT141-AU141-AV141</f>
        <v>38550</v>
      </c>
      <c r="AX141">
        <f>_xlfn.XLOOKUP(B141,'[5]july-2025'!$A:$A,'[5]july-2025'!$C:$C,0,0)</f>
        <v>35500</v>
      </c>
      <c r="AY141">
        <f>AX141*0.18</f>
        <v>6390</v>
      </c>
      <c r="AZ141">
        <v>0</v>
      </c>
      <c r="BA141">
        <f>AX141*0.12</f>
        <v>4260</v>
      </c>
      <c r="BB141">
        <f>_xlfn.XLOOKUP(B141,'[5]july-2025'!$A:$A,'[5]july-2025'!$D:$D,0,0)</f>
        <v>400</v>
      </c>
      <c r="BC141">
        <f>_xlfn.XLOOKUP(B141,'[5]july-2025'!$A:$A,'[5]july-2025'!$G:$G,0,0)</f>
        <v>500</v>
      </c>
      <c r="BD141">
        <f>IF(AX141&gt;0,SUM(AX141:BC141),0)</f>
        <v>47050</v>
      </c>
      <c r="BE141">
        <f>_xlfn.XLOOKUP(B141,'[5]july-2025'!$A:$A,'[5]july-2025'!$H:$H,0,0)</f>
        <v>7000</v>
      </c>
      <c r="BF141">
        <f>_xlfn.XLOOKUP(B141,'[5]july-2025'!$A:$A,'[5]july-2025'!$I:$I,0,0)</f>
        <v>0</v>
      </c>
      <c r="BG141">
        <f>IF($F141="YES",0,IF(BD141&gt;40000,200,IF(BD141&gt;25000,150,IF(BD141&gt;15000,130,IF(BD141&gt;10000,110,0)))))</f>
        <v>200</v>
      </c>
      <c r="BH141">
        <f>BD141-BE141-BF141-BG141</f>
        <v>39850</v>
      </c>
      <c r="BI141">
        <f>_xlfn.XLOOKUP(B141,'[6]august-2025'!$A:$A,'[6]august-2025'!$C:$C,0,0)</f>
        <v>35500</v>
      </c>
      <c r="BJ141">
        <f>BI141*0.18</f>
        <v>6390</v>
      </c>
      <c r="BK141">
        <f>BI141*0.12</f>
        <v>4260</v>
      </c>
      <c r="BL141">
        <f>_xlfn.XLOOKUP(B141,'[6]august-2025'!$A:$A,'[6]august-2025'!$D:$D,0,0)</f>
        <v>400</v>
      </c>
      <c r="BM141">
        <f>_xlfn.XLOOKUP(B141,'[6]august-2025'!$A:$A,'[6]august-2025'!$G:$G,0,0)</f>
        <v>500</v>
      </c>
      <c r="BN141">
        <f>IF(BI141&gt;0,SUM(BI141:BM141),0)</f>
        <v>47050</v>
      </c>
      <c r="BO141">
        <f>_xlfn.XLOOKUP(B141,'[6]august-2025'!$A:$A,'[6]august-2025'!$H:$H,0,0)</f>
        <v>7000</v>
      </c>
      <c r="BP141">
        <f>_xlfn.XLOOKUP(B141,'[6]august-2025'!$A:$A,'[6]august-2025'!$I:$I,0,0)</f>
        <v>0</v>
      </c>
      <c r="BQ141">
        <f>IF($F141="YES",0,IF(BN141&gt;40000,200,IF(BN141&gt;25000,150,IF(BN141&gt;15000,130,IF(BN141&gt;10000,110,0)))))</f>
        <v>200</v>
      </c>
      <c r="BR141">
        <f>BN141-BO141-BP141-BQ141</f>
        <v>39850</v>
      </c>
      <c r="BS141">
        <f>_xlfn.XLOOKUP(B141,'[7]september-2025'!$A:$A,'[7]september-2025'!$C:$C,0,0)</f>
        <v>35500</v>
      </c>
      <c r="BT141">
        <f>BS141*0.18</f>
        <v>6390</v>
      </c>
      <c r="BU141">
        <f>BS141*0.12</f>
        <v>4260</v>
      </c>
      <c r="BV141">
        <f>_xlfn.XLOOKUP(B141,'[7]september-2025'!$A:$A,'[7]september-2025'!$D:$D,0,0)</f>
        <v>400</v>
      </c>
      <c r="BW141">
        <f>_xlfn.XLOOKUP(B141,'[7]september-2025'!$A:$A,'[7]september-2025'!$G:$G,0,0)</f>
        <v>500</v>
      </c>
      <c r="BX141">
        <f>IF(BS141&gt;0,SUM(BS141:BW141),0)</f>
        <v>47050</v>
      </c>
      <c r="BY141">
        <f>_xlfn.XLOOKUP(B141,'[7]september-2025'!$A:$A,'[7]september-2025'!$H:$H,0,0)</f>
        <v>7000</v>
      </c>
      <c r="BZ141">
        <f>_xlfn.XLOOKUP(B141,'[7]september-2025'!$A:$A,'[7]september-2025'!$I:$I,0,0)</f>
        <v>0</v>
      </c>
      <c r="CA141">
        <f>IF($F141="YES",0,IF(BX141&gt;40000,200,IF(BX141&gt;25000,150,IF(BX141&gt;15000,130,IF(BX141&gt;10000,110,0)))))</f>
        <v>200</v>
      </c>
      <c r="CB141">
        <f>BX141-BY141-BZ141-CA141</f>
        <v>39850</v>
      </c>
      <c r="CC141">
        <f>_xlfn.XLOOKUP(B141,'[8]october-2025'!$A:$A,'[8]october-2025'!$C:$C,0,0)</f>
        <v>35500</v>
      </c>
      <c r="CD141">
        <f>CC141*0.18</f>
        <v>6390</v>
      </c>
      <c r="CE141">
        <f>CC141*0.12</f>
        <v>4260</v>
      </c>
      <c r="CF141">
        <f>_xlfn.XLOOKUP(B141,'[8]october-2025'!$A:$A,'[8]october-2025'!$D:$D,0,0)</f>
        <v>400</v>
      </c>
      <c r="CG141">
        <f>_xlfn.XLOOKUP(B141,'[8]october-2025'!$A:$A,'[8]october-2025'!$G:$G,0,0)</f>
        <v>500</v>
      </c>
      <c r="CH141">
        <f>IF(CC141&gt;0,SUM(CC141:CG141),0)</f>
        <v>47050</v>
      </c>
      <c r="CI141">
        <f>_xlfn.XLOOKUP(B141,'[8]october-2025'!$A:$A,'[8]october-2025'!$H:$H,0,0)</f>
        <v>7000</v>
      </c>
      <c r="CJ141">
        <f>_xlfn.XLOOKUP(B141,'[8]october-2025'!$A:$A,'[8]october-2025'!$I:$I,0,0)</f>
        <v>0</v>
      </c>
      <c r="CK141">
        <f>IF($F141="YES",0,IF(CH141&gt;40000,200,IF(CH141&gt;25000,150,IF(CH141&gt;15000,130,IF(CH141&gt;10000,110,0)))))</f>
        <v>200</v>
      </c>
      <c r="CL141">
        <f>CH141-CI141-CJ141-CK141</f>
        <v>39850</v>
      </c>
      <c r="CM141">
        <f>_xlfn.XLOOKUP(B141,'[9]november-2025'!$A:$A,'[9]november-2025'!$C:$C,0,0)</f>
        <v>35500</v>
      </c>
      <c r="CN141">
        <f>CM141*0.18</f>
        <v>6390</v>
      </c>
      <c r="CO141">
        <f>CM141*0.12</f>
        <v>4260</v>
      </c>
      <c r="CP141">
        <f>_xlfn.XLOOKUP(B141,'[9]november-2025'!$A:$A,'[9]november-2025'!$D:$D,0,0)</f>
        <v>400</v>
      </c>
      <c r="CQ141">
        <f>_xlfn.XLOOKUP(B141,'[9]november-2025'!$A:$A,'[9]november-2025'!$G:$G,0,0)</f>
        <v>500</v>
      </c>
      <c r="CR141">
        <f>IF(CM141&gt;0,SUM(CM141:CQ141),0)</f>
        <v>47050</v>
      </c>
      <c r="CS141">
        <f>_xlfn.XLOOKUP(B141,'[9]november-2025'!$A:$A,'[9]november-2025'!$H:$H,0,0)</f>
        <v>7000</v>
      </c>
      <c r="CT141">
        <f>_xlfn.XLOOKUP(B141,'[9]november-2025'!$A:$A,'[9]november-2025'!$I:$I,0,0)</f>
        <v>0</v>
      </c>
      <c r="CU141">
        <f>IF($F141="YES",0,IF(CR141&gt;40000,200,IF(CR141&gt;25000,150,IF(CR141&gt;15000,130,IF(CR141&gt;10000,110,0)))))</f>
        <v>200</v>
      </c>
      <c r="CV141">
        <f>CR141-CS141-CT141-CU141</f>
        <v>39850</v>
      </c>
      <c r="CW141">
        <f>_xlfn.XLOOKUP(B141,'[10]december-2025'!$A:$A,'[10]december-2025'!$C:$C,0,0)</f>
        <v>35500</v>
      </c>
      <c r="CX141">
        <f>ROUND(CW141*0.18,0)</f>
        <v>6390</v>
      </c>
      <c r="CY141">
        <f>ROUND(CW141*0.12,0)</f>
        <v>4260</v>
      </c>
      <c r="CZ141">
        <f>_xlfn.XLOOKUP(B141,'[10]december-2025'!$A:$A,'[10]december-2025'!$D:$D,0,0)</f>
        <v>400</v>
      </c>
      <c r="DA141">
        <f>_xlfn.XLOOKUP(B141,'[10]december-2025'!$A:$A,'[10]december-2025'!$G:$G,0,0)</f>
        <v>500</v>
      </c>
      <c r="DB141">
        <f>IF(CW141&gt;0,SUM(CW141:DA141),0)</f>
        <v>47050</v>
      </c>
      <c r="DC141">
        <f>_xlfn.XLOOKUP(B141,'[10]december-2025'!$A:$A,'[10]december-2025'!$H:$H,0,0)</f>
        <v>7000</v>
      </c>
      <c r="DD141">
        <f>_xlfn.XLOOKUP(B141,'[10]december-2025'!$A:$A,'[10]december-2025'!$I:$I,0,0)</f>
        <v>0</v>
      </c>
      <c r="DE141">
        <f>IF($F141="YES",0,IF(DB141&gt;40000,200,IF(DB141&gt;25000,150,IF(DB141&gt;15000,130,IF(DB141&gt;10000,110,0)))))</f>
        <v>200</v>
      </c>
      <c r="DF141">
        <f>DB141-DC141-DD141-DE141</f>
        <v>39850</v>
      </c>
      <c r="DG141">
        <f>_xlfn.XLOOKUP(B141,'[11]january-2026'!$A:$A,'[11]january-2026'!$C:$C,0,0)</f>
        <v>35500</v>
      </c>
      <c r="DH141">
        <f>DG141*0.18</f>
        <v>6390</v>
      </c>
      <c r="DI141">
        <f>DG141*0.12</f>
        <v>4260</v>
      </c>
      <c r="DJ141">
        <f>_xlfn.XLOOKUP(B141,'[11]january-2026'!$A:$A,'[11]january-2026'!$D:$D,0,0)</f>
        <v>400</v>
      </c>
      <c r="DK141">
        <f>_xlfn.XLOOKUP(B141,'[11]january-2026'!$A:$A,'[11]january-2026'!$G:$G,0,0)</f>
        <v>500</v>
      </c>
      <c r="DL141">
        <f>IF(DG141&gt;0,SUM(DG141:DK141),0)</f>
        <v>47050</v>
      </c>
      <c r="DM141">
        <f>_xlfn.XLOOKUP(B141,'[11]january-2026'!$A:$A,'[11]january-2026'!$H:$H,0,0)</f>
        <v>7000</v>
      </c>
      <c r="DN141">
        <f>_xlfn.XLOOKUP(B141,'[11]january-2026'!$A:$A,'[11]january-2026'!$I:$I,0,0)</f>
        <v>0</v>
      </c>
      <c r="DO141">
        <f>IF($F141="YES",0,IF(DL141&gt;40000,200,IF(DL141&gt;25000,150,IF(DL141&gt;15000,130,IF(DL141&gt;10000,110,0)))))</f>
        <v>200</v>
      </c>
      <c r="DP141">
        <f>DL141-DM141-DN141-DO141</f>
        <v>39850</v>
      </c>
      <c r="DQ141">
        <f>_xlfn.XLOOKUP(B141,'[12]february-2026'!$A:$A,'[12]february-2026'!$C:$C,0,0)</f>
        <v>35500</v>
      </c>
      <c r="DR141">
        <f>DQ141*0.18</f>
        <v>6390</v>
      </c>
      <c r="DS141">
        <f>DQ141*0.12</f>
        <v>4260</v>
      </c>
      <c r="DT141">
        <f>_xlfn.XLOOKUP(B141,'[12]february-2026'!$A:$A,'[12]february-2026'!$D:$D,0,0)</f>
        <v>400</v>
      </c>
      <c r="DU141">
        <f>_xlfn.XLOOKUP(B141,'[12]february-2026'!$A:$A,'[12]february-2026'!$G:$G,0,0)</f>
        <v>500</v>
      </c>
      <c r="DV141">
        <f>IF(DQ141&gt;0,SUM(DQ141:DU141),0)</f>
        <v>47050</v>
      </c>
      <c r="DW141">
        <f>_xlfn.XLOOKUP(B141,'[12]february-2026'!$A:$A,'[12]february-2026'!$H:$H,0,0)</f>
        <v>7000</v>
      </c>
      <c r="DX141">
        <f>_xlfn.XLOOKUP(B141,'[12]february-2026'!$A:$A,'[12]february-2026'!$I:$I,0,0)</f>
        <v>0</v>
      </c>
      <c r="DY141">
        <f>IF($F141="YES",0,IF(DV141&gt;40000,200,IF(DV141&gt;25000,150,IF(DV141&gt;15000,130,IF(DV141&gt;10000,110,0)))))</f>
        <v>200</v>
      </c>
      <c r="DZ141">
        <f>DV141-DW141-DX141-DY141</f>
        <v>39850</v>
      </c>
      <c r="EA141">
        <f>DV141+DL141+DB141+CR141+CH141+BX141+BN141+BD141+AS141+AI141+Y141+O141+H141+I141</f>
        <v>564820</v>
      </c>
      <c r="EB141">
        <f>DY141+DO141+DE141+CU141+CK141+CA141+BQ141+BG141+AV141+AL141+AB141+R141</f>
        <v>2400</v>
      </c>
      <c r="EC141">
        <f>IF(EA141&gt;0,50000,0)</f>
        <v>50000</v>
      </c>
      <c r="ED141">
        <v>0</v>
      </c>
      <c r="EE141">
        <f>EA141-EB141-EC141</f>
        <v>512420</v>
      </c>
      <c r="EF141">
        <f>DW141+DM141+DC141+CS141+CI141+BY141+BO141+BE141+AT141+AJ141+Z141+P141</f>
        <v>84000</v>
      </c>
      <c r="EG141">
        <f>DX141+DN141+DD141+CT141+CJ141+BZ141+BP141+BF141+AU141+AK141+AA141+Q141</f>
        <v>0</v>
      </c>
      <c r="EH141">
        <v>0</v>
      </c>
      <c r="EI141">
        <v>0</v>
      </c>
      <c r="EJ141">
        <v>0</v>
      </c>
      <c r="EK141">
        <v>0</v>
      </c>
      <c r="EL141">
        <v>0</v>
      </c>
      <c r="EM141">
        <v>0</v>
      </c>
      <c r="EN141">
        <v>0</v>
      </c>
      <c r="EO141">
        <v>0</v>
      </c>
      <c r="EP141">
        <v>0</v>
      </c>
      <c r="EQ141">
        <v>0</v>
      </c>
      <c r="ER141">
        <f>SUM(EF141:EQ141)</f>
        <v>84000</v>
      </c>
      <c r="ES141">
        <f>IF(ER141&gt;=150000,150000,ER141)</f>
        <v>84000</v>
      </c>
      <c r="ET141">
        <f>EE141-ES141</f>
        <v>428420</v>
      </c>
      <c r="EU141">
        <v>0</v>
      </c>
      <c r="EV141">
        <v>0</v>
      </c>
      <c r="EW141">
        <v>0</v>
      </c>
      <c r="EX141">
        <v>0</v>
      </c>
      <c r="EY141">
        <v>0</v>
      </c>
      <c r="EZ141">
        <v>0</v>
      </c>
      <c r="FA141">
        <v>0</v>
      </c>
      <c r="FB141">
        <f>SUM(EU141:FA141)+(IF(F141="YES",50000,0))</f>
        <v>0</v>
      </c>
      <c r="FC141">
        <f>ET141-FB141</f>
        <v>428420</v>
      </c>
      <c r="FD141">
        <f>ROUND(IF(FC141&gt;0,IF(FC141&gt;500000,12500,(FC141-250000)*0.05),0),0)</f>
        <v>8921</v>
      </c>
      <c r="FE141">
        <f>IF(ROUND(IF(FC141&gt;0,IF(FC141&gt;1000000,25000,(FC141-500000)*0.2),0),0)&lt;0,0,ROUND(IF(FC141&gt;0,IF(FC141&gt;1000000,25000,(FC141-500000)*0.2),0),0))</f>
        <v>0</v>
      </c>
      <c r="FF141">
        <f>FD141+FE141</f>
        <v>8921</v>
      </c>
      <c r="FG141">
        <f>IF(FF141&lt;12500,0,FF141)</f>
        <v>0</v>
      </c>
      <c r="FH141">
        <f>FG141*0.04</f>
        <v>0</v>
      </c>
      <c r="FI141">
        <f>ROUND(FH141+FG141,0)</f>
        <v>0</v>
      </c>
      <c r="FJ141">
        <v>0</v>
      </c>
      <c r="FK141">
        <f>FI141-FJ141</f>
        <v>0</v>
      </c>
      <c r="FL141" t="b">
        <f>IF(EA141&gt;500000,TRUE,FALSE)</f>
        <v>1</v>
      </c>
      <c r="FM141">
        <f ca="1">IF(FL141,RANDBETWEEN(500,1000),RANDBETWEEN(1000,3000))</f>
        <v>602</v>
      </c>
      <c r="FN141">
        <f ca="1">EA141+FM141</f>
        <v>565422</v>
      </c>
      <c r="FO141">
        <f>IF(EA141&gt;0,75000,0)</f>
        <v>75000</v>
      </c>
      <c r="FP141">
        <f ca="1">FN141-FO141</f>
        <v>490422</v>
      </c>
      <c r="FQ141">
        <f ca="1">IF(FP141&gt;2400000,FP141-2400000,0)</f>
        <v>0</v>
      </c>
      <c r="FR141">
        <f ca="1">FQ141*0.3</f>
        <v>0</v>
      </c>
      <c r="FS141">
        <f ca="1">IF(FP141&gt;2000000,FP141-2000000,0)</f>
        <v>0</v>
      </c>
      <c r="FT141">
        <f ca="1">FS141*0.25</f>
        <v>0</v>
      </c>
      <c r="FU141">
        <f ca="1">IF(FP141&gt;1600000,FP141-1600000-FQ141,0)</f>
        <v>0</v>
      </c>
      <c r="FV141">
        <f ca="1">FU141*0.2</f>
        <v>0</v>
      </c>
      <c r="FW141">
        <f ca="1">IF(FP141&gt;1200000,FP141-1200000-IF(F141="YES",50000,0)-FU141,0)</f>
        <v>0</v>
      </c>
      <c r="FX141">
        <f ca="1">FW141*0.15</f>
        <v>0</v>
      </c>
      <c r="FY141">
        <f ca="1">IF(FP141&gt;800000,FP141-800000-FQ141-FU141-FW141,0)</f>
        <v>0</v>
      </c>
      <c r="FZ141">
        <f ca="1">FY141*0.1</f>
        <v>0</v>
      </c>
      <c r="GA141">
        <f ca="1">IF(FP141&gt;400000,FP141-400000-FQ141-FU141-FW141-FY141,0)</f>
        <v>90422</v>
      </c>
      <c r="GB141">
        <f ca="1">GA141*0.05</f>
        <v>4521.1000000000004</v>
      </c>
      <c r="GC141">
        <f ca="1">ROUND(FR141+FT141+FV141+FX141+FZ141+GB141,0)</f>
        <v>4521</v>
      </c>
      <c r="GD141">
        <f ca="1">IF(FP141&gt;1200000,FP141,0)</f>
        <v>0</v>
      </c>
      <c r="GE141">
        <f ca="1">IF(FP141&gt;1200000,GD141-1200000,0)</f>
        <v>0</v>
      </c>
      <c r="GF141">
        <f ca="1">IF(FP141&lt;1200001,MIN(GC141,60000),0)</f>
        <v>4521</v>
      </c>
      <c r="GG141">
        <f ca="1">IF(FP141&gt;1200000,GC141-GE141,0)</f>
        <v>0</v>
      </c>
      <c r="GH141" t="b">
        <f ca="1">IF(GG141&gt;0,TRUE,FALSE)</f>
        <v>0</v>
      </c>
      <c r="GI141">
        <f ca="1">IF(GH141,GG141,0)</f>
        <v>0</v>
      </c>
      <c r="GJ141">
        <f ca="1">GF141+GI141</f>
        <v>4521</v>
      </c>
      <c r="GK141">
        <f ca="1">ROUND(GC141-GJ141,0)</f>
        <v>0</v>
      </c>
      <c r="GL141">
        <f ca="1">GK141*0.04</f>
        <v>0</v>
      </c>
      <c r="GM141">
        <f ca="1">ROUNDUP(GK141+GL141,0)</f>
        <v>0</v>
      </c>
    </row>
    <row r="142" spans="1:195" x14ac:dyDescent="0.25">
      <c r="A142">
        <f>_xlfn.AGGREGATE(3,5,$B$2:B142)</f>
        <v>141</v>
      </c>
      <c r="B142" t="s">
        <v>395</v>
      </c>
      <c r="C142" t="s">
        <v>396</v>
      </c>
      <c r="D142" t="s">
        <v>791</v>
      </c>
      <c r="E142" t="s">
        <v>833</v>
      </c>
      <c r="F142" t="s">
        <v>959</v>
      </c>
      <c r="G142" t="s">
        <v>877</v>
      </c>
      <c r="H142">
        <f>IF(_xlfn.DAYS("31-03-2025",G142)&gt;=180,6800,0)</f>
        <v>6800</v>
      </c>
      <c r="I142">
        <f>_xlfn.XLOOKUP(B142,'[1]march-2025'!$A:$A,'[1]march-2025'!$J:$J,0,0)</f>
        <v>0</v>
      </c>
      <c r="J142">
        <f>_xlfn.XLOOKUP(B142,'[1]march-2025'!$A:$A,'[1]march-2025'!$C:$C,0,0)</f>
        <v>30700</v>
      </c>
      <c r="K142">
        <f>J142*0.14</f>
        <v>4298</v>
      </c>
      <c r="L142">
        <f>J142*0.12</f>
        <v>3684</v>
      </c>
      <c r="M142">
        <f>_xlfn.XLOOKUP(B142,'[1]march-2025'!$A:$A,'[1]march-2025'!$D:$D,0,0)</f>
        <v>0</v>
      </c>
      <c r="N142">
        <f>_xlfn.XLOOKUP(B142,'[1]march-2025'!$A:$A,'[1]march-2025'!$G:$G,0,0)</f>
        <v>500</v>
      </c>
      <c r="O142">
        <f>IF(J142&gt;0,SUM(J142:N142),0)</f>
        <v>39182</v>
      </c>
      <c r="P142">
        <f>_xlfn.XLOOKUP(B142,'[1]march-2025'!$A:$A,'[1]march-2025'!$H:$H,0,0)</f>
        <v>4000</v>
      </c>
      <c r="Q142">
        <f>_xlfn.XLOOKUP(B142,'[1]march-2025'!$A:$A,'[1]march-2025'!$I:$I,0,0)</f>
        <v>0</v>
      </c>
      <c r="R142">
        <f>IF($F142="YES",0,IF(O142&gt;40000,200,IF(O142&gt;25000,150,IF(O142&gt;15000,130,IF(O142&gt;10000,110,0)))))</f>
        <v>150</v>
      </c>
      <c r="S142">
        <f>O142-P142-Q142-R142</f>
        <v>35032</v>
      </c>
      <c r="T142">
        <f>_xlfn.XLOOKUP(B142,'[2]april-2025'!$A:$A,'[2]april-2025'!$C:$C,0,0)</f>
        <v>30700</v>
      </c>
      <c r="U142">
        <f>T142*0.18</f>
        <v>5526</v>
      </c>
      <c r="V142">
        <f>T142*0.12</f>
        <v>3684</v>
      </c>
      <c r="W142">
        <f>_xlfn.XLOOKUP(B142,'[2]april-2025'!$A:$A,'[2]april-2025'!$D:$D,0,0)</f>
        <v>0</v>
      </c>
      <c r="X142">
        <f>_xlfn.XLOOKUP(B142,'[2]april-2025'!$A:$A,'[2]april-2025'!$G:$G,0,0)</f>
        <v>500</v>
      </c>
      <c r="Y142">
        <f>IF(T142&gt;0,SUM(T142:X142),0)</f>
        <v>40410</v>
      </c>
      <c r="Z142">
        <f>_xlfn.XLOOKUP(B142,'[2]april-2025'!$A:$A,'[2]april-2025'!$H:$H,0,0)</f>
        <v>4000</v>
      </c>
      <c r="AA142">
        <f>_xlfn.XLOOKUP(B142,'[2]april-2025'!$A:$A,'[2]april-2025'!$I:$I,0,0)</f>
        <v>0</v>
      </c>
      <c r="AB142">
        <f>IF($F142="YES",0,IF(Y142&gt;40000,200,IF(Y142&gt;25000,150,IF(Y142&gt;15000,130,IF(Y142&gt;10000,110,0)))))</f>
        <v>200</v>
      </c>
      <c r="AC142">
        <f>Y142-Z142-AA142-AB142</f>
        <v>36210</v>
      </c>
      <c r="AD142">
        <f>_xlfn.XLOOKUP(B142,'[3]may-2025'!$A:$A,'[3]may-2025'!$C:$C,0,0)</f>
        <v>30700</v>
      </c>
      <c r="AE142">
        <f>AD142*0.18</f>
        <v>5526</v>
      </c>
      <c r="AF142">
        <f>AD142*0.12</f>
        <v>3684</v>
      </c>
      <c r="AG142">
        <f>_xlfn.XLOOKUP(B142,'[3]may-2025'!$A:$A,'[3]may-2025'!$D:$D,0,0)</f>
        <v>0</v>
      </c>
      <c r="AH142">
        <f>_xlfn.XLOOKUP(B142,'[3]may-2025'!$A:$A,'[3]may-2025'!$G:$G,0,0)</f>
        <v>500</v>
      </c>
      <c r="AI142">
        <f>IF(AD142&gt;0,SUM(AD142:AH142),0)</f>
        <v>40410</v>
      </c>
      <c r="AJ142">
        <f>_xlfn.XLOOKUP(B142,'[3]may-2025'!$A:$A,'[3]may-2025'!$H:$H,0,0)</f>
        <v>4000</v>
      </c>
      <c r="AK142">
        <f>_xlfn.XLOOKUP(B142,'[3]may-2025'!$A:$A,'[3]may-2025'!$I:$I,0,0)</f>
        <v>0</v>
      </c>
      <c r="AL142">
        <f>IF($F142="YES",0,IF(AI142&gt;40000,200,IF(AI142&gt;25000,150,IF(AI142&gt;15000,130,IF(AI142&gt;10000,110,0)))))</f>
        <v>200</v>
      </c>
      <c r="AM142">
        <f>AI142-AJ142-AK142-AL142</f>
        <v>36210</v>
      </c>
      <c r="AN142">
        <f>_xlfn.XLOOKUP(B142,'[4]june-2025'!$A:$A,'[4]june-2025'!$C:$C,0,0)</f>
        <v>30700</v>
      </c>
      <c r="AO142">
        <f>AN142*0.18</f>
        <v>5526</v>
      </c>
      <c r="AP142">
        <f>AN142*0.12</f>
        <v>3684</v>
      </c>
      <c r="AQ142">
        <f>_xlfn.XLOOKUP(B142,'[4]june-2025'!$A:$A,'[4]june-2025'!$D:$D,0,0)</f>
        <v>0</v>
      </c>
      <c r="AR142">
        <f>_xlfn.XLOOKUP(B142,'[4]june-2025'!$A:$A,'[4]june-2025'!$G:$G,0,0)</f>
        <v>500</v>
      </c>
      <c r="AS142">
        <f>IF(AN142&gt;0,SUM(AN142:AR142),0)</f>
        <v>40410</v>
      </c>
      <c r="AT142">
        <f>_xlfn.XLOOKUP(B142,'[4]june-2025'!$A:$A,'[4]june-2025'!$H:$H,0,0)</f>
        <v>4000</v>
      </c>
      <c r="AU142">
        <f>_xlfn.XLOOKUP(B142,'[4]june-2025'!$A:$A,'[4]june-2025'!$I:$I,0,0)</f>
        <v>0</v>
      </c>
      <c r="AV142">
        <f>IF($F142="YES",0,IF(AS142&gt;40000,200,IF(AS142&gt;25000,150,IF(AS142&gt;15000,130,IF(AS142&gt;10000,110,0)))))</f>
        <v>200</v>
      </c>
      <c r="AW142">
        <f>AS142-AT142-AU142-AV142</f>
        <v>36210</v>
      </c>
      <c r="AX142">
        <f>_xlfn.XLOOKUP(B142,'[5]july-2025'!$A:$A,'[5]july-2025'!$C:$C,0,0)</f>
        <v>31600</v>
      </c>
      <c r="AY142">
        <f>AX142*0.18</f>
        <v>5688</v>
      </c>
      <c r="AZ142">
        <v>0</v>
      </c>
      <c r="BA142">
        <f>AX142*0.12</f>
        <v>3792</v>
      </c>
      <c r="BB142">
        <f>_xlfn.XLOOKUP(B142,'[5]july-2025'!$A:$A,'[5]july-2025'!$D:$D,0,0)</f>
        <v>0</v>
      </c>
      <c r="BC142">
        <f>_xlfn.XLOOKUP(B142,'[5]july-2025'!$A:$A,'[5]july-2025'!$G:$G,0,0)</f>
        <v>500</v>
      </c>
      <c r="BD142">
        <f>IF(AX142&gt;0,SUM(AX142:BC142),0)</f>
        <v>41580</v>
      </c>
      <c r="BE142">
        <f>_xlfn.XLOOKUP(B142,'[5]july-2025'!$A:$A,'[5]july-2025'!$H:$H,0,0)</f>
        <v>4000</v>
      </c>
      <c r="BF142">
        <f>_xlfn.XLOOKUP(B142,'[5]july-2025'!$A:$A,'[5]july-2025'!$I:$I,0,0)</f>
        <v>0</v>
      </c>
      <c r="BG142">
        <f>IF($F142="YES",0,IF(BD142&gt;40000,200,IF(BD142&gt;25000,150,IF(BD142&gt;15000,130,IF(BD142&gt;10000,110,0)))))</f>
        <v>200</v>
      </c>
      <c r="BH142">
        <f>BD142-BE142-BF142-BG142</f>
        <v>37380</v>
      </c>
      <c r="BI142">
        <f>_xlfn.XLOOKUP(B142,'[6]august-2025'!$A:$A,'[6]august-2025'!$C:$C,0,0)</f>
        <v>31600</v>
      </c>
      <c r="BJ142">
        <f>BI142*0.18</f>
        <v>5688</v>
      </c>
      <c r="BK142">
        <f>BI142*0.12</f>
        <v>3792</v>
      </c>
      <c r="BL142">
        <f>_xlfn.XLOOKUP(B142,'[6]august-2025'!$A:$A,'[6]august-2025'!$D:$D,0,0)</f>
        <v>0</v>
      </c>
      <c r="BM142">
        <f>_xlfn.XLOOKUP(B142,'[6]august-2025'!$A:$A,'[6]august-2025'!$G:$G,0,0)</f>
        <v>500</v>
      </c>
      <c r="BN142">
        <f>IF(BI142&gt;0,SUM(BI142:BM142),0)</f>
        <v>41580</v>
      </c>
      <c r="BO142">
        <f>_xlfn.XLOOKUP(B142,'[6]august-2025'!$A:$A,'[6]august-2025'!$H:$H,0,0)</f>
        <v>4000</v>
      </c>
      <c r="BP142">
        <f>_xlfn.XLOOKUP(B142,'[6]august-2025'!$A:$A,'[6]august-2025'!$I:$I,0,0)</f>
        <v>0</v>
      </c>
      <c r="BQ142">
        <f>IF($F142="YES",0,IF(BN142&gt;40000,200,IF(BN142&gt;25000,150,IF(BN142&gt;15000,130,IF(BN142&gt;10000,110,0)))))</f>
        <v>200</v>
      </c>
      <c r="BR142">
        <f>BN142-BO142-BP142-BQ142</f>
        <v>37380</v>
      </c>
      <c r="BS142">
        <f>_xlfn.XLOOKUP(B142,'[7]september-2025'!$A:$A,'[7]september-2025'!$C:$C,0,0)</f>
        <v>31600</v>
      </c>
      <c r="BT142">
        <f>BS142*0.18</f>
        <v>5688</v>
      </c>
      <c r="BU142">
        <f>BS142*0.12</f>
        <v>3792</v>
      </c>
      <c r="BV142">
        <f>_xlfn.XLOOKUP(B142,'[7]september-2025'!$A:$A,'[7]september-2025'!$D:$D,0,0)</f>
        <v>0</v>
      </c>
      <c r="BW142">
        <f>_xlfn.XLOOKUP(B142,'[7]september-2025'!$A:$A,'[7]september-2025'!$G:$G,0,0)</f>
        <v>500</v>
      </c>
      <c r="BX142">
        <f>IF(BS142&gt;0,SUM(BS142:BW142),0)</f>
        <v>41580</v>
      </c>
      <c r="BY142">
        <f>_xlfn.XLOOKUP(B142,'[7]september-2025'!$A:$A,'[7]september-2025'!$H:$H,0,0)</f>
        <v>4000</v>
      </c>
      <c r="BZ142">
        <f>_xlfn.XLOOKUP(B142,'[7]september-2025'!$A:$A,'[7]september-2025'!$I:$I,0,0)</f>
        <v>0</v>
      </c>
      <c r="CA142">
        <f>IF($F142="YES",0,IF(BX142&gt;40000,200,IF(BX142&gt;25000,150,IF(BX142&gt;15000,130,IF(BX142&gt;10000,110,0)))))</f>
        <v>200</v>
      </c>
      <c r="CB142">
        <f>BX142-BY142-BZ142-CA142</f>
        <v>37380</v>
      </c>
      <c r="CC142">
        <f>_xlfn.XLOOKUP(B142,'[8]october-2025'!$A:$A,'[8]october-2025'!$C:$C,0,0)</f>
        <v>31600</v>
      </c>
      <c r="CD142">
        <f>CC142*0.18</f>
        <v>5688</v>
      </c>
      <c r="CE142">
        <f>CC142*0.12</f>
        <v>3792</v>
      </c>
      <c r="CF142">
        <f>_xlfn.XLOOKUP(B142,'[8]october-2025'!$A:$A,'[8]october-2025'!$D:$D,0,0)</f>
        <v>0</v>
      </c>
      <c r="CG142">
        <f>_xlfn.XLOOKUP(B142,'[8]october-2025'!$A:$A,'[8]october-2025'!$G:$G,0,0)</f>
        <v>500</v>
      </c>
      <c r="CH142">
        <f>IF(CC142&gt;0,SUM(CC142:CG142),0)</f>
        <v>41580</v>
      </c>
      <c r="CI142">
        <f>_xlfn.XLOOKUP(B142,'[8]october-2025'!$A:$A,'[8]october-2025'!$H:$H,0,0)</f>
        <v>4000</v>
      </c>
      <c r="CJ142">
        <f>_xlfn.XLOOKUP(B142,'[8]october-2025'!$A:$A,'[8]october-2025'!$I:$I,0,0)</f>
        <v>0</v>
      </c>
      <c r="CK142">
        <f>IF($F142="YES",0,IF(CH142&gt;40000,200,IF(CH142&gt;25000,150,IF(CH142&gt;15000,130,IF(CH142&gt;10000,110,0)))))</f>
        <v>200</v>
      </c>
      <c r="CL142">
        <f>CH142-CI142-CJ142-CK142</f>
        <v>37380</v>
      </c>
      <c r="CM142">
        <f>_xlfn.XLOOKUP(B142,'[9]november-2025'!$A:$A,'[9]november-2025'!$C:$C,0,0)</f>
        <v>31600</v>
      </c>
      <c r="CN142">
        <f>CM142*0.18</f>
        <v>5688</v>
      </c>
      <c r="CO142">
        <f>CM142*0.12</f>
        <v>3792</v>
      </c>
      <c r="CP142">
        <f>_xlfn.XLOOKUP(B142,'[9]november-2025'!$A:$A,'[9]november-2025'!$D:$D,0,0)</f>
        <v>0</v>
      </c>
      <c r="CQ142">
        <f>_xlfn.XLOOKUP(B142,'[9]november-2025'!$A:$A,'[9]november-2025'!$G:$G,0,0)</f>
        <v>500</v>
      </c>
      <c r="CR142">
        <f>IF(CM142&gt;0,SUM(CM142:CQ142),0)</f>
        <v>41580</v>
      </c>
      <c r="CS142">
        <f>_xlfn.XLOOKUP(B142,'[9]november-2025'!$A:$A,'[9]november-2025'!$H:$H,0,0)</f>
        <v>4000</v>
      </c>
      <c r="CT142">
        <f>_xlfn.XLOOKUP(B142,'[9]november-2025'!$A:$A,'[9]november-2025'!$I:$I,0,0)</f>
        <v>0</v>
      </c>
      <c r="CU142">
        <f>IF($F142="YES",0,IF(CR142&gt;40000,200,IF(CR142&gt;25000,150,IF(CR142&gt;15000,130,IF(CR142&gt;10000,110,0)))))</f>
        <v>200</v>
      </c>
      <c r="CV142">
        <f>CR142-CS142-CT142-CU142</f>
        <v>37380</v>
      </c>
      <c r="CW142">
        <f>_xlfn.XLOOKUP(B142,'[10]december-2025'!$A:$A,'[10]december-2025'!$C:$C,0,0)</f>
        <v>31600</v>
      </c>
      <c r="CX142">
        <f>ROUND(CW142*0.18,0)</f>
        <v>5688</v>
      </c>
      <c r="CY142">
        <f>ROUND(CW142*0.12,0)</f>
        <v>3792</v>
      </c>
      <c r="CZ142">
        <f>_xlfn.XLOOKUP(B142,'[10]december-2025'!$A:$A,'[10]december-2025'!$D:$D,0,0)</f>
        <v>0</v>
      </c>
      <c r="DA142">
        <f>_xlfn.XLOOKUP(B142,'[10]december-2025'!$A:$A,'[10]december-2025'!$G:$G,0,0)</f>
        <v>500</v>
      </c>
      <c r="DB142">
        <f>IF(CW142&gt;0,SUM(CW142:DA142),0)</f>
        <v>41580</v>
      </c>
      <c r="DC142">
        <f>_xlfn.XLOOKUP(B142,'[10]december-2025'!$A:$A,'[10]december-2025'!$H:$H,0,0)</f>
        <v>4000</v>
      </c>
      <c r="DD142">
        <f>_xlfn.XLOOKUP(B142,'[10]december-2025'!$A:$A,'[10]december-2025'!$I:$I,0,0)</f>
        <v>0</v>
      </c>
      <c r="DE142">
        <f>IF($F142="YES",0,IF(DB142&gt;40000,200,IF(DB142&gt;25000,150,IF(DB142&gt;15000,130,IF(DB142&gt;10000,110,0)))))</f>
        <v>200</v>
      </c>
      <c r="DF142">
        <f>DB142-DC142-DD142-DE142</f>
        <v>37380</v>
      </c>
      <c r="DG142">
        <f>_xlfn.XLOOKUP(B142,'[11]january-2026'!$A:$A,'[11]january-2026'!$C:$C,0,0)</f>
        <v>31600</v>
      </c>
      <c r="DH142">
        <f>DG142*0.18</f>
        <v>5688</v>
      </c>
      <c r="DI142">
        <f>DG142*0.12</f>
        <v>3792</v>
      </c>
      <c r="DJ142">
        <f>_xlfn.XLOOKUP(B142,'[11]january-2026'!$A:$A,'[11]january-2026'!$D:$D,0,0)</f>
        <v>0</v>
      </c>
      <c r="DK142">
        <f>_xlfn.XLOOKUP(B142,'[11]january-2026'!$A:$A,'[11]january-2026'!$G:$G,0,0)</f>
        <v>500</v>
      </c>
      <c r="DL142">
        <f>IF(DG142&gt;0,SUM(DG142:DK142),0)</f>
        <v>41580</v>
      </c>
      <c r="DM142">
        <f>_xlfn.XLOOKUP(B142,'[11]january-2026'!$A:$A,'[11]january-2026'!$H:$H,0,0)</f>
        <v>4000</v>
      </c>
      <c r="DN142">
        <f>_xlfn.XLOOKUP(B142,'[11]january-2026'!$A:$A,'[11]january-2026'!$I:$I,0,0)</f>
        <v>0</v>
      </c>
      <c r="DO142">
        <f>IF($F142="YES",0,IF(DL142&gt;40000,200,IF(DL142&gt;25000,150,IF(DL142&gt;15000,130,IF(DL142&gt;10000,110,0)))))</f>
        <v>200</v>
      </c>
      <c r="DP142">
        <f>DL142-DM142-DN142-DO142</f>
        <v>37380</v>
      </c>
      <c r="DQ142">
        <f>_xlfn.XLOOKUP(B142,'[12]february-2026'!$A:$A,'[12]february-2026'!$C:$C,0,0)</f>
        <v>31600</v>
      </c>
      <c r="DR142">
        <f>DQ142*0.18</f>
        <v>5688</v>
      </c>
      <c r="DS142">
        <f>DQ142*0.12</f>
        <v>3792</v>
      </c>
      <c r="DT142">
        <f>_xlfn.XLOOKUP(B142,'[12]february-2026'!$A:$A,'[12]february-2026'!$D:$D,0,0)</f>
        <v>0</v>
      </c>
      <c r="DU142">
        <f>_xlfn.XLOOKUP(B142,'[12]february-2026'!$A:$A,'[12]february-2026'!$G:$G,0,0)</f>
        <v>500</v>
      </c>
      <c r="DV142">
        <f>IF(DQ142&gt;0,SUM(DQ142:DU142),0)</f>
        <v>41580</v>
      </c>
      <c r="DW142">
        <f>_xlfn.XLOOKUP(B142,'[12]february-2026'!$A:$A,'[12]february-2026'!$H:$H,0,0)</f>
        <v>4000</v>
      </c>
      <c r="DX142">
        <f>_xlfn.XLOOKUP(B142,'[12]february-2026'!$A:$A,'[12]february-2026'!$I:$I,0,0)</f>
        <v>0</v>
      </c>
      <c r="DY142">
        <f>IF($F142="YES",0,IF(DV142&gt;40000,200,IF(DV142&gt;25000,150,IF(DV142&gt;15000,130,IF(DV142&gt;10000,110,0)))))</f>
        <v>200</v>
      </c>
      <c r="DZ142">
        <f>DV142-DW142-DX142-DY142</f>
        <v>37380</v>
      </c>
      <c r="EA142">
        <f>DV142+DL142+DB142+CR142+CH142+BX142+BN142+BD142+AS142+AI142+Y142+O142+H142+I142</f>
        <v>499852</v>
      </c>
      <c r="EB142">
        <f>DY142+DO142+DE142+CU142+CK142+CA142+BQ142+BG142+AV142+AL142+AB142+R142</f>
        <v>2350</v>
      </c>
      <c r="EC142">
        <f>IF(EA142&gt;0,50000,0)</f>
        <v>50000</v>
      </c>
      <c r="ED142">
        <v>0</v>
      </c>
      <c r="EE142">
        <f>EA142-EB142-EC142</f>
        <v>447502</v>
      </c>
      <c r="EF142">
        <f>DW142+DM142+DC142+CS142+CI142+BY142+BO142+BE142+AT142+AJ142+Z142+P142</f>
        <v>48000</v>
      </c>
      <c r="EG142">
        <f>DX142+DN142+DD142+CT142+CJ142+BZ142+BP142+BF142+AU142+AK142+AA142+Q142</f>
        <v>0</v>
      </c>
      <c r="EH142">
        <v>0</v>
      </c>
      <c r="EI142">
        <v>0</v>
      </c>
      <c r="EJ142">
        <v>0</v>
      </c>
      <c r="EK142">
        <v>0</v>
      </c>
      <c r="EL142">
        <v>0</v>
      </c>
      <c r="EM142">
        <v>0</v>
      </c>
      <c r="EN142">
        <v>0</v>
      </c>
      <c r="EO142">
        <v>0</v>
      </c>
      <c r="EP142">
        <v>0</v>
      </c>
      <c r="EQ142">
        <v>0</v>
      </c>
      <c r="ER142">
        <f>SUM(EF142:EQ142)</f>
        <v>48000</v>
      </c>
      <c r="ES142">
        <f>IF(ER142&gt;=150000,150000,ER142)</f>
        <v>48000</v>
      </c>
      <c r="ET142">
        <f>EE142-ES142</f>
        <v>399502</v>
      </c>
      <c r="EU142">
        <v>0</v>
      </c>
      <c r="EV142">
        <v>0</v>
      </c>
      <c r="EW142">
        <v>0</v>
      </c>
      <c r="EX142">
        <v>0</v>
      </c>
      <c r="EY142">
        <v>0</v>
      </c>
      <c r="EZ142">
        <v>0</v>
      </c>
      <c r="FA142">
        <v>0</v>
      </c>
      <c r="FB142">
        <f>SUM(EU142:FA142)+(IF(F142="YES",50000,0))</f>
        <v>0</v>
      </c>
      <c r="FC142">
        <f>ET142-FB142</f>
        <v>399502</v>
      </c>
      <c r="FD142">
        <f>ROUND(IF(FC142&gt;0,IF(FC142&gt;500000,12500,(FC142-250000)*0.05),0),0)</f>
        <v>7475</v>
      </c>
      <c r="FE142">
        <f>IF(ROUND(IF(FC142&gt;0,IF(FC142&gt;1000000,25000,(FC142-500000)*0.2),0),0)&lt;0,0,ROUND(IF(FC142&gt;0,IF(FC142&gt;1000000,25000,(FC142-500000)*0.2),0),0))</f>
        <v>0</v>
      </c>
      <c r="FF142">
        <f>FD142+FE142</f>
        <v>7475</v>
      </c>
      <c r="FG142">
        <f>IF(FF142&lt;12500,0,FF142)</f>
        <v>0</v>
      </c>
      <c r="FH142">
        <f>FG142*0.04</f>
        <v>0</v>
      </c>
      <c r="FI142">
        <f>ROUND(FH142+FG142,0)</f>
        <v>0</v>
      </c>
      <c r="FJ142">
        <v>0</v>
      </c>
      <c r="FK142">
        <f>FI142-FJ142</f>
        <v>0</v>
      </c>
      <c r="FL142" t="b">
        <f>IF(EA142&gt;500000,TRUE,FALSE)</f>
        <v>0</v>
      </c>
      <c r="FM142">
        <f ca="1">IF(FL142,RANDBETWEEN(500,1000),RANDBETWEEN(1000,3000))</f>
        <v>1956</v>
      </c>
      <c r="FN142">
        <f ca="1">EA142+FM142</f>
        <v>501808</v>
      </c>
      <c r="FO142">
        <f>IF(EA142&gt;0,75000,0)</f>
        <v>75000</v>
      </c>
      <c r="FP142">
        <f ca="1">FN142-FO142</f>
        <v>426808</v>
      </c>
      <c r="FQ142">
        <f ca="1">IF(FP142&gt;2400000,FP142-2400000,0)</f>
        <v>0</v>
      </c>
      <c r="FR142">
        <f ca="1">FQ142*0.3</f>
        <v>0</v>
      </c>
      <c r="FS142">
        <f ca="1">IF(FP142&gt;2000000,FP142-2000000,0)</f>
        <v>0</v>
      </c>
      <c r="FT142">
        <f ca="1">FS142*0.25</f>
        <v>0</v>
      </c>
      <c r="FU142">
        <f ca="1">IF(FP142&gt;1600000,FP142-1600000-FQ142,0)</f>
        <v>0</v>
      </c>
      <c r="FV142">
        <f ca="1">FU142*0.2</f>
        <v>0</v>
      </c>
      <c r="FW142">
        <f ca="1">IF(FP142&gt;1200000,FP142-1200000-IF(F142="YES",50000,0)-FU142,0)</f>
        <v>0</v>
      </c>
      <c r="FX142">
        <f ca="1">FW142*0.15</f>
        <v>0</v>
      </c>
      <c r="FY142">
        <f ca="1">IF(FP142&gt;800000,FP142-800000-FQ142-FU142-FW142,0)</f>
        <v>0</v>
      </c>
      <c r="FZ142">
        <f ca="1">FY142*0.1</f>
        <v>0</v>
      </c>
      <c r="GA142">
        <f ca="1">IF(FP142&gt;400000,FP142-400000-FQ142-FU142-FW142-FY142,0)</f>
        <v>26808</v>
      </c>
      <c r="GB142">
        <f ca="1">GA142*0.05</f>
        <v>1340.4</v>
      </c>
      <c r="GC142">
        <f ca="1">ROUND(FR142+FT142+FV142+FX142+FZ142+GB142,0)</f>
        <v>1340</v>
      </c>
      <c r="GD142">
        <f ca="1">IF(FP142&gt;1200000,FP142,0)</f>
        <v>0</v>
      </c>
      <c r="GE142">
        <f ca="1">IF(FP142&gt;1200000,GD142-1200000,0)</f>
        <v>0</v>
      </c>
      <c r="GF142">
        <f ca="1">IF(FP142&lt;1200001,MIN(GC142,60000),0)</f>
        <v>1340</v>
      </c>
      <c r="GG142">
        <f ca="1">IF(FP142&gt;1200000,GC142-GE142,0)</f>
        <v>0</v>
      </c>
      <c r="GH142" t="b">
        <f ca="1">IF(GG142&gt;0,TRUE,FALSE)</f>
        <v>0</v>
      </c>
      <c r="GI142">
        <f ca="1">IF(GH142,GG142,0)</f>
        <v>0</v>
      </c>
      <c r="GJ142">
        <f ca="1">GF142+GI142</f>
        <v>1340</v>
      </c>
      <c r="GK142">
        <f ca="1">ROUND(GC142-GJ142,0)</f>
        <v>0</v>
      </c>
      <c r="GL142">
        <f ca="1">GK142*0.04</f>
        <v>0</v>
      </c>
      <c r="GM142">
        <f ca="1">ROUNDUP(GK142+GL142,0)</f>
        <v>0</v>
      </c>
    </row>
    <row r="143" spans="1:195" x14ac:dyDescent="0.25">
      <c r="A143">
        <f>_xlfn.AGGREGATE(3,5,$B$2:B143)</f>
        <v>142</v>
      </c>
      <c r="B143" t="s">
        <v>397</v>
      </c>
      <c r="C143" t="s">
        <v>398</v>
      </c>
      <c r="D143" t="s">
        <v>791</v>
      </c>
      <c r="E143" t="s">
        <v>833</v>
      </c>
      <c r="F143" t="s">
        <v>959</v>
      </c>
      <c r="G143" t="s">
        <v>932</v>
      </c>
      <c r="H143">
        <f>IF(_xlfn.DAYS("31-03-2025",G143)&gt;=180,6800,0)</f>
        <v>6800</v>
      </c>
      <c r="I143">
        <f>_xlfn.XLOOKUP(B143,'[1]march-2025'!$A:$A,'[1]march-2025'!$J:$J,0,0)</f>
        <v>0</v>
      </c>
      <c r="J143">
        <f>_xlfn.XLOOKUP(B143,'[1]march-2025'!$A:$A,'[1]march-2025'!$C:$C,0,0)</f>
        <v>28900</v>
      </c>
      <c r="K143">
        <f>J143*0.14</f>
        <v>4046.0000000000005</v>
      </c>
      <c r="L143">
        <f>J143*0.12</f>
        <v>3468</v>
      </c>
      <c r="M143">
        <f>_xlfn.XLOOKUP(B143,'[1]march-2025'!$A:$A,'[1]march-2025'!$D:$D,0,0)</f>
        <v>0</v>
      </c>
      <c r="N143">
        <f>_xlfn.XLOOKUP(B143,'[1]march-2025'!$A:$A,'[1]march-2025'!$G:$G,0,0)</f>
        <v>0</v>
      </c>
      <c r="O143">
        <f>IF(J143&gt;0,SUM(J143:N143),0)</f>
        <v>36414</v>
      </c>
      <c r="P143">
        <f>_xlfn.XLOOKUP(B143,'[1]march-2025'!$A:$A,'[1]march-2025'!$H:$H,0,0)</f>
        <v>2000</v>
      </c>
      <c r="Q143">
        <f>_xlfn.XLOOKUP(B143,'[1]march-2025'!$A:$A,'[1]march-2025'!$I:$I,0,0)</f>
        <v>0</v>
      </c>
      <c r="R143">
        <f>IF($F143="YES",0,IF(O143&gt;40000,200,IF(O143&gt;25000,150,IF(O143&gt;15000,130,IF(O143&gt;10000,110,0)))))</f>
        <v>150</v>
      </c>
      <c r="S143">
        <f>O143-P143-Q143-R143</f>
        <v>34264</v>
      </c>
      <c r="T143">
        <f>_xlfn.XLOOKUP(B143,'[2]april-2025'!$A:$A,'[2]april-2025'!$C:$C,0,0)</f>
        <v>28900</v>
      </c>
      <c r="U143">
        <f>T143*0.18</f>
        <v>5202</v>
      </c>
      <c r="V143">
        <f>T143*0.12</f>
        <v>3468</v>
      </c>
      <c r="W143">
        <f>_xlfn.XLOOKUP(B143,'[2]april-2025'!$A:$A,'[2]april-2025'!$D:$D,0,0)</f>
        <v>0</v>
      </c>
      <c r="X143">
        <f>_xlfn.XLOOKUP(B143,'[2]april-2025'!$A:$A,'[2]april-2025'!$G:$G,0,0)</f>
        <v>0</v>
      </c>
      <c r="Y143">
        <f>IF(T143&gt;0,SUM(T143:X143),0)</f>
        <v>37570</v>
      </c>
      <c r="Z143">
        <f>_xlfn.XLOOKUP(B143,'[2]april-2025'!$A:$A,'[2]april-2025'!$H:$H,0,0)</f>
        <v>2000</v>
      </c>
      <c r="AA143">
        <f>_xlfn.XLOOKUP(B143,'[2]april-2025'!$A:$A,'[2]april-2025'!$I:$I,0,0)</f>
        <v>0</v>
      </c>
      <c r="AB143">
        <f>IF($F143="YES",0,IF(Y143&gt;40000,200,IF(Y143&gt;25000,150,IF(Y143&gt;15000,130,IF(Y143&gt;10000,110,0)))))</f>
        <v>150</v>
      </c>
      <c r="AC143">
        <f>Y143-Z143-AA143-AB143</f>
        <v>35420</v>
      </c>
      <c r="AD143">
        <f>_xlfn.XLOOKUP(B143,'[3]may-2025'!$A:$A,'[3]may-2025'!$C:$C,0,0)</f>
        <v>28900</v>
      </c>
      <c r="AE143">
        <f>AD143*0.18</f>
        <v>5202</v>
      </c>
      <c r="AF143">
        <f>AD143*0.12</f>
        <v>3468</v>
      </c>
      <c r="AG143">
        <f>_xlfn.XLOOKUP(B143,'[3]may-2025'!$A:$A,'[3]may-2025'!$D:$D,0,0)</f>
        <v>0</v>
      </c>
      <c r="AH143">
        <f>_xlfn.XLOOKUP(B143,'[3]may-2025'!$A:$A,'[3]may-2025'!$G:$G,0,0)</f>
        <v>0</v>
      </c>
      <c r="AI143">
        <f>IF(AD143&gt;0,SUM(AD143:AH143),0)</f>
        <v>37570</v>
      </c>
      <c r="AJ143">
        <f>_xlfn.XLOOKUP(B143,'[3]may-2025'!$A:$A,'[3]may-2025'!$H:$H,0,0)</f>
        <v>2000</v>
      </c>
      <c r="AK143">
        <f>_xlfn.XLOOKUP(B143,'[3]may-2025'!$A:$A,'[3]may-2025'!$I:$I,0,0)</f>
        <v>0</v>
      </c>
      <c r="AL143">
        <f>IF($F143="YES",0,IF(AI143&gt;40000,200,IF(AI143&gt;25000,150,IF(AI143&gt;15000,130,IF(AI143&gt;10000,110,0)))))</f>
        <v>150</v>
      </c>
      <c r="AM143">
        <f>AI143-AJ143-AK143-AL143</f>
        <v>35420</v>
      </c>
      <c r="AN143">
        <f>_xlfn.XLOOKUP(B143,'[4]june-2025'!$A:$A,'[4]june-2025'!$C:$C,0,0)</f>
        <v>28900</v>
      </c>
      <c r="AO143">
        <f>AN143*0.18</f>
        <v>5202</v>
      </c>
      <c r="AP143">
        <f>AN143*0.12</f>
        <v>3468</v>
      </c>
      <c r="AQ143">
        <f>_xlfn.XLOOKUP(B143,'[4]june-2025'!$A:$A,'[4]june-2025'!$D:$D,0,0)</f>
        <v>0</v>
      </c>
      <c r="AR143">
        <f>_xlfn.XLOOKUP(B143,'[4]june-2025'!$A:$A,'[4]june-2025'!$G:$G,0,0)</f>
        <v>0</v>
      </c>
      <c r="AS143">
        <f>IF(AN143&gt;0,SUM(AN143:AR143),0)</f>
        <v>37570</v>
      </c>
      <c r="AT143">
        <f>_xlfn.XLOOKUP(B143,'[4]june-2025'!$A:$A,'[4]june-2025'!$H:$H,0,0)</f>
        <v>2000</v>
      </c>
      <c r="AU143">
        <f>_xlfn.XLOOKUP(B143,'[4]june-2025'!$A:$A,'[4]june-2025'!$I:$I,0,0)</f>
        <v>0</v>
      </c>
      <c r="AV143">
        <f>IF($F143="YES",0,IF(AS143&gt;40000,200,IF(AS143&gt;25000,150,IF(AS143&gt;15000,130,IF(AS143&gt;10000,110,0)))))</f>
        <v>150</v>
      </c>
      <c r="AW143">
        <f>AS143-AT143-AU143-AV143</f>
        <v>35420</v>
      </c>
      <c r="AX143">
        <f>_xlfn.XLOOKUP(B143,'[5]july-2025'!$A:$A,'[5]july-2025'!$C:$C,0,0)</f>
        <v>29800</v>
      </c>
      <c r="AY143">
        <f>AX143*0.18</f>
        <v>5364</v>
      </c>
      <c r="AZ143">
        <v>0</v>
      </c>
      <c r="BA143">
        <f>AX143*0.12</f>
        <v>3576</v>
      </c>
      <c r="BB143">
        <f>_xlfn.XLOOKUP(B143,'[5]july-2025'!$A:$A,'[5]july-2025'!$D:$D,0,0)</f>
        <v>0</v>
      </c>
      <c r="BC143">
        <f>_xlfn.XLOOKUP(B143,'[5]july-2025'!$A:$A,'[5]july-2025'!$G:$G,0,0)</f>
        <v>0</v>
      </c>
      <c r="BD143">
        <f>IF(AX143&gt;0,SUM(AX143:BC143),0)</f>
        <v>38740</v>
      </c>
      <c r="BE143">
        <f>_xlfn.XLOOKUP(B143,'[5]july-2025'!$A:$A,'[5]july-2025'!$H:$H,0,0)</f>
        <v>2000</v>
      </c>
      <c r="BF143">
        <f>_xlfn.XLOOKUP(B143,'[5]july-2025'!$A:$A,'[5]july-2025'!$I:$I,0,0)</f>
        <v>0</v>
      </c>
      <c r="BG143">
        <f>IF($F143="YES",0,IF(BD143&gt;40000,200,IF(BD143&gt;25000,150,IF(BD143&gt;15000,130,IF(BD143&gt;10000,110,0)))))</f>
        <v>150</v>
      </c>
      <c r="BH143">
        <f>BD143-BE143-BF143-BG143</f>
        <v>36590</v>
      </c>
      <c r="BI143">
        <f>_xlfn.XLOOKUP(B143,'[6]august-2025'!$A:$A,'[6]august-2025'!$C:$C,0,0)</f>
        <v>29800</v>
      </c>
      <c r="BJ143">
        <f>BI143*0.18</f>
        <v>5364</v>
      </c>
      <c r="BK143">
        <f>BI143*0.12</f>
        <v>3576</v>
      </c>
      <c r="BL143">
        <f>_xlfn.XLOOKUP(B143,'[6]august-2025'!$A:$A,'[6]august-2025'!$D:$D,0,0)</f>
        <v>0</v>
      </c>
      <c r="BM143">
        <f>_xlfn.XLOOKUP(B143,'[6]august-2025'!$A:$A,'[6]august-2025'!$G:$G,0,0)</f>
        <v>0</v>
      </c>
      <c r="BN143">
        <f>IF(BI143&gt;0,SUM(BI143:BM143),0)</f>
        <v>38740</v>
      </c>
      <c r="BO143">
        <f>_xlfn.XLOOKUP(B143,'[6]august-2025'!$A:$A,'[6]august-2025'!$H:$H,0,0)</f>
        <v>2000</v>
      </c>
      <c r="BP143">
        <f>_xlfn.XLOOKUP(B143,'[6]august-2025'!$A:$A,'[6]august-2025'!$I:$I,0,0)</f>
        <v>0</v>
      </c>
      <c r="BQ143">
        <f>IF($F143="YES",0,IF(BN143&gt;40000,200,IF(BN143&gt;25000,150,IF(BN143&gt;15000,130,IF(BN143&gt;10000,110,0)))))</f>
        <v>150</v>
      </c>
      <c r="BR143">
        <f>BN143-BO143-BP143-BQ143</f>
        <v>36590</v>
      </c>
      <c r="BS143">
        <f>_xlfn.XLOOKUP(B143,'[7]september-2025'!$A:$A,'[7]september-2025'!$C:$C,0,0)</f>
        <v>29800</v>
      </c>
      <c r="BT143">
        <f>BS143*0.18</f>
        <v>5364</v>
      </c>
      <c r="BU143">
        <f>BS143*0.12</f>
        <v>3576</v>
      </c>
      <c r="BV143">
        <f>_xlfn.XLOOKUP(B143,'[7]september-2025'!$A:$A,'[7]september-2025'!$D:$D,0,0)</f>
        <v>0</v>
      </c>
      <c r="BW143">
        <f>_xlfn.XLOOKUP(B143,'[7]september-2025'!$A:$A,'[7]september-2025'!$G:$G,0,0)</f>
        <v>0</v>
      </c>
      <c r="BX143">
        <f>IF(BS143&gt;0,SUM(BS143:BW143),0)</f>
        <v>38740</v>
      </c>
      <c r="BY143">
        <f>_xlfn.XLOOKUP(B143,'[7]september-2025'!$A:$A,'[7]september-2025'!$H:$H,0,0)</f>
        <v>2000</v>
      </c>
      <c r="BZ143">
        <f>_xlfn.XLOOKUP(B143,'[7]september-2025'!$A:$A,'[7]september-2025'!$I:$I,0,0)</f>
        <v>0</v>
      </c>
      <c r="CA143">
        <f>IF($F143="YES",0,IF(BX143&gt;40000,200,IF(BX143&gt;25000,150,IF(BX143&gt;15000,130,IF(BX143&gt;10000,110,0)))))</f>
        <v>150</v>
      </c>
      <c r="CB143">
        <f>BX143-BY143-BZ143-CA143</f>
        <v>36590</v>
      </c>
      <c r="CC143">
        <f>_xlfn.XLOOKUP(B143,'[8]october-2025'!$A:$A,'[8]october-2025'!$C:$C,0,0)</f>
        <v>29800</v>
      </c>
      <c r="CD143">
        <f>CC143*0.18</f>
        <v>5364</v>
      </c>
      <c r="CE143">
        <f>CC143*0.12</f>
        <v>3576</v>
      </c>
      <c r="CF143">
        <f>_xlfn.XLOOKUP(B143,'[8]october-2025'!$A:$A,'[8]october-2025'!$D:$D,0,0)</f>
        <v>0</v>
      </c>
      <c r="CG143">
        <f>_xlfn.XLOOKUP(B143,'[8]october-2025'!$A:$A,'[8]october-2025'!$G:$G,0,0)</f>
        <v>0</v>
      </c>
      <c r="CH143">
        <f>IF(CC143&gt;0,SUM(CC143:CG143),0)</f>
        <v>38740</v>
      </c>
      <c r="CI143">
        <f>_xlfn.XLOOKUP(B143,'[8]october-2025'!$A:$A,'[8]october-2025'!$H:$H,0,0)</f>
        <v>2000</v>
      </c>
      <c r="CJ143">
        <f>_xlfn.XLOOKUP(B143,'[8]october-2025'!$A:$A,'[8]october-2025'!$I:$I,0,0)</f>
        <v>0</v>
      </c>
      <c r="CK143">
        <f>IF($F143="YES",0,IF(CH143&gt;40000,200,IF(CH143&gt;25000,150,IF(CH143&gt;15000,130,IF(CH143&gt;10000,110,0)))))</f>
        <v>150</v>
      </c>
      <c r="CL143">
        <f>CH143-CI143-CJ143-CK143</f>
        <v>36590</v>
      </c>
      <c r="CM143">
        <f>_xlfn.XLOOKUP(B143,'[9]november-2025'!$A:$A,'[9]november-2025'!$C:$C,0,0)</f>
        <v>29800</v>
      </c>
      <c r="CN143">
        <f>CM143*0.18</f>
        <v>5364</v>
      </c>
      <c r="CO143">
        <f>CM143*0.12</f>
        <v>3576</v>
      </c>
      <c r="CP143">
        <f>_xlfn.XLOOKUP(B143,'[9]november-2025'!$A:$A,'[9]november-2025'!$D:$D,0,0)</f>
        <v>0</v>
      </c>
      <c r="CQ143">
        <f>_xlfn.XLOOKUP(B143,'[9]november-2025'!$A:$A,'[9]november-2025'!$G:$G,0,0)</f>
        <v>0</v>
      </c>
      <c r="CR143">
        <f>IF(CM143&gt;0,SUM(CM143:CQ143),0)</f>
        <v>38740</v>
      </c>
      <c r="CS143">
        <f>_xlfn.XLOOKUP(B143,'[9]november-2025'!$A:$A,'[9]november-2025'!$H:$H,0,0)</f>
        <v>2000</v>
      </c>
      <c r="CT143">
        <f>_xlfn.XLOOKUP(B143,'[9]november-2025'!$A:$A,'[9]november-2025'!$I:$I,0,0)</f>
        <v>0</v>
      </c>
      <c r="CU143">
        <f>IF($F143="YES",0,IF(CR143&gt;40000,200,IF(CR143&gt;25000,150,IF(CR143&gt;15000,130,IF(CR143&gt;10000,110,0)))))</f>
        <v>150</v>
      </c>
      <c r="CV143">
        <f>CR143-CS143-CT143-CU143</f>
        <v>36590</v>
      </c>
      <c r="CW143">
        <f>_xlfn.XLOOKUP(B143,'[10]december-2025'!$A:$A,'[10]december-2025'!$C:$C,0,0)</f>
        <v>29800</v>
      </c>
      <c r="CX143">
        <f>ROUND(CW143*0.18,0)</f>
        <v>5364</v>
      </c>
      <c r="CY143">
        <f>ROUND(CW143*0.12,0)</f>
        <v>3576</v>
      </c>
      <c r="CZ143">
        <f>_xlfn.XLOOKUP(B143,'[10]december-2025'!$A:$A,'[10]december-2025'!$D:$D,0,0)</f>
        <v>0</v>
      </c>
      <c r="DA143">
        <f>_xlfn.XLOOKUP(B143,'[10]december-2025'!$A:$A,'[10]december-2025'!$G:$G,0,0)</f>
        <v>0</v>
      </c>
      <c r="DB143">
        <f>IF(CW143&gt;0,SUM(CW143:DA143),0)</f>
        <v>38740</v>
      </c>
      <c r="DC143">
        <f>_xlfn.XLOOKUP(B143,'[10]december-2025'!$A:$A,'[10]december-2025'!$H:$H,0,0)</f>
        <v>2000</v>
      </c>
      <c r="DD143">
        <f>_xlfn.XLOOKUP(B143,'[10]december-2025'!$A:$A,'[10]december-2025'!$I:$I,0,0)</f>
        <v>0</v>
      </c>
      <c r="DE143">
        <f>IF($F143="YES",0,IF(DB143&gt;40000,200,IF(DB143&gt;25000,150,IF(DB143&gt;15000,130,IF(DB143&gt;10000,110,0)))))</f>
        <v>150</v>
      </c>
      <c r="DF143">
        <f>DB143-DC143-DD143-DE143</f>
        <v>36590</v>
      </c>
      <c r="DG143">
        <f>_xlfn.XLOOKUP(B143,'[11]january-2026'!$A:$A,'[11]january-2026'!$C:$C,0,0)</f>
        <v>29800</v>
      </c>
      <c r="DH143">
        <f>DG143*0.18</f>
        <v>5364</v>
      </c>
      <c r="DI143">
        <f>DG143*0.12</f>
        <v>3576</v>
      </c>
      <c r="DJ143">
        <f>_xlfn.XLOOKUP(B143,'[11]january-2026'!$A:$A,'[11]january-2026'!$D:$D,0,0)</f>
        <v>0</v>
      </c>
      <c r="DK143">
        <f>_xlfn.XLOOKUP(B143,'[11]january-2026'!$A:$A,'[11]january-2026'!$G:$G,0,0)</f>
        <v>0</v>
      </c>
      <c r="DL143">
        <f>IF(DG143&gt;0,SUM(DG143:DK143),0)</f>
        <v>38740</v>
      </c>
      <c r="DM143">
        <f>_xlfn.XLOOKUP(B143,'[11]january-2026'!$A:$A,'[11]january-2026'!$H:$H,0,0)</f>
        <v>2000</v>
      </c>
      <c r="DN143">
        <f>_xlfn.XLOOKUP(B143,'[11]january-2026'!$A:$A,'[11]january-2026'!$I:$I,0,0)</f>
        <v>0</v>
      </c>
      <c r="DO143">
        <f>IF($F143="YES",0,IF(DL143&gt;40000,200,IF(DL143&gt;25000,150,IF(DL143&gt;15000,130,IF(DL143&gt;10000,110,0)))))</f>
        <v>150</v>
      </c>
      <c r="DP143">
        <f>DL143-DM143-DN143-DO143</f>
        <v>36590</v>
      </c>
      <c r="DQ143">
        <f>_xlfn.XLOOKUP(B143,'[12]february-2026'!$A:$A,'[12]february-2026'!$C:$C,0,0)</f>
        <v>29800</v>
      </c>
      <c r="DR143">
        <f>DQ143*0.18</f>
        <v>5364</v>
      </c>
      <c r="DS143">
        <f>DQ143*0.12</f>
        <v>3576</v>
      </c>
      <c r="DT143">
        <f>_xlfn.XLOOKUP(B143,'[12]february-2026'!$A:$A,'[12]february-2026'!$D:$D,0,0)</f>
        <v>0</v>
      </c>
      <c r="DU143">
        <f>_xlfn.XLOOKUP(B143,'[12]february-2026'!$A:$A,'[12]february-2026'!$G:$G,0,0)</f>
        <v>0</v>
      </c>
      <c r="DV143">
        <f>IF(DQ143&gt;0,SUM(DQ143:DU143),0)</f>
        <v>38740</v>
      </c>
      <c r="DW143">
        <f>_xlfn.XLOOKUP(B143,'[12]february-2026'!$A:$A,'[12]february-2026'!$H:$H,0,0)</f>
        <v>2000</v>
      </c>
      <c r="DX143">
        <f>_xlfn.XLOOKUP(B143,'[12]february-2026'!$A:$A,'[12]february-2026'!$I:$I,0,0)</f>
        <v>0</v>
      </c>
      <c r="DY143">
        <f>IF($F143="YES",0,IF(DV143&gt;40000,200,IF(DV143&gt;25000,150,IF(DV143&gt;15000,130,IF(DV143&gt;10000,110,0)))))</f>
        <v>150</v>
      </c>
      <c r="DZ143">
        <f>DV143-DW143-DX143-DY143</f>
        <v>36590</v>
      </c>
      <c r="EA143">
        <f>DV143+DL143+DB143+CR143+CH143+BX143+BN143+BD143+AS143+AI143+Y143+O143+H143+I143</f>
        <v>465844</v>
      </c>
      <c r="EB143">
        <f>DY143+DO143+DE143+CU143+CK143+CA143+BQ143+BG143+AV143+AL143+AB143+R143</f>
        <v>1800</v>
      </c>
      <c r="EC143">
        <f>IF(EA143&gt;0,50000,0)</f>
        <v>50000</v>
      </c>
      <c r="ED143">
        <v>0</v>
      </c>
      <c r="EE143">
        <f>EA143-EB143-EC143</f>
        <v>414044</v>
      </c>
      <c r="EF143">
        <f>DW143+DM143+DC143+CS143+CI143+BY143+BO143+BE143+AT143+AJ143+Z143+P143</f>
        <v>24000</v>
      </c>
      <c r="EG143">
        <f>DX143+DN143+DD143+CT143+CJ143+BZ143+BP143+BF143+AU143+AK143+AA143+Q143</f>
        <v>0</v>
      </c>
      <c r="EH143">
        <v>0</v>
      </c>
      <c r="EI143">
        <v>0</v>
      </c>
      <c r="EJ143">
        <v>0</v>
      </c>
      <c r="EK143">
        <v>0</v>
      </c>
      <c r="EL143">
        <v>0</v>
      </c>
      <c r="EM143">
        <v>0</v>
      </c>
      <c r="EN143">
        <v>0</v>
      </c>
      <c r="EO143">
        <v>0</v>
      </c>
      <c r="EP143">
        <v>0</v>
      </c>
      <c r="EQ143">
        <v>0</v>
      </c>
      <c r="ER143">
        <f>SUM(EF143:EQ143)</f>
        <v>24000</v>
      </c>
      <c r="ES143">
        <f>IF(ER143&gt;=150000,150000,ER143)</f>
        <v>24000</v>
      </c>
      <c r="ET143">
        <f>EE143-ES143</f>
        <v>390044</v>
      </c>
      <c r="EU143">
        <v>0</v>
      </c>
      <c r="EV143">
        <v>0</v>
      </c>
      <c r="EW143">
        <v>0</v>
      </c>
      <c r="EX143">
        <v>0</v>
      </c>
      <c r="EY143">
        <v>0</v>
      </c>
      <c r="EZ143">
        <v>0</v>
      </c>
      <c r="FA143">
        <v>0</v>
      </c>
      <c r="FB143">
        <f>SUM(EU143:FA143)+(IF(F143="YES",50000,0))</f>
        <v>0</v>
      </c>
      <c r="FC143">
        <f>ET143-FB143</f>
        <v>390044</v>
      </c>
      <c r="FD143">
        <f>ROUND(IF(FC143&gt;0,IF(FC143&gt;500000,12500,(FC143-250000)*0.05),0),0)</f>
        <v>7002</v>
      </c>
      <c r="FE143">
        <f>IF(ROUND(IF(FC143&gt;0,IF(FC143&gt;1000000,25000,(FC143-500000)*0.2),0),0)&lt;0,0,ROUND(IF(FC143&gt;0,IF(FC143&gt;1000000,25000,(FC143-500000)*0.2),0),0))</f>
        <v>0</v>
      </c>
      <c r="FF143">
        <f>FD143+FE143</f>
        <v>7002</v>
      </c>
      <c r="FG143">
        <f>IF(FF143&lt;12500,0,FF143)</f>
        <v>0</v>
      </c>
      <c r="FH143">
        <f>FG143*0.04</f>
        <v>0</v>
      </c>
      <c r="FI143">
        <f>ROUND(FH143+FG143,0)</f>
        <v>0</v>
      </c>
      <c r="FJ143">
        <v>0</v>
      </c>
      <c r="FK143">
        <f>FI143-FJ143</f>
        <v>0</v>
      </c>
      <c r="FL143" t="b">
        <f>IF(EA143&gt;500000,TRUE,FALSE)</f>
        <v>0</v>
      </c>
      <c r="FM143">
        <f ca="1">IF(FL143,RANDBETWEEN(500,1000),RANDBETWEEN(1000,3000))</f>
        <v>2173</v>
      </c>
      <c r="FN143">
        <f ca="1">EA143+FM143</f>
        <v>468017</v>
      </c>
      <c r="FO143">
        <f>IF(EA143&gt;0,75000,0)</f>
        <v>75000</v>
      </c>
      <c r="FP143">
        <f ca="1">FN143-FO143</f>
        <v>393017</v>
      </c>
      <c r="FQ143">
        <f ca="1">IF(FP143&gt;2400000,FP143-2400000,0)</f>
        <v>0</v>
      </c>
      <c r="FR143">
        <f ca="1">FQ143*0.3</f>
        <v>0</v>
      </c>
      <c r="FS143">
        <f ca="1">IF(FP143&gt;2000000,FP143-2000000,0)</f>
        <v>0</v>
      </c>
      <c r="FT143">
        <f ca="1">FS143*0.25</f>
        <v>0</v>
      </c>
      <c r="FU143">
        <f ca="1">IF(FP143&gt;1600000,FP143-1600000-FQ143,0)</f>
        <v>0</v>
      </c>
      <c r="FV143">
        <f ca="1">FU143*0.2</f>
        <v>0</v>
      </c>
      <c r="FW143">
        <f ca="1">IF(FP143&gt;1200000,FP143-1200000-IF(F143="YES",50000,0)-FU143,0)</f>
        <v>0</v>
      </c>
      <c r="FX143">
        <f ca="1">FW143*0.15</f>
        <v>0</v>
      </c>
      <c r="FY143">
        <f ca="1">IF(FP143&gt;800000,FP143-800000-FQ143-FU143-FW143,0)</f>
        <v>0</v>
      </c>
      <c r="FZ143">
        <f ca="1">FY143*0.1</f>
        <v>0</v>
      </c>
      <c r="GA143">
        <f ca="1">IF(FP143&gt;400000,FP143-400000-FQ143-FU143-FW143-FY143,0)</f>
        <v>0</v>
      </c>
      <c r="GB143">
        <f ca="1">GA143*0.05</f>
        <v>0</v>
      </c>
      <c r="GC143">
        <f ca="1">ROUND(FR143+FT143+FV143+FX143+FZ143+GB143,0)</f>
        <v>0</v>
      </c>
      <c r="GD143">
        <f ca="1">IF(FP143&gt;1200000,FP143,0)</f>
        <v>0</v>
      </c>
      <c r="GE143">
        <f ca="1">IF(FP143&gt;1200000,GD143-1200000,0)</f>
        <v>0</v>
      </c>
      <c r="GF143">
        <f ca="1">IF(FP143&lt;1200001,MIN(GC143,60000),0)</f>
        <v>0</v>
      </c>
      <c r="GG143">
        <f ca="1">IF(FP143&gt;1200000,GC143-GE143,0)</f>
        <v>0</v>
      </c>
      <c r="GH143" t="b">
        <f ca="1">IF(GG143&gt;0,TRUE,FALSE)</f>
        <v>0</v>
      </c>
      <c r="GI143">
        <f ca="1">IF(GH143,GG143,0)</f>
        <v>0</v>
      </c>
      <c r="GJ143">
        <f ca="1">GF143+GI143</f>
        <v>0</v>
      </c>
      <c r="GK143">
        <f ca="1">ROUND(GC143-GJ143,0)</f>
        <v>0</v>
      </c>
      <c r="GL143">
        <f ca="1">GK143*0.04</f>
        <v>0</v>
      </c>
      <c r="GM143">
        <f ca="1">ROUNDUP(GK143+GL143,0)</f>
        <v>0</v>
      </c>
    </row>
    <row r="144" spans="1:195" x14ac:dyDescent="0.25">
      <c r="A144">
        <f>_xlfn.AGGREGATE(3,5,$B$2:B144)</f>
        <v>143</v>
      </c>
      <c r="B144" t="s">
        <v>399</v>
      </c>
      <c r="C144" t="s">
        <v>400</v>
      </c>
      <c r="D144" t="s">
        <v>792</v>
      </c>
      <c r="E144" t="s">
        <v>833</v>
      </c>
      <c r="F144" t="s">
        <v>959</v>
      </c>
      <c r="G144" t="s">
        <v>901</v>
      </c>
      <c r="H144">
        <f>IF(_xlfn.DAYS("31-03-2025",G144)&gt;=180,6800,0)</f>
        <v>6800</v>
      </c>
      <c r="I144">
        <f>_xlfn.XLOOKUP(B144,'[1]march-2025'!$A:$A,'[1]march-2025'!$J:$J,0,0)</f>
        <v>0</v>
      </c>
      <c r="J144">
        <f>_xlfn.XLOOKUP(B144,'[1]march-2025'!$A:$A,'[1]march-2025'!$C:$C,0,0)</f>
        <v>48700</v>
      </c>
      <c r="K144">
        <f>J144*0.14</f>
        <v>6818.0000000000009</v>
      </c>
      <c r="L144">
        <f>J144*0.12</f>
        <v>5844</v>
      </c>
      <c r="M144">
        <f>_xlfn.XLOOKUP(B144,'[1]march-2025'!$A:$A,'[1]march-2025'!$D:$D,0,0)</f>
        <v>400</v>
      </c>
      <c r="N144">
        <f>_xlfn.XLOOKUP(B144,'[1]march-2025'!$A:$A,'[1]march-2025'!$G:$G,0,0)</f>
        <v>500</v>
      </c>
      <c r="O144">
        <f>IF(J144&gt;0,SUM(J144:N144),0)</f>
        <v>62262</v>
      </c>
      <c r="P144">
        <f>_xlfn.XLOOKUP(B144,'[1]march-2025'!$A:$A,'[1]march-2025'!$H:$H,0,0)</f>
        <v>7000</v>
      </c>
      <c r="Q144">
        <f>_xlfn.XLOOKUP(B144,'[1]march-2025'!$A:$A,'[1]march-2025'!$I:$I,0,0)</f>
        <v>0</v>
      </c>
      <c r="R144">
        <f>IF($F144="YES",0,IF(O144&gt;40000,200,IF(O144&gt;25000,150,IF(O144&gt;15000,130,IF(O144&gt;10000,110,0)))))</f>
        <v>200</v>
      </c>
      <c r="S144">
        <f>O144-P144-Q144-R144</f>
        <v>55062</v>
      </c>
      <c r="T144">
        <f>_xlfn.XLOOKUP(B144,'[2]april-2025'!$A:$A,'[2]april-2025'!$C:$C,0,0)</f>
        <v>48700</v>
      </c>
      <c r="U144">
        <f>T144*0.18</f>
        <v>8766</v>
      </c>
      <c r="V144">
        <f>T144*0.12</f>
        <v>5844</v>
      </c>
      <c r="W144">
        <f>_xlfn.XLOOKUP(B144,'[2]april-2025'!$A:$A,'[2]april-2025'!$D:$D,0,0)</f>
        <v>400</v>
      </c>
      <c r="X144">
        <f>_xlfn.XLOOKUP(B144,'[2]april-2025'!$A:$A,'[2]april-2025'!$G:$G,0,0)</f>
        <v>500</v>
      </c>
      <c r="Y144">
        <f>IF(T144&gt;0,SUM(T144:X144),0)</f>
        <v>64210</v>
      </c>
      <c r="Z144">
        <f>_xlfn.XLOOKUP(B144,'[2]april-2025'!$A:$A,'[2]april-2025'!$H:$H,0,0)</f>
        <v>7000</v>
      </c>
      <c r="AA144">
        <f>_xlfn.XLOOKUP(B144,'[2]april-2025'!$A:$A,'[2]april-2025'!$I:$I,0,0)</f>
        <v>0</v>
      </c>
      <c r="AB144">
        <f>IF($F144="YES",0,IF(Y144&gt;40000,200,IF(Y144&gt;25000,150,IF(Y144&gt;15000,130,IF(Y144&gt;10000,110,0)))))</f>
        <v>200</v>
      </c>
      <c r="AC144">
        <f>Y144-Z144-AA144-AB144</f>
        <v>57010</v>
      </c>
      <c r="AD144">
        <f>_xlfn.XLOOKUP(B144,'[3]may-2025'!$A:$A,'[3]may-2025'!$C:$C,0,0)</f>
        <v>48700</v>
      </c>
      <c r="AE144">
        <f>AD144*0.18</f>
        <v>8766</v>
      </c>
      <c r="AF144">
        <f>AD144*0.12</f>
        <v>5844</v>
      </c>
      <c r="AG144">
        <f>_xlfn.XLOOKUP(B144,'[3]may-2025'!$A:$A,'[3]may-2025'!$D:$D,0,0)</f>
        <v>400</v>
      </c>
      <c r="AH144">
        <f>_xlfn.XLOOKUP(B144,'[3]may-2025'!$A:$A,'[3]may-2025'!$G:$G,0,0)</f>
        <v>500</v>
      </c>
      <c r="AI144">
        <f>IF(AD144&gt;0,SUM(AD144:AH144),0)</f>
        <v>64210</v>
      </c>
      <c r="AJ144">
        <f>_xlfn.XLOOKUP(B144,'[3]may-2025'!$A:$A,'[3]may-2025'!$H:$H,0,0)</f>
        <v>7000</v>
      </c>
      <c r="AK144">
        <f>_xlfn.XLOOKUP(B144,'[3]may-2025'!$A:$A,'[3]may-2025'!$I:$I,0,0)</f>
        <v>0</v>
      </c>
      <c r="AL144">
        <f>IF($F144="YES",0,IF(AI144&gt;40000,200,IF(AI144&gt;25000,150,IF(AI144&gt;15000,130,IF(AI144&gt;10000,110,0)))))</f>
        <v>200</v>
      </c>
      <c r="AM144">
        <f>AI144-AJ144-AK144-AL144</f>
        <v>57010</v>
      </c>
      <c r="AN144">
        <f>_xlfn.XLOOKUP(B144,'[4]june-2025'!$A:$A,'[4]june-2025'!$C:$C,0,0)</f>
        <v>48700</v>
      </c>
      <c r="AO144">
        <f>AN144*0.18</f>
        <v>8766</v>
      </c>
      <c r="AP144">
        <f>AN144*0.12</f>
        <v>5844</v>
      </c>
      <c r="AQ144">
        <f>_xlfn.XLOOKUP(B144,'[4]june-2025'!$A:$A,'[4]june-2025'!$D:$D,0,0)</f>
        <v>400</v>
      </c>
      <c r="AR144">
        <f>_xlfn.XLOOKUP(B144,'[4]june-2025'!$A:$A,'[4]june-2025'!$G:$G,0,0)</f>
        <v>500</v>
      </c>
      <c r="AS144">
        <f>IF(AN144&gt;0,SUM(AN144:AR144),0)</f>
        <v>64210</v>
      </c>
      <c r="AT144">
        <f>_xlfn.XLOOKUP(B144,'[4]june-2025'!$A:$A,'[4]june-2025'!$H:$H,0,0)</f>
        <v>7000</v>
      </c>
      <c r="AU144">
        <f>_xlfn.XLOOKUP(B144,'[4]june-2025'!$A:$A,'[4]june-2025'!$I:$I,0,0)</f>
        <v>0</v>
      </c>
      <c r="AV144">
        <f>IF($F144="YES",0,IF(AS144&gt;40000,200,IF(AS144&gt;25000,150,IF(AS144&gt;15000,130,IF(AS144&gt;10000,110,0)))))</f>
        <v>200</v>
      </c>
      <c r="AW144">
        <f>AS144-AT144-AU144-AV144</f>
        <v>57010</v>
      </c>
      <c r="AX144">
        <f>_xlfn.XLOOKUP(B144,'[5]july-2025'!$A:$A,'[5]july-2025'!$C:$C,0,0)</f>
        <v>51700</v>
      </c>
      <c r="AY144">
        <f>AX144*0.18</f>
        <v>9306</v>
      </c>
      <c r="AZ144">
        <v>0</v>
      </c>
      <c r="BA144">
        <f>AX144*0.12</f>
        <v>6204</v>
      </c>
      <c r="BB144">
        <f>_xlfn.XLOOKUP(B144,'[5]july-2025'!$A:$A,'[5]july-2025'!$D:$D,0,0)</f>
        <v>400</v>
      </c>
      <c r="BC144">
        <f>_xlfn.XLOOKUP(B144,'[5]july-2025'!$A:$A,'[5]july-2025'!$G:$G,0,0)</f>
        <v>500</v>
      </c>
      <c r="BD144">
        <f>IF(AX144&gt;0,SUM(AX144:BC144),0)</f>
        <v>68110</v>
      </c>
      <c r="BE144">
        <f>_xlfn.XLOOKUP(B144,'[5]july-2025'!$A:$A,'[5]july-2025'!$H:$H,0,0)</f>
        <v>7000</v>
      </c>
      <c r="BF144">
        <f>_xlfn.XLOOKUP(B144,'[5]july-2025'!$A:$A,'[5]july-2025'!$I:$I,0,0)</f>
        <v>0</v>
      </c>
      <c r="BG144">
        <f>IF($F144="YES",0,IF(BD144&gt;40000,200,IF(BD144&gt;25000,150,IF(BD144&gt;15000,130,IF(BD144&gt;10000,110,0)))))</f>
        <v>200</v>
      </c>
      <c r="BH144">
        <f>BD144-BE144-BF144-BG144</f>
        <v>60910</v>
      </c>
      <c r="BI144">
        <f>_xlfn.XLOOKUP(B144,'[6]august-2025'!$A:$A,'[6]august-2025'!$C:$C,0,0)</f>
        <v>51700</v>
      </c>
      <c r="BJ144">
        <f>BI144*0.18</f>
        <v>9306</v>
      </c>
      <c r="BK144">
        <f>BI144*0.12</f>
        <v>6204</v>
      </c>
      <c r="BL144">
        <f>_xlfn.XLOOKUP(B144,'[6]august-2025'!$A:$A,'[6]august-2025'!$D:$D,0,0)</f>
        <v>400</v>
      </c>
      <c r="BM144">
        <f>_xlfn.XLOOKUP(B144,'[6]august-2025'!$A:$A,'[6]august-2025'!$G:$G,0,0)</f>
        <v>500</v>
      </c>
      <c r="BN144">
        <f>IF(BI144&gt;0,SUM(BI144:BM144),0)</f>
        <v>68110</v>
      </c>
      <c r="BO144">
        <f>_xlfn.XLOOKUP(B144,'[6]august-2025'!$A:$A,'[6]august-2025'!$H:$H,0,0)</f>
        <v>7000</v>
      </c>
      <c r="BP144">
        <f>_xlfn.XLOOKUP(B144,'[6]august-2025'!$A:$A,'[6]august-2025'!$I:$I,0,0)</f>
        <v>0</v>
      </c>
      <c r="BQ144">
        <f>IF($F144="YES",0,IF(BN144&gt;40000,200,IF(BN144&gt;25000,150,IF(BN144&gt;15000,130,IF(BN144&gt;10000,110,0)))))</f>
        <v>200</v>
      </c>
      <c r="BR144">
        <f>BN144-BO144-BP144-BQ144</f>
        <v>60910</v>
      </c>
      <c r="BS144">
        <f>_xlfn.XLOOKUP(B144,'[7]september-2025'!$A:$A,'[7]september-2025'!$C:$C,0,0)</f>
        <v>51700</v>
      </c>
      <c r="BT144">
        <f>BS144*0.18</f>
        <v>9306</v>
      </c>
      <c r="BU144">
        <f>BS144*0.12</f>
        <v>6204</v>
      </c>
      <c r="BV144">
        <f>_xlfn.XLOOKUP(B144,'[7]september-2025'!$A:$A,'[7]september-2025'!$D:$D,0,0)</f>
        <v>400</v>
      </c>
      <c r="BW144">
        <f>_xlfn.XLOOKUP(B144,'[7]september-2025'!$A:$A,'[7]september-2025'!$G:$G,0,0)</f>
        <v>500</v>
      </c>
      <c r="BX144">
        <f>IF(BS144&gt;0,SUM(BS144:BW144),0)</f>
        <v>68110</v>
      </c>
      <c r="BY144">
        <f>_xlfn.XLOOKUP(B144,'[7]september-2025'!$A:$A,'[7]september-2025'!$H:$H,0,0)</f>
        <v>7000</v>
      </c>
      <c r="BZ144">
        <f>_xlfn.XLOOKUP(B144,'[7]september-2025'!$A:$A,'[7]september-2025'!$I:$I,0,0)</f>
        <v>0</v>
      </c>
      <c r="CA144">
        <f>IF($F144="YES",0,IF(BX144&gt;40000,200,IF(BX144&gt;25000,150,IF(BX144&gt;15000,130,IF(BX144&gt;10000,110,0)))))</f>
        <v>200</v>
      </c>
      <c r="CB144">
        <f>BX144-BY144-BZ144-CA144</f>
        <v>60910</v>
      </c>
      <c r="CC144">
        <f>_xlfn.XLOOKUP(B144,'[8]october-2025'!$A:$A,'[8]october-2025'!$C:$C,0,0)</f>
        <v>51700</v>
      </c>
      <c r="CD144">
        <f>CC144*0.18</f>
        <v>9306</v>
      </c>
      <c r="CE144">
        <f>CC144*0.12</f>
        <v>6204</v>
      </c>
      <c r="CF144">
        <f>_xlfn.XLOOKUP(B144,'[8]october-2025'!$A:$A,'[8]october-2025'!$D:$D,0,0)</f>
        <v>400</v>
      </c>
      <c r="CG144">
        <f>_xlfn.XLOOKUP(B144,'[8]october-2025'!$A:$A,'[8]october-2025'!$G:$G,0,0)</f>
        <v>500</v>
      </c>
      <c r="CH144">
        <f>IF(CC144&gt;0,SUM(CC144:CG144),0)</f>
        <v>68110</v>
      </c>
      <c r="CI144">
        <f>_xlfn.XLOOKUP(B144,'[8]october-2025'!$A:$A,'[8]october-2025'!$H:$H,0,0)</f>
        <v>7000</v>
      </c>
      <c r="CJ144">
        <f>_xlfn.XLOOKUP(B144,'[8]october-2025'!$A:$A,'[8]october-2025'!$I:$I,0,0)</f>
        <v>0</v>
      </c>
      <c r="CK144">
        <f>IF($F144="YES",0,IF(CH144&gt;40000,200,IF(CH144&gt;25000,150,IF(CH144&gt;15000,130,IF(CH144&gt;10000,110,0)))))</f>
        <v>200</v>
      </c>
      <c r="CL144">
        <f>CH144-CI144-CJ144-CK144</f>
        <v>60910</v>
      </c>
      <c r="CM144">
        <f>_xlfn.XLOOKUP(B144,'[9]november-2025'!$A:$A,'[9]november-2025'!$C:$C,0,0)</f>
        <v>51700</v>
      </c>
      <c r="CN144">
        <f>CM144*0.18</f>
        <v>9306</v>
      </c>
      <c r="CO144">
        <f>CM144*0.12</f>
        <v>6204</v>
      </c>
      <c r="CP144">
        <f>_xlfn.XLOOKUP(B144,'[9]november-2025'!$A:$A,'[9]november-2025'!$D:$D,0,0)</f>
        <v>400</v>
      </c>
      <c r="CQ144">
        <f>_xlfn.XLOOKUP(B144,'[9]november-2025'!$A:$A,'[9]november-2025'!$G:$G,0,0)</f>
        <v>500</v>
      </c>
      <c r="CR144">
        <f>IF(CM144&gt;0,SUM(CM144:CQ144),0)</f>
        <v>68110</v>
      </c>
      <c r="CS144">
        <f>_xlfn.XLOOKUP(B144,'[9]november-2025'!$A:$A,'[9]november-2025'!$H:$H,0,0)</f>
        <v>7000</v>
      </c>
      <c r="CT144">
        <f>_xlfn.XLOOKUP(B144,'[9]november-2025'!$A:$A,'[9]november-2025'!$I:$I,0,0)</f>
        <v>0</v>
      </c>
      <c r="CU144">
        <f>IF($F144="YES",0,IF(CR144&gt;40000,200,IF(CR144&gt;25000,150,IF(CR144&gt;15000,130,IF(CR144&gt;10000,110,0)))))</f>
        <v>200</v>
      </c>
      <c r="CV144">
        <f>CR144-CS144-CT144-CU144</f>
        <v>60910</v>
      </c>
      <c r="CW144">
        <f>_xlfn.XLOOKUP(B144,'[10]december-2025'!$A:$A,'[10]december-2025'!$C:$C,0,0)</f>
        <v>51700</v>
      </c>
      <c r="CX144">
        <f>ROUND(CW144*0.18,0)</f>
        <v>9306</v>
      </c>
      <c r="CY144">
        <f>ROUND(CW144*0.12,0)</f>
        <v>6204</v>
      </c>
      <c r="CZ144">
        <f>_xlfn.XLOOKUP(B144,'[10]december-2025'!$A:$A,'[10]december-2025'!$D:$D,0,0)</f>
        <v>400</v>
      </c>
      <c r="DA144">
        <f>_xlfn.XLOOKUP(B144,'[10]december-2025'!$A:$A,'[10]december-2025'!$G:$G,0,0)</f>
        <v>500</v>
      </c>
      <c r="DB144">
        <f>IF(CW144&gt;0,SUM(CW144:DA144),0)</f>
        <v>68110</v>
      </c>
      <c r="DC144">
        <f>_xlfn.XLOOKUP(B144,'[10]december-2025'!$A:$A,'[10]december-2025'!$H:$H,0,0)</f>
        <v>7000</v>
      </c>
      <c r="DD144">
        <f>_xlfn.XLOOKUP(B144,'[10]december-2025'!$A:$A,'[10]december-2025'!$I:$I,0,0)</f>
        <v>0</v>
      </c>
      <c r="DE144">
        <f>IF($F144="YES",0,IF(DB144&gt;40000,200,IF(DB144&gt;25000,150,IF(DB144&gt;15000,130,IF(DB144&gt;10000,110,0)))))</f>
        <v>200</v>
      </c>
      <c r="DF144">
        <f>DB144-DC144-DD144-DE144</f>
        <v>60910</v>
      </c>
      <c r="DG144">
        <f>_xlfn.XLOOKUP(B144,'[11]january-2026'!$A:$A,'[11]january-2026'!$C:$C,0,0)</f>
        <v>51700</v>
      </c>
      <c r="DH144">
        <f>DG144*0.18</f>
        <v>9306</v>
      </c>
      <c r="DI144">
        <f>DG144*0.12</f>
        <v>6204</v>
      </c>
      <c r="DJ144">
        <f>_xlfn.XLOOKUP(B144,'[11]january-2026'!$A:$A,'[11]january-2026'!$D:$D,0,0)</f>
        <v>400</v>
      </c>
      <c r="DK144">
        <f>_xlfn.XLOOKUP(B144,'[11]january-2026'!$A:$A,'[11]january-2026'!$G:$G,0,0)</f>
        <v>500</v>
      </c>
      <c r="DL144">
        <f>IF(DG144&gt;0,SUM(DG144:DK144),0)</f>
        <v>68110</v>
      </c>
      <c r="DM144">
        <f>_xlfn.XLOOKUP(B144,'[11]january-2026'!$A:$A,'[11]january-2026'!$H:$H,0,0)</f>
        <v>7000</v>
      </c>
      <c r="DN144">
        <f>_xlfn.XLOOKUP(B144,'[11]january-2026'!$A:$A,'[11]january-2026'!$I:$I,0,0)</f>
        <v>0</v>
      </c>
      <c r="DO144">
        <f>IF($F144="YES",0,IF(DL144&gt;40000,200,IF(DL144&gt;25000,150,IF(DL144&gt;15000,130,IF(DL144&gt;10000,110,0)))))</f>
        <v>200</v>
      </c>
      <c r="DP144">
        <f>DL144-DM144-DN144-DO144</f>
        <v>60910</v>
      </c>
      <c r="DQ144">
        <f>_xlfn.XLOOKUP(B144,'[12]february-2026'!$A:$A,'[12]february-2026'!$C:$C,0,0)</f>
        <v>51700</v>
      </c>
      <c r="DR144">
        <f>DQ144*0.18</f>
        <v>9306</v>
      </c>
      <c r="DS144">
        <f>DQ144*0.12</f>
        <v>6204</v>
      </c>
      <c r="DT144">
        <f>_xlfn.XLOOKUP(B144,'[12]february-2026'!$A:$A,'[12]february-2026'!$D:$D,0,0)</f>
        <v>400</v>
      </c>
      <c r="DU144">
        <f>_xlfn.XLOOKUP(B144,'[12]february-2026'!$A:$A,'[12]february-2026'!$G:$G,0,0)</f>
        <v>500</v>
      </c>
      <c r="DV144">
        <f>IF(DQ144&gt;0,SUM(DQ144:DU144),0)</f>
        <v>68110</v>
      </c>
      <c r="DW144">
        <f>_xlfn.XLOOKUP(B144,'[12]february-2026'!$A:$A,'[12]february-2026'!$H:$H,0,0)</f>
        <v>7000</v>
      </c>
      <c r="DX144">
        <f>_xlfn.XLOOKUP(B144,'[12]february-2026'!$A:$A,'[12]february-2026'!$I:$I,0,0)</f>
        <v>0</v>
      </c>
      <c r="DY144">
        <f>IF($F144="YES",0,IF(DV144&gt;40000,200,IF(DV144&gt;25000,150,IF(DV144&gt;15000,130,IF(DV144&gt;10000,110,0)))))</f>
        <v>200</v>
      </c>
      <c r="DZ144">
        <f>DV144-DW144-DX144-DY144</f>
        <v>60910</v>
      </c>
      <c r="EA144">
        <f>DV144+DL144+DB144+CR144+CH144+BX144+BN144+BD144+AS144+AI144+Y144+O144+H144+I144</f>
        <v>806572</v>
      </c>
      <c r="EB144">
        <f>DY144+DO144+DE144+CU144+CK144+CA144+BQ144+BG144+AV144+AL144+AB144+R144</f>
        <v>2400</v>
      </c>
      <c r="EC144">
        <f>IF(EA144&gt;0,50000,0)</f>
        <v>50000</v>
      </c>
      <c r="ED144">
        <v>0</v>
      </c>
      <c r="EE144">
        <f>EA144-EB144-EC144</f>
        <v>754172</v>
      </c>
      <c r="EF144">
        <f>DW144+DM144+DC144+CS144+CI144+BY144+BO144+BE144+AT144+AJ144+Z144+P144</f>
        <v>84000</v>
      </c>
      <c r="EG144">
        <f>DX144+DN144+DD144+CT144+CJ144+BZ144+BP144+BF144+AU144+AK144+AA144+Q144</f>
        <v>0</v>
      </c>
      <c r="EH144">
        <v>0</v>
      </c>
      <c r="EI144">
        <v>0</v>
      </c>
      <c r="EJ144">
        <v>0</v>
      </c>
      <c r="EK144">
        <v>0</v>
      </c>
      <c r="EL144">
        <v>0</v>
      </c>
      <c r="EM144">
        <v>0</v>
      </c>
      <c r="EN144">
        <v>0</v>
      </c>
      <c r="EO144">
        <v>0</v>
      </c>
      <c r="EP144">
        <v>0</v>
      </c>
      <c r="EQ144">
        <v>0</v>
      </c>
      <c r="ER144">
        <f>SUM(EF144:EQ144)</f>
        <v>84000</v>
      </c>
      <c r="ES144">
        <f>IF(ER144&gt;=150000,150000,ER144)</f>
        <v>84000</v>
      </c>
      <c r="ET144">
        <f>EE144-ES144</f>
        <v>670172</v>
      </c>
      <c r="EU144">
        <v>0</v>
      </c>
      <c r="EV144">
        <v>0</v>
      </c>
      <c r="EW144">
        <v>0</v>
      </c>
      <c r="EX144">
        <v>0</v>
      </c>
      <c r="EY144">
        <v>0</v>
      </c>
      <c r="EZ144">
        <v>0</v>
      </c>
      <c r="FA144">
        <v>0</v>
      </c>
      <c r="FB144">
        <f>SUM(EU144:FA144)+(IF(F144="YES",50000,0))</f>
        <v>0</v>
      </c>
      <c r="FC144">
        <f>ET144-FB144</f>
        <v>670172</v>
      </c>
      <c r="FD144">
        <f>ROUND(IF(FC144&gt;0,IF(FC144&gt;500000,12500,(FC144-250000)*0.05),0),0)</f>
        <v>12500</v>
      </c>
      <c r="FE144">
        <f>IF(ROUND(IF(FC144&gt;0,IF(FC144&gt;1000000,25000,(FC144-500000)*0.2),0),0)&lt;0,0,ROUND(IF(FC144&gt;0,IF(FC144&gt;1000000,25000,(FC144-500000)*0.2),0),0))</f>
        <v>34034</v>
      </c>
      <c r="FF144">
        <f>FD144+FE144</f>
        <v>46534</v>
      </c>
      <c r="FG144">
        <f>IF(FF144&lt;12500,0,FF144)</f>
        <v>46534</v>
      </c>
      <c r="FH144">
        <f>FG144*0.04</f>
        <v>1861.3600000000001</v>
      </c>
      <c r="FI144">
        <f>ROUND(FH144+FG144,0)</f>
        <v>48395</v>
      </c>
      <c r="FJ144">
        <v>0</v>
      </c>
      <c r="FK144">
        <f>FI144-FJ144</f>
        <v>48395</v>
      </c>
      <c r="FL144" t="b">
        <f>IF(EA144&gt;500000,TRUE,FALSE)</f>
        <v>1</v>
      </c>
      <c r="FM144">
        <f ca="1">IF(FL144,RANDBETWEEN(500,1000),RANDBETWEEN(1000,3000))</f>
        <v>555</v>
      </c>
      <c r="FN144">
        <f ca="1">EA144+FM144</f>
        <v>807127</v>
      </c>
      <c r="FO144">
        <f>IF(EA144&gt;0,75000,0)</f>
        <v>75000</v>
      </c>
      <c r="FP144">
        <f ca="1">FN144-FO144</f>
        <v>732127</v>
      </c>
      <c r="FQ144">
        <f ca="1">IF(FP144&gt;2400000,FP144-2400000,0)</f>
        <v>0</v>
      </c>
      <c r="FR144">
        <f ca="1">FQ144*0.3</f>
        <v>0</v>
      </c>
      <c r="FS144">
        <f ca="1">IF(FP144&gt;2000000,FP144-2000000,0)</f>
        <v>0</v>
      </c>
      <c r="FT144">
        <f ca="1">FS144*0.25</f>
        <v>0</v>
      </c>
      <c r="FU144">
        <f ca="1">IF(FP144&gt;1600000,FP144-1600000-FQ144,0)</f>
        <v>0</v>
      </c>
      <c r="FV144">
        <f ca="1">FU144*0.2</f>
        <v>0</v>
      </c>
      <c r="FW144">
        <f ca="1">IF(FP144&gt;1200000,FP144-1200000-IF(F144="YES",50000,0)-FU144,0)</f>
        <v>0</v>
      </c>
      <c r="FX144">
        <f ca="1">FW144*0.15</f>
        <v>0</v>
      </c>
      <c r="FY144">
        <f ca="1">IF(FP144&gt;800000,FP144-800000-FQ144-FU144-FW144,0)</f>
        <v>0</v>
      </c>
      <c r="FZ144">
        <f ca="1">FY144*0.1</f>
        <v>0</v>
      </c>
      <c r="GA144">
        <f ca="1">IF(FP144&gt;400000,FP144-400000-FQ144-FU144-FW144-FY144,0)</f>
        <v>332127</v>
      </c>
      <c r="GB144">
        <f ca="1">GA144*0.05</f>
        <v>16606.350000000002</v>
      </c>
      <c r="GC144">
        <f ca="1">ROUND(FR144+FT144+FV144+FX144+FZ144+GB144,0)</f>
        <v>16606</v>
      </c>
      <c r="GD144">
        <f ca="1">IF(FP144&gt;1200000,FP144,0)</f>
        <v>0</v>
      </c>
      <c r="GE144">
        <f ca="1">IF(FP144&gt;1200000,GD144-1200000,0)</f>
        <v>0</v>
      </c>
      <c r="GF144">
        <f ca="1">IF(FP144&lt;1200001,MIN(GC144,60000),0)</f>
        <v>16606</v>
      </c>
      <c r="GG144">
        <f ca="1">IF(FP144&gt;1200000,GC144-GE144,0)</f>
        <v>0</v>
      </c>
      <c r="GH144" t="b">
        <f ca="1">IF(GG144&gt;0,TRUE,FALSE)</f>
        <v>0</v>
      </c>
      <c r="GI144">
        <f ca="1">IF(GH144,GG144,0)</f>
        <v>0</v>
      </c>
      <c r="GJ144">
        <f ca="1">GF144+GI144</f>
        <v>16606</v>
      </c>
      <c r="GK144">
        <f ca="1">ROUND(GC144-GJ144,0)</f>
        <v>0</v>
      </c>
      <c r="GL144">
        <f ca="1">GK144*0.04</f>
        <v>0</v>
      </c>
      <c r="GM144">
        <f ca="1">ROUNDUP(GK144+GL144,0)</f>
        <v>0</v>
      </c>
    </row>
    <row r="145" spans="1:195" x14ac:dyDescent="0.25">
      <c r="A145">
        <f>_xlfn.AGGREGATE(3,5,$B$2:B145)</f>
        <v>144</v>
      </c>
      <c r="B145" t="s">
        <v>401</v>
      </c>
      <c r="C145" t="s">
        <v>402</v>
      </c>
      <c r="D145" t="s">
        <v>792</v>
      </c>
      <c r="E145" t="s">
        <v>833</v>
      </c>
      <c r="F145" t="s">
        <v>960</v>
      </c>
      <c r="G145" t="s">
        <v>890</v>
      </c>
      <c r="H145">
        <f>IF(_xlfn.DAYS("31-03-2025",G145)&gt;=180,6800,0)</f>
        <v>6800</v>
      </c>
      <c r="I145">
        <f>_xlfn.XLOOKUP(B145,'[1]march-2025'!$A:$A,'[1]march-2025'!$J:$J,0,0)</f>
        <v>0</v>
      </c>
      <c r="J145">
        <f>_xlfn.XLOOKUP(B145,'[1]march-2025'!$A:$A,'[1]march-2025'!$C:$C,0,0)</f>
        <v>37700</v>
      </c>
      <c r="K145">
        <f>J145*0.14</f>
        <v>5278.0000000000009</v>
      </c>
      <c r="L145">
        <f>J145*0.12</f>
        <v>4524</v>
      </c>
      <c r="M145">
        <f>_xlfn.XLOOKUP(B145,'[1]march-2025'!$A:$A,'[1]march-2025'!$D:$D,0,0)</f>
        <v>0</v>
      </c>
      <c r="N145">
        <f>_xlfn.XLOOKUP(B145,'[1]march-2025'!$A:$A,'[1]march-2025'!$G:$G,0,0)</f>
        <v>0</v>
      </c>
      <c r="O145">
        <f>IF(J145&gt;0,SUM(J145:N145),0)</f>
        <v>47502</v>
      </c>
      <c r="P145">
        <f>_xlfn.XLOOKUP(B145,'[1]march-2025'!$A:$A,'[1]march-2025'!$H:$H,0,0)</f>
        <v>2500</v>
      </c>
      <c r="Q145">
        <f>_xlfn.XLOOKUP(B145,'[1]march-2025'!$A:$A,'[1]march-2025'!$I:$I,0,0)</f>
        <v>0</v>
      </c>
      <c r="R145">
        <f>IF($F145="YES",0,IF(O145&gt;40000,200,IF(O145&gt;25000,150,IF(O145&gt;15000,130,IF(O145&gt;10000,110,0)))))</f>
        <v>0</v>
      </c>
      <c r="S145">
        <f>O145-P145-Q145-R145</f>
        <v>45002</v>
      </c>
      <c r="T145">
        <f>_xlfn.XLOOKUP(B145,'[2]april-2025'!$A:$A,'[2]april-2025'!$C:$C,0,0)</f>
        <v>37700</v>
      </c>
      <c r="U145">
        <f>T145*0.18</f>
        <v>6786</v>
      </c>
      <c r="V145">
        <f>T145*0.12</f>
        <v>4524</v>
      </c>
      <c r="W145">
        <f>_xlfn.XLOOKUP(B145,'[2]april-2025'!$A:$A,'[2]april-2025'!$D:$D,0,0)</f>
        <v>0</v>
      </c>
      <c r="X145">
        <f>_xlfn.XLOOKUP(B145,'[2]april-2025'!$A:$A,'[2]april-2025'!$G:$G,0,0)</f>
        <v>0</v>
      </c>
      <c r="Y145">
        <f>IF(T145&gt;0,SUM(T145:X145),0)</f>
        <v>49010</v>
      </c>
      <c r="Z145">
        <f>_xlfn.XLOOKUP(B145,'[2]april-2025'!$A:$A,'[2]april-2025'!$H:$H,0,0)</f>
        <v>2500</v>
      </c>
      <c r="AA145">
        <f>_xlfn.XLOOKUP(B145,'[2]april-2025'!$A:$A,'[2]april-2025'!$I:$I,0,0)</f>
        <v>0</v>
      </c>
      <c r="AB145">
        <f>IF($F145="YES",0,IF(Y145&gt;40000,200,IF(Y145&gt;25000,150,IF(Y145&gt;15000,130,IF(Y145&gt;10000,110,0)))))</f>
        <v>0</v>
      </c>
      <c r="AC145">
        <f>Y145-Z145-AA145-AB145</f>
        <v>46510</v>
      </c>
      <c r="AD145">
        <f>_xlfn.XLOOKUP(B145,'[3]may-2025'!$A:$A,'[3]may-2025'!$C:$C,0,0)</f>
        <v>37700</v>
      </c>
      <c r="AE145">
        <f>AD145*0.18</f>
        <v>6786</v>
      </c>
      <c r="AF145">
        <f>AD145*0.12</f>
        <v>4524</v>
      </c>
      <c r="AG145">
        <f>_xlfn.XLOOKUP(B145,'[3]may-2025'!$A:$A,'[3]may-2025'!$D:$D,0,0)</f>
        <v>0</v>
      </c>
      <c r="AH145">
        <f>_xlfn.XLOOKUP(B145,'[3]may-2025'!$A:$A,'[3]may-2025'!$G:$G,0,0)</f>
        <v>0</v>
      </c>
      <c r="AI145">
        <f>IF(AD145&gt;0,SUM(AD145:AH145),0)</f>
        <v>49010</v>
      </c>
      <c r="AJ145">
        <f>_xlfn.XLOOKUP(B145,'[3]may-2025'!$A:$A,'[3]may-2025'!$H:$H,0,0)</f>
        <v>2500</v>
      </c>
      <c r="AK145">
        <f>_xlfn.XLOOKUP(B145,'[3]may-2025'!$A:$A,'[3]may-2025'!$I:$I,0,0)</f>
        <v>0</v>
      </c>
      <c r="AL145">
        <f>IF($F145="YES",0,IF(AI145&gt;40000,200,IF(AI145&gt;25000,150,IF(AI145&gt;15000,130,IF(AI145&gt;10000,110,0)))))</f>
        <v>0</v>
      </c>
      <c r="AM145">
        <f>AI145-AJ145-AK145-AL145</f>
        <v>46510</v>
      </c>
      <c r="AN145">
        <f>_xlfn.XLOOKUP(B145,'[4]june-2025'!$A:$A,'[4]june-2025'!$C:$C,0,0)</f>
        <v>37700</v>
      </c>
      <c r="AO145">
        <f>AN145*0.18</f>
        <v>6786</v>
      </c>
      <c r="AP145">
        <f>AN145*0.12</f>
        <v>4524</v>
      </c>
      <c r="AQ145">
        <f>_xlfn.XLOOKUP(B145,'[4]june-2025'!$A:$A,'[4]june-2025'!$D:$D,0,0)</f>
        <v>0</v>
      </c>
      <c r="AR145">
        <f>_xlfn.XLOOKUP(B145,'[4]june-2025'!$A:$A,'[4]june-2025'!$G:$G,0,0)</f>
        <v>0</v>
      </c>
      <c r="AS145">
        <f>IF(AN145&gt;0,SUM(AN145:AR145),0)</f>
        <v>49010</v>
      </c>
      <c r="AT145">
        <f>_xlfn.XLOOKUP(B145,'[4]june-2025'!$A:$A,'[4]june-2025'!$H:$H,0,0)</f>
        <v>2500</v>
      </c>
      <c r="AU145">
        <f>_xlfn.XLOOKUP(B145,'[4]june-2025'!$A:$A,'[4]june-2025'!$I:$I,0,0)</f>
        <v>0</v>
      </c>
      <c r="AV145">
        <f>IF($F145="YES",0,IF(AS145&gt;40000,200,IF(AS145&gt;25000,150,IF(AS145&gt;15000,130,IF(AS145&gt;10000,110,0)))))</f>
        <v>0</v>
      </c>
      <c r="AW145">
        <f>AS145-AT145-AU145-AV145</f>
        <v>46510</v>
      </c>
      <c r="AX145">
        <f>_xlfn.XLOOKUP(B145,'[5]july-2025'!$A:$A,'[5]july-2025'!$C:$C,0,0)</f>
        <v>38800</v>
      </c>
      <c r="AY145">
        <f>AX145*0.18</f>
        <v>6984</v>
      </c>
      <c r="AZ145">
        <v>0</v>
      </c>
      <c r="BA145">
        <f>AX145*0.12</f>
        <v>4656</v>
      </c>
      <c r="BB145">
        <f>_xlfn.XLOOKUP(B145,'[5]july-2025'!$A:$A,'[5]july-2025'!$D:$D,0,0)</f>
        <v>0</v>
      </c>
      <c r="BC145">
        <f>_xlfn.XLOOKUP(B145,'[5]july-2025'!$A:$A,'[5]july-2025'!$G:$G,0,0)</f>
        <v>0</v>
      </c>
      <c r="BD145">
        <f>IF(AX145&gt;0,SUM(AX145:BC145),0)</f>
        <v>50440</v>
      </c>
      <c r="BE145">
        <f>_xlfn.XLOOKUP(B145,'[5]july-2025'!$A:$A,'[5]july-2025'!$H:$H,0,0)</f>
        <v>2500</v>
      </c>
      <c r="BF145">
        <f>_xlfn.XLOOKUP(B145,'[5]july-2025'!$A:$A,'[5]july-2025'!$I:$I,0,0)</f>
        <v>0</v>
      </c>
      <c r="BG145">
        <f>IF($F145="YES",0,IF(BD145&gt;40000,200,IF(BD145&gt;25000,150,IF(BD145&gt;15000,130,IF(BD145&gt;10000,110,0)))))</f>
        <v>0</v>
      </c>
      <c r="BH145">
        <f>BD145-BE145-BF145-BG145</f>
        <v>47940</v>
      </c>
      <c r="BI145">
        <f>_xlfn.XLOOKUP(B145,'[6]august-2025'!$A:$A,'[6]august-2025'!$C:$C,0,0)</f>
        <v>38800</v>
      </c>
      <c r="BJ145">
        <f>BI145*0.18</f>
        <v>6984</v>
      </c>
      <c r="BK145">
        <f>BI145*0.12</f>
        <v>4656</v>
      </c>
      <c r="BL145">
        <f>_xlfn.XLOOKUP(B145,'[6]august-2025'!$A:$A,'[6]august-2025'!$D:$D,0,0)</f>
        <v>0</v>
      </c>
      <c r="BM145">
        <f>_xlfn.XLOOKUP(B145,'[6]august-2025'!$A:$A,'[6]august-2025'!$G:$G,0,0)</f>
        <v>0</v>
      </c>
      <c r="BN145">
        <f>IF(BI145&gt;0,SUM(BI145:BM145),0)</f>
        <v>50440</v>
      </c>
      <c r="BO145">
        <f>_xlfn.XLOOKUP(B145,'[6]august-2025'!$A:$A,'[6]august-2025'!$H:$H,0,0)</f>
        <v>2500</v>
      </c>
      <c r="BP145">
        <f>_xlfn.XLOOKUP(B145,'[6]august-2025'!$A:$A,'[6]august-2025'!$I:$I,0,0)</f>
        <v>0</v>
      </c>
      <c r="BQ145">
        <f>IF($F145="YES",0,IF(BN145&gt;40000,200,IF(BN145&gt;25000,150,IF(BN145&gt;15000,130,IF(BN145&gt;10000,110,0)))))</f>
        <v>0</v>
      </c>
      <c r="BR145">
        <f>BN145-BO145-BP145-BQ145</f>
        <v>47940</v>
      </c>
      <c r="BS145">
        <f>_xlfn.XLOOKUP(B145,'[7]september-2025'!$A:$A,'[7]september-2025'!$C:$C,0,0)</f>
        <v>38800</v>
      </c>
      <c r="BT145">
        <f>BS145*0.18</f>
        <v>6984</v>
      </c>
      <c r="BU145">
        <f>BS145*0.12</f>
        <v>4656</v>
      </c>
      <c r="BV145">
        <f>_xlfn.XLOOKUP(B145,'[7]september-2025'!$A:$A,'[7]september-2025'!$D:$D,0,0)</f>
        <v>0</v>
      </c>
      <c r="BW145">
        <f>_xlfn.XLOOKUP(B145,'[7]september-2025'!$A:$A,'[7]september-2025'!$G:$G,0,0)</f>
        <v>0</v>
      </c>
      <c r="BX145">
        <f>IF(BS145&gt;0,SUM(BS145:BW145),0)</f>
        <v>50440</v>
      </c>
      <c r="BY145">
        <f>_xlfn.XLOOKUP(B145,'[7]september-2025'!$A:$A,'[7]september-2025'!$H:$H,0,0)</f>
        <v>2500</v>
      </c>
      <c r="BZ145">
        <f>_xlfn.XLOOKUP(B145,'[7]september-2025'!$A:$A,'[7]september-2025'!$I:$I,0,0)</f>
        <v>0</v>
      </c>
      <c r="CA145">
        <f>IF($F145="YES",0,IF(BX145&gt;40000,200,IF(BX145&gt;25000,150,IF(BX145&gt;15000,130,IF(BX145&gt;10000,110,0)))))</f>
        <v>0</v>
      </c>
      <c r="CB145">
        <f>BX145-BY145-BZ145-CA145</f>
        <v>47940</v>
      </c>
      <c r="CC145">
        <f>_xlfn.XLOOKUP(B145,'[8]october-2025'!$A:$A,'[8]october-2025'!$C:$C,0,0)</f>
        <v>38800</v>
      </c>
      <c r="CD145">
        <f>CC145*0.18</f>
        <v>6984</v>
      </c>
      <c r="CE145">
        <f>CC145*0.12</f>
        <v>4656</v>
      </c>
      <c r="CF145">
        <f>_xlfn.XLOOKUP(B145,'[8]october-2025'!$A:$A,'[8]october-2025'!$D:$D,0,0)</f>
        <v>0</v>
      </c>
      <c r="CG145">
        <f>_xlfn.XLOOKUP(B145,'[8]october-2025'!$A:$A,'[8]october-2025'!$G:$G,0,0)</f>
        <v>0</v>
      </c>
      <c r="CH145">
        <f>IF(CC145&gt;0,SUM(CC145:CG145),0)</f>
        <v>50440</v>
      </c>
      <c r="CI145">
        <f>_xlfn.XLOOKUP(B145,'[8]october-2025'!$A:$A,'[8]october-2025'!$H:$H,0,0)</f>
        <v>2500</v>
      </c>
      <c r="CJ145">
        <f>_xlfn.XLOOKUP(B145,'[8]october-2025'!$A:$A,'[8]october-2025'!$I:$I,0,0)</f>
        <v>0</v>
      </c>
      <c r="CK145">
        <f>IF($F145="YES",0,IF(CH145&gt;40000,200,IF(CH145&gt;25000,150,IF(CH145&gt;15000,130,IF(CH145&gt;10000,110,0)))))</f>
        <v>0</v>
      </c>
      <c r="CL145">
        <f>CH145-CI145-CJ145-CK145</f>
        <v>47940</v>
      </c>
      <c r="CM145">
        <f>_xlfn.XLOOKUP(B145,'[9]november-2025'!$A:$A,'[9]november-2025'!$C:$C,0,0)</f>
        <v>38800</v>
      </c>
      <c r="CN145">
        <f>CM145*0.18</f>
        <v>6984</v>
      </c>
      <c r="CO145">
        <f>CM145*0.12</f>
        <v>4656</v>
      </c>
      <c r="CP145">
        <f>_xlfn.XLOOKUP(B145,'[9]november-2025'!$A:$A,'[9]november-2025'!$D:$D,0,0)</f>
        <v>0</v>
      </c>
      <c r="CQ145">
        <f>_xlfn.XLOOKUP(B145,'[9]november-2025'!$A:$A,'[9]november-2025'!$G:$G,0,0)</f>
        <v>0</v>
      </c>
      <c r="CR145">
        <f>IF(CM145&gt;0,SUM(CM145:CQ145),0)</f>
        <v>50440</v>
      </c>
      <c r="CS145">
        <f>_xlfn.XLOOKUP(B145,'[9]november-2025'!$A:$A,'[9]november-2025'!$H:$H,0,0)</f>
        <v>2500</v>
      </c>
      <c r="CT145">
        <f>_xlfn.XLOOKUP(B145,'[9]november-2025'!$A:$A,'[9]november-2025'!$I:$I,0,0)</f>
        <v>0</v>
      </c>
      <c r="CU145">
        <f>IF($F145="YES",0,IF(CR145&gt;40000,200,IF(CR145&gt;25000,150,IF(CR145&gt;15000,130,IF(CR145&gt;10000,110,0)))))</f>
        <v>0</v>
      </c>
      <c r="CV145">
        <f>CR145-CS145-CT145-CU145</f>
        <v>47940</v>
      </c>
      <c r="CW145">
        <f>_xlfn.XLOOKUP(B145,'[10]december-2025'!$A:$A,'[10]december-2025'!$C:$C,0,0)</f>
        <v>38800</v>
      </c>
      <c r="CX145">
        <f>ROUND(CW145*0.18,0)</f>
        <v>6984</v>
      </c>
      <c r="CY145">
        <f>ROUND(CW145*0.12,0)</f>
        <v>4656</v>
      </c>
      <c r="CZ145">
        <f>_xlfn.XLOOKUP(B145,'[10]december-2025'!$A:$A,'[10]december-2025'!$D:$D,0,0)</f>
        <v>0</v>
      </c>
      <c r="DA145">
        <f>_xlfn.XLOOKUP(B145,'[10]december-2025'!$A:$A,'[10]december-2025'!$G:$G,0,0)</f>
        <v>0</v>
      </c>
      <c r="DB145">
        <f>IF(CW145&gt;0,SUM(CW145:DA145),0)</f>
        <v>50440</v>
      </c>
      <c r="DC145">
        <f>_xlfn.XLOOKUP(B145,'[10]december-2025'!$A:$A,'[10]december-2025'!$H:$H,0,0)</f>
        <v>2500</v>
      </c>
      <c r="DD145">
        <f>_xlfn.XLOOKUP(B145,'[10]december-2025'!$A:$A,'[10]december-2025'!$I:$I,0,0)</f>
        <v>0</v>
      </c>
      <c r="DE145">
        <f>IF($F145="YES",0,IF(DB145&gt;40000,200,IF(DB145&gt;25000,150,IF(DB145&gt;15000,130,IF(DB145&gt;10000,110,0)))))</f>
        <v>0</v>
      </c>
      <c r="DF145">
        <f>DB145-DC145-DD145-DE145</f>
        <v>47940</v>
      </c>
      <c r="DG145">
        <f>_xlfn.XLOOKUP(B145,'[11]january-2026'!$A:$A,'[11]january-2026'!$C:$C,0,0)</f>
        <v>38800</v>
      </c>
      <c r="DH145">
        <f>DG145*0.18</f>
        <v>6984</v>
      </c>
      <c r="DI145">
        <f>DG145*0.12</f>
        <v>4656</v>
      </c>
      <c r="DJ145">
        <f>_xlfn.XLOOKUP(B145,'[11]january-2026'!$A:$A,'[11]january-2026'!$D:$D,0,0)</f>
        <v>0</v>
      </c>
      <c r="DK145">
        <f>_xlfn.XLOOKUP(B145,'[11]january-2026'!$A:$A,'[11]january-2026'!$G:$G,0,0)</f>
        <v>0</v>
      </c>
      <c r="DL145">
        <f>IF(DG145&gt;0,SUM(DG145:DK145),0)</f>
        <v>50440</v>
      </c>
      <c r="DM145">
        <f>_xlfn.XLOOKUP(B145,'[11]january-2026'!$A:$A,'[11]january-2026'!$H:$H,0,0)</f>
        <v>2500</v>
      </c>
      <c r="DN145">
        <f>_xlfn.XLOOKUP(B145,'[11]january-2026'!$A:$A,'[11]january-2026'!$I:$I,0,0)</f>
        <v>0</v>
      </c>
      <c r="DO145">
        <f>IF($F145="YES",0,IF(DL145&gt;40000,200,IF(DL145&gt;25000,150,IF(DL145&gt;15000,130,IF(DL145&gt;10000,110,0)))))</f>
        <v>0</v>
      </c>
      <c r="DP145">
        <f>DL145-DM145-DN145-DO145</f>
        <v>47940</v>
      </c>
      <c r="DQ145">
        <f>_xlfn.XLOOKUP(B145,'[12]february-2026'!$A:$A,'[12]february-2026'!$C:$C,0,0)</f>
        <v>38800</v>
      </c>
      <c r="DR145">
        <f>DQ145*0.18</f>
        <v>6984</v>
      </c>
      <c r="DS145">
        <f>DQ145*0.12</f>
        <v>4656</v>
      </c>
      <c r="DT145">
        <f>_xlfn.XLOOKUP(B145,'[12]february-2026'!$A:$A,'[12]february-2026'!$D:$D,0,0)</f>
        <v>0</v>
      </c>
      <c r="DU145">
        <f>_xlfn.XLOOKUP(B145,'[12]february-2026'!$A:$A,'[12]february-2026'!$G:$G,0,0)</f>
        <v>0</v>
      </c>
      <c r="DV145">
        <f>IF(DQ145&gt;0,SUM(DQ145:DU145),0)</f>
        <v>50440</v>
      </c>
      <c r="DW145">
        <f>_xlfn.XLOOKUP(B145,'[12]february-2026'!$A:$A,'[12]february-2026'!$H:$H,0,0)</f>
        <v>2500</v>
      </c>
      <c r="DX145">
        <f>_xlfn.XLOOKUP(B145,'[12]february-2026'!$A:$A,'[12]february-2026'!$I:$I,0,0)</f>
        <v>0</v>
      </c>
      <c r="DY145">
        <f>IF($F145="YES",0,IF(DV145&gt;40000,200,IF(DV145&gt;25000,150,IF(DV145&gt;15000,130,IF(DV145&gt;10000,110,0)))))</f>
        <v>0</v>
      </c>
      <c r="DZ145">
        <f>DV145-DW145-DX145-DY145</f>
        <v>47940</v>
      </c>
      <c r="EA145">
        <f>DV145+DL145+DB145+CR145+CH145+BX145+BN145+BD145+AS145+AI145+Y145+O145+H145+I145</f>
        <v>604852</v>
      </c>
      <c r="EB145">
        <f>DY145+DO145+DE145+CU145+CK145+CA145+BQ145+BG145+AV145+AL145+AB145+R145</f>
        <v>0</v>
      </c>
      <c r="EC145">
        <f>IF(EA145&gt;0,50000,0)</f>
        <v>50000</v>
      </c>
      <c r="ED145">
        <v>0</v>
      </c>
      <c r="EE145">
        <f>EA145-EB145-EC145</f>
        <v>554852</v>
      </c>
      <c r="EF145">
        <f>DW145+DM145+DC145+CS145+CI145+BY145+BO145+BE145+AT145+AJ145+Z145+P145</f>
        <v>30000</v>
      </c>
      <c r="EG145">
        <f>DX145+DN145+DD145+CT145+CJ145+BZ145+BP145+BF145+AU145+AK145+AA145+Q145</f>
        <v>0</v>
      </c>
      <c r="EH145">
        <v>0</v>
      </c>
      <c r="EI145">
        <v>0</v>
      </c>
      <c r="EJ145">
        <v>0</v>
      </c>
      <c r="EK145">
        <v>0</v>
      </c>
      <c r="EL145">
        <v>0</v>
      </c>
      <c r="EM145">
        <v>0</v>
      </c>
      <c r="EN145">
        <v>0</v>
      </c>
      <c r="EO145">
        <v>0</v>
      </c>
      <c r="EP145">
        <v>0</v>
      </c>
      <c r="EQ145">
        <v>0</v>
      </c>
      <c r="ER145">
        <f>SUM(EF145:EQ145)</f>
        <v>30000</v>
      </c>
      <c r="ES145">
        <f>IF(ER145&gt;=150000,150000,ER145)</f>
        <v>30000</v>
      </c>
      <c r="ET145">
        <f>EE145-ES145</f>
        <v>524852</v>
      </c>
      <c r="EU145">
        <v>0</v>
      </c>
      <c r="EV145">
        <v>0</v>
      </c>
      <c r="EW145">
        <v>0</v>
      </c>
      <c r="EX145">
        <v>0</v>
      </c>
      <c r="EY145">
        <v>0</v>
      </c>
      <c r="EZ145">
        <v>0</v>
      </c>
      <c r="FA145">
        <v>0</v>
      </c>
      <c r="FB145">
        <f>SUM(EU145:FA145)+(IF(F145="YES",50000,0))</f>
        <v>50000</v>
      </c>
      <c r="FC145">
        <f>ET145-FB145</f>
        <v>474852</v>
      </c>
      <c r="FD145">
        <f>ROUND(IF(FC145&gt;0,IF(FC145&gt;500000,12500,(FC145-250000)*0.05),0),0)</f>
        <v>11243</v>
      </c>
      <c r="FE145">
        <f>IF(ROUND(IF(FC145&gt;0,IF(FC145&gt;1000000,25000,(FC145-500000)*0.2),0),0)&lt;0,0,ROUND(IF(FC145&gt;0,IF(FC145&gt;1000000,25000,(FC145-500000)*0.2),0),0))</f>
        <v>0</v>
      </c>
      <c r="FF145">
        <f>FD145+FE145</f>
        <v>11243</v>
      </c>
      <c r="FG145">
        <f>IF(FF145&lt;12500,0,FF145)</f>
        <v>0</v>
      </c>
      <c r="FH145">
        <f>FG145*0.04</f>
        <v>0</v>
      </c>
      <c r="FI145">
        <f>ROUND(FH145+FG145,0)</f>
        <v>0</v>
      </c>
      <c r="FJ145">
        <v>0</v>
      </c>
      <c r="FK145">
        <f>FI145-FJ145</f>
        <v>0</v>
      </c>
      <c r="FL145" t="b">
        <f>IF(EA145&gt;500000,TRUE,FALSE)</f>
        <v>1</v>
      </c>
      <c r="FM145">
        <f ca="1">IF(FL145,RANDBETWEEN(500,1000),RANDBETWEEN(1000,3000))</f>
        <v>604</v>
      </c>
      <c r="FN145">
        <f ca="1">EA145+FM145</f>
        <v>605456</v>
      </c>
      <c r="FO145">
        <f>IF(EA145&gt;0,75000,0)</f>
        <v>75000</v>
      </c>
      <c r="FP145">
        <f ca="1">FN145-FO145</f>
        <v>530456</v>
      </c>
      <c r="FQ145">
        <f ca="1">IF(FP145&gt;2400000,FP145-2400000,0)</f>
        <v>0</v>
      </c>
      <c r="FR145">
        <f ca="1">FQ145*0.3</f>
        <v>0</v>
      </c>
      <c r="FS145">
        <f ca="1">IF(FP145&gt;2000000,FP145-2000000,0)</f>
        <v>0</v>
      </c>
      <c r="FT145">
        <f ca="1">FS145*0.25</f>
        <v>0</v>
      </c>
      <c r="FU145">
        <f ca="1">IF(FP145&gt;1600000,FP145-1600000-FQ145,0)</f>
        <v>0</v>
      </c>
      <c r="FV145">
        <f ca="1">FU145*0.2</f>
        <v>0</v>
      </c>
      <c r="FW145">
        <f ca="1">IF(FP145&gt;1200000,FP145-1200000-IF(F145="YES",50000,0)-FU145,0)</f>
        <v>0</v>
      </c>
      <c r="FX145">
        <f ca="1">FW145*0.15</f>
        <v>0</v>
      </c>
      <c r="FY145">
        <f ca="1">IF(FP145&gt;800000,FP145-800000-FQ145-FU145-FW145,0)</f>
        <v>0</v>
      </c>
      <c r="FZ145">
        <f ca="1">FY145*0.1</f>
        <v>0</v>
      </c>
      <c r="GA145">
        <f ca="1">IF(FP145&gt;400000,FP145-400000-FQ145-FU145-FW145-FY145,0)</f>
        <v>130456</v>
      </c>
      <c r="GB145">
        <f ca="1">GA145*0.05</f>
        <v>6522.8</v>
      </c>
      <c r="GC145">
        <f ca="1">ROUND(FR145+FT145+FV145+FX145+FZ145+GB145,0)</f>
        <v>6523</v>
      </c>
      <c r="GD145">
        <f ca="1">IF(FP145&gt;1200000,FP145,0)</f>
        <v>0</v>
      </c>
      <c r="GE145">
        <f ca="1">IF(FP145&gt;1200000,GD145-1200000,0)</f>
        <v>0</v>
      </c>
      <c r="GF145">
        <f ca="1">IF(FP145&lt;1200001,MIN(GC145,60000),0)</f>
        <v>6523</v>
      </c>
      <c r="GG145">
        <f ca="1">IF(FP145&gt;1200000,GC145-GE145,0)</f>
        <v>0</v>
      </c>
      <c r="GH145" t="b">
        <f ca="1">IF(GG145&gt;0,TRUE,FALSE)</f>
        <v>0</v>
      </c>
      <c r="GI145">
        <f ca="1">IF(GH145,GG145,0)</f>
        <v>0</v>
      </c>
      <c r="GJ145">
        <f ca="1">GF145+GI145</f>
        <v>6523</v>
      </c>
      <c r="GK145">
        <f ca="1">ROUND(GC145-GJ145,0)</f>
        <v>0</v>
      </c>
      <c r="GL145">
        <f ca="1">GK145*0.04</f>
        <v>0</v>
      </c>
      <c r="GM145">
        <f ca="1">ROUNDUP(GK145+GL145,0)</f>
        <v>0</v>
      </c>
    </row>
    <row r="146" spans="1:195" x14ac:dyDescent="0.25">
      <c r="A146">
        <f>_xlfn.AGGREGATE(3,5,$B$2:B146)</f>
        <v>145</v>
      </c>
      <c r="B146" t="s">
        <v>403</v>
      </c>
      <c r="C146" t="s">
        <v>404</v>
      </c>
      <c r="D146" t="s">
        <v>792</v>
      </c>
      <c r="E146" t="s">
        <v>833</v>
      </c>
      <c r="F146" t="s">
        <v>959</v>
      </c>
      <c r="G146" t="s">
        <v>890</v>
      </c>
      <c r="H146">
        <f>IF(_xlfn.DAYS("31-03-2025",G146)&gt;=180,6800,0)</f>
        <v>6800</v>
      </c>
      <c r="I146">
        <f>_xlfn.XLOOKUP(B146,'[1]march-2025'!$A:$A,'[1]march-2025'!$J:$J,0,0)</f>
        <v>0</v>
      </c>
      <c r="J146">
        <f>_xlfn.XLOOKUP(B146,'[1]march-2025'!$A:$A,'[1]march-2025'!$C:$C,0,0)</f>
        <v>37700</v>
      </c>
      <c r="K146">
        <f>J146*0.14</f>
        <v>5278.0000000000009</v>
      </c>
      <c r="L146">
        <f>J146*0.12</f>
        <v>4524</v>
      </c>
      <c r="M146">
        <f>_xlfn.XLOOKUP(B146,'[1]march-2025'!$A:$A,'[1]march-2025'!$D:$D,0,0)</f>
        <v>0</v>
      </c>
      <c r="N146">
        <f>_xlfn.XLOOKUP(B146,'[1]march-2025'!$A:$A,'[1]march-2025'!$G:$G,0,0)</f>
        <v>500</v>
      </c>
      <c r="O146">
        <f>IF(J146&gt;0,SUM(J146:N146),0)</f>
        <v>48002</v>
      </c>
      <c r="P146">
        <f>_xlfn.XLOOKUP(B146,'[1]march-2025'!$A:$A,'[1]march-2025'!$H:$H,0,0)</f>
        <v>2500</v>
      </c>
      <c r="Q146">
        <f>_xlfn.XLOOKUP(B146,'[1]march-2025'!$A:$A,'[1]march-2025'!$I:$I,0,0)</f>
        <v>0</v>
      </c>
      <c r="R146">
        <f>IF($F146="YES",0,IF(O146&gt;40000,200,IF(O146&gt;25000,150,IF(O146&gt;15000,130,IF(O146&gt;10000,110,0)))))</f>
        <v>200</v>
      </c>
      <c r="S146">
        <f>O146-P146-Q146-R146</f>
        <v>45302</v>
      </c>
      <c r="T146">
        <f>_xlfn.XLOOKUP(B146,'[2]april-2025'!$A:$A,'[2]april-2025'!$C:$C,0,0)</f>
        <v>37700</v>
      </c>
      <c r="U146">
        <f>T146*0.18</f>
        <v>6786</v>
      </c>
      <c r="V146">
        <f>T146*0.12</f>
        <v>4524</v>
      </c>
      <c r="W146">
        <f>_xlfn.XLOOKUP(B146,'[2]april-2025'!$A:$A,'[2]april-2025'!$D:$D,0,0)</f>
        <v>0</v>
      </c>
      <c r="X146">
        <f>_xlfn.XLOOKUP(B146,'[2]april-2025'!$A:$A,'[2]april-2025'!$G:$G,0,0)</f>
        <v>500</v>
      </c>
      <c r="Y146">
        <f>IF(T146&gt;0,SUM(T146:X146),0)</f>
        <v>49510</v>
      </c>
      <c r="Z146">
        <f>_xlfn.XLOOKUP(B146,'[2]april-2025'!$A:$A,'[2]april-2025'!$H:$H,0,0)</f>
        <v>2500</v>
      </c>
      <c r="AA146">
        <f>_xlfn.XLOOKUP(B146,'[2]april-2025'!$A:$A,'[2]april-2025'!$I:$I,0,0)</f>
        <v>0</v>
      </c>
      <c r="AB146">
        <f>IF($F146="YES",0,IF(Y146&gt;40000,200,IF(Y146&gt;25000,150,IF(Y146&gt;15000,130,IF(Y146&gt;10000,110,0)))))</f>
        <v>200</v>
      </c>
      <c r="AC146">
        <f>Y146-Z146-AA146-AB146</f>
        <v>46810</v>
      </c>
      <c r="AD146">
        <f>_xlfn.XLOOKUP(B146,'[3]may-2025'!$A:$A,'[3]may-2025'!$C:$C,0,0)</f>
        <v>37700</v>
      </c>
      <c r="AE146">
        <f>AD146*0.18</f>
        <v>6786</v>
      </c>
      <c r="AF146">
        <f>AD146*0.12</f>
        <v>4524</v>
      </c>
      <c r="AG146">
        <f>_xlfn.XLOOKUP(B146,'[3]may-2025'!$A:$A,'[3]may-2025'!$D:$D,0,0)</f>
        <v>0</v>
      </c>
      <c r="AH146">
        <f>_xlfn.XLOOKUP(B146,'[3]may-2025'!$A:$A,'[3]may-2025'!$G:$G,0,0)</f>
        <v>500</v>
      </c>
      <c r="AI146">
        <f>IF(AD146&gt;0,SUM(AD146:AH146),0)</f>
        <v>49510</v>
      </c>
      <c r="AJ146">
        <f>_xlfn.XLOOKUP(B146,'[3]may-2025'!$A:$A,'[3]may-2025'!$H:$H,0,0)</f>
        <v>2500</v>
      </c>
      <c r="AK146">
        <f>_xlfn.XLOOKUP(B146,'[3]may-2025'!$A:$A,'[3]may-2025'!$I:$I,0,0)</f>
        <v>0</v>
      </c>
      <c r="AL146">
        <f>IF($F146="YES",0,IF(AI146&gt;40000,200,IF(AI146&gt;25000,150,IF(AI146&gt;15000,130,IF(AI146&gt;10000,110,0)))))</f>
        <v>200</v>
      </c>
      <c r="AM146">
        <f>AI146-AJ146-AK146-AL146</f>
        <v>46810</v>
      </c>
      <c r="AN146">
        <f>_xlfn.XLOOKUP(B146,'[4]june-2025'!$A:$A,'[4]june-2025'!$C:$C,0,0)</f>
        <v>37700</v>
      </c>
      <c r="AO146">
        <f>AN146*0.18</f>
        <v>6786</v>
      </c>
      <c r="AP146">
        <f>AN146*0.12</f>
        <v>4524</v>
      </c>
      <c r="AQ146">
        <f>_xlfn.XLOOKUP(B146,'[4]june-2025'!$A:$A,'[4]june-2025'!$D:$D,0,0)</f>
        <v>0</v>
      </c>
      <c r="AR146">
        <f>_xlfn.XLOOKUP(B146,'[4]june-2025'!$A:$A,'[4]june-2025'!$G:$G,0,0)</f>
        <v>500</v>
      </c>
      <c r="AS146">
        <f>IF(AN146&gt;0,SUM(AN146:AR146),0)</f>
        <v>49510</v>
      </c>
      <c r="AT146">
        <f>_xlfn.XLOOKUP(B146,'[4]june-2025'!$A:$A,'[4]june-2025'!$H:$H,0,0)</f>
        <v>2500</v>
      </c>
      <c r="AU146">
        <f>_xlfn.XLOOKUP(B146,'[4]june-2025'!$A:$A,'[4]june-2025'!$I:$I,0,0)</f>
        <v>0</v>
      </c>
      <c r="AV146">
        <f>IF($F146="YES",0,IF(AS146&gt;40000,200,IF(AS146&gt;25000,150,IF(AS146&gt;15000,130,IF(AS146&gt;10000,110,0)))))</f>
        <v>200</v>
      </c>
      <c r="AW146">
        <f>AS146-AT146-AU146-AV146</f>
        <v>46810</v>
      </c>
      <c r="AX146">
        <f>_xlfn.XLOOKUP(B146,'[5]july-2025'!$A:$A,'[5]july-2025'!$C:$C,0,0)</f>
        <v>38800</v>
      </c>
      <c r="AY146">
        <f>AX146*0.18</f>
        <v>6984</v>
      </c>
      <c r="AZ146">
        <v>0</v>
      </c>
      <c r="BA146">
        <f>AX146*0.12</f>
        <v>4656</v>
      </c>
      <c r="BB146">
        <f>_xlfn.XLOOKUP(B146,'[5]july-2025'!$A:$A,'[5]july-2025'!$D:$D,0,0)</f>
        <v>0</v>
      </c>
      <c r="BC146">
        <f>_xlfn.XLOOKUP(B146,'[5]july-2025'!$A:$A,'[5]july-2025'!$G:$G,0,0)</f>
        <v>500</v>
      </c>
      <c r="BD146">
        <f>IF(AX146&gt;0,SUM(AX146:BC146),0)</f>
        <v>50940</v>
      </c>
      <c r="BE146">
        <f>_xlfn.XLOOKUP(B146,'[5]july-2025'!$A:$A,'[5]july-2025'!$H:$H,0,0)</f>
        <v>2500</v>
      </c>
      <c r="BF146">
        <f>_xlfn.XLOOKUP(B146,'[5]july-2025'!$A:$A,'[5]july-2025'!$I:$I,0,0)</f>
        <v>0</v>
      </c>
      <c r="BG146">
        <f>IF($F146="YES",0,IF(BD146&gt;40000,200,IF(BD146&gt;25000,150,IF(BD146&gt;15000,130,IF(BD146&gt;10000,110,0)))))</f>
        <v>200</v>
      </c>
      <c r="BH146">
        <f>BD146-BE146-BF146-BG146</f>
        <v>48240</v>
      </c>
      <c r="BI146">
        <f>_xlfn.XLOOKUP(B146,'[6]august-2025'!$A:$A,'[6]august-2025'!$C:$C,0,0)</f>
        <v>38800</v>
      </c>
      <c r="BJ146">
        <f>BI146*0.18</f>
        <v>6984</v>
      </c>
      <c r="BK146">
        <f>BI146*0.12</f>
        <v>4656</v>
      </c>
      <c r="BL146">
        <f>_xlfn.XLOOKUP(B146,'[6]august-2025'!$A:$A,'[6]august-2025'!$D:$D,0,0)</f>
        <v>0</v>
      </c>
      <c r="BM146">
        <f>_xlfn.XLOOKUP(B146,'[6]august-2025'!$A:$A,'[6]august-2025'!$G:$G,0,0)</f>
        <v>500</v>
      </c>
      <c r="BN146">
        <f>IF(BI146&gt;0,SUM(BI146:BM146),0)</f>
        <v>50940</v>
      </c>
      <c r="BO146">
        <f>_xlfn.XLOOKUP(B146,'[6]august-2025'!$A:$A,'[6]august-2025'!$H:$H,0,0)</f>
        <v>2500</v>
      </c>
      <c r="BP146">
        <f>_xlfn.XLOOKUP(B146,'[6]august-2025'!$A:$A,'[6]august-2025'!$I:$I,0,0)</f>
        <v>0</v>
      </c>
      <c r="BQ146">
        <f>IF($F146="YES",0,IF(BN146&gt;40000,200,IF(BN146&gt;25000,150,IF(BN146&gt;15000,130,IF(BN146&gt;10000,110,0)))))</f>
        <v>200</v>
      </c>
      <c r="BR146">
        <f>BN146-BO146-BP146-BQ146</f>
        <v>48240</v>
      </c>
      <c r="BS146">
        <f>_xlfn.XLOOKUP(B146,'[7]september-2025'!$A:$A,'[7]september-2025'!$C:$C,0,0)</f>
        <v>38800</v>
      </c>
      <c r="BT146">
        <f>BS146*0.18</f>
        <v>6984</v>
      </c>
      <c r="BU146">
        <f>BS146*0.12</f>
        <v>4656</v>
      </c>
      <c r="BV146">
        <f>_xlfn.XLOOKUP(B146,'[7]september-2025'!$A:$A,'[7]september-2025'!$D:$D,0,0)</f>
        <v>0</v>
      </c>
      <c r="BW146">
        <f>_xlfn.XLOOKUP(B146,'[7]september-2025'!$A:$A,'[7]september-2025'!$G:$G,0,0)</f>
        <v>500</v>
      </c>
      <c r="BX146">
        <f>IF(BS146&gt;0,SUM(BS146:BW146),0)</f>
        <v>50940</v>
      </c>
      <c r="BY146">
        <f>_xlfn.XLOOKUP(B146,'[7]september-2025'!$A:$A,'[7]september-2025'!$H:$H,0,0)</f>
        <v>2500</v>
      </c>
      <c r="BZ146">
        <f>_xlfn.XLOOKUP(B146,'[7]september-2025'!$A:$A,'[7]september-2025'!$I:$I,0,0)</f>
        <v>0</v>
      </c>
      <c r="CA146">
        <f>IF($F146="YES",0,IF(BX146&gt;40000,200,IF(BX146&gt;25000,150,IF(BX146&gt;15000,130,IF(BX146&gt;10000,110,0)))))</f>
        <v>200</v>
      </c>
      <c r="CB146">
        <f>BX146-BY146-BZ146-CA146</f>
        <v>48240</v>
      </c>
      <c r="CC146">
        <f>_xlfn.XLOOKUP(B146,'[8]october-2025'!$A:$A,'[8]october-2025'!$C:$C,0,0)</f>
        <v>38800</v>
      </c>
      <c r="CD146">
        <f>CC146*0.18</f>
        <v>6984</v>
      </c>
      <c r="CE146">
        <f>CC146*0.12</f>
        <v>4656</v>
      </c>
      <c r="CF146">
        <f>_xlfn.XLOOKUP(B146,'[8]october-2025'!$A:$A,'[8]october-2025'!$D:$D,0,0)</f>
        <v>0</v>
      </c>
      <c r="CG146">
        <f>_xlfn.XLOOKUP(B146,'[8]october-2025'!$A:$A,'[8]october-2025'!$G:$G,0,0)</f>
        <v>500</v>
      </c>
      <c r="CH146">
        <f>IF(CC146&gt;0,SUM(CC146:CG146),0)</f>
        <v>50940</v>
      </c>
      <c r="CI146">
        <f>_xlfn.XLOOKUP(B146,'[8]october-2025'!$A:$A,'[8]october-2025'!$H:$H,0,0)</f>
        <v>2500</v>
      </c>
      <c r="CJ146">
        <f>_xlfn.XLOOKUP(B146,'[8]october-2025'!$A:$A,'[8]october-2025'!$I:$I,0,0)</f>
        <v>0</v>
      </c>
      <c r="CK146">
        <f>IF($F146="YES",0,IF(CH146&gt;40000,200,IF(CH146&gt;25000,150,IF(CH146&gt;15000,130,IF(CH146&gt;10000,110,0)))))</f>
        <v>200</v>
      </c>
      <c r="CL146">
        <f>CH146-CI146-CJ146-CK146</f>
        <v>48240</v>
      </c>
      <c r="CM146">
        <f>_xlfn.XLOOKUP(B146,'[9]november-2025'!$A:$A,'[9]november-2025'!$C:$C,0,0)</f>
        <v>38800</v>
      </c>
      <c r="CN146">
        <f>CM146*0.18</f>
        <v>6984</v>
      </c>
      <c r="CO146">
        <f>CM146*0.12</f>
        <v>4656</v>
      </c>
      <c r="CP146">
        <f>_xlfn.XLOOKUP(B146,'[9]november-2025'!$A:$A,'[9]november-2025'!$D:$D,0,0)</f>
        <v>0</v>
      </c>
      <c r="CQ146">
        <f>_xlfn.XLOOKUP(B146,'[9]november-2025'!$A:$A,'[9]november-2025'!$G:$G,0,0)</f>
        <v>500</v>
      </c>
      <c r="CR146">
        <f>IF(CM146&gt;0,SUM(CM146:CQ146),0)</f>
        <v>50940</v>
      </c>
      <c r="CS146">
        <f>_xlfn.XLOOKUP(B146,'[9]november-2025'!$A:$A,'[9]november-2025'!$H:$H,0,0)</f>
        <v>2500</v>
      </c>
      <c r="CT146">
        <f>_xlfn.XLOOKUP(B146,'[9]november-2025'!$A:$A,'[9]november-2025'!$I:$I,0,0)</f>
        <v>0</v>
      </c>
      <c r="CU146">
        <f>IF($F146="YES",0,IF(CR146&gt;40000,200,IF(CR146&gt;25000,150,IF(CR146&gt;15000,130,IF(CR146&gt;10000,110,0)))))</f>
        <v>200</v>
      </c>
      <c r="CV146">
        <f>CR146-CS146-CT146-CU146</f>
        <v>48240</v>
      </c>
      <c r="CW146">
        <f>_xlfn.XLOOKUP(B146,'[10]december-2025'!$A:$A,'[10]december-2025'!$C:$C,0,0)</f>
        <v>38800</v>
      </c>
      <c r="CX146">
        <f>ROUND(CW146*0.18,0)</f>
        <v>6984</v>
      </c>
      <c r="CY146">
        <f>ROUND(CW146*0.12,0)</f>
        <v>4656</v>
      </c>
      <c r="CZ146">
        <f>_xlfn.XLOOKUP(B146,'[10]december-2025'!$A:$A,'[10]december-2025'!$D:$D,0,0)</f>
        <v>0</v>
      </c>
      <c r="DA146">
        <f>_xlfn.XLOOKUP(B146,'[10]december-2025'!$A:$A,'[10]december-2025'!$G:$G,0,0)</f>
        <v>500</v>
      </c>
      <c r="DB146">
        <f>IF(CW146&gt;0,SUM(CW146:DA146),0)</f>
        <v>50940</v>
      </c>
      <c r="DC146">
        <f>_xlfn.XLOOKUP(B146,'[10]december-2025'!$A:$A,'[10]december-2025'!$H:$H,0,0)</f>
        <v>2500</v>
      </c>
      <c r="DD146">
        <f>_xlfn.XLOOKUP(B146,'[10]december-2025'!$A:$A,'[10]december-2025'!$I:$I,0,0)</f>
        <v>0</v>
      </c>
      <c r="DE146">
        <f>IF($F146="YES",0,IF(DB146&gt;40000,200,IF(DB146&gt;25000,150,IF(DB146&gt;15000,130,IF(DB146&gt;10000,110,0)))))</f>
        <v>200</v>
      </c>
      <c r="DF146">
        <f>DB146-DC146-DD146-DE146</f>
        <v>48240</v>
      </c>
      <c r="DG146">
        <f>_xlfn.XLOOKUP(B146,'[11]january-2026'!$A:$A,'[11]january-2026'!$C:$C,0,0)</f>
        <v>38800</v>
      </c>
      <c r="DH146">
        <f>DG146*0.18</f>
        <v>6984</v>
      </c>
      <c r="DI146">
        <f>DG146*0.12</f>
        <v>4656</v>
      </c>
      <c r="DJ146">
        <f>_xlfn.XLOOKUP(B146,'[11]january-2026'!$A:$A,'[11]january-2026'!$D:$D,0,0)</f>
        <v>0</v>
      </c>
      <c r="DK146">
        <f>_xlfn.XLOOKUP(B146,'[11]january-2026'!$A:$A,'[11]january-2026'!$G:$G,0,0)</f>
        <v>500</v>
      </c>
      <c r="DL146">
        <f>IF(DG146&gt;0,SUM(DG146:DK146),0)</f>
        <v>50940</v>
      </c>
      <c r="DM146">
        <f>_xlfn.XLOOKUP(B146,'[11]january-2026'!$A:$A,'[11]january-2026'!$H:$H,0,0)</f>
        <v>2500</v>
      </c>
      <c r="DN146">
        <f>_xlfn.XLOOKUP(B146,'[11]january-2026'!$A:$A,'[11]january-2026'!$I:$I,0,0)</f>
        <v>0</v>
      </c>
      <c r="DO146">
        <f>IF($F146="YES",0,IF(DL146&gt;40000,200,IF(DL146&gt;25000,150,IF(DL146&gt;15000,130,IF(DL146&gt;10000,110,0)))))</f>
        <v>200</v>
      </c>
      <c r="DP146">
        <f>DL146-DM146-DN146-DO146</f>
        <v>48240</v>
      </c>
      <c r="DQ146">
        <f>_xlfn.XLOOKUP(B146,'[12]february-2026'!$A:$A,'[12]february-2026'!$C:$C,0,0)</f>
        <v>38800</v>
      </c>
      <c r="DR146">
        <f>DQ146*0.18</f>
        <v>6984</v>
      </c>
      <c r="DS146">
        <f>DQ146*0.12</f>
        <v>4656</v>
      </c>
      <c r="DT146">
        <f>_xlfn.XLOOKUP(B146,'[12]february-2026'!$A:$A,'[12]february-2026'!$D:$D,0,0)</f>
        <v>0</v>
      </c>
      <c r="DU146">
        <f>_xlfn.XLOOKUP(B146,'[12]february-2026'!$A:$A,'[12]february-2026'!$G:$G,0,0)</f>
        <v>500</v>
      </c>
      <c r="DV146">
        <f>IF(DQ146&gt;0,SUM(DQ146:DU146),0)</f>
        <v>50940</v>
      </c>
      <c r="DW146">
        <f>_xlfn.XLOOKUP(B146,'[12]february-2026'!$A:$A,'[12]february-2026'!$H:$H,0,0)</f>
        <v>2500</v>
      </c>
      <c r="DX146">
        <f>_xlfn.XLOOKUP(B146,'[12]february-2026'!$A:$A,'[12]february-2026'!$I:$I,0,0)</f>
        <v>0</v>
      </c>
      <c r="DY146">
        <f>IF($F146="YES",0,IF(DV146&gt;40000,200,IF(DV146&gt;25000,150,IF(DV146&gt;15000,130,IF(DV146&gt;10000,110,0)))))</f>
        <v>200</v>
      </c>
      <c r="DZ146">
        <f>DV146-DW146-DX146-DY146</f>
        <v>48240</v>
      </c>
      <c r="EA146">
        <f>DV146+DL146+DB146+CR146+CH146+BX146+BN146+BD146+AS146+AI146+Y146+O146+H146+I146</f>
        <v>610852</v>
      </c>
      <c r="EB146">
        <f>DY146+DO146+DE146+CU146+CK146+CA146+BQ146+BG146+AV146+AL146+AB146+R146</f>
        <v>2400</v>
      </c>
      <c r="EC146">
        <f>IF(EA146&gt;0,50000,0)</f>
        <v>50000</v>
      </c>
      <c r="ED146">
        <v>0</v>
      </c>
      <c r="EE146">
        <f>EA146-EB146-EC146</f>
        <v>558452</v>
      </c>
      <c r="EF146">
        <f>DW146+DM146+DC146+CS146+CI146+BY146+BO146+BE146+AT146+AJ146+Z146+P146</f>
        <v>30000</v>
      </c>
      <c r="EG146">
        <f>DX146+DN146+DD146+CT146+CJ146+BZ146+BP146+BF146+AU146+AK146+AA146+Q146</f>
        <v>0</v>
      </c>
      <c r="EH146">
        <v>0</v>
      </c>
      <c r="EI146">
        <v>0</v>
      </c>
      <c r="EJ146">
        <v>0</v>
      </c>
      <c r="EK146">
        <v>0</v>
      </c>
      <c r="EL146">
        <v>0</v>
      </c>
      <c r="EM146">
        <v>0</v>
      </c>
      <c r="EN146">
        <v>0</v>
      </c>
      <c r="EO146">
        <v>0</v>
      </c>
      <c r="EP146">
        <v>0</v>
      </c>
      <c r="EQ146">
        <v>0</v>
      </c>
      <c r="ER146">
        <f>SUM(EF146:EQ146)</f>
        <v>30000</v>
      </c>
      <c r="ES146">
        <f>IF(ER146&gt;=150000,150000,ER146)</f>
        <v>30000</v>
      </c>
      <c r="ET146">
        <f>EE146-ES146</f>
        <v>528452</v>
      </c>
      <c r="EU146">
        <v>0</v>
      </c>
      <c r="EV146">
        <v>0</v>
      </c>
      <c r="EW146">
        <v>0</v>
      </c>
      <c r="EX146">
        <v>0</v>
      </c>
      <c r="EY146">
        <v>0</v>
      </c>
      <c r="EZ146">
        <v>0</v>
      </c>
      <c r="FA146">
        <v>0</v>
      </c>
      <c r="FB146">
        <f>SUM(EU146:FA146)+(IF(F146="YES",50000,0))</f>
        <v>0</v>
      </c>
      <c r="FC146">
        <f>ET146-FB146</f>
        <v>528452</v>
      </c>
      <c r="FD146">
        <f>ROUND(IF(FC146&gt;0,IF(FC146&gt;500000,12500,(FC146-250000)*0.05),0),0)</f>
        <v>12500</v>
      </c>
      <c r="FE146">
        <f>IF(ROUND(IF(FC146&gt;0,IF(FC146&gt;1000000,25000,(FC146-500000)*0.2),0),0)&lt;0,0,ROUND(IF(FC146&gt;0,IF(FC146&gt;1000000,25000,(FC146-500000)*0.2),0),0))</f>
        <v>5690</v>
      </c>
      <c r="FF146">
        <f>FD146+FE146</f>
        <v>18190</v>
      </c>
      <c r="FG146">
        <f>IF(FF146&lt;12500,0,FF146)</f>
        <v>18190</v>
      </c>
      <c r="FH146">
        <f>FG146*0.04</f>
        <v>727.6</v>
      </c>
      <c r="FI146">
        <f>ROUND(FH146+FG146,0)</f>
        <v>18918</v>
      </c>
      <c r="FJ146">
        <v>0</v>
      </c>
      <c r="FK146">
        <f>FI146-FJ146</f>
        <v>18918</v>
      </c>
      <c r="FL146" t="b">
        <f>IF(EA146&gt;500000,TRUE,FALSE)</f>
        <v>1</v>
      </c>
      <c r="FM146">
        <f ca="1">IF(FL146,RANDBETWEEN(500,1000),RANDBETWEEN(1000,3000))</f>
        <v>627</v>
      </c>
      <c r="FN146">
        <f ca="1">EA146+FM146</f>
        <v>611479</v>
      </c>
      <c r="FO146">
        <f>IF(EA146&gt;0,75000,0)</f>
        <v>75000</v>
      </c>
      <c r="FP146">
        <f ca="1">FN146-FO146</f>
        <v>536479</v>
      </c>
      <c r="FQ146">
        <f ca="1">IF(FP146&gt;2400000,FP146-2400000,0)</f>
        <v>0</v>
      </c>
      <c r="FR146">
        <f ca="1">FQ146*0.3</f>
        <v>0</v>
      </c>
      <c r="FS146">
        <f ca="1">IF(FP146&gt;2000000,FP146-2000000,0)</f>
        <v>0</v>
      </c>
      <c r="FT146">
        <f ca="1">FS146*0.25</f>
        <v>0</v>
      </c>
      <c r="FU146">
        <f ca="1">IF(FP146&gt;1600000,FP146-1600000-FQ146,0)</f>
        <v>0</v>
      </c>
      <c r="FV146">
        <f ca="1">FU146*0.2</f>
        <v>0</v>
      </c>
      <c r="FW146">
        <f ca="1">IF(FP146&gt;1200000,FP146-1200000-IF(F146="YES",50000,0)-FU146,0)</f>
        <v>0</v>
      </c>
      <c r="FX146">
        <f ca="1">FW146*0.15</f>
        <v>0</v>
      </c>
      <c r="FY146">
        <f ca="1">IF(FP146&gt;800000,FP146-800000-FQ146-FU146-FW146,0)</f>
        <v>0</v>
      </c>
      <c r="FZ146">
        <f ca="1">FY146*0.1</f>
        <v>0</v>
      </c>
      <c r="GA146">
        <f ca="1">IF(FP146&gt;400000,FP146-400000-FQ146-FU146-FW146-FY146,0)</f>
        <v>136479</v>
      </c>
      <c r="GB146">
        <f ca="1">GA146*0.05</f>
        <v>6823.9500000000007</v>
      </c>
      <c r="GC146">
        <f ca="1">ROUND(FR146+FT146+FV146+FX146+FZ146+GB146,0)</f>
        <v>6824</v>
      </c>
      <c r="GD146">
        <f ca="1">IF(FP146&gt;1200000,FP146,0)</f>
        <v>0</v>
      </c>
      <c r="GE146">
        <f ca="1">IF(FP146&gt;1200000,GD146-1200000,0)</f>
        <v>0</v>
      </c>
      <c r="GF146">
        <f ca="1">IF(FP146&lt;1200001,MIN(GC146,60000),0)</f>
        <v>6824</v>
      </c>
      <c r="GG146">
        <f ca="1">IF(FP146&gt;1200000,GC146-GE146,0)</f>
        <v>0</v>
      </c>
      <c r="GH146" t="b">
        <f ca="1">IF(GG146&gt;0,TRUE,FALSE)</f>
        <v>0</v>
      </c>
      <c r="GI146">
        <f ca="1">IF(GH146,GG146,0)</f>
        <v>0</v>
      </c>
      <c r="GJ146">
        <f ca="1">GF146+GI146</f>
        <v>6824</v>
      </c>
      <c r="GK146">
        <f ca="1">ROUND(GC146-GJ146,0)</f>
        <v>0</v>
      </c>
      <c r="GL146">
        <f ca="1">GK146*0.04</f>
        <v>0</v>
      </c>
      <c r="GM146">
        <f ca="1">ROUNDUP(GK146+GL146,0)</f>
        <v>0</v>
      </c>
    </row>
    <row r="147" spans="1:195" x14ac:dyDescent="0.25">
      <c r="A147">
        <f>_xlfn.AGGREGATE(3,5,$B$2:B147)</f>
        <v>146</v>
      </c>
      <c r="B147" t="s">
        <v>405</v>
      </c>
      <c r="C147" t="s">
        <v>406</v>
      </c>
      <c r="D147" t="s">
        <v>793</v>
      </c>
      <c r="E147" t="s">
        <v>834</v>
      </c>
      <c r="F147" t="s">
        <v>959</v>
      </c>
      <c r="G147" t="s">
        <v>910</v>
      </c>
      <c r="H147">
        <f>IF(_xlfn.DAYS("31-03-2025",G147)&gt;=180,6800,0)</f>
        <v>6800</v>
      </c>
      <c r="I147">
        <f>_xlfn.XLOOKUP(B147,'[1]march-2025'!$A:$A,'[1]march-2025'!$J:$J,0,0)</f>
        <v>0</v>
      </c>
      <c r="J147">
        <f>_xlfn.XLOOKUP(B147,'[1]march-2025'!$A:$A,'[1]march-2025'!$C:$C,0,0)</f>
        <v>47300</v>
      </c>
      <c r="K147">
        <f>J147*0.14</f>
        <v>6622.0000000000009</v>
      </c>
      <c r="L147">
        <f>J147*0.12</f>
        <v>5676</v>
      </c>
      <c r="M147">
        <f>_xlfn.XLOOKUP(B147,'[1]march-2025'!$A:$A,'[1]march-2025'!$D:$D,0,0)</f>
        <v>400</v>
      </c>
      <c r="N147">
        <f>_xlfn.XLOOKUP(B147,'[1]march-2025'!$A:$A,'[1]march-2025'!$G:$G,0,0)</f>
        <v>0</v>
      </c>
      <c r="O147">
        <f>IF(J147&gt;0,SUM(J147:N147),0)</f>
        <v>59998</v>
      </c>
      <c r="P147">
        <f>_xlfn.XLOOKUP(B147,'[1]march-2025'!$A:$A,'[1]march-2025'!$H:$H,0,0)</f>
        <v>3000</v>
      </c>
      <c r="Q147">
        <f>_xlfn.XLOOKUP(B147,'[1]march-2025'!$A:$A,'[1]march-2025'!$I:$I,0,0)</f>
        <v>60</v>
      </c>
      <c r="R147">
        <f>IF($F147="YES",0,IF(O147&gt;40000,200,IF(O147&gt;25000,150,IF(O147&gt;15000,130,IF(O147&gt;10000,110,0)))))</f>
        <v>200</v>
      </c>
      <c r="S147">
        <f>O147-P147-Q147-R147</f>
        <v>56738</v>
      </c>
      <c r="T147">
        <f>_xlfn.XLOOKUP(B147,'[2]april-2025'!$A:$A,'[2]april-2025'!$C:$C,0,0)</f>
        <v>47300</v>
      </c>
      <c r="U147">
        <f>T147*0.18</f>
        <v>8514</v>
      </c>
      <c r="V147">
        <f>T147*0.12</f>
        <v>5676</v>
      </c>
      <c r="W147">
        <f>_xlfn.XLOOKUP(B147,'[2]april-2025'!$A:$A,'[2]april-2025'!$D:$D,0,0)</f>
        <v>400</v>
      </c>
      <c r="X147">
        <f>_xlfn.XLOOKUP(B147,'[2]april-2025'!$A:$A,'[2]april-2025'!$G:$G,0,0)</f>
        <v>0</v>
      </c>
      <c r="Y147">
        <f>IF(T147&gt;0,SUM(T147:X147),0)</f>
        <v>61890</v>
      </c>
      <c r="Z147">
        <f>_xlfn.XLOOKUP(B147,'[2]april-2025'!$A:$A,'[2]april-2025'!$H:$H,0,0)</f>
        <v>3000</v>
      </c>
      <c r="AA147">
        <f>_xlfn.XLOOKUP(B147,'[2]april-2025'!$A:$A,'[2]april-2025'!$I:$I,0,0)</f>
        <v>60</v>
      </c>
      <c r="AB147">
        <f>IF($F147="YES",0,IF(Y147&gt;40000,200,IF(Y147&gt;25000,150,IF(Y147&gt;15000,130,IF(Y147&gt;10000,110,0)))))</f>
        <v>200</v>
      </c>
      <c r="AC147">
        <f>Y147-Z147-AA147-AB147</f>
        <v>58630</v>
      </c>
      <c r="AD147">
        <f>_xlfn.XLOOKUP(B147,'[3]may-2025'!$A:$A,'[3]may-2025'!$C:$C,0,0)</f>
        <v>47300</v>
      </c>
      <c r="AE147">
        <f>AD147*0.18</f>
        <v>8514</v>
      </c>
      <c r="AF147">
        <f>AD147*0.12</f>
        <v>5676</v>
      </c>
      <c r="AG147">
        <f>_xlfn.XLOOKUP(B147,'[3]may-2025'!$A:$A,'[3]may-2025'!$D:$D,0,0)</f>
        <v>400</v>
      </c>
      <c r="AH147">
        <f>_xlfn.XLOOKUP(B147,'[3]may-2025'!$A:$A,'[3]may-2025'!$G:$G,0,0)</f>
        <v>0</v>
      </c>
      <c r="AI147">
        <f>IF(AD147&gt;0,SUM(AD147:AH147),0)</f>
        <v>61890</v>
      </c>
      <c r="AJ147">
        <f>_xlfn.XLOOKUP(B147,'[3]may-2025'!$A:$A,'[3]may-2025'!$H:$H,0,0)</f>
        <v>3000</v>
      </c>
      <c r="AK147">
        <f>_xlfn.XLOOKUP(B147,'[3]may-2025'!$A:$A,'[3]may-2025'!$I:$I,0,0)</f>
        <v>60</v>
      </c>
      <c r="AL147">
        <f>IF($F147="YES",0,IF(AI147&gt;40000,200,IF(AI147&gt;25000,150,IF(AI147&gt;15000,130,IF(AI147&gt;10000,110,0)))))</f>
        <v>200</v>
      </c>
      <c r="AM147">
        <f>AI147-AJ147-AK147-AL147</f>
        <v>58630</v>
      </c>
      <c r="AN147">
        <f>_xlfn.XLOOKUP(B147,'[4]june-2025'!$A:$A,'[4]june-2025'!$C:$C,0,0)</f>
        <v>47300</v>
      </c>
      <c r="AO147">
        <f>AN147*0.18</f>
        <v>8514</v>
      </c>
      <c r="AP147">
        <f>AN147*0.12</f>
        <v>5676</v>
      </c>
      <c r="AQ147">
        <f>_xlfn.XLOOKUP(B147,'[4]june-2025'!$A:$A,'[4]june-2025'!$D:$D,0,0)</f>
        <v>400</v>
      </c>
      <c r="AR147">
        <f>_xlfn.XLOOKUP(B147,'[4]june-2025'!$A:$A,'[4]june-2025'!$G:$G,0,0)</f>
        <v>0</v>
      </c>
      <c r="AS147">
        <f>IF(AN147&gt;0,SUM(AN147:AR147),0)</f>
        <v>61890</v>
      </c>
      <c r="AT147">
        <f>_xlfn.XLOOKUP(B147,'[4]june-2025'!$A:$A,'[4]june-2025'!$H:$H,0,0)</f>
        <v>3000</v>
      </c>
      <c r="AU147">
        <f>_xlfn.XLOOKUP(B147,'[4]june-2025'!$A:$A,'[4]june-2025'!$I:$I,0,0)</f>
        <v>60</v>
      </c>
      <c r="AV147">
        <f>IF($F147="YES",0,IF(AS147&gt;40000,200,IF(AS147&gt;25000,150,IF(AS147&gt;15000,130,IF(AS147&gt;10000,110,0)))))</f>
        <v>200</v>
      </c>
      <c r="AW147">
        <f>AS147-AT147-AU147-AV147</f>
        <v>58630</v>
      </c>
      <c r="AX147">
        <f>_xlfn.XLOOKUP(B147,'[5]july-2025'!$A:$A,'[5]july-2025'!$C:$C,0,0)</f>
        <v>48700</v>
      </c>
      <c r="AY147">
        <f>AX147*0.18</f>
        <v>8766</v>
      </c>
      <c r="AZ147">
        <v>0</v>
      </c>
      <c r="BA147">
        <f>AX147*0.12</f>
        <v>5844</v>
      </c>
      <c r="BB147">
        <f>_xlfn.XLOOKUP(B147,'[5]july-2025'!$A:$A,'[5]july-2025'!$D:$D,0,0)</f>
        <v>400</v>
      </c>
      <c r="BC147">
        <f>_xlfn.XLOOKUP(B147,'[5]july-2025'!$A:$A,'[5]july-2025'!$G:$G,0,0)</f>
        <v>0</v>
      </c>
      <c r="BD147">
        <f>IF(AX147&gt;0,SUM(AX147:BC147),0)</f>
        <v>63710</v>
      </c>
      <c r="BE147">
        <f>_xlfn.XLOOKUP(B147,'[5]july-2025'!$A:$A,'[5]july-2025'!$H:$H,0,0)</f>
        <v>3000</v>
      </c>
      <c r="BF147">
        <f>_xlfn.XLOOKUP(B147,'[5]july-2025'!$A:$A,'[5]july-2025'!$I:$I,0,0)</f>
        <v>60</v>
      </c>
      <c r="BG147">
        <f>IF($F147="YES",0,IF(BD147&gt;40000,200,IF(BD147&gt;25000,150,IF(BD147&gt;15000,130,IF(BD147&gt;10000,110,0)))))</f>
        <v>200</v>
      </c>
      <c r="BH147">
        <f>BD147-BE147-BF147-BG147</f>
        <v>60450</v>
      </c>
      <c r="BI147">
        <f>_xlfn.XLOOKUP(B147,'[6]august-2025'!$A:$A,'[6]august-2025'!$C:$C,0,0)</f>
        <v>48700</v>
      </c>
      <c r="BJ147">
        <f>BI147*0.18</f>
        <v>8766</v>
      </c>
      <c r="BK147">
        <f>BI147*0.12</f>
        <v>5844</v>
      </c>
      <c r="BL147">
        <f>_xlfn.XLOOKUP(B147,'[6]august-2025'!$A:$A,'[6]august-2025'!$D:$D,0,0)</f>
        <v>400</v>
      </c>
      <c r="BM147">
        <f>_xlfn.XLOOKUP(B147,'[6]august-2025'!$A:$A,'[6]august-2025'!$G:$G,0,0)</f>
        <v>0</v>
      </c>
      <c r="BN147">
        <f>IF(BI147&gt;0,SUM(BI147:BM147),0)</f>
        <v>63710</v>
      </c>
      <c r="BO147">
        <f>_xlfn.XLOOKUP(B147,'[6]august-2025'!$A:$A,'[6]august-2025'!$H:$H,0,0)</f>
        <v>3000</v>
      </c>
      <c r="BP147">
        <f>_xlfn.XLOOKUP(B147,'[6]august-2025'!$A:$A,'[6]august-2025'!$I:$I,0,0)</f>
        <v>60</v>
      </c>
      <c r="BQ147">
        <f>IF($F147="YES",0,IF(BN147&gt;40000,200,IF(BN147&gt;25000,150,IF(BN147&gt;15000,130,IF(BN147&gt;10000,110,0)))))</f>
        <v>200</v>
      </c>
      <c r="BR147">
        <f>BN147-BO147-BP147-BQ147</f>
        <v>60450</v>
      </c>
      <c r="BS147">
        <f>_xlfn.XLOOKUP(B147,'[7]september-2025'!$A:$A,'[7]september-2025'!$C:$C,0,0)</f>
        <v>48700</v>
      </c>
      <c r="BT147">
        <f>BS147*0.18</f>
        <v>8766</v>
      </c>
      <c r="BU147">
        <f>BS147*0.12</f>
        <v>5844</v>
      </c>
      <c r="BV147">
        <f>_xlfn.XLOOKUP(B147,'[7]september-2025'!$A:$A,'[7]september-2025'!$D:$D,0,0)</f>
        <v>400</v>
      </c>
      <c r="BW147">
        <f>_xlfn.XLOOKUP(B147,'[7]september-2025'!$A:$A,'[7]september-2025'!$G:$G,0,0)</f>
        <v>0</v>
      </c>
      <c r="BX147">
        <f>IF(BS147&gt;0,SUM(BS147:BW147),0)</f>
        <v>63710</v>
      </c>
      <c r="BY147">
        <f>_xlfn.XLOOKUP(B147,'[7]september-2025'!$A:$A,'[7]september-2025'!$H:$H,0,0)</f>
        <v>3000</v>
      </c>
      <c r="BZ147">
        <f>_xlfn.XLOOKUP(B147,'[7]september-2025'!$A:$A,'[7]september-2025'!$I:$I,0,0)</f>
        <v>60</v>
      </c>
      <c r="CA147">
        <f>IF($F147="YES",0,IF(BX147&gt;40000,200,IF(BX147&gt;25000,150,IF(BX147&gt;15000,130,IF(BX147&gt;10000,110,0)))))</f>
        <v>200</v>
      </c>
      <c r="CB147">
        <f>BX147-BY147-BZ147-CA147</f>
        <v>60450</v>
      </c>
      <c r="CC147">
        <f>_xlfn.XLOOKUP(B147,'[8]october-2025'!$A:$A,'[8]october-2025'!$C:$C,0,0)</f>
        <v>48700</v>
      </c>
      <c r="CD147">
        <f>CC147*0.18</f>
        <v>8766</v>
      </c>
      <c r="CE147">
        <f>CC147*0.12</f>
        <v>5844</v>
      </c>
      <c r="CF147">
        <f>_xlfn.XLOOKUP(B147,'[8]october-2025'!$A:$A,'[8]october-2025'!$D:$D,0,0)</f>
        <v>400</v>
      </c>
      <c r="CG147">
        <f>_xlfn.XLOOKUP(B147,'[8]october-2025'!$A:$A,'[8]october-2025'!$G:$G,0,0)</f>
        <v>0</v>
      </c>
      <c r="CH147">
        <f>IF(CC147&gt;0,SUM(CC147:CG147),0)</f>
        <v>63710</v>
      </c>
      <c r="CI147">
        <f>_xlfn.XLOOKUP(B147,'[8]october-2025'!$A:$A,'[8]october-2025'!$H:$H,0,0)</f>
        <v>3000</v>
      </c>
      <c r="CJ147">
        <f>_xlfn.XLOOKUP(B147,'[8]october-2025'!$A:$A,'[8]october-2025'!$I:$I,0,0)</f>
        <v>60</v>
      </c>
      <c r="CK147">
        <f>IF($F147="YES",0,IF(CH147&gt;40000,200,IF(CH147&gt;25000,150,IF(CH147&gt;15000,130,IF(CH147&gt;10000,110,0)))))</f>
        <v>200</v>
      </c>
      <c r="CL147">
        <f>CH147-CI147-CJ147-CK147</f>
        <v>60450</v>
      </c>
      <c r="CM147">
        <f>_xlfn.XLOOKUP(B147,'[9]november-2025'!$A:$A,'[9]november-2025'!$C:$C,0,0)</f>
        <v>48700</v>
      </c>
      <c r="CN147">
        <f>CM147*0.18</f>
        <v>8766</v>
      </c>
      <c r="CO147">
        <f>CM147*0.12</f>
        <v>5844</v>
      </c>
      <c r="CP147">
        <f>_xlfn.XLOOKUP(B147,'[9]november-2025'!$A:$A,'[9]november-2025'!$D:$D,0,0)</f>
        <v>400</v>
      </c>
      <c r="CQ147">
        <f>_xlfn.XLOOKUP(B147,'[9]november-2025'!$A:$A,'[9]november-2025'!$G:$G,0,0)</f>
        <v>0</v>
      </c>
      <c r="CR147">
        <f>IF(CM147&gt;0,SUM(CM147:CQ147),0)</f>
        <v>63710</v>
      </c>
      <c r="CS147">
        <f>_xlfn.XLOOKUP(B147,'[9]november-2025'!$A:$A,'[9]november-2025'!$H:$H,0,0)</f>
        <v>3000</v>
      </c>
      <c r="CT147">
        <f>_xlfn.XLOOKUP(B147,'[9]november-2025'!$A:$A,'[9]november-2025'!$I:$I,0,0)</f>
        <v>60</v>
      </c>
      <c r="CU147">
        <f>IF($F147="YES",0,IF(CR147&gt;40000,200,IF(CR147&gt;25000,150,IF(CR147&gt;15000,130,IF(CR147&gt;10000,110,0)))))</f>
        <v>200</v>
      </c>
      <c r="CV147">
        <f>CR147-CS147-CT147-CU147</f>
        <v>60450</v>
      </c>
      <c r="CW147">
        <f>_xlfn.XLOOKUP(B147,'[10]december-2025'!$A:$A,'[10]december-2025'!$C:$C,0,0)</f>
        <v>48700</v>
      </c>
      <c r="CX147">
        <f>ROUND(CW147*0.18,0)</f>
        <v>8766</v>
      </c>
      <c r="CY147">
        <f>ROUND(CW147*0.12,0)</f>
        <v>5844</v>
      </c>
      <c r="CZ147">
        <f>_xlfn.XLOOKUP(B147,'[10]december-2025'!$A:$A,'[10]december-2025'!$D:$D,0,0)</f>
        <v>400</v>
      </c>
      <c r="DA147">
        <f>_xlfn.XLOOKUP(B147,'[10]december-2025'!$A:$A,'[10]december-2025'!$G:$G,0,0)</f>
        <v>0</v>
      </c>
      <c r="DB147">
        <f>IF(CW147&gt;0,SUM(CW147:DA147),0)</f>
        <v>63710</v>
      </c>
      <c r="DC147">
        <f>_xlfn.XLOOKUP(B147,'[10]december-2025'!$A:$A,'[10]december-2025'!$H:$H,0,0)</f>
        <v>3000</v>
      </c>
      <c r="DD147">
        <f>_xlfn.XLOOKUP(B147,'[10]december-2025'!$A:$A,'[10]december-2025'!$I:$I,0,0)</f>
        <v>60</v>
      </c>
      <c r="DE147">
        <f>IF($F147="YES",0,IF(DB147&gt;40000,200,IF(DB147&gt;25000,150,IF(DB147&gt;15000,130,IF(DB147&gt;10000,110,0)))))</f>
        <v>200</v>
      </c>
      <c r="DF147">
        <f>DB147-DC147-DD147-DE147</f>
        <v>60450</v>
      </c>
      <c r="DG147">
        <f>_xlfn.XLOOKUP(B147,'[11]january-2026'!$A:$A,'[11]january-2026'!$C:$C,0,0)</f>
        <v>48700</v>
      </c>
      <c r="DH147">
        <f>DG147*0.18</f>
        <v>8766</v>
      </c>
      <c r="DI147">
        <f>DG147*0.12</f>
        <v>5844</v>
      </c>
      <c r="DJ147">
        <f>_xlfn.XLOOKUP(B147,'[11]january-2026'!$A:$A,'[11]january-2026'!$D:$D,0,0)</f>
        <v>400</v>
      </c>
      <c r="DK147">
        <f>_xlfn.XLOOKUP(B147,'[11]january-2026'!$A:$A,'[11]january-2026'!$G:$G,0,0)</f>
        <v>0</v>
      </c>
      <c r="DL147">
        <f>IF(DG147&gt;0,SUM(DG147:DK147),0)</f>
        <v>63710</v>
      </c>
      <c r="DM147">
        <f>_xlfn.XLOOKUP(B147,'[11]january-2026'!$A:$A,'[11]january-2026'!$H:$H,0,0)</f>
        <v>3000</v>
      </c>
      <c r="DN147">
        <f>_xlfn.XLOOKUP(B147,'[11]january-2026'!$A:$A,'[11]january-2026'!$I:$I,0,0)</f>
        <v>60</v>
      </c>
      <c r="DO147">
        <f>IF($F147="YES",0,IF(DL147&gt;40000,200,IF(DL147&gt;25000,150,IF(DL147&gt;15000,130,IF(DL147&gt;10000,110,0)))))</f>
        <v>200</v>
      </c>
      <c r="DP147">
        <f>DL147-DM147-DN147-DO147</f>
        <v>60450</v>
      </c>
      <c r="DQ147">
        <f>_xlfn.XLOOKUP(B147,'[12]february-2026'!$A:$A,'[12]february-2026'!$C:$C,0,0)</f>
        <v>48700</v>
      </c>
      <c r="DR147">
        <f>DQ147*0.18</f>
        <v>8766</v>
      </c>
      <c r="DS147">
        <f>DQ147*0.12</f>
        <v>5844</v>
      </c>
      <c r="DT147">
        <f>_xlfn.XLOOKUP(B147,'[12]february-2026'!$A:$A,'[12]february-2026'!$D:$D,0,0)</f>
        <v>400</v>
      </c>
      <c r="DU147">
        <f>_xlfn.XLOOKUP(B147,'[12]february-2026'!$A:$A,'[12]february-2026'!$G:$G,0,0)</f>
        <v>0</v>
      </c>
      <c r="DV147">
        <f>IF(DQ147&gt;0,SUM(DQ147:DU147),0)</f>
        <v>63710</v>
      </c>
      <c r="DW147">
        <f>_xlfn.XLOOKUP(B147,'[12]february-2026'!$A:$A,'[12]february-2026'!$H:$H,0,0)</f>
        <v>3000</v>
      </c>
      <c r="DX147">
        <f>_xlfn.XLOOKUP(B147,'[12]february-2026'!$A:$A,'[12]february-2026'!$I:$I,0,0)</f>
        <v>60</v>
      </c>
      <c r="DY147">
        <f>IF($F147="YES",0,IF(DV147&gt;40000,200,IF(DV147&gt;25000,150,IF(DV147&gt;15000,130,IF(DV147&gt;10000,110,0)))))</f>
        <v>200</v>
      </c>
      <c r="DZ147">
        <f>DV147-DW147-DX147-DY147</f>
        <v>60450</v>
      </c>
      <c r="EA147">
        <f>DV147+DL147+DB147+CR147+CH147+BX147+BN147+BD147+AS147+AI147+Y147+O147+H147+I147</f>
        <v>762148</v>
      </c>
      <c r="EB147">
        <f>DY147+DO147+DE147+CU147+CK147+CA147+BQ147+BG147+AV147+AL147+AB147+R147</f>
        <v>2400</v>
      </c>
      <c r="EC147">
        <f>IF(EA147&gt;0,50000,0)</f>
        <v>50000</v>
      </c>
      <c r="ED147">
        <v>0</v>
      </c>
      <c r="EE147">
        <f>EA147-EB147-EC147</f>
        <v>709748</v>
      </c>
      <c r="EF147">
        <f>DW147+DM147+DC147+CS147+CI147+BY147+BO147+BE147+AT147+AJ147+Z147+P147</f>
        <v>36000</v>
      </c>
      <c r="EG147">
        <f>DX147+DN147+DD147+CT147+CJ147+BZ147+BP147+BF147+AU147+AK147+AA147+Q147</f>
        <v>720</v>
      </c>
      <c r="EH147">
        <v>0</v>
      </c>
      <c r="EI147">
        <v>0</v>
      </c>
      <c r="EJ147">
        <v>0</v>
      </c>
      <c r="EK147">
        <v>0</v>
      </c>
      <c r="EL147">
        <v>0</v>
      </c>
      <c r="EM147">
        <v>0</v>
      </c>
      <c r="EN147">
        <v>0</v>
      </c>
      <c r="EO147">
        <v>0</v>
      </c>
      <c r="EP147">
        <v>0</v>
      </c>
      <c r="EQ147">
        <v>0</v>
      </c>
      <c r="ER147">
        <f>SUM(EF147:EQ147)</f>
        <v>36720</v>
      </c>
      <c r="ES147">
        <f>IF(ER147&gt;=150000,150000,ER147)</f>
        <v>36720</v>
      </c>
      <c r="ET147">
        <f>EE147-ES147</f>
        <v>673028</v>
      </c>
      <c r="EU147">
        <v>0</v>
      </c>
      <c r="EV147">
        <v>0</v>
      </c>
      <c r="EW147">
        <v>0</v>
      </c>
      <c r="EX147">
        <v>0</v>
      </c>
      <c r="EY147">
        <v>0</v>
      </c>
      <c r="EZ147">
        <v>0</v>
      </c>
      <c r="FA147">
        <v>0</v>
      </c>
      <c r="FB147">
        <f>SUM(EU147:FA147)+(IF(F147="YES",50000,0))</f>
        <v>0</v>
      </c>
      <c r="FC147">
        <f>ET147-FB147</f>
        <v>673028</v>
      </c>
      <c r="FD147">
        <f>ROUND(IF(FC147&gt;0,IF(FC147&gt;500000,12500,(FC147-250000)*0.05),0),0)</f>
        <v>12500</v>
      </c>
      <c r="FE147">
        <f>IF(ROUND(IF(FC147&gt;0,IF(FC147&gt;1000000,25000,(FC147-500000)*0.2),0),0)&lt;0,0,ROUND(IF(FC147&gt;0,IF(FC147&gt;1000000,25000,(FC147-500000)*0.2),0),0))</f>
        <v>34606</v>
      </c>
      <c r="FF147">
        <f>FD147+FE147</f>
        <v>47106</v>
      </c>
      <c r="FG147">
        <f>IF(FF147&lt;12500,0,FF147)</f>
        <v>47106</v>
      </c>
      <c r="FH147">
        <f>FG147*0.04</f>
        <v>1884.24</v>
      </c>
      <c r="FI147">
        <f>ROUND(FH147+FG147,0)</f>
        <v>48990</v>
      </c>
      <c r="FJ147">
        <v>0</v>
      </c>
      <c r="FK147">
        <f>FI147-FJ147</f>
        <v>48990</v>
      </c>
      <c r="FL147" t="b">
        <f>IF(EA147&gt;500000,TRUE,FALSE)</f>
        <v>1</v>
      </c>
      <c r="FM147">
        <f ca="1">IF(FL147,RANDBETWEEN(500,1000),RANDBETWEEN(1000,3000))</f>
        <v>844</v>
      </c>
      <c r="FN147">
        <f ca="1">EA147+FM147</f>
        <v>762992</v>
      </c>
      <c r="FO147">
        <f>IF(EA147&gt;0,75000,0)</f>
        <v>75000</v>
      </c>
      <c r="FP147">
        <f ca="1">FN147-FO147</f>
        <v>687992</v>
      </c>
      <c r="FQ147">
        <f ca="1">IF(FP147&gt;2400000,FP147-2400000,0)</f>
        <v>0</v>
      </c>
      <c r="FR147">
        <f ca="1">FQ147*0.3</f>
        <v>0</v>
      </c>
      <c r="FS147">
        <f ca="1">IF(FP147&gt;2000000,FP147-2000000,0)</f>
        <v>0</v>
      </c>
      <c r="FT147">
        <f ca="1">FS147*0.25</f>
        <v>0</v>
      </c>
      <c r="FU147">
        <f ca="1">IF(FP147&gt;1600000,FP147-1600000-FQ147,0)</f>
        <v>0</v>
      </c>
      <c r="FV147">
        <f ca="1">FU147*0.2</f>
        <v>0</v>
      </c>
      <c r="FW147">
        <f ca="1">IF(FP147&gt;1200000,FP147-1200000-IF(F147="YES",50000,0)-FU147,0)</f>
        <v>0</v>
      </c>
      <c r="FX147">
        <f ca="1">FW147*0.15</f>
        <v>0</v>
      </c>
      <c r="FY147">
        <f ca="1">IF(FP147&gt;800000,FP147-800000-FQ147-FU147-FW147,0)</f>
        <v>0</v>
      </c>
      <c r="FZ147">
        <f ca="1">FY147*0.1</f>
        <v>0</v>
      </c>
      <c r="GA147">
        <f ca="1">IF(FP147&gt;400000,FP147-400000-FQ147-FU147-FW147-FY147,0)</f>
        <v>287992</v>
      </c>
      <c r="GB147">
        <f ca="1">GA147*0.05</f>
        <v>14399.6</v>
      </c>
      <c r="GC147">
        <f ca="1">ROUND(FR147+FT147+FV147+FX147+FZ147+GB147,0)</f>
        <v>14400</v>
      </c>
      <c r="GD147">
        <f ca="1">IF(FP147&gt;1200000,FP147,0)</f>
        <v>0</v>
      </c>
      <c r="GE147">
        <f ca="1">IF(FP147&gt;1200000,GD147-1200000,0)</f>
        <v>0</v>
      </c>
      <c r="GF147">
        <f ca="1">IF(FP147&lt;1200001,MIN(GC147,60000),0)</f>
        <v>14400</v>
      </c>
      <c r="GG147">
        <f ca="1">IF(FP147&gt;1200000,GC147-GE147,0)</f>
        <v>0</v>
      </c>
      <c r="GH147" t="b">
        <f ca="1">IF(GG147&gt;0,TRUE,FALSE)</f>
        <v>0</v>
      </c>
      <c r="GI147">
        <f ca="1">IF(GH147,GG147,0)</f>
        <v>0</v>
      </c>
      <c r="GJ147">
        <f ca="1">GF147+GI147</f>
        <v>14400</v>
      </c>
      <c r="GK147">
        <f ca="1">ROUND(GC147-GJ147,0)</f>
        <v>0</v>
      </c>
      <c r="GL147">
        <f ca="1">GK147*0.04</f>
        <v>0</v>
      </c>
      <c r="GM147">
        <f ca="1">ROUNDUP(GK147+GL147,0)</f>
        <v>0</v>
      </c>
    </row>
    <row r="148" spans="1:195" x14ac:dyDescent="0.25">
      <c r="A148">
        <f>_xlfn.AGGREGATE(3,5,$B$2:B148)</f>
        <v>147</v>
      </c>
      <c r="B148" t="s">
        <v>407</v>
      </c>
      <c r="C148" t="s">
        <v>408</v>
      </c>
      <c r="D148" t="s">
        <v>793</v>
      </c>
      <c r="E148" t="s">
        <v>833</v>
      </c>
      <c r="F148" t="s">
        <v>959</v>
      </c>
      <c r="G148" t="s">
        <v>881</v>
      </c>
      <c r="H148">
        <f>IF(_xlfn.DAYS("31-03-2025",G148)&gt;=180,6800,0)</f>
        <v>6800</v>
      </c>
      <c r="I148">
        <f>_xlfn.XLOOKUP(B148,'[1]march-2025'!$A:$A,'[1]march-2025'!$J:$J,0,0)</f>
        <v>0</v>
      </c>
      <c r="J148">
        <f>_xlfn.XLOOKUP(B148,'[1]march-2025'!$A:$A,'[1]march-2025'!$C:$C,0,0)</f>
        <v>27000</v>
      </c>
      <c r="K148">
        <f>J148*0.14</f>
        <v>3780.0000000000005</v>
      </c>
      <c r="L148">
        <f>J148*0.12</f>
        <v>3240</v>
      </c>
      <c r="M148">
        <f>_xlfn.XLOOKUP(B148,'[1]march-2025'!$A:$A,'[1]march-2025'!$D:$D,0,0)</f>
        <v>0</v>
      </c>
      <c r="N148">
        <f>_xlfn.XLOOKUP(B148,'[1]march-2025'!$A:$A,'[1]march-2025'!$G:$G,0,0)</f>
        <v>500</v>
      </c>
      <c r="O148">
        <f>IF(J148&gt;0,SUM(J148:N148),0)</f>
        <v>34520</v>
      </c>
      <c r="P148">
        <f>_xlfn.XLOOKUP(B148,'[1]march-2025'!$A:$A,'[1]march-2025'!$H:$H,0,0)</f>
        <v>2000</v>
      </c>
      <c r="Q148">
        <f>_xlfn.XLOOKUP(B148,'[1]march-2025'!$A:$A,'[1]march-2025'!$I:$I,0,0)</f>
        <v>0</v>
      </c>
      <c r="R148">
        <f>IF($F148="YES",0,IF(O148&gt;40000,200,IF(O148&gt;25000,150,IF(O148&gt;15000,130,IF(O148&gt;10000,110,0)))))</f>
        <v>150</v>
      </c>
      <c r="S148">
        <f>O148-P148-Q148-R148</f>
        <v>32370</v>
      </c>
      <c r="T148">
        <f>_xlfn.XLOOKUP(B148,'[2]april-2025'!$A:$A,'[2]april-2025'!$C:$C,0,0)</f>
        <v>27000</v>
      </c>
      <c r="U148">
        <f>T148*0.18</f>
        <v>4860</v>
      </c>
      <c r="V148">
        <f>T148*0.12</f>
        <v>3240</v>
      </c>
      <c r="W148">
        <f>_xlfn.XLOOKUP(B148,'[2]april-2025'!$A:$A,'[2]april-2025'!$D:$D,0,0)</f>
        <v>0</v>
      </c>
      <c r="X148">
        <f>_xlfn.XLOOKUP(B148,'[2]april-2025'!$A:$A,'[2]april-2025'!$G:$G,0,0)</f>
        <v>500</v>
      </c>
      <c r="Y148">
        <f>IF(T148&gt;0,SUM(T148:X148),0)</f>
        <v>35600</v>
      </c>
      <c r="Z148">
        <f>_xlfn.XLOOKUP(B148,'[2]april-2025'!$A:$A,'[2]april-2025'!$H:$H,0,0)</f>
        <v>2000</v>
      </c>
      <c r="AA148">
        <f>_xlfn.XLOOKUP(B148,'[2]april-2025'!$A:$A,'[2]april-2025'!$I:$I,0,0)</f>
        <v>0</v>
      </c>
      <c r="AB148">
        <f>IF($F148="YES",0,IF(Y148&gt;40000,200,IF(Y148&gt;25000,150,IF(Y148&gt;15000,130,IF(Y148&gt;10000,110,0)))))</f>
        <v>150</v>
      </c>
      <c r="AC148">
        <f>Y148-Z148-AA148-AB148</f>
        <v>33450</v>
      </c>
      <c r="AD148">
        <f>_xlfn.XLOOKUP(B148,'[3]may-2025'!$A:$A,'[3]may-2025'!$C:$C,0,0)</f>
        <v>31600</v>
      </c>
      <c r="AE148">
        <f>AD148*0.18</f>
        <v>5688</v>
      </c>
      <c r="AF148">
        <f>AD148*0.12</f>
        <v>3792</v>
      </c>
      <c r="AG148">
        <f>_xlfn.XLOOKUP(B148,'[3]may-2025'!$A:$A,'[3]may-2025'!$D:$D,0,0)</f>
        <v>0</v>
      </c>
      <c r="AH148">
        <f>_xlfn.XLOOKUP(B148,'[3]may-2025'!$A:$A,'[3]may-2025'!$G:$G,0,0)</f>
        <v>500</v>
      </c>
      <c r="AI148">
        <f>IF(AD148&gt;0,SUM(AD148:AH148),0)</f>
        <v>41580</v>
      </c>
      <c r="AJ148">
        <f>_xlfn.XLOOKUP(B148,'[3]may-2025'!$A:$A,'[3]may-2025'!$H:$H,0,0)</f>
        <v>2000</v>
      </c>
      <c r="AK148">
        <f>_xlfn.XLOOKUP(B148,'[3]may-2025'!$A:$A,'[3]may-2025'!$I:$I,0,0)</f>
        <v>0</v>
      </c>
      <c r="AL148">
        <f>IF($F148="YES",0,IF(AI148&gt;40000,200,IF(AI148&gt;25000,150,IF(AI148&gt;15000,130,IF(AI148&gt;10000,110,0)))))</f>
        <v>200</v>
      </c>
      <c r="AM148">
        <f>AI148-AJ148-AK148-AL148</f>
        <v>39380</v>
      </c>
      <c r="AN148">
        <f>_xlfn.XLOOKUP(B148,'[4]june-2025'!$A:$A,'[4]june-2025'!$C:$C,0,0)</f>
        <v>31600</v>
      </c>
      <c r="AO148">
        <f>AN148*0.18</f>
        <v>5688</v>
      </c>
      <c r="AP148">
        <f>AN148*0.12</f>
        <v>3792</v>
      </c>
      <c r="AQ148">
        <f>_xlfn.XLOOKUP(B148,'[4]june-2025'!$A:$A,'[4]june-2025'!$D:$D,0,0)</f>
        <v>0</v>
      </c>
      <c r="AR148">
        <f>_xlfn.XLOOKUP(B148,'[4]june-2025'!$A:$A,'[4]june-2025'!$G:$G,0,0)</f>
        <v>500</v>
      </c>
      <c r="AS148">
        <f>IF(AN148&gt;0,SUM(AN148:AR148),0)</f>
        <v>41580</v>
      </c>
      <c r="AT148">
        <f>_xlfn.XLOOKUP(B148,'[4]june-2025'!$A:$A,'[4]june-2025'!$H:$H,0,0)</f>
        <v>2000</v>
      </c>
      <c r="AU148">
        <f>_xlfn.XLOOKUP(B148,'[4]june-2025'!$A:$A,'[4]june-2025'!$I:$I,0,0)</f>
        <v>0</v>
      </c>
      <c r="AV148">
        <f>IF($F148="YES",0,IF(AS148&gt;40000,200,IF(AS148&gt;25000,150,IF(AS148&gt;15000,130,IF(AS148&gt;10000,110,0)))))</f>
        <v>200</v>
      </c>
      <c r="AW148">
        <f>AS148-AT148-AU148-AV148</f>
        <v>39380</v>
      </c>
      <c r="AX148">
        <f>_xlfn.XLOOKUP(B148,'[5]july-2025'!$A:$A,'[5]july-2025'!$C:$C,0,0)</f>
        <v>32500</v>
      </c>
      <c r="AY148">
        <f>AX148*0.18</f>
        <v>5850</v>
      </c>
      <c r="AZ148">
        <v>0</v>
      </c>
      <c r="BA148">
        <f>AX148*0.12</f>
        <v>3900</v>
      </c>
      <c r="BB148">
        <f>_xlfn.XLOOKUP(B148,'[5]july-2025'!$A:$A,'[5]july-2025'!$D:$D,0,0)</f>
        <v>0</v>
      </c>
      <c r="BC148">
        <f>_xlfn.XLOOKUP(B148,'[5]july-2025'!$A:$A,'[5]july-2025'!$G:$G,0,0)</f>
        <v>500</v>
      </c>
      <c r="BD148">
        <f>IF(AX148&gt;0,SUM(AX148:BC148),0)</f>
        <v>42750</v>
      </c>
      <c r="BE148">
        <f>_xlfn.XLOOKUP(B148,'[5]july-2025'!$A:$A,'[5]july-2025'!$H:$H,0,0)</f>
        <v>2000</v>
      </c>
      <c r="BF148">
        <f>_xlfn.XLOOKUP(B148,'[5]july-2025'!$A:$A,'[5]july-2025'!$I:$I,0,0)</f>
        <v>0</v>
      </c>
      <c r="BG148">
        <f>IF($F148="YES",0,IF(BD148&gt;40000,200,IF(BD148&gt;25000,150,IF(BD148&gt;15000,130,IF(BD148&gt;10000,110,0)))))</f>
        <v>200</v>
      </c>
      <c r="BH148">
        <f>BD148-BE148-BF148-BG148</f>
        <v>40550</v>
      </c>
      <c r="BI148">
        <f>_xlfn.XLOOKUP(B148,'[6]august-2025'!$A:$A,'[6]august-2025'!$C:$C,0,0)</f>
        <v>32500</v>
      </c>
      <c r="BJ148">
        <f>BI148*0.18</f>
        <v>5850</v>
      </c>
      <c r="BK148">
        <f>BI148*0.12</f>
        <v>3900</v>
      </c>
      <c r="BL148">
        <f>_xlfn.XLOOKUP(B148,'[6]august-2025'!$A:$A,'[6]august-2025'!$D:$D,0,0)</f>
        <v>0</v>
      </c>
      <c r="BM148">
        <f>_xlfn.XLOOKUP(B148,'[6]august-2025'!$A:$A,'[6]august-2025'!$G:$G,0,0)</f>
        <v>500</v>
      </c>
      <c r="BN148">
        <f>IF(BI148&gt;0,SUM(BI148:BM148),0)</f>
        <v>42750</v>
      </c>
      <c r="BO148">
        <f>_xlfn.XLOOKUP(B148,'[6]august-2025'!$A:$A,'[6]august-2025'!$H:$H,0,0)</f>
        <v>2000</v>
      </c>
      <c r="BP148">
        <f>_xlfn.XLOOKUP(B148,'[6]august-2025'!$A:$A,'[6]august-2025'!$I:$I,0,0)</f>
        <v>0</v>
      </c>
      <c r="BQ148">
        <f>IF($F148="YES",0,IF(BN148&gt;40000,200,IF(BN148&gt;25000,150,IF(BN148&gt;15000,130,IF(BN148&gt;10000,110,0)))))</f>
        <v>200</v>
      </c>
      <c r="BR148">
        <f>BN148-BO148-BP148-BQ148</f>
        <v>40550</v>
      </c>
      <c r="BS148">
        <f>_xlfn.XLOOKUP(B148,'[7]september-2025'!$A:$A,'[7]september-2025'!$C:$C,0,0)</f>
        <v>32500</v>
      </c>
      <c r="BT148">
        <f>BS148*0.18</f>
        <v>5850</v>
      </c>
      <c r="BU148">
        <f>BS148*0.12</f>
        <v>3900</v>
      </c>
      <c r="BV148">
        <f>_xlfn.XLOOKUP(B148,'[7]september-2025'!$A:$A,'[7]september-2025'!$D:$D,0,0)</f>
        <v>0</v>
      </c>
      <c r="BW148">
        <f>_xlfn.XLOOKUP(B148,'[7]september-2025'!$A:$A,'[7]september-2025'!$G:$G,0,0)</f>
        <v>500</v>
      </c>
      <c r="BX148">
        <f>IF(BS148&gt;0,SUM(BS148:BW148),0)</f>
        <v>42750</v>
      </c>
      <c r="BY148">
        <f>_xlfn.XLOOKUP(B148,'[7]september-2025'!$A:$A,'[7]september-2025'!$H:$H,0,0)</f>
        <v>2000</v>
      </c>
      <c r="BZ148">
        <f>_xlfn.XLOOKUP(B148,'[7]september-2025'!$A:$A,'[7]september-2025'!$I:$I,0,0)</f>
        <v>0</v>
      </c>
      <c r="CA148">
        <f>IF($F148="YES",0,IF(BX148&gt;40000,200,IF(BX148&gt;25000,150,IF(BX148&gt;15000,130,IF(BX148&gt;10000,110,0)))))</f>
        <v>200</v>
      </c>
      <c r="CB148">
        <f>BX148-BY148-BZ148-CA148</f>
        <v>40550</v>
      </c>
      <c r="CC148">
        <f>_xlfn.XLOOKUP(B148,'[8]october-2025'!$A:$A,'[8]october-2025'!$C:$C,0,0)</f>
        <v>32500</v>
      </c>
      <c r="CD148">
        <f>CC148*0.18</f>
        <v>5850</v>
      </c>
      <c r="CE148">
        <f>CC148*0.12</f>
        <v>3900</v>
      </c>
      <c r="CF148">
        <f>_xlfn.XLOOKUP(B148,'[8]october-2025'!$A:$A,'[8]october-2025'!$D:$D,0,0)</f>
        <v>0</v>
      </c>
      <c r="CG148">
        <f>_xlfn.XLOOKUP(B148,'[8]october-2025'!$A:$A,'[8]october-2025'!$G:$G,0,0)</f>
        <v>500</v>
      </c>
      <c r="CH148">
        <f>IF(CC148&gt;0,SUM(CC148:CG148),0)</f>
        <v>42750</v>
      </c>
      <c r="CI148">
        <f>_xlfn.XLOOKUP(B148,'[8]october-2025'!$A:$A,'[8]october-2025'!$H:$H,0,0)</f>
        <v>2000</v>
      </c>
      <c r="CJ148">
        <f>_xlfn.XLOOKUP(B148,'[8]october-2025'!$A:$A,'[8]october-2025'!$I:$I,0,0)</f>
        <v>0</v>
      </c>
      <c r="CK148">
        <f>IF($F148="YES",0,IF(CH148&gt;40000,200,IF(CH148&gt;25000,150,IF(CH148&gt;15000,130,IF(CH148&gt;10000,110,0)))))</f>
        <v>200</v>
      </c>
      <c r="CL148">
        <f>CH148-CI148-CJ148-CK148</f>
        <v>40550</v>
      </c>
      <c r="CM148">
        <f>_xlfn.XLOOKUP(B148,'[9]november-2025'!$A:$A,'[9]november-2025'!$C:$C,0,0)</f>
        <v>32500</v>
      </c>
      <c r="CN148">
        <f>CM148*0.18</f>
        <v>5850</v>
      </c>
      <c r="CO148">
        <f>CM148*0.12</f>
        <v>3900</v>
      </c>
      <c r="CP148">
        <f>_xlfn.XLOOKUP(B148,'[9]november-2025'!$A:$A,'[9]november-2025'!$D:$D,0,0)</f>
        <v>0</v>
      </c>
      <c r="CQ148">
        <f>_xlfn.XLOOKUP(B148,'[9]november-2025'!$A:$A,'[9]november-2025'!$G:$G,0,0)</f>
        <v>500</v>
      </c>
      <c r="CR148">
        <f>IF(CM148&gt;0,SUM(CM148:CQ148),0)</f>
        <v>42750</v>
      </c>
      <c r="CS148">
        <f>_xlfn.XLOOKUP(B148,'[9]november-2025'!$A:$A,'[9]november-2025'!$H:$H,0,0)</f>
        <v>2000</v>
      </c>
      <c r="CT148">
        <f>_xlfn.XLOOKUP(B148,'[9]november-2025'!$A:$A,'[9]november-2025'!$I:$I,0,0)</f>
        <v>0</v>
      </c>
      <c r="CU148">
        <f>IF($F148="YES",0,IF(CR148&gt;40000,200,IF(CR148&gt;25000,150,IF(CR148&gt;15000,130,IF(CR148&gt;10000,110,0)))))</f>
        <v>200</v>
      </c>
      <c r="CV148">
        <f>CR148-CS148-CT148-CU148</f>
        <v>40550</v>
      </c>
      <c r="CW148">
        <f>_xlfn.XLOOKUP(B148,'[10]december-2025'!$A:$A,'[10]december-2025'!$C:$C,0,0)</f>
        <v>32500</v>
      </c>
      <c r="CX148">
        <f>ROUND(CW148*0.18,0)</f>
        <v>5850</v>
      </c>
      <c r="CY148">
        <f>ROUND(CW148*0.12,0)</f>
        <v>3900</v>
      </c>
      <c r="CZ148">
        <f>_xlfn.XLOOKUP(B148,'[10]december-2025'!$A:$A,'[10]december-2025'!$D:$D,0,0)</f>
        <v>0</v>
      </c>
      <c r="DA148">
        <f>_xlfn.XLOOKUP(B148,'[10]december-2025'!$A:$A,'[10]december-2025'!$G:$G,0,0)</f>
        <v>500</v>
      </c>
      <c r="DB148">
        <f>IF(CW148&gt;0,SUM(CW148:DA148),0)</f>
        <v>42750</v>
      </c>
      <c r="DC148">
        <f>_xlfn.XLOOKUP(B148,'[10]december-2025'!$A:$A,'[10]december-2025'!$H:$H,0,0)</f>
        <v>2000</v>
      </c>
      <c r="DD148">
        <f>_xlfn.XLOOKUP(B148,'[10]december-2025'!$A:$A,'[10]december-2025'!$I:$I,0,0)</f>
        <v>0</v>
      </c>
      <c r="DE148">
        <f>IF($F148="YES",0,IF(DB148&gt;40000,200,IF(DB148&gt;25000,150,IF(DB148&gt;15000,130,IF(DB148&gt;10000,110,0)))))</f>
        <v>200</v>
      </c>
      <c r="DF148">
        <f>DB148-DC148-DD148-DE148</f>
        <v>40550</v>
      </c>
      <c r="DG148">
        <f>_xlfn.XLOOKUP(B148,'[11]january-2026'!$A:$A,'[11]january-2026'!$C:$C,0,0)</f>
        <v>32500</v>
      </c>
      <c r="DH148">
        <f>DG148*0.18</f>
        <v>5850</v>
      </c>
      <c r="DI148">
        <f>DG148*0.12</f>
        <v>3900</v>
      </c>
      <c r="DJ148">
        <f>_xlfn.XLOOKUP(B148,'[11]january-2026'!$A:$A,'[11]january-2026'!$D:$D,0,0)</f>
        <v>0</v>
      </c>
      <c r="DK148">
        <f>_xlfn.XLOOKUP(B148,'[11]january-2026'!$A:$A,'[11]january-2026'!$G:$G,0,0)</f>
        <v>500</v>
      </c>
      <c r="DL148">
        <f>IF(DG148&gt;0,SUM(DG148:DK148),0)</f>
        <v>42750</v>
      </c>
      <c r="DM148">
        <f>_xlfn.XLOOKUP(B148,'[11]january-2026'!$A:$A,'[11]january-2026'!$H:$H,0,0)</f>
        <v>2000</v>
      </c>
      <c r="DN148">
        <f>_xlfn.XLOOKUP(B148,'[11]january-2026'!$A:$A,'[11]january-2026'!$I:$I,0,0)</f>
        <v>0</v>
      </c>
      <c r="DO148">
        <f>IF($F148="YES",0,IF(DL148&gt;40000,200,IF(DL148&gt;25000,150,IF(DL148&gt;15000,130,IF(DL148&gt;10000,110,0)))))</f>
        <v>200</v>
      </c>
      <c r="DP148">
        <f>DL148-DM148-DN148-DO148</f>
        <v>40550</v>
      </c>
      <c r="DQ148">
        <f>_xlfn.XLOOKUP(B148,'[12]february-2026'!$A:$A,'[12]february-2026'!$C:$C,0,0)</f>
        <v>32500</v>
      </c>
      <c r="DR148">
        <f>DQ148*0.18</f>
        <v>5850</v>
      </c>
      <c r="DS148">
        <f>DQ148*0.12</f>
        <v>3900</v>
      </c>
      <c r="DT148">
        <f>_xlfn.XLOOKUP(B148,'[12]february-2026'!$A:$A,'[12]february-2026'!$D:$D,0,0)</f>
        <v>0</v>
      </c>
      <c r="DU148">
        <f>_xlfn.XLOOKUP(B148,'[12]february-2026'!$A:$A,'[12]february-2026'!$G:$G,0,0)</f>
        <v>500</v>
      </c>
      <c r="DV148">
        <f>IF(DQ148&gt;0,SUM(DQ148:DU148),0)</f>
        <v>42750</v>
      </c>
      <c r="DW148">
        <f>_xlfn.XLOOKUP(B148,'[12]february-2026'!$A:$A,'[12]february-2026'!$H:$H,0,0)</f>
        <v>2000</v>
      </c>
      <c r="DX148">
        <f>_xlfn.XLOOKUP(B148,'[12]february-2026'!$A:$A,'[12]february-2026'!$I:$I,0,0)</f>
        <v>0</v>
      </c>
      <c r="DY148">
        <f>IF($F148="YES",0,IF(DV148&gt;40000,200,IF(DV148&gt;25000,150,IF(DV148&gt;15000,130,IF(DV148&gt;10000,110,0)))))</f>
        <v>200</v>
      </c>
      <c r="DZ148">
        <f>DV148-DW148-DX148-DY148</f>
        <v>40550</v>
      </c>
      <c r="EA148">
        <f>DV148+DL148+DB148+CR148+CH148+BX148+BN148+BD148+AS148+AI148+Y148+O148+H148+I148</f>
        <v>502080</v>
      </c>
      <c r="EB148">
        <f>DY148+DO148+DE148+CU148+CK148+CA148+BQ148+BG148+AV148+AL148+AB148+R148</f>
        <v>2300</v>
      </c>
      <c r="EC148">
        <f>IF(EA148&gt;0,50000,0)</f>
        <v>50000</v>
      </c>
      <c r="ED148">
        <v>0</v>
      </c>
      <c r="EE148">
        <f>EA148-EB148-EC148</f>
        <v>449780</v>
      </c>
      <c r="EF148">
        <f>DW148+DM148+DC148+CS148+CI148+BY148+BO148+BE148+AT148+AJ148+Z148+P148</f>
        <v>24000</v>
      </c>
      <c r="EG148">
        <f>DX148+DN148+DD148+CT148+CJ148+BZ148+BP148+BF148+AU148+AK148+AA148+Q148</f>
        <v>0</v>
      </c>
      <c r="EH148">
        <v>0</v>
      </c>
      <c r="EI148">
        <v>0</v>
      </c>
      <c r="EJ148">
        <v>0</v>
      </c>
      <c r="EK148">
        <v>0</v>
      </c>
      <c r="EL148">
        <v>0</v>
      </c>
      <c r="EM148">
        <v>0</v>
      </c>
      <c r="EN148">
        <v>0</v>
      </c>
      <c r="EO148">
        <v>0</v>
      </c>
      <c r="EP148">
        <v>0</v>
      </c>
      <c r="EQ148">
        <v>0</v>
      </c>
      <c r="ER148">
        <f>SUM(EF148:EQ148)</f>
        <v>24000</v>
      </c>
      <c r="ES148">
        <f>IF(ER148&gt;=150000,150000,ER148)</f>
        <v>24000</v>
      </c>
      <c r="ET148">
        <f>EE148-ES148</f>
        <v>425780</v>
      </c>
      <c r="EU148">
        <v>0</v>
      </c>
      <c r="EV148">
        <v>0</v>
      </c>
      <c r="EW148">
        <v>0</v>
      </c>
      <c r="EX148">
        <v>0</v>
      </c>
      <c r="EY148">
        <v>0</v>
      </c>
      <c r="EZ148">
        <v>0</v>
      </c>
      <c r="FA148">
        <v>0</v>
      </c>
      <c r="FB148">
        <f>SUM(EU148:FA148)+(IF(F148="YES",50000,0))</f>
        <v>0</v>
      </c>
      <c r="FC148">
        <f>ET148-FB148</f>
        <v>425780</v>
      </c>
      <c r="FD148">
        <f>ROUND(IF(FC148&gt;0,IF(FC148&gt;500000,12500,(FC148-250000)*0.05),0),0)</f>
        <v>8789</v>
      </c>
      <c r="FE148">
        <f>IF(ROUND(IF(FC148&gt;0,IF(FC148&gt;1000000,25000,(FC148-500000)*0.2),0),0)&lt;0,0,ROUND(IF(FC148&gt;0,IF(FC148&gt;1000000,25000,(FC148-500000)*0.2),0),0))</f>
        <v>0</v>
      </c>
      <c r="FF148">
        <f>FD148+FE148</f>
        <v>8789</v>
      </c>
      <c r="FG148">
        <f>IF(FF148&lt;12500,0,FF148)</f>
        <v>0</v>
      </c>
      <c r="FH148">
        <f>FG148*0.04</f>
        <v>0</v>
      </c>
      <c r="FI148">
        <f>ROUND(FH148+FG148,0)</f>
        <v>0</v>
      </c>
      <c r="FJ148">
        <v>0</v>
      </c>
      <c r="FK148">
        <f>FI148-FJ148</f>
        <v>0</v>
      </c>
      <c r="FL148" t="b">
        <f>IF(EA148&gt;500000,TRUE,FALSE)</f>
        <v>1</v>
      </c>
      <c r="FM148">
        <f ca="1">IF(FL148,RANDBETWEEN(500,1000),RANDBETWEEN(1000,3000))</f>
        <v>595</v>
      </c>
      <c r="FN148">
        <f ca="1">EA148+FM148</f>
        <v>502675</v>
      </c>
      <c r="FO148">
        <f>IF(EA148&gt;0,75000,0)</f>
        <v>75000</v>
      </c>
      <c r="FP148">
        <f ca="1">FN148-FO148</f>
        <v>427675</v>
      </c>
      <c r="FQ148">
        <f ca="1">IF(FP148&gt;2400000,FP148-2400000,0)</f>
        <v>0</v>
      </c>
      <c r="FR148">
        <f ca="1">FQ148*0.3</f>
        <v>0</v>
      </c>
      <c r="FS148">
        <f ca="1">IF(FP148&gt;2000000,FP148-2000000,0)</f>
        <v>0</v>
      </c>
      <c r="FT148">
        <f ca="1">FS148*0.25</f>
        <v>0</v>
      </c>
      <c r="FU148">
        <f ca="1">IF(FP148&gt;1600000,FP148-1600000-FQ148,0)</f>
        <v>0</v>
      </c>
      <c r="FV148">
        <f ca="1">FU148*0.2</f>
        <v>0</v>
      </c>
      <c r="FW148">
        <f ca="1">IF(FP148&gt;1200000,FP148-1200000-IF(F148="YES",50000,0)-FU148,0)</f>
        <v>0</v>
      </c>
      <c r="FX148">
        <f ca="1">FW148*0.15</f>
        <v>0</v>
      </c>
      <c r="FY148">
        <f ca="1">IF(FP148&gt;800000,FP148-800000-FQ148-FU148-FW148,0)</f>
        <v>0</v>
      </c>
      <c r="FZ148">
        <f ca="1">FY148*0.1</f>
        <v>0</v>
      </c>
      <c r="GA148">
        <f ca="1">IF(FP148&gt;400000,FP148-400000-FQ148-FU148-FW148-FY148,0)</f>
        <v>27675</v>
      </c>
      <c r="GB148">
        <f ca="1">GA148*0.05</f>
        <v>1383.75</v>
      </c>
      <c r="GC148">
        <f ca="1">ROUND(FR148+FT148+FV148+FX148+FZ148+GB148,0)</f>
        <v>1384</v>
      </c>
      <c r="GD148">
        <f ca="1">IF(FP148&gt;1200000,FP148,0)</f>
        <v>0</v>
      </c>
      <c r="GE148">
        <f ca="1">IF(FP148&gt;1200000,GD148-1200000,0)</f>
        <v>0</v>
      </c>
      <c r="GF148">
        <f ca="1">IF(FP148&lt;1200001,MIN(GC148,60000),0)</f>
        <v>1384</v>
      </c>
      <c r="GG148">
        <f ca="1">IF(FP148&gt;1200000,GC148-GE148,0)</f>
        <v>0</v>
      </c>
      <c r="GH148" t="b">
        <f ca="1">IF(GG148&gt;0,TRUE,FALSE)</f>
        <v>0</v>
      </c>
      <c r="GI148">
        <f ca="1">IF(GH148,GG148,0)</f>
        <v>0</v>
      </c>
      <c r="GJ148">
        <f ca="1">GF148+GI148</f>
        <v>1384</v>
      </c>
      <c r="GK148">
        <f ca="1">ROUND(GC148-GJ148,0)</f>
        <v>0</v>
      </c>
      <c r="GL148">
        <f ca="1">GK148*0.04</f>
        <v>0</v>
      </c>
      <c r="GM148">
        <f ca="1">ROUNDUP(GK148+GL148,0)</f>
        <v>0</v>
      </c>
    </row>
    <row r="149" spans="1:195" x14ac:dyDescent="0.25">
      <c r="A149">
        <f>_xlfn.AGGREGATE(3,5,$B$2:B149)</f>
        <v>148</v>
      </c>
      <c r="B149" t="s">
        <v>409</v>
      </c>
      <c r="C149" t="s">
        <v>410</v>
      </c>
      <c r="D149" t="s">
        <v>793</v>
      </c>
      <c r="E149" t="s">
        <v>833</v>
      </c>
      <c r="F149" t="s">
        <v>959</v>
      </c>
      <c r="G149" t="s">
        <v>919</v>
      </c>
      <c r="H149">
        <f>IF(_xlfn.DAYS("31-03-2025",G149)&gt;=180,6800,0)</f>
        <v>6800</v>
      </c>
      <c r="I149">
        <f>_xlfn.XLOOKUP(B149,'[1]march-2025'!$A:$A,'[1]march-2025'!$J:$J,0,0)</f>
        <v>0</v>
      </c>
      <c r="J149">
        <f>_xlfn.XLOOKUP(B149,'[1]march-2025'!$A:$A,'[1]march-2025'!$C:$C,0,0)</f>
        <v>27000</v>
      </c>
      <c r="K149">
        <f>J149*0.14</f>
        <v>3780.0000000000005</v>
      </c>
      <c r="L149">
        <f>J149*0.12</f>
        <v>3240</v>
      </c>
      <c r="M149">
        <f>_xlfn.XLOOKUP(B149,'[1]march-2025'!$A:$A,'[1]march-2025'!$D:$D,0,0)</f>
        <v>0</v>
      </c>
      <c r="N149">
        <f>_xlfn.XLOOKUP(B149,'[1]march-2025'!$A:$A,'[1]march-2025'!$G:$G,0,0)</f>
        <v>500</v>
      </c>
      <c r="O149">
        <f>IF(J149&gt;0,SUM(J149:N149),0)</f>
        <v>34520</v>
      </c>
      <c r="P149">
        <f>_xlfn.XLOOKUP(B149,'[1]march-2025'!$A:$A,'[1]march-2025'!$H:$H,0,0)</f>
        <v>2000</v>
      </c>
      <c r="Q149">
        <f>_xlfn.XLOOKUP(B149,'[1]march-2025'!$A:$A,'[1]march-2025'!$I:$I,0,0)</f>
        <v>0</v>
      </c>
      <c r="R149">
        <f>IF($F149="YES",0,IF(O149&gt;40000,200,IF(O149&gt;25000,150,IF(O149&gt;15000,130,IF(O149&gt;10000,110,0)))))</f>
        <v>150</v>
      </c>
      <c r="S149">
        <f>O149-P149-Q149-R149</f>
        <v>32370</v>
      </c>
      <c r="T149">
        <f>_xlfn.XLOOKUP(B149,'[2]april-2025'!$A:$A,'[2]april-2025'!$C:$C,0,0)</f>
        <v>27000</v>
      </c>
      <c r="U149">
        <f>T149*0.18</f>
        <v>4860</v>
      </c>
      <c r="V149">
        <f>T149*0.12</f>
        <v>3240</v>
      </c>
      <c r="W149">
        <f>_xlfn.XLOOKUP(B149,'[2]april-2025'!$A:$A,'[2]april-2025'!$D:$D,0,0)</f>
        <v>0</v>
      </c>
      <c r="X149">
        <f>_xlfn.XLOOKUP(B149,'[2]april-2025'!$A:$A,'[2]april-2025'!$G:$G,0,0)</f>
        <v>500</v>
      </c>
      <c r="Y149">
        <f>IF(T149&gt;0,SUM(T149:X149),0)</f>
        <v>35600</v>
      </c>
      <c r="Z149">
        <f>_xlfn.XLOOKUP(B149,'[2]april-2025'!$A:$A,'[2]april-2025'!$H:$H,0,0)</f>
        <v>2000</v>
      </c>
      <c r="AA149">
        <f>_xlfn.XLOOKUP(B149,'[2]april-2025'!$A:$A,'[2]april-2025'!$I:$I,0,0)</f>
        <v>0</v>
      </c>
      <c r="AB149">
        <f>IF($F149="YES",0,IF(Y149&gt;40000,200,IF(Y149&gt;25000,150,IF(Y149&gt;15000,130,IF(Y149&gt;10000,110,0)))))</f>
        <v>150</v>
      </c>
      <c r="AC149">
        <f>Y149-Z149-AA149-AB149</f>
        <v>33450</v>
      </c>
      <c r="AD149">
        <f>_xlfn.XLOOKUP(B149,'[3]may-2025'!$A:$A,'[3]may-2025'!$C:$C,0,0)</f>
        <v>31600</v>
      </c>
      <c r="AE149">
        <f>AD149*0.18</f>
        <v>5688</v>
      </c>
      <c r="AF149">
        <f>AD149*0.12</f>
        <v>3792</v>
      </c>
      <c r="AG149">
        <f>_xlfn.XLOOKUP(B149,'[3]may-2025'!$A:$A,'[3]may-2025'!$D:$D,0,0)</f>
        <v>0</v>
      </c>
      <c r="AH149">
        <f>_xlfn.XLOOKUP(B149,'[3]may-2025'!$A:$A,'[3]may-2025'!$G:$G,0,0)</f>
        <v>500</v>
      </c>
      <c r="AI149">
        <f>IF(AD149&gt;0,SUM(AD149:AH149),0)</f>
        <v>41580</v>
      </c>
      <c r="AJ149">
        <f>_xlfn.XLOOKUP(B149,'[3]may-2025'!$A:$A,'[3]may-2025'!$H:$H,0,0)</f>
        <v>2000</v>
      </c>
      <c r="AK149">
        <f>_xlfn.XLOOKUP(B149,'[3]may-2025'!$A:$A,'[3]may-2025'!$I:$I,0,0)</f>
        <v>0</v>
      </c>
      <c r="AL149">
        <f>IF($F149="YES",0,IF(AI149&gt;40000,200,IF(AI149&gt;25000,150,IF(AI149&gt;15000,130,IF(AI149&gt;10000,110,0)))))</f>
        <v>200</v>
      </c>
      <c r="AM149">
        <f>AI149-AJ149-AK149-AL149</f>
        <v>39380</v>
      </c>
      <c r="AN149">
        <f>_xlfn.XLOOKUP(B149,'[4]june-2025'!$A:$A,'[4]june-2025'!$C:$C,0,0)</f>
        <v>31600</v>
      </c>
      <c r="AO149">
        <f>AN149*0.18</f>
        <v>5688</v>
      </c>
      <c r="AP149">
        <f>AN149*0.12</f>
        <v>3792</v>
      </c>
      <c r="AQ149">
        <f>_xlfn.XLOOKUP(B149,'[4]june-2025'!$A:$A,'[4]june-2025'!$D:$D,0,0)</f>
        <v>0</v>
      </c>
      <c r="AR149">
        <f>_xlfn.XLOOKUP(B149,'[4]june-2025'!$A:$A,'[4]june-2025'!$G:$G,0,0)</f>
        <v>500</v>
      </c>
      <c r="AS149">
        <f>IF(AN149&gt;0,SUM(AN149:AR149),0)</f>
        <v>41580</v>
      </c>
      <c r="AT149">
        <f>_xlfn.XLOOKUP(B149,'[4]june-2025'!$A:$A,'[4]june-2025'!$H:$H,0,0)</f>
        <v>2000</v>
      </c>
      <c r="AU149">
        <f>_xlfn.XLOOKUP(B149,'[4]june-2025'!$A:$A,'[4]june-2025'!$I:$I,0,0)</f>
        <v>0</v>
      </c>
      <c r="AV149">
        <f>IF($F149="YES",0,IF(AS149&gt;40000,200,IF(AS149&gt;25000,150,IF(AS149&gt;15000,130,IF(AS149&gt;10000,110,0)))))</f>
        <v>200</v>
      </c>
      <c r="AW149">
        <f>AS149-AT149-AU149-AV149</f>
        <v>39380</v>
      </c>
      <c r="AX149">
        <f>_xlfn.XLOOKUP(B149,'[5]july-2025'!$A:$A,'[5]july-2025'!$C:$C,0,0)</f>
        <v>32500</v>
      </c>
      <c r="AY149">
        <f>AX149*0.18</f>
        <v>5850</v>
      </c>
      <c r="AZ149">
        <v>0</v>
      </c>
      <c r="BA149">
        <f>AX149*0.12</f>
        <v>3900</v>
      </c>
      <c r="BB149">
        <f>_xlfn.XLOOKUP(B149,'[5]july-2025'!$A:$A,'[5]july-2025'!$D:$D,0,0)</f>
        <v>0</v>
      </c>
      <c r="BC149">
        <f>_xlfn.XLOOKUP(B149,'[5]july-2025'!$A:$A,'[5]july-2025'!$G:$G,0,0)</f>
        <v>500</v>
      </c>
      <c r="BD149">
        <f>IF(AX149&gt;0,SUM(AX149:BC149),0)</f>
        <v>42750</v>
      </c>
      <c r="BE149">
        <f>_xlfn.XLOOKUP(B149,'[5]july-2025'!$A:$A,'[5]july-2025'!$H:$H,0,0)</f>
        <v>2000</v>
      </c>
      <c r="BF149">
        <f>_xlfn.XLOOKUP(B149,'[5]july-2025'!$A:$A,'[5]july-2025'!$I:$I,0,0)</f>
        <v>0</v>
      </c>
      <c r="BG149">
        <f>IF($F149="YES",0,IF(BD149&gt;40000,200,IF(BD149&gt;25000,150,IF(BD149&gt;15000,130,IF(BD149&gt;10000,110,0)))))</f>
        <v>200</v>
      </c>
      <c r="BH149">
        <f>BD149-BE149-BF149-BG149</f>
        <v>40550</v>
      </c>
      <c r="BI149">
        <f>_xlfn.XLOOKUP(B149,'[6]august-2025'!$A:$A,'[6]august-2025'!$C:$C,0,0)</f>
        <v>32500</v>
      </c>
      <c r="BJ149">
        <f>BI149*0.18</f>
        <v>5850</v>
      </c>
      <c r="BK149">
        <f>BI149*0.12</f>
        <v>3900</v>
      </c>
      <c r="BL149">
        <f>_xlfn.XLOOKUP(B149,'[6]august-2025'!$A:$A,'[6]august-2025'!$D:$D,0,0)</f>
        <v>0</v>
      </c>
      <c r="BM149">
        <f>_xlfn.XLOOKUP(B149,'[6]august-2025'!$A:$A,'[6]august-2025'!$G:$G,0,0)</f>
        <v>500</v>
      </c>
      <c r="BN149">
        <f>IF(BI149&gt;0,SUM(BI149:BM149),0)</f>
        <v>42750</v>
      </c>
      <c r="BO149">
        <f>_xlfn.XLOOKUP(B149,'[6]august-2025'!$A:$A,'[6]august-2025'!$H:$H,0,0)</f>
        <v>2000</v>
      </c>
      <c r="BP149">
        <f>_xlfn.XLOOKUP(B149,'[6]august-2025'!$A:$A,'[6]august-2025'!$I:$I,0,0)</f>
        <v>0</v>
      </c>
      <c r="BQ149">
        <f>IF($F149="YES",0,IF(BN149&gt;40000,200,IF(BN149&gt;25000,150,IF(BN149&gt;15000,130,IF(BN149&gt;10000,110,0)))))</f>
        <v>200</v>
      </c>
      <c r="BR149">
        <f>BN149-BO149-BP149-BQ149</f>
        <v>40550</v>
      </c>
      <c r="BS149">
        <f>_xlfn.XLOOKUP(B149,'[7]september-2025'!$A:$A,'[7]september-2025'!$C:$C,0,0)</f>
        <v>32500</v>
      </c>
      <c r="BT149">
        <f>BS149*0.18</f>
        <v>5850</v>
      </c>
      <c r="BU149">
        <f>BS149*0.12</f>
        <v>3900</v>
      </c>
      <c r="BV149">
        <f>_xlfn.XLOOKUP(B149,'[7]september-2025'!$A:$A,'[7]september-2025'!$D:$D,0,0)</f>
        <v>0</v>
      </c>
      <c r="BW149">
        <f>_xlfn.XLOOKUP(B149,'[7]september-2025'!$A:$A,'[7]september-2025'!$G:$G,0,0)</f>
        <v>500</v>
      </c>
      <c r="BX149">
        <f>IF(BS149&gt;0,SUM(BS149:BW149),0)</f>
        <v>42750</v>
      </c>
      <c r="BY149">
        <f>_xlfn.XLOOKUP(B149,'[7]september-2025'!$A:$A,'[7]september-2025'!$H:$H,0,0)</f>
        <v>2000</v>
      </c>
      <c r="BZ149">
        <f>_xlfn.XLOOKUP(B149,'[7]september-2025'!$A:$A,'[7]september-2025'!$I:$I,0,0)</f>
        <v>0</v>
      </c>
      <c r="CA149">
        <f>IF($F149="YES",0,IF(BX149&gt;40000,200,IF(BX149&gt;25000,150,IF(BX149&gt;15000,130,IF(BX149&gt;10000,110,0)))))</f>
        <v>200</v>
      </c>
      <c r="CB149">
        <f>BX149-BY149-BZ149-CA149</f>
        <v>40550</v>
      </c>
      <c r="CC149">
        <f>_xlfn.XLOOKUP(B149,'[8]october-2025'!$A:$A,'[8]october-2025'!$C:$C,0,0)</f>
        <v>32500</v>
      </c>
      <c r="CD149">
        <f>CC149*0.18</f>
        <v>5850</v>
      </c>
      <c r="CE149">
        <f>CC149*0.12</f>
        <v>3900</v>
      </c>
      <c r="CF149">
        <f>_xlfn.XLOOKUP(B149,'[8]october-2025'!$A:$A,'[8]october-2025'!$D:$D,0,0)</f>
        <v>0</v>
      </c>
      <c r="CG149">
        <f>_xlfn.XLOOKUP(B149,'[8]october-2025'!$A:$A,'[8]october-2025'!$G:$G,0,0)</f>
        <v>500</v>
      </c>
      <c r="CH149">
        <f>IF(CC149&gt;0,SUM(CC149:CG149),0)</f>
        <v>42750</v>
      </c>
      <c r="CI149">
        <f>_xlfn.XLOOKUP(B149,'[8]october-2025'!$A:$A,'[8]october-2025'!$H:$H,0,0)</f>
        <v>2000</v>
      </c>
      <c r="CJ149">
        <f>_xlfn.XLOOKUP(B149,'[8]october-2025'!$A:$A,'[8]october-2025'!$I:$I,0,0)</f>
        <v>0</v>
      </c>
      <c r="CK149">
        <f>IF($F149="YES",0,IF(CH149&gt;40000,200,IF(CH149&gt;25000,150,IF(CH149&gt;15000,130,IF(CH149&gt;10000,110,0)))))</f>
        <v>200</v>
      </c>
      <c r="CL149">
        <f>CH149-CI149-CJ149-CK149</f>
        <v>40550</v>
      </c>
      <c r="CM149">
        <f>_xlfn.XLOOKUP(B149,'[9]november-2025'!$A:$A,'[9]november-2025'!$C:$C,0,0)</f>
        <v>32500</v>
      </c>
      <c r="CN149">
        <f>CM149*0.18</f>
        <v>5850</v>
      </c>
      <c r="CO149">
        <f>CM149*0.12</f>
        <v>3900</v>
      </c>
      <c r="CP149">
        <f>_xlfn.XLOOKUP(B149,'[9]november-2025'!$A:$A,'[9]november-2025'!$D:$D,0,0)</f>
        <v>0</v>
      </c>
      <c r="CQ149">
        <f>_xlfn.XLOOKUP(B149,'[9]november-2025'!$A:$A,'[9]november-2025'!$G:$G,0,0)</f>
        <v>500</v>
      </c>
      <c r="CR149">
        <f>IF(CM149&gt;0,SUM(CM149:CQ149),0)</f>
        <v>42750</v>
      </c>
      <c r="CS149">
        <f>_xlfn.XLOOKUP(B149,'[9]november-2025'!$A:$A,'[9]november-2025'!$H:$H,0,0)</f>
        <v>2000</v>
      </c>
      <c r="CT149">
        <f>_xlfn.XLOOKUP(B149,'[9]november-2025'!$A:$A,'[9]november-2025'!$I:$I,0,0)</f>
        <v>0</v>
      </c>
      <c r="CU149">
        <f>IF($F149="YES",0,IF(CR149&gt;40000,200,IF(CR149&gt;25000,150,IF(CR149&gt;15000,130,IF(CR149&gt;10000,110,0)))))</f>
        <v>200</v>
      </c>
      <c r="CV149">
        <f>CR149-CS149-CT149-CU149</f>
        <v>40550</v>
      </c>
      <c r="CW149">
        <f>_xlfn.XLOOKUP(B149,'[10]december-2025'!$A:$A,'[10]december-2025'!$C:$C,0,0)</f>
        <v>32500</v>
      </c>
      <c r="CX149">
        <f>ROUND(CW149*0.18,0)</f>
        <v>5850</v>
      </c>
      <c r="CY149">
        <f>ROUND(CW149*0.12,0)</f>
        <v>3900</v>
      </c>
      <c r="CZ149">
        <f>_xlfn.XLOOKUP(B149,'[10]december-2025'!$A:$A,'[10]december-2025'!$D:$D,0,0)</f>
        <v>0</v>
      </c>
      <c r="DA149">
        <f>_xlfn.XLOOKUP(B149,'[10]december-2025'!$A:$A,'[10]december-2025'!$G:$G,0,0)</f>
        <v>500</v>
      </c>
      <c r="DB149">
        <f>IF(CW149&gt;0,SUM(CW149:DA149),0)</f>
        <v>42750</v>
      </c>
      <c r="DC149">
        <f>_xlfn.XLOOKUP(B149,'[10]december-2025'!$A:$A,'[10]december-2025'!$H:$H,0,0)</f>
        <v>2000</v>
      </c>
      <c r="DD149">
        <f>_xlfn.XLOOKUP(B149,'[10]december-2025'!$A:$A,'[10]december-2025'!$I:$I,0,0)</f>
        <v>0</v>
      </c>
      <c r="DE149">
        <f>IF($F149="YES",0,IF(DB149&gt;40000,200,IF(DB149&gt;25000,150,IF(DB149&gt;15000,130,IF(DB149&gt;10000,110,0)))))</f>
        <v>200</v>
      </c>
      <c r="DF149">
        <f>DB149-DC149-DD149-DE149</f>
        <v>40550</v>
      </c>
      <c r="DG149">
        <f>_xlfn.XLOOKUP(B149,'[11]january-2026'!$A:$A,'[11]january-2026'!$C:$C,0,0)</f>
        <v>32500</v>
      </c>
      <c r="DH149">
        <f>DG149*0.18</f>
        <v>5850</v>
      </c>
      <c r="DI149">
        <f>DG149*0.12</f>
        <v>3900</v>
      </c>
      <c r="DJ149">
        <f>_xlfn.XLOOKUP(B149,'[11]january-2026'!$A:$A,'[11]january-2026'!$D:$D,0,0)</f>
        <v>0</v>
      </c>
      <c r="DK149">
        <f>_xlfn.XLOOKUP(B149,'[11]january-2026'!$A:$A,'[11]january-2026'!$G:$G,0,0)</f>
        <v>500</v>
      </c>
      <c r="DL149">
        <f>IF(DG149&gt;0,SUM(DG149:DK149),0)</f>
        <v>42750</v>
      </c>
      <c r="DM149">
        <f>_xlfn.XLOOKUP(B149,'[11]january-2026'!$A:$A,'[11]january-2026'!$H:$H,0,0)</f>
        <v>2000</v>
      </c>
      <c r="DN149">
        <f>_xlfn.XLOOKUP(B149,'[11]january-2026'!$A:$A,'[11]january-2026'!$I:$I,0,0)</f>
        <v>0</v>
      </c>
      <c r="DO149">
        <f>IF($F149="YES",0,IF(DL149&gt;40000,200,IF(DL149&gt;25000,150,IF(DL149&gt;15000,130,IF(DL149&gt;10000,110,0)))))</f>
        <v>200</v>
      </c>
      <c r="DP149">
        <f>DL149-DM149-DN149-DO149</f>
        <v>40550</v>
      </c>
      <c r="DQ149">
        <f>_xlfn.XLOOKUP(B149,'[12]february-2026'!$A:$A,'[12]february-2026'!$C:$C,0,0)</f>
        <v>32500</v>
      </c>
      <c r="DR149">
        <f>DQ149*0.18</f>
        <v>5850</v>
      </c>
      <c r="DS149">
        <f>DQ149*0.12</f>
        <v>3900</v>
      </c>
      <c r="DT149">
        <f>_xlfn.XLOOKUP(B149,'[12]february-2026'!$A:$A,'[12]february-2026'!$D:$D,0,0)</f>
        <v>0</v>
      </c>
      <c r="DU149">
        <f>_xlfn.XLOOKUP(B149,'[12]february-2026'!$A:$A,'[12]february-2026'!$G:$G,0,0)</f>
        <v>500</v>
      </c>
      <c r="DV149">
        <f>IF(DQ149&gt;0,SUM(DQ149:DU149),0)</f>
        <v>42750</v>
      </c>
      <c r="DW149">
        <f>_xlfn.XLOOKUP(B149,'[12]february-2026'!$A:$A,'[12]february-2026'!$H:$H,0,0)</f>
        <v>2000</v>
      </c>
      <c r="DX149">
        <f>_xlfn.XLOOKUP(B149,'[12]february-2026'!$A:$A,'[12]february-2026'!$I:$I,0,0)</f>
        <v>0</v>
      </c>
      <c r="DY149">
        <f>IF($F149="YES",0,IF(DV149&gt;40000,200,IF(DV149&gt;25000,150,IF(DV149&gt;15000,130,IF(DV149&gt;10000,110,0)))))</f>
        <v>200</v>
      </c>
      <c r="DZ149">
        <f>DV149-DW149-DX149-DY149</f>
        <v>40550</v>
      </c>
      <c r="EA149">
        <f>DV149+DL149+DB149+CR149+CH149+BX149+BN149+BD149+AS149+AI149+Y149+O149+H149+I149</f>
        <v>502080</v>
      </c>
      <c r="EB149">
        <f>DY149+DO149+DE149+CU149+CK149+CA149+BQ149+BG149+AV149+AL149+AB149+R149</f>
        <v>2300</v>
      </c>
      <c r="EC149">
        <f>IF(EA149&gt;0,50000,0)</f>
        <v>50000</v>
      </c>
      <c r="ED149">
        <v>0</v>
      </c>
      <c r="EE149">
        <f>EA149-EB149-EC149</f>
        <v>449780</v>
      </c>
      <c r="EF149">
        <f>DW149+DM149+DC149+CS149+CI149+BY149+BO149+BE149+AT149+AJ149+Z149+P149</f>
        <v>24000</v>
      </c>
      <c r="EG149">
        <f>DX149+DN149+DD149+CT149+CJ149+BZ149+BP149+BF149+AU149+AK149+AA149+Q149</f>
        <v>0</v>
      </c>
      <c r="EH149">
        <v>0</v>
      </c>
      <c r="EI149">
        <v>0</v>
      </c>
      <c r="EJ149">
        <v>0</v>
      </c>
      <c r="EK149">
        <v>0</v>
      </c>
      <c r="EL149">
        <v>0</v>
      </c>
      <c r="EM149">
        <v>0</v>
      </c>
      <c r="EN149">
        <v>0</v>
      </c>
      <c r="EO149">
        <v>0</v>
      </c>
      <c r="EP149">
        <v>0</v>
      </c>
      <c r="EQ149">
        <v>0</v>
      </c>
      <c r="ER149">
        <f>SUM(EF149:EQ149)</f>
        <v>24000</v>
      </c>
      <c r="ES149">
        <f>IF(ER149&gt;=150000,150000,ER149)</f>
        <v>24000</v>
      </c>
      <c r="ET149">
        <f>EE149-ES149</f>
        <v>425780</v>
      </c>
      <c r="EU149">
        <v>0</v>
      </c>
      <c r="EV149">
        <v>0</v>
      </c>
      <c r="EW149">
        <v>0</v>
      </c>
      <c r="EX149">
        <v>0</v>
      </c>
      <c r="EY149">
        <v>0</v>
      </c>
      <c r="EZ149">
        <v>0</v>
      </c>
      <c r="FA149">
        <v>0</v>
      </c>
      <c r="FB149">
        <f>SUM(EU149:FA149)+(IF(F149="YES",50000,0))</f>
        <v>0</v>
      </c>
      <c r="FC149">
        <f>ET149-FB149</f>
        <v>425780</v>
      </c>
      <c r="FD149">
        <f>ROUND(IF(FC149&gt;0,IF(FC149&gt;500000,12500,(FC149-250000)*0.05),0),0)</f>
        <v>8789</v>
      </c>
      <c r="FE149">
        <f>IF(ROUND(IF(FC149&gt;0,IF(FC149&gt;1000000,25000,(FC149-500000)*0.2),0),0)&lt;0,0,ROUND(IF(FC149&gt;0,IF(FC149&gt;1000000,25000,(FC149-500000)*0.2),0),0))</f>
        <v>0</v>
      </c>
      <c r="FF149">
        <f>FD149+FE149</f>
        <v>8789</v>
      </c>
      <c r="FG149">
        <f>IF(FF149&lt;12500,0,FF149)</f>
        <v>0</v>
      </c>
      <c r="FH149">
        <f>FG149*0.04</f>
        <v>0</v>
      </c>
      <c r="FI149">
        <f>ROUND(FH149+FG149,0)</f>
        <v>0</v>
      </c>
      <c r="FJ149">
        <v>0</v>
      </c>
      <c r="FK149">
        <f>FI149-FJ149</f>
        <v>0</v>
      </c>
      <c r="FL149" t="b">
        <f>IF(EA149&gt;500000,TRUE,FALSE)</f>
        <v>1</v>
      </c>
      <c r="FM149">
        <f ca="1">IF(FL149,RANDBETWEEN(500,1000),RANDBETWEEN(1000,3000))</f>
        <v>690</v>
      </c>
      <c r="FN149">
        <f ca="1">EA149+FM149</f>
        <v>502770</v>
      </c>
      <c r="FO149">
        <f>IF(EA149&gt;0,75000,0)</f>
        <v>75000</v>
      </c>
      <c r="FP149">
        <f ca="1">FN149-FO149</f>
        <v>427770</v>
      </c>
      <c r="FQ149">
        <f ca="1">IF(FP149&gt;2400000,FP149-2400000,0)</f>
        <v>0</v>
      </c>
      <c r="FR149">
        <f ca="1">FQ149*0.3</f>
        <v>0</v>
      </c>
      <c r="FS149">
        <f ca="1">IF(FP149&gt;2000000,FP149-2000000,0)</f>
        <v>0</v>
      </c>
      <c r="FT149">
        <f ca="1">FS149*0.25</f>
        <v>0</v>
      </c>
      <c r="FU149">
        <f ca="1">IF(FP149&gt;1600000,FP149-1600000-FQ149,0)</f>
        <v>0</v>
      </c>
      <c r="FV149">
        <f ca="1">FU149*0.2</f>
        <v>0</v>
      </c>
      <c r="FW149">
        <f ca="1">IF(FP149&gt;1200000,FP149-1200000-IF(F149="YES",50000,0)-FU149,0)</f>
        <v>0</v>
      </c>
      <c r="FX149">
        <f ca="1">FW149*0.15</f>
        <v>0</v>
      </c>
      <c r="FY149">
        <f ca="1">IF(FP149&gt;800000,FP149-800000-FQ149-FU149-FW149,0)</f>
        <v>0</v>
      </c>
      <c r="FZ149">
        <f ca="1">FY149*0.1</f>
        <v>0</v>
      </c>
      <c r="GA149">
        <f ca="1">IF(FP149&gt;400000,FP149-400000-FQ149-FU149-FW149-FY149,0)</f>
        <v>27770</v>
      </c>
      <c r="GB149">
        <f ca="1">GA149*0.05</f>
        <v>1388.5</v>
      </c>
      <c r="GC149">
        <f ca="1">ROUND(FR149+FT149+FV149+FX149+FZ149+GB149,0)</f>
        <v>1389</v>
      </c>
      <c r="GD149">
        <f ca="1">IF(FP149&gt;1200000,FP149,0)</f>
        <v>0</v>
      </c>
      <c r="GE149">
        <f ca="1">IF(FP149&gt;1200000,GD149-1200000,0)</f>
        <v>0</v>
      </c>
      <c r="GF149">
        <f ca="1">IF(FP149&lt;1200001,MIN(GC149,60000),0)</f>
        <v>1389</v>
      </c>
      <c r="GG149">
        <f ca="1">IF(FP149&gt;1200000,GC149-GE149,0)</f>
        <v>0</v>
      </c>
      <c r="GH149" t="b">
        <f ca="1">IF(GG149&gt;0,TRUE,FALSE)</f>
        <v>0</v>
      </c>
      <c r="GI149">
        <f ca="1">IF(GH149,GG149,0)</f>
        <v>0</v>
      </c>
      <c r="GJ149">
        <f ca="1">GF149+GI149</f>
        <v>1389</v>
      </c>
      <c r="GK149">
        <f ca="1">ROUND(GC149-GJ149,0)</f>
        <v>0</v>
      </c>
      <c r="GL149">
        <f ca="1">GK149*0.04</f>
        <v>0</v>
      </c>
      <c r="GM149">
        <f ca="1">ROUNDUP(GK149+GL149,0)</f>
        <v>0</v>
      </c>
    </row>
    <row r="150" spans="1:195" x14ac:dyDescent="0.25">
      <c r="A150">
        <f>_xlfn.AGGREGATE(3,5,$B$2:B150)</f>
        <v>149</v>
      </c>
      <c r="B150" t="s">
        <v>411</v>
      </c>
      <c r="C150" t="s">
        <v>412</v>
      </c>
      <c r="D150" t="s">
        <v>793</v>
      </c>
      <c r="E150" t="s">
        <v>833</v>
      </c>
      <c r="F150" t="s">
        <v>959</v>
      </c>
      <c r="G150" t="s">
        <v>933</v>
      </c>
      <c r="H150">
        <f>IF(_xlfn.DAYS("31-03-2025",G150)&gt;=180,6800,0)</f>
        <v>6800</v>
      </c>
      <c r="I150">
        <f>_xlfn.XLOOKUP(B150,'[1]march-2025'!$A:$A,'[1]march-2025'!$J:$J,0,0)</f>
        <v>0</v>
      </c>
      <c r="J150">
        <f>_xlfn.XLOOKUP(B150,'[1]march-2025'!$A:$A,'[1]march-2025'!$C:$C,0,0)</f>
        <v>28900</v>
      </c>
      <c r="K150">
        <f>J150*0.14</f>
        <v>4046.0000000000005</v>
      </c>
      <c r="L150">
        <f>J150*0.12</f>
        <v>3468</v>
      </c>
      <c r="M150">
        <f>_xlfn.XLOOKUP(B150,'[1]march-2025'!$A:$A,'[1]march-2025'!$D:$D,0,0)</f>
        <v>0</v>
      </c>
      <c r="N150">
        <f>_xlfn.XLOOKUP(B150,'[1]march-2025'!$A:$A,'[1]march-2025'!$G:$G,0,0)</f>
        <v>0</v>
      </c>
      <c r="O150">
        <f>IF(J150&gt;0,SUM(J150:N150),0)</f>
        <v>36414</v>
      </c>
      <c r="P150">
        <f>_xlfn.XLOOKUP(B150,'[1]march-2025'!$A:$A,'[1]march-2025'!$H:$H,0,0)</f>
        <v>0</v>
      </c>
      <c r="Q150">
        <f>_xlfn.XLOOKUP(B150,'[1]march-2025'!$A:$A,'[1]march-2025'!$I:$I,0,0)</f>
        <v>0</v>
      </c>
      <c r="R150">
        <f>IF($F150="YES",0,IF(O150&gt;40000,200,IF(O150&gt;25000,150,IF(O150&gt;15000,130,IF(O150&gt;10000,110,0)))))</f>
        <v>150</v>
      </c>
      <c r="S150">
        <f>O150-P150-Q150-R150</f>
        <v>36264</v>
      </c>
      <c r="T150">
        <f>_xlfn.XLOOKUP(B150,'[2]april-2025'!$A:$A,'[2]april-2025'!$C:$C,0,0)</f>
        <v>28900</v>
      </c>
      <c r="U150">
        <f>T150*0.18</f>
        <v>5202</v>
      </c>
      <c r="V150">
        <f>T150*0.12</f>
        <v>3468</v>
      </c>
      <c r="W150">
        <f>_xlfn.XLOOKUP(B150,'[2]april-2025'!$A:$A,'[2]april-2025'!$D:$D,0,0)</f>
        <v>0</v>
      </c>
      <c r="X150">
        <f>_xlfn.XLOOKUP(B150,'[2]april-2025'!$A:$A,'[2]april-2025'!$G:$G,0,0)</f>
        <v>0</v>
      </c>
      <c r="Y150">
        <f>IF(T150&gt;0,SUM(T150:X150),0)</f>
        <v>37570</v>
      </c>
      <c r="Z150">
        <f>_xlfn.XLOOKUP(B150,'[2]april-2025'!$A:$A,'[2]april-2025'!$H:$H,0,0)</f>
        <v>0</v>
      </c>
      <c r="AA150">
        <f>_xlfn.XLOOKUP(B150,'[2]april-2025'!$A:$A,'[2]april-2025'!$I:$I,0,0)</f>
        <v>0</v>
      </c>
      <c r="AB150">
        <f>IF($F150="YES",0,IF(Y150&gt;40000,200,IF(Y150&gt;25000,150,IF(Y150&gt;15000,130,IF(Y150&gt;10000,110,0)))))</f>
        <v>150</v>
      </c>
      <c r="AC150">
        <f>Y150-Z150-AA150-AB150</f>
        <v>37420</v>
      </c>
      <c r="AD150">
        <f>_xlfn.XLOOKUP(B150,'[3]may-2025'!$A:$A,'[3]may-2025'!$C:$C,0,0)</f>
        <v>28900</v>
      </c>
      <c r="AE150">
        <f>AD150*0.18</f>
        <v>5202</v>
      </c>
      <c r="AF150">
        <f>AD150*0.12</f>
        <v>3468</v>
      </c>
      <c r="AG150">
        <f>_xlfn.XLOOKUP(B150,'[3]may-2025'!$A:$A,'[3]may-2025'!$D:$D,0,0)</f>
        <v>0</v>
      </c>
      <c r="AH150">
        <f>_xlfn.XLOOKUP(B150,'[3]may-2025'!$A:$A,'[3]may-2025'!$G:$G,0,0)</f>
        <v>0</v>
      </c>
      <c r="AI150">
        <f>IF(AD150&gt;0,SUM(AD150:AH150),0)</f>
        <v>37570</v>
      </c>
      <c r="AJ150">
        <f>_xlfn.XLOOKUP(B150,'[3]may-2025'!$A:$A,'[3]may-2025'!$H:$H,0,0)</f>
        <v>0</v>
      </c>
      <c r="AK150">
        <f>_xlfn.XLOOKUP(B150,'[3]may-2025'!$A:$A,'[3]may-2025'!$I:$I,0,0)</f>
        <v>0</v>
      </c>
      <c r="AL150">
        <f>IF($F150="YES",0,IF(AI150&gt;40000,200,IF(AI150&gt;25000,150,IF(AI150&gt;15000,130,IF(AI150&gt;10000,110,0)))))</f>
        <v>150</v>
      </c>
      <c r="AM150">
        <f>AI150-AJ150-AK150-AL150</f>
        <v>37420</v>
      </c>
      <c r="AN150">
        <f>_xlfn.XLOOKUP(B150,'[4]june-2025'!$A:$A,'[4]june-2025'!$C:$C,0,0)</f>
        <v>28900</v>
      </c>
      <c r="AO150">
        <f>AN150*0.18</f>
        <v>5202</v>
      </c>
      <c r="AP150">
        <f>AN150*0.12</f>
        <v>3468</v>
      </c>
      <c r="AQ150">
        <f>_xlfn.XLOOKUP(B150,'[4]june-2025'!$A:$A,'[4]june-2025'!$D:$D,0,0)</f>
        <v>0</v>
      </c>
      <c r="AR150">
        <f>_xlfn.XLOOKUP(B150,'[4]june-2025'!$A:$A,'[4]june-2025'!$G:$G,0,0)</f>
        <v>0</v>
      </c>
      <c r="AS150">
        <f>IF(AN150&gt;0,SUM(AN150:AR150),0)</f>
        <v>37570</v>
      </c>
      <c r="AT150">
        <f>_xlfn.XLOOKUP(B150,'[4]june-2025'!$A:$A,'[4]june-2025'!$H:$H,0,0)</f>
        <v>0</v>
      </c>
      <c r="AU150">
        <f>_xlfn.XLOOKUP(B150,'[4]june-2025'!$A:$A,'[4]june-2025'!$I:$I,0,0)</f>
        <v>0</v>
      </c>
      <c r="AV150">
        <f>IF($F150="YES",0,IF(AS150&gt;40000,200,IF(AS150&gt;25000,150,IF(AS150&gt;15000,130,IF(AS150&gt;10000,110,0)))))</f>
        <v>150</v>
      </c>
      <c r="AW150">
        <f>AS150-AT150-AU150-AV150</f>
        <v>37420</v>
      </c>
      <c r="AX150">
        <f>_xlfn.XLOOKUP(B150,'[5]july-2025'!$A:$A,'[5]july-2025'!$C:$C,0,0)</f>
        <v>29800</v>
      </c>
      <c r="AY150">
        <f>AX150*0.18</f>
        <v>5364</v>
      </c>
      <c r="AZ150">
        <v>0</v>
      </c>
      <c r="BA150">
        <f>AX150*0.12</f>
        <v>3576</v>
      </c>
      <c r="BB150">
        <f>_xlfn.XLOOKUP(B150,'[5]july-2025'!$A:$A,'[5]july-2025'!$D:$D,0,0)</f>
        <v>0</v>
      </c>
      <c r="BC150">
        <f>_xlfn.XLOOKUP(B150,'[5]july-2025'!$A:$A,'[5]july-2025'!$G:$G,0,0)</f>
        <v>0</v>
      </c>
      <c r="BD150">
        <f>IF(AX150&gt;0,SUM(AX150:BC150),0)</f>
        <v>38740</v>
      </c>
      <c r="BE150">
        <f>_xlfn.XLOOKUP(B150,'[5]july-2025'!$A:$A,'[5]july-2025'!$H:$H,0,0)</f>
        <v>0</v>
      </c>
      <c r="BF150">
        <f>_xlfn.XLOOKUP(B150,'[5]july-2025'!$A:$A,'[5]july-2025'!$I:$I,0,0)</f>
        <v>0</v>
      </c>
      <c r="BG150">
        <f>IF($F150="YES",0,IF(BD150&gt;40000,200,IF(BD150&gt;25000,150,IF(BD150&gt;15000,130,IF(BD150&gt;10000,110,0)))))</f>
        <v>150</v>
      </c>
      <c r="BH150">
        <f>BD150-BE150-BF150-BG150</f>
        <v>38590</v>
      </c>
      <c r="BI150">
        <f>_xlfn.XLOOKUP(B150,'[6]august-2025'!$A:$A,'[6]august-2025'!$C:$C,0,0)</f>
        <v>29800</v>
      </c>
      <c r="BJ150">
        <f>BI150*0.18</f>
        <v>5364</v>
      </c>
      <c r="BK150">
        <f>BI150*0.12</f>
        <v>3576</v>
      </c>
      <c r="BL150">
        <f>_xlfn.XLOOKUP(B150,'[6]august-2025'!$A:$A,'[6]august-2025'!$D:$D,0,0)</f>
        <v>0</v>
      </c>
      <c r="BM150">
        <f>_xlfn.XLOOKUP(B150,'[6]august-2025'!$A:$A,'[6]august-2025'!$G:$G,0,0)</f>
        <v>0</v>
      </c>
      <c r="BN150">
        <f>IF(BI150&gt;0,SUM(BI150:BM150),0)</f>
        <v>38740</v>
      </c>
      <c r="BO150">
        <f>_xlfn.XLOOKUP(B150,'[6]august-2025'!$A:$A,'[6]august-2025'!$H:$H,0,0)</f>
        <v>0</v>
      </c>
      <c r="BP150">
        <f>_xlfn.XLOOKUP(B150,'[6]august-2025'!$A:$A,'[6]august-2025'!$I:$I,0,0)</f>
        <v>0</v>
      </c>
      <c r="BQ150">
        <f>IF($F150="YES",0,IF(BN150&gt;40000,200,IF(BN150&gt;25000,150,IF(BN150&gt;15000,130,IF(BN150&gt;10000,110,0)))))</f>
        <v>150</v>
      </c>
      <c r="BR150">
        <f>BN150-BO150-BP150-BQ150</f>
        <v>38590</v>
      </c>
      <c r="BS150">
        <f>_xlfn.XLOOKUP(B150,'[7]september-2025'!$A:$A,'[7]september-2025'!$C:$C,0,0)</f>
        <v>29800</v>
      </c>
      <c r="BT150">
        <f>BS150*0.18</f>
        <v>5364</v>
      </c>
      <c r="BU150">
        <f>BS150*0.12</f>
        <v>3576</v>
      </c>
      <c r="BV150">
        <f>_xlfn.XLOOKUP(B150,'[7]september-2025'!$A:$A,'[7]september-2025'!$D:$D,0,0)</f>
        <v>0</v>
      </c>
      <c r="BW150">
        <f>_xlfn.XLOOKUP(B150,'[7]september-2025'!$A:$A,'[7]september-2025'!$G:$G,0,0)</f>
        <v>0</v>
      </c>
      <c r="BX150">
        <f>IF(BS150&gt;0,SUM(BS150:BW150),0)</f>
        <v>38740</v>
      </c>
      <c r="BY150">
        <f>_xlfn.XLOOKUP(B150,'[7]september-2025'!$A:$A,'[7]september-2025'!$H:$H,0,0)</f>
        <v>2000</v>
      </c>
      <c r="BZ150">
        <f>_xlfn.XLOOKUP(B150,'[7]september-2025'!$A:$A,'[7]september-2025'!$I:$I,0,0)</f>
        <v>0</v>
      </c>
      <c r="CA150">
        <f>IF($F150="YES",0,IF(BX150&gt;40000,200,IF(BX150&gt;25000,150,IF(BX150&gt;15000,130,IF(BX150&gt;10000,110,0)))))</f>
        <v>150</v>
      </c>
      <c r="CB150">
        <f>BX150-BY150-BZ150-CA150</f>
        <v>36590</v>
      </c>
      <c r="CC150">
        <f>_xlfn.XLOOKUP(B150,'[8]october-2025'!$A:$A,'[8]october-2025'!$C:$C,0,0)</f>
        <v>29800</v>
      </c>
      <c r="CD150">
        <f>CC150*0.18</f>
        <v>5364</v>
      </c>
      <c r="CE150">
        <f>CC150*0.12</f>
        <v>3576</v>
      </c>
      <c r="CF150">
        <f>_xlfn.XLOOKUP(B150,'[8]october-2025'!$A:$A,'[8]october-2025'!$D:$D,0,0)</f>
        <v>0</v>
      </c>
      <c r="CG150">
        <f>_xlfn.XLOOKUP(B150,'[8]october-2025'!$A:$A,'[8]october-2025'!$G:$G,0,0)</f>
        <v>0</v>
      </c>
      <c r="CH150">
        <f>IF(CC150&gt;0,SUM(CC150:CG150),0)</f>
        <v>38740</v>
      </c>
      <c r="CI150">
        <f>_xlfn.XLOOKUP(B150,'[8]october-2025'!$A:$A,'[8]october-2025'!$H:$H,0,0)</f>
        <v>2000</v>
      </c>
      <c r="CJ150">
        <f>_xlfn.XLOOKUP(B150,'[8]october-2025'!$A:$A,'[8]october-2025'!$I:$I,0,0)</f>
        <v>0</v>
      </c>
      <c r="CK150">
        <f>IF($F150="YES",0,IF(CH150&gt;40000,200,IF(CH150&gt;25000,150,IF(CH150&gt;15000,130,IF(CH150&gt;10000,110,0)))))</f>
        <v>150</v>
      </c>
      <c r="CL150">
        <f>CH150-CI150-CJ150-CK150</f>
        <v>36590</v>
      </c>
      <c r="CM150">
        <f>_xlfn.XLOOKUP(B150,'[9]november-2025'!$A:$A,'[9]november-2025'!$C:$C,0,0)</f>
        <v>29800</v>
      </c>
      <c r="CN150">
        <f>CM150*0.18</f>
        <v>5364</v>
      </c>
      <c r="CO150">
        <f>CM150*0.12</f>
        <v>3576</v>
      </c>
      <c r="CP150">
        <f>_xlfn.XLOOKUP(B150,'[9]november-2025'!$A:$A,'[9]november-2025'!$D:$D,0,0)</f>
        <v>0</v>
      </c>
      <c r="CQ150">
        <f>_xlfn.XLOOKUP(B150,'[9]november-2025'!$A:$A,'[9]november-2025'!$G:$G,0,0)</f>
        <v>0</v>
      </c>
      <c r="CR150">
        <f>IF(CM150&gt;0,SUM(CM150:CQ150),0)</f>
        <v>38740</v>
      </c>
      <c r="CS150">
        <f>_xlfn.XLOOKUP(B150,'[9]november-2025'!$A:$A,'[9]november-2025'!$H:$H,0,0)</f>
        <v>2000</v>
      </c>
      <c r="CT150">
        <f>_xlfn.XLOOKUP(B150,'[9]november-2025'!$A:$A,'[9]november-2025'!$I:$I,0,0)</f>
        <v>0</v>
      </c>
      <c r="CU150">
        <f>IF($F150="YES",0,IF(CR150&gt;40000,200,IF(CR150&gt;25000,150,IF(CR150&gt;15000,130,IF(CR150&gt;10000,110,0)))))</f>
        <v>150</v>
      </c>
      <c r="CV150">
        <f>CR150-CS150-CT150-CU150</f>
        <v>36590</v>
      </c>
      <c r="CW150">
        <f>_xlfn.XLOOKUP(B150,'[10]december-2025'!$A:$A,'[10]december-2025'!$C:$C,0,0)</f>
        <v>29800</v>
      </c>
      <c r="CX150">
        <f>ROUND(CW150*0.18,0)</f>
        <v>5364</v>
      </c>
      <c r="CY150">
        <f>ROUND(CW150*0.12,0)</f>
        <v>3576</v>
      </c>
      <c r="CZ150">
        <f>_xlfn.XLOOKUP(B150,'[10]december-2025'!$A:$A,'[10]december-2025'!$D:$D,0,0)</f>
        <v>0</v>
      </c>
      <c r="DA150">
        <f>_xlfn.XLOOKUP(B150,'[10]december-2025'!$A:$A,'[10]december-2025'!$G:$G,0,0)</f>
        <v>0</v>
      </c>
      <c r="DB150">
        <f>IF(CW150&gt;0,SUM(CW150:DA150),0)</f>
        <v>38740</v>
      </c>
      <c r="DC150">
        <f>_xlfn.XLOOKUP(B150,'[10]december-2025'!$A:$A,'[10]december-2025'!$H:$H,0,0)</f>
        <v>2000</v>
      </c>
      <c r="DD150">
        <f>_xlfn.XLOOKUP(B150,'[10]december-2025'!$A:$A,'[10]december-2025'!$I:$I,0,0)</f>
        <v>0</v>
      </c>
      <c r="DE150">
        <f>IF($F150="YES",0,IF(DB150&gt;40000,200,IF(DB150&gt;25000,150,IF(DB150&gt;15000,130,IF(DB150&gt;10000,110,0)))))</f>
        <v>150</v>
      </c>
      <c r="DF150">
        <f>DB150-DC150-DD150-DE150</f>
        <v>36590</v>
      </c>
      <c r="DG150">
        <f>_xlfn.XLOOKUP(B150,'[11]january-2026'!$A:$A,'[11]january-2026'!$C:$C,0,0)</f>
        <v>29800</v>
      </c>
      <c r="DH150">
        <f>DG150*0.18</f>
        <v>5364</v>
      </c>
      <c r="DI150">
        <f>DG150*0.12</f>
        <v>3576</v>
      </c>
      <c r="DJ150">
        <f>_xlfn.XLOOKUP(B150,'[11]january-2026'!$A:$A,'[11]january-2026'!$D:$D,0,0)</f>
        <v>0</v>
      </c>
      <c r="DK150">
        <f>_xlfn.XLOOKUP(B150,'[11]january-2026'!$A:$A,'[11]january-2026'!$G:$G,0,0)</f>
        <v>0</v>
      </c>
      <c r="DL150">
        <f>IF(DG150&gt;0,SUM(DG150:DK150),0)</f>
        <v>38740</v>
      </c>
      <c r="DM150">
        <f>_xlfn.XLOOKUP(B150,'[11]january-2026'!$A:$A,'[11]january-2026'!$H:$H,0,0)</f>
        <v>2000</v>
      </c>
      <c r="DN150">
        <f>_xlfn.XLOOKUP(B150,'[11]january-2026'!$A:$A,'[11]january-2026'!$I:$I,0,0)</f>
        <v>0</v>
      </c>
      <c r="DO150">
        <f>IF($F150="YES",0,IF(DL150&gt;40000,200,IF(DL150&gt;25000,150,IF(DL150&gt;15000,130,IF(DL150&gt;10000,110,0)))))</f>
        <v>150</v>
      </c>
      <c r="DP150">
        <f>DL150-DM150-DN150-DO150</f>
        <v>36590</v>
      </c>
      <c r="DQ150">
        <f>_xlfn.XLOOKUP(B150,'[12]february-2026'!$A:$A,'[12]february-2026'!$C:$C,0,0)</f>
        <v>29800</v>
      </c>
      <c r="DR150">
        <f>DQ150*0.18</f>
        <v>5364</v>
      </c>
      <c r="DS150">
        <f>DQ150*0.12</f>
        <v>3576</v>
      </c>
      <c r="DT150">
        <f>_xlfn.XLOOKUP(B150,'[12]february-2026'!$A:$A,'[12]february-2026'!$D:$D,0,0)</f>
        <v>0</v>
      </c>
      <c r="DU150">
        <f>_xlfn.XLOOKUP(B150,'[12]february-2026'!$A:$A,'[12]february-2026'!$G:$G,0,0)</f>
        <v>0</v>
      </c>
      <c r="DV150">
        <f>IF(DQ150&gt;0,SUM(DQ150:DU150),0)</f>
        <v>38740</v>
      </c>
      <c r="DW150">
        <f>_xlfn.XLOOKUP(B150,'[12]february-2026'!$A:$A,'[12]february-2026'!$H:$H,0,0)</f>
        <v>2000</v>
      </c>
      <c r="DX150">
        <f>_xlfn.XLOOKUP(B150,'[12]february-2026'!$A:$A,'[12]february-2026'!$I:$I,0,0)</f>
        <v>0</v>
      </c>
      <c r="DY150">
        <f>IF($F150="YES",0,IF(DV150&gt;40000,200,IF(DV150&gt;25000,150,IF(DV150&gt;15000,130,IF(DV150&gt;10000,110,0)))))</f>
        <v>150</v>
      </c>
      <c r="DZ150">
        <f>DV150-DW150-DX150-DY150</f>
        <v>36590</v>
      </c>
      <c r="EA150">
        <f>DV150+DL150+DB150+CR150+CH150+BX150+BN150+BD150+AS150+AI150+Y150+O150+H150+I150</f>
        <v>465844</v>
      </c>
      <c r="EB150">
        <f>DY150+DO150+DE150+CU150+CK150+CA150+BQ150+BG150+AV150+AL150+AB150+R150</f>
        <v>1800</v>
      </c>
      <c r="EC150">
        <f>IF(EA150&gt;0,50000,0)</f>
        <v>50000</v>
      </c>
      <c r="ED150">
        <v>0</v>
      </c>
      <c r="EE150">
        <f>EA150-EB150-EC150</f>
        <v>414044</v>
      </c>
      <c r="EF150">
        <f>DW150+DM150+DC150+CS150+CI150+BY150+BO150+BE150+AT150+AJ150+Z150+P150</f>
        <v>12000</v>
      </c>
      <c r="EG150">
        <f>DX150+DN150+DD150+CT150+CJ150+BZ150+BP150+BF150+AU150+AK150+AA150+Q150</f>
        <v>0</v>
      </c>
      <c r="EH150">
        <v>0</v>
      </c>
      <c r="EI150">
        <v>0</v>
      </c>
      <c r="EJ150">
        <v>0</v>
      </c>
      <c r="EK150">
        <v>0</v>
      </c>
      <c r="EL150">
        <v>0</v>
      </c>
      <c r="EM150">
        <v>0</v>
      </c>
      <c r="EN150">
        <v>0</v>
      </c>
      <c r="EO150">
        <v>0</v>
      </c>
      <c r="EP150">
        <v>0</v>
      </c>
      <c r="EQ150">
        <v>0</v>
      </c>
      <c r="ER150">
        <f>SUM(EF150:EQ150)</f>
        <v>12000</v>
      </c>
      <c r="ES150">
        <f>IF(ER150&gt;=150000,150000,ER150)</f>
        <v>12000</v>
      </c>
      <c r="ET150">
        <f>EE150-ES150</f>
        <v>402044</v>
      </c>
      <c r="EU150">
        <v>0</v>
      </c>
      <c r="EV150">
        <v>0</v>
      </c>
      <c r="EW150">
        <v>0</v>
      </c>
      <c r="EX150">
        <v>0</v>
      </c>
      <c r="EY150">
        <v>0</v>
      </c>
      <c r="EZ150">
        <v>0</v>
      </c>
      <c r="FA150">
        <v>0</v>
      </c>
      <c r="FB150">
        <f>SUM(EU150:FA150)+(IF(F150="YES",50000,0))</f>
        <v>0</v>
      </c>
      <c r="FC150">
        <f>ET150-FB150</f>
        <v>402044</v>
      </c>
      <c r="FD150">
        <f>ROUND(IF(FC150&gt;0,IF(FC150&gt;500000,12500,(FC150-250000)*0.05),0),0)</f>
        <v>7602</v>
      </c>
      <c r="FE150">
        <f>IF(ROUND(IF(FC150&gt;0,IF(FC150&gt;1000000,25000,(FC150-500000)*0.2),0),0)&lt;0,0,ROUND(IF(FC150&gt;0,IF(FC150&gt;1000000,25000,(FC150-500000)*0.2),0),0))</f>
        <v>0</v>
      </c>
      <c r="FF150">
        <f>FD150+FE150</f>
        <v>7602</v>
      </c>
      <c r="FG150">
        <f>IF(FF150&lt;12500,0,FF150)</f>
        <v>0</v>
      </c>
      <c r="FH150">
        <f>FG150*0.04</f>
        <v>0</v>
      </c>
      <c r="FI150">
        <f>ROUND(FH150+FG150,0)</f>
        <v>0</v>
      </c>
      <c r="FJ150">
        <v>0</v>
      </c>
      <c r="FK150">
        <f>FI150-FJ150</f>
        <v>0</v>
      </c>
      <c r="FL150" t="b">
        <f>IF(EA150&gt;500000,TRUE,FALSE)</f>
        <v>0</v>
      </c>
      <c r="FM150">
        <f ca="1">IF(FL150,RANDBETWEEN(500,1000),RANDBETWEEN(1000,3000))</f>
        <v>1726</v>
      </c>
      <c r="FN150">
        <f ca="1">EA150+FM150</f>
        <v>467570</v>
      </c>
      <c r="FO150">
        <f>IF(EA150&gt;0,75000,0)</f>
        <v>75000</v>
      </c>
      <c r="FP150">
        <f ca="1">FN150-FO150</f>
        <v>392570</v>
      </c>
      <c r="FQ150">
        <f ca="1">IF(FP150&gt;2400000,FP150-2400000,0)</f>
        <v>0</v>
      </c>
      <c r="FR150">
        <f ca="1">FQ150*0.3</f>
        <v>0</v>
      </c>
      <c r="FS150">
        <f ca="1">IF(FP150&gt;2000000,FP150-2000000,0)</f>
        <v>0</v>
      </c>
      <c r="FT150">
        <f ca="1">FS150*0.25</f>
        <v>0</v>
      </c>
      <c r="FU150">
        <f ca="1">IF(FP150&gt;1600000,FP150-1600000-FQ150,0)</f>
        <v>0</v>
      </c>
      <c r="FV150">
        <f ca="1">FU150*0.2</f>
        <v>0</v>
      </c>
      <c r="FW150">
        <f ca="1">IF(FP150&gt;1200000,FP150-1200000-IF(F150="YES",50000,0)-FU150,0)</f>
        <v>0</v>
      </c>
      <c r="FX150">
        <f ca="1">FW150*0.15</f>
        <v>0</v>
      </c>
      <c r="FY150">
        <f ca="1">IF(FP150&gt;800000,FP150-800000-FQ150-FU150-FW150,0)</f>
        <v>0</v>
      </c>
      <c r="FZ150">
        <f ca="1">FY150*0.1</f>
        <v>0</v>
      </c>
      <c r="GA150">
        <f ca="1">IF(FP150&gt;400000,FP150-400000-FQ150-FU150-FW150-FY150,0)</f>
        <v>0</v>
      </c>
      <c r="GB150">
        <f ca="1">GA150*0.05</f>
        <v>0</v>
      </c>
      <c r="GC150">
        <f ca="1">ROUND(FR150+FT150+FV150+FX150+FZ150+GB150,0)</f>
        <v>0</v>
      </c>
      <c r="GD150">
        <f ca="1">IF(FP150&gt;1200000,FP150,0)</f>
        <v>0</v>
      </c>
      <c r="GE150">
        <f ca="1">IF(FP150&gt;1200000,GD150-1200000,0)</f>
        <v>0</v>
      </c>
      <c r="GF150">
        <f ca="1">IF(FP150&lt;1200001,MIN(GC150,60000),0)</f>
        <v>0</v>
      </c>
      <c r="GG150">
        <f ca="1">IF(FP150&gt;1200000,GC150-GE150,0)</f>
        <v>0</v>
      </c>
      <c r="GH150" t="b">
        <f ca="1">IF(GG150&gt;0,TRUE,FALSE)</f>
        <v>0</v>
      </c>
      <c r="GI150">
        <f ca="1">IF(GH150,GG150,0)</f>
        <v>0</v>
      </c>
      <c r="GJ150">
        <f ca="1">GF150+GI150</f>
        <v>0</v>
      </c>
      <c r="GK150">
        <f ca="1">ROUND(GC150-GJ150,0)</f>
        <v>0</v>
      </c>
      <c r="GL150">
        <f ca="1">GK150*0.04</f>
        <v>0</v>
      </c>
      <c r="GM150">
        <f ca="1">ROUNDUP(GK150+GL150,0)</f>
        <v>0</v>
      </c>
    </row>
    <row r="151" spans="1:195" x14ac:dyDescent="0.25">
      <c r="A151">
        <f>_xlfn.AGGREGATE(3,5,$B$2:B151)</f>
        <v>150</v>
      </c>
      <c r="B151" t="s">
        <v>413</v>
      </c>
      <c r="C151" t="s">
        <v>414</v>
      </c>
      <c r="D151" t="s">
        <v>794</v>
      </c>
      <c r="E151" t="s">
        <v>833</v>
      </c>
      <c r="F151" t="s">
        <v>959</v>
      </c>
      <c r="G151" t="s">
        <v>887</v>
      </c>
      <c r="H151">
        <f>IF(_xlfn.DAYS("31-03-2025",G151)&gt;=180,6800,0)</f>
        <v>6800</v>
      </c>
      <c r="I151">
        <f>_xlfn.XLOOKUP(B151,'[1]march-2025'!$A:$A,'[1]march-2025'!$J:$J,0,0)</f>
        <v>0</v>
      </c>
      <c r="J151">
        <f>_xlfn.XLOOKUP(B151,'[1]march-2025'!$A:$A,'[1]march-2025'!$C:$C,0,0)</f>
        <v>48700</v>
      </c>
      <c r="K151">
        <f>J151*0.14</f>
        <v>6818.0000000000009</v>
      </c>
      <c r="L151">
        <f>J151*0.12</f>
        <v>5844</v>
      </c>
      <c r="M151">
        <f>_xlfn.XLOOKUP(B151,'[1]march-2025'!$A:$A,'[1]march-2025'!$D:$D,0,0)</f>
        <v>400</v>
      </c>
      <c r="N151">
        <f>_xlfn.XLOOKUP(B151,'[1]march-2025'!$A:$A,'[1]march-2025'!$G:$G,0,0)</f>
        <v>500</v>
      </c>
      <c r="O151">
        <f>IF(J151&gt;0,SUM(J151:N151),0)</f>
        <v>62262</v>
      </c>
      <c r="P151">
        <f>_xlfn.XLOOKUP(B151,'[1]march-2025'!$A:$A,'[1]march-2025'!$H:$H,0,0)</f>
        <v>8000</v>
      </c>
      <c r="Q151">
        <f>_xlfn.XLOOKUP(B151,'[1]march-2025'!$A:$A,'[1]march-2025'!$I:$I,0,0)</f>
        <v>0</v>
      </c>
      <c r="R151">
        <f>IF($F151="YES",0,IF(O151&gt;40000,200,IF(O151&gt;25000,150,IF(O151&gt;15000,130,IF(O151&gt;10000,110,0)))))</f>
        <v>200</v>
      </c>
      <c r="S151">
        <f>O151-P151-Q151-R151</f>
        <v>54062</v>
      </c>
      <c r="T151">
        <f>_xlfn.XLOOKUP(B151,'[2]april-2025'!$A:$A,'[2]april-2025'!$C:$C,0,0)</f>
        <v>48700</v>
      </c>
      <c r="U151">
        <f>T151*0.18</f>
        <v>8766</v>
      </c>
      <c r="V151">
        <f>T151*0.12</f>
        <v>5844</v>
      </c>
      <c r="W151">
        <f>_xlfn.XLOOKUP(B151,'[2]april-2025'!$A:$A,'[2]april-2025'!$D:$D,0,0)</f>
        <v>400</v>
      </c>
      <c r="X151">
        <f>_xlfn.XLOOKUP(B151,'[2]april-2025'!$A:$A,'[2]april-2025'!$G:$G,0,0)</f>
        <v>500</v>
      </c>
      <c r="Y151">
        <f>IF(T151&gt;0,SUM(T151:X151),0)</f>
        <v>64210</v>
      </c>
      <c r="Z151">
        <f>_xlfn.XLOOKUP(B151,'[2]april-2025'!$A:$A,'[2]april-2025'!$H:$H,0,0)</f>
        <v>8000</v>
      </c>
      <c r="AA151">
        <f>_xlfn.XLOOKUP(B151,'[2]april-2025'!$A:$A,'[2]april-2025'!$I:$I,0,0)</f>
        <v>0</v>
      </c>
      <c r="AB151">
        <f>IF($F151="YES",0,IF(Y151&gt;40000,200,IF(Y151&gt;25000,150,IF(Y151&gt;15000,130,IF(Y151&gt;10000,110,0)))))</f>
        <v>200</v>
      </c>
      <c r="AC151">
        <f>Y151-Z151-AA151-AB151</f>
        <v>56010</v>
      </c>
      <c r="AD151">
        <f>_xlfn.XLOOKUP(B151,'[3]may-2025'!$A:$A,'[3]may-2025'!$C:$C,0,0)</f>
        <v>48700</v>
      </c>
      <c r="AE151">
        <f>AD151*0.18</f>
        <v>8766</v>
      </c>
      <c r="AF151">
        <f>AD151*0.12</f>
        <v>5844</v>
      </c>
      <c r="AG151">
        <f>_xlfn.XLOOKUP(B151,'[3]may-2025'!$A:$A,'[3]may-2025'!$D:$D,0,0)</f>
        <v>400</v>
      </c>
      <c r="AH151">
        <f>_xlfn.XLOOKUP(B151,'[3]may-2025'!$A:$A,'[3]may-2025'!$G:$G,0,0)</f>
        <v>500</v>
      </c>
      <c r="AI151">
        <f>IF(AD151&gt;0,SUM(AD151:AH151),0)</f>
        <v>64210</v>
      </c>
      <c r="AJ151">
        <f>_xlfn.XLOOKUP(B151,'[3]may-2025'!$A:$A,'[3]may-2025'!$H:$H,0,0)</f>
        <v>8000</v>
      </c>
      <c r="AK151">
        <f>_xlfn.XLOOKUP(B151,'[3]may-2025'!$A:$A,'[3]may-2025'!$I:$I,0,0)</f>
        <v>0</v>
      </c>
      <c r="AL151">
        <f>IF($F151="YES",0,IF(AI151&gt;40000,200,IF(AI151&gt;25000,150,IF(AI151&gt;15000,130,IF(AI151&gt;10000,110,0)))))</f>
        <v>200</v>
      </c>
      <c r="AM151">
        <f>AI151-AJ151-AK151-AL151</f>
        <v>56010</v>
      </c>
      <c r="AN151">
        <f>_xlfn.XLOOKUP(B151,'[4]june-2025'!$A:$A,'[4]june-2025'!$C:$C,0,0)</f>
        <v>48700</v>
      </c>
      <c r="AO151">
        <f>AN151*0.18</f>
        <v>8766</v>
      </c>
      <c r="AP151">
        <f>AN151*0.12</f>
        <v>5844</v>
      </c>
      <c r="AQ151">
        <f>_xlfn.XLOOKUP(B151,'[4]june-2025'!$A:$A,'[4]june-2025'!$D:$D,0,0)</f>
        <v>400</v>
      </c>
      <c r="AR151">
        <f>_xlfn.XLOOKUP(B151,'[4]june-2025'!$A:$A,'[4]june-2025'!$G:$G,0,0)</f>
        <v>500</v>
      </c>
      <c r="AS151">
        <f>IF(AN151&gt;0,SUM(AN151:AR151),0)</f>
        <v>64210</v>
      </c>
      <c r="AT151">
        <f>_xlfn.XLOOKUP(B151,'[4]june-2025'!$A:$A,'[4]june-2025'!$H:$H,0,0)</f>
        <v>8000</v>
      </c>
      <c r="AU151">
        <f>_xlfn.XLOOKUP(B151,'[4]june-2025'!$A:$A,'[4]june-2025'!$I:$I,0,0)</f>
        <v>0</v>
      </c>
      <c r="AV151">
        <f>IF($F151="YES",0,IF(AS151&gt;40000,200,IF(AS151&gt;25000,150,IF(AS151&gt;15000,130,IF(AS151&gt;10000,110,0)))))</f>
        <v>200</v>
      </c>
      <c r="AW151">
        <f>AS151-AT151-AU151-AV151</f>
        <v>56010</v>
      </c>
      <c r="AX151">
        <f>_xlfn.XLOOKUP(B151,'[5]july-2025'!$A:$A,'[5]july-2025'!$C:$C,0,0)</f>
        <v>50200</v>
      </c>
      <c r="AY151">
        <f>AX151*0.18</f>
        <v>9036</v>
      </c>
      <c r="AZ151">
        <v>0</v>
      </c>
      <c r="BA151">
        <f>AX151*0.12</f>
        <v>6024</v>
      </c>
      <c r="BB151">
        <f>_xlfn.XLOOKUP(B151,'[5]july-2025'!$A:$A,'[5]july-2025'!$D:$D,0,0)</f>
        <v>400</v>
      </c>
      <c r="BC151">
        <f>_xlfn.XLOOKUP(B151,'[5]july-2025'!$A:$A,'[5]july-2025'!$G:$G,0,0)</f>
        <v>500</v>
      </c>
      <c r="BD151">
        <f>IF(AX151&gt;0,SUM(AX151:BC151),0)</f>
        <v>66160</v>
      </c>
      <c r="BE151">
        <f>_xlfn.XLOOKUP(B151,'[5]july-2025'!$A:$A,'[5]july-2025'!$H:$H,0,0)</f>
        <v>8000</v>
      </c>
      <c r="BF151">
        <f>_xlfn.XLOOKUP(B151,'[5]july-2025'!$A:$A,'[5]july-2025'!$I:$I,0,0)</f>
        <v>0</v>
      </c>
      <c r="BG151">
        <f>IF($F151="YES",0,IF(BD151&gt;40000,200,IF(BD151&gt;25000,150,IF(BD151&gt;15000,130,IF(BD151&gt;10000,110,0)))))</f>
        <v>200</v>
      </c>
      <c r="BH151">
        <f>BD151-BE151-BF151-BG151</f>
        <v>57960</v>
      </c>
      <c r="BI151">
        <f>_xlfn.XLOOKUP(B151,'[6]august-2025'!$A:$A,'[6]august-2025'!$C:$C,0,0)</f>
        <v>50200</v>
      </c>
      <c r="BJ151">
        <f>BI151*0.18</f>
        <v>9036</v>
      </c>
      <c r="BK151">
        <f>BI151*0.12</f>
        <v>6024</v>
      </c>
      <c r="BL151">
        <f>_xlfn.XLOOKUP(B151,'[6]august-2025'!$A:$A,'[6]august-2025'!$D:$D,0,0)</f>
        <v>400</v>
      </c>
      <c r="BM151">
        <f>_xlfn.XLOOKUP(B151,'[6]august-2025'!$A:$A,'[6]august-2025'!$G:$G,0,0)</f>
        <v>500</v>
      </c>
      <c r="BN151">
        <f>IF(BI151&gt;0,SUM(BI151:BM151),0)</f>
        <v>66160</v>
      </c>
      <c r="BO151">
        <f>_xlfn.XLOOKUP(B151,'[6]august-2025'!$A:$A,'[6]august-2025'!$H:$H,0,0)</f>
        <v>8000</v>
      </c>
      <c r="BP151">
        <f>_xlfn.XLOOKUP(B151,'[6]august-2025'!$A:$A,'[6]august-2025'!$I:$I,0,0)</f>
        <v>0</v>
      </c>
      <c r="BQ151">
        <f>IF($F151="YES",0,IF(BN151&gt;40000,200,IF(BN151&gt;25000,150,IF(BN151&gt;15000,130,IF(BN151&gt;10000,110,0)))))</f>
        <v>200</v>
      </c>
      <c r="BR151">
        <f>BN151-BO151-BP151-BQ151</f>
        <v>57960</v>
      </c>
      <c r="BS151">
        <f>_xlfn.XLOOKUP(B151,'[7]september-2025'!$A:$A,'[7]september-2025'!$C:$C,0,0)</f>
        <v>50200</v>
      </c>
      <c r="BT151">
        <f>BS151*0.18</f>
        <v>9036</v>
      </c>
      <c r="BU151">
        <f>BS151*0.12</f>
        <v>6024</v>
      </c>
      <c r="BV151">
        <f>_xlfn.XLOOKUP(B151,'[7]september-2025'!$A:$A,'[7]september-2025'!$D:$D,0,0)</f>
        <v>400</v>
      </c>
      <c r="BW151">
        <f>_xlfn.XLOOKUP(B151,'[7]september-2025'!$A:$A,'[7]september-2025'!$G:$G,0,0)</f>
        <v>500</v>
      </c>
      <c r="BX151">
        <f>IF(BS151&gt;0,SUM(BS151:BW151),0)</f>
        <v>66160</v>
      </c>
      <c r="BY151">
        <f>_xlfn.XLOOKUP(B151,'[7]september-2025'!$A:$A,'[7]september-2025'!$H:$H,0,0)</f>
        <v>8000</v>
      </c>
      <c r="BZ151">
        <f>_xlfn.XLOOKUP(B151,'[7]september-2025'!$A:$A,'[7]september-2025'!$I:$I,0,0)</f>
        <v>0</v>
      </c>
      <c r="CA151">
        <f>IF($F151="YES",0,IF(BX151&gt;40000,200,IF(BX151&gt;25000,150,IF(BX151&gt;15000,130,IF(BX151&gt;10000,110,0)))))</f>
        <v>200</v>
      </c>
      <c r="CB151">
        <f>BX151-BY151-BZ151-CA151</f>
        <v>57960</v>
      </c>
      <c r="CC151">
        <f>_xlfn.XLOOKUP(B151,'[8]october-2025'!$A:$A,'[8]october-2025'!$C:$C,0,0)</f>
        <v>50200</v>
      </c>
      <c r="CD151">
        <f>CC151*0.18</f>
        <v>9036</v>
      </c>
      <c r="CE151">
        <f>CC151*0.12</f>
        <v>6024</v>
      </c>
      <c r="CF151">
        <f>_xlfn.XLOOKUP(B151,'[8]october-2025'!$A:$A,'[8]october-2025'!$D:$D,0,0)</f>
        <v>400</v>
      </c>
      <c r="CG151">
        <f>_xlfn.XLOOKUP(B151,'[8]october-2025'!$A:$A,'[8]october-2025'!$G:$G,0,0)</f>
        <v>500</v>
      </c>
      <c r="CH151">
        <f>IF(CC151&gt;0,SUM(CC151:CG151),0)</f>
        <v>66160</v>
      </c>
      <c r="CI151">
        <f>_xlfn.XLOOKUP(B151,'[8]october-2025'!$A:$A,'[8]october-2025'!$H:$H,0,0)</f>
        <v>8000</v>
      </c>
      <c r="CJ151">
        <f>_xlfn.XLOOKUP(B151,'[8]october-2025'!$A:$A,'[8]october-2025'!$I:$I,0,0)</f>
        <v>0</v>
      </c>
      <c r="CK151">
        <f>IF($F151="YES",0,IF(CH151&gt;40000,200,IF(CH151&gt;25000,150,IF(CH151&gt;15000,130,IF(CH151&gt;10000,110,0)))))</f>
        <v>200</v>
      </c>
      <c r="CL151">
        <f>CH151-CI151-CJ151-CK151</f>
        <v>57960</v>
      </c>
      <c r="CM151">
        <f>_xlfn.XLOOKUP(B151,'[9]november-2025'!$A:$A,'[9]november-2025'!$C:$C,0,0)</f>
        <v>50200</v>
      </c>
      <c r="CN151">
        <f>CM151*0.18</f>
        <v>9036</v>
      </c>
      <c r="CO151">
        <f>CM151*0.12</f>
        <v>6024</v>
      </c>
      <c r="CP151">
        <f>_xlfn.XLOOKUP(B151,'[9]november-2025'!$A:$A,'[9]november-2025'!$D:$D,0,0)</f>
        <v>400</v>
      </c>
      <c r="CQ151">
        <f>_xlfn.XLOOKUP(B151,'[9]november-2025'!$A:$A,'[9]november-2025'!$G:$G,0,0)</f>
        <v>500</v>
      </c>
      <c r="CR151">
        <f>IF(CM151&gt;0,SUM(CM151:CQ151),0)</f>
        <v>66160</v>
      </c>
      <c r="CS151">
        <f>_xlfn.XLOOKUP(B151,'[9]november-2025'!$A:$A,'[9]november-2025'!$H:$H,0,0)</f>
        <v>8000</v>
      </c>
      <c r="CT151">
        <f>_xlfn.XLOOKUP(B151,'[9]november-2025'!$A:$A,'[9]november-2025'!$I:$I,0,0)</f>
        <v>0</v>
      </c>
      <c r="CU151">
        <f>IF($F151="YES",0,IF(CR151&gt;40000,200,IF(CR151&gt;25000,150,IF(CR151&gt;15000,130,IF(CR151&gt;10000,110,0)))))</f>
        <v>200</v>
      </c>
      <c r="CV151">
        <f>CR151-CS151-CT151-CU151</f>
        <v>57960</v>
      </c>
      <c r="CW151">
        <f>_xlfn.XLOOKUP(B151,'[10]december-2025'!$A:$A,'[10]december-2025'!$C:$C,0,0)</f>
        <v>50200</v>
      </c>
      <c r="CX151">
        <f>ROUND(CW151*0.18,0)</f>
        <v>9036</v>
      </c>
      <c r="CY151">
        <f>ROUND(CW151*0.12,0)</f>
        <v>6024</v>
      </c>
      <c r="CZ151">
        <f>_xlfn.XLOOKUP(B151,'[10]december-2025'!$A:$A,'[10]december-2025'!$D:$D,0,0)</f>
        <v>400</v>
      </c>
      <c r="DA151">
        <f>_xlfn.XLOOKUP(B151,'[10]december-2025'!$A:$A,'[10]december-2025'!$G:$G,0,0)</f>
        <v>500</v>
      </c>
      <c r="DB151">
        <f>IF(CW151&gt;0,SUM(CW151:DA151),0)</f>
        <v>66160</v>
      </c>
      <c r="DC151">
        <f>_xlfn.XLOOKUP(B151,'[10]december-2025'!$A:$A,'[10]december-2025'!$H:$H,0,0)</f>
        <v>8000</v>
      </c>
      <c r="DD151">
        <f>_xlfn.XLOOKUP(B151,'[10]december-2025'!$A:$A,'[10]december-2025'!$I:$I,0,0)</f>
        <v>0</v>
      </c>
      <c r="DE151">
        <f>IF($F151="YES",0,IF(DB151&gt;40000,200,IF(DB151&gt;25000,150,IF(DB151&gt;15000,130,IF(DB151&gt;10000,110,0)))))</f>
        <v>200</v>
      </c>
      <c r="DF151">
        <f>DB151-DC151-DD151-DE151</f>
        <v>57960</v>
      </c>
      <c r="DG151">
        <f>_xlfn.XLOOKUP(B151,'[11]january-2026'!$A:$A,'[11]january-2026'!$C:$C,0,0)</f>
        <v>50200</v>
      </c>
      <c r="DH151">
        <f>DG151*0.18</f>
        <v>9036</v>
      </c>
      <c r="DI151">
        <f>DG151*0.12</f>
        <v>6024</v>
      </c>
      <c r="DJ151">
        <f>_xlfn.XLOOKUP(B151,'[11]january-2026'!$A:$A,'[11]january-2026'!$D:$D,0,0)</f>
        <v>400</v>
      </c>
      <c r="DK151">
        <f>_xlfn.XLOOKUP(B151,'[11]january-2026'!$A:$A,'[11]january-2026'!$G:$G,0,0)</f>
        <v>500</v>
      </c>
      <c r="DL151">
        <f>IF(DG151&gt;0,SUM(DG151:DK151),0)</f>
        <v>66160</v>
      </c>
      <c r="DM151">
        <f>_xlfn.XLOOKUP(B151,'[11]january-2026'!$A:$A,'[11]january-2026'!$H:$H,0,0)</f>
        <v>8000</v>
      </c>
      <c r="DN151">
        <f>_xlfn.XLOOKUP(B151,'[11]january-2026'!$A:$A,'[11]january-2026'!$I:$I,0,0)</f>
        <v>0</v>
      </c>
      <c r="DO151">
        <f>IF($F151="YES",0,IF(DL151&gt;40000,200,IF(DL151&gt;25000,150,IF(DL151&gt;15000,130,IF(DL151&gt;10000,110,0)))))</f>
        <v>200</v>
      </c>
      <c r="DP151">
        <f>DL151-DM151-DN151-DO151</f>
        <v>57960</v>
      </c>
      <c r="DQ151">
        <f>_xlfn.XLOOKUP(B151,'[12]february-2026'!$A:$A,'[12]february-2026'!$C:$C,0,0)</f>
        <v>50200</v>
      </c>
      <c r="DR151">
        <f>DQ151*0.18</f>
        <v>9036</v>
      </c>
      <c r="DS151">
        <f>DQ151*0.12</f>
        <v>6024</v>
      </c>
      <c r="DT151">
        <f>_xlfn.XLOOKUP(B151,'[12]february-2026'!$A:$A,'[12]february-2026'!$D:$D,0,0)</f>
        <v>400</v>
      </c>
      <c r="DU151">
        <f>_xlfn.XLOOKUP(B151,'[12]february-2026'!$A:$A,'[12]february-2026'!$G:$G,0,0)</f>
        <v>500</v>
      </c>
      <c r="DV151">
        <f>IF(DQ151&gt;0,SUM(DQ151:DU151),0)</f>
        <v>66160</v>
      </c>
      <c r="DW151">
        <f>_xlfn.XLOOKUP(B151,'[12]february-2026'!$A:$A,'[12]february-2026'!$H:$H,0,0)</f>
        <v>8000</v>
      </c>
      <c r="DX151">
        <f>_xlfn.XLOOKUP(B151,'[12]february-2026'!$A:$A,'[12]february-2026'!$I:$I,0,0)</f>
        <v>0</v>
      </c>
      <c r="DY151">
        <f>IF($F151="YES",0,IF(DV151&gt;40000,200,IF(DV151&gt;25000,150,IF(DV151&gt;15000,130,IF(DV151&gt;10000,110,0)))))</f>
        <v>200</v>
      </c>
      <c r="DZ151">
        <f>DV151-DW151-DX151-DY151</f>
        <v>57960</v>
      </c>
      <c r="EA151">
        <f>DV151+DL151+DB151+CR151+CH151+BX151+BN151+BD151+AS151+AI151+Y151+O151+H151+I151</f>
        <v>790972</v>
      </c>
      <c r="EB151">
        <f>DY151+DO151+DE151+CU151+CK151+CA151+BQ151+BG151+AV151+AL151+AB151+R151</f>
        <v>2400</v>
      </c>
      <c r="EC151">
        <f>IF(EA151&gt;0,50000,0)</f>
        <v>50000</v>
      </c>
      <c r="ED151">
        <v>0</v>
      </c>
      <c r="EE151">
        <f>EA151-EB151-EC151</f>
        <v>738572</v>
      </c>
      <c r="EF151">
        <f>DW151+DM151+DC151+CS151+CI151+BY151+BO151+BE151+AT151+AJ151+Z151+P151</f>
        <v>96000</v>
      </c>
      <c r="EG151">
        <f>DX151+DN151+DD151+CT151+CJ151+BZ151+BP151+BF151+AU151+AK151+AA151+Q151</f>
        <v>0</v>
      </c>
      <c r="EH151">
        <v>0</v>
      </c>
      <c r="EI151">
        <v>0</v>
      </c>
      <c r="EJ151">
        <v>0</v>
      </c>
      <c r="EK151">
        <v>0</v>
      </c>
      <c r="EL151">
        <v>0</v>
      </c>
      <c r="EM151">
        <v>0</v>
      </c>
      <c r="EN151">
        <v>0</v>
      </c>
      <c r="EO151">
        <v>0</v>
      </c>
      <c r="EP151">
        <v>0</v>
      </c>
      <c r="EQ151">
        <v>0</v>
      </c>
      <c r="ER151">
        <f>SUM(EF151:EQ151)</f>
        <v>96000</v>
      </c>
      <c r="ES151">
        <f>IF(ER151&gt;=150000,150000,ER151)</f>
        <v>96000</v>
      </c>
      <c r="ET151">
        <f>EE151-ES151</f>
        <v>642572</v>
      </c>
      <c r="EU151">
        <v>0</v>
      </c>
      <c r="EV151">
        <v>0</v>
      </c>
      <c r="EW151">
        <v>0</v>
      </c>
      <c r="EX151">
        <v>0</v>
      </c>
      <c r="EY151">
        <v>0</v>
      </c>
      <c r="EZ151">
        <v>0</v>
      </c>
      <c r="FA151">
        <v>0</v>
      </c>
      <c r="FB151">
        <f>SUM(EU151:FA151)+(IF(F151="YES",50000,0))</f>
        <v>0</v>
      </c>
      <c r="FC151">
        <f>ET151-FB151</f>
        <v>642572</v>
      </c>
      <c r="FD151">
        <f>ROUND(IF(FC151&gt;0,IF(FC151&gt;500000,12500,(FC151-250000)*0.05),0),0)</f>
        <v>12500</v>
      </c>
      <c r="FE151">
        <f>IF(ROUND(IF(FC151&gt;0,IF(FC151&gt;1000000,25000,(FC151-500000)*0.2),0),0)&lt;0,0,ROUND(IF(FC151&gt;0,IF(FC151&gt;1000000,25000,(FC151-500000)*0.2),0),0))</f>
        <v>28514</v>
      </c>
      <c r="FF151">
        <f>FD151+FE151</f>
        <v>41014</v>
      </c>
      <c r="FG151">
        <f>IF(FF151&lt;12500,0,FF151)</f>
        <v>41014</v>
      </c>
      <c r="FH151">
        <f>FG151*0.04</f>
        <v>1640.56</v>
      </c>
      <c r="FI151">
        <f>ROUND(FH151+FG151,0)</f>
        <v>42655</v>
      </c>
      <c r="FJ151">
        <v>0</v>
      </c>
      <c r="FK151">
        <f>FI151-FJ151</f>
        <v>42655</v>
      </c>
      <c r="FL151" t="b">
        <f>IF(EA151&gt;500000,TRUE,FALSE)</f>
        <v>1</v>
      </c>
      <c r="FM151">
        <f ca="1">IF(FL151,RANDBETWEEN(500,1000),RANDBETWEEN(1000,3000))</f>
        <v>991</v>
      </c>
      <c r="FN151">
        <f ca="1">EA151+FM151</f>
        <v>791963</v>
      </c>
      <c r="FO151">
        <f>IF(EA151&gt;0,75000,0)</f>
        <v>75000</v>
      </c>
      <c r="FP151">
        <f ca="1">FN151-FO151</f>
        <v>716963</v>
      </c>
      <c r="FQ151">
        <f ca="1">IF(FP151&gt;2400000,FP151-2400000,0)</f>
        <v>0</v>
      </c>
      <c r="FR151">
        <f ca="1">FQ151*0.3</f>
        <v>0</v>
      </c>
      <c r="FS151">
        <f ca="1">IF(FP151&gt;2000000,FP151-2000000,0)</f>
        <v>0</v>
      </c>
      <c r="FT151">
        <f ca="1">FS151*0.25</f>
        <v>0</v>
      </c>
      <c r="FU151">
        <f ca="1">IF(FP151&gt;1600000,FP151-1600000-FQ151,0)</f>
        <v>0</v>
      </c>
      <c r="FV151">
        <f ca="1">FU151*0.2</f>
        <v>0</v>
      </c>
      <c r="FW151">
        <f ca="1">IF(FP151&gt;1200000,FP151-1200000-IF(F151="YES",50000,0)-FU151,0)</f>
        <v>0</v>
      </c>
      <c r="FX151">
        <f ca="1">FW151*0.15</f>
        <v>0</v>
      </c>
      <c r="FY151">
        <f ca="1">IF(FP151&gt;800000,FP151-800000-FQ151-FU151-FW151,0)</f>
        <v>0</v>
      </c>
      <c r="FZ151">
        <f ca="1">FY151*0.1</f>
        <v>0</v>
      </c>
      <c r="GA151">
        <f ca="1">IF(FP151&gt;400000,FP151-400000-FQ151-FU151-FW151-FY151,0)</f>
        <v>316963</v>
      </c>
      <c r="GB151">
        <f ca="1">GA151*0.05</f>
        <v>15848.150000000001</v>
      </c>
      <c r="GC151">
        <f ca="1">ROUND(FR151+FT151+FV151+FX151+FZ151+GB151,0)</f>
        <v>15848</v>
      </c>
      <c r="GD151">
        <f ca="1">IF(FP151&gt;1200000,FP151,0)</f>
        <v>0</v>
      </c>
      <c r="GE151">
        <f ca="1">IF(FP151&gt;1200000,GD151-1200000,0)</f>
        <v>0</v>
      </c>
      <c r="GF151">
        <f ca="1">IF(FP151&lt;1200001,MIN(GC151,60000),0)</f>
        <v>15848</v>
      </c>
      <c r="GG151">
        <f ca="1">IF(FP151&gt;1200000,GC151-GE151,0)</f>
        <v>0</v>
      </c>
      <c r="GH151" t="b">
        <f ca="1">IF(GG151&gt;0,TRUE,FALSE)</f>
        <v>0</v>
      </c>
      <c r="GI151">
        <f ca="1">IF(GH151,GG151,0)</f>
        <v>0</v>
      </c>
      <c r="GJ151">
        <f ca="1">GF151+GI151</f>
        <v>15848</v>
      </c>
      <c r="GK151">
        <f ca="1">ROUND(GC151-GJ151,0)</f>
        <v>0</v>
      </c>
      <c r="GL151">
        <f ca="1">GK151*0.04</f>
        <v>0</v>
      </c>
      <c r="GM151">
        <f ca="1">ROUNDUP(GK151+GL151,0)</f>
        <v>0</v>
      </c>
    </row>
    <row r="152" spans="1:195" x14ac:dyDescent="0.25">
      <c r="A152">
        <f>_xlfn.AGGREGATE(3,5,$B$2:B152)</f>
        <v>151</v>
      </c>
      <c r="B152" t="s">
        <v>415</v>
      </c>
      <c r="C152" t="s">
        <v>416</v>
      </c>
      <c r="D152" t="s">
        <v>794</v>
      </c>
      <c r="E152" t="s">
        <v>833</v>
      </c>
      <c r="F152" t="s">
        <v>959</v>
      </c>
      <c r="G152" t="s">
        <v>934</v>
      </c>
      <c r="H152">
        <f>IF(_xlfn.DAYS("31-03-2025",G152)&gt;=180,6800,0)</f>
        <v>6800</v>
      </c>
      <c r="I152">
        <f>_xlfn.XLOOKUP(B152,'[1]march-2025'!$A:$A,'[1]march-2025'!$J:$J,0,0)</f>
        <v>0</v>
      </c>
      <c r="J152">
        <f>_xlfn.XLOOKUP(B152,'[1]march-2025'!$A:$A,'[1]march-2025'!$C:$C,0,0)</f>
        <v>47300</v>
      </c>
      <c r="K152">
        <f>J152*0.14</f>
        <v>6622.0000000000009</v>
      </c>
      <c r="L152">
        <f>J152*0.12</f>
        <v>5676</v>
      </c>
      <c r="M152">
        <f>_xlfn.XLOOKUP(B152,'[1]march-2025'!$A:$A,'[1]march-2025'!$D:$D,0,0)</f>
        <v>0</v>
      </c>
      <c r="N152">
        <f>_xlfn.XLOOKUP(B152,'[1]march-2025'!$A:$A,'[1]march-2025'!$G:$G,0,0)</f>
        <v>0</v>
      </c>
      <c r="O152">
        <f>IF(J152&gt;0,SUM(J152:N152),0)</f>
        <v>59598</v>
      </c>
      <c r="P152">
        <f>_xlfn.XLOOKUP(B152,'[1]march-2025'!$A:$A,'[1]march-2025'!$H:$H,0,0)</f>
        <v>9000</v>
      </c>
      <c r="Q152">
        <f>_xlfn.XLOOKUP(B152,'[1]march-2025'!$A:$A,'[1]march-2025'!$I:$I,0,0)</f>
        <v>0</v>
      </c>
      <c r="R152">
        <f>IF($F152="YES",0,IF(O152&gt;40000,200,IF(O152&gt;25000,150,IF(O152&gt;15000,130,IF(O152&gt;10000,110,0)))))</f>
        <v>200</v>
      </c>
      <c r="S152">
        <f>O152-P152-Q152-R152</f>
        <v>50398</v>
      </c>
      <c r="T152">
        <f>_xlfn.XLOOKUP(B152,'[2]april-2025'!$A:$A,'[2]april-2025'!$C:$C,0,0)</f>
        <v>47300</v>
      </c>
      <c r="U152">
        <f>T152*0.18</f>
        <v>8514</v>
      </c>
      <c r="V152">
        <f>T152*0.12</f>
        <v>5676</v>
      </c>
      <c r="W152">
        <f>_xlfn.XLOOKUP(B152,'[2]april-2025'!$A:$A,'[2]april-2025'!$D:$D,0,0)</f>
        <v>0</v>
      </c>
      <c r="X152">
        <f>_xlfn.XLOOKUP(B152,'[2]april-2025'!$A:$A,'[2]april-2025'!$G:$G,0,0)</f>
        <v>0</v>
      </c>
      <c r="Y152">
        <f>IF(T152&gt;0,SUM(T152:X152),0)</f>
        <v>61490</v>
      </c>
      <c r="Z152">
        <f>_xlfn.XLOOKUP(B152,'[2]april-2025'!$A:$A,'[2]april-2025'!$H:$H,0,0)</f>
        <v>9000</v>
      </c>
      <c r="AA152">
        <f>_xlfn.XLOOKUP(B152,'[2]april-2025'!$A:$A,'[2]april-2025'!$I:$I,0,0)</f>
        <v>0</v>
      </c>
      <c r="AB152">
        <f>IF($F152="YES",0,IF(Y152&gt;40000,200,IF(Y152&gt;25000,150,IF(Y152&gt;15000,130,IF(Y152&gt;10000,110,0)))))</f>
        <v>200</v>
      </c>
      <c r="AC152">
        <f>Y152-Z152-AA152-AB152</f>
        <v>52290</v>
      </c>
      <c r="AD152">
        <f>_xlfn.XLOOKUP(B152,'[3]may-2025'!$A:$A,'[3]may-2025'!$C:$C,0,0)</f>
        <v>47300</v>
      </c>
      <c r="AE152">
        <f>AD152*0.18</f>
        <v>8514</v>
      </c>
      <c r="AF152">
        <f>AD152*0.12</f>
        <v>5676</v>
      </c>
      <c r="AG152">
        <f>_xlfn.XLOOKUP(B152,'[3]may-2025'!$A:$A,'[3]may-2025'!$D:$D,0,0)</f>
        <v>0</v>
      </c>
      <c r="AH152">
        <f>_xlfn.XLOOKUP(B152,'[3]may-2025'!$A:$A,'[3]may-2025'!$G:$G,0,0)</f>
        <v>0</v>
      </c>
      <c r="AI152">
        <f>IF(AD152&gt;0,SUM(AD152:AH152),0)</f>
        <v>61490</v>
      </c>
      <c r="AJ152">
        <f>_xlfn.XLOOKUP(B152,'[3]may-2025'!$A:$A,'[3]may-2025'!$H:$H,0,0)</f>
        <v>9000</v>
      </c>
      <c r="AK152">
        <f>_xlfn.XLOOKUP(B152,'[3]may-2025'!$A:$A,'[3]may-2025'!$I:$I,0,0)</f>
        <v>0</v>
      </c>
      <c r="AL152">
        <f>IF($F152="YES",0,IF(AI152&gt;40000,200,IF(AI152&gt;25000,150,IF(AI152&gt;15000,130,IF(AI152&gt;10000,110,0)))))</f>
        <v>200</v>
      </c>
      <c r="AM152">
        <f>AI152-AJ152-AK152-AL152</f>
        <v>52290</v>
      </c>
      <c r="AN152">
        <f>_xlfn.XLOOKUP(B152,'[4]june-2025'!$A:$A,'[4]june-2025'!$C:$C,0,0)</f>
        <v>47300</v>
      </c>
      <c r="AO152">
        <f>AN152*0.18</f>
        <v>8514</v>
      </c>
      <c r="AP152">
        <f>AN152*0.12</f>
        <v>5676</v>
      </c>
      <c r="AQ152">
        <f>_xlfn.XLOOKUP(B152,'[4]june-2025'!$A:$A,'[4]june-2025'!$D:$D,0,0)</f>
        <v>0</v>
      </c>
      <c r="AR152">
        <f>_xlfn.XLOOKUP(B152,'[4]june-2025'!$A:$A,'[4]june-2025'!$G:$G,0,0)</f>
        <v>0</v>
      </c>
      <c r="AS152">
        <f>IF(AN152&gt;0,SUM(AN152:AR152),0)</f>
        <v>61490</v>
      </c>
      <c r="AT152">
        <f>_xlfn.XLOOKUP(B152,'[4]june-2025'!$A:$A,'[4]june-2025'!$H:$H,0,0)</f>
        <v>9000</v>
      </c>
      <c r="AU152">
        <f>_xlfn.XLOOKUP(B152,'[4]june-2025'!$A:$A,'[4]june-2025'!$I:$I,0,0)</f>
        <v>0</v>
      </c>
      <c r="AV152">
        <f>IF($F152="YES",0,IF(AS152&gt;40000,200,IF(AS152&gt;25000,150,IF(AS152&gt;15000,130,IF(AS152&gt;10000,110,0)))))</f>
        <v>200</v>
      </c>
      <c r="AW152">
        <f>AS152-AT152-AU152-AV152</f>
        <v>52290</v>
      </c>
      <c r="AX152">
        <f>_xlfn.XLOOKUP(B152,'[5]july-2025'!$A:$A,'[5]july-2025'!$C:$C,0,0)</f>
        <v>48700</v>
      </c>
      <c r="AY152">
        <f>AX152*0.18</f>
        <v>8766</v>
      </c>
      <c r="AZ152">
        <v>0</v>
      </c>
      <c r="BA152">
        <f>AX152*0.12</f>
        <v>5844</v>
      </c>
      <c r="BB152">
        <f>_xlfn.XLOOKUP(B152,'[5]july-2025'!$A:$A,'[5]july-2025'!$D:$D,0,0)</f>
        <v>0</v>
      </c>
      <c r="BC152">
        <f>_xlfn.XLOOKUP(B152,'[5]july-2025'!$A:$A,'[5]july-2025'!$G:$G,0,0)</f>
        <v>0</v>
      </c>
      <c r="BD152">
        <f>IF(AX152&gt;0,SUM(AX152:BC152),0)</f>
        <v>63310</v>
      </c>
      <c r="BE152">
        <f>_xlfn.XLOOKUP(B152,'[5]july-2025'!$A:$A,'[5]july-2025'!$H:$H,0,0)</f>
        <v>9000</v>
      </c>
      <c r="BF152">
        <f>_xlfn.XLOOKUP(B152,'[5]july-2025'!$A:$A,'[5]july-2025'!$I:$I,0,0)</f>
        <v>0</v>
      </c>
      <c r="BG152">
        <f>IF($F152="YES",0,IF(BD152&gt;40000,200,IF(BD152&gt;25000,150,IF(BD152&gt;15000,130,IF(BD152&gt;10000,110,0)))))</f>
        <v>200</v>
      </c>
      <c r="BH152">
        <f>BD152-BE152-BF152-BG152</f>
        <v>54110</v>
      </c>
      <c r="BI152">
        <f>_xlfn.XLOOKUP(B152,'[6]august-2025'!$A:$A,'[6]august-2025'!$C:$C,0,0)</f>
        <v>48700</v>
      </c>
      <c r="BJ152">
        <f>BI152*0.18</f>
        <v>8766</v>
      </c>
      <c r="BK152">
        <f>BI152*0.12</f>
        <v>5844</v>
      </c>
      <c r="BL152">
        <f>_xlfn.XLOOKUP(B152,'[6]august-2025'!$A:$A,'[6]august-2025'!$D:$D,0,0)</f>
        <v>0</v>
      </c>
      <c r="BM152">
        <f>_xlfn.XLOOKUP(B152,'[6]august-2025'!$A:$A,'[6]august-2025'!$G:$G,0,0)</f>
        <v>0</v>
      </c>
      <c r="BN152">
        <f>IF(BI152&gt;0,SUM(BI152:BM152),0)</f>
        <v>63310</v>
      </c>
      <c r="BO152">
        <f>_xlfn.XLOOKUP(B152,'[6]august-2025'!$A:$A,'[6]august-2025'!$H:$H,0,0)</f>
        <v>9000</v>
      </c>
      <c r="BP152">
        <f>_xlfn.XLOOKUP(B152,'[6]august-2025'!$A:$A,'[6]august-2025'!$I:$I,0,0)</f>
        <v>0</v>
      </c>
      <c r="BQ152">
        <f>IF($F152="YES",0,IF(BN152&gt;40000,200,IF(BN152&gt;25000,150,IF(BN152&gt;15000,130,IF(BN152&gt;10000,110,0)))))</f>
        <v>200</v>
      </c>
      <c r="BR152">
        <f>BN152-BO152-BP152-BQ152</f>
        <v>54110</v>
      </c>
      <c r="BS152">
        <f>_xlfn.XLOOKUP(B152,'[7]september-2025'!$A:$A,'[7]september-2025'!$C:$C,0,0)</f>
        <v>48700</v>
      </c>
      <c r="BT152">
        <f>BS152*0.18</f>
        <v>8766</v>
      </c>
      <c r="BU152">
        <f>BS152*0.12</f>
        <v>5844</v>
      </c>
      <c r="BV152">
        <f>_xlfn.XLOOKUP(B152,'[7]september-2025'!$A:$A,'[7]september-2025'!$D:$D,0,0)</f>
        <v>0</v>
      </c>
      <c r="BW152">
        <f>_xlfn.XLOOKUP(B152,'[7]september-2025'!$A:$A,'[7]september-2025'!$G:$G,0,0)</f>
        <v>0</v>
      </c>
      <c r="BX152">
        <f>IF(BS152&gt;0,SUM(BS152:BW152),0)</f>
        <v>63310</v>
      </c>
      <c r="BY152">
        <f>_xlfn.XLOOKUP(B152,'[7]september-2025'!$A:$A,'[7]september-2025'!$H:$H,0,0)</f>
        <v>9000</v>
      </c>
      <c r="BZ152">
        <f>_xlfn.XLOOKUP(B152,'[7]september-2025'!$A:$A,'[7]september-2025'!$I:$I,0,0)</f>
        <v>0</v>
      </c>
      <c r="CA152">
        <f>IF($F152="YES",0,IF(BX152&gt;40000,200,IF(BX152&gt;25000,150,IF(BX152&gt;15000,130,IF(BX152&gt;10000,110,0)))))</f>
        <v>200</v>
      </c>
      <c r="CB152">
        <f>BX152-BY152-BZ152-CA152</f>
        <v>54110</v>
      </c>
      <c r="CC152">
        <f>_xlfn.XLOOKUP(B152,'[8]october-2025'!$A:$A,'[8]october-2025'!$C:$C,0,0)</f>
        <v>48700</v>
      </c>
      <c r="CD152">
        <f>CC152*0.18</f>
        <v>8766</v>
      </c>
      <c r="CE152">
        <f>CC152*0.12</f>
        <v>5844</v>
      </c>
      <c r="CF152">
        <f>_xlfn.XLOOKUP(B152,'[8]october-2025'!$A:$A,'[8]october-2025'!$D:$D,0,0)</f>
        <v>0</v>
      </c>
      <c r="CG152">
        <f>_xlfn.XLOOKUP(B152,'[8]october-2025'!$A:$A,'[8]october-2025'!$G:$G,0,0)</f>
        <v>0</v>
      </c>
      <c r="CH152">
        <f>IF(CC152&gt;0,SUM(CC152:CG152),0)</f>
        <v>63310</v>
      </c>
      <c r="CI152">
        <f>_xlfn.XLOOKUP(B152,'[8]october-2025'!$A:$A,'[8]october-2025'!$H:$H,0,0)</f>
        <v>9000</v>
      </c>
      <c r="CJ152">
        <f>_xlfn.XLOOKUP(B152,'[8]october-2025'!$A:$A,'[8]october-2025'!$I:$I,0,0)</f>
        <v>0</v>
      </c>
      <c r="CK152">
        <f>IF($F152="YES",0,IF(CH152&gt;40000,200,IF(CH152&gt;25000,150,IF(CH152&gt;15000,130,IF(CH152&gt;10000,110,0)))))</f>
        <v>200</v>
      </c>
      <c r="CL152">
        <f>CH152-CI152-CJ152-CK152</f>
        <v>54110</v>
      </c>
      <c r="CM152">
        <f>_xlfn.XLOOKUP(B152,'[9]november-2025'!$A:$A,'[9]november-2025'!$C:$C,0,0)</f>
        <v>48700</v>
      </c>
      <c r="CN152">
        <f>CM152*0.18</f>
        <v>8766</v>
      </c>
      <c r="CO152">
        <f>CM152*0.12</f>
        <v>5844</v>
      </c>
      <c r="CP152">
        <f>_xlfn.XLOOKUP(B152,'[9]november-2025'!$A:$A,'[9]november-2025'!$D:$D,0,0)</f>
        <v>0</v>
      </c>
      <c r="CQ152">
        <f>_xlfn.XLOOKUP(B152,'[9]november-2025'!$A:$A,'[9]november-2025'!$G:$G,0,0)</f>
        <v>0</v>
      </c>
      <c r="CR152">
        <f>IF(CM152&gt;0,SUM(CM152:CQ152),0)</f>
        <v>63310</v>
      </c>
      <c r="CS152">
        <f>_xlfn.XLOOKUP(B152,'[9]november-2025'!$A:$A,'[9]november-2025'!$H:$H,0,0)</f>
        <v>9000</v>
      </c>
      <c r="CT152">
        <f>_xlfn.XLOOKUP(B152,'[9]november-2025'!$A:$A,'[9]november-2025'!$I:$I,0,0)</f>
        <v>0</v>
      </c>
      <c r="CU152">
        <f>IF($F152="YES",0,IF(CR152&gt;40000,200,IF(CR152&gt;25000,150,IF(CR152&gt;15000,130,IF(CR152&gt;10000,110,0)))))</f>
        <v>200</v>
      </c>
      <c r="CV152">
        <f>CR152-CS152-CT152-CU152</f>
        <v>54110</v>
      </c>
      <c r="CW152">
        <f>_xlfn.XLOOKUP(B152,'[10]december-2025'!$A:$A,'[10]december-2025'!$C:$C,0,0)</f>
        <v>48700</v>
      </c>
      <c r="CX152">
        <f>ROUND(CW152*0.18,0)</f>
        <v>8766</v>
      </c>
      <c r="CY152">
        <f>ROUND(CW152*0.12,0)</f>
        <v>5844</v>
      </c>
      <c r="CZ152">
        <f>_xlfn.XLOOKUP(B152,'[10]december-2025'!$A:$A,'[10]december-2025'!$D:$D,0,0)</f>
        <v>0</v>
      </c>
      <c r="DA152">
        <f>_xlfn.XLOOKUP(B152,'[10]december-2025'!$A:$A,'[10]december-2025'!$G:$G,0,0)</f>
        <v>0</v>
      </c>
      <c r="DB152">
        <f>IF(CW152&gt;0,SUM(CW152:DA152),0)</f>
        <v>63310</v>
      </c>
      <c r="DC152">
        <f>_xlfn.XLOOKUP(B152,'[10]december-2025'!$A:$A,'[10]december-2025'!$H:$H,0,0)</f>
        <v>9000</v>
      </c>
      <c r="DD152">
        <f>_xlfn.XLOOKUP(B152,'[10]december-2025'!$A:$A,'[10]december-2025'!$I:$I,0,0)</f>
        <v>0</v>
      </c>
      <c r="DE152">
        <f>IF($F152="YES",0,IF(DB152&gt;40000,200,IF(DB152&gt;25000,150,IF(DB152&gt;15000,130,IF(DB152&gt;10000,110,0)))))</f>
        <v>200</v>
      </c>
      <c r="DF152">
        <f>DB152-DC152-DD152-DE152</f>
        <v>54110</v>
      </c>
      <c r="DG152">
        <f>_xlfn.XLOOKUP(B152,'[11]january-2026'!$A:$A,'[11]january-2026'!$C:$C,0,0)</f>
        <v>48700</v>
      </c>
      <c r="DH152">
        <f>DG152*0.18</f>
        <v>8766</v>
      </c>
      <c r="DI152">
        <f>DG152*0.12</f>
        <v>5844</v>
      </c>
      <c r="DJ152">
        <f>_xlfn.XLOOKUP(B152,'[11]january-2026'!$A:$A,'[11]january-2026'!$D:$D,0,0)</f>
        <v>0</v>
      </c>
      <c r="DK152">
        <f>_xlfn.XLOOKUP(B152,'[11]january-2026'!$A:$A,'[11]january-2026'!$G:$G,0,0)</f>
        <v>0</v>
      </c>
      <c r="DL152">
        <f>IF(DG152&gt;0,SUM(DG152:DK152),0)</f>
        <v>63310</v>
      </c>
      <c r="DM152">
        <f>_xlfn.XLOOKUP(B152,'[11]january-2026'!$A:$A,'[11]january-2026'!$H:$H,0,0)</f>
        <v>9000</v>
      </c>
      <c r="DN152">
        <f>_xlfn.XLOOKUP(B152,'[11]january-2026'!$A:$A,'[11]january-2026'!$I:$I,0,0)</f>
        <v>0</v>
      </c>
      <c r="DO152">
        <f>IF($F152="YES",0,IF(DL152&gt;40000,200,IF(DL152&gt;25000,150,IF(DL152&gt;15000,130,IF(DL152&gt;10000,110,0)))))</f>
        <v>200</v>
      </c>
      <c r="DP152">
        <f>DL152-DM152-DN152-DO152</f>
        <v>54110</v>
      </c>
      <c r="DQ152">
        <f>_xlfn.XLOOKUP(B152,'[12]february-2026'!$A:$A,'[12]february-2026'!$C:$C,0,0)</f>
        <v>48700</v>
      </c>
      <c r="DR152">
        <f>DQ152*0.18</f>
        <v>8766</v>
      </c>
      <c r="DS152">
        <f>DQ152*0.12</f>
        <v>5844</v>
      </c>
      <c r="DT152">
        <f>_xlfn.XLOOKUP(B152,'[12]february-2026'!$A:$A,'[12]february-2026'!$D:$D,0,0)</f>
        <v>0</v>
      </c>
      <c r="DU152">
        <f>_xlfn.XLOOKUP(B152,'[12]february-2026'!$A:$A,'[12]february-2026'!$G:$G,0,0)</f>
        <v>0</v>
      </c>
      <c r="DV152">
        <f>IF(DQ152&gt;0,SUM(DQ152:DU152),0)</f>
        <v>63310</v>
      </c>
      <c r="DW152">
        <f>_xlfn.XLOOKUP(B152,'[12]february-2026'!$A:$A,'[12]february-2026'!$H:$H,0,0)</f>
        <v>9000</v>
      </c>
      <c r="DX152">
        <f>_xlfn.XLOOKUP(B152,'[12]february-2026'!$A:$A,'[12]february-2026'!$I:$I,0,0)</f>
        <v>0</v>
      </c>
      <c r="DY152">
        <f>IF($F152="YES",0,IF(DV152&gt;40000,200,IF(DV152&gt;25000,150,IF(DV152&gt;15000,130,IF(DV152&gt;10000,110,0)))))</f>
        <v>200</v>
      </c>
      <c r="DZ152">
        <f>DV152-DW152-DX152-DY152</f>
        <v>54110</v>
      </c>
      <c r="EA152">
        <f>DV152+DL152+DB152+CR152+CH152+BX152+BN152+BD152+AS152+AI152+Y152+O152+H152+I152</f>
        <v>757348</v>
      </c>
      <c r="EB152">
        <f>DY152+DO152+DE152+CU152+CK152+CA152+BQ152+BG152+AV152+AL152+AB152+R152</f>
        <v>2400</v>
      </c>
      <c r="EC152">
        <f>IF(EA152&gt;0,50000,0)</f>
        <v>50000</v>
      </c>
      <c r="ED152">
        <v>0</v>
      </c>
      <c r="EE152">
        <f>EA152-EB152-EC152</f>
        <v>704948</v>
      </c>
      <c r="EF152">
        <f>DW152+DM152+DC152+CS152+CI152+BY152+BO152+BE152+AT152+AJ152+Z152+P152</f>
        <v>108000</v>
      </c>
      <c r="EG152">
        <f>DX152+DN152+DD152+CT152+CJ152+BZ152+BP152+BF152+AU152+AK152+AA152+Q152</f>
        <v>0</v>
      </c>
      <c r="EH152">
        <v>0</v>
      </c>
      <c r="EI152">
        <v>0</v>
      </c>
      <c r="EJ152">
        <v>0</v>
      </c>
      <c r="EK152">
        <v>0</v>
      </c>
      <c r="EL152">
        <v>0</v>
      </c>
      <c r="EM152">
        <v>0</v>
      </c>
      <c r="EN152">
        <v>0</v>
      </c>
      <c r="EO152">
        <v>0</v>
      </c>
      <c r="EP152">
        <v>0</v>
      </c>
      <c r="EQ152">
        <v>0</v>
      </c>
      <c r="ER152">
        <f>SUM(EF152:EQ152)</f>
        <v>108000</v>
      </c>
      <c r="ES152">
        <f>IF(ER152&gt;=150000,150000,ER152)</f>
        <v>108000</v>
      </c>
      <c r="ET152">
        <f>EE152-ES152</f>
        <v>596948</v>
      </c>
      <c r="EU152">
        <v>0</v>
      </c>
      <c r="EV152">
        <v>0</v>
      </c>
      <c r="EW152">
        <v>0</v>
      </c>
      <c r="EX152">
        <v>0</v>
      </c>
      <c r="EY152">
        <v>0</v>
      </c>
      <c r="EZ152">
        <v>0</v>
      </c>
      <c r="FA152">
        <v>0</v>
      </c>
      <c r="FB152">
        <f>SUM(EU152:FA152)+(IF(F152="YES",50000,0))</f>
        <v>0</v>
      </c>
      <c r="FC152">
        <f>ET152-FB152</f>
        <v>596948</v>
      </c>
      <c r="FD152">
        <f>ROUND(IF(FC152&gt;0,IF(FC152&gt;500000,12500,(FC152-250000)*0.05),0),0)</f>
        <v>12500</v>
      </c>
      <c r="FE152">
        <f>IF(ROUND(IF(FC152&gt;0,IF(FC152&gt;1000000,25000,(FC152-500000)*0.2),0),0)&lt;0,0,ROUND(IF(FC152&gt;0,IF(FC152&gt;1000000,25000,(FC152-500000)*0.2),0),0))</f>
        <v>19390</v>
      </c>
      <c r="FF152">
        <f>FD152+FE152</f>
        <v>31890</v>
      </c>
      <c r="FG152">
        <f>IF(FF152&lt;12500,0,FF152)</f>
        <v>31890</v>
      </c>
      <c r="FH152">
        <f>FG152*0.04</f>
        <v>1275.6000000000001</v>
      </c>
      <c r="FI152">
        <f>ROUND(FH152+FG152,0)</f>
        <v>33166</v>
      </c>
      <c r="FJ152">
        <v>0</v>
      </c>
      <c r="FK152">
        <f>FI152-FJ152</f>
        <v>33166</v>
      </c>
      <c r="FL152" t="b">
        <f>IF(EA152&gt;500000,TRUE,FALSE)</f>
        <v>1</v>
      </c>
      <c r="FM152">
        <f ca="1">IF(FL152,RANDBETWEEN(500,1000),RANDBETWEEN(1000,3000))</f>
        <v>605</v>
      </c>
      <c r="FN152">
        <f ca="1">EA152+FM152</f>
        <v>757953</v>
      </c>
      <c r="FO152">
        <f>IF(EA152&gt;0,75000,0)</f>
        <v>75000</v>
      </c>
      <c r="FP152">
        <f ca="1">FN152-FO152</f>
        <v>682953</v>
      </c>
      <c r="FQ152">
        <f ca="1">IF(FP152&gt;2400000,FP152-2400000,0)</f>
        <v>0</v>
      </c>
      <c r="FR152">
        <f ca="1">FQ152*0.3</f>
        <v>0</v>
      </c>
      <c r="FS152">
        <f ca="1">IF(FP152&gt;2000000,FP152-2000000,0)</f>
        <v>0</v>
      </c>
      <c r="FT152">
        <f ca="1">FS152*0.25</f>
        <v>0</v>
      </c>
      <c r="FU152">
        <f ca="1">IF(FP152&gt;1600000,FP152-1600000-FQ152,0)</f>
        <v>0</v>
      </c>
      <c r="FV152">
        <f ca="1">FU152*0.2</f>
        <v>0</v>
      </c>
      <c r="FW152">
        <f ca="1">IF(FP152&gt;1200000,FP152-1200000-IF(F152="YES",50000,0)-FU152,0)</f>
        <v>0</v>
      </c>
      <c r="FX152">
        <f ca="1">FW152*0.15</f>
        <v>0</v>
      </c>
      <c r="FY152">
        <f ca="1">IF(FP152&gt;800000,FP152-800000-FQ152-FU152-FW152,0)</f>
        <v>0</v>
      </c>
      <c r="FZ152">
        <f ca="1">FY152*0.1</f>
        <v>0</v>
      </c>
      <c r="GA152">
        <f ca="1">IF(FP152&gt;400000,FP152-400000-FQ152-FU152-FW152-FY152,0)</f>
        <v>282953</v>
      </c>
      <c r="GB152">
        <f ca="1">GA152*0.05</f>
        <v>14147.650000000001</v>
      </c>
      <c r="GC152">
        <f ca="1">ROUND(FR152+FT152+FV152+FX152+FZ152+GB152,0)</f>
        <v>14148</v>
      </c>
      <c r="GD152">
        <f ca="1">IF(FP152&gt;1200000,FP152,0)</f>
        <v>0</v>
      </c>
      <c r="GE152">
        <f ca="1">IF(FP152&gt;1200000,GD152-1200000,0)</f>
        <v>0</v>
      </c>
      <c r="GF152">
        <f ca="1">IF(FP152&lt;1200001,MIN(GC152,60000),0)</f>
        <v>14148</v>
      </c>
      <c r="GG152">
        <f ca="1">IF(FP152&gt;1200000,GC152-GE152,0)</f>
        <v>0</v>
      </c>
      <c r="GH152" t="b">
        <f ca="1">IF(GG152&gt;0,TRUE,FALSE)</f>
        <v>0</v>
      </c>
      <c r="GI152">
        <f ca="1">IF(GH152,GG152,0)</f>
        <v>0</v>
      </c>
      <c r="GJ152">
        <f ca="1">GF152+GI152</f>
        <v>14148</v>
      </c>
      <c r="GK152">
        <f ca="1">ROUND(GC152-GJ152,0)</f>
        <v>0</v>
      </c>
      <c r="GL152">
        <f ca="1">GK152*0.04</f>
        <v>0</v>
      </c>
      <c r="GM152">
        <f ca="1">ROUNDUP(GK152+GL152,0)</f>
        <v>0</v>
      </c>
    </row>
    <row r="153" spans="1:195" x14ac:dyDescent="0.25">
      <c r="A153">
        <f>_xlfn.AGGREGATE(3,5,$B$2:B153)</f>
        <v>152</v>
      </c>
      <c r="B153" t="s">
        <v>417</v>
      </c>
      <c r="C153" t="s">
        <v>418</v>
      </c>
      <c r="D153" t="s">
        <v>794</v>
      </c>
      <c r="E153" t="s">
        <v>833</v>
      </c>
      <c r="F153" t="s">
        <v>959</v>
      </c>
      <c r="G153" t="s">
        <v>890</v>
      </c>
      <c r="H153">
        <f>IF(_xlfn.DAYS("31-03-2025",G153)&gt;=180,6800,0)</f>
        <v>6800</v>
      </c>
      <c r="I153">
        <f>_xlfn.XLOOKUP(B153,'[1]march-2025'!$A:$A,'[1]march-2025'!$J:$J,0,0)</f>
        <v>0</v>
      </c>
      <c r="J153">
        <f>_xlfn.XLOOKUP(B153,'[1]march-2025'!$A:$A,'[1]march-2025'!$C:$C,0,0)</f>
        <v>37700</v>
      </c>
      <c r="K153">
        <f>J153*0.14</f>
        <v>5278.0000000000009</v>
      </c>
      <c r="L153">
        <f>J153*0.12</f>
        <v>4524</v>
      </c>
      <c r="M153">
        <f>_xlfn.XLOOKUP(B153,'[1]march-2025'!$A:$A,'[1]march-2025'!$D:$D,0,0)</f>
        <v>0</v>
      </c>
      <c r="N153">
        <f>_xlfn.XLOOKUP(B153,'[1]march-2025'!$A:$A,'[1]march-2025'!$G:$G,0,0)</f>
        <v>0</v>
      </c>
      <c r="O153">
        <f>IF(J153&gt;0,SUM(J153:N153),0)</f>
        <v>47502</v>
      </c>
      <c r="P153">
        <f>_xlfn.XLOOKUP(B153,'[1]march-2025'!$A:$A,'[1]march-2025'!$H:$H,0,0)</f>
        <v>3000</v>
      </c>
      <c r="Q153">
        <f>_xlfn.XLOOKUP(B153,'[1]march-2025'!$A:$A,'[1]march-2025'!$I:$I,0,0)</f>
        <v>0</v>
      </c>
      <c r="R153">
        <f>IF($F153="YES",0,IF(O153&gt;40000,200,IF(O153&gt;25000,150,IF(O153&gt;15000,130,IF(O153&gt;10000,110,0)))))</f>
        <v>200</v>
      </c>
      <c r="S153">
        <f>O153-P153-Q153-R153</f>
        <v>44302</v>
      </c>
      <c r="T153">
        <f>_xlfn.XLOOKUP(B153,'[2]april-2025'!$A:$A,'[2]april-2025'!$C:$C,0,0)</f>
        <v>37700</v>
      </c>
      <c r="U153">
        <f>T153*0.18</f>
        <v>6786</v>
      </c>
      <c r="V153">
        <f>T153*0.12</f>
        <v>4524</v>
      </c>
      <c r="W153">
        <f>_xlfn.XLOOKUP(B153,'[2]april-2025'!$A:$A,'[2]april-2025'!$D:$D,0,0)</f>
        <v>0</v>
      </c>
      <c r="X153">
        <f>_xlfn.XLOOKUP(B153,'[2]april-2025'!$A:$A,'[2]april-2025'!$G:$G,0,0)</f>
        <v>0</v>
      </c>
      <c r="Y153">
        <f>IF(T153&gt;0,SUM(T153:X153),0)</f>
        <v>49010</v>
      </c>
      <c r="Z153">
        <f>_xlfn.XLOOKUP(B153,'[2]april-2025'!$A:$A,'[2]april-2025'!$H:$H,0,0)</f>
        <v>3000</v>
      </c>
      <c r="AA153">
        <f>_xlfn.XLOOKUP(B153,'[2]april-2025'!$A:$A,'[2]april-2025'!$I:$I,0,0)</f>
        <v>0</v>
      </c>
      <c r="AB153">
        <f>IF($F153="YES",0,IF(Y153&gt;40000,200,IF(Y153&gt;25000,150,IF(Y153&gt;15000,130,IF(Y153&gt;10000,110,0)))))</f>
        <v>200</v>
      </c>
      <c r="AC153">
        <f>Y153-Z153-AA153-AB153</f>
        <v>45810</v>
      </c>
      <c r="AD153">
        <f>_xlfn.XLOOKUP(B153,'[3]may-2025'!$A:$A,'[3]may-2025'!$C:$C,0,0)</f>
        <v>37700</v>
      </c>
      <c r="AE153">
        <f>AD153*0.18</f>
        <v>6786</v>
      </c>
      <c r="AF153">
        <f>AD153*0.12</f>
        <v>4524</v>
      </c>
      <c r="AG153">
        <f>_xlfn.XLOOKUP(B153,'[3]may-2025'!$A:$A,'[3]may-2025'!$D:$D,0,0)</f>
        <v>0</v>
      </c>
      <c r="AH153">
        <f>_xlfn.XLOOKUP(B153,'[3]may-2025'!$A:$A,'[3]may-2025'!$G:$G,0,0)</f>
        <v>0</v>
      </c>
      <c r="AI153">
        <f>IF(AD153&gt;0,SUM(AD153:AH153),0)</f>
        <v>49010</v>
      </c>
      <c r="AJ153">
        <f>_xlfn.XLOOKUP(B153,'[3]may-2025'!$A:$A,'[3]may-2025'!$H:$H,0,0)</f>
        <v>3000</v>
      </c>
      <c r="AK153">
        <f>_xlfn.XLOOKUP(B153,'[3]may-2025'!$A:$A,'[3]may-2025'!$I:$I,0,0)</f>
        <v>0</v>
      </c>
      <c r="AL153">
        <f>IF($F153="YES",0,IF(AI153&gt;40000,200,IF(AI153&gt;25000,150,IF(AI153&gt;15000,130,IF(AI153&gt;10000,110,0)))))</f>
        <v>200</v>
      </c>
      <c r="AM153">
        <f>AI153-AJ153-AK153-AL153</f>
        <v>45810</v>
      </c>
      <c r="AN153">
        <f>_xlfn.XLOOKUP(B153,'[4]june-2025'!$A:$A,'[4]june-2025'!$C:$C,0,0)</f>
        <v>37700</v>
      </c>
      <c r="AO153">
        <f>AN153*0.18</f>
        <v>6786</v>
      </c>
      <c r="AP153">
        <f>AN153*0.12</f>
        <v>4524</v>
      </c>
      <c r="AQ153">
        <f>_xlfn.XLOOKUP(B153,'[4]june-2025'!$A:$A,'[4]june-2025'!$D:$D,0,0)</f>
        <v>0</v>
      </c>
      <c r="AR153">
        <f>_xlfn.XLOOKUP(B153,'[4]june-2025'!$A:$A,'[4]june-2025'!$G:$G,0,0)</f>
        <v>0</v>
      </c>
      <c r="AS153">
        <f>IF(AN153&gt;0,SUM(AN153:AR153),0)</f>
        <v>49010</v>
      </c>
      <c r="AT153">
        <f>_xlfn.XLOOKUP(B153,'[4]june-2025'!$A:$A,'[4]june-2025'!$H:$H,0,0)</f>
        <v>3000</v>
      </c>
      <c r="AU153">
        <f>_xlfn.XLOOKUP(B153,'[4]june-2025'!$A:$A,'[4]june-2025'!$I:$I,0,0)</f>
        <v>0</v>
      </c>
      <c r="AV153">
        <f>IF($F153="YES",0,IF(AS153&gt;40000,200,IF(AS153&gt;25000,150,IF(AS153&gt;15000,130,IF(AS153&gt;10000,110,0)))))</f>
        <v>200</v>
      </c>
      <c r="AW153">
        <f>AS153-AT153-AU153-AV153</f>
        <v>45810</v>
      </c>
      <c r="AX153">
        <f>_xlfn.XLOOKUP(B153,'[5]july-2025'!$A:$A,'[5]july-2025'!$C:$C,0,0)</f>
        <v>38800</v>
      </c>
      <c r="AY153">
        <f>AX153*0.18</f>
        <v>6984</v>
      </c>
      <c r="AZ153">
        <v>0</v>
      </c>
      <c r="BA153">
        <f>AX153*0.12</f>
        <v>4656</v>
      </c>
      <c r="BB153">
        <f>_xlfn.XLOOKUP(B153,'[5]july-2025'!$A:$A,'[5]july-2025'!$D:$D,0,0)</f>
        <v>0</v>
      </c>
      <c r="BC153">
        <f>_xlfn.XLOOKUP(B153,'[5]july-2025'!$A:$A,'[5]july-2025'!$G:$G,0,0)</f>
        <v>0</v>
      </c>
      <c r="BD153">
        <f>IF(AX153&gt;0,SUM(AX153:BC153),0)</f>
        <v>50440</v>
      </c>
      <c r="BE153">
        <f>_xlfn.XLOOKUP(B153,'[5]july-2025'!$A:$A,'[5]july-2025'!$H:$H,0,0)</f>
        <v>3000</v>
      </c>
      <c r="BF153">
        <f>_xlfn.XLOOKUP(B153,'[5]july-2025'!$A:$A,'[5]july-2025'!$I:$I,0,0)</f>
        <v>0</v>
      </c>
      <c r="BG153">
        <f>IF($F153="YES",0,IF(BD153&gt;40000,200,IF(BD153&gt;25000,150,IF(BD153&gt;15000,130,IF(BD153&gt;10000,110,0)))))</f>
        <v>200</v>
      </c>
      <c r="BH153">
        <f>BD153-BE153-BF153-BG153</f>
        <v>47240</v>
      </c>
      <c r="BI153">
        <f>_xlfn.XLOOKUP(B153,'[6]august-2025'!$A:$A,'[6]august-2025'!$C:$C,0,0)</f>
        <v>38800</v>
      </c>
      <c r="BJ153">
        <f>BI153*0.18</f>
        <v>6984</v>
      </c>
      <c r="BK153">
        <f>BI153*0.12</f>
        <v>4656</v>
      </c>
      <c r="BL153">
        <f>_xlfn.XLOOKUP(B153,'[6]august-2025'!$A:$A,'[6]august-2025'!$D:$D,0,0)</f>
        <v>0</v>
      </c>
      <c r="BM153">
        <f>_xlfn.XLOOKUP(B153,'[6]august-2025'!$A:$A,'[6]august-2025'!$G:$G,0,0)</f>
        <v>0</v>
      </c>
      <c r="BN153">
        <f>IF(BI153&gt;0,SUM(BI153:BM153),0)</f>
        <v>50440</v>
      </c>
      <c r="BO153">
        <f>_xlfn.XLOOKUP(B153,'[6]august-2025'!$A:$A,'[6]august-2025'!$H:$H,0,0)</f>
        <v>3000</v>
      </c>
      <c r="BP153">
        <f>_xlfn.XLOOKUP(B153,'[6]august-2025'!$A:$A,'[6]august-2025'!$I:$I,0,0)</f>
        <v>0</v>
      </c>
      <c r="BQ153">
        <f>IF($F153="YES",0,IF(BN153&gt;40000,200,IF(BN153&gt;25000,150,IF(BN153&gt;15000,130,IF(BN153&gt;10000,110,0)))))</f>
        <v>200</v>
      </c>
      <c r="BR153">
        <f>BN153-BO153-BP153-BQ153</f>
        <v>47240</v>
      </c>
      <c r="BS153">
        <f>_xlfn.XLOOKUP(B153,'[7]september-2025'!$A:$A,'[7]september-2025'!$C:$C,0,0)</f>
        <v>38800</v>
      </c>
      <c r="BT153">
        <f>BS153*0.18</f>
        <v>6984</v>
      </c>
      <c r="BU153">
        <f>BS153*0.12</f>
        <v>4656</v>
      </c>
      <c r="BV153">
        <f>_xlfn.XLOOKUP(B153,'[7]september-2025'!$A:$A,'[7]september-2025'!$D:$D,0,0)</f>
        <v>0</v>
      </c>
      <c r="BW153">
        <f>_xlfn.XLOOKUP(B153,'[7]september-2025'!$A:$A,'[7]september-2025'!$G:$G,0,0)</f>
        <v>0</v>
      </c>
      <c r="BX153">
        <f>IF(BS153&gt;0,SUM(BS153:BW153),0)</f>
        <v>50440</v>
      </c>
      <c r="BY153">
        <f>_xlfn.XLOOKUP(B153,'[7]september-2025'!$A:$A,'[7]september-2025'!$H:$H,0,0)</f>
        <v>3000</v>
      </c>
      <c r="BZ153">
        <f>_xlfn.XLOOKUP(B153,'[7]september-2025'!$A:$A,'[7]september-2025'!$I:$I,0,0)</f>
        <v>0</v>
      </c>
      <c r="CA153">
        <f>IF($F153="YES",0,IF(BX153&gt;40000,200,IF(BX153&gt;25000,150,IF(BX153&gt;15000,130,IF(BX153&gt;10000,110,0)))))</f>
        <v>200</v>
      </c>
      <c r="CB153">
        <f>BX153-BY153-BZ153-CA153</f>
        <v>47240</v>
      </c>
      <c r="CC153">
        <f>_xlfn.XLOOKUP(B153,'[8]october-2025'!$A:$A,'[8]october-2025'!$C:$C,0,0)</f>
        <v>38800</v>
      </c>
      <c r="CD153">
        <f>CC153*0.18</f>
        <v>6984</v>
      </c>
      <c r="CE153">
        <f>CC153*0.12</f>
        <v>4656</v>
      </c>
      <c r="CF153">
        <f>_xlfn.XLOOKUP(B153,'[8]october-2025'!$A:$A,'[8]october-2025'!$D:$D,0,0)</f>
        <v>0</v>
      </c>
      <c r="CG153">
        <f>_xlfn.XLOOKUP(B153,'[8]october-2025'!$A:$A,'[8]october-2025'!$G:$G,0,0)</f>
        <v>0</v>
      </c>
      <c r="CH153">
        <f>IF(CC153&gt;0,SUM(CC153:CG153),0)</f>
        <v>50440</v>
      </c>
      <c r="CI153">
        <f>_xlfn.XLOOKUP(B153,'[8]october-2025'!$A:$A,'[8]october-2025'!$H:$H,0,0)</f>
        <v>3000</v>
      </c>
      <c r="CJ153">
        <f>_xlfn.XLOOKUP(B153,'[8]october-2025'!$A:$A,'[8]october-2025'!$I:$I,0,0)</f>
        <v>0</v>
      </c>
      <c r="CK153">
        <f>IF($F153="YES",0,IF(CH153&gt;40000,200,IF(CH153&gt;25000,150,IF(CH153&gt;15000,130,IF(CH153&gt;10000,110,0)))))</f>
        <v>200</v>
      </c>
      <c r="CL153">
        <f>CH153-CI153-CJ153-CK153</f>
        <v>47240</v>
      </c>
      <c r="CM153">
        <f>_xlfn.XLOOKUP(B153,'[9]november-2025'!$A:$A,'[9]november-2025'!$C:$C,0,0)</f>
        <v>38800</v>
      </c>
      <c r="CN153">
        <f>CM153*0.18</f>
        <v>6984</v>
      </c>
      <c r="CO153">
        <f>CM153*0.12</f>
        <v>4656</v>
      </c>
      <c r="CP153">
        <f>_xlfn.XLOOKUP(B153,'[9]november-2025'!$A:$A,'[9]november-2025'!$D:$D,0,0)</f>
        <v>0</v>
      </c>
      <c r="CQ153">
        <f>_xlfn.XLOOKUP(B153,'[9]november-2025'!$A:$A,'[9]november-2025'!$G:$G,0,0)</f>
        <v>0</v>
      </c>
      <c r="CR153">
        <f>IF(CM153&gt;0,SUM(CM153:CQ153),0)</f>
        <v>50440</v>
      </c>
      <c r="CS153">
        <f>_xlfn.XLOOKUP(B153,'[9]november-2025'!$A:$A,'[9]november-2025'!$H:$H,0,0)</f>
        <v>3000</v>
      </c>
      <c r="CT153">
        <f>_xlfn.XLOOKUP(B153,'[9]november-2025'!$A:$A,'[9]november-2025'!$I:$I,0,0)</f>
        <v>0</v>
      </c>
      <c r="CU153">
        <f>IF($F153="YES",0,IF(CR153&gt;40000,200,IF(CR153&gt;25000,150,IF(CR153&gt;15000,130,IF(CR153&gt;10000,110,0)))))</f>
        <v>200</v>
      </c>
      <c r="CV153">
        <f>CR153-CS153-CT153-CU153</f>
        <v>47240</v>
      </c>
      <c r="CW153">
        <f>_xlfn.XLOOKUP(B153,'[10]december-2025'!$A:$A,'[10]december-2025'!$C:$C,0,0)</f>
        <v>38800</v>
      </c>
      <c r="CX153">
        <f>ROUND(CW153*0.18,0)</f>
        <v>6984</v>
      </c>
      <c r="CY153">
        <f>ROUND(CW153*0.12,0)</f>
        <v>4656</v>
      </c>
      <c r="CZ153">
        <f>_xlfn.XLOOKUP(B153,'[10]december-2025'!$A:$A,'[10]december-2025'!$D:$D,0,0)</f>
        <v>0</v>
      </c>
      <c r="DA153">
        <f>_xlfn.XLOOKUP(B153,'[10]december-2025'!$A:$A,'[10]december-2025'!$G:$G,0,0)</f>
        <v>0</v>
      </c>
      <c r="DB153">
        <f>IF(CW153&gt;0,SUM(CW153:DA153),0)</f>
        <v>50440</v>
      </c>
      <c r="DC153">
        <f>_xlfn.XLOOKUP(B153,'[10]december-2025'!$A:$A,'[10]december-2025'!$H:$H,0,0)</f>
        <v>3000</v>
      </c>
      <c r="DD153">
        <f>_xlfn.XLOOKUP(B153,'[10]december-2025'!$A:$A,'[10]december-2025'!$I:$I,0,0)</f>
        <v>0</v>
      </c>
      <c r="DE153">
        <f>IF($F153="YES",0,IF(DB153&gt;40000,200,IF(DB153&gt;25000,150,IF(DB153&gt;15000,130,IF(DB153&gt;10000,110,0)))))</f>
        <v>200</v>
      </c>
      <c r="DF153">
        <f>DB153-DC153-DD153-DE153</f>
        <v>47240</v>
      </c>
      <c r="DG153">
        <f>_xlfn.XLOOKUP(B153,'[11]january-2026'!$A:$A,'[11]january-2026'!$C:$C,0,0)</f>
        <v>38800</v>
      </c>
      <c r="DH153">
        <f>DG153*0.18</f>
        <v>6984</v>
      </c>
      <c r="DI153">
        <f>DG153*0.12</f>
        <v>4656</v>
      </c>
      <c r="DJ153">
        <f>_xlfn.XLOOKUP(B153,'[11]january-2026'!$A:$A,'[11]january-2026'!$D:$D,0,0)</f>
        <v>0</v>
      </c>
      <c r="DK153">
        <f>_xlfn.XLOOKUP(B153,'[11]january-2026'!$A:$A,'[11]january-2026'!$G:$G,0,0)</f>
        <v>0</v>
      </c>
      <c r="DL153">
        <f>IF(DG153&gt;0,SUM(DG153:DK153),0)</f>
        <v>50440</v>
      </c>
      <c r="DM153">
        <f>_xlfn.XLOOKUP(B153,'[11]january-2026'!$A:$A,'[11]january-2026'!$H:$H,0,0)</f>
        <v>3000</v>
      </c>
      <c r="DN153">
        <f>_xlfn.XLOOKUP(B153,'[11]january-2026'!$A:$A,'[11]january-2026'!$I:$I,0,0)</f>
        <v>0</v>
      </c>
      <c r="DO153">
        <f>IF($F153="YES",0,IF(DL153&gt;40000,200,IF(DL153&gt;25000,150,IF(DL153&gt;15000,130,IF(DL153&gt;10000,110,0)))))</f>
        <v>200</v>
      </c>
      <c r="DP153">
        <f>DL153-DM153-DN153-DO153</f>
        <v>47240</v>
      </c>
      <c r="DQ153">
        <f>_xlfn.XLOOKUP(B153,'[12]february-2026'!$A:$A,'[12]february-2026'!$C:$C,0,0)</f>
        <v>38800</v>
      </c>
      <c r="DR153">
        <f>DQ153*0.18</f>
        <v>6984</v>
      </c>
      <c r="DS153">
        <f>DQ153*0.12</f>
        <v>4656</v>
      </c>
      <c r="DT153">
        <f>_xlfn.XLOOKUP(B153,'[12]february-2026'!$A:$A,'[12]february-2026'!$D:$D,0,0)</f>
        <v>0</v>
      </c>
      <c r="DU153">
        <f>_xlfn.XLOOKUP(B153,'[12]february-2026'!$A:$A,'[12]february-2026'!$G:$G,0,0)</f>
        <v>0</v>
      </c>
      <c r="DV153">
        <f>IF(DQ153&gt;0,SUM(DQ153:DU153),0)</f>
        <v>50440</v>
      </c>
      <c r="DW153">
        <f>_xlfn.XLOOKUP(B153,'[12]february-2026'!$A:$A,'[12]february-2026'!$H:$H,0,0)</f>
        <v>3000</v>
      </c>
      <c r="DX153">
        <f>_xlfn.XLOOKUP(B153,'[12]february-2026'!$A:$A,'[12]february-2026'!$I:$I,0,0)</f>
        <v>0</v>
      </c>
      <c r="DY153">
        <f>IF($F153="YES",0,IF(DV153&gt;40000,200,IF(DV153&gt;25000,150,IF(DV153&gt;15000,130,IF(DV153&gt;10000,110,0)))))</f>
        <v>200</v>
      </c>
      <c r="DZ153">
        <f>DV153-DW153-DX153-DY153</f>
        <v>47240</v>
      </c>
      <c r="EA153">
        <f>DV153+DL153+DB153+CR153+CH153+BX153+BN153+BD153+AS153+AI153+Y153+O153+H153+I153</f>
        <v>604852</v>
      </c>
      <c r="EB153">
        <f>DY153+DO153+DE153+CU153+CK153+CA153+BQ153+BG153+AV153+AL153+AB153+R153</f>
        <v>2400</v>
      </c>
      <c r="EC153">
        <f>IF(EA153&gt;0,50000,0)</f>
        <v>50000</v>
      </c>
      <c r="ED153">
        <v>0</v>
      </c>
      <c r="EE153">
        <f>EA153-EB153-EC153</f>
        <v>552452</v>
      </c>
      <c r="EF153">
        <f>DW153+DM153+DC153+CS153+CI153+BY153+BO153+BE153+AT153+AJ153+Z153+P153</f>
        <v>36000</v>
      </c>
      <c r="EG153">
        <f>DX153+DN153+DD153+CT153+CJ153+BZ153+BP153+BF153+AU153+AK153+AA153+Q153</f>
        <v>0</v>
      </c>
      <c r="EH153">
        <v>0</v>
      </c>
      <c r="EI153">
        <v>0</v>
      </c>
      <c r="EJ153">
        <v>0</v>
      </c>
      <c r="EK153">
        <v>0</v>
      </c>
      <c r="EL153">
        <v>0</v>
      </c>
      <c r="EM153">
        <v>0</v>
      </c>
      <c r="EN153">
        <v>0</v>
      </c>
      <c r="EO153">
        <v>0</v>
      </c>
      <c r="EP153">
        <v>0</v>
      </c>
      <c r="EQ153">
        <v>0</v>
      </c>
      <c r="ER153">
        <f>SUM(EF153:EQ153)</f>
        <v>36000</v>
      </c>
      <c r="ES153">
        <f>IF(ER153&gt;=150000,150000,ER153)</f>
        <v>36000</v>
      </c>
      <c r="ET153">
        <f>EE153-ES153</f>
        <v>516452</v>
      </c>
      <c r="EU153">
        <v>0</v>
      </c>
      <c r="EV153">
        <v>0</v>
      </c>
      <c r="EW153">
        <v>0</v>
      </c>
      <c r="EX153">
        <v>0</v>
      </c>
      <c r="EY153">
        <v>0</v>
      </c>
      <c r="EZ153">
        <v>0</v>
      </c>
      <c r="FA153">
        <v>0</v>
      </c>
      <c r="FB153">
        <f>SUM(EU153:FA153)+(IF(F153="YES",50000,0))</f>
        <v>0</v>
      </c>
      <c r="FC153">
        <f>ET153-FB153</f>
        <v>516452</v>
      </c>
      <c r="FD153">
        <f>ROUND(IF(FC153&gt;0,IF(FC153&gt;500000,12500,(FC153-250000)*0.05),0),0)</f>
        <v>12500</v>
      </c>
      <c r="FE153">
        <f>IF(ROUND(IF(FC153&gt;0,IF(FC153&gt;1000000,25000,(FC153-500000)*0.2),0),0)&lt;0,0,ROUND(IF(FC153&gt;0,IF(FC153&gt;1000000,25000,(FC153-500000)*0.2),0),0))</f>
        <v>3290</v>
      </c>
      <c r="FF153">
        <f>FD153+FE153</f>
        <v>15790</v>
      </c>
      <c r="FG153">
        <f>IF(FF153&lt;12500,0,FF153)</f>
        <v>15790</v>
      </c>
      <c r="FH153">
        <f>FG153*0.04</f>
        <v>631.6</v>
      </c>
      <c r="FI153">
        <f>ROUND(FH153+FG153,0)</f>
        <v>16422</v>
      </c>
      <c r="FJ153">
        <v>0</v>
      </c>
      <c r="FK153">
        <f>FI153-FJ153</f>
        <v>16422</v>
      </c>
      <c r="FL153" t="b">
        <f>IF(EA153&gt;500000,TRUE,FALSE)</f>
        <v>1</v>
      </c>
      <c r="FM153">
        <f ca="1">IF(FL153,RANDBETWEEN(500,1000),RANDBETWEEN(1000,3000))</f>
        <v>894</v>
      </c>
      <c r="FN153">
        <f ca="1">EA153+FM153</f>
        <v>605746</v>
      </c>
      <c r="FO153">
        <f>IF(EA153&gt;0,75000,0)</f>
        <v>75000</v>
      </c>
      <c r="FP153">
        <f ca="1">FN153-FO153</f>
        <v>530746</v>
      </c>
      <c r="FQ153">
        <f ca="1">IF(FP153&gt;2400000,FP153-2400000,0)</f>
        <v>0</v>
      </c>
      <c r="FR153">
        <f ca="1">FQ153*0.3</f>
        <v>0</v>
      </c>
      <c r="FS153">
        <f ca="1">IF(FP153&gt;2000000,FP153-2000000,0)</f>
        <v>0</v>
      </c>
      <c r="FT153">
        <f ca="1">FS153*0.25</f>
        <v>0</v>
      </c>
      <c r="FU153">
        <f ca="1">IF(FP153&gt;1600000,FP153-1600000-FQ153,0)</f>
        <v>0</v>
      </c>
      <c r="FV153">
        <f ca="1">FU153*0.2</f>
        <v>0</v>
      </c>
      <c r="FW153">
        <f ca="1">IF(FP153&gt;1200000,FP153-1200000-IF(F153="YES",50000,0)-FU153,0)</f>
        <v>0</v>
      </c>
      <c r="FX153">
        <f ca="1">FW153*0.15</f>
        <v>0</v>
      </c>
      <c r="FY153">
        <f ca="1">IF(FP153&gt;800000,FP153-800000-FQ153-FU153-FW153,0)</f>
        <v>0</v>
      </c>
      <c r="FZ153">
        <f ca="1">FY153*0.1</f>
        <v>0</v>
      </c>
      <c r="GA153">
        <f ca="1">IF(FP153&gt;400000,FP153-400000-FQ153-FU153-FW153-FY153,0)</f>
        <v>130746</v>
      </c>
      <c r="GB153">
        <f ca="1">GA153*0.05</f>
        <v>6537.3</v>
      </c>
      <c r="GC153">
        <f ca="1">ROUND(FR153+FT153+FV153+FX153+FZ153+GB153,0)</f>
        <v>6537</v>
      </c>
      <c r="GD153">
        <f ca="1">IF(FP153&gt;1200000,FP153,0)</f>
        <v>0</v>
      </c>
      <c r="GE153">
        <f ca="1">IF(FP153&gt;1200000,GD153-1200000,0)</f>
        <v>0</v>
      </c>
      <c r="GF153">
        <f ca="1">IF(FP153&lt;1200001,MIN(GC153,60000),0)</f>
        <v>6537</v>
      </c>
      <c r="GG153">
        <f ca="1">IF(FP153&gt;1200000,GC153-GE153,0)</f>
        <v>0</v>
      </c>
      <c r="GH153" t="b">
        <f ca="1">IF(GG153&gt;0,TRUE,FALSE)</f>
        <v>0</v>
      </c>
      <c r="GI153">
        <f ca="1">IF(GH153,GG153,0)</f>
        <v>0</v>
      </c>
      <c r="GJ153">
        <f ca="1">GF153+GI153</f>
        <v>6537</v>
      </c>
      <c r="GK153">
        <f ca="1">ROUND(GC153-GJ153,0)</f>
        <v>0</v>
      </c>
      <c r="GL153">
        <f ca="1">GK153*0.04</f>
        <v>0</v>
      </c>
      <c r="GM153">
        <f ca="1">ROUNDUP(GK153+GL153,0)</f>
        <v>0</v>
      </c>
    </row>
    <row r="154" spans="1:195" x14ac:dyDescent="0.25">
      <c r="A154">
        <f>_xlfn.AGGREGATE(3,5,$B$2:B154)</f>
        <v>153</v>
      </c>
      <c r="B154" t="s">
        <v>419</v>
      </c>
      <c r="C154" t="s">
        <v>420</v>
      </c>
      <c r="D154" t="s">
        <v>794</v>
      </c>
      <c r="E154" t="s">
        <v>833</v>
      </c>
      <c r="F154" t="s">
        <v>959</v>
      </c>
      <c r="G154" t="s">
        <v>935</v>
      </c>
      <c r="H154">
        <f>IF(_xlfn.DAYS("31-03-2025",G154)&gt;=180,6800,0)</f>
        <v>6800</v>
      </c>
      <c r="I154">
        <f>_xlfn.XLOOKUP(B154,'[1]march-2025'!$A:$A,'[1]march-2025'!$J:$J,0,0)</f>
        <v>0</v>
      </c>
      <c r="J154">
        <f>_xlfn.XLOOKUP(B154,'[1]march-2025'!$A:$A,'[1]march-2025'!$C:$C,0,0)</f>
        <v>33500</v>
      </c>
      <c r="K154">
        <f>J154*0.14</f>
        <v>4690</v>
      </c>
      <c r="L154">
        <f>J154*0.12</f>
        <v>4020</v>
      </c>
      <c r="M154">
        <f>_xlfn.XLOOKUP(B154,'[1]march-2025'!$A:$A,'[1]march-2025'!$D:$D,0,0)</f>
        <v>0</v>
      </c>
      <c r="N154">
        <f>_xlfn.XLOOKUP(B154,'[1]march-2025'!$A:$A,'[1]march-2025'!$G:$G,0,0)</f>
        <v>500</v>
      </c>
      <c r="O154">
        <f>IF(J154&gt;0,SUM(J154:N154),0)</f>
        <v>42710</v>
      </c>
      <c r="P154">
        <f>_xlfn.XLOOKUP(B154,'[1]march-2025'!$A:$A,'[1]march-2025'!$H:$H,0,0)</f>
        <v>3000</v>
      </c>
      <c r="Q154">
        <f>_xlfn.XLOOKUP(B154,'[1]march-2025'!$A:$A,'[1]march-2025'!$I:$I,0,0)</f>
        <v>0</v>
      </c>
      <c r="R154">
        <f>IF($F154="YES",0,IF(O154&gt;40000,200,IF(O154&gt;25000,150,IF(O154&gt;15000,130,IF(O154&gt;10000,110,0)))))</f>
        <v>200</v>
      </c>
      <c r="S154">
        <f>O154-P154-Q154-R154</f>
        <v>39510</v>
      </c>
      <c r="T154">
        <f>_xlfn.XLOOKUP(B154,'[2]april-2025'!$A:$A,'[2]april-2025'!$C:$C,0,0)</f>
        <v>33500</v>
      </c>
      <c r="U154">
        <f>T154*0.18</f>
        <v>6030</v>
      </c>
      <c r="V154">
        <f>T154*0.12</f>
        <v>4020</v>
      </c>
      <c r="W154">
        <f>_xlfn.XLOOKUP(B154,'[2]april-2025'!$A:$A,'[2]april-2025'!$D:$D,0,0)</f>
        <v>0</v>
      </c>
      <c r="X154">
        <f>_xlfn.XLOOKUP(B154,'[2]april-2025'!$A:$A,'[2]april-2025'!$G:$G,0,0)</f>
        <v>500</v>
      </c>
      <c r="Y154">
        <f>IF(T154&gt;0,SUM(T154:X154),0)</f>
        <v>44050</v>
      </c>
      <c r="Z154">
        <f>_xlfn.XLOOKUP(B154,'[2]april-2025'!$A:$A,'[2]april-2025'!$H:$H,0,0)</f>
        <v>3000</v>
      </c>
      <c r="AA154">
        <f>_xlfn.XLOOKUP(B154,'[2]april-2025'!$A:$A,'[2]april-2025'!$I:$I,0,0)</f>
        <v>0</v>
      </c>
      <c r="AB154">
        <f>IF($F154="YES",0,IF(Y154&gt;40000,200,IF(Y154&gt;25000,150,IF(Y154&gt;15000,130,IF(Y154&gt;10000,110,0)))))</f>
        <v>200</v>
      </c>
      <c r="AC154">
        <f>Y154-Z154-AA154-AB154</f>
        <v>40850</v>
      </c>
      <c r="AD154">
        <f>_xlfn.XLOOKUP(B154,'[3]may-2025'!$A:$A,'[3]may-2025'!$C:$C,0,0)</f>
        <v>33500</v>
      </c>
      <c r="AE154">
        <f>AD154*0.18</f>
        <v>6030</v>
      </c>
      <c r="AF154">
        <f>AD154*0.12</f>
        <v>4020</v>
      </c>
      <c r="AG154">
        <f>_xlfn.XLOOKUP(B154,'[3]may-2025'!$A:$A,'[3]may-2025'!$D:$D,0,0)</f>
        <v>0</v>
      </c>
      <c r="AH154">
        <f>_xlfn.XLOOKUP(B154,'[3]may-2025'!$A:$A,'[3]may-2025'!$G:$G,0,0)</f>
        <v>500</v>
      </c>
      <c r="AI154">
        <f>IF(AD154&gt;0,SUM(AD154:AH154),0)</f>
        <v>44050</v>
      </c>
      <c r="AJ154">
        <f>_xlfn.XLOOKUP(B154,'[3]may-2025'!$A:$A,'[3]may-2025'!$H:$H,0,0)</f>
        <v>3000</v>
      </c>
      <c r="AK154">
        <f>_xlfn.XLOOKUP(B154,'[3]may-2025'!$A:$A,'[3]may-2025'!$I:$I,0,0)</f>
        <v>0</v>
      </c>
      <c r="AL154">
        <f>IF($F154="YES",0,IF(AI154&gt;40000,200,IF(AI154&gt;25000,150,IF(AI154&gt;15000,130,IF(AI154&gt;10000,110,0)))))</f>
        <v>200</v>
      </c>
      <c r="AM154">
        <f>AI154-AJ154-AK154-AL154</f>
        <v>40850</v>
      </c>
      <c r="AN154">
        <f>_xlfn.XLOOKUP(B154,'[4]june-2025'!$A:$A,'[4]june-2025'!$C:$C,0,0)</f>
        <v>33500</v>
      </c>
      <c r="AO154">
        <f>AN154*0.18</f>
        <v>6030</v>
      </c>
      <c r="AP154">
        <f>AN154*0.12</f>
        <v>4020</v>
      </c>
      <c r="AQ154">
        <f>_xlfn.XLOOKUP(B154,'[4]june-2025'!$A:$A,'[4]june-2025'!$D:$D,0,0)</f>
        <v>0</v>
      </c>
      <c r="AR154">
        <f>_xlfn.XLOOKUP(B154,'[4]june-2025'!$A:$A,'[4]june-2025'!$G:$G,0,0)</f>
        <v>500</v>
      </c>
      <c r="AS154">
        <f>IF(AN154&gt;0,SUM(AN154:AR154),0)</f>
        <v>44050</v>
      </c>
      <c r="AT154">
        <f>_xlfn.XLOOKUP(B154,'[4]june-2025'!$A:$A,'[4]june-2025'!$H:$H,0,0)</f>
        <v>3000</v>
      </c>
      <c r="AU154">
        <f>_xlfn.XLOOKUP(B154,'[4]june-2025'!$A:$A,'[4]june-2025'!$I:$I,0,0)</f>
        <v>0</v>
      </c>
      <c r="AV154">
        <f>IF($F154="YES",0,IF(AS154&gt;40000,200,IF(AS154&gt;25000,150,IF(AS154&gt;15000,130,IF(AS154&gt;10000,110,0)))))</f>
        <v>200</v>
      </c>
      <c r="AW154">
        <f>AS154-AT154-AU154-AV154</f>
        <v>40850</v>
      </c>
      <c r="AX154">
        <f>_xlfn.XLOOKUP(B154,'[5]july-2025'!$A:$A,'[5]july-2025'!$C:$C,0,0)</f>
        <v>34500</v>
      </c>
      <c r="AY154">
        <f>AX154*0.18</f>
        <v>6210</v>
      </c>
      <c r="AZ154">
        <v>0</v>
      </c>
      <c r="BA154">
        <f>AX154*0.12</f>
        <v>4140</v>
      </c>
      <c r="BB154">
        <f>_xlfn.XLOOKUP(B154,'[5]july-2025'!$A:$A,'[5]july-2025'!$D:$D,0,0)</f>
        <v>0</v>
      </c>
      <c r="BC154">
        <f>_xlfn.XLOOKUP(B154,'[5]july-2025'!$A:$A,'[5]july-2025'!$G:$G,0,0)</f>
        <v>500</v>
      </c>
      <c r="BD154">
        <f>IF(AX154&gt;0,SUM(AX154:BC154),0)</f>
        <v>45350</v>
      </c>
      <c r="BE154">
        <f>_xlfn.XLOOKUP(B154,'[5]july-2025'!$A:$A,'[5]july-2025'!$H:$H,0,0)</f>
        <v>3000</v>
      </c>
      <c r="BF154">
        <f>_xlfn.XLOOKUP(B154,'[5]july-2025'!$A:$A,'[5]july-2025'!$I:$I,0,0)</f>
        <v>0</v>
      </c>
      <c r="BG154">
        <f>IF($F154="YES",0,IF(BD154&gt;40000,200,IF(BD154&gt;25000,150,IF(BD154&gt;15000,130,IF(BD154&gt;10000,110,0)))))</f>
        <v>200</v>
      </c>
      <c r="BH154">
        <f>BD154-BE154-BF154-BG154</f>
        <v>42150</v>
      </c>
      <c r="BI154">
        <f>_xlfn.XLOOKUP(B154,'[6]august-2025'!$A:$A,'[6]august-2025'!$C:$C,0,0)</f>
        <v>34500</v>
      </c>
      <c r="BJ154">
        <f>BI154*0.18</f>
        <v>6210</v>
      </c>
      <c r="BK154">
        <f>BI154*0.12</f>
        <v>4140</v>
      </c>
      <c r="BL154">
        <f>_xlfn.XLOOKUP(B154,'[6]august-2025'!$A:$A,'[6]august-2025'!$D:$D,0,0)</f>
        <v>0</v>
      </c>
      <c r="BM154">
        <f>_xlfn.XLOOKUP(B154,'[6]august-2025'!$A:$A,'[6]august-2025'!$G:$G,0,0)</f>
        <v>500</v>
      </c>
      <c r="BN154">
        <f>IF(BI154&gt;0,SUM(BI154:BM154),0)</f>
        <v>45350</v>
      </c>
      <c r="BO154">
        <f>_xlfn.XLOOKUP(B154,'[6]august-2025'!$A:$A,'[6]august-2025'!$H:$H,0,0)</f>
        <v>3000</v>
      </c>
      <c r="BP154">
        <f>_xlfn.XLOOKUP(B154,'[6]august-2025'!$A:$A,'[6]august-2025'!$I:$I,0,0)</f>
        <v>0</v>
      </c>
      <c r="BQ154">
        <f>IF($F154="YES",0,IF(BN154&gt;40000,200,IF(BN154&gt;25000,150,IF(BN154&gt;15000,130,IF(BN154&gt;10000,110,0)))))</f>
        <v>200</v>
      </c>
      <c r="BR154">
        <f>BN154-BO154-BP154-BQ154</f>
        <v>42150</v>
      </c>
      <c r="BS154">
        <f>_xlfn.XLOOKUP(B154,'[7]september-2025'!$A:$A,'[7]september-2025'!$C:$C,0,0)</f>
        <v>34500</v>
      </c>
      <c r="BT154">
        <f>BS154*0.18</f>
        <v>6210</v>
      </c>
      <c r="BU154">
        <f>BS154*0.12</f>
        <v>4140</v>
      </c>
      <c r="BV154">
        <f>_xlfn.XLOOKUP(B154,'[7]september-2025'!$A:$A,'[7]september-2025'!$D:$D,0,0)</f>
        <v>0</v>
      </c>
      <c r="BW154">
        <f>_xlfn.XLOOKUP(B154,'[7]september-2025'!$A:$A,'[7]september-2025'!$G:$G,0,0)</f>
        <v>500</v>
      </c>
      <c r="BX154">
        <f>IF(BS154&gt;0,SUM(BS154:BW154),0)</f>
        <v>45350</v>
      </c>
      <c r="BY154">
        <f>_xlfn.XLOOKUP(B154,'[7]september-2025'!$A:$A,'[7]september-2025'!$H:$H,0,0)</f>
        <v>3000</v>
      </c>
      <c r="BZ154">
        <f>_xlfn.XLOOKUP(B154,'[7]september-2025'!$A:$A,'[7]september-2025'!$I:$I,0,0)</f>
        <v>0</v>
      </c>
      <c r="CA154">
        <f>IF($F154="YES",0,IF(BX154&gt;40000,200,IF(BX154&gt;25000,150,IF(BX154&gt;15000,130,IF(BX154&gt;10000,110,0)))))</f>
        <v>200</v>
      </c>
      <c r="CB154">
        <f>BX154-BY154-BZ154-CA154</f>
        <v>42150</v>
      </c>
      <c r="CC154">
        <f>_xlfn.XLOOKUP(B154,'[8]october-2025'!$A:$A,'[8]october-2025'!$C:$C,0,0)</f>
        <v>34500</v>
      </c>
      <c r="CD154">
        <f>CC154*0.18</f>
        <v>6210</v>
      </c>
      <c r="CE154">
        <f>CC154*0.12</f>
        <v>4140</v>
      </c>
      <c r="CF154">
        <f>_xlfn.XLOOKUP(B154,'[8]october-2025'!$A:$A,'[8]october-2025'!$D:$D,0,0)</f>
        <v>0</v>
      </c>
      <c r="CG154">
        <f>_xlfn.XLOOKUP(B154,'[8]october-2025'!$A:$A,'[8]october-2025'!$G:$G,0,0)</f>
        <v>500</v>
      </c>
      <c r="CH154">
        <f>IF(CC154&gt;0,SUM(CC154:CG154),0)</f>
        <v>45350</v>
      </c>
      <c r="CI154">
        <f>_xlfn.XLOOKUP(B154,'[8]october-2025'!$A:$A,'[8]october-2025'!$H:$H,0,0)</f>
        <v>3000</v>
      </c>
      <c r="CJ154">
        <f>_xlfn.XLOOKUP(B154,'[8]october-2025'!$A:$A,'[8]october-2025'!$I:$I,0,0)</f>
        <v>0</v>
      </c>
      <c r="CK154">
        <f>IF($F154="YES",0,IF(CH154&gt;40000,200,IF(CH154&gt;25000,150,IF(CH154&gt;15000,130,IF(CH154&gt;10000,110,0)))))</f>
        <v>200</v>
      </c>
      <c r="CL154">
        <f>CH154-CI154-CJ154-CK154</f>
        <v>42150</v>
      </c>
      <c r="CM154">
        <f>_xlfn.XLOOKUP(B154,'[9]november-2025'!$A:$A,'[9]november-2025'!$C:$C,0,0)</f>
        <v>34500</v>
      </c>
      <c r="CN154">
        <f>CM154*0.18</f>
        <v>6210</v>
      </c>
      <c r="CO154">
        <f>CM154*0.12</f>
        <v>4140</v>
      </c>
      <c r="CP154">
        <f>_xlfn.XLOOKUP(B154,'[9]november-2025'!$A:$A,'[9]november-2025'!$D:$D,0,0)</f>
        <v>0</v>
      </c>
      <c r="CQ154">
        <f>_xlfn.XLOOKUP(B154,'[9]november-2025'!$A:$A,'[9]november-2025'!$G:$G,0,0)</f>
        <v>500</v>
      </c>
      <c r="CR154">
        <f>IF(CM154&gt;0,SUM(CM154:CQ154),0)</f>
        <v>45350</v>
      </c>
      <c r="CS154">
        <f>_xlfn.XLOOKUP(B154,'[9]november-2025'!$A:$A,'[9]november-2025'!$H:$H,0,0)</f>
        <v>3000</v>
      </c>
      <c r="CT154">
        <f>_xlfn.XLOOKUP(B154,'[9]november-2025'!$A:$A,'[9]november-2025'!$I:$I,0,0)</f>
        <v>0</v>
      </c>
      <c r="CU154">
        <f>IF($F154="YES",0,IF(CR154&gt;40000,200,IF(CR154&gt;25000,150,IF(CR154&gt;15000,130,IF(CR154&gt;10000,110,0)))))</f>
        <v>200</v>
      </c>
      <c r="CV154">
        <f>CR154-CS154-CT154-CU154</f>
        <v>42150</v>
      </c>
      <c r="CW154">
        <f>_xlfn.XLOOKUP(B154,'[10]december-2025'!$A:$A,'[10]december-2025'!$C:$C,0,0)</f>
        <v>34500</v>
      </c>
      <c r="CX154">
        <f>ROUND(CW154*0.18,0)</f>
        <v>6210</v>
      </c>
      <c r="CY154">
        <f>ROUND(CW154*0.12,0)</f>
        <v>4140</v>
      </c>
      <c r="CZ154">
        <f>_xlfn.XLOOKUP(B154,'[10]december-2025'!$A:$A,'[10]december-2025'!$D:$D,0,0)</f>
        <v>0</v>
      </c>
      <c r="DA154">
        <f>_xlfn.XLOOKUP(B154,'[10]december-2025'!$A:$A,'[10]december-2025'!$G:$G,0,0)</f>
        <v>500</v>
      </c>
      <c r="DB154">
        <f>IF(CW154&gt;0,SUM(CW154:DA154),0)</f>
        <v>45350</v>
      </c>
      <c r="DC154">
        <f>_xlfn.XLOOKUP(B154,'[10]december-2025'!$A:$A,'[10]december-2025'!$H:$H,0,0)</f>
        <v>3000</v>
      </c>
      <c r="DD154">
        <f>_xlfn.XLOOKUP(B154,'[10]december-2025'!$A:$A,'[10]december-2025'!$I:$I,0,0)</f>
        <v>0</v>
      </c>
      <c r="DE154">
        <f>IF($F154="YES",0,IF(DB154&gt;40000,200,IF(DB154&gt;25000,150,IF(DB154&gt;15000,130,IF(DB154&gt;10000,110,0)))))</f>
        <v>200</v>
      </c>
      <c r="DF154">
        <f>DB154-DC154-DD154-DE154</f>
        <v>42150</v>
      </c>
      <c r="DG154">
        <f>_xlfn.XLOOKUP(B154,'[11]january-2026'!$A:$A,'[11]january-2026'!$C:$C,0,0)</f>
        <v>34500</v>
      </c>
      <c r="DH154">
        <f>DG154*0.18</f>
        <v>6210</v>
      </c>
      <c r="DI154">
        <f>DG154*0.12</f>
        <v>4140</v>
      </c>
      <c r="DJ154">
        <f>_xlfn.XLOOKUP(B154,'[11]january-2026'!$A:$A,'[11]january-2026'!$D:$D,0,0)</f>
        <v>0</v>
      </c>
      <c r="DK154">
        <f>_xlfn.XLOOKUP(B154,'[11]january-2026'!$A:$A,'[11]january-2026'!$G:$G,0,0)</f>
        <v>500</v>
      </c>
      <c r="DL154">
        <f>IF(DG154&gt;0,SUM(DG154:DK154),0)</f>
        <v>45350</v>
      </c>
      <c r="DM154">
        <f>_xlfn.XLOOKUP(B154,'[11]january-2026'!$A:$A,'[11]january-2026'!$H:$H,0,0)</f>
        <v>3000</v>
      </c>
      <c r="DN154">
        <f>_xlfn.XLOOKUP(B154,'[11]january-2026'!$A:$A,'[11]january-2026'!$I:$I,0,0)</f>
        <v>0</v>
      </c>
      <c r="DO154">
        <f>IF($F154="YES",0,IF(DL154&gt;40000,200,IF(DL154&gt;25000,150,IF(DL154&gt;15000,130,IF(DL154&gt;10000,110,0)))))</f>
        <v>200</v>
      </c>
      <c r="DP154">
        <f>DL154-DM154-DN154-DO154</f>
        <v>42150</v>
      </c>
      <c r="DQ154">
        <f>_xlfn.XLOOKUP(B154,'[12]february-2026'!$A:$A,'[12]february-2026'!$C:$C,0,0)</f>
        <v>34500</v>
      </c>
      <c r="DR154">
        <f>DQ154*0.18</f>
        <v>6210</v>
      </c>
      <c r="DS154">
        <f>DQ154*0.12</f>
        <v>4140</v>
      </c>
      <c r="DT154">
        <f>_xlfn.XLOOKUP(B154,'[12]february-2026'!$A:$A,'[12]february-2026'!$D:$D,0,0)</f>
        <v>0</v>
      </c>
      <c r="DU154">
        <f>_xlfn.XLOOKUP(B154,'[12]february-2026'!$A:$A,'[12]february-2026'!$G:$G,0,0)</f>
        <v>500</v>
      </c>
      <c r="DV154">
        <f>IF(DQ154&gt;0,SUM(DQ154:DU154),0)</f>
        <v>45350</v>
      </c>
      <c r="DW154">
        <f>_xlfn.XLOOKUP(B154,'[12]february-2026'!$A:$A,'[12]february-2026'!$H:$H,0,0)</f>
        <v>3000</v>
      </c>
      <c r="DX154">
        <f>_xlfn.XLOOKUP(B154,'[12]february-2026'!$A:$A,'[12]february-2026'!$I:$I,0,0)</f>
        <v>0</v>
      </c>
      <c r="DY154">
        <f>IF($F154="YES",0,IF(DV154&gt;40000,200,IF(DV154&gt;25000,150,IF(DV154&gt;15000,130,IF(DV154&gt;10000,110,0)))))</f>
        <v>200</v>
      </c>
      <c r="DZ154">
        <f>DV154-DW154-DX154-DY154</f>
        <v>42150</v>
      </c>
      <c r="EA154">
        <f>DV154+DL154+DB154+CR154+CH154+BX154+BN154+BD154+AS154+AI154+Y154+O154+H154+I154</f>
        <v>544460</v>
      </c>
      <c r="EB154">
        <f>DY154+DO154+DE154+CU154+CK154+CA154+BQ154+BG154+AV154+AL154+AB154+R154</f>
        <v>2400</v>
      </c>
      <c r="EC154">
        <f>IF(EA154&gt;0,50000,0)</f>
        <v>50000</v>
      </c>
      <c r="ED154">
        <v>0</v>
      </c>
      <c r="EE154">
        <f>EA154-EB154-EC154</f>
        <v>492060</v>
      </c>
      <c r="EF154">
        <f>DW154+DM154+DC154+CS154+CI154+BY154+BO154+BE154+AT154+AJ154+Z154+P154</f>
        <v>36000</v>
      </c>
      <c r="EG154">
        <f>DX154+DN154+DD154+CT154+CJ154+BZ154+BP154+BF154+AU154+AK154+AA154+Q154</f>
        <v>0</v>
      </c>
      <c r="EH154">
        <v>0</v>
      </c>
      <c r="EI154">
        <v>0</v>
      </c>
      <c r="EJ154">
        <v>0</v>
      </c>
      <c r="EK154">
        <v>0</v>
      </c>
      <c r="EL154">
        <v>0</v>
      </c>
      <c r="EM154">
        <v>0</v>
      </c>
      <c r="EN154">
        <v>0</v>
      </c>
      <c r="EO154">
        <v>0</v>
      </c>
      <c r="EP154">
        <v>0</v>
      </c>
      <c r="EQ154">
        <v>0</v>
      </c>
      <c r="ER154">
        <f>SUM(EF154:EQ154)</f>
        <v>36000</v>
      </c>
      <c r="ES154">
        <f>IF(ER154&gt;=150000,150000,ER154)</f>
        <v>36000</v>
      </c>
      <c r="ET154">
        <f>EE154-ES154</f>
        <v>456060</v>
      </c>
      <c r="EU154">
        <v>0</v>
      </c>
      <c r="EV154">
        <v>0</v>
      </c>
      <c r="EW154">
        <v>0</v>
      </c>
      <c r="EX154">
        <v>0</v>
      </c>
      <c r="EY154">
        <v>0</v>
      </c>
      <c r="EZ154">
        <v>0</v>
      </c>
      <c r="FA154">
        <v>0</v>
      </c>
      <c r="FB154">
        <f>SUM(EU154:FA154)+(IF(F154="YES",50000,0))</f>
        <v>0</v>
      </c>
      <c r="FC154">
        <f>ET154-FB154</f>
        <v>456060</v>
      </c>
      <c r="FD154">
        <f>ROUND(IF(FC154&gt;0,IF(FC154&gt;500000,12500,(FC154-250000)*0.05),0),0)</f>
        <v>10303</v>
      </c>
      <c r="FE154">
        <f>IF(ROUND(IF(FC154&gt;0,IF(FC154&gt;1000000,25000,(FC154-500000)*0.2),0),0)&lt;0,0,ROUND(IF(FC154&gt;0,IF(FC154&gt;1000000,25000,(FC154-500000)*0.2),0),0))</f>
        <v>0</v>
      </c>
      <c r="FF154">
        <f>FD154+FE154</f>
        <v>10303</v>
      </c>
      <c r="FG154">
        <f>IF(FF154&lt;12500,0,FF154)</f>
        <v>0</v>
      </c>
      <c r="FH154">
        <f>FG154*0.04</f>
        <v>0</v>
      </c>
      <c r="FI154">
        <f>ROUND(FH154+FG154,0)</f>
        <v>0</v>
      </c>
      <c r="FJ154">
        <v>0</v>
      </c>
      <c r="FK154">
        <f>FI154-FJ154</f>
        <v>0</v>
      </c>
      <c r="FL154" t="b">
        <f>IF(EA154&gt;500000,TRUE,FALSE)</f>
        <v>1</v>
      </c>
      <c r="FM154">
        <f ca="1">IF(FL154,RANDBETWEEN(500,1000),RANDBETWEEN(1000,3000))</f>
        <v>586</v>
      </c>
      <c r="FN154">
        <f ca="1">EA154+FM154</f>
        <v>545046</v>
      </c>
      <c r="FO154">
        <f>IF(EA154&gt;0,75000,0)</f>
        <v>75000</v>
      </c>
      <c r="FP154">
        <f ca="1">FN154-FO154</f>
        <v>470046</v>
      </c>
      <c r="FQ154">
        <f ca="1">IF(FP154&gt;2400000,FP154-2400000,0)</f>
        <v>0</v>
      </c>
      <c r="FR154">
        <f ca="1">FQ154*0.3</f>
        <v>0</v>
      </c>
      <c r="FS154">
        <f ca="1">IF(FP154&gt;2000000,FP154-2000000,0)</f>
        <v>0</v>
      </c>
      <c r="FT154">
        <f ca="1">FS154*0.25</f>
        <v>0</v>
      </c>
      <c r="FU154">
        <f ca="1">IF(FP154&gt;1600000,FP154-1600000-FQ154,0)</f>
        <v>0</v>
      </c>
      <c r="FV154">
        <f ca="1">FU154*0.2</f>
        <v>0</v>
      </c>
      <c r="FW154">
        <f ca="1">IF(FP154&gt;1200000,FP154-1200000-IF(F154="YES",50000,0)-FU154,0)</f>
        <v>0</v>
      </c>
      <c r="FX154">
        <f ca="1">FW154*0.15</f>
        <v>0</v>
      </c>
      <c r="FY154">
        <f ca="1">IF(FP154&gt;800000,FP154-800000-FQ154-FU154-FW154,0)</f>
        <v>0</v>
      </c>
      <c r="FZ154">
        <f ca="1">FY154*0.1</f>
        <v>0</v>
      </c>
      <c r="GA154">
        <f ca="1">IF(FP154&gt;400000,FP154-400000-FQ154-FU154-FW154-FY154,0)</f>
        <v>70046</v>
      </c>
      <c r="GB154">
        <f ca="1">GA154*0.05</f>
        <v>3502.3</v>
      </c>
      <c r="GC154">
        <f ca="1">ROUND(FR154+FT154+FV154+FX154+FZ154+GB154,0)</f>
        <v>3502</v>
      </c>
      <c r="GD154">
        <f ca="1">IF(FP154&gt;1200000,FP154,0)</f>
        <v>0</v>
      </c>
      <c r="GE154">
        <f ca="1">IF(FP154&gt;1200000,GD154-1200000,0)</f>
        <v>0</v>
      </c>
      <c r="GF154">
        <f ca="1">IF(FP154&lt;1200001,MIN(GC154,60000),0)</f>
        <v>3502</v>
      </c>
      <c r="GG154">
        <f ca="1">IF(FP154&gt;1200000,GC154-GE154,0)</f>
        <v>0</v>
      </c>
      <c r="GH154" t="b">
        <f ca="1">IF(GG154&gt;0,TRUE,FALSE)</f>
        <v>0</v>
      </c>
      <c r="GI154">
        <f ca="1">IF(GH154,GG154,0)</f>
        <v>0</v>
      </c>
      <c r="GJ154">
        <f ca="1">GF154+GI154</f>
        <v>3502</v>
      </c>
      <c r="GK154">
        <f ca="1">ROUND(GC154-GJ154,0)</f>
        <v>0</v>
      </c>
      <c r="GL154">
        <f ca="1">GK154*0.04</f>
        <v>0</v>
      </c>
      <c r="GM154">
        <f ca="1">ROUNDUP(GK154+GL154,0)</f>
        <v>0</v>
      </c>
    </row>
    <row r="155" spans="1:195" x14ac:dyDescent="0.25">
      <c r="A155">
        <f>_xlfn.AGGREGATE(3,5,$B$2:B155)</f>
        <v>154</v>
      </c>
      <c r="B155" t="s">
        <v>421</v>
      </c>
      <c r="C155" t="s">
        <v>422</v>
      </c>
      <c r="D155" t="s">
        <v>795</v>
      </c>
      <c r="E155" t="s">
        <v>834</v>
      </c>
      <c r="F155" t="s">
        <v>959</v>
      </c>
      <c r="G155" t="s">
        <v>882</v>
      </c>
      <c r="H155">
        <f>IF(_xlfn.DAYS("31-03-2025",G155)&gt;=180,6800,0)</f>
        <v>6800</v>
      </c>
      <c r="I155">
        <f>_xlfn.XLOOKUP(B155,'[1]march-2025'!$A:$A,'[1]march-2025'!$J:$J,0,0)</f>
        <v>0</v>
      </c>
      <c r="J155">
        <f>_xlfn.XLOOKUP(B155,'[1]march-2025'!$A:$A,'[1]march-2025'!$C:$C,0,0)</f>
        <v>47300</v>
      </c>
      <c r="K155">
        <f>J155*0.14</f>
        <v>6622.0000000000009</v>
      </c>
      <c r="L155">
        <f>J155*0.12</f>
        <v>5676</v>
      </c>
      <c r="M155">
        <f>_xlfn.XLOOKUP(B155,'[1]march-2025'!$A:$A,'[1]march-2025'!$D:$D,0,0)</f>
        <v>400</v>
      </c>
      <c r="N155">
        <f>_xlfn.XLOOKUP(B155,'[1]march-2025'!$A:$A,'[1]march-2025'!$G:$G,0,0)</f>
        <v>500</v>
      </c>
      <c r="O155">
        <f>IF(J155&gt;0,SUM(J155:N155),0)</f>
        <v>60498</v>
      </c>
      <c r="P155">
        <f>_xlfn.XLOOKUP(B155,'[1]march-2025'!$A:$A,'[1]march-2025'!$H:$H,0,0)</f>
        <v>8000</v>
      </c>
      <c r="Q155">
        <f>_xlfn.XLOOKUP(B155,'[1]march-2025'!$A:$A,'[1]march-2025'!$I:$I,0,0)</f>
        <v>60</v>
      </c>
      <c r="R155">
        <f>IF($F155="YES",0,IF(O155&gt;40000,200,IF(O155&gt;25000,150,IF(O155&gt;15000,130,IF(O155&gt;10000,110,0)))))</f>
        <v>200</v>
      </c>
      <c r="S155">
        <f>O155-P155-Q155-R155</f>
        <v>52238</v>
      </c>
      <c r="T155">
        <f>_xlfn.XLOOKUP(B155,'[2]april-2025'!$A:$A,'[2]april-2025'!$C:$C,0,0)</f>
        <v>47300</v>
      </c>
      <c r="U155">
        <f>T155*0.18</f>
        <v>8514</v>
      </c>
      <c r="V155">
        <f>T155*0.12</f>
        <v>5676</v>
      </c>
      <c r="W155">
        <f>_xlfn.XLOOKUP(B155,'[2]april-2025'!$A:$A,'[2]april-2025'!$D:$D,0,0)</f>
        <v>400</v>
      </c>
      <c r="X155">
        <f>_xlfn.XLOOKUP(B155,'[2]april-2025'!$A:$A,'[2]april-2025'!$G:$G,0,0)</f>
        <v>500</v>
      </c>
      <c r="Y155">
        <f>IF(T155&gt;0,SUM(T155:X155),0)</f>
        <v>62390</v>
      </c>
      <c r="Z155">
        <f>_xlfn.XLOOKUP(B155,'[2]april-2025'!$A:$A,'[2]april-2025'!$H:$H,0,0)</f>
        <v>8000</v>
      </c>
      <c r="AA155">
        <f>_xlfn.XLOOKUP(B155,'[2]april-2025'!$A:$A,'[2]april-2025'!$I:$I,0,0)</f>
        <v>60</v>
      </c>
      <c r="AB155">
        <f>IF($F155="YES",0,IF(Y155&gt;40000,200,IF(Y155&gt;25000,150,IF(Y155&gt;15000,130,IF(Y155&gt;10000,110,0)))))</f>
        <v>200</v>
      </c>
      <c r="AC155">
        <f>Y155-Z155-AA155-AB155</f>
        <v>54130</v>
      </c>
      <c r="AD155">
        <f>_xlfn.XLOOKUP(B155,'[3]may-2025'!$A:$A,'[3]may-2025'!$C:$C,0,0)</f>
        <v>47300</v>
      </c>
      <c r="AE155">
        <f>AD155*0.18</f>
        <v>8514</v>
      </c>
      <c r="AF155">
        <f>AD155*0.12</f>
        <v>5676</v>
      </c>
      <c r="AG155">
        <f>_xlfn.XLOOKUP(B155,'[3]may-2025'!$A:$A,'[3]may-2025'!$D:$D,0,0)</f>
        <v>400</v>
      </c>
      <c r="AH155">
        <f>_xlfn.XLOOKUP(B155,'[3]may-2025'!$A:$A,'[3]may-2025'!$G:$G,0,0)</f>
        <v>500</v>
      </c>
      <c r="AI155">
        <f>IF(AD155&gt;0,SUM(AD155:AH155),0)</f>
        <v>62390</v>
      </c>
      <c r="AJ155">
        <f>_xlfn.XLOOKUP(B155,'[3]may-2025'!$A:$A,'[3]may-2025'!$H:$H,0,0)</f>
        <v>8000</v>
      </c>
      <c r="AK155">
        <f>_xlfn.XLOOKUP(B155,'[3]may-2025'!$A:$A,'[3]may-2025'!$I:$I,0,0)</f>
        <v>60</v>
      </c>
      <c r="AL155">
        <f>IF($F155="YES",0,IF(AI155&gt;40000,200,IF(AI155&gt;25000,150,IF(AI155&gt;15000,130,IF(AI155&gt;10000,110,0)))))</f>
        <v>200</v>
      </c>
      <c r="AM155">
        <f>AI155-AJ155-AK155-AL155</f>
        <v>54130</v>
      </c>
      <c r="AN155">
        <f>_xlfn.XLOOKUP(B155,'[4]june-2025'!$A:$A,'[4]june-2025'!$C:$C,0,0)</f>
        <v>47300</v>
      </c>
      <c r="AO155">
        <f>AN155*0.18</f>
        <v>8514</v>
      </c>
      <c r="AP155">
        <f>AN155*0.12</f>
        <v>5676</v>
      </c>
      <c r="AQ155">
        <f>_xlfn.XLOOKUP(B155,'[4]june-2025'!$A:$A,'[4]june-2025'!$D:$D,0,0)</f>
        <v>400</v>
      </c>
      <c r="AR155">
        <f>_xlfn.XLOOKUP(B155,'[4]june-2025'!$A:$A,'[4]june-2025'!$G:$G,0,0)</f>
        <v>500</v>
      </c>
      <c r="AS155">
        <f>IF(AN155&gt;0,SUM(AN155:AR155),0)</f>
        <v>62390</v>
      </c>
      <c r="AT155">
        <f>_xlfn.XLOOKUP(B155,'[4]june-2025'!$A:$A,'[4]june-2025'!$H:$H,0,0)</f>
        <v>8000</v>
      </c>
      <c r="AU155">
        <f>_xlfn.XLOOKUP(B155,'[4]june-2025'!$A:$A,'[4]june-2025'!$I:$I,0,0)</f>
        <v>60</v>
      </c>
      <c r="AV155">
        <f>IF($F155="YES",0,IF(AS155&gt;40000,200,IF(AS155&gt;25000,150,IF(AS155&gt;15000,130,IF(AS155&gt;10000,110,0)))))</f>
        <v>200</v>
      </c>
      <c r="AW155">
        <f>AS155-AT155-AU155-AV155</f>
        <v>54130</v>
      </c>
      <c r="AX155">
        <f>_xlfn.XLOOKUP(B155,'[5]july-2025'!$A:$A,'[5]july-2025'!$C:$C,0,0)</f>
        <v>48700</v>
      </c>
      <c r="AY155">
        <f>AX155*0.18</f>
        <v>8766</v>
      </c>
      <c r="AZ155">
        <v>0</v>
      </c>
      <c r="BA155">
        <f>AX155*0.12</f>
        <v>5844</v>
      </c>
      <c r="BB155">
        <f>_xlfn.XLOOKUP(B155,'[5]july-2025'!$A:$A,'[5]july-2025'!$D:$D,0,0)</f>
        <v>400</v>
      </c>
      <c r="BC155">
        <f>_xlfn.XLOOKUP(B155,'[5]july-2025'!$A:$A,'[5]july-2025'!$G:$G,0,0)</f>
        <v>500</v>
      </c>
      <c r="BD155">
        <f>IF(AX155&gt;0,SUM(AX155:BC155),0)</f>
        <v>64210</v>
      </c>
      <c r="BE155">
        <f>_xlfn.XLOOKUP(B155,'[5]july-2025'!$A:$A,'[5]july-2025'!$H:$H,0,0)</f>
        <v>8000</v>
      </c>
      <c r="BF155">
        <f>_xlfn.XLOOKUP(B155,'[5]july-2025'!$A:$A,'[5]july-2025'!$I:$I,0,0)</f>
        <v>60</v>
      </c>
      <c r="BG155">
        <f>IF($F155="YES",0,IF(BD155&gt;40000,200,IF(BD155&gt;25000,150,IF(BD155&gt;15000,130,IF(BD155&gt;10000,110,0)))))</f>
        <v>200</v>
      </c>
      <c r="BH155">
        <f>BD155-BE155-BF155-BG155</f>
        <v>55950</v>
      </c>
      <c r="BI155">
        <f>_xlfn.XLOOKUP(B155,'[6]august-2025'!$A:$A,'[6]august-2025'!$C:$C,0,0)</f>
        <v>48700</v>
      </c>
      <c r="BJ155">
        <f>BI155*0.18</f>
        <v>8766</v>
      </c>
      <c r="BK155">
        <f>BI155*0.12</f>
        <v>5844</v>
      </c>
      <c r="BL155">
        <f>_xlfn.XLOOKUP(B155,'[6]august-2025'!$A:$A,'[6]august-2025'!$D:$D,0,0)</f>
        <v>400</v>
      </c>
      <c r="BM155">
        <f>_xlfn.XLOOKUP(B155,'[6]august-2025'!$A:$A,'[6]august-2025'!$G:$G,0,0)</f>
        <v>500</v>
      </c>
      <c r="BN155">
        <f>IF(BI155&gt;0,SUM(BI155:BM155),0)</f>
        <v>64210</v>
      </c>
      <c r="BO155">
        <f>_xlfn.XLOOKUP(B155,'[6]august-2025'!$A:$A,'[6]august-2025'!$H:$H,0,0)</f>
        <v>8000</v>
      </c>
      <c r="BP155">
        <f>_xlfn.XLOOKUP(B155,'[6]august-2025'!$A:$A,'[6]august-2025'!$I:$I,0,0)</f>
        <v>60</v>
      </c>
      <c r="BQ155">
        <f>IF($F155="YES",0,IF(BN155&gt;40000,200,IF(BN155&gt;25000,150,IF(BN155&gt;15000,130,IF(BN155&gt;10000,110,0)))))</f>
        <v>200</v>
      </c>
      <c r="BR155">
        <f>BN155-BO155-BP155-BQ155</f>
        <v>55950</v>
      </c>
      <c r="BS155">
        <f>_xlfn.XLOOKUP(B155,'[7]september-2025'!$A:$A,'[7]september-2025'!$C:$C,0,0)</f>
        <v>48700</v>
      </c>
      <c r="BT155">
        <f>BS155*0.18</f>
        <v>8766</v>
      </c>
      <c r="BU155">
        <f>BS155*0.12</f>
        <v>5844</v>
      </c>
      <c r="BV155">
        <f>_xlfn.XLOOKUP(B155,'[7]september-2025'!$A:$A,'[7]september-2025'!$D:$D,0,0)</f>
        <v>400</v>
      </c>
      <c r="BW155">
        <f>_xlfn.XLOOKUP(B155,'[7]september-2025'!$A:$A,'[7]september-2025'!$G:$G,0,0)</f>
        <v>500</v>
      </c>
      <c r="BX155">
        <f>IF(BS155&gt;0,SUM(BS155:BW155),0)</f>
        <v>64210</v>
      </c>
      <c r="BY155">
        <f>_xlfn.XLOOKUP(B155,'[7]september-2025'!$A:$A,'[7]september-2025'!$H:$H,0,0)</f>
        <v>8000</v>
      </c>
      <c r="BZ155">
        <f>_xlfn.XLOOKUP(B155,'[7]september-2025'!$A:$A,'[7]september-2025'!$I:$I,0,0)</f>
        <v>60</v>
      </c>
      <c r="CA155">
        <f>IF($F155="YES",0,IF(BX155&gt;40000,200,IF(BX155&gt;25000,150,IF(BX155&gt;15000,130,IF(BX155&gt;10000,110,0)))))</f>
        <v>200</v>
      </c>
      <c r="CB155">
        <f>BX155-BY155-BZ155-CA155</f>
        <v>55950</v>
      </c>
      <c r="CC155">
        <f>_xlfn.XLOOKUP(B155,'[8]october-2025'!$A:$A,'[8]october-2025'!$C:$C,0,0)</f>
        <v>48700</v>
      </c>
      <c r="CD155">
        <f>CC155*0.18</f>
        <v>8766</v>
      </c>
      <c r="CE155">
        <f>CC155*0.12</f>
        <v>5844</v>
      </c>
      <c r="CF155">
        <f>_xlfn.XLOOKUP(B155,'[8]october-2025'!$A:$A,'[8]october-2025'!$D:$D,0,0)</f>
        <v>400</v>
      </c>
      <c r="CG155">
        <f>_xlfn.XLOOKUP(B155,'[8]october-2025'!$A:$A,'[8]october-2025'!$G:$G,0,0)</f>
        <v>500</v>
      </c>
      <c r="CH155">
        <f>IF(CC155&gt;0,SUM(CC155:CG155),0)</f>
        <v>64210</v>
      </c>
      <c r="CI155">
        <f>_xlfn.XLOOKUP(B155,'[8]october-2025'!$A:$A,'[8]october-2025'!$H:$H,0,0)</f>
        <v>8000</v>
      </c>
      <c r="CJ155">
        <f>_xlfn.XLOOKUP(B155,'[8]october-2025'!$A:$A,'[8]october-2025'!$I:$I,0,0)</f>
        <v>60</v>
      </c>
      <c r="CK155">
        <f>IF($F155="YES",0,IF(CH155&gt;40000,200,IF(CH155&gt;25000,150,IF(CH155&gt;15000,130,IF(CH155&gt;10000,110,0)))))</f>
        <v>200</v>
      </c>
      <c r="CL155">
        <f>CH155-CI155-CJ155-CK155</f>
        <v>55950</v>
      </c>
      <c r="CM155">
        <f>_xlfn.XLOOKUP(B155,'[9]november-2025'!$A:$A,'[9]november-2025'!$C:$C,0,0)</f>
        <v>48700</v>
      </c>
      <c r="CN155">
        <f>CM155*0.18</f>
        <v>8766</v>
      </c>
      <c r="CO155">
        <f>CM155*0.12</f>
        <v>5844</v>
      </c>
      <c r="CP155">
        <f>_xlfn.XLOOKUP(B155,'[9]november-2025'!$A:$A,'[9]november-2025'!$D:$D,0,0)</f>
        <v>400</v>
      </c>
      <c r="CQ155">
        <f>_xlfn.XLOOKUP(B155,'[9]november-2025'!$A:$A,'[9]november-2025'!$G:$G,0,0)</f>
        <v>500</v>
      </c>
      <c r="CR155">
        <f>IF(CM155&gt;0,SUM(CM155:CQ155),0)</f>
        <v>64210</v>
      </c>
      <c r="CS155">
        <f>_xlfn.XLOOKUP(B155,'[9]november-2025'!$A:$A,'[9]november-2025'!$H:$H,0,0)</f>
        <v>8000</v>
      </c>
      <c r="CT155">
        <f>_xlfn.XLOOKUP(B155,'[9]november-2025'!$A:$A,'[9]november-2025'!$I:$I,0,0)</f>
        <v>60</v>
      </c>
      <c r="CU155">
        <f>IF($F155="YES",0,IF(CR155&gt;40000,200,IF(CR155&gt;25000,150,IF(CR155&gt;15000,130,IF(CR155&gt;10000,110,0)))))</f>
        <v>200</v>
      </c>
      <c r="CV155">
        <f>CR155-CS155-CT155-CU155</f>
        <v>55950</v>
      </c>
      <c r="CW155">
        <f>_xlfn.XLOOKUP(B155,'[10]december-2025'!$A:$A,'[10]december-2025'!$C:$C,0,0)</f>
        <v>48700</v>
      </c>
      <c r="CX155">
        <f>ROUND(CW155*0.18,0)</f>
        <v>8766</v>
      </c>
      <c r="CY155">
        <f>ROUND(CW155*0.12,0)</f>
        <v>5844</v>
      </c>
      <c r="CZ155">
        <f>_xlfn.XLOOKUP(B155,'[10]december-2025'!$A:$A,'[10]december-2025'!$D:$D,0,0)</f>
        <v>400</v>
      </c>
      <c r="DA155">
        <f>_xlfn.XLOOKUP(B155,'[10]december-2025'!$A:$A,'[10]december-2025'!$G:$G,0,0)</f>
        <v>500</v>
      </c>
      <c r="DB155">
        <f>IF(CW155&gt;0,SUM(CW155:DA155),0)</f>
        <v>64210</v>
      </c>
      <c r="DC155">
        <f>_xlfn.XLOOKUP(B155,'[10]december-2025'!$A:$A,'[10]december-2025'!$H:$H,0,0)</f>
        <v>8000</v>
      </c>
      <c r="DD155">
        <f>_xlfn.XLOOKUP(B155,'[10]december-2025'!$A:$A,'[10]december-2025'!$I:$I,0,0)</f>
        <v>60</v>
      </c>
      <c r="DE155">
        <f>IF($F155="YES",0,IF(DB155&gt;40000,200,IF(DB155&gt;25000,150,IF(DB155&gt;15000,130,IF(DB155&gt;10000,110,0)))))</f>
        <v>200</v>
      </c>
      <c r="DF155">
        <f>DB155-DC155-DD155-DE155</f>
        <v>55950</v>
      </c>
      <c r="DG155">
        <f>_xlfn.XLOOKUP(B155,'[11]january-2026'!$A:$A,'[11]january-2026'!$C:$C,0,0)</f>
        <v>48700</v>
      </c>
      <c r="DH155">
        <f>DG155*0.18</f>
        <v>8766</v>
      </c>
      <c r="DI155">
        <f>DG155*0.12</f>
        <v>5844</v>
      </c>
      <c r="DJ155">
        <f>_xlfn.XLOOKUP(B155,'[11]january-2026'!$A:$A,'[11]january-2026'!$D:$D,0,0)</f>
        <v>400</v>
      </c>
      <c r="DK155">
        <f>_xlfn.XLOOKUP(B155,'[11]january-2026'!$A:$A,'[11]january-2026'!$G:$G,0,0)</f>
        <v>500</v>
      </c>
      <c r="DL155">
        <f>IF(DG155&gt;0,SUM(DG155:DK155),0)</f>
        <v>64210</v>
      </c>
      <c r="DM155">
        <f>_xlfn.XLOOKUP(B155,'[11]january-2026'!$A:$A,'[11]january-2026'!$H:$H,0,0)</f>
        <v>8000</v>
      </c>
      <c r="DN155">
        <f>_xlfn.XLOOKUP(B155,'[11]january-2026'!$A:$A,'[11]january-2026'!$I:$I,0,0)</f>
        <v>60</v>
      </c>
      <c r="DO155">
        <f>IF($F155="YES",0,IF(DL155&gt;40000,200,IF(DL155&gt;25000,150,IF(DL155&gt;15000,130,IF(DL155&gt;10000,110,0)))))</f>
        <v>200</v>
      </c>
      <c r="DP155">
        <f>DL155-DM155-DN155-DO155</f>
        <v>55950</v>
      </c>
      <c r="DQ155">
        <f>_xlfn.XLOOKUP(B155,'[12]february-2026'!$A:$A,'[12]february-2026'!$C:$C,0,0)</f>
        <v>48700</v>
      </c>
      <c r="DR155">
        <f>DQ155*0.18</f>
        <v>8766</v>
      </c>
      <c r="DS155">
        <f>DQ155*0.12</f>
        <v>5844</v>
      </c>
      <c r="DT155">
        <f>_xlfn.XLOOKUP(B155,'[12]february-2026'!$A:$A,'[12]february-2026'!$D:$D,0,0)</f>
        <v>400</v>
      </c>
      <c r="DU155">
        <f>_xlfn.XLOOKUP(B155,'[12]february-2026'!$A:$A,'[12]february-2026'!$G:$G,0,0)</f>
        <v>500</v>
      </c>
      <c r="DV155">
        <f>IF(DQ155&gt;0,SUM(DQ155:DU155),0)</f>
        <v>64210</v>
      </c>
      <c r="DW155">
        <f>_xlfn.XLOOKUP(B155,'[12]february-2026'!$A:$A,'[12]february-2026'!$H:$H,0,0)</f>
        <v>8000</v>
      </c>
      <c r="DX155">
        <f>_xlfn.XLOOKUP(B155,'[12]february-2026'!$A:$A,'[12]february-2026'!$I:$I,0,0)</f>
        <v>60</v>
      </c>
      <c r="DY155">
        <f>IF($F155="YES",0,IF(DV155&gt;40000,200,IF(DV155&gt;25000,150,IF(DV155&gt;15000,130,IF(DV155&gt;10000,110,0)))))</f>
        <v>200</v>
      </c>
      <c r="DZ155">
        <f>DV155-DW155-DX155-DY155</f>
        <v>55950</v>
      </c>
      <c r="EA155">
        <f>DV155+DL155+DB155+CR155+CH155+BX155+BN155+BD155+AS155+AI155+Y155+O155+H155+I155</f>
        <v>768148</v>
      </c>
      <c r="EB155">
        <f>DY155+DO155+DE155+CU155+CK155+CA155+BQ155+BG155+AV155+AL155+AB155+R155</f>
        <v>2400</v>
      </c>
      <c r="EC155">
        <f>IF(EA155&gt;0,50000,0)</f>
        <v>50000</v>
      </c>
      <c r="ED155">
        <v>0</v>
      </c>
      <c r="EE155">
        <f>EA155-EB155-EC155</f>
        <v>715748</v>
      </c>
      <c r="EF155">
        <f>DW155+DM155+DC155+CS155+CI155+BY155+BO155+BE155+AT155+AJ155+Z155+P155</f>
        <v>96000</v>
      </c>
      <c r="EG155">
        <f>DX155+DN155+DD155+CT155+CJ155+BZ155+BP155+BF155+AU155+AK155+AA155+Q155</f>
        <v>720</v>
      </c>
      <c r="EH155">
        <v>0</v>
      </c>
      <c r="EI155">
        <v>0</v>
      </c>
      <c r="EJ155">
        <v>0</v>
      </c>
      <c r="EK155">
        <v>0</v>
      </c>
      <c r="EL155">
        <v>0</v>
      </c>
      <c r="EM155">
        <v>0</v>
      </c>
      <c r="EN155">
        <v>0</v>
      </c>
      <c r="EO155">
        <v>0</v>
      </c>
      <c r="EP155">
        <v>0</v>
      </c>
      <c r="EQ155">
        <v>0</v>
      </c>
      <c r="ER155">
        <f>SUM(EF155:EQ155)</f>
        <v>96720</v>
      </c>
      <c r="ES155">
        <f>IF(ER155&gt;=150000,150000,ER155)</f>
        <v>96720</v>
      </c>
      <c r="ET155">
        <f>EE155-ES155</f>
        <v>619028</v>
      </c>
      <c r="EU155">
        <v>0</v>
      </c>
      <c r="EV155">
        <v>0</v>
      </c>
      <c r="EW155">
        <v>0</v>
      </c>
      <c r="EX155">
        <v>0</v>
      </c>
      <c r="EY155">
        <v>0</v>
      </c>
      <c r="EZ155">
        <v>0</v>
      </c>
      <c r="FA155">
        <v>0</v>
      </c>
      <c r="FB155">
        <f>SUM(EU155:FA155)+(IF(F155="YES",50000,0))</f>
        <v>0</v>
      </c>
      <c r="FC155">
        <f>ET155-FB155</f>
        <v>619028</v>
      </c>
      <c r="FD155">
        <f>ROUND(IF(FC155&gt;0,IF(FC155&gt;500000,12500,(FC155-250000)*0.05),0),0)</f>
        <v>12500</v>
      </c>
      <c r="FE155">
        <f>IF(ROUND(IF(FC155&gt;0,IF(FC155&gt;1000000,25000,(FC155-500000)*0.2),0),0)&lt;0,0,ROUND(IF(FC155&gt;0,IF(FC155&gt;1000000,25000,(FC155-500000)*0.2),0),0))</f>
        <v>23806</v>
      </c>
      <c r="FF155">
        <f>FD155+FE155</f>
        <v>36306</v>
      </c>
      <c r="FG155">
        <f>IF(FF155&lt;12500,0,FF155)</f>
        <v>36306</v>
      </c>
      <c r="FH155">
        <f>FG155*0.04</f>
        <v>1452.24</v>
      </c>
      <c r="FI155">
        <f>ROUND(FH155+FG155,0)</f>
        <v>37758</v>
      </c>
      <c r="FJ155">
        <v>0</v>
      </c>
      <c r="FK155">
        <f>FI155-FJ155</f>
        <v>37758</v>
      </c>
      <c r="FL155" t="b">
        <f>IF(EA155&gt;500000,TRUE,FALSE)</f>
        <v>1</v>
      </c>
      <c r="FM155">
        <f ca="1">IF(FL155,RANDBETWEEN(500,1000),RANDBETWEEN(1000,3000))</f>
        <v>921</v>
      </c>
      <c r="FN155">
        <f ca="1">EA155+FM155</f>
        <v>769069</v>
      </c>
      <c r="FO155">
        <f>IF(EA155&gt;0,75000,0)</f>
        <v>75000</v>
      </c>
      <c r="FP155">
        <f ca="1">FN155-FO155</f>
        <v>694069</v>
      </c>
      <c r="FQ155">
        <f ca="1">IF(FP155&gt;2400000,FP155-2400000,0)</f>
        <v>0</v>
      </c>
      <c r="FR155">
        <f ca="1">FQ155*0.3</f>
        <v>0</v>
      </c>
      <c r="FS155">
        <f ca="1">IF(FP155&gt;2000000,FP155-2000000,0)</f>
        <v>0</v>
      </c>
      <c r="FT155">
        <f ca="1">FS155*0.25</f>
        <v>0</v>
      </c>
      <c r="FU155">
        <f ca="1">IF(FP155&gt;1600000,FP155-1600000-FQ155,0)</f>
        <v>0</v>
      </c>
      <c r="FV155">
        <f ca="1">FU155*0.2</f>
        <v>0</v>
      </c>
      <c r="FW155">
        <f ca="1">IF(FP155&gt;1200000,FP155-1200000-IF(F155="YES",50000,0)-FU155,0)</f>
        <v>0</v>
      </c>
      <c r="FX155">
        <f ca="1">FW155*0.15</f>
        <v>0</v>
      </c>
      <c r="FY155">
        <f ca="1">IF(FP155&gt;800000,FP155-800000-FQ155-FU155-FW155,0)</f>
        <v>0</v>
      </c>
      <c r="FZ155">
        <f ca="1">FY155*0.1</f>
        <v>0</v>
      </c>
      <c r="GA155">
        <f ca="1">IF(FP155&gt;400000,FP155-400000-FQ155-FU155-FW155-FY155,0)</f>
        <v>294069</v>
      </c>
      <c r="GB155">
        <f ca="1">GA155*0.05</f>
        <v>14703.45</v>
      </c>
      <c r="GC155">
        <f ca="1">ROUND(FR155+FT155+FV155+FX155+FZ155+GB155,0)</f>
        <v>14703</v>
      </c>
      <c r="GD155">
        <f ca="1">IF(FP155&gt;1200000,FP155,0)</f>
        <v>0</v>
      </c>
      <c r="GE155">
        <f ca="1">IF(FP155&gt;1200000,GD155-1200000,0)</f>
        <v>0</v>
      </c>
      <c r="GF155">
        <f ca="1">IF(FP155&lt;1200001,MIN(GC155,60000),0)</f>
        <v>14703</v>
      </c>
      <c r="GG155">
        <f ca="1">IF(FP155&gt;1200000,GC155-GE155,0)</f>
        <v>0</v>
      </c>
      <c r="GH155" t="b">
        <f ca="1">IF(GG155&gt;0,TRUE,FALSE)</f>
        <v>0</v>
      </c>
      <c r="GI155">
        <f ca="1">IF(GH155,GG155,0)</f>
        <v>0</v>
      </c>
      <c r="GJ155">
        <f ca="1">GF155+GI155</f>
        <v>14703</v>
      </c>
      <c r="GK155">
        <f ca="1">ROUND(GC155-GJ155,0)</f>
        <v>0</v>
      </c>
      <c r="GL155">
        <f ca="1">GK155*0.04</f>
        <v>0</v>
      </c>
      <c r="GM155">
        <f ca="1">ROUNDUP(GK155+GL155,0)</f>
        <v>0</v>
      </c>
    </row>
    <row r="156" spans="1:195" x14ac:dyDescent="0.25">
      <c r="A156">
        <f>_xlfn.AGGREGATE(3,5,$B$2:B156)</f>
        <v>155</v>
      </c>
      <c r="B156" t="s">
        <v>423</v>
      </c>
      <c r="C156" t="s">
        <v>424</v>
      </c>
      <c r="D156" t="s">
        <v>795</v>
      </c>
      <c r="E156" t="s">
        <v>833</v>
      </c>
      <c r="F156" t="s">
        <v>959</v>
      </c>
      <c r="G156" t="s">
        <v>880</v>
      </c>
      <c r="H156">
        <f>IF(_xlfn.DAYS("31-03-2025",G156)&gt;=180,6800,0)</f>
        <v>6800</v>
      </c>
      <c r="I156">
        <f>_xlfn.XLOOKUP(B156,'[1]march-2025'!$A:$A,'[1]march-2025'!$J:$J,0,0)</f>
        <v>0</v>
      </c>
      <c r="J156">
        <f>_xlfn.XLOOKUP(B156,'[1]march-2025'!$A:$A,'[1]march-2025'!$C:$C,0,0)</f>
        <v>34500</v>
      </c>
      <c r="K156">
        <f>J156*0.14</f>
        <v>4830.0000000000009</v>
      </c>
      <c r="L156">
        <f>J156*0.12</f>
        <v>4140</v>
      </c>
      <c r="M156">
        <f>_xlfn.XLOOKUP(B156,'[1]march-2025'!$A:$A,'[1]march-2025'!$D:$D,0,0)</f>
        <v>0</v>
      </c>
      <c r="N156">
        <f>_xlfn.XLOOKUP(B156,'[1]march-2025'!$A:$A,'[1]march-2025'!$G:$G,0,0)</f>
        <v>500</v>
      </c>
      <c r="O156">
        <f>IF(J156&gt;0,SUM(J156:N156),0)</f>
        <v>43970</v>
      </c>
      <c r="P156">
        <f>_xlfn.XLOOKUP(B156,'[1]march-2025'!$A:$A,'[1]march-2025'!$H:$H,0,0)</f>
        <v>5000</v>
      </c>
      <c r="Q156">
        <f>_xlfn.XLOOKUP(B156,'[1]march-2025'!$A:$A,'[1]march-2025'!$I:$I,0,0)</f>
        <v>0</v>
      </c>
      <c r="R156">
        <f>IF($F156="YES",0,IF(O156&gt;40000,200,IF(O156&gt;25000,150,IF(O156&gt;15000,130,IF(O156&gt;10000,110,0)))))</f>
        <v>200</v>
      </c>
      <c r="S156">
        <f>O156-P156-Q156-R156</f>
        <v>38770</v>
      </c>
      <c r="T156">
        <f>_xlfn.XLOOKUP(B156,'[2]april-2025'!$A:$A,'[2]april-2025'!$C:$C,0,0)</f>
        <v>34500</v>
      </c>
      <c r="U156">
        <f>T156*0.18</f>
        <v>6210</v>
      </c>
      <c r="V156">
        <f>T156*0.12</f>
        <v>4140</v>
      </c>
      <c r="W156">
        <f>_xlfn.XLOOKUP(B156,'[2]april-2025'!$A:$A,'[2]april-2025'!$D:$D,0,0)</f>
        <v>0</v>
      </c>
      <c r="X156">
        <f>_xlfn.XLOOKUP(B156,'[2]april-2025'!$A:$A,'[2]april-2025'!$G:$G,0,0)</f>
        <v>500</v>
      </c>
      <c r="Y156">
        <f>IF(T156&gt;0,SUM(T156:X156),0)</f>
        <v>45350</v>
      </c>
      <c r="Z156">
        <f>_xlfn.XLOOKUP(B156,'[2]april-2025'!$A:$A,'[2]april-2025'!$H:$H,0,0)</f>
        <v>5000</v>
      </c>
      <c r="AA156">
        <f>_xlfn.XLOOKUP(B156,'[2]april-2025'!$A:$A,'[2]april-2025'!$I:$I,0,0)</f>
        <v>0</v>
      </c>
      <c r="AB156">
        <f>IF($F156="YES",0,IF(Y156&gt;40000,200,IF(Y156&gt;25000,150,IF(Y156&gt;15000,130,IF(Y156&gt;10000,110,0)))))</f>
        <v>200</v>
      </c>
      <c r="AC156">
        <f>Y156-Z156-AA156-AB156</f>
        <v>40150</v>
      </c>
      <c r="AD156">
        <f>_xlfn.XLOOKUP(B156,'[3]may-2025'!$A:$A,'[3]may-2025'!$C:$C,0,0)</f>
        <v>34500</v>
      </c>
      <c r="AE156">
        <f>AD156*0.18</f>
        <v>6210</v>
      </c>
      <c r="AF156">
        <f>AD156*0.12</f>
        <v>4140</v>
      </c>
      <c r="AG156">
        <f>_xlfn.XLOOKUP(B156,'[3]may-2025'!$A:$A,'[3]may-2025'!$D:$D,0,0)</f>
        <v>0</v>
      </c>
      <c r="AH156">
        <f>_xlfn.XLOOKUP(B156,'[3]may-2025'!$A:$A,'[3]may-2025'!$G:$G,0,0)</f>
        <v>500</v>
      </c>
      <c r="AI156">
        <f>IF(AD156&gt;0,SUM(AD156:AH156),0)</f>
        <v>45350</v>
      </c>
      <c r="AJ156">
        <f>_xlfn.XLOOKUP(B156,'[3]may-2025'!$A:$A,'[3]may-2025'!$H:$H,0,0)</f>
        <v>5000</v>
      </c>
      <c r="AK156">
        <f>_xlfn.XLOOKUP(B156,'[3]may-2025'!$A:$A,'[3]may-2025'!$I:$I,0,0)</f>
        <v>0</v>
      </c>
      <c r="AL156">
        <f>IF($F156="YES",0,IF(AI156&gt;40000,200,IF(AI156&gt;25000,150,IF(AI156&gt;15000,130,IF(AI156&gt;10000,110,0)))))</f>
        <v>200</v>
      </c>
      <c r="AM156">
        <f>AI156-AJ156-AK156-AL156</f>
        <v>40150</v>
      </c>
      <c r="AN156">
        <f>_xlfn.XLOOKUP(B156,'[4]june-2025'!$A:$A,'[4]june-2025'!$C:$C,0,0)</f>
        <v>34500</v>
      </c>
      <c r="AO156">
        <f>AN156*0.18</f>
        <v>6210</v>
      </c>
      <c r="AP156">
        <f>AN156*0.12</f>
        <v>4140</v>
      </c>
      <c r="AQ156">
        <f>_xlfn.XLOOKUP(B156,'[4]june-2025'!$A:$A,'[4]june-2025'!$D:$D,0,0)</f>
        <v>0</v>
      </c>
      <c r="AR156">
        <f>_xlfn.XLOOKUP(B156,'[4]june-2025'!$A:$A,'[4]june-2025'!$G:$G,0,0)</f>
        <v>500</v>
      </c>
      <c r="AS156">
        <f>IF(AN156&gt;0,SUM(AN156:AR156),0)</f>
        <v>45350</v>
      </c>
      <c r="AT156">
        <f>_xlfn.XLOOKUP(B156,'[4]june-2025'!$A:$A,'[4]june-2025'!$H:$H,0,0)</f>
        <v>5000</v>
      </c>
      <c r="AU156">
        <f>_xlfn.XLOOKUP(B156,'[4]june-2025'!$A:$A,'[4]june-2025'!$I:$I,0,0)</f>
        <v>0</v>
      </c>
      <c r="AV156">
        <f>IF($F156="YES",0,IF(AS156&gt;40000,200,IF(AS156&gt;25000,150,IF(AS156&gt;15000,130,IF(AS156&gt;10000,110,0)))))</f>
        <v>200</v>
      </c>
      <c r="AW156">
        <f>AS156-AT156-AU156-AV156</f>
        <v>40150</v>
      </c>
      <c r="AX156">
        <f>_xlfn.XLOOKUP(B156,'[5]july-2025'!$A:$A,'[5]july-2025'!$C:$C,0,0)</f>
        <v>35500</v>
      </c>
      <c r="AY156">
        <f>AX156*0.18</f>
        <v>6390</v>
      </c>
      <c r="AZ156">
        <v>0</v>
      </c>
      <c r="BA156">
        <f>AX156*0.12</f>
        <v>4260</v>
      </c>
      <c r="BB156">
        <f>_xlfn.XLOOKUP(B156,'[5]july-2025'!$A:$A,'[5]july-2025'!$D:$D,0,0)</f>
        <v>0</v>
      </c>
      <c r="BC156">
        <f>_xlfn.XLOOKUP(B156,'[5]july-2025'!$A:$A,'[5]july-2025'!$G:$G,0,0)</f>
        <v>500</v>
      </c>
      <c r="BD156">
        <f>IF(AX156&gt;0,SUM(AX156:BC156),0)</f>
        <v>46650</v>
      </c>
      <c r="BE156">
        <f>_xlfn.XLOOKUP(B156,'[5]july-2025'!$A:$A,'[5]july-2025'!$H:$H,0,0)</f>
        <v>5000</v>
      </c>
      <c r="BF156">
        <f>_xlfn.XLOOKUP(B156,'[5]july-2025'!$A:$A,'[5]july-2025'!$I:$I,0,0)</f>
        <v>0</v>
      </c>
      <c r="BG156">
        <f>IF($F156="YES",0,IF(BD156&gt;40000,200,IF(BD156&gt;25000,150,IF(BD156&gt;15000,130,IF(BD156&gt;10000,110,0)))))</f>
        <v>200</v>
      </c>
      <c r="BH156">
        <f>BD156-BE156-BF156-BG156</f>
        <v>41450</v>
      </c>
      <c r="BI156">
        <f>_xlfn.XLOOKUP(B156,'[6]august-2025'!$A:$A,'[6]august-2025'!$C:$C,0,0)</f>
        <v>35500</v>
      </c>
      <c r="BJ156">
        <f>BI156*0.18</f>
        <v>6390</v>
      </c>
      <c r="BK156">
        <f>BI156*0.12</f>
        <v>4260</v>
      </c>
      <c r="BL156">
        <f>_xlfn.XLOOKUP(B156,'[6]august-2025'!$A:$A,'[6]august-2025'!$D:$D,0,0)</f>
        <v>0</v>
      </c>
      <c r="BM156">
        <f>_xlfn.XLOOKUP(B156,'[6]august-2025'!$A:$A,'[6]august-2025'!$G:$G,0,0)</f>
        <v>500</v>
      </c>
      <c r="BN156">
        <f>IF(BI156&gt;0,SUM(BI156:BM156),0)</f>
        <v>46650</v>
      </c>
      <c r="BO156">
        <f>_xlfn.XLOOKUP(B156,'[6]august-2025'!$A:$A,'[6]august-2025'!$H:$H,0,0)</f>
        <v>5000</v>
      </c>
      <c r="BP156">
        <f>_xlfn.XLOOKUP(B156,'[6]august-2025'!$A:$A,'[6]august-2025'!$I:$I,0,0)</f>
        <v>0</v>
      </c>
      <c r="BQ156">
        <f>IF($F156="YES",0,IF(BN156&gt;40000,200,IF(BN156&gt;25000,150,IF(BN156&gt;15000,130,IF(BN156&gt;10000,110,0)))))</f>
        <v>200</v>
      </c>
      <c r="BR156">
        <f>BN156-BO156-BP156-BQ156</f>
        <v>41450</v>
      </c>
      <c r="BS156">
        <f>_xlfn.XLOOKUP(B156,'[7]september-2025'!$A:$A,'[7]september-2025'!$C:$C,0,0)</f>
        <v>35500</v>
      </c>
      <c r="BT156">
        <f>BS156*0.18</f>
        <v>6390</v>
      </c>
      <c r="BU156">
        <f>BS156*0.12</f>
        <v>4260</v>
      </c>
      <c r="BV156">
        <f>_xlfn.XLOOKUP(B156,'[7]september-2025'!$A:$A,'[7]september-2025'!$D:$D,0,0)</f>
        <v>0</v>
      </c>
      <c r="BW156">
        <f>_xlfn.XLOOKUP(B156,'[7]september-2025'!$A:$A,'[7]september-2025'!$G:$G,0,0)</f>
        <v>500</v>
      </c>
      <c r="BX156">
        <f>IF(BS156&gt;0,SUM(BS156:BW156),0)</f>
        <v>46650</v>
      </c>
      <c r="BY156">
        <f>_xlfn.XLOOKUP(B156,'[7]september-2025'!$A:$A,'[7]september-2025'!$H:$H,0,0)</f>
        <v>5000</v>
      </c>
      <c r="BZ156">
        <f>_xlfn.XLOOKUP(B156,'[7]september-2025'!$A:$A,'[7]september-2025'!$I:$I,0,0)</f>
        <v>0</v>
      </c>
      <c r="CA156">
        <f>IF($F156="YES",0,IF(BX156&gt;40000,200,IF(BX156&gt;25000,150,IF(BX156&gt;15000,130,IF(BX156&gt;10000,110,0)))))</f>
        <v>200</v>
      </c>
      <c r="CB156">
        <f>BX156-BY156-BZ156-CA156</f>
        <v>41450</v>
      </c>
      <c r="CC156">
        <f>_xlfn.XLOOKUP(B156,'[8]october-2025'!$A:$A,'[8]october-2025'!$C:$C,0,0)</f>
        <v>35500</v>
      </c>
      <c r="CD156">
        <f>CC156*0.18</f>
        <v>6390</v>
      </c>
      <c r="CE156">
        <f>CC156*0.12</f>
        <v>4260</v>
      </c>
      <c r="CF156">
        <f>_xlfn.XLOOKUP(B156,'[8]october-2025'!$A:$A,'[8]october-2025'!$D:$D,0,0)</f>
        <v>0</v>
      </c>
      <c r="CG156">
        <f>_xlfn.XLOOKUP(B156,'[8]october-2025'!$A:$A,'[8]october-2025'!$G:$G,0,0)</f>
        <v>500</v>
      </c>
      <c r="CH156">
        <f>IF(CC156&gt;0,SUM(CC156:CG156),0)</f>
        <v>46650</v>
      </c>
      <c r="CI156">
        <f>_xlfn.XLOOKUP(B156,'[8]october-2025'!$A:$A,'[8]october-2025'!$H:$H,0,0)</f>
        <v>5000</v>
      </c>
      <c r="CJ156">
        <f>_xlfn.XLOOKUP(B156,'[8]october-2025'!$A:$A,'[8]october-2025'!$I:$I,0,0)</f>
        <v>0</v>
      </c>
      <c r="CK156">
        <f>IF($F156="YES",0,IF(CH156&gt;40000,200,IF(CH156&gt;25000,150,IF(CH156&gt;15000,130,IF(CH156&gt;10000,110,0)))))</f>
        <v>200</v>
      </c>
      <c r="CL156">
        <f>CH156-CI156-CJ156-CK156</f>
        <v>41450</v>
      </c>
      <c r="CM156">
        <f>_xlfn.XLOOKUP(B156,'[9]november-2025'!$A:$A,'[9]november-2025'!$C:$C,0,0)</f>
        <v>35500</v>
      </c>
      <c r="CN156">
        <f>CM156*0.18</f>
        <v>6390</v>
      </c>
      <c r="CO156">
        <f>CM156*0.12</f>
        <v>4260</v>
      </c>
      <c r="CP156">
        <f>_xlfn.XLOOKUP(B156,'[9]november-2025'!$A:$A,'[9]november-2025'!$D:$D,0,0)</f>
        <v>0</v>
      </c>
      <c r="CQ156">
        <f>_xlfn.XLOOKUP(B156,'[9]november-2025'!$A:$A,'[9]november-2025'!$G:$G,0,0)</f>
        <v>500</v>
      </c>
      <c r="CR156">
        <f>IF(CM156&gt;0,SUM(CM156:CQ156),0)</f>
        <v>46650</v>
      </c>
      <c r="CS156">
        <f>_xlfn.XLOOKUP(B156,'[9]november-2025'!$A:$A,'[9]november-2025'!$H:$H,0,0)</f>
        <v>5000</v>
      </c>
      <c r="CT156">
        <f>_xlfn.XLOOKUP(B156,'[9]november-2025'!$A:$A,'[9]november-2025'!$I:$I,0,0)</f>
        <v>0</v>
      </c>
      <c r="CU156">
        <f>IF($F156="YES",0,IF(CR156&gt;40000,200,IF(CR156&gt;25000,150,IF(CR156&gt;15000,130,IF(CR156&gt;10000,110,0)))))</f>
        <v>200</v>
      </c>
      <c r="CV156">
        <f>CR156-CS156-CT156-CU156</f>
        <v>41450</v>
      </c>
      <c r="CW156">
        <f>_xlfn.XLOOKUP(B156,'[10]december-2025'!$A:$A,'[10]december-2025'!$C:$C,0,0)</f>
        <v>35500</v>
      </c>
      <c r="CX156">
        <f>ROUND(CW156*0.18,0)</f>
        <v>6390</v>
      </c>
      <c r="CY156">
        <f>ROUND(CW156*0.12,0)</f>
        <v>4260</v>
      </c>
      <c r="CZ156">
        <f>_xlfn.XLOOKUP(B156,'[10]december-2025'!$A:$A,'[10]december-2025'!$D:$D,0,0)</f>
        <v>0</v>
      </c>
      <c r="DA156">
        <f>_xlfn.XLOOKUP(B156,'[10]december-2025'!$A:$A,'[10]december-2025'!$G:$G,0,0)</f>
        <v>500</v>
      </c>
      <c r="DB156">
        <f>IF(CW156&gt;0,SUM(CW156:DA156),0)</f>
        <v>46650</v>
      </c>
      <c r="DC156">
        <f>_xlfn.XLOOKUP(B156,'[10]december-2025'!$A:$A,'[10]december-2025'!$H:$H,0,0)</f>
        <v>5000</v>
      </c>
      <c r="DD156">
        <f>_xlfn.XLOOKUP(B156,'[10]december-2025'!$A:$A,'[10]december-2025'!$I:$I,0,0)</f>
        <v>0</v>
      </c>
      <c r="DE156">
        <f>IF($F156="YES",0,IF(DB156&gt;40000,200,IF(DB156&gt;25000,150,IF(DB156&gt;15000,130,IF(DB156&gt;10000,110,0)))))</f>
        <v>200</v>
      </c>
      <c r="DF156">
        <f>DB156-DC156-DD156-DE156</f>
        <v>41450</v>
      </c>
      <c r="DG156">
        <f>_xlfn.XLOOKUP(B156,'[11]january-2026'!$A:$A,'[11]january-2026'!$C:$C,0,0)</f>
        <v>35500</v>
      </c>
      <c r="DH156">
        <f>DG156*0.18</f>
        <v>6390</v>
      </c>
      <c r="DI156">
        <f>DG156*0.12</f>
        <v>4260</v>
      </c>
      <c r="DJ156">
        <f>_xlfn.XLOOKUP(B156,'[11]january-2026'!$A:$A,'[11]january-2026'!$D:$D,0,0)</f>
        <v>0</v>
      </c>
      <c r="DK156">
        <f>_xlfn.XLOOKUP(B156,'[11]january-2026'!$A:$A,'[11]january-2026'!$G:$G,0,0)</f>
        <v>500</v>
      </c>
      <c r="DL156">
        <f>IF(DG156&gt;0,SUM(DG156:DK156),0)</f>
        <v>46650</v>
      </c>
      <c r="DM156">
        <f>_xlfn.XLOOKUP(B156,'[11]january-2026'!$A:$A,'[11]january-2026'!$H:$H,0,0)</f>
        <v>5000</v>
      </c>
      <c r="DN156">
        <f>_xlfn.XLOOKUP(B156,'[11]january-2026'!$A:$A,'[11]january-2026'!$I:$I,0,0)</f>
        <v>0</v>
      </c>
      <c r="DO156">
        <f>IF($F156="YES",0,IF(DL156&gt;40000,200,IF(DL156&gt;25000,150,IF(DL156&gt;15000,130,IF(DL156&gt;10000,110,0)))))</f>
        <v>200</v>
      </c>
      <c r="DP156">
        <f>DL156-DM156-DN156-DO156</f>
        <v>41450</v>
      </c>
      <c r="DQ156">
        <f>_xlfn.XLOOKUP(B156,'[12]february-2026'!$A:$A,'[12]february-2026'!$C:$C,0,0)</f>
        <v>35500</v>
      </c>
      <c r="DR156">
        <f>DQ156*0.18</f>
        <v>6390</v>
      </c>
      <c r="DS156">
        <f>DQ156*0.12</f>
        <v>4260</v>
      </c>
      <c r="DT156">
        <f>_xlfn.XLOOKUP(B156,'[12]february-2026'!$A:$A,'[12]february-2026'!$D:$D,0,0)</f>
        <v>0</v>
      </c>
      <c r="DU156">
        <f>_xlfn.XLOOKUP(B156,'[12]february-2026'!$A:$A,'[12]february-2026'!$G:$G,0,0)</f>
        <v>500</v>
      </c>
      <c r="DV156">
        <f>IF(DQ156&gt;0,SUM(DQ156:DU156),0)</f>
        <v>46650</v>
      </c>
      <c r="DW156">
        <f>_xlfn.XLOOKUP(B156,'[12]february-2026'!$A:$A,'[12]february-2026'!$H:$H,0,0)</f>
        <v>5000</v>
      </c>
      <c r="DX156">
        <f>_xlfn.XLOOKUP(B156,'[12]february-2026'!$A:$A,'[12]february-2026'!$I:$I,0,0)</f>
        <v>0</v>
      </c>
      <c r="DY156">
        <f>IF($F156="YES",0,IF(DV156&gt;40000,200,IF(DV156&gt;25000,150,IF(DV156&gt;15000,130,IF(DV156&gt;10000,110,0)))))</f>
        <v>200</v>
      </c>
      <c r="DZ156">
        <f>DV156-DW156-DX156-DY156</f>
        <v>41450</v>
      </c>
      <c r="EA156">
        <f>DV156+DL156+DB156+CR156+CH156+BX156+BN156+BD156+AS156+AI156+Y156+O156+H156+I156</f>
        <v>560020</v>
      </c>
      <c r="EB156">
        <f>DY156+DO156+DE156+CU156+CK156+CA156+BQ156+BG156+AV156+AL156+AB156+R156</f>
        <v>2400</v>
      </c>
      <c r="EC156">
        <f>IF(EA156&gt;0,50000,0)</f>
        <v>50000</v>
      </c>
      <c r="ED156">
        <v>0</v>
      </c>
      <c r="EE156">
        <f>EA156-EB156-EC156</f>
        <v>507620</v>
      </c>
      <c r="EF156">
        <f>DW156+DM156+DC156+CS156+CI156+BY156+BO156+BE156+AT156+AJ156+Z156+P156</f>
        <v>60000</v>
      </c>
      <c r="EG156">
        <f>DX156+DN156+DD156+CT156+CJ156+BZ156+BP156+BF156+AU156+AK156+AA156+Q156</f>
        <v>0</v>
      </c>
      <c r="EH156">
        <v>0</v>
      </c>
      <c r="EI156">
        <v>0</v>
      </c>
      <c r="EJ156">
        <v>0</v>
      </c>
      <c r="EK156">
        <v>0</v>
      </c>
      <c r="EL156">
        <v>0</v>
      </c>
      <c r="EM156">
        <v>0</v>
      </c>
      <c r="EN156">
        <v>0</v>
      </c>
      <c r="EO156">
        <v>0</v>
      </c>
      <c r="EP156">
        <v>0</v>
      </c>
      <c r="EQ156">
        <v>0</v>
      </c>
      <c r="ER156">
        <f>SUM(EF156:EQ156)</f>
        <v>60000</v>
      </c>
      <c r="ES156">
        <f>IF(ER156&gt;=150000,150000,ER156)</f>
        <v>60000</v>
      </c>
      <c r="ET156">
        <f>EE156-ES156</f>
        <v>447620</v>
      </c>
      <c r="EU156">
        <v>0</v>
      </c>
      <c r="EV156">
        <v>0</v>
      </c>
      <c r="EW156">
        <v>0</v>
      </c>
      <c r="EX156">
        <v>0</v>
      </c>
      <c r="EY156">
        <v>0</v>
      </c>
      <c r="EZ156">
        <v>0</v>
      </c>
      <c r="FA156">
        <v>0</v>
      </c>
      <c r="FB156">
        <f>SUM(EU156:FA156)+(IF(F156="YES",50000,0))</f>
        <v>0</v>
      </c>
      <c r="FC156">
        <f>ET156-FB156</f>
        <v>447620</v>
      </c>
      <c r="FD156">
        <f>ROUND(IF(FC156&gt;0,IF(FC156&gt;500000,12500,(FC156-250000)*0.05),0),0)</f>
        <v>9881</v>
      </c>
      <c r="FE156">
        <f>IF(ROUND(IF(FC156&gt;0,IF(FC156&gt;1000000,25000,(FC156-500000)*0.2),0),0)&lt;0,0,ROUND(IF(FC156&gt;0,IF(FC156&gt;1000000,25000,(FC156-500000)*0.2),0),0))</f>
        <v>0</v>
      </c>
      <c r="FF156">
        <f>FD156+FE156</f>
        <v>9881</v>
      </c>
      <c r="FG156">
        <f>IF(FF156&lt;12500,0,FF156)</f>
        <v>0</v>
      </c>
      <c r="FH156">
        <f>FG156*0.04</f>
        <v>0</v>
      </c>
      <c r="FI156">
        <f>ROUND(FH156+FG156,0)</f>
        <v>0</v>
      </c>
      <c r="FJ156">
        <v>0</v>
      </c>
      <c r="FK156">
        <f>FI156-FJ156</f>
        <v>0</v>
      </c>
      <c r="FL156" t="b">
        <f>IF(EA156&gt;500000,TRUE,FALSE)</f>
        <v>1</v>
      </c>
      <c r="FM156">
        <f ca="1">IF(FL156,RANDBETWEEN(500,1000),RANDBETWEEN(1000,3000))</f>
        <v>923</v>
      </c>
      <c r="FN156">
        <f ca="1">EA156+FM156</f>
        <v>560943</v>
      </c>
      <c r="FO156">
        <f>IF(EA156&gt;0,75000,0)</f>
        <v>75000</v>
      </c>
      <c r="FP156">
        <f ca="1">FN156-FO156</f>
        <v>485943</v>
      </c>
      <c r="FQ156">
        <f ca="1">IF(FP156&gt;2400000,FP156-2400000,0)</f>
        <v>0</v>
      </c>
      <c r="FR156">
        <f ca="1">FQ156*0.3</f>
        <v>0</v>
      </c>
      <c r="FS156">
        <f ca="1">IF(FP156&gt;2000000,FP156-2000000,0)</f>
        <v>0</v>
      </c>
      <c r="FT156">
        <f ca="1">FS156*0.25</f>
        <v>0</v>
      </c>
      <c r="FU156">
        <f ca="1">IF(FP156&gt;1600000,FP156-1600000-FQ156,0)</f>
        <v>0</v>
      </c>
      <c r="FV156">
        <f ca="1">FU156*0.2</f>
        <v>0</v>
      </c>
      <c r="FW156">
        <f ca="1">IF(FP156&gt;1200000,FP156-1200000-IF(F156="YES",50000,0)-FU156,0)</f>
        <v>0</v>
      </c>
      <c r="FX156">
        <f ca="1">FW156*0.15</f>
        <v>0</v>
      </c>
      <c r="FY156">
        <f ca="1">IF(FP156&gt;800000,FP156-800000-FQ156-FU156-FW156,0)</f>
        <v>0</v>
      </c>
      <c r="FZ156">
        <f ca="1">FY156*0.1</f>
        <v>0</v>
      </c>
      <c r="GA156">
        <f ca="1">IF(FP156&gt;400000,FP156-400000-FQ156-FU156-FW156-FY156,0)</f>
        <v>85943</v>
      </c>
      <c r="GB156">
        <f ca="1">GA156*0.05</f>
        <v>4297.1500000000005</v>
      </c>
      <c r="GC156">
        <f ca="1">ROUND(FR156+FT156+FV156+FX156+FZ156+GB156,0)</f>
        <v>4297</v>
      </c>
      <c r="GD156">
        <f ca="1">IF(FP156&gt;1200000,FP156,0)</f>
        <v>0</v>
      </c>
      <c r="GE156">
        <f ca="1">IF(FP156&gt;1200000,GD156-1200000,0)</f>
        <v>0</v>
      </c>
      <c r="GF156">
        <f ca="1">IF(FP156&lt;1200001,MIN(GC156,60000),0)</f>
        <v>4297</v>
      </c>
      <c r="GG156">
        <f ca="1">IF(FP156&gt;1200000,GC156-GE156,0)</f>
        <v>0</v>
      </c>
      <c r="GH156" t="b">
        <f ca="1">IF(GG156&gt;0,TRUE,FALSE)</f>
        <v>0</v>
      </c>
      <c r="GI156">
        <f ca="1">IF(GH156,GG156,0)</f>
        <v>0</v>
      </c>
      <c r="GJ156">
        <f ca="1">GF156+GI156</f>
        <v>4297</v>
      </c>
      <c r="GK156">
        <f ca="1">ROUND(GC156-GJ156,0)</f>
        <v>0</v>
      </c>
      <c r="GL156">
        <f ca="1">GK156*0.04</f>
        <v>0</v>
      </c>
      <c r="GM156">
        <f ca="1">ROUNDUP(GK156+GL156,0)</f>
        <v>0</v>
      </c>
    </row>
    <row r="157" spans="1:195" x14ac:dyDescent="0.25">
      <c r="A157">
        <f>_xlfn.AGGREGATE(3,5,$B$2:B157)</f>
        <v>156</v>
      </c>
      <c r="B157" t="s">
        <v>425</v>
      </c>
      <c r="C157" t="s">
        <v>426</v>
      </c>
      <c r="D157" t="s">
        <v>795</v>
      </c>
      <c r="E157" t="s">
        <v>833</v>
      </c>
      <c r="F157" t="s">
        <v>959</v>
      </c>
      <c r="G157" t="s">
        <v>880</v>
      </c>
      <c r="H157">
        <f>IF(_xlfn.DAYS("31-03-2025",G157)&gt;=180,6800,0)</f>
        <v>6800</v>
      </c>
      <c r="I157">
        <f>_xlfn.XLOOKUP(B157,'[1]march-2025'!$A:$A,'[1]march-2025'!$J:$J,0,0)</f>
        <v>0</v>
      </c>
      <c r="J157">
        <f>_xlfn.XLOOKUP(B157,'[1]march-2025'!$A:$A,'[1]march-2025'!$C:$C,0,0)</f>
        <v>34500</v>
      </c>
      <c r="K157">
        <f>J157*0.14</f>
        <v>4830.0000000000009</v>
      </c>
      <c r="L157">
        <f>J157*0.12</f>
        <v>4140</v>
      </c>
      <c r="M157">
        <f>_xlfn.XLOOKUP(B157,'[1]march-2025'!$A:$A,'[1]march-2025'!$D:$D,0,0)</f>
        <v>0</v>
      </c>
      <c r="N157">
        <f>_xlfn.XLOOKUP(B157,'[1]march-2025'!$A:$A,'[1]march-2025'!$G:$G,0,0)</f>
        <v>0</v>
      </c>
      <c r="O157">
        <f>IF(J157&gt;0,SUM(J157:N157),0)</f>
        <v>43470</v>
      </c>
      <c r="P157">
        <f>_xlfn.XLOOKUP(B157,'[1]march-2025'!$A:$A,'[1]march-2025'!$H:$H,0,0)</f>
        <v>6000</v>
      </c>
      <c r="Q157">
        <f>_xlfn.XLOOKUP(B157,'[1]march-2025'!$A:$A,'[1]march-2025'!$I:$I,0,0)</f>
        <v>0</v>
      </c>
      <c r="R157">
        <f>IF($F157="YES",0,IF(O157&gt;40000,200,IF(O157&gt;25000,150,IF(O157&gt;15000,130,IF(O157&gt;10000,110,0)))))</f>
        <v>200</v>
      </c>
      <c r="S157">
        <f>O157-P157-Q157-R157</f>
        <v>37270</v>
      </c>
      <c r="T157">
        <f>_xlfn.XLOOKUP(B157,'[2]april-2025'!$A:$A,'[2]april-2025'!$C:$C,0,0)</f>
        <v>34500</v>
      </c>
      <c r="U157">
        <f>T157*0.18</f>
        <v>6210</v>
      </c>
      <c r="V157">
        <f>T157*0.12</f>
        <v>4140</v>
      </c>
      <c r="W157">
        <f>_xlfn.XLOOKUP(B157,'[2]april-2025'!$A:$A,'[2]april-2025'!$D:$D,0,0)</f>
        <v>0</v>
      </c>
      <c r="X157">
        <f>_xlfn.XLOOKUP(B157,'[2]april-2025'!$A:$A,'[2]april-2025'!$G:$G,0,0)</f>
        <v>0</v>
      </c>
      <c r="Y157">
        <f>IF(T157&gt;0,SUM(T157:X157),0)</f>
        <v>44850</v>
      </c>
      <c r="Z157">
        <f>_xlfn.XLOOKUP(B157,'[2]april-2025'!$A:$A,'[2]april-2025'!$H:$H,0,0)</f>
        <v>6000</v>
      </c>
      <c r="AA157">
        <f>_xlfn.XLOOKUP(B157,'[2]april-2025'!$A:$A,'[2]april-2025'!$I:$I,0,0)</f>
        <v>0</v>
      </c>
      <c r="AB157">
        <f>IF($F157="YES",0,IF(Y157&gt;40000,200,IF(Y157&gt;25000,150,IF(Y157&gt;15000,130,IF(Y157&gt;10000,110,0)))))</f>
        <v>200</v>
      </c>
      <c r="AC157">
        <f>Y157-Z157-AA157-AB157</f>
        <v>38650</v>
      </c>
      <c r="AD157">
        <f>_xlfn.XLOOKUP(B157,'[3]may-2025'!$A:$A,'[3]may-2025'!$C:$C,0,0)</f>
        <v>34500</v>
      </c>
      <c r="AE157">
        <f>AD157*0.18</f>
        <v>6210</v>
      </c>
      <c r="AF157">
        <f>AD157*0.12</f>
        <v>4140</v>
      </c>
      <c r="AG157">
        <f>_xlfn.XLOOKUP(B157,'[3]may-2025'!$A:$A,'[3]may-2025'!$D:$D,0,0)</f>
        <v>0</v>
      </c>
      <c r="AH157">
        <f>_xlfn.XLOOKUP(B157,'[3]may-2025'!$A:$A,'[3]may-2025'!$G:$G,0,0)</f>
        <v>0</v>
      </c>
      <c r="AI157">
        <f>IF(AD157&gt;0,SUM(AD157:AH157),0)</f>
        <v>44850</v>
      </c>
      <c r="AJ157">
        <f>_xlfn.XLOOKUP(B157,'[3]may-2025'!$A:$A,'[3]may-2025'!$H:$H,0,0)</f>
        <v>6000</v>
      </c>
      <c r="AK157">
        <f>_xlfn.XLOOKUP(B157,'[3]may-2025'!$A:$A,'[3]may-2025'!$I:$I,0,0)</f>
        <v>0</v>
      </c>
      <c r="AL157">
        <f>IF($F157="YES",0,IF(AI157&gt;40000,200,IF(AI157&gt;25000,150,IF(AI157&gt;15000,130,IF(AI157&gt;10000,110,0)))))</f>
        <v>200</v>
      </c>
      <c r="AM157">
        <f>AI157-AJ157-AK157-AL157</f>
        <v>38650</v>
      </c>
      <c r="AN157">
        <f>_xlfn.XLOOKUP(B157,'[4]june-2025'!$A:$A,'[4]june-2025'!$C:$C,0,0)</f>
        <v>34500</v>
      </c>
      <c r="AO157">
        <f>AN157*0.18</f>
        <v>6210</v>
      </c>
      <c r="AP157">
        <f>AN157*0.12</f>
        <v>4140</v>
      </c>
      <c r="AQ157">
        <f>_xlfn.XLOOKUP(B157,'[4]june-2025'!$A:$A,'[4]june-2025'!$D:$D,0,0)</f>
        <v>0</v>
      </c>
      <c r="AR157">
        <f>_xlfn.XLOOKUP(B157,'[4]june-2025'!$A:$A,'[4]june-2025'!$G:$G,0,0)</f>
        <v>0</v>
      </c>
      <c r="AS157">
        <f>IF(AN157&gt;0,SUM(AN157:AR157),0)</f>
        <v>44850</v>
      </c>
      <c r="AT157">
        <f>_xlfn.XLOOKUP(B157,'[4]june-2025'!$A:$A,'[4]june-2025'!$H:$H,0,0)</f>
        <v>6000</v>
      </c>
      <c r="AU157">
        <f>_xlfn.XLOOKUP(B157,'[4]june-2025'!$A:$A,'[4]june-2025'!$I:$I,0,0)</f>
        <v>0</v>
      </c>
      <c r="AV157">
        <f>IF($F157="YES",0,IF(AS157&gt;40000,200,IF(AS157&gt;25000,150,IF(AS157&gt;15000,130,IF(AS157&gt;10000,110,0)))))</f>
        <v>200</v>
      </c>
      <c r="AW157">
        <f>AS157-AT157-AU157-AV157</f>
        <v>38650</v>
      </c>
      <c r="AX157">
        <f>_xlfn.XLOOKUP(B157,'[5]july-2025'!$A:$A,'[5]july-2025'!$C:$C,0,0)</f>
        <v>35500</v>
      </c>
      <c r="AY157">
        <f>AX157*0.18</f>
        <v>6390</v>
      </c>
      <c r="AZ157">
        <v>0</v>
      </c>
      <c r="BA157">
        <f>AX157*0.12</f>
        <v>4260</v>
      </c>
      <c r="BB157">
        <f>_xlfn.XLOOKUP(B157,'[5]july-2025'!$A:$A,'[5]july-2025'!$D:$D,0,0)</f>
        <v>0</v>
      </c>
      <c r="BC157">
        <f>_xlfn.XLOOKUP(B157,'[5]july-2025'!$A:$A,'[5]july-2025'!$G:$G,0,0)</f>
        <v>0</v>
      </c>
      <c r="BD157">
        <f>IF(AX157&gt;0,SUM(AX157:BC157),0)</f>
        <v>46150</v>
      </c>
      <c r="BE157">
        <f>_xlfn.XLOOKUP(B157,'[5]july-2025'!$A:$A,'[5]july-2025'!$H:$H,0,0)</f>
        <v>6000</v>
      </c>
      <c r="BF157">
        <f>_xlfn.XLOOKUP(B157,'[5]july-2025'!$A:$A,'[5]july-2025'!$I:$I,0,0)</f>
        <v>0</v>
      </c>
      <c r="BG157">
        <f>IF($F157="YES",0,IF(BD157&gt;40000,200,IF(BD157&gt;25000,150,IF(BD157&gt;15000,130,IF(BD157&gt;10000,110,0)))))</f>
        <v>200</v>
      </c>
      <c r="BH157">
        <f>BD157-BE157-BF157-BG157</f>
        <v>39950</v>
      </c>
      <c r="BI157">
        <f>_xlfn.XLOOKUP(B157,'[6]august-2025'!$A:$A,'[6]august-2025'!$C:$C,0,0)</f>
        <v>35500</v>
      </c>
      <c r="BJ157">
        <f>BI157*0.18</f>
        <v>6390</v>
      </c>
      <c r="BK157">
        <f>BI157*0.12</f>
        <v>4260</v>
      </c>
      <c r="BL157">
        <f>_xlfn.XLOOKUP(B157,'[6]august-2025'!$A:$A,'[6]august-2025'!$D:$D,0,0)</f>
        <v>0</v>
      </c>
      <c r="BM157">
        <f>_xlfn.XLOOKUP(B157,'[6]august-2025'!$A:$A,'[6]august-2025'!$G:$G,0,0)</f>
        <v>0</v>
      </c>
      <c r="BN157">
        <f>IF(BI157&gt;0,SUM(BI157:BM157),0)</f>
        <v>46150</v>
      </c>
      <c r="BO157">
        <f>_xlfn.XLOOKUP(B157,'[6]august-2025'!$A:$A,'[6]august-2025'!$H:$H,0,0)</f>
        <v>6000</v>
      </c>
      <c r="BP157">
        <f>_xlfn.XLOOKUP(B157,'[6]august-2025'!$A:$A,'[6]august-2025'!$I:$I,0,0)</f>
        <v>0</v>
      </c>
      <c r="BQ157">
        <f>IF($F157="YES",0,IF(BN157&gt;40000,200,IF(BN157&gt;25000,150,IF(BN157&gt;15000,130,IF(BN157&gt;10000,110,0)))))</f>
        <v>200</v>
      </c>
      <c r="BR157">
        <f>BN157-BO157-BP157-BQ157</f>
        <v>39950</v>
      </c>
      <c r="BS157">
        <f>_xlfn.XLOOKUP(B157,'[7]september-2025'!$A:$A,'[7]september-2025'!$C:$C,0,0)</f>
        <v>35500</v>
      </c>
      <c r="BT157">
        <f>BS157*0.18</f>
        <v>6390</v>
      </c>
      <c r="BU157">
        <f>BS157*0.12</f>
        <v>4260</v>
      </c>
      <c r="BV157">
        <f>_xlfn.XLOOKUP(B157,'[7]september-2025'!$A:$A,'[7]september-2025'!$D:$D,0,0)</f>
        <v>0</v>
      </c>
      <c r="BW157">
        <f>_xlfn.XLOOKUP(B157,'[7]september-2025'!$A:$A,'[7]september-2025'!$G:$G,0,0)</f>
        <v>0</v>
      </c>
      <c r="BX157">
        <f>IF(BS157&gt;0,SUM(BS157:BW157),0)</f>
        <v>46150</v>
      </c>
      <c r="BY157">
        <f>_xlfn.XLOOKUP(B157,'[7]september-2025'!$A:$A,'[7]september-2025'!$H:$H,0,0)</f>
        <v>6000</v>
      </c>
      <c r="BZ157">
        <f>_xlfn.XLOOKUP(B157,'[7]september-2025'!$A:$A,'[7]september-2025'!$I:$I,0,0)</f>
        <v>0</v>
      </c>
      <c r="CA157">
        <f>IF($F157="YES",0,IF(BX157&gt;40000,200,IF(BX157&gt;25000,150,IF(BX157&gt;15000,130,IF(BX157&gt;10000,110,0)))))</f>
        <v>200</v>
      </c>
      <c r="CB157">
        <f>BX157-BY157-BZ157-CA157</f>
        <v>39950</v>
      </c>
      <c r="CC157">
        <f>_xlfn.XLOOKUP(B157,'[8]october-2025'!$A:$A,'[8]october-2025'!$C:$C,0,0)</f>
        <v>35500</v>
      </c>
      <c r="CD157">
        <f>CC157*0.18</f>
        <v>6390</v>
      </c>
      <c r="CE157">
        <f>CC157*0.12</f>
        <v>4260</v>
      </c>
      <c r="CF157">
        <f>_xlfn.XLOOKUP(B157,'[8]october-2025'!$A:$A,'[8]october-2025'!$D:$D,0,0)</f>
        <v>0</v>
      </c>
      <c r="CG157">
        <f>_xlfn.XLOOKUP(B157,'[8]october-2025'!$A:$A,'[8]october-2025'!$G:$G,0,0)</f>
        <v>0</v>
      </c>
      <c r="CH157">
        <f>IF(CC157&gt;0,SUM(CC157:CG157),0)</f>
        <v>46150</v>
      </c>
      <c r="CI157">
        <f>_xlfn.XLOOKUP(B157,'[8]october-2025'!$A:$A,'[8]october-2025'!$H:$H,0,0)</f>
        <v>6000</v>
      </c>
      <c r="CJ157">
        <f>_xlfn.XLOOKUP(B157,'[8]october-2025'!$A:$A,'[8]october-2025'!$I:$I,0,0)</f>
        <v>0</v>
      </c>
      <c r="CK157">
        <f>IF($F157="YES",0,IF(CH157&gt;40000,200,IF(CH157&gt;25000,150,IF(CH157&gt;15000,130,IF(CH157&gt;10000,110,0)))))</f>
        <v>200</v>
      </c>
      <c r="CL157">
        <f>CH157-CI157-CJ157-CK157</f>
        <v>39950</v>
      </c>
      <c r="CM157">
        <f>_xlfn.XLOOKUP(B157,'[9]november-2025'!$A:$A,'[9]november-2025'!$C:$C,0,0)</f>
        <v>35500</v>
      </c>
      <c r="CN157">
        <f>CM157*0.18</f>
        <v>6390</v>
      </c>
      <c r="CO157">
        <f>CM157*0.12</f>
        <v>4260</v>
      </c>
      <c r="CP157">
        <f>_xlfn.XLOOKUP(B157,'[9]november-2025'!$A:$A,'[9]november-2025'!$D:$D,0,0)</f>
        <v>0</v>
      </c>
      <c r="CQ157">
        <f>_xlfn.XLOOKUP(B157,'[9]november-2025'!$A:$A,'[9]november-2025'!$G:$G,0,0)</f>
        <v>0</v>
      </c>
      <c r="CR157">
        <f>IF(CM157&gt;0,SUM(CM157:CQ157),0)</f>
        <v>46150</v>
      </c>
      <c r="CS157">
        <f>_xlfn.XLOOKUP(B157,'[9]november-2025'!$A:$A,'[9]november-2025'!$H:$H,0,0)</f>
        <v>6000</v>
      </c>
      <c r="CT157">
        <f>_xlfn.XLOOKUP(B157,'[9]november-2025'!$A:$A,'[9]november-2025'!$I:$I,0,0)</f>
        <v>0</v>
      </c>
      <c r="CU157">
        <f>IF($F157="YES",0,IF(CR157&gt;40000,200,IF(CR157&gt;25000,150,IF(CR157&gt;15000,130,IF(CR157&gt;10000,110,0)))))</f>
        <v>200</v>
      </c>
      <c r="CV157">
        <f>CR157-CS157-CT157-CU157</f>
        <v>39950</v>
      </c>
      <c r="CW157">
        <f>_xlfn.XLOOKUP(B157,'[10]december-2025'!$A:$A,'[10]december-2025'!$C:$C,0,0)</f>
        <v>35500</v>
      </c>
      <c r="CX157">
        <f>ROUND(CW157*0.18,0)</f>
        <v>6390</v>
      </c>
      <c r="CY157">
        <f>ROUND(CW157*0.12,0)</f>
        <v>4260</v>
      </c>
      <c r="CZ157">
        <f>_xlfn.XLOOKUP(B157,'[10]december-2025'!$A:$A,'[10]december-2025'!$D:$D,0,0)</f>
        <v>0</v>
      </c>
      <c r="DA157">
        <f>_xlfn.XLOOKUP(B157,'[10]december-2025'!$A:$A,'[10]december-2025'!$G:$G,0,0)</f>
        <v>0</v>
      </c>
      <c r="DB157">
        <f>IF(CW157&gt;0,SUM(CW157:DA157),0)</f>
        <v>46150</v>
      </c>
      <c r="DC157">
        <f>_xlfn.XLOOKUP(B157,'[10]december-2025'!$A:$A,'[10]december-2025'!$H:$H,0,0)</f>
        <v>6000</v>
      </c>
      <c r="DD157">
        <f>_xlfn.XLOOKUP(B157,'[10]december-2025'!$A:$A,'[10]december-2025'!$I:$I,0,0)</f>
        <v>0</v>
      </c>
      <c r="DE157">
        <f>IF($F157="YES",0,IF(DB157&gt;40000,200,IF(DB157&gt;25000,150,IF(DB157&gt;15000,130,IF(DB157&gt;10000,110,0)))))</f>
        <v>200</v>
      </c>
      <c r="DF157">
        <f>DB157-DC157-DD157-DE157</f>
        <v>39950</v>
      </c>
      <c r="DG157">
        <f>_xlfn.XLOOKUP(B157,'[11]january-2026'!$A:$A,'[11]january-2026'!$C:$C,0,0)</f>
        <v>35500</v>
      </c>
      <c r="DH157">
        <f>DG157*0.18</f>
        <v>6390</v>
      </c>
      <c r="DI157">
        <f>DG157*0.12</f>
        <v>4260</v>
      </c>
      <c r="DJ157">
        <f>_xlfn.XLOOKUP(B157,'[11]january-2026'!$A:$A,'[11]january-2026'!$D:$D,0,0)</f>
        <v>0</v>
      </c>
      <c r="DK157">
        <f>_xlfn.XLOOKUP(B157,'[11]january-2026'!$A:$A,'[11]january-2026'!$G:$G,0,0)</f>
        <v>0</v>
      </c>
      <c r="DL157">
        <f>IF(DG157&gt;0,SUM(DG157:DK157),0)</f>
        <v>46150</v>
      </c>
      <c r="DM157">
        <f>_xlfn.XLOOKUP(B157,'[11]january-2026'!$A:$A,'[11]january-2026'!$H:$H,0,0)</f>
        <v>6000</v>
      </c>
      <c r="DN157">
        <f>_xlfn.XLOOKUP(B157,'[11]january-2026'!$A:$A,'[11]january-2026'!$I:$I,0,0)</f>
        <v>0</v>
      </c>
      <c r="DO157">
        <f>IF($F157="YES",0,IF(DL157&gt;40000,200,IF(DL157&gt;25000,150,IF(DL157&gt;15000,130,IF(DL157&gt;10000,110,0)))))</f>
        <v>200</v>
      </c>
      <c r="DP157">
        <f>DL157-DM157-DN157-DO157</f>
        <v>39950</v>
      </c>
      <c r="DQ157">
        <f>_xlfn.XLOOKUP(B157,'[12]february-2026'!$A:$A,'[12]february-2026'!$C:$C,0,0)</f>
        <v>35500</v>
      </c>
      <c r="DR157">
        <f>DQ157*0.18</f>
        <v>6390</v>
      </c>
      <c r="DS157">
        <f>DQ157*0.12</f>
        <v>4260</v>
      </c>
      <c r="DT157">
        <f>_xlfn.XLOOKUP(B157,'[12]february-2026'!$A:$A,'[12]february-2026'!$D:$D,0,0)</f>
        <v>0</v>
      </c>
      <c r="DU157">
        <f>_xlfn.XLOOKUP(B157,'[12]february-2026'!$A:$A,'[12]february-2026'!$G:$G,0,0)</f>
        <v>0</v>
      </c>
      <c r="DV157">
        <f>IF(DQ157&gt;0,SUM(DQ157:DU157),0)</f>
        <v>46150</v>
      </c>
      <c r="DW157">
        <f>_xlfn.XLOOKUP(B157,'[12]february-2026'!$A:$A,'[12]february-2026'!$H:$H,0,0)</f>
        <v>6000</v>
      </c>
      <c r="DX157">
        <f>_xlfn.XLOOKUP(B157,'[12]february-2026'!$A:$A,'[12]february-2026'!$I:$I,0,0)</f>
        <v>0</v>
      </c>
      <c r="DY157">
        <f>IF($F157="YES",0,IF(DV157&gt;40000,200,IF(DV157&gt;25000,150,IF(DV157&gt;15000,130,IF(DV157&gt;10000,110,0)))))</f>
        <v>200</v>
      </c>
      <c r="DZ157">
        <f>DV157-DW157-DX157-DY157</f>
        <v>39950</v>
      </c>
      <c r="EA157">
        <f>DV157+DL157+DB157+CR157+CH157+BX157+BN157+BD157+AS157+AI157+Y157+O157+H157+I157</f>
        <v>554020</v>
      </c>
      <c r="EB157">
        <f>DY157+DO157+DE157+CU157+CK157+CA157+BQ157+BG157+AV157+AL157+AB157+R157</f>
        <v>2400</v>
      </c>
      <c r="EC157">
        <f>IF(EA157&gt;0,50000,0)</f>
        <v>50000</v>
      </c>
      <c r="ED157">
        <v>0</v>
      </c>
      <c r="EE157">
        <f>EA157-EB157-EC157</f>
        <v>501620</v>
      </c>
      <c r="EF157">
        <f>DW157+DM157+DC157+CS157+CI157+BY157+BO157+BE157+AT157+AJ157+Z157+P157</f>
        <v>72000</v>
      </c>
      <c r="EG157">
        <f>DX157+DN157+DD157+CT157+CJ157+BZ157+BP157+BF157+AU157+AK157+AA157+Q157</f>
        <v>0</v>
      </c>
      <c r="EH157">
        <v>0</v>
      </c>
      <c r="EI157">
        <v>0</v>
      </c>
      <c r="EJ157">
        <v>0</v>
      </c>
      <c r="EK157">
        <v>0</v>
      </c>
      <c r="EL157">
        <v>0</v>
      </c>
      <c r="EM157">
        <v>0</v>
      </c>
      <c r="EN157">
        <v>0</v>
      </c>
      <c r="EO157">
        <v>0</v>
      </c>
      <c r="EP157">
        <v>0</v>
      </c>
      <c r="EQ157">
        <v>0</v>
      </c>
      <c r="ER157">
        <f>SUM(EF157:EQ157)</f>
        <v>72000</v>
      </c>
      <c r="ES157">
        <f>IF(ER157&gt;=150000,150000,ER157)</f>
        <v>72000</v>
      </c>
      <c r="ET157">
        <f>EE157-ES157</f>
        <v>429620</v>
      </c>
      <c r="EU157">
        <v>0</v>
      </c>
      <c r="EV157">
        <v>0</v>
      </c>
      <c r="EW157">
        <v>0</v>
      </c>
      <c r="EX157">
        <v>0</v>
      </c>
      <c r="EY157">
        <v>0</v>
      </c>
      <c r="EZ157">
        <v>0</v>
      </c>
      <c r="FA157">
        <v>0</v>
      </c>
      <c r="FB157">
        <f>SUM(EU157:FA157)+(IF(F157="YES",50000,0))</f>
        <v>0</v>
      </c>
      <c r="FC157">
        <f>ET157-FB157</f>
        <v>429620</v>
      </c>
      <c r="FD157">
        <f>ROUND(IF(FC157&gt;0,IF(FC157&gt;500000,12500,(FC157-250000)*0.05),0),0)</f>
        <v>8981</v>
      </c>
      <c r="FE157">
        <f>IF(ROUND(IF(FC157&gt;0,IF(FC157&gt;1000000,25000,(FC157-500000)*0.2),0),0)&lt;0,0,ROUND(IF(FC157&gt;0,IF(FC157&gt;1000000,25000,(FC157-500000)*0.2),0),0))</f>
        <v>0</v>
      </c>
      <c r="FF157">
        <f>FD157+FE157</f>
        <v>8981</v>
      </c>
      <c r="FG157">
        <f>IF(FF157&lt;12500,0,FF157)</f>
        <v>0</v>
      </c>
      <c r="FH157">
        <f>FG157*0.04</f>
        <v>0</v>
      </c>
      <c r="FI157">
        <f>ROUND(FH157+FG157,0)</f>
        <v>0</v>
      </c>
      <c r="FJ157">
        <v>0</v>
      </c>
      <c r="FK157">
        <f>FI157-FJ157</f>
        <v>0</v>
      </c>
      <c r="FL157" t="b">
        <f>IF(EA157&gt;500000,TRUE,FALSE)</f>
        <v>1</v>
      </c>
      <c r="FM157">
        <f ca="1">IF(FL157,RANDBETWEEN(500,1000),RANDBETWEEN(1000,3000))</f>
        <v>925</v>
      </c>
      <c r="FN157">
        <f ca="1">EA157+FM157</f>
        <v>554945</v>
      </c>
      <c r="FO157">
        <f>IF(EA157&gt;0,75000,0)</f>
        <v>75000</v>
      </c>
      <c r="FP157">
        <f ca="1">FN157-FO157</f>
        <v>479945</v>
      </c>
      <c r="FQ157">
        <f ca="1">IF(FP157&gt;2400000,FP157-2400000,0)</f>
        <v>0</v>
      </c>
      <c r="FR157">
        <f ca="1">FQ157*0.3</f>
        <v>0</v>
      </c>
      <c r="FS157">
        <f ca="1">IF(FP157&gt;2000000,FP157-2000000,0)</f>
        <v>0</v>
      </c>
      <c r="FT157">
        <f ca="1">FS157*0.25</f>
        <v>0</v>
      </c>
      <c r="FU157">
        <f ca="1">IF(FP157&gt;1600000,FP157-1600000-FQ157,0)</f>
        <v>0</v>
      </c>
      <c r="FV157">
        <f ca="1">FU157*0.2</f>
        <v>0</v>
      </c>
      <c r="FW157">
        <f ca="1">IF(FP157&gt;1200000,FP157-1200000-IF(F157="YES",50000,0)-FU157,0)</f>
        <v>0</v>
      </c>
      <c r="FX157">
        <f ca="1">FW157*0.15</f>
        <v>0</v>
      </c>
      <c r="FY157">
        <f ca="1">IF(FP157&gt;800000,FP157-800000-FQ157-FU157-FW157,0)</f>
        <v>0</v>
      </c>
      <c r="FZ157">
        <f ca="1">FY157*0.1</f>
        <v>0</v>
      </c>
      <c r="GA157">
        <f ca="1">IF(FP157&gt;400000,FP157-400000-FQ157-FU157-FW157-FY157,0)</f>
        <v>79945</v>
      </c>
      <c r="GB157">
        <f ca="1">GA157*0.05</f>
        <v>3997.25</v>
      </c>
      <c r="GC157">
        <f ca="1">ROUND(FR157+FT157+FV157+FX157+FZ157+GB157,0)</f>
        <v>3997</v>
      </c>
      <c r="GD157">
        <f ca="1">IF(FP157&gt;1200000,FP157,0)</f>
        <v>0</v>
      </c>
      <c r="GE157">
        <f ca="1">IF(FP157&gt;1200000,GD157-1200000,0)</f>
        <v>0</v>
      </c>
      <c r="GF157">
        <f ca="1">IF(FP157&lt;1200001,MIN(GC157,60000),0)</f>
        <v>3997</v>
      </c>
      <c r="GG157">
        <f ca="1">IF(FP157&gt;1200000,GC157-GE157,0)</f>
        <v>0</v>
      </c>
      <c r="GH157" t="b">
        <f ca="1">IF(GG157&gt;0,TRUE,FALSE)</f>
        <v>0</v>
      </c>
      <c r="GI157">
        <f ca="1">IF(GH157,GG157,0)</f>
        <v>0</v>
      </c>
      <c r="GJ157">
        <f ca="1">GF157+GI157</f>
        <v>3997</v>
      </c>
      <c r="GK157">
        <f ca="1">ROUND(GC157-GJ157,0)</f>
        <v>0</v>
      </c>
      <c r="GL157">
        <f ca="1">GK157*0.04</f>
        <v>0</v>
      </c>
      <c r="GM157">
        <f ca="1">ROUNDUP(GK157+GL157,0)</f>
        <v>0</v>
      </c>
    </row>
    <row r="158" spans="1:195" x14ac:dyDescent="0.25">
      <c r="A158">
        <f>_xlfn.AGGREGATE(3,5,$B$2:B158)</f>
        <v>157</v>
      </c>
      <c r="B158" t="s">
        <v>427</v>
      </c>
      <c r="C158" t="s">
        <v>428</v>
      </c>
      <c r="D158" t="s">
        <v>795</v>
      </c>
      <c r="E158" t="s">
        <v>833</v>
      </c>
      <c r="F158" t="s">
        <v>959</v>
      </c>
      <c r="G158" t="s">
        <v>883</v>
      </c>
      <c r="H158">
        <f>IF(_xlfn.DAYS("31-03-2025",G158)&gt;=180,6800,0)</f>
        <v>6800</v>
      </c>
      <c r="I158">
        <f>_xlfn.XLOOKUP(B158,'[1]march-2025'!$A:$A,'[1]march-2025'!$J:$J,0,0)</f>
        <v>0</v>
      </c>
      <c r="J158">
        <f>_xlfn.XLOOKUP(B158,'[1]march-2025'!$A:$A,'[1]march-2025'!$C:$C,0,0)</f>
        <v>28900</v>
      </c>
      <c r="K158">
        <f>J158*0.14</f>
        <v>4046.0000000000005</v>
      </c>
      <c r="L158">
        <f>J158*0.12</f>
        <v>3468</v>
      </c>
      <c r="M158">
        <f>_xlfn.XLOOKUP(B158,'[1]march-2025'!$A:$A,'[1]march-2025'!$D:$D,0,0)</f>
        <v>0</v>
      </c>
      <c r="N158">
        <f>_xlfn.XLOOKUP(B158,'[1]march-2025'!$A:$A,'[1]march-2025'!$G:$G,0,0)</f>
        <v>500</v>
      </c>
      <c r="O158">
        <f>IF(J158&gt;0,SUM(J158:N158),0)</f>
        <v>36914</v>
      </c>
      <c r="P158">
        <f>_xlfn.XLOOKUP(B158,'[1]march-2025'!$A:$A,'[1]march-2025'!$H:$H,0,0)</f>
        <v>2000</v>
      </c>
      <c r="Q158">
        <f>_xlfn.XLOOKUP(B158,'[1]march-2025'!$A:$A,'[1]march-2025'!$I:$I,0,0)</f>
        <v>0</v>
      </c>
      <c r="R158">
        <f>IF($F158="YES",0,IF(O158&gt;40000,200,IF(O158&gt;25000,150,IF(O158&gt;15000,130,IF(O158&gt;10000,110,0)))))</f>
        <v>150</v>
      </c>
      <c r="S158">
        <f>O158-P158-Q158-R158</f>
        <v>34764</v>
      </c>
      <c r="T158">
        <f>_xlfn.XLOOKUP(B158,'[2]april-2025'!$A:$A,'[2]april-2025'!$C:$C,0,0)</f>
        <v>28900</v>
      </c>
      <c r="U158">
        <f>T158*0.18</f>
        <v>5202</v>
      </c>
      <c r="V158">
        <f>T158*0.12</f>
        <v>3468</v>
      </c>
      <c r="W158">
        <f>_xlfn.XLOOKUP(B158,'[2]april-2025'!$A:$A,'[2]april-2025'!$D:$D,0,0)</f>
        <v>0</v>
      </c>
      <c r="X158">
        <f>_xlfn.XLOOKUP(B158,'[2]april-2025'!$A:$A,'[2]april-2025'!$G:$G,0,0)</f>
        <v>500</v>
      </c>
      <c r="Y158">
        <f>IF(T158&gt;0,SUM(T158:X158),0)</f>
        <v>38070</v>
      </c>
      <c r="Z158">
        <f>_xlfn.XLOOKUP(B158,'[2]april-2025'!$A:$A,'[2]april-2025'!$H:$H,0,0)</f>
        <v>2000</v>
      </c>
      <c r="AA158">
        <f>_xlfn.XLOOKUP(B158,'[2]april-2025'!$A:$A,'[2]april-2025'!$I:$I,0,0)</f>
        <v>0</v>
      </c>
      <c r="AB158">
        <f>IF($F158="YES",0,IF(Y158&gt;40000,200,IF(Y158&gt;25000,150,IF(Y158&gt;15000,130,IF(Y158&gt;10000,110,0)))))</f>
        <v>150</v>
      </c>
      <c r="AC158">
        <f>Y158-Z158-AA158-AB158</f>
        <v>35920</v>
      </c>
      <c r="AD158">
        <f>_xlfn.XLOOKUP(B158,'[3]may-2025'!$A:$A,'[3]may-2025'!$C:$C,0,0)</f>
        <v>28900</v>
      </c>
      <c r="AE158">
        <f>AD158*0.18</f>
        <v>5202</v>
      </c>
      <c r="AF158">
        <f>AD158*0.12</f>
        <v>3468</v>
      </c>
      <c r="AG158">
        <f>_xlfn.XLOOKUP(B158,'[3]may-2025'!$A:$A,'[3]may-2025'!$D:$D,0,0)</f>
        <v>0</v>
      </c>
      <c r="AH158">
        <f>_xlfn.XLOOKUP(B158,'[3]may-2025'!$A:$A,'[3]may-2025'!$G:$G,0,0)</f>
        <v>500</v>
      </c>
      <c r="AI158">
        <f>IF(AD158&gt;0,SUM(AD158:AH158),0)</f>
        <v>38070</v>
      </c>
      <c r="AJ158">
        <f>_xlfn.XLOOKUP(B158,'[3]may-2025'!$A:$A,'[3]may-2025'!$H:$H,0,0)</f>
        <v>2000</v>
      </c>
      <c r="AK158">
        <f>_xlfn.XLOOKUP(B158,'[3]may-2025'!$A:$A,'[3]may-2025'!$I:$I,0,0)</f>
        <v>0</v>
      </c>
      <c r="AL158">
        <f>IF($F158="YES",0,IF(AI158&gt;40000,200,IF(AI158&gt;25000,150,IF(AI158&gt;15000,130,IF(AI158&gt;10000,110,0)))))</f>
        <v>150</v>
      </c>
      <c r="AM158">
        <f>AI158-AJ158-AK158-AL158</f>
        <v>35920</v>
      </c>
      <c r="AN158">
        <f>_xlfn.XLOOKUP(B158,'[4]june-2025'!$A:$A,'[4]june-2025'!$C:$C,0,0)</f>
        <v>28900</v>
      </c>
      <c r="AO158">
        <f>AN158*0.18</f>
        <v>5202</v>
      </c>
      <c r="AP158">
        <f>AN158*0.12</f>
        <v>3468</v>
      </c>
      <c r="AQ158">
        <f>_xlfn.XLOOKUP(B158,'[4]june-2025'!$A:$A,'[4]june-2025'!$D:$D,0,0)</f>
        <v>0</v>
      </c>
      <c r="AR158">
        <f>_xlfn.XLOOKUP(B158,'[4]june-2025'!$A:$A,'[4]june-2025'!$G:$G,0,0)</f>
        <v>500</v>
      </c>
      <c r="AS158">
        <f>IF(AN158&gt;0,SUM(AN158:AR158),0)</f>
        <v>38070</v>
      </c>
      <c r="AT158">
        <f>_xlfn.XLOOKUP(B158,'[4]june-2025'!$A:$A,'[4]june-2025'!$H:$H,0,0)</f>
        <v>2000</v>
      </c>
      <c r="AU158">
        <f>_xlfn.XLOOKUP(B158,'[4]june-2025'!$A:$A,'[4]june-2025'!$I:$I,0,0)</f>
        <v>0</v>
      </c>
      <c r="AV158">
        <f>IF($F158="YES",0,IF(AS158&gt;40000,200,IF(AS158&gt;25000,150,IF(AS158&gt;15000,130,IF(AS158&gt;10000,110,0)))))</f>
        <v>150</v>
      </c>
      <c r="AW158">
        <f>AS158-AT158-AU158-AV158</f>
        <v>35920</v>
      </c>
      <c r="AX158">
        <f>_xlfn.XLOOKUP(B158,'[5]july-2025'!$A:$A,'[5]july-2025'!$C:$C,0,0)</f>
        <v>29800</v>
      </c>
      <c r="AY158">
        <f>AX158*0.18</f>
        <v>5364</v>
      </c>
      <c r="AZ158">
        <v>0</v>
      </c>
      <c r="BA158">
        <f>AX158*0.12</f>
        <v>3576</v>
      </c>
      <c r="BB158">
        <f>_xlfn.XLOOKUP(B158,'[5]july-2025'!$A:$A,'[5]july-2025'!$D:$D,0,0)</f>
        <v>0</v>
      </c>
      <c r="BC158">
        <f>_xlfn.XLOOKUP(B158,'[5]july-2025'!$A:$A,'[5]july-2025'!$G:$G,0,0)</f>
        <v>500</v>
      </c>
      <c r="BD158">
        <f>IF(AX158&gt;0,SUM(AX158:BC158),0)</f>
        <v>39240</v>
      </c>
      <c r="BE158">
        <f>_xlfn.XLOOKUP(B158,'[5]july-2025'!$A:$A,'[5]july-2025'!$H:$H,0,0)</f>
        <v>2000</v>
      </c>
      <c r="BF158">
        <f>_xlfn.XLOOKUP(B158,'[5]july-2025'!$A:$A,'[5]july-2025'!$I:$I,0,0)</f>
        <v>0</v>
      </c>
      <c r="BG158">
        <f>IF($F158="YES",0,IF(BD158&gt;40000,200,IF(BD158&gt;25000,150,IF(BD158&gt;15000,130,IF(BD158&gt;10000,110,0)))))</f>
        <v>150</v>
      </c>
      <c r="BH158">
        <f>BD158-BE158-BF158-BG158</f>
        <v>37090</v>
      </c>
      <c r="BI158">
        <f>_xlfn.XLOOKUP(B158,'[6]august-2025'!$A:$A,'[6]august-2025'!$C:$C,0,0)</f>
        <v>29800</v>
      </c>
      <c r="BJ158">
        <f>BI158*0.18</f>
        <v>5364</v>
      </c>
      <c r="BK158">
        <f>BI158*0.12</f>
        <v>3576</v>
      </c>
      <c r="BL158">
        <f>_xlfn.XLOOKUP(B158,'[6]august-2025'!$A:$A,'[6]august-2025'!$D:$D,0,0)</f>
        <v>0</v>
      </c>
      <c r="BM158">
        <f>_xlfn.XLOOKUP(B158,'[6]august-2025'!$A:$A,'[6]august-2025'!$G:$G,0,0)</f>
        <v>500</v>
      </c>
      <c r="BN158">
        <f>IF(BI158&gt;0,SUM(BI158:BM158),0)</f>
        <v>39240</v>
      </c>
      <c r="BO158">
        <f>_xlfn.XLOOKUP(B158,'[6]august-2025'!$A:$A,'[6]august-2025'!$H:$H,0,0)</f>
        <v>4000</v>
      </c>
      <c r="BP158">
        <f>_xlfn.XLOOKUP(B158,'[6]august-2025'!$A:$A,'[6]august-2025'!$I:$I,0,0)</f>
        <v>0</v>
      </c>
      <c r="BQ158">
        <f>IF($F158="YES",0,IF(BN158&gt;40000,200,IF(BN158&gt;25000,150,IF(BN158&gt;15000,130,IF(BN158&gt;10000,110,0)))))</f>
        <v>150</v>
      </c>
      <c r="BR158">
        <f>BN158-BO158-BP158-BQ158</f>
        <v>35090</v>
      </c>
      <c r="BS158">
        <f>_xlfn.XLOOKUP(B158,'[7]september-2025'!$A:$A,'[7]september-2025'!$C:$C,0,0)</f>
        <v>29800</v>
      </c>
      <c r="BT158">
        <f>BS158*0.18</f>
        <v>5364</v>
      </c>
      <c r="BU158">
        <f>BS158*0.12</f>
        <v>3576</v>
      </c>
      <c r="BV158">
        <f>_xlfn.XLOOKUP(B158,'[7]september-2025'!$A:$A,'[7]september-2025'!$D:$D,0,0)</f>
        <v>0</v>
      </c>
      <c r="BW158">
        <f>_xlfn.XLOOKUP(B158,'[7]september-2025'!$A:$A,'[7]september-2025'!$G:$G,0,0)</f>
        <v>500</v>
      </c>
      <c r="BX158">
        <f>IF(BS158&gt;0,SUM(BS158:BW158),0)</f>
        <v>39240</v>
      </c>
      <c r="BY158">
        <f>_xlfn.XLOOKUP(B158,'[7]september-2025'!$A:$A,'[7]september-2025'!$H:$H,0,0)</f>
        <v>4000</v>
      </c>
      <c r="BZ158">
        <f>_xlfn.XLOOKUP(B158,'[7]september-2025'!$A:$A,'[7]september-2025'!$I:$I,0,0)</f>
        <v>0</v>
      </c>
      <c r="CA158">
        <f>IF($F158="YES",0,IF(BX158&gt;40000,200,IF(BX158&gt;25000,150,IF(BX158&gt;15000,130,IF(BX158&gt;10000,110,0)))))</f>
        <v>150</v>
      </c>
      <c r="CB158">
        <f>BX158-BY158-BZ158-CA158</f>
        <v>35090</v>
      </c>
      <c r="CC158">
        <f>_xlfn.XLOOKUP(B158,'[8]october-2025'!$A:$A,'[8]october-2025'!$C:$C,0,0)</f>
        <v>29800</v>
      </c>
      <c r="CD158">
        <f>CC158*0.18</f>
        <v>5364</v>
      </c>
      <c r="CE158">
        <f>CC158*0.12</f>
        <v>3576</v>
      </c>
      <c r="CF158">
        <f>_xlfn.XLOOKUP(B158,'[8]october-2025'!$A:$A,'[8]october-2025'!$D:$D,0,0)</f>
        <v>0</v>
      </c>
      <c r="CG158">
        <f>_xlfn.XLOOKUP(B158,'[8]october-2025'!$A:$A,'[8]october-2025'!$G:$G,0,0)</f>
        <v>500</v>
      </c>
      <c r="CH158">
        <f>IF(CC158&gt;0,SUM(CC158:CG158),0)</f>
        <v>39240</v>
      </c>
      <c r="CI158">
        <f>_xlfn.XLOOKUP(B158,'[8]october-2025'!$A:$A,'[8]october-2025'!$H:$H,0,0)</f>
        <v>4000</v>
      </c>
      <c r="CJ158">
        <f>_xlfn.XLOOKUP(B158,'[8]october-2025'!$A:$A,'[8]october-2025'!$I:$I,0,0)</f>
        <v>0</v>
      </c>
      <c r="CK158">
        <f>IF($F158="YES",0,IF(CH158&gt;40000,200,IF(CH158&gt;25000,150,IF(CH158&gt;15000,130,IF(CH158&gt;10000,110,0)))))</f>
        <v>150</v>
      </c>
      <c r="CL158">
        <f>CH158-CI158-CJ158-CK158</f>
        <v>35090</v>
      </c>
      <c r="CM158">
        <f>_xlfn.XLOOKUP(B158,'[9]november-2025'!$A:$A,'[9]november-2025'!$C:$C,0,0)</f>
        <v>29800</v>
      </c>
      <c r="CN158">
        <f>CM158*0.18</f>
        <v>5364</v>
      </c>
      <c r="CO158">
        <f>CM158*0.12</f>
        <v>3576</v>
      </c>
      <c r="CP158">
        <f>_xlfn.XLOOKUP(B158,'[9]november-2025'!$A:$A,'[9]november-2025'!$D:$D,0,0)</f>
        <v>0</v>
      </c>
      <c r="CQ158">
        <f>_xlfn.XLOOKUP(B158,'[9]november-2025'!$A:$A,'[9]november-2025'!$G:$G,0,0)</f>
        <v>500</v>
      </c>
      <c r="CR158">
        <f>IF(CM158&gt;0,SUM(CM158:CQ158),0)</f>
        <v>39240</v>
      </c>
      <c r="CS158">
        <f>_xlfn.XLOOKUP(B158,'[9]november-2025'!$A:$A,'[9]november-2025'!$H:$H,0,0)</f>
        <v>4000</v>
      </c>
      <c r="CT158">
        <f>_xlfn.XLOOKUP(B158,'[9]november-2025'!$A:$A,'[9]november-2025'!$I:$I,0,0)</f>
        <v>0</v>
      </c>
      <c r="CU158">
        <f>IF($F158="YES",0,IF(CR158&gt;40000,200,IF(CR158&gt;25000,150,IF(CR158&gt;15000,130,IF(CR158&gt;10000,110,0)))))</f>
        <v>150</v>
      </c>
      <c r="CV158">
        <f>CR158-CS158-CT158-CU158</f>
        <v>35090</v>
      </c>
      <c r="CW158">
        <f>_xlfn.XLOOKUP(B158,'[10]december-2025'!$A:$A,'[10]december-2025'!$C:$C,0,0)</f>
        <v>29800</v>
      </c>
      <c r="CX158">
        <f>ROUND(CW158*0.18,0)</f>
        <v>5364</v>
      </c>
      <c r="CY158">
        <f>ROUND(CW158*0.12,0)</f>
        <v>3576</v>
      </c>
      <c r="CZ158">
        <f>_xlfn.XLOOKUP(B158,'[10]december-2025'!$A:$A,'[10]december-2025'!$D:$D,0,0)</f>
        <v>0</v>
      </c>
      <c r="DA158">
        <f>_xlfn.XLOOKUP(B158,'[10]december-2025'!$A:$A,'[10]december-2025'!$G:$G,0,0)</f>
        <v>500</v>
      </c>
      <c r="DB158">
        <f>IF(CW158&gt;0,SUM(CW158:DA158),0)</f>
        <v>39240</v>
      </c>
      <c r="DC158">
        <f>_xlfn.XLOOKUP(B158,'[10]december-2025'!$A:$A,'[10]december-2025'!$H:$H,0,0)</f>
        <v>4000</v>
      </c>
      <c r="DD158">
        <f>_xlfn.XLOOKUP(B158,'[10]december-2025'!$A:$A,'[10]december-2025'!$I:$I,0,0)</f>
        <v>0</v>
      </c>
      <c r="DE158">
        <f>IF($F158="YES",0,IF(DB158&gt;40000,200,IF(DB158&gt;25000,150,IF(DB158&gt;15000,130,IF(DB158&gt;10000,110,0)))))</f>
        <v>150</v>
      </c>
      <c r="DF158">
        <f>DB158-DC158-DD158-DE158</f>
        <v>35090</v>
      </c>
      <c r="DG158">
        <f>_xlfn.XLOOKUP(B158,'[11]january-2026'!$A:$A,'[11]january-2026'!$C:$C,0,0)</f>
        <v>29800</v>
      </c>
      <c r="DH158">
        <f>DG158*0.18</f>
        <v>5364</v>
      </c>
      <c r="DI158">
        <f>DG158*0.12</f>
        <v>3576</v>
      </c>
      <c r="DJ158">
        <f>_xlfn.XLOOKUP(B158,'[11]january-2026'!$A:$A,'[11]january-2026'!$D:$D,0,0)</f>
        <v>0</v>
      </c>
      <c r="DK158">
        <f>_xlfn.XLOOKUP(B158,'[11]january-2026'!$A:$A,'[11]january-2026'!$G:$G,0,0)</f>
        <v>500</v>
      </c>
      <c r="DL158">
        <f>IF(DG158&gt;0,SUM(DG158:DK158),0)</f>
        <v>39240</v>
      </c>
      <c r="DM158">
        <f>_xlfn.XLOOKUP(B158,'[11]january-2026'!$A:$A,'[11]january-2026'!$H:$H,0,0)</f>
        <v>4000</v>
      </c>
      <c r="DN158">
        <f>_xlfn.XLOOKUP(B158,'[11]january-2026'!$A:$A,'[11]january-2026'!$I:$I,0,0)</f>
        <v>0</v>
      </c>
      <c r="DO158">
        <f>IF($F158="YES",0,IF(DL158&gt;40000,200,IF(DL158&gt;25000,150,IF(DL158&gt;15000,130,IF(DL158&gt;10000,110,0)))))</f>
        <v>150</v>
      </c>
      <c r="DP158">
        <f>DL158-DM158-DN158-DO158</f>
        <v>35090</v>
      </c>
      <c r="DQ158">
        <f>_xlfn.XLOOKUP(B158,'[12]february-2026'!$A:$A,'[12]february-2026'!$C:$C,0,0)</f>
        <v>29800</v>
      </c>
      <c r="DR158">
        <f>DQ158*0.18</f>
        <v>5364</v>
      </c>
      <c r="DS158">
        <f>DQ158*0.12</f>
        <v>3576</v>
      </c>
      <c r="DT158">
        <f>_xlfn.XLOOKUP(B158,'[12]february-2026'!$A:$A,'[12]february-2026'!$D:$D,0,0)</f>
        <v>0</v>
      </c>
      <c r="DU158">
        <f>_xlfn.XLOOKUP(B158,'[12]february-2026'!$A:$A,'[12]february-2026'!$G:$G,0,0)</f>
        <v>500</v>
      </c>
      <c r="DV158">
        <f>IF(DQ158&gt;0,SUM(DQ158:DU158),0)</f>
        <v>39240</v>
      </c>
      <c r="DW158">
        <f>_xlfn.XLOOKUP(B158,'[12]february-2026'!$A:$A,'[12]february-2026'!$H:$H,0,0)</f>
        <v>4000</v>
      </c>
      <c r="DX158">
        <f>_xlfn.XLOOKUP(B158,'[12]february-2026'!$A:$A,'[12]february-2026'!$I:$I,0,0)</f>
        <v>0</v>
      </c>
      <c r="DY158">
        <f>IF($F158="YES",0,IF(DV158&gt;40000,200,IF(DV158&gt;25000,150,IF(DV158&gt;15000,130,IF(DV158&gt;10000,110,0)))))</f>
        <v>150</v>
      </c>
      <c r="DZ158">
        <f>DV158-DW158-DX158-DY158</f>
        <v>35090</v>
      </c>
      <c r="EA158">
        <f>DV158+DL158+DB158+CR158+CH158+BX158+BN158+BD158+AS158+AI158+Y158+O158+H158+I158</f>
        <v>471844</v>
      </c>
      <c r="EB158">
        <f>DY158+DO158+DE158+CU158+CK158+CA158+BQ158+BG158+AV158+AL158+AB158+R158</f>
        <v>1800</v>
      </c>
      <c r="EC158">
        <f>IF(EA158&gt;0,50000,0)</f>
        <v>50000</v>
      </c>
      <c r="ED158">
        <v>0</v>
      </c>
      <c r="EE158">
        <f>EA158-EB158-EC158</f>
        <v>420044</v>
      </c>
      <c r="EF158">
        <f>DW158+DM158+DC158+CS158+CI158+BY158+BO158+BE158+AT158+AJ158+Z158+P158</f>
        <v>38000</v>
      </c>
      <c r="EG158">
        <f>DX158+DN158+DD158+CT158+CJ158+BZ158+BP158+BF158+AU158+AK158+AA158+Q158</f>
        <v>0</v>
      </c>
      <c r="EH158">
        <v>0</v>
      </c>
      <c r="EI158">
        <v>0</v>
      </c>
      <c r="EJ158">
        <v>0</v>
      </c>
      <c r="EK158">
        <v>0</v>
      </c>
      <c r="EL158">
        <v>0</v>
      </c>
      <c r="EM158">
        <v>0</v>
      </c>
      <c r="EN158">
        <v>0</v>
      </c>
      <c r="EO158">
        <v>0</v>
      </c>
      <c r="EP158">
        <v>0</v>
      </c>
      <c r="EQ158">
        <v>0</v>
      </c>
      <c r="ER158">
        <f>SUM(EF158:EQ158)</f>
        <v>38000</v>
      </c>
      <c r="ES158">
        <f>IF(ER158&gt;=150000,150000,ER158)</f>
        <v>38000</v>
      </c>
      <c r="ET158">
        <f>EE158-ES158</f>
        <v>382044</v>
      </c>
      <c r="EU158">
        <v>0</v>
      </c>
      <c r="EV158">
        <v>0</v>
      </c>
      <c r="EW158">
        <v>0</v>
      </c>
      <c r="EX158">
        <v>0</v>
      </c>
      <c r="EY158">
        <v>0</v>
      </c>
      <c r="EZ158">
        <v>0</v>
      </c>
      <c r="FA158">
        <v>0</v>
      </c>
      <c r="FB158">
        <f>SUM(EU158:FA158)+(IF(F158="YES",50000,0))</f>
        <v>0</v>
      </c>
      <c r="FC158">
        <f>ET158-FB158</f>
        <v>382044</v>
      </c>
      <c r="FD158">
        <f>ROUND(IF(FC158&gt;0,IF(FC158&gt;500000,12500,(FC158-250000)*0.05),0),0)</f>
        <v>6602</v>
      </c>
      <c r="FE158">
        <f>IF(ROUND(IF(FC158&gt;0,IF(FC158&gt;1000000,25000,(FC158-500000)*0.2),0),0)&lt;0,0,ROUND(IF(FC158&gt;0,IF(FC158&gt;1000000,25000,(FC158-500000)*0.2),0),0))</f>
        <v>0</v>
      </c>
      <c r="FF158">
        <f>FD158+FE158</f>
        <v>6602</v>
      </c>
      <c r="FG158">
        <f>IF(FF158&lt;12500,0,FF158)</f>
        <v>0</v>
      </c>
      <c r="FH158">
        <f>FG158*0.04</f>
        <v>0</v>
      </c>
      <c r="FI158">
        <f>ROUND(FH158+FG158,0)</f>
        <v>0</v>
      </c>
      <c r="FJ158">
        <v>0</v>
      </c>
      <c r="FK158">
        <f>FI158-FJ158</f>
        <v>0</v>
      </c>
      <c r="FL158" t="b">
        <f>IF(EA158&gt;500000,TRUE,FALSE)</f>
        <v>0</v>
      </c>
      <c r="FM158">
        <f ca="1">IF(FL158,RANDBETWEEN(500,1000),RANDBETWEEN(1000,3000))</f>
        <v>1275</v>
      </c>
      <c r="FN158">
        <f ca="1">EA158+FM158</f>
        <v>473119</v>
      </c>
      <c r="FO158">
        <f>IF(EA158&gt;0,75000,0)</f>
        <v>75000</v>
      </c>
      <c r="FP158">
        <f ca="1">FN158-FO158</f>
        <v>398119</v>
      </c>
      <c r="FQ158">
        <f ca="1">IF(FP158&gt;2400000,FP158-2400000,0)</f>
        <v>0</v>
      </c>
      <c r="FR158">
        <f ca="1">FQ158*0.3</f>
        <v>0</v>
      </c>
      <c r="FS158">
        <f ca="1">IF(FP158&gt;2000000,FP158-2000000,0)</f>
        <v>0</v>
      </c>
      <c r="FT158">
        <f ca="1">FS158*0.25</f>
        <v>0</v>
      </c>
      <c r="FU158">
        <f ca="1">IF(FP158&gt;1600000,FP158-1600000-FQ158,0)</f>
        <v>0</v>
      </c>
      <c r="FV158">
        <f ca="1">FU158*0.2</f>
        <v>0</v>
      </c>
      <c r="FW158">
        <f ca="1">IF(FP158&gt;1200000,FP158-1200000-IF(F158="YES",50000,0)-FU158,0)</f>
        <v>0</v>
      </c>
      <c r="FX158">
        <f ca="1">FW158*0.15</f>
        <v>0</v>
      </c>
      <c r="FY158">
        <f ca="1">IF(FP158&gt;800000,FP158-800000-FQ158-FU158-FW158,0)</f>
        <v>0</v>
      </c>
      <c r="FZ158">
        <f ca="1">FY158*0.1</f>
        <v>0</v>
      </c>
      <c r="GA158">
        <f ca="1">IF(FP158&gt;400000,FP158-400000-FQ158-FU158-FW158-FY158,0)</f>
        <v>0</v>
      </c>
      <c r="GB158">
        <f ca="1">GA158*0.05</f>
        <v>0</v>
      </c>
      <c r="GC158">
        <f ca="1">ROUND(FR158+FT158+FV158+FX158+FZ158+GB158,0)</f>
        <v>0</v>
      </c>
      <c r="GD158">
        <f ca="1">IF(FP158&gt;1200000,FP158,0)</f>
        <v>0</v>
      </c>
      <c r="GE158">
        <f ca="1">IF(FP158&gt;1200000,GD158-1200000,0)</f>
        <v>0</v>
      </c>
      <c r="GF158">
        <f ca="1">IF(FP158&lt;1200001,MIN(GC158,60000),0)</f>
        <v>0</v>
      </c>
      <c r="GG158">
        <f ca="1">IF(FP158&gt;1200000,GC158-GE158,0)</f>
        <v>0</v>
      </c>
      <c r="GH158" t="b">
        <f ca="1">IF(GG158&gt;0,TRUE,FALSE)</f>
        <v>0</v>
      </c>
      <c r="GI158">
        <f ca="1">IF(GH158,GG158,0)</f>
        <v>0</v>
      </c>
      <c r="GJ158">
        <f ca="1">GF158+GI158</f>
        <v>0</v>
      </c>
      <c r="GK158">
        <f ca="1">ROUND(GC158-GJ158,0)</f>
        <v>0</v>
      </c>
      <c r="GL158">
        <f ca="1">GK158*0.04</f>
        <v>0</v>
      </c>
      <c r="GM158">
        <f ca="1">ROUNDUP(GK158+GL158,0)</f>
        <v>0</v>
      </c>
    </row>
    <row r="159" spans="1:195" x14ac:dyDescent="0.25">
      <c r="A159">
        <f>_xlfn.AGGREGATE(3,5,$B$2:B159)</f>
        <v>158</v>
      </c>
      <c r="B159" t="s">
        <v>429</v>
      </c>
      <c r="C159" t="s">
        <v>430</v>
      </c>
      <c r="D159" t="s">
        <v>795</v>
      </c>
      <c r="E159" t="s">
        <v>833</v>
      </c>
      <c r="F159" t="s">
        <v>959</v>
      </c>
      <c r="G159" t="s">
        <v>885</v>
      </c>
      <c r="H159">
        <f>IF(_xlfn.DAYS("31-03-2025",G159)&gt;=180,6800,0)</f>
        <v>6800</v>
      </c>
      <c r="I159">
        <f>_xlfn.XLOOKUP(B159,'[1]march-2025'!$A:$A,'[1]march-2025'!$J:$J,0,0)</f>
        <v>0</v>
      </c>
      <c r="J159">
        <f>_xlfn.XLOOKUP(B159,'[1]march-2025'!$A:$A,'[1]march-2025'!$C:$C,0,0)</f>
        <v>28900</v>
      </c>
      <c r="K159">
        <f>J159*0.14</f>
        <v>4046.0000000000005</v>
      </c>
      <c r="L159">
        <f>J159*0.12</f>
        <v>3468</v>
      </c>
      <c r="M159">
        <f>_xlfn.XLOOKUP(B159,'[1]march-2025'!$A:$A,'[1]march-2025'!$D:$D,0,0)</f>
        <v>0</v>
      </c>
      <c r="N159">
        <f>_xlfn.XLOOKUP(B159,'[1]march-2025'!$A:$A,'[1]march-2025'!$G:$G,0,0)</f>
        <v>500</v>
      </c>
      <c r="O159">
        <f>IF(J159&gt;0,SUM(J159:N159),0)</f>
        <v>36914</v>
      </c>
      <c r="P159">
        <f>_xlfn.XLOOKUP(B159,'[1]march-2025'!$A:$A,'[1]march-2025'!$H:$H,0,0)</f>
        <v>0</v>
      </c>
      <c r="Q159">
        <f>_xlfn.XLOOKUP(B159,'[1]march-2025'!$A:$A,'[1]march-2025'!$I:$I,0,0)</f>
        <v>0</v>
      </c>
      <c r="R159">
        <f>IF($F159="YES",0,IF(O159&gt;40000,200,IF(O159&gt;25000,150,IF(O159&gt;15000,130,IF(O159&gt;10000,110,0)))))</f>
        <v>150</v>
      </c>
      <c r="S159">
        <f>O159-P159-Q159-R159</f>
        <v>36764</v>
      </c>
      <c r="T159">
        <f>_xlfn.XLOOKUP(B159,'[2]april-2025'!$A:$A,'[2]april-2025'!$C:$C,0,0)</f>
        <v>28900</v>
      </c>
      <c r="U159">
        <f>T159*0.18</f>
        <v>5202</v>
      </c>
      <c r="V159">
        <f>T159*0.12</f>
        <v>3468</v>
      </c>
      <c r="W159">
        <f>_xlfn.XLOOKUP(B159,'[2]april-2025'!$A:$A,'[2]april-2025'!$D:$D,0,0)</f>
        <v>0</v>
      </c>
      <c r="X159">
        <f>_xlfn.XLOOKUP(B159,'[2]april-2025'!$A:$A,'[2]april-2025'!$G:$G,0,0)</f>
        <v>500</v>
      </c>
      <c r="Y159">
        <f>IF(T159&gt;0,SUM(T159:X159),0)</f>
        <v>38070</v>
      </c>
      <c r="Z159">
        <f>_xlfn.XLOOKUP(B159,'[2]april-2025'!$A:$A,'[2]april-2025'!$H:$H,0,0)</f>
        <v>0</v>
      </c>
      <c r="AA159">
        <f>_xlfn.XLOOKUP(B159,'[2]april-2025'!$A:$A,'[2]april-2025'!$I:$I,0,0)</f>
        <v>0</v>
      </c>
      <c r="AB159">
        <f>IF($F159="YES",0,IF(Y159&gt;40000,200,IF(Y159&gt;25000,150,IF(Y159&gt;15000,130,IF(Y159&gt;10000,110,0)))))</f>
        <v>150</v>
      </c>
      <c r="AC159">
        <f>Y159-Z159-AA159-AB159</f>
        <v>37920</v>
      </c>
      <c r="AD159">
        <f>_xlfn.XLOOKUP(B159,'[3]may-2025'!$A:$A,'[3]may-2025'!$C:$C,0,0)</f>
        <v>28900</v>
      </c>
      <c r="AE159">
        <f>AD159*0.18</f>
        <v>5202</v>
      </c>
      <c r="AF159">
        <f>AD159*0.12</f>
        <v>3468</v>
      </c>
      <c r="AG159">
        <f>_xlfn.XLOOKUP(B159,'[3]may-2025'!$A:$A,'[3]may-2025'!$D:$D,0,0)</f>
        <v>0</v>
      </c>
      <c r="AH159">
        <f>_xlfn.XLOOKUP(B159,'[3]may-2025'!$A:$A,'[3]may-2025'!$G:$G,0,0)</f>
        <v>500</v>
      </c>
      <c r="AI159">
        <f>IF(AD159&gt;0,SUM(AD159:AH159),0)</f>
        <v>38070</v>
      </c>
      <c r="AJ159">
        <f>_xlfn.XLOOKUP(B159,'[3]may-2025'!$A:$A,'[3]may-2025'!$H:$H,0,0)</f>
        <v>0</v>
      </c>
      <c r="AK159">
        <f>_xlfn.XLOOKUP(B159,'[3]may-2025'!$A:$A,'[3]may-2025'!$I:$I,0,0)</f>
        <v>0</v>
      </c>
      <c r="AL159">
        <f>IF($F159="YES",0,IF(AI159&gt;40000,200,IF(AI159&gt;25000,150,IF(AI159&gt;15000,130,IF(AI159&gt;10000,110,0)))))</f>
        <v>150</v>
      </c>
      <c r="AM159">
        <f>AI159-AJ159-AK159-AL159</f>
        <v>37920</v>
      </c>
      <c r="AN159">
        <f>_xlfn.XLOOKUP(B159,'[4]june-2025'!$A:$A,'[4]june-2025'!$C:$C,0,0)</f>
        <v>28900</v>
      </c>
      <c r="AO159">
        <f>AN159*0.18</f>
        <v>5202</v>
      </c>
      <c r="AP159">
        <f>AN159*0.12</f>
        <v>3468</v>
      </c>
      <c r="AQ159">
        <f>_xlfn.XLOOKUP(B159,'[4]june-2025'!$A:$A,'[4]june-2025'!$D:$D,0,0)</f>
        <v>0</v>
      </c>
      <c r="AR159">
        <f>_xlfn.XLOOKUP(B159,'[4]june-2025'!$A:$A,'[4]june-2025'!$G:$G,0,0)</f>
        <v>500</v>
      </c>
      <c r="AS159">
        <f>IF(AN159&gt;0,SUM(AN159:AR159),0)</f>
        <v>38070</v>
      </c>
      <c r="AT159">
        <f>_xlfn.XLOOKUP(B159,'[4]june-2025'!$A:$A,'[4]june-2025'!$H:$H,0,0)</f>
        <v>0</v>
      </c>
      <c r="AU159">
        <f>_xlfn.XLOOKUP(B159,'[4]june-2025'!$A:$A,'[4]june-2025'!$I:$I,0,0)</f>
        <v>0</v>
      </c>
      <c r="AV159">
        <f>IF($F159="YES",0,IF(AS159&gt;40000,200,IF(AS159&gt;25000,150,IF(AS159&gt;15000,130,IF(AS159&gt;10000,110,0)))))</f>
        <v>150</v>
      </c>
      <c r="AW159">
        <f>AS159-AT159-AU159-AV159</f>
        <v>37920</v>
      </c>
      <c r="AX159">
        <f>_xlfn.XLOOKUP(B159,'[5]july-2025'!$A:$A,'[5]july-2025'!$C:$C,0,0)</f>
        <v>29800</v>
      </c>
      <c r="AY159">
        <f>AX159*0.18</f>
        <v>5364</v>
      </c>
      <c r="AZ159">
        <v>0</v>
      </c>
      <c r="BA159">
        <f>AX159*0.12</f>
        <v>3576</v>
      </c>
      <c r="BB159">
        <f>_xlfn.XLOOKUP(B159,'[5]july-2025'!$A:$A,'[5]july-2025'!$D:$D,0,0)</f>
        <v>0</v>
      </c>
      <c r="BC159">
        <f>_xlfn.XLOOKUP(B159,'[5]july-2025'!$A:$A,'[5]july-2025'!$G:$G,0,0)</f>
        <v>500</v>
      </c>
      <c r="BD159">
        <f>IF(AX159&gt;0,SUM(AX159:BC159),0)</f>
        <v>39240</v>
      </c>
      <c r="BE159">
        <f>_xlfn.XLOOKUP(B159,'[5]july-2025'!$A:$A,'[5]july-2025'!$H:$H,0,0)</f>
        <v>0</v>
      </c>
      <c r="BF159">
        <f>_xlfn.XLOOKUP(B159,'[5]july-2025'!$A:$A,'[5]july-2025'!$I:$I,0,0)</f>
        <v>0</v>
      </c>
      <c r="BG159">
        <f>IF($F159="YES",0,IF(BD159&gt;40000,200,IF(BD159&gt;25000,150,IF(BD159&gt;15000,130,IF(BD159&gt;10000,110,0)))))</f>
        <v>150</v>
      </c>
      <c r="BH159">
        <f>BD159-BE159-BF159-BG159</f>
        <v>39090</v>
      </c>
      <c r="BI159">
        <f>_xlfn.XLOOKUP(B159,'[6]august-2025'!$A:$A,'[6]august-2025'!$C:$C,0,0)</f>
        <v>29800</v>
      </c>
      <c r="BJ159">
        <f>BI159*0.18</f>
        <v>5364</v>
      </c>
      <c r="BK159">
        <f>BI159*0.12</f>
        <v>3576</v>
      </c>
      <c r="BL159">
        <f>_xlfn.XLOOKUP(B159,'[6]august-2025'!$A:$A,'[6]august-2025'!$D:$D,0,0)</f>
        <v>0</v>
      </c>
      <c r="BM159">
        <f>_xlfn.XLOOKUP(B159,'[6]august-2025'!$A:$A,'[6]august-2025'!$G:$G,0,0)</f>
        <v>500</v>
      </c>
      <c r="BN159">
        <f>IF(BI159&gt;0,SUM(BI159:BM159),0)</f>
        <v>39240</v>
      </c>
      <c r="BO159">
        <f>_xlfn.XLOOKUP(B159,'[6]august-2025'!$A:$A,'[6]august-2025'!$H:$H,0,0)</f>
        <v>0</v>
      </c>
      <c r="BP159">
        <f>_xlfn.XLOOKUP(B159,'[6]august-2025'!$A:$A,'[6]august-2025'!$I:$I,0,0)</f>
        <v>0</v>
      </c>
      <c r="BQ159">
        <f>IF($F159="YES",0,IF(BN159&gt;40000,200,IF(BN159&gt;25000,150,IF(BN159&gt;15000,130,IF(BN159&gt;10000,110,0)))))</f>
        <v>150</v>
      </c>
      <c r="BR159">
        <f>BN159-BO159-BP159-BQ159</f>
        <v>39090</v>
      </c>
      <c r="BS159">
        <f>_xlfn.XLOOKUP(B159,'[7]september-2025'!$A:$A,'[7]september-2025'!$C:$C,0,0)</f>
        <v>29800</v>
      </c>
      <c r="BT159">
        <f>BS159*0.18</f>
        <v>5364</v>
      </c>
      <c r="BU159">
        <f>BS159*0.12</f>
        <v>3576</v>
      </c>
      <c r="BV159">
        <f>_xlfn.XLOOKUP(B159,'[7]september-2025'!$A:$A,'[7]september-2025'!$D:$D,0,0)</f>
        <v>0</v>
      </c>
      <c r="BW159">
        <f>_xlfn.XLOOKUP(B159,'[7]september-2025'!$A:$A,'[7]september-2025'!$G:$G,0,0)</f>
        <v>500</v>
      </c>
      <c r="BX159">
        <f>IF(BS159&gt;0,SUM(BS159:BW159),0)</f>
        <v>39240</v>
      </c>
      <c r="BY159">
        <f>_xlfn.XLOOKUP(B159,'[7]september-2025'!$A:$A,'[7]september-2025'!$H:$H,0,0)</f>
        <v>2000</v>
      </c>
      <c r="BZ159">
        <f>_xlfn.XLOOKUP(B159,'[7]september-2025'!$A:$A,'[7]september-2025'!$I:$I,0,0)</f>
        <v>0</v>
      </c>
      <c r="CA159">
        <f>IF($F159="YES",0,IF(BX159&gt;40000,200,IF(BX159&gt;25000,150,IF(BX159&gt;15000,130,IF(BX159&gt;10000,110,0)))))</f>
        <v>150</v>
      </c>
      <c r="CB159">
        <f>BX159-BY159-BZ159-CA159</f>
        <v>37090</v>
      </c>
      <c r="CC159">
        <f>_xlfn.XLOOKUP(B159,'[8]october-2025'!$A:$A,'[8]october-2025'!$C:$C,0,0)</f>
        <v>29800</v>
      </c>
      <c r="CD159">
        <f>CC159*0.18</f>
        <v>5364</v>
      </c>
      <c r="CE159">
        <f>CC159*0.12</f>
        <v>3576</v>
      </c>
      <c r="CF159">
        <f>_xlfn.XLOOKUP(B159,'[8]october-2025'!$A:$A,'[8]october-2025'!$D:$D,0,0)</f>
        <v>0</v>
      </c>
      <c r="CG159">
        <f>_xlfn.XLOOKUP(B159,'[8]october-2025'!$A:$A,'[8]october-2025'!$G:$G,0,0)</f>
        <v>500</v>
      </c>
      <c r="CH159">
        <f>IF(CC159&gt;0,SUM(CC159:CG159),0)</f>
        <v>39240</v>
      </c>
      <c r="CI159">
        <f>_xlfn.XLOOKUP(B159,'[8]october-2025'!$A:$A,'[8]october-2025'!$H:$H,0,0)</f>
        <v>2000</v>
      </c>
      <c r="CJ159">
        <f>_xlfn.XLOOKUP(B159,'[8]october-2025'!$A:$A,'[8]october-2025'!$I:$I,0,0)</f>
        <v>0</v>
      </c>
      <c r="CK159">
        <f>IF($F159="YES",0,IF(CH159&gt;40000,200,IF(CH159&gt;25000,150,IF(CH159&gt;15000,130,IF(CH159&gt;10000,110,0)))))</f>
        <v>150</v>
      </c>
      <c r="CL159">
        <f>CH159-CI159-CJ159-CK159</f>
        <v>37090</v>
      </c>
      <c r="CM159">
        <f>_xlfn.XLOOKUP(B159,'[9]november-2025'!$A:$A,'[9]november-2025'!$C:$C,0,0)</f>
        <v>29800</v>
      </c>
      <c r="CN159">
        <f>CM159*0.18</f>
        <v>5364</v>
      </c>
      <c r="CO159">
        <f>CM159*0.12</f>
        <v>3576</v>
      </c>
      <c r="CP159">
        <f>_xlfn.XLOOKUP(B159,'[9]november-2025'!$A:$A,'[9]november-2025'!$D:$D,0,0)</f>
        <v>0</v>
      </c>
      <c r="CQ159">
        <f>_xlfn.XLOOKUP(B159,'[9]november-2025'!$A:$A,'[9]november-2025'!$G:$G,0,0)</f>
        <v>500</v>
      </c>
      <c r="CR159">
        <f>IF(CM159&gt;0,SUM(CM159:CQ159),0)</f>
        <v>39240</v>
      </c>
      <c r="CS159">
        <f>_xlfn.XLOOKUP(B159,'[9]november-2025'!$A:$A,'[9]november-2025'!$H:$H,0,0)</f>
        <v>2000</v>
      </c>
      <c r="CT159">
        <f>_xlfn.XLOOKUP(B159,'[9]november-2025'!$A:$A,'[9]november-2025'!$I:$I,0,0)</f>
        <v>0</v>
      </c>
      <c r="CU159">
        <f>IF($F159="YES",0,IF(CR159&gt;40000,200,IF(CR159&gt;25000,150,IF(CR159&gt;15000,130,IF(CR159&gt;10000,110,0)))))</f>
        <v>150</v>
      </c>
      <c r="CV159">
        <f>CR159-CS159-CT159-CU159</f>
        <v>37090</v>
      </c>
      <c r="CW159">
        <f>_xlfn.XLOOKUP(B159,'[10]december-2025'!$A:$A,'[10]december-2025'!$C:$C,0,0)</f>
        <v>29800</v>
      </c>
      <c r="CX159">
        <f>ROUND(CW159*0.18,0)</f>
        <v>5364</v>
      </c>
      <c r="CY159">
        <f>ROUND(CW159*0.12,0)</f>
        <v>3576</v>
      </c>
      <c r="CZ159">
        <f>_xlfn.XLOOKUP(B159,'[10]december-2025'!$A:$A,'[10]december-2025'!$D:$D,0,0)</f>
        <v>0</v>
      </c>
      <c r="DA159">
        <f>_xlfn.XLOOKUP(B159,'[10]december-2025'!$A:$A,'[10]december-2025'!$G:$G,0,0)</f>
        <v>500</v>
      </c>
      <c r="DB159">
        <f>IF(CW159&gt;0,SUM(CW159:DA159),0)</f>
        <v>39240</v>
      </c>
      <c r="DC159">
        <f>_xlfn.XLOOKUP(B159,'[10]december-2025'!$A:$A,'[10]december-2025'!$H:$H,0,0)</f>
        <v>2000</v>
      </c>
      <c r="DD159">
        <f>_xlfn.XLOOKUP(B159,'[10]december-2025'!$A:$A,'[10]december-2025'!$I:$I,0,0)</f>
        <v>0</v>
      </c>
      <c r="DE159">
        <f>IF($F159="YES",0,IF(DB159&gt;40000,200,IF(DB159&gt;25000,150,IF(DB159&gt;15000,130,IF(DB159&gt;10000,110,0)))))</f>
        <v>150</v>
      </c>
      <c r="DF159">
        <f>DB159-DC159-DD159-DE159</f>
        <v>37090</v>
      </c>
      <c r="DG159">
        <f>_xlfn.XLOOKUP(B159,'[11]january-2026'!$A:$A,'[11]january-2026'!$C:$C,0,0)</f>
        <v>29800</v>
      </c>
      <c r="DH159">
        <f>DG159*0.18</f>
        <v>5364</v>
      </c>
      <c r="DI159">
        <f>DG159*0.12</f>
        <v>3576</v>
      </c>
      <c r="DJ159">
        <f>_xlfn.XLOOKUP(B159,'[11]january-2026'!$A:$A,'[11]january-2026'!$D:$D,0,0)</f>
        <v>0</v>
      </c>
      <c r="DK159">
        <f>_xlfn.XLOOKUP(B159,'[11]january-2026'!$A:$A,'[11]january-2026'!$G:$G,0,0)</f>
        <v>500</v>
      </c>
      <c r="DL159">
        <f>IF(DG159&gt;0,SUM(DG159:DK159),0)</f>
        <v>39240</v>
      </c>
      <c r="DM159">
        <f>_xlfn.XLOOKUP(B159,'[11]january-2026'!$A:$A,'[11]january-2026'!$H:$H,0,0)</f>
        <v>2000</v>
      </c>
      <c r="DN159">
        <f>_xlfn.XLOOKUP(B159,'[11]january-2026'!$A:$A,'[11]january-2026'!$I:$I,0,0)</f>
        <v>0</v>
      </c>
      <c r="DO159">
        <f>IF($F159="YES",0,IF(DL159&gt;40000,200,IF(DL159&gt;25000,150,IF(DL159&gt;15000,130,IF(DL159&gt;10000,110,0)))))</f>
        <v>150</v>
      </c>
      <c r="DP159">
        <f>DL159-DM159-DN159-DO159</f>
        <v>37090</v>
      </c>
      <c r="DQ159">
        <f>_xlfn.XLOOKUP(B159,'[12]february-2026'!$A:$A,'[12]february-2026'!$C:$C,0,0)</f>
        <v>29800</v>
      </c>
      <c r="DR159">
        <f>DQ159*0.18</f>
        <v>5364</v>
      </c>
      <c r="DS159">
        <f>DQ159*0.12</f>
        <v>3576</v>
      </c>
      <c r="DT159">
        <f>_xlfn.XLOOKUP(B159,'[12]february-2026'!$A:$A,'[12]february-2026'!$D:$D,0,0)</f>
        <v>0</v>
      </c>
      <c r="DU159">
        <f>_xlfn.XLOOKUP(B159,'[12]february-2026'!$A:$A,'[12]february-2026'!$G:$G,0,0)</f>
        <v>500</v>
      </c>
      <c r="DV159">
        <f>IF(DQ159&gt;0,SUM(DQ159:DU159),0)</f>
        <v>39240</v>
      </c>
      <c r="DW159">
        <f>_xlfn.XLOOKUP(B159,'[12]february-2026'!$A:$A,'[12]february-2026'!$H:$H,0,0)</f>
        <v>2000</v>
      </c>
      <c r="DX159">
        <f>_xlfn.XLOOKUP(B159,'[12]february-2026'!$A:$A,'[12]february-2026'!$I:$I,0,0)</f>
        <v>0</v>
      </c>
      <c r="DY159">
        <f>IF($F159="YES",0,IF(DV159&gt;40000,200,IF(DV159&gt;25000,150,IF(DV159&gt;15000,130,IF(DV159&gt;10000,110,0)))))</f>
        <v>150</v>
      </c>
      <c r="DZ159">
        <f>DV159-DW159-DX159-DY159</f>
        <v>37090</v>
      </c>
      <c r="EA159">
        <f>DV159+DL159+DB159+CR159+CH159+BX159+BN159+BD159+AS159+AI159+Y159+O159+H159+I159</f>
        <v>471844</v>
      </c>
      <c r="EB159">
        <f>DY159+DO159+DE159+CU159+CK159+CA159+BQ159+BG159+AV159+AL159+AB159+R159</f>
        <v>1800</v>
      </c>
      <c r="EC159">
        <f>IF(EA159&gt;0,50000,0)</f>
        <v>50000</v>
      </c>
      <c r="ED159">
        <v>0</v>
      </c>
      <c r="EE159">
        <f>EA159-EB159-EC159</f>
        <v>420044</v>
      </c>
      <c r="EF159">
        <f>DW159+DM159+DC159+CS159+CI159+BY159+BO159+BE159+AT159+AJ159+Z159+P159</f>
        <v>12000</v>
      </c>
      <c r="EG159">
        <f>DX159+DN159+DD159+CT159+CJ159+BZ159+BP159+BF159+AU159+AK159+AA159+Q159</f>
        <v>0</v>
      </c>
      <c r="EH159">
        <v>0</v>
      </c>
      <c r="EI159">
        <v>0</v>
      </c>
      <c r="EJ159">
        <v>0</v>
      </c>
      <c r="EK159">
        <v>0</v>
      </c>
      <c r="EL159">
        <v>0</v>
      </c>
      <c r="EM159">
        <v>0</v>
      </c>
      <c r="EN159">
        <v>0</v>
      </c>
      <c r="EO159">
        <v>0</v>
      </c>
      <c r="EP159">
        <v>0</v>
      </c>
      <c r="EQ159">
        <v>0</v>
      </c>
      <c r="ER159">
        <f>SUM(EF159:EQ159)</f>
        <v>12000</v>
      </c>
      <c r="ES159">
        <f>IF(ER159&gt;=150000,150000,ER159)</f>
        <v>12000</v>
      </c>
      <c r="ET159">
        <f>EE159-ES159</f>
        <v>408044</v>
      </c>
      <c r="EU159">
        <v>0</v>
      </c>
      <c r="EV159">
        <v>0</v>
      </c>
      <c r="EW159">
        <v>0</v>
      </c>
      <c r="EX159">
        <v>0</v>
      </c>
      <c r="EY159">
        <v>0</v>
      </c>
      <c r="EZ159">
        <v>0</v>
      </c>
      <c r="FA159">
        <v>0</v>
      </c>
      <c r="FB159">
        <f>SUM(EU159:FA159)+(IF(F159="YES",50000,0))</f>
        <v>0</v>
      </c>
      <c r="FC159">
        <f>ET159-FB159</f>
        <v>408044</v>
      </c>
      <c r="FD159">
        <f>ROUND(IF(FC159&gt;0,IF(FC159&gt;500000,12500,(FC159-250000)*0.05),0),0)</f>
        <v>7902</v>
      </c>
      <c r="FE159">
        <f>IF(ROUND(IF(FC159&gt;0,IF(FC159&gt;1000000,25000,(FC159-500000)*0.2),0),0)&lt;0,0,ROUND(IF(FC159&gt;0,IF(FC159&gt;1000000,25000,(FC159-500000)*0.2),0),0))</f>
        <v>0</v>
      </c>
      <c r="FF159">
        <f>FD159+FE159</f>
        <v>7902</v>
      </c>
      <c r="FG159">
        <f>IF(FF159&lt;12500,0,FF159)</f>
        <v>0</v>
      </c>
      <c r="FH159">
        <f>FG159*0.04</f>
        <v>0</v>
      </c>
      <c r="FI159">
        <f>ROUND(FH159+FG159,0)</f>
        <v>0</v>
      </c>
      <c r="FJ159">
        <v>0</v>
      </c>
      <c r="FK159">
        <f>FI159-FJ159</f>
        <v>0</v>
      </c>
      <c r="FL159" t="b">
        <f>IF(EA159&gt;500000,TRUE,FALSE)</f>
        <v>0</v>
      </c>
      <c r="FM159">
        <f ca="1">IF(FL159,RANDBETWEEN(500,1000),RANDBETWEEN(1000,3000))</f>
        <v>1911</v>
      </c>
      <c r="FN159">
        <f ca="1">EA159+FM159</f>
        <v>473755</v>
      </c>
      <c r="FO159">
        <f>IF(EA159&gt;0,75000,0)</f>
        <v>75000</v>
      </c>
      <c r="FP159">
        <f ca="1">FN159-FO159</f>
        <v>398755</v>
      </c>
      <c r="FQ159">
        <f ca="1">IF(FP159&gt;2400000,FP159-2400000,0)</f>
        <v>0</v>
      </c>
      <c r="FR159">
        <f ca="1">FQ159*0.3</f>
        <v>0</v>
      </c>
      <c r="FS159">
        <f ca="1">IF(FP159&gt;2000000,FP159-2000000,0)</f>
        <v>0</v>
      </c>
      <c r="FT159">
        <f ca="1">FS159*0.25</f>
        <v>0</v>
      </c>
      <c r="FU159">
        <f ca="1">IF(FP159&gt;1600000,FP159-1600000-FQ159,0)</f>
        <v>0</v>
      </c>
      <c r="FV159">
        <f ca="1">FU159*0.2</f>
        <v>0</v>
      </c>
      <c r="FW159">
        <f ca="1">IF(FP159&gt;1200000,FP159-1200000-IF(F159="YES",50000,0)-FU159,0)</f>
        <v>0</v>
      </c>
      <c r="FX159">
        <f ca="1">FW159*0.15</f>
        <v>0</v>
      </c>
      <c r="FY159">
        <f ca="1">IF(FP159&gt;800000,FP159-800000-FQ159-FU159-FW159,0)</f>
        <v>0</v>
      </c>
      <c r="FZ159">
        <f ca="1">FY159*0.1</f>
        <v>0</v>
      </c>
      <c r="GA159">
        <f ca="1">IF(FP159&gt;400000,FP159-400000-FQ159-FU159-FW159-FY159,0)</f>
        <v>0</v>
      </c>
      <c r="GB159">
        <f ca="1">GA159*0.05</f>
        <v>0</v>
      </c>
      <c r="GC159">
        <f ca="1">ROUND(FR159+FT159+FV159+FX159+FZ159+GB159,0)</f>
        <v>0</v>
      </c>
      <c r="GD159">
        <f ca="1">IF(FP159&gt;1200000,FP159,0)</f>
        <v>0</v>
      </c>
      <c r="GE159">
        <f ca="1">IF(FP159&gt;1200000,GD159-1200000,0)</f>
        <v>0</v>
      </c>
      <c r="GF159">
        <f ca="1">IF(FP159&lt;1200001,MIN(GC159,60000),0)</f>
        <v>0</v>
      </c>
      <c r="GG159">
        <f ca="1">IF(FP159&gt;1200000,GC159-GE159,0)</f>
        <v>0</v>
      </c>
      <c r="GH159" t="b">
        <f ca="1">IF(GG159&gt;0,TRUE,FALSE)</f>
        <v>0</v>
      </c>
      <c r="GI159">
        <f ca="1">IF(GH159,GG159,0)</f>
        <v>0</v>
      </c>
      <c r="GJ159">
        <f ca="1">GF159+GI159</f>
        <v>0</v>
      </c>
      <c r="GK159">
        <f ca="1">ROUND(GC159-GJ159,0)</f>
        <v>0</v>
      </c>
      <c r="GL159">
        <f ca="1">GK159*0.04</f>
        <v>0</v>
      </c>
      <c r="GM159">
        <f ca="1">ROUNDUP(GK159+GL159,0)</f>
        <v>0</v>
      </c>
    </row>
    <row r="160" spans="1:195" x14ac:dyDescent="0.25">
      <c r="A160">
        <f>_xlfn.AGGREGATE(3,5,$B$2:B160)</f>
        <v>159</v>
      </c>
      <c r="B160" t="s">
        <v>431</v>
      </c>
      <c r="C160" t="s">
        <v>432</v>
      </c>
      <c r="D160" t="s">
        <v>796</v>
      </c>
      <c r="E160" t="s">
        <v>834</v>
      </c>
      <c r="F160" t="s">
        <v>959</v>
      </c>
      <c r="G160" t="s">
        <v>887</v>
      </c>
      <c r="H160">
        <f>IF(_xlfn.DAYS("31-03-2025",G160)&gt;=180,6800,0)</f>
        <v>6800</v>
      </c>
      <c r="I160">
        <f>_xlfn.XLOOKUP(B160,'[1]march-2025'!$A:$A,'[1]march-2025'!$J:$J,0,0)</f>
        <v>0</v>
      </c>
      <c r="J160">
        <f>_xlfn.XLOOKUP(B160,'[1]march-2025'!$A:$A,'[1]march-2025'!$C:$C,0,0)</f>
        <v>51700</v>
      </c>
      <c r="K160">
        <f>J160*0.14</f>
        <v>7238.0000000000009</v>
      </c>
      <c r="L160">
        <f>J160*0.12</f>
        <v>6204</v>
      </c>
      <c r="M160">
        <f>_xlfn.XLOOKUP(B160,'[1]march-2025'!$A:$A,'[1]march-2025'!$D:$D,0,0)</f>
        <v>400</v>
      </c>
      <c r="N160">
        <f>_xlfn.XLOOKUP(B160,'[1]march-2025'!$A:$A,'[1]march-2025'!$G:$G,0,0)</f>
        <v>500</v>
      </c>
      <c r="O160">
        <f>IF(J160&gt;0,SUM(J160:N160),0)</f>
        <v>66042</v>
      </c>
      <c r="P160">
        <f>_xlfn.XLOOKUP(B160,'[1]march-2025'!$A:$A,'[1]march-2025'!$H:$H,0,0)</f>
        <v>6000</v>
      </c>
      <c r="Q160">
        <f>_xlfn.XLOOKUP(B160,'[1]march-2025'!$A:$A,'[1]march-2025'!$I:$I,0,0)</f>
        <v>60</v>
      </c>
      <c r="R160">
        <f>IF($F160="YES",0,IF(O160&gt;40000,200,IF(O160&gt;25000,150,IF(O160&gt;15000,130,IF(O160&gt;10000,110,0)))))</f>
        <v>200</v>
      </c>
      <c r="S160">
        <f>O160-P160-Q160-R160</f>
        <v>59782</v>
      </c>
      <c r="T160">
        <f>_xlfn.XLOOKUP(B160,'[2]april-2025'!$A:$A,'[2]april-2025'!$C:$C,0,0)</f>
        <v>51700</v>
      </c>
      <c r="U160">
        <f>T160*0.18</f>
        <v>9306</v>
      </c>
      <c r="V160">
        <f>T160*0.12</f>
        <v>6204</v>
      </c>
      <c r="W160">
        <f>_xlfn.XLOOKUP(B160,'[2]april-2025'!$A:$A,'[2]april-2025'!$D:$D,0,0)</f>
        <v>400</v>
      </c>
      <c r="X160">
        <f>_xlfn.XLOOKUP(B160,'[2]april-2025'!$A:$A,'[2]april-2025'!$G:$G,0,0)</f>
        <v>500</v>
      </c>
      <c r="Y160">
        <f>IF(T160&gt;0,SUM(T160:X160),0)</f>
        <v>68110</v>
      </c>
      <c r="Z160">
        <f>_xlfn.XLOOKUP(B160,'[2]april-2025'!$A:$A,'[2]april-2025'!$H:$H,0,0)</f>
        <v>6000</v>
      </c>
      <c r="AA160">
        <f>_xlfn.XLOOKUP(B160,'[2]april-2025'!$A:$A,'[2]april-2025'!$I:$I,0,0)</f>
        <v>60</v>
      </c>
      <c r="AB160">
        <f>IF($F160="YES",0,IF(Y160&gt;40000,200,IF(Y160&gt;25000,150,IF(Y160&gt;15000,130,IF(Y160&gt;10000,110,0)))))</f>
        <v>200</v>
      </c>
      <c r="AC160">
        <f>Y160-Z160-AA160-AB160</f>
        <v>61850</v>
      </c>
      <c r="AD160">
        <f>_xlfn.XLOOKUP(B160,'[3]may-2025'!$A:$A,'[3]may-2025'!$C:$C,0,0)</f>
        <v>51700</v>
      </c>
      <c r="AE160">
        <f>AD160*0.18</f>
        <v>9306</v>
      </c>
      <c r="AF160">
        <f>AD160*0.12</f>
        <v>6204</v>
      </c>
      <c r="AG160">
        <f>_xlfn.XLOOKUP(B160,'[3]may-2025'!$A:$A,'[3]may-2025'!$D:$D,0,0)</f>
        <v>400</v>
      </c>
      <c r="AH160">
        <f>_xlfn.XLOOKUP(B160,'[3]may-2025'!$A:$A,'[3]may-2025'!$G:$G,0,0)</f>
        <v>500</v>
      </c>
      <c r="AI160">
        <f>IF(AD160&gt;0,SUM(AD160:AH160),0)</f>
        <v>68110</v>
      </c>
      <c r="AJ160">
        <f>_xlfn.XLOOKUP(B160,'[3]may-2025'!$A:$A,'[3]may-2025'!$H:$H,0,0)</f>
        <v>6000</v>
      </c>
      <c r="AK160">
        <f>_xlfn.XLOOKUP(B160,'[3]may-2025'!$A:$A,'[3]may-2025'!$I:$I,0,0)</f>
        <v>60</v>
      </c>
      <c r="AL160">
        <f>IF($F160="YES",0,IF(AI160&gt;40000,200,IF(AI160&gt;25000,150,IF(AI160&gt;15000,130,IF(AI160&gt;10000,110,0)))))</f>
        <v>200</v>
      </c>
      <c r="AM160">
        <f>AI160-AJ160-AK160-AL160</f>
        <v>61850</v>
      </c>
      <c r="AN160">
        <f>_xlfn.XLOOKUP(B160,'[4]june-2025'!$A:$A,'[4]june-2025'!$C:$C,0,0)</f>
        <v>51700</v>
      </c>
      <c r="AO160">
        <f>AN160*0.18</f>
        <v>9306</v>
      </c>
      <c r="AP160">
        <f>AN160*0.12</f>
        <v>6204</v>
      </c>
      <c r="AQ160">
        <f>_xlfn.XLOOKUP(B160,'[4]june-2025'!$A:$A,'[4]june-2025'!$D:$D,0,0)</f>
        <v>400</v>
      </c>
      <c r="AR160">
        <f>_xlfn.XLOOKUP(B160,'[4]june-2025'!$A:$A,'[4]june-2025'!$G:$G,0,0)</f>
        <v>500</v>
      </c>
      <c r="AS160">
        <f>IF(AN160&gt;0,SUM(AN160:AR160),0)</f>
        <v>68110</v>
      </c>
      <c r="AT160">
        <f>_xlfn.XLOOKUP(B160,'[4]june-2025'!$A:$A,'[4]june-2025'!$H:$H,0,0)</f>
        <v>6000</v>
      </c>
      <c r="AU160">
        <f>_xlfn.XLOOKUP(B160,'[4]june-2025'!$A:$A,'[4]june-2025'!$I:$I,0,0)</f>
        <v>60</v>
      </c>
      <c r="AV160">
        <f>IF($F160="YES",0,IF(AS160&gt;40000,200,IF(AS160&gt;25000,150,IF(AS160&gt;15000,130,IF(AS160&gt;10000,110,0)))))</f>
        <v>200</v>
      </c>
      <c r="AW160">
        <f>AS160-AT160-AU160-AV160</f>
        <v>61850</v>
      </c>
      <c r="AX160">
        <f>_xlfn.XLOOKUP(B160,'[5]july-2025'!$A:$A,'[5]july-2025'!$C:$C,0,0)</f>
        <v>53300</v>
      </c>
      <c r="AY160">
        <f>AX160*0.18</f>
        <v>9594</v>
      </c>
      <c r="AZ160">
        <v>0</v>
      </c>
      <c r="BA160">
        <f>AX160*0.12</f>
        <v>6396</v>
      </c>
      <c r="BB160">
        <f>_xlfn.XLOOKUP(B160,'[5]july-2025'!$A:$A,'[5]july-2025'!$D:$D,0,0)</f>
        <v>400</v>
      </c>
      <c r="BC160">
        <f>_xlfn.XLOOKUP(B160,'[5]july-2025'!$A:$A,'[5]july-2025'!$G:$G,0,0)</f>
        <v>500</v>
      </c>
      <c r="BD160">
        <f>IF(AX160&gt;0,SUM(AX160:BC160),0)</f>
        <v>70190</v>
      </c>
      <c r="BE160">
        <f>_xlfn.XLOOKUP(B160,'[5]july-2025'!$A:$A,'[5]july-2025'!$H:$H,0,0)</f>
        <v>6000</v>
      </c>
      <c r="BF160">
        <f>_xlfn.XLOOKUP(B160,'[5]july-2025'!$A:$A,'[5]july-2025'!$I:$I,0,0)</f>
        <v>60</v>
      </c>
      <c r="BG160">
        <f>IF($F160="YES",0,IF(BD160&gt;40000,200,IF(BD160&gt;25000,150,IF(BD160&gt;15000,130,IF(BD160&gt;10000,110,0)))))</f>
        <v>200</v>
      </c>
      <c r="BH160">
        <f>BD160-BE160-BF160-BG160</f>
        <v>63930</v>
      </c>
      <c r="BI160">
        <f>_xlfn.XLOOKUP(B160,'[6]august-2025'!$A:$A,'[6]august-2025'!$C:$C,0,0)</f>
        <v>53300</v>
      </c>
      <c r="BJ160">
        <f>BI160*0.18</f>
        <v>9594</v>
      </c>
      <c r="BK160">
        <f>BI160*0.12</f>
        <v>6396</v>
      </c>
      <c r="BL160">
        <f>_xlfn.XLOOKUP(B160,'[6]august-2025'!$A:$A,'[6]august-2025'!$D:$D,0,0)</f>
        <v>400</v>
      </c>
      <c r="BM160">
        <f>_xlfn.XLOOKUP(B160,'[6]august-2025'!$A:$A,'[6]august-2025'!$G:$G,0,0)</f>
        <v>500</v>
      </c>
      <c r="BN160">
        <f>IF(BI160&gt;0,SUM(BI160:BM160),0)</f>
        <v>70190</v>
      </c>
      <c r="BO160">
        <f>_xlfn.XLOOKUP(B160,'[6]august-2025'!$A:$A,'[6]august-2025'!$H:$H,0,0)</f>
        <v>6000</v>
      </c>
      <c r="BP160">
        <f>_xlfn.XLOOKUP(B160,'[6]august-2025'!$A:$A,'[6]august-2025'!$I:$I,0,0)</f>
        <v>60</v>
      </c>
      <c r="BQ160">
        <f>IF($F160="YES",0,IF(BN160&gt;40000,200,IF(BN160&gt;25000,150,IF(BN160&gt;15000,130,IF(BN160&gt;10000,110,0)))))</f>
        <v>200</v>
      </c>
      <c r="BR160">
        <f>BN160-BO160-BP160-BQ160</f>
        <v>63930</v>
      </c>
      <c r="BS160">
        <f>_xlfn.XLOOKUP(B160,'[7]september-2025'!$A:$A,'[7]september-2025'!$C:$C,0,0)</f>
        <v>53300</v>
      </c>
      <c r="BT160">
        <f>BS160*0.18</f>
        <v>9594</v>
      </c>
      <c r="BU160">
        <f>BS160*0.12</f>
        <v>6396</v>
      </c>
      <c r="BV160">
        <f>_xlfn.XLOOKUP(B160,'[7]september-2025'!$A:$A,'[7]september-2025'!$D:$D,0,0)</f>
        <v>400</v>
      </c>
      <c r="BW160">
        <f>_xlfn.XLOOKUP(B160,'[7]september-2025'!$A:$A,'[7]september-2025'!$G:$G,0,0)</f>
        <v>500</v>
      </c>
      <c r="BX160">
        <f>IF(BS160&gt;0,SUM(BS160:BW160),0)</f>
        <v>70190</v>
      </c>
      <c r="BY160">
        <f>_xlfn.XLOOKUP(B160,'[7]september-2025'!$A:$A,'[7]september-2025'!$H:$H,0,0)</f>
        <v>6000</v>
      </c>
      <c r="BZ160">
        <f>_xlfn.XLOOKUP(B160,'[7]september-2025'!$A:$A,'[7]september-2025'!$I:$I,0,0)</f>
        <v>60</v>
      </c>
      <c r="CA160">
        <f>IF($F160="YES",0,IF(BX160&gt;40000,200,IF(BX160&gt;25000,150,IF(BX160&gt;15000,130,IF(BX160&gt;10000,110,0)))))</f>
        <v>200</v>
      </c>
      <c r="CB160">
        <f>BX160-BY160-BZ160-CA160</f>
        <v>63930</v>
      </c>
      <c r="CC160">
        <f>_xlfn.XLOOKUP(B160,'[8]october-2025'!$A:$A,'[8]october-2025'!$C:$C,0,0)</f>
        <v>53300</v>
      </c>
      <c r="CD160">
        <f>CC160*0.18</f>
        <v>9594</v>
      </c>
      <c r="CE160">
        <f>CC160*0.12</f>
        <v>6396</v>
      </c>
      <c r="CF160">
        <f>_xlfn.XLOOKUP(B160,'[8]october-2025'!$A:$A,'[8]october-2025'!$D:$D,0,0)</f>
        <v>400</v>
      </c>
      <c r="CG160">
        <f>_xlfn.XLOOKUP(B160,'[8]october-2025'!$A:$A,'[8]october-2025'!$G:$G,0,0)</f>
        <v>500</v>
      </c>
      <c r="CH160">
        <f>IF(CC160&gt;0,SUM(CC160:CG160),0)</f>
        <v>70190</v>
      </c>
      <c r="CI160">
        <f>_xlfn.XLOOKUP(B160,'[8]october-2025'!$A:$A,'[8]october-2025'!$H:$H,0,0)</f>
        <v>6000</v>
      </c>
      <c r="CJ160">
        <f>_xlfn.XLOOKUP(B160,'[8]october-2025'!$A:$A,'[8]october-2025'!$I:$I,0,0)</f>
        <v>60</v>
      </c>
      <c r="CK160">
        <f>IF($F160="YES",0,IF(CH160&gt;40000,200,IF(CH160&gt;25000,150,IF(CH160&gt;15000,130,IF(CH160&gt;10000,110,0)))))</f>
        <v>200</v>
      </c>
      <c r="CL160">
        <f>CH160-CI160-CJ160-CK160</f>
        <v>63930</v>
      </c>
      <c r="CM160">
        <f>_xlfn.XLOOKUP(B160,'[9]november-2025'!$A:$A,'[9]november-2025'!$C:$C,0,0)</f>
        <v>53300</v>
      </c>
      <c r="CN160">
        <f>CM160*0.18</f>
        <v>9594</v>
      </c>
      <c r="CO160">
        <f>CM160*0.12</f>
        <v>6396</v>
      </c>
      <c r="CP160">
        <f>_xlfn.XLOOKUP(B160,'[9]november-2025'!$A:$A,'[9]november-2025'!$D:$D,0,0)</f>
        <v>400</v>
      </c>
      <c r="CQ160">
        <f>_xlfn.XLOOKUP(B160,'[9]november-2025'!$A:$A,'[9]november-2025'!$G:$G,0,0)</f>
        <v>500</v>
      </c>
      <c r="CR160">
        <f>IF(CM160&gt;0,SUM(CM160:CQ160),0)</f>
        <v>70190</v>
      </c>
      <c r="CS160">
        <f>_xlfn.XLOOKUP(B160,'[9]november-2025'!$A:$A,'[9]november-2025'!$H:$H,0,0)</f>
        <v>6000</v>
      </c>
      <c r="CT160">
        <f>_xlfn.XLOOKUP(B160,'[9]november-2025'!$A:$A,'[9]november-2025'!$I:$I,0,0)</f>
        <v>60</v>
      </c>
      <c r="CU160">
        <f>IF($F160="YES",0,IF(CR160&gt;40000,200,IF(CR160&gt;25000,150,IF(CR160&gt;15000,130,IF(CR160&gt;10000,110,0)))))</f>
        <v>200</v>
      </c>
      <c r="CV160">
        <f>CR160-CS160-CT160-CU160</f>
        <v>63930</v>
      </c>
      <c r="CW160">
        <f>_xlfn.XLOOKUP(B160,'[10]december-2025'!$A:$A,'[10]december-2025'!$C:$C,0,0)</f>
        <v>53300</v>
      </c>
      <c r="CX160">
        <f>ROUND(CW160*0.18,0)</f>
        <v>9594</v>
      </c>
      <c r="CY160">
        <f>ROUND(CW160*0.12,0)</f>
        <v>6396</v>
      </c>
      <c r="CZ160">
        <f>_xlfn.XLOOKUP(B160,'[10]december-2025'!$A:$A,'[10]december-2025'!$D:$D,0,0)</f>
        <v>400</v>
      </c>
      <c r="DA160">
        <f>_xlfn.XLOOKUP(B160,'[10]december-2025'!$A:$A,'[10]december-2025'!$G:$G,0,0)</f>
        <v>500</v>
      </c>
      <c r="DB160">
        <f>IF(CW160&gt;0,SUM(CW160:DA160),0)</f>
        <v>70190</v>
      </c>
      <c r="DC160">
        <f>_xlfn.XLOOKUP(B160,'[10]december-2025'!$A:$A,'[10]december-2025'!$H:$H,0,0)</f>
        <v>6000</v>
      </c>
      <c r="DD160">
        <f>_xlfn.XLOOKUP(B160,'[10]december-2025'!$A:$A,'[10]december-2025'!$I:$I,0,0)</f>
        <v>60</v>
      </c>
      <c r="DE160">
        <f>IF($F160="YES",0,IF(DB160&gt;40000,200,IF(DB160&gt;25000,150,IF(DB160&gt;15000,130,IF(DB160&gt;10000,110,0)))))</f>
        <v>200</v>
      </c>
      <c r="DF160">
        <f>DB160-DC160-DD160-DE160</f>
        <v>63930</v>
      </c>
      <c r="DG160">
        <f>_xlfn.XLOOKUP(B160,'[11]january-2026'!$A:$A,'[11]january-2026'!$C:$C,0,0)</f>
        <v>53300</v>
      </c>
      <c r="DH160">
        <f>DG160*0.18</f>
        <v>9594</v>
      </c>
      <c r="DI160">
        <f>DG160*0.12</f>
        <v>6396</v>
      </c>
      <c r="DJ160">
        <f>_xlfn.XLOOKUP(B160,'[11]january-2026'!$A:$A,'[11]january-2026'!$D:$D,0,0)</f>
        <v>400</v>
      </c>
      <c r="DK160">
        <f>_xlfn.XLOOKUP(B160,'[11]january-2026'!$A:$A,'[11]january-2026'!$G:$G,0,0)</f>
        <v>500</v>
      </c>
      <c r="DL160">
        <f>IF(DG160&gt;0,SUM(DG160:DK160),0)</f>
        <v>70190</v>
      </c>
      <c r="DM160">
        <f>_xlfn.XLOOKUP(B160,'[11]january-2026'!$A:$A,'[11]january-2026'!$H:$H,0,0)</f>
        <v>6000</v>
      </c>
      <c r="DN160">
        <f>_xlfn.XLOOKUP(B160,'[11]january-2026'!$A:$A,'[11]january-2026'!$I:$I,0,0)</f>
        <v>60</v>
      </c>
      <c r="DO160">
        <f>IF($F160="YES",0,IF(DL160&gt;40000,200,IF(DL160&gt;25000,150,IF(DL160&gt;15000,130,IF(DL160&gt;10000,110,0)))))</f>
        <v>200</v>
      </c>
      <c r="DP160">
        <f>DL160-DM160-DN160-DO160</f>
        <v>63930</v>
      </c>
      <c r="DQ160">
        <f>_xlfn.XLOOKUP(B160,'[12]february-2026'!$A:$A,'[12]february-2026'!$C:$C,0,0)</f>
        <v>53300</v>
      </c>
      <c r="DR160">
        <f>DQ160*0.18</f>
        <v>9594</v>
      </c>
      <c r="DS160">
        <f>DQ160*0.12</f>
        <v>6396</v>
      </c>
      <c r="DT160">
        <f>_xlfn.XLOOKUP(B160,'[12]february-2026'!$A:$A,'[12]february-2026'!$D:$D,0,0)</f>
        <v>400</v>
      </c>
      <c r="DU160">
        <f>_xlfn.XLOOKUP(B160,'[12]february-2026'!$A:$A,'[12]february-2026'!$G:$G,0,0)</f>
        <v>500</v>
      </c>
      <c r="DV160">
        <f>IF(DQ160&gt;0,SUM(DQ160:DU160),0)</f>
        <v>70190</v>
      </c>
      <c r="DW160">
        <f>_xlfn.XLOOKUP(B160,'[12]february-2026'!$A:$A,'[12]february-2026'!$H:$H,0,0)</f>
        <v>6000</v>
      </c>
      <c r="DX160">
        <f>_xlfn.XLOOKUP(B160,'[12]february-2026'!$A:$A,'[12]february-2026'!$I:$I,0,0)</f>
        <v>60</v>
      </c>
      <c r="DY160">
        <f>IF($F160="YES",0,IF(DV160&gt;40000,200,IF(DV160&gt;25000,150,IF(DV160&gt;15000,130,IF(DV160&gt;10000,110,0)))))</f>
        <v>200</v>
      </c>
      <c r="DZ160">
        <f>DV160-DW160-DX160-DY160</f>
        <v>63930</v>
      </c>
      <c r="EA160">
        <f>DV160+DL160+DB160+CR160+CH160+BX160+BN160+BD160+AS160+AI160+Y160+O160+H160+I160</f>
        <v>838692</v>
      </c>
      <c r="EB160">
        <f>DY160+DO160+DE160+CU160+CK160+CA160+BQ160+BG160+AV160+AL160+AB160+R160</f>
        <v>2400</v>
      </c>
      <c r="EC160">
        <f>IF(EA160&gt;0,50000,0)</f>
        <v>50000</v>
      </c>
      <c r="ED160">
        <v>0</v>
      </c>
      <c r="EE160">
        <f>EA160-EB160-EC160</f>
        <v>786292</v>
      </c>
      <c r="EF160">
        <f>DW160+DM160+DC160+CS160+CI160+BY160+BO160+BE160+AT160+AJ160+Z160+P160</f>
        <v>72000</v>
      </c>
      <c r="EG160">
        <f>DX160+DN160+DD160+CT160+CJ160+BZ160+BP160+BF160+AU160+AK160+AA160+Q160</f>
        <v>720</v>
      </c>
      <c r="EH160">
        <v>0</v>
      </c>
      <c r="EI160">
        <v>0</v>
      </c>
      <c r="EJ160">
        <v>0</v>
      </c>
      <c r="EK160">
        <v>0</v>
      </c>
      <c r="EL160">
        <v>0</v>
      </c>
      <c r="EM160">
        <v>0</v>
      </c>
      <c r="EN160">
        <v>0</v>
      </c>
      <c r="EO160">
        <v>0</v>
      </c>
      <c r="EP160">
        <v>0</v>
      </c>
      <c r="EQ160">
        <v>0</v>
      </c>
      <c r="ER160">
        <f>SUM(EF160:EQ160)</f>
        <v>72720</v>
      </c>
      <c r="ES160">
        <f>IF(ER160&gt;=150000,150000,ER160)</f>
        <v>72720</v>
      </c>
      <c r="ET160">
        <f>EE160-ES160</f>
        <v>713572</v>
      </c>
      <c r="EU160">
        <v>0</v>
      </c>
      <c r="EV160">
        <v>0</v>
      </c>
      <c r="EW160">
        <v>0</v>
      </c>
      <c r="EX160">
        <v>0</v>
      </c>
      <c r="EY160">
        <v>0</v>
      </c>
      <c r="EZ160">
        <v>0</v>
      </c>
      <c r="FA160">
        <v>0</v>
      </c>
      <c r="FB160">
        <f>SUM(EU160:FA160)+(IF(F160="YES",50000,0))</f>
        <v>0</v>
      </c>
      <c r="FC160">
        <f>ET160-FB160</f>
        <v>713572</v>
      </c>
      <c r="FD160">
        <f>ROUND(IF(FC160&gt;0,IF(FC160&gt;500000,12500,(FC160-250000)*0.05),0),0)</f>
        <v>12500</v>
      </c>
      <c r="FE160">
        <f>IF(ROUND(IF(FC160&gt;0,IF(FC160&gt;1000000,25000,(FC160-500000)*0.2),0),0)&lt;0,0,ROUND(IF(FC160&gt;0,IF(FC160&gt;1000000,25000,(FC160-500000)*0.2),0),0))</f>
        <v>42714</v>
      </c>
      <c r="FF160">
        <f>FD160+FE160</f>
        <v>55214</v>
      </c>
      <c r="FG160">
        <f>IF(FF160&lt;12500,0,FF160)</f>
        <v>55214</v>
      </c>
      <c r="FH160">
        <f>FG160*0.04</f>
        <v>2208.56</v>
      </c>
      <c r="FI160">
        <f>ROUND(FH160+FG160,0)</f>
        <v>57423</v>
      </c>
      <c r="FJ160">
        <v>0</v>
      </c>
      <c r="FK160">
        <f>FI160-FJ160</f>
        <v>57423</v>
      </c>
      <c r="FL160" t="b">
        <f>IF(EA160&gt;500000,TRUE,FALSE)</f>
        <v>1</v>
      </c>
      <c r="FM160">
        <f ca="1">IF(FL160,RANDBETWEEN(500,1000),RANDBETWEEN(1000,3000))</f>
        <v>934</v>
      </c>
      <c r="FN160">
        <f ca="1">EA160+FM160</f>
        <v>839626</v>
      </c>
      <c r="FO160">
        <f>IF(EA160&gt;0,75000,0)</f>
        <v>75000</v>
      </c>
      <c r="FP160">
        <f ca="1">FN160-FO160</f>
        <v>764626</v>
      </c>
      <c r="FQ160">
        <f ca="1">IF(FP160&gt;2400000,FP160-2400000,0)</f>
        <v>0</v>
      </c>
      <c r="FR160">
        <f ca="1">FQ160*0.3</f>
        <v>0</v>
      </c>
      <c r="FS160">
        <f ca="1">IF(FP160&gt;2000000,FP160-2000000,0)</f>
        <v>0</v>
      </c>
      <c r="FT160">
        <f ca="1">FS160*0.25</f>
        <v>0</v>
      </c>
      <c r="FU160">
        <f ca="1">IF(FP160&gt;1600000,FP160-1600000-FQ160,0)</f>
        <v>0</v>
      </c>
      <c r="FV160">
        <f ca="1">FU160*0.2</f>
        <v>0</v>
      </c>
      <c r="FW160">
        <f ca="1">IF(FP160&gt;1200000,FP160-1200000-IF(F160="YES",50000,0)-FU160,0)</f>
        <v>0</v>
      </c>
      <c r="FX160">
        <f ca="1">FW160*0.15</f>
        <v>0</v>
      </c>
      <c r="FY160">
        <f ca="1">IF(FP160&gt;800000,FP160-800000-FQ160-FU160-FW160,0)</f>
        <v>0</v>
      </c>
      <c r="FZ160">
        <f ca="1">FY160*0.1</f>
        <v>0</v>
      </c>
      <c r="GA160">
        <f ca="1">IF(FP160&gt;400000,FP160-400000-FQ160-FU160-FW160-FY160,0)</f>
        <v>364626</v>
      </c>
      <c r="GB160">
        <f ca="1">GA160*0.05</f>
        <v>18231.3</v>
      </c>
      <c r="GC160">
        <f ca="1">ROUND(FR160+FT160+FV160+FX160+FZ160+GB160,0)</f>
        <v>18231</v>
      </c>
      <c r="GD160">
        <f ca="1">IF(FP160&gt;1200000,FP160,0)</f>
        <v>0</v>
      </c>
      <c r="GE160">
        <f ca="1">IF(FP160&gt;1200000,GD160-1200000,0)</f>
        <v>0</v>
      </c>
      <c r="GF160">
        <f ca="1">IF(FP160&lt;1200001,MIN(GC160,60000),0)</f>
        <v>18231</v>
      </c>
      <c r="GG160">
        <f ca="1">IF(FP160&gt;1200000,GC160-GE160,0)</f>
        <v>0</v>
      </c>
      <c r="GH160" t="b">
        <f ca="1">IF(GG160&gt;0,TRUE,FALSE)</f>
        <v>0</v>
      </c>
      <c r="GI160">
        <f ca="1">IF(GH160,GG160,0)</f>
        <v>0</v>
      </c>
      <c r="GJ160">
        <f ca="1">GF160+GI160</f>
        <v>18231</v>
      </c>
      <c r="GK160">
        <f ca="1">ROUND(GC160-GJ160,0)</f>
        <v>0</v>
      </c>
      <c r="GL160">
        <f ca="1">GK160*0.04</f>
        <v>0</v>
      </c>
      <c r="GM160">
        <f ca="1">ROUNDUP(GK160+GL160,0)</f>
        <v>0</v>
      </c>
    </row>
    <row r="161" spans="1:195" x14ac:dyDescent="0.25">
      <c r="A161">
        <f>_xlfn.AGGREGATE(3,5,$B$2:B161)</f>
        <v>160</v>
      </c>
      <c r="B161" t="s">
        <v>433</v>
      </c>
      <c r="C161" t="s">
        <v>434</v>
      </c>
      <c r="D161" t="s">
        <v>796</v>
      </c>
      <c r="E161" t="s">
        <v>833</v>
      </c>
      <c r="F161" t="s">
        <v>959</v>
      </c>
      <c r="G161" t="s">
        <v>880</v>
      </c>
      <c r="H161">
        <f>IF(_xlfn.DAYS("31-03-2025",G161)&gt;=180,6800,0)</f>
        <v>6800</v>
      </c>
      <c r="I161">
        <f>_xlfn.XLOOKUP(B161,'[1]march-2025'!$A:$A,'[1]march-2025'!$J:$J,0,0)</f>
        <v>0</v>
      </c>
      <c r="J161">
        <f>_xlfn.XLOOKUP(B161,'[1]march-2025'!$A:$A,'[1]march-2025'!$C:$C,0,0)</f>
        <v>34500</v>
      </c>
      <c r="K161">
        <f>J161*0.14</f>
        <v>4830.0000000000009</v>
      </c>
      <c r="L161">
        <f>J161*0.12</f>
        <v>4140</v>
      </c>
      <c r="M161">
        <f>_xlfn.XLOOKUP(B161,'[1]march-2025'!$A:$A,'[1]march-2025'!$D:$D,0,0)</f>
        <v>0</v>
      </c>
      <c r="N161">
        <f>_xlfn.XLOOKUP(B161,'[1]march-2025'!$A:$A,'[1]march-2025'!$G:$G,0,0)</f>
        <v>500</v>
      </c>
      <c r="O161">
        <f>IF(J161&gt;0,SUM(J161:N161),0)</f>
        <v>43970</v>
      </c>
      <c r="P161">
        <f>_xlfn.XLOOKUP(B161,'[1]march-2025'!$A:$A,'[1]march-2025'!$H:$H,0,0)</f>
        <v>4000</v>
      </c>
      <c r="Q161">
        <f>_xlfn.XLOOKUP(B161,'[1]march-2025'!$A:$A,'[1]march-2025'!$I:$I,0,0)</f>
        <v>0</v>
      </c>
      <c r="R161">
        <f>IF($F161="YES",0,IF(O161&gt;40000,200,IF(O161&gt;25000,150,IF(O161&gt;15000,130,IF(O161&gt;10000,110,0)))))</f>
        <v>200</v>
      </c>
      <c r="S161">
        <f>O161-P161-Q161-R161</f>
        <v>39770</v>
      </c>
      <c r="T161">
        <f>_xlfn.XLOOKUP(B161,'[2]april-2025'!$A:$A,'[2]april-2025'!$C:$C,0,0)</f>
        <v>34500</v>
      </c>
      <c r="U161">
        <f>T161*0.18</f>
        <v>6210</v>
      </c>
      <c r="V161">
        <f>T161*0.12</f>
        <v>4140</v>
      </c>
      <c r="W161">
        <f>_xlfn.XLOOKUP(B161,'[2]april-2025'!$A:$A,'[2]april-2025'!$D:$D,0,0)</f>
        <v>0</v>
      </c>
      <c r="X161">
        <f>_xlfn.XLOOKUP(B161,'[2]april-2025'!$A:$A,'[2]april-2025'!$G:$G,0,0)</f>
        <v>500</v>
      </c>
      <c r="Y161">
        <f>IF(T161&gt;0,SUM(T161:X161),0)</f>
        <v>45350</v>
      </c>
      <c r="Z161">
        <f>_xlfn.XLOOKUP(B161,'[2]april-2025'!$A:$A,'[2]april-2025'!$H:$H,0,0)</f>
        <v>4000</v>
      </c>
      <c r="AA161">
        <f>_xlfn.XLOOKUP(B161,'[2]april-2025'!$A:$A,'[2]april-2025'!$I:$I,0,0)</f>
        <v>0</v>
      </c>
      <c r="AB161">
        <f>IF($F161="YES",0,IF(Y161&gt;40000,200,IF(Y161&gt;25000,150,IF(Y161&gt;15000,130,IF(Y161&gt;10000,110,0)))))</f>
        <v>200</v>
      </c>
      <c r="AC161">
        <f>Y161-Z161-AA161-AB161</f>
        <v>41150</v>
      </c>
      <c r="AD161">
        <f>_xlfn.XLOOKUP(B161,'[3]may-2025'!$A:$A,'[3]may-2025'!$C:$C,0,0)</f>
        <v>34500</v>
      </c>
      <c r="AE161">
        <f>AD161*0.18</f>
        <v>6210</v>
      </c>
      <c r="AF161">
        <f>AD161*0.12</f>
        <v>4140</v>
      </c>
      <c r="AG161">
        <f>_xlfn.XLOOKUP(B161,'[3]may-2025'!$A:$A,'[3]may-2025'!$D:$D,0,0)</f>
        <v>0</v>
      </c>
      <c r="AH161">
        <f>_xlfn.XLOOKUP(B161,'[3]may-2025'!$A:$A,'[3]may-2025'!$G:$G,0,0)</f>
        <v>500</v>
      </c>
      <c r="AI161">
        <f>IF(AD161&gt;0,SUM(AD161:AH161),0)</f>
        <v>45350</v>
      </c>
      <c r="AJ161">
        <f>_xlfn.XLOOKUP(B161,'[3]may-2025'!$A:$A,'[3]may-2025'!$H:$H,0,0)</f>
        <v>4000</v>
      </c>
      <c r="AK161">
        <f>_xlfn.XLOOKUP(B161,'[3]may-2025'!$A:$A,'[3]may-2025'!$I:$I,0,0)</f>
        <v>0</v>
      </c>
      <c r="AL161">
        <f>IF($F161="YES",0,IF(AI161&gt;40000,200,IF(AI161&gt;25000,150,IF(AI161&gt;15000,130,IF(AI161&gt;10000,110,0)))))</f>
        <v>200</v>
      </c>
      <c r="AM161">
        <f>AI161-AJ161-AK161-AL161</f>
        <v>41150</v>
      </c>
      <c r="AN161">
        <f>_xlfn.XLOOKUP(B161,'[4]june-2025'!$A:$A,'[4]june-2025'!$C:$C,0,0)</f>
        <v>34500</v>
      </c>
      <c r="AO161">
        <f>AN161*0.18</f>
        <v>6210</v>
      </c>
      <c r="AP161">
        <f>AN161*0.12</f>
        <v>4140</v>
      </c>
      <c r="AQ161">
        <f>_xlfn.XLOOKUP(B161,'[4]june-2025'!$A:$A,'[4]june-2025'!$D:$D,0,0)</f>
        <v>0</v>
      </c>
      <c r="AR161">
        <f>_xlfn.XLOOKUP(B161,'[4]june-2025'!$A:$A,'[4]june-2025'!$G:$G,0,0)</f>
        <v>500</v>
      </c>
      <c r="AS161">
        <f>IF(AN161&gt;0,SUM(AN161:AR161),0)</f>
        <v>45350</v>
      </c>
      <c r="AT161">
        <f>_xlfn.XLOOKUP(B161,'[4]june-2025'!$A:$A,'[4]june-2025'!$H:$H,0,0)</f>
        <v>4000</v>
      </c>
      <c r="AU161">
        <f>_xlfn.XLOOKUP(B161,'[4]june-2025'!$A:$A,'[4]june-2025'!$I:$I,0,0)</f>
        <v>0</v>
      </c>
      <c r="AV161">
        <f>IF($F161="YES",0,IF(AS161&gt;40000,200,IF(AS161&gt;25000,150,IF(AS161&gt;15000,130,IF(AS161&gt;10000,110,0)))))</f>
        <v>200</v>
      </c>
      <c r="AW161">
        <f>AS161-AT161-AU161-AV161</f>
        <v>41150</v>
      </c>
      <c r="AX161">
        <f>_xlfn.XLOOKUP(B161,'[5]july-2025'!$A:$A,'[5]july-2025'!$C:$C,0,0)</f>
        <v>35500</v>
      </c>
      <c r="AY161">
        <f>AX161*0.18</f>
        <v>6390</v>
      </c>
      <c r="AZ161">
        <v>0</v>
      </c>
      <c r="BA161">
        <f>AX161*0.12</f>
        <v>4260</v>
      </c>
      <c r="BB161">
        <f>_xlfn.XLOOKUP(B161,'[5]july-2025'!$A:$A,'[5]july-2025'!$D:$D,0,0)</f>
        <v>0</v>
      </c>
      <c r="BC161">
        <f>_xlfn.XLOOKUP(B161,'[5]july-2025'!$A:$A,'[5]july-2025'!$G:$G,0,0)</f>
        <v>500</v>
      </c>
      <c r="BD161">
        <f>IF(AX161&gt;0,SUM(AX161:BC161),0)</f>
        <v>46650</v>
      </c>
      <c r="BE161">
        <f>_xlfn.XLOOKUP(B161,'[5]july-2025'!$A:$A,'[5]july-2025'!$H:$H,0,0)</f>
        <v>4000</v>
      </c>
      <c r="BF161">
        <f>_xlfn.XLOOKUP(B161,'[5]july-2025'!$A:$A,'[5]july-2025'!$I:$I,0,0)</f>
        <v>0</v>
      </c>
      <c r="BG161">
        <f>IF($F161="YES",0,IF(BD161&gt;40000,200,IF(BD161&gt;25000,150,IF(BD161&gt;15000,130,IF(BD161&gt;10000,110,0)))))</f>
        <v>200</v>
      </c>
      <c r="BH161">
        <f>BD161-BE161-BF161-BG161</f>
        <v>42450</v>
      </c>
      <c r="BI161">
        <f>_xlfn.XLOOKUP(B161,'[6]august-2025'!$A:$A,'[6]august-2025'!$C:$C,0,0)</f>
        <v>35500</v>
      </c>
      <c r="BJ161">
        <f>BI161*0.18</f>
        <v>6390</v>
      </c>
      <c r="BK161">
        <f>BI161*0.12</f>
        <v>4260</v>
      </c>
      <c r="BL161">
        <f>_xlfn.XLOOKUP(B161,'[6]august-2025'!$A:$A,'[6]august-2025'!$D:$D,0,0)</f>
        <v>0</v>
      </c>
      <c r="BM161">
        <f>_xlfn.XLOOKUP(B161,'[6]august-2025'!$A:$A,'[6]august-2025'!$G:$G,0,0)</f>
        <v>500</v>
      </c>
      <c r="BN161">
        <f>IF(BI161&gt;0,SUM(BI161:BM161),0)</f>
        <v>46650</v>
      </c>
      <c r="BO161">
        <f>_xlfn.XLOOKUP(B161,'[6]august-2025'!$A:$A,'[6]august-2025'!$H:$H,0,0)</f>
        <v>4000</v>
      </c>
      <c r="BP161">
        <f>_xlfn.XLOOKUP(B161,'[6]august-2025'!$A:$A,'[6]august-2025'!$I:$I,0,0)</f>
        <v>0</v>
      </c>
      <c r="BQ161">
        <f>IF($F161="YES",0,IF(BN161&gt;40000,200,IF(BN161&gt;25000,150,IF(BN161&gt;15000,130,IF(BN161&gt;10000,110,0)))))</f>
        <v>200</v>
      </c>
      <c r="BR161">
        <f>BN161-BO161-BP161-BQ161</f>
        <v>42450</v>
      </c>
      <c r="BS161">
        <f>_xlfn.XLOOKUP(B161,'[7]september-2025'!$A:$A,'[7]september-2025'!$C:$C,0,0)</f>
        <v>35500</v>
      </c>
      <c r="BT161">
        <f>BS161*0.18</f>
        <v>6390</v>
      </c>
      <c r="BU161">
        <f>BS161*0.12</f>
        <v>4260</v>
      </c>
      <c r="BV161">
        <f>_xlfn.XLOOKUP(B161,'[7]september-2025'!$A:$A,'[7]september-2025'!$D:$D,0,0)</f>
        <v>0</v>
      </c>
      <c r="BW161">
        <f>_xlfn.XLOOKUP(B161,'[7]september-2025'!$A:$A,'[7]september-2025'!$G:$G,0,0)</f>
        <v>500</v>
      </c>
      <c r="BX161">
        <f>IF(BS161&gt;0,SUM(BS161:BW161),0)</f>
        <v>46650</v>
      </c>
      <c r="BY161">
        <f>_xlfn.XLOOKUP(B161,'[7]september-2025'!$A:$A,'[7]september-2025'!$H:$H,0,0)</f>
        <v>4000</v>
      </c>
      <c r="BZ161">
        <f>_xlfn.XLOOKUP(B161,'[7]september-2025'!$A:$A,'[7]september-2025'!$I:$I,0,0)</f>
        <v>0</v>
      </c>
      <c r="CA161">
        <f>IF($F161="YES",0,IF(BX161&gt;40000,200,IF(BX161&gt;25000,150,IF(BX161&gt;15000,130,IF(BX161&gt;10000,110,0)))))</f>
        <v>200</v>
      </c>
      <c r="CB161">
        <f>BX161-BY161-BZ161-CA161</f>
        <v>42450</v>
      </c>
      <c r="CC161">
        <f>_xlfn.XLOOKUP(B161,'[8]october-2025'!$A:$A,'[8]october-2025'!$C:$C,0,0)</f>
        <v>35500</v>
      </c>
      <c r="CD161">
        <f>CC161*0.18</f>
        <v>6390</v>
      </c>
      <c r="CE161">
        <f>CC161*0.12</f>
        <v>4260</v>
      </c>
      <c r="CF161">
        <f>_xlfn.XLOOKUP(B161,'[8]october-2025'!$A:$A,'[8]october-2025'!$D:$D,0,0)</f>
        <v>0</v>
      </c>
      <c r="CG161">
        <f>_xlfn.XLOOKUP(B161,'[8]october-2025'!$A:$A,'[8]october-2025'!$G:$G,0,0)</f>
        <v>500</v>
      </c>
      <c r="CH161">
        <f>IF(CC161&gt;0,SUM(CC161:CG161),0)</f>
        <v>46650</v>
      </c>
      <c r="CI161">
        <f>_xlfn.XLOOKUP(B161,'[8]october-2025'!$A:$A,'[8]october-2025'!$H:$H,0,0)</f>
        <v>4000</v>
      </c>
      <c r="CJ161">
        <f>_xlfn.XLOOKUP(B161,'[8]october-2025'!$A:$A,'[8]october-2025'!$I:$I,0,0)</f>
        <v>0</v>
      </c>
      <c r="CK161">
        <f>IF($F161="YES",0,IF(CH161&gt;40000,200,IF(CH161&gt;25000,150,IF(CH161&gt;15000,130,IF(CH161&gt;10000,110,0)))))</f>
        <v>200</v>
      </c>
      <c r="CL161">
        <f>CH161-CI161-CJ161-CK161</f>
        <v>42450</v>
      </c>
      <c r="CM161">
        <f>_xlfn.XLOOKUP(B161,'[9]november-2025'!$A:$A,'[9]november-2025'!$C:$C,0,0)</f>
        <v>35500</v>
      </c>
      <c r="CN161">
        <f>CM161*0.18</f>
        <v>6390</v>
      </c>
      <c r="CO161">
        <f>CM161*0.12</f>
        <v>4260</v>
      </c>
      <c r="CP161">
        <f>_xlfn.XLOOKUP(B161,'[9]november-2025'!$A:$A,'[9]november-2025'!$D:$D,0,0)</f>
        <v>0</v>
      </c>
      <c r="CQ161">
        <f>_xlfn.XLOOKUP(B161,'[9]november-2025'!$A:$A,'[9]november-2025'!$G:$G,0,0)</f>
        <v>500</v>
      </c>
      <c r="CR161">
        <f>IF(CM161&gt;0,SUM(CM161:CQ161),0)</f>
        <v>46650</v>
      </c>
      <c r="CS161">
        <f>_xlfn.XLOOKUP(B161,'[9]november-2025'!$A:$A,'[9]november-2025'!$H:$H,0,0)</f>
        <v>4000</v>
      </c>
      <c r="CT161">
        <f>_xlfn.XLOOKUP(B161,'[9]november-2025'!$A:$A,'[9]november-2025'!$I:$I,0,0)</f>
        <v>0</v>
      </c>
      <c r="CU161">
        <f>IF($F161="YES",0,IF(CR161&gt;40000,200,IF(CR161&gt;25000,150,IF(CR161&gt;15000,130,IF(CR161&gt;10000,110,0)))))</f>
        <v>200</v>
      </c>
      <c r="CV161">
        <f>CR161-CS161-CT161-CU161</f>
        <v>42450</v>
      </c>
      <c r="CW161">
        <f>_xlfn.XLOOKUP(B161,'[10]december-2025'!$A:$A,'[10]december-2025'!$C:$C,0,0)</f>
        <v>35500</v>
      </c>
      <c r="CX161">
        <f>ROUND(CW161*0.18,0)</f>
        <v>6390</v>
      </c>
      <c r="CY161">
        <f>ROUND(CW161*0.12,0)</f>
        <v>4260</v>
      </c>
      <c r="CZ161">
        <f>_xlfn.XLOOKUP(B161,'[10]december-2025'!$A:$A,'[10]december-2025'!$D:$D,0,0)</f>
        <v>0</v>
      </c>
      <c r="DA161">
        <f>_xlfn.XLOOKUP(B161,'[10]december-2025'!$A:$A,'[10]december-2025'!$G:$G,0,0)</f>
        <v>500</v>
      </c>
      <c r="DB161">
        <f>IF(CW161&gt;0,SUM(CW161:DA161),0)</f>
        <v>46650</v>
      </c>
      <c r="DC161">
        <f>_xlfn.XLOOKUP(B161,'[10]december-2025'!$A:$A,'[10]december-2025'!$H:$H,0,0)</f>
        <v>4000</v>
      </c>
      <c r="DD161">
        <f>_xlfn.XLOOKUP(B161,'[10]december-2025'!$A:$A,'[10]december-2025'!$I:$I,0,0)</f>
        <v>0</v>
      </c>
      <c r="DE161">
        <f>IF($F161="YES",0,IF(DB161&gt;40000,200,IF(DB161&gt;25000,150,IF(DB161&gt;15000,130,IF(DB161&gt;10000,110,0)))))</f>
        <v>200</v>
      </c>
      <c r="DF161">
        <f>DB161-DC161-DD161-DE161</f>
        <v>42450</v>
      </c>
      <c r="DG161">
        <f>_xlfn.XLOOKUP(B161,'[11]january-2026'!$A:$A,'[11]january-2026'!$C:$C,0,0)</f>
        <v>35500</v>
      </c>
      <c r="DH161">
        <f>DG161*0.18</f>
        <v>6390</v>
      </c>
      <c r="DI161">
        <f>DG161*0.12</f>
        <v>4260</v>
      </c>
      <c r="DJ161">
        <f>_xlfn.XLOOKUP(B161,'[11]january-2026'!$A:$A,'[11]january-2026'!$D:$D,0,0)</f>
        <v>0</v>
      </c>
      <c r="DK161">
        <f>_xlfn.XLOOKUP(B161,'[11]january-2026'!$A:$A,'[11]january-2026'!$G:$G,0,0)</f>
        <v>500</v>
      </c>
      <c r="DL161">
        <f>IF(DG161&gt;0,SUM(DG161:DK161),0)</f>
        <v>46650</v>
      </c>
      <c r="DM161">
        <f>_xlfn.XLOOKUP(B161,'[11]january-2026'!$A:$A,'[11]january-2026'!$H:$H,0,0)</f>
        <v>4000</v>
      </c>
      <c r="DN161">
        <f>_xlfn.XLOOKUP(B161,'[11]january-2026'!$A:$A,'[11]january-2026'!$I:$I,0,0)</f>
        <v>0</v>
      </c>
      <c r="DO161">
        <f>IF($F161="YES",0,IF(DL161&gt;40000,200,IF(DL161&gt;25000,150,IF(DL161&gt;15000,130,IF(DL161&gt;10000,110,0)))))</f>
        <v>200</v>
      </c>
      <c r="DP161">
        <f>DL161-DM161-DN161-DO161</f>
        <v>42450</v>
      </c>
      <c r="DQ161">
        <f>_xlfn.XLOOKUP(B161,'[12]february-2026'!$A:$A,'[12]february-2026'!$C:$C,0,0)</f>
        <v>35500</v>
      </c>
      <c r="DR161">
        <f>DQ161*0.18</f>
        <v>6390</v>
      </c>
      <c r="DS161">
        <f>DQ161*0.12</f>
        <v>4260</v>
      </c>
      <c r="DT161">
        <f>_xlfn.XLOOKUP(B161,'[12]february-2026'!$A:$A,'[12]february-2026'!$D:$D,0,0)</f>
        <v>0</v>
      </c>
      <c r="DU161">
        <f>_xlfn.XLOOKUP(B161,'[12]february-2026'!$A:$A,'[12]february-2026'!$G:$G,0,0)</f>
        <v>500</v>
      </c>
      <c r="DV161">
        <f>IF(DQ161&gt;0,SUM(DQ161:DU161),0)</f>
        <v>46650</v>
      </c>
      <c r="DW161">
        <f>_xlfn.XLOOKUP(B161,'[12]february-2026'!$A:$A,'[12]february-2026'!$H:$H,0,0)</f>
        <v>4000</v>
      </c>
      <c r="DX161">
        <f>_xlfn.XLOOKUP(B161,'[12]february-2026'!$A:$A,'[12]february-2026'!$I:$I,0,0)</f>
        <v>0</v>
      </c>
      <c r="DY161">
        <f>IF($F161="YES",0,IF(DV161&gt;40000,200,IF(DV161&gt;25000,150,IF(DV161&gt;15000,130,IF(DV161&gt;10000,110,0)))))</f>
        <v>200</v>
      </c>
      <c r="DZ161">
        <f>DV161-DW161-DX161-DY161</f>
        <v>42450</v>
      </c>
      <c r="EA161">
        <f>DV161+DL161+DB161+CR161+CH161+BX161+BN161+BD161+AS161+AI161+Y161+O161+H161+I161</f>
        <v>560020</v>
      </c>
      <c r="EB161">
        <f>DY161+DO161+DE161+CU161+CK161+CA161+BQ161+BG161+AV161+AL161+AB161+R161</f>
        <v>2400</v>
      </c>
      <c r="EC161">
        <f>IF(EA161&gt;0,50000,0)</f>
        <v>50000</v>
      </c>
      <c r="ED161">
        <v>0</v>
      </c>
      <c r="EE161">
        <f>EA161-EB161-EC161</f>
        <v>507620</v>
      </c>
      <c r="EF161">
        <f>DW161+DM161+DC161+CS161+CI161+BY161+BO161+BE161+AT161+AJ161+Z161+P161</f>
        <v>48000</v>
      </c>
      <c r="EG161">
        <f>DX161+DN161+DD161+CT161+CJ161+BZ161+BP161+BF161+AU161+AK161+AA161+Q161</f>
        <v>0</v>
      </c>
      <c r="EH161">
        <v>0</v>
      </c>
      <c r="EI161">
        <v>0</v>
      </c>
      <c r="EJ161">
        <v>0</v>
      </c>
      <c r="EK161">
        <v>0</v>
      </c>
      <c r="EL161">
        <v>0</v>
      </c>
      <c r="EM161">
        <v>0</v>
      </c>
      <c r="EN161">
        <v>0</v>
      </c>
      <c r="EO161">
        <v>0</v>
      </c>
      <c r="EP161">
        <v>0</v>
      </c>
      <c r="EQ161">
        <v>0</v>
      </c>
      <c r="ER161">
        <f>SUM(EF161:EQ161)</f>
        <v>48000</v>
      </c>
      <c r="ES161">
        <f>IF(ER161&gt;=150000,150000,ER161)</f>
        <v>48000</v>
      </c>
      <c r="ET161">
        <f>EE161-ES161</f>
        <v>459620</v>
      </c>
      <c r="EU161">
        <v>0</v>
      </c>
      <c r="EV161">
        <v>0</v>
      </c>
      <c r="EW161">
        <v>0</v>
      </c>
      <c r="EX161">
        <v>0</v>
      </c>
      <c r="EY161">
        <v>0</v>
      </c>
      <c r="EZ161">
        <v>0</v>
      </c>
      <c r="FA161">
        <v>0</v>
      </c>
      <c r="FB161">
        <f>SUM(EU161:FA161)+(IF(F161="YES",50000,0))</f>
        <v>0</v>
      </c>
      <c r="FC161">
        <f>ET161-FB161</f>
        <v>459620</v>
      </c>
      <c r="FD161">
        <f>ROUND(IF(FC161&gt;0,IF(FC161&gt;500000,12500,(FC161-250000)*0.05),0),0)</f>
        <v>10481</v>
      </c>
      <c r="FE161">
        <f>IF(ROUND(IF(FC161&gt;0,IF(FC161&gt;1000000,25000,(FC161-500000)*0.2),0),0)&lt;0,0,ROUND(IF(FC161&gt;0,IF(FC161&gt;1000000,25000,(FC161-500000)*0.2),0),0))</f>
        <v>0</v>
      </c>
      <c r="FF161">
        <f>FD161+FE161</f>
        <v>10481</v>
      </c>
      <c r="FG161">
        <f>IF(FF161&lt;12500,0,FF161)</f>
        <v>0</v>
      </c>
      <c r="FH161">
        <f>FG161*0.04</f>
        <v>0</v>
      </c>
      <c r="FI161">
        <f>ROUND(FH161+FG161,0)</f>
        <v>0</v>
      </c>
      <c r="FJ161">
        <v>0</v>
      </c>
      <c r="FK161">
        <f>FI161-FJ161</f>
        <v>0</v>
      </c>
      <c r="FL161" t="b">
        <f>IF(EA161&gt;500000,TRUE,FALSE)</f>
        <v>1</v>
      </c>
      <c r="FM161">
        <f ca="1">IF(FL161,RANDBETWEEN(500,1000),RANDBETWEEN(1000,3000))</f>
        <v>537</v>
      </c>
      <c r="FN161">
        <f ca="1">EA161+FM161</f>
        <v>560557</v>
      </c>
      <c r="FO161">
        <f>IF(EA161&gt;0,75000,0)</f>
        <v>75000</v>
      </c>
      <c r="FP161">
        <f ca="1">FN161-FO161</f>
        <v>485557</v>
      </c>
      <c r="FQ161">
        <f ca="1">IF(FP161&gt;2400000,FP161-2400000,0)</f>
        <v>0</v>
      </c>
      <c r="FR161">
        <f ca="1">FQ161*0.3</f>
        <v>0</v>
      </c>
      <c r="FS161">
        <f ca="1">IF(FP161&gt;2000000,FP161-2000000,0)</f>
        <v>0</v>
      </c>
      <c r="FT161">
        <f ca="1">FS161*0.25</f>
        <v>0</v>
      </c>
      <c r="FU161">
        <f ca="1">IF(FP161&gt;1600000,FP161-1600000-FQ161,0)</f>
        <v>0</v>
      </c>
      <c r="FV161">
        <f ca="1">FU161*0.2</f>
        <v>0</v>
      </c>
      <c r="FW161">
        <f ca="1">IF(FP161&gt;1200000,FP161-1200000-IF(F161="YES",50000,0)-FU161,0)</f>
        <v>0</v>
      </c>
      <c r="FX161">
        <f ca="1">FW161*0.15</f>
        <v>0</v>
      </c>
      <c r="FY161">
        <f ca="1">IF(FP161&gt;800000,FP161-800000-FQ161-FU161-FW161,0)</f>
        <v>0</v>
      </c>
      <c r="FZ161">
        <f ca="1">FY161*0.1</f>
        <v>0</v>
      </c>
      <c r="GA161">
        <f ca="1">IF(FP161&gt;400000,FP161-400000-FQ161-FU161-FW161-FY161,0)</f>
        <v>85557</v>
      </c>
      <c r="GB161">
        <f ca="1">GA161*0.05</f>
        <v>4277.8500000000004</v>
      </c>
      <c r="GC161">
        <f ca="1">ROUND(FR161+FT161+FV161+FX161+FZ161+GB161,0)</f>
        <v>4278</v>
      </c>
      <c r="GD161">
        <f ca="1">IF(FP161&gt;1200000,FP161,0)</f>
        <v>0</v>
      </c>
      <c r="GE161">
        <f ca="1">IF(FP161&gt;1200000,GD161-1200000,0)</f>
        <v>0</v>
      </c>
      <c r="GF161">
        <f ca="1">IF(FP161&lt;1200001,MIN(GC161,60000),0)</f>
        <v>4278</v>
      </c>
      <c r="GG161">
        <f ca="1">IF(FP161&gt;1200000,GC161-GE161,0)</f>
        <v>0</v>
      </c>
      <c r="GH161" t="b">
        <f ca="1">IF(GG161&gt;0,TRUE,FALSE)</f>
        <v>0</v>
      </c>
      <c r="GI161">
        <f ca="1">IF(GH161,GG161,0)</f>
        <v>0</v>
      </c>
      <c r="GJ161">
        <f ca="1">GF161+GI161</f>
        <v>4278</v>
      </c>
      <c r="GK161">
        <f ca="1">ROUND(GC161-GJ161,0)</f>
        <v>0</v>
      </c>
      <c r="GL161">
        <f ca="1">GK161*0.04</f>
        <v>0</v>
      </c>
      <c r="GM161">
        <f ca="1">ROUNDUP(GK161+GL161,0)</f>
        <v>0</v>
      </c>
    </row>
    <row r="162" spans="1:195" x14ac:dyDescent="0.25">
      <c r="A162">
        <f>_xlfn.AGGREGATE(3,5,$B$2:B162)</f>
        <v>161</v>
      </c>
      <c r="B162" t="s">
        <v>435</v>
      </c>
      <c r="C162" t="s">
        <v>436</v>
      </c>
      <c r="D162" t="s">
        <v>796</v>
      </c>
      <c r="E162" t="s">
        <v>833</v>
      </c>
      <c r="F162" t="s">
        <v>959</v>
      </c>
      <c r="G162" t="s">
        <v>880</v>
      </c>
      <c r="H162">
        <f>IF(_xlfn.DAYS("31-03-2025",G162)&gt;=180,6800,0)</f>
        <v>6800</v>
      </c>
      <c r="I162">
        <f>_xlfn.XLOOKUP(B162,'[1]march-2025'!$A:$A,'[1]march-2025'!$J:$J,0,0)</f>
        <v>0</v>
      </c>
      <c r="J162">
        <f>_xlfn.XLOOKUP(B162,'[1]march-2025'!$A:$A,'[1]march-2025'!$C:$C,0,0)</f>
        <v>34500</v>
      </c>
      <c r="K162">
        <f>J162*0.14</f>
        <v>4830.0000000000009</v>
      </c>
      <c r="L162">
        <f>J162*0.12</f>
        <v>4140</v>
      </c>
      <c r="M162">
        <f>_xlfn.XLOOKUP(B162,'[1]march-2025'!$A:$A,'[1]march-2025'!$D:$D,0,0)</f>
        <v>0</v>
      </c>
      <c r="N162">
        <f>_xlfn.XLOOKUP(B162,'[1]march-2025'!$A:$A,'[1]march-2025'!$G:$G,0,0)</f>
        <v>500</v>
      </c>
      <c r="O162">
        <f>IF(J162&gt;0,SUM(J162:N162),0)</f>
        <v>43970</v>
      </c>
      <c r="P162">
        <f>_xlfn.XLOOKUP(B162,'[1]march-2025'!$A:$A,'[1]march-2025'!$H:$H,0,0)</f>
        <v>4000</v>
      </c>
      <c r="Q162">
        <f>_xlfn.XLOOKUP(B162,'[1]march-2025'!$A:$A,'[1]march-2025'!$I:$I,0,0)</f>
        <v>0</v>
      </c>
      <c r="R162">
        <f>IF($F162="YES",0,IF(O162&gt;40000,200,IF(O162&gt;25000,150,IF(O162&gt;15000,130,IF(O162&gt;10000,110,0)))))</f>
        <v>200</v>
      </c>
      <c r="S162">
        <f>O162-P162-Q162-R162</f>
        <v>39770</v>
      </c>
      <c r="T162">
        <f>_xlfn.XLOOKUP(B162,'[2]april-2025'!$A:$A,'[2]april-2025'!$C:$C,0,0)</f>
        <v>34500</v>
      </c>
      <c r="U162">
        <f>T162*0.18</f>
        <v>6210</v>
      </c>
      <c r="V162">
        <f>T162*0.12</f>
        <v>4140</v>
      </c>
      <c r="W162">
        <f>_xlfn.XLOOKUP(B162,'[2]april-2025'!$A:$A,'[2]april-2025'!$D:$D,0,0)</f>
        <v>0</v>
      </c>
      <c r="X162">
        <f>_xlfn.XLOOKUP(B162,'[2]april-2025'!$A:$A,'[2]april-2025'!$G:$G,0,0)</f>
        <v>500</v>
      </c>
      <c r="Y162">
        <f>IF(T162&gt;0,SUM(T162:X162),0)</f>
        <v>45350</v>
      </c>
      <c r="Z162">
        <f>_xlfn.XLOOKUP(B162,'[2]april-2025'!$A:$A,'[2]april-2025'!$H:$H,0,0)</f>
        <v>4000</v>
      </c>
      <c r="AA162">
        <f>_xlfn.XLOOKUP(B162,'[2]april-2025'!$A:$A,'[2]april-2025'!$I:$I,0,0)</f>
        <v>0</v>
      </c>
      <c r="AB162">
        <f>IF($F162="YES",0,IF(Y162&gt;40000,200,IF(Y162&gt;25000,150,IF(Y162&gt;15000,130,IF(Y162&gt;10000,110,0)))))</f>
        <v>200</v>
      </c>
      <c r="AC162">
        <f>Y162-Z162-AA162-AB162</f>
        <v>41150</v>
      </c>
      <c r="AD162">
        <f>_xlfn.XLOOKUP(B162,'[3]may-2025'!$A:$A,'[3]may-2025'!$C:$C,0,0)</f>
        <v>34500</v>
      </c>
      <c r="AE162">
        <f>AD162*0.18</f>
        <v>6210</v>
      </c>
      <c r="AF162">
        <f>AD162*0.12</f>
        <v>4140</v>
      </c>
      <c r="AG162">
        <f>_xlfn.XLOOKUP(B162,'[3]may-2025'!$A:$A,'[3]may-2025'!$D:$D,0,0)</f>
        <v>0</v>
      </c>
      <c r="AH162">
        <f>_xlfn.XLOOKUP(B162,'[3]may-2025'!$A:$A,'[3]may-2025'!$G:$G,0,0)</f>
        <v>500</v>
      </c>
      <c r="AI162">
        <f>IF(AD162&gt;0,SUM(AD162:AH162),0)</f>
        <v>45350</v>
      </c>
      <c r="AJ162">
        <f>_xlfn.XLOOKUP(B162,'[3]may-2025'!$A:$A,'[3]may-2025'!$H:$H,0,0)</f>
        <v>4000</v>
      </c>
      <c r="AK162">
        <f>_xlfn.XLOOKUP(B162,'[3]may-2025'!$A:$A,'[3]may-2025'!$I:$I,0,0)</f>
        <v>0</v>
      </c>
      <c r="AL162">
        <f>IF($F162="YES",0,IF(AI162&gt;40000,200,IF(AI162&gt;25000,150,IF(AI162&gt;15000,130,IF(AI162&gt;10000,110,0)))))</f>
        <v>200</v>
      </c>
      <c r="AM162">
        <f>AI162-AJ162-AK162-AL162</f>
        <v>41150</v>
      </c>
      <c r="AN162">
        <f>_xlfn.XLOOKUP(B162,'[4]june-2025'!$A:$A,'[4]june-2025'!$C:$C,0,0)</f>
        <v>34500</v>
      </c>
      <c r="AO162">
        <f>AN162*0.18</f>
        <v>6210</v>
      </c>
      <c r="AP162">
        <f>AN162*0.12</f>
        <v>4140</v>
      </c>
      <c r="AQ162">
        <f>_xlfn.XLOOKUP(B162,'[4]june-2025'!$A:$A,'[4]june-2025'!$D:$D,0,0)</f>
        <v>0</v>
      </c>
      <c r="AR162">
        <f>_xlfn.XLOOKUP(B162,'[4]june-2025'!$A:$A,'[4]june-2025'!$G:$G,0,0)</f>
        <v>500</v>
      </c>
      <c r="AS162">
        <f>IF(AN162&gt;0,SUM(AN162:AR162),0)</f>
        <v>45350</v>
      </c>
      <c r="AT162">
        <f>_xlfn.XLOOKUP(B162,'[4]june-2025'!$A:$A,'[4]june-2025'!$H:$H,0,0)</f>
        <v>4000</v>
      </c>
      <c r="AU162">
        <f>_xlfn.XLOOKUP(B162,'[4]june-2025'!$A:$A,'[4]june-2025'!$I:$I,0,0)</f>
        <v>0</v>
      </c>
      <c r="AV162">
        <f>IF($F162="YES",0,IF(AS162&gt;40000,200,IF(AS162&gt;25000,150,IF(AS162&gt;15000,130,IF(AS162&gt;10000,110,0)))))</f>
        <v>200</v>
      </c>
      <c r="AW162">
        <f>AS162-AT162-AU162-AV162</f>
        <v>41150</v>
      </c>
      <c r="AX162">
        <f>_xlfn.XLOOKUP(B162,'[5]july-2025'!$A:$A,'[5]july-2025'!$C:$C,0,0)</f>
        <v>35500</v>
      </c>
      <c r="AY162">
        <f>AX162*0.18</f>
        <v>6390</v>
      </c>
      <c r="AZ162">
        <v>0</v>
      </c>
      <c r="BA162">
        <f>AX162*0.12</f>
        <v>4260</v>
      </c>
      <c r="BB162">
        <f>_xlfn.XLOOKUP(B162,'[5]july-2025'!$A:$A,'[5]july-2025'!$D:$D,0,0)</f>
        <v>0</v>
      </c>
      <c r="BC162">
        <f>_xlfn.XLOOKUP(B162,'[5]july-2025'!$A:$A,'[5]july-2025'!$G:$G,0,0)</f>
        <v>500</v>
      </c>
      <c r="BD162">
        <f>IF(AX162&gt;0,SUM(AX162:BC162),0)</f>
        <v>46650</v>
      </c>
      <c r="BE162">
        <f>_xlfn.XLOOKUP(B162,'[5]july-2025'!$A:$A,'[5]july-2025'!$H:$H,0,0)</f>
        <v>4000</v>
      </c>
      <c r="BF162">
        <f>_xlfn.XLOOKUP(B162,'[5]july-2025'!$A:$A,'[5]july-2025'!$I:$I,0,0)</f>
        <v>0</v>
      </c>
      <c r="BG162">
        <f>IF($F162="YES",0,IF(BD162&gt;40000,200,IF(BD162&gt;25000,150,IF(BD162&gt;15000,130,IF(BD162&gt;10000,110,0)))))</f>
        <v>200</v>
      </c>
      <c r="BH162">
        <f>BD162-BE162-BF162-BG162</f>
        <v>42450</v>
      </c>
      <c r="BI162">
        <f>_xlfn.XLOOKUP(B162,'[6]august-2025'!$A:$A,'[6]august-2025'!$C:$C,0,0)</f>
        <v>35500</v>
      </c>
      <c r="BJ162">
        <f>BI162*0.18</f>
        <v>6390</v>
      </c>
      <c r="BK162">
        <f>BI162*0.12</f>
        <v>4260</v>
      </c>
      <c r="BL162">
        <f>_xlfn.XLOOKUP(B162,'[6]august-2025'!$A:$A,'[6]august-2025'!$D:$D,0,0)</f>
        <v>0</v>
      </c>
      <c r="BM162">
        <f>_xlfn.XLOOKUP(B162,'[6]august-2025'!$A:$A,'[6]august-2025'!$G:$G,0,0)</f>
        <v>500</v>
      </c>
      <c r="BN162">
        <f>IF(BI162&gt;0,SUM(BI162:BM162),0)</f>
        <v>46650</v>
      </c>
      <c r="BO162">
        <f>_xlfn.XLOOKUP(B162,'[6]august-2025'!$A:$A,'[6]august-2025'!$H:$H,0,0)</f>
        <v>4000</v>
      </c>
      <c r="BP162">
        <f>_xlfn.XLOOKUP(B162,'[6]august-2025'!$A:$A,'[6]august-2025'!$I:$I,0,0)</f>
        <v>0</v>
      </c>
      <c r="BQ162">
        <f>IF($F162="YES",0,IF(BN162&gt;40000,200,IF(BN162&gt;25000,150,IF(BN162&gt;15000,130,IF(BN162&gt;10000,110,0)))))</f>
        <v>200</v>
      </c>
      <c r="BR162">
        <f>BN162-BO162-BP162-BQ162</f>
        <v>42450</v>
      </c>
      <c r="BS162">
        <f>_xlfn.XLOOKUP(B162,'[7]september-2025'!$A:$A,'[7]september-2025'!$C:$C,0,0)</f>
        <v>35500</v>
      </c>
      <c r="BT162">
        <f>BS162*0.18</f>
        <v>6390</v>
      </c>
      <c r="BU162">
        <f>BS162*0.12</f>
        <v>4260</v>
      </c>
      <c r="BV162">
        <f>_xlfn.XLOOKUP(B162,'[7]september-2025'!$A:$A,'[7]september-2025'!$D:$D,0,0)</f>
        <v>0</v>
      </c>
      <c r="BW162">
        <f>_xlfn.XLOOKUP(B162,'[7]september-2025'!$A:$A,'[7]september-2025'!$G:$G,0,0)</f>
        <v>500</v>
      </c>
      <c r="BX162">
        <f>IF(BS162&gt;0,SUM(BS162:BW162),0)</f>
        <v>46650</v>
      </c>
      <c r="BY162">
        <f>_xlfn.XLOOKUP(B162,'[7]september-2025'!$A:$A,'[7]september-2025'!$H:$H,0,0)</f>
        <v>4000</v>
      </c>
      <c r="BZ162">
        <f>_xlfn.XLOOKUP(B162,'[7]september-2025'!$A:$A,'[7]september-2025'!$I:$I,0,0)</f>
        <v>0</v>
      </c>
      <c r="CA162">
        <f>IF($F162="YES",0,IF(BX162&gt;40000,200,IF(BX162&gt;25000,150,IF(BX162&gt;15000,130,IF(BX162&gt;10000,110,0)))))</f>
        <v>200</v>
      </c>
      <c r="CB162">
        <f>BX162-BY162-BZ162-CA162</f>
        <v>42450</v>
      </c>
      <c r="CC162">
        <f>_xlfn.XLOOKUP(B162,'[8]october-2025'!$A:$A,'[8]october-2025'!$C:$C,0,0)</f>
        <v>35500</v>
      </c>
      <c r="CD162">
        <f>CC162*0.18</f>
        <v>6390</v>
      </c>
      <c r="CE162">
        <f>CC162*0.12</f>
        <v>4260</v>
      </c>
      <c r="CF162">
        <f>_xlfn.XLOOKUP(B162,'[8]october-2025'!$A:$A,'[8]october-2025'!$D:$D,0,0)</f>
        <v>0</v>
      </c>
      <c r="CG162">
        <f>_xlfn.XLOOKUP(B162,'[8]october-2025'!$A:$A,'[8]october-2025'!$G:$G,0,0)</f>
        <v>500</v>
      </c>
      <c r="CH162">
        <f>IF(CC162&gt;0,SUM(CC162:CG162),0)</f>
        <v>46650</v>
      </c>
      <c r="CI162">
        <f>_xlfn.XLOOKUP(B162,'[8]october-2025'!$A:$A,'[8]october-2025'!$H:$H,0,0)</f>
        <v>4000</v>
      </c>
      <c r="CJ162">
        <f>_xlfn.XLOOKUP(B162,'[8]october-2025'!$A:$A,'[8]october-2025'!$I:$I,0,0)</f>
        <v>0</v>
      </c>
      <c r="CK162">
        <f>IF($F162="YES",0,IF(CH162&gt;40000,200,IF(CH162&gt;25000,150,IF(CH162&gt;15000,130,IF(CH162&gt;10000,110,0)))))</f>
        <v>200</v>
      </c>
      <c r="CL162">
        <f>CH162-CI162-CJ162-CK162</f>
        <v>42450</v>
      </c>
      <c r="CM162">
        <f>_xlfn.XLOOKUP(B162,'[9]november-2025'!$A:$A,'[9]november-2025'!$C:$C,0,0)</f>
        <v>35500</v>
      </c>
      <c r="CN162">
        <f>CM162*0.18</f>
        <v>6390</v>
      </c>
      <c r="CO162">
        <f>CM162*0.12</f>
        <v>4260</v>
      </c>
      <c r="CP162">
        <f>_xlfn.XLOOKUP(B162,'[9]november-2025'!$A:$A,'[9]november-2025'!$D:$D,0,0)</f>
        <v>0</v>
      </c>
      <c r="CQ162">
        <f>_xlfn.XLOOKUP(B162,'[9]november-2025'!$A:$A,'[9]november-2025'!$G:$G,0,0)</f>
        <v>500</v>
      </c>
      <c r="CR162">
        <f>IF(CM162&gt;0,SUM(CM162:CQ162),0)</f>
        <v>46650</v>
      </c>
      <c r="CS162">
        <f>_xlfn.XLOOKUP(B162,'[9]november-2025'!$A:$A,'[9]november-2025'!$H:$H,0,0)</f>
        <v>4000</v>
      </c>
      <c r="CT162">
        <f>_xlfn.XLOOKUP(B162,'[9]november-2025'!$A:$A,'[9]november-2025'!$I:$I,0,0)</f>
        <v>0</v>
      </c>
      <c r="CU162">
        <f>IF($F162="YES",0,IF(CR162&gt;40000,200,IF(CR162&gt;25000,150,IF(CR162&gt;15000,130,IF(CR162&gt;10000,110,0)))))</f>
        <v>200</v>
      </c>
      <c r="CV162">
        <f>CR162-CS162-CT162-CU162</f>
        <v>42450</v>
      </c>
      <c r="CW162">
        <f>_xlfn.XLOOKUP(B162,'[10]december-2025'!$A:$A,'[10]december-2025'!$C:$C,0,0)</f>
        <v>35500</v>
      </c>
      <c r="CX162">
        <f>ROUND(CW162*0.18,0)</f>
        <v>6390</v>
      </c>
      <c r="CY162">
        <f>ROUND(CW162*0.12,0)</f>
        <v>4260</v>
      </c>
      <c r="CZ162">
        <f>_xlfn.XLOOKUP(B162,'[10]december-2025'!$A:$A,'[10]december-2025'!$D:$D,0,0)</f>
        <v>0</v>
      </c>
      <c r="DA162">
        <f>_xlfn.XLOOKUP(B162,'[10]december-2025'!$A:$A,'[10]december-2025'!$G:$G,0,0)</f>
        <v>500</v>
      </c>
      <c r="DB162">
        <f>IF(CW162&gt;0,SUM(CW162:DA162),0)</f>
        <v>46650</v>
      </c>
      <c r="DC162">
        <f>_xlfn.XLOOKUP(B162,'[10]december-2025'!$A:$A,'[10]december-2025'!$H:$H,0,0)</f>
        <v>4000</v>
      </c>
      <c r="DD162">
        <f>_xlfn.XLOOKUP(B162,'[10]december-2025'!$A:$A,'[10]december-2025'!$I:$I,0,0)</f>
        <v>0</v>
      </c>
      <c r="DE162">
        <f>IF($F162="YES",0,IF(DB162&gt;40000,200,IF(DB162&gt;25000,150,IF(DB162&gt;15000,130,IF(DB162&gt;10000,110,0)))))</f>
        <v>200</v>
      </c>
      <c r="DF162">
        <f>DB162-DC162-DD162-DE162</f>
        <v>42450</v>
      </c>
      <c r="DG162">
        <f>_xlfn.XLOOKUP(B162,'[11]january-2026'!$A:$A,'[11]january-2026'!$C:$C,0,0)</f>
        <v>35500</v>
      </c>
      <c r="DH162">
        <f>DG162*0.18</f>
        <v>6390</v>
      </c>
      <c r="DI162">
        <f>DG162*0.12</f>
        <v>4260</v>
      </c>
      <c r="DJ162">
        <f>_xlfn.XLOOKUP(B162,'[11]january-2026'!$A:$A,'[11]january-2026'!$D:$D,0,0)</f>
        <v>0</v>
      </c>
      <c r="DK162">
        <f>_xlfn.XLOOKUP(B162,'[11]january-2026'!$A:$A,'[11]january-2026'!$G:$G,0,0)</f>
        <v>500</v>
      </c>
      <c r="DL162">
        <f>IF(DG162&gt;0,SUM(DG162:DK162),0)</f>
        <v>46650</v>
      </c>
      <c r="DM162">
        <f>_xlfn.XLOOKUP(B162,'[11]january-2026'!$A:$A,'[11]january-2026'!$H:$H,0,0)</f>
        <v>4000</v>
      </c>
      <c r="DN162">
        <f>_xlfn.XLOOKUP(B162,'[11]january-2026'!$A:$A,'[11]january-2026'!$I:$I,0,0)</f>
        <v>0</v>
      </c>
      <c r="DO162">
        <f>IF($F162="YES",0,IF(DL162&gt;40000,200,IF(DL162&gt;25000,150,IF(DL162&gt;15000,130,IF(DL162&gt;10000,110,0)))))</f>
        <v>200</v>
      </c>
      <c r="DP162">
        <f>DL162-DM162-DN162-DO162</f>
        <v>42450</v>
      </c>
      <c r="DQ162">
        <f>_xlfn.XLOOKUP(B162,'[12]february-2026'!$A:$A,'[12]february-2026'!$C:$C,0,0)</f>
        <v>35500</v>
      </c>
      <c r="DR162">
        <f>DQ162*0.18</f>
        <v>6390</v>
      </c>
      <c r="DS162">
        <f>DQ162*0.12</f>
        <v>4260</v>
      </c>
      <c r="DT162">
        <f>_xlfn.XLOOKUP(B162,'[12]february-2026'!$A:$A,'[12]february-2026'!$D:$D,0,0)</f>
        <v>0</v>
      </c>
      <c r="DU162">
        <f>_xlfn.XLOOKUP(B162,'[12]february-2026'!$A:$A,'[12]february-2026'!$G:$G,0,0)</f>
        <v>500</v>
      </c>
      <c r="DV162">
        <f>IF(DQ162&gt;0,SUM(DQ162:DU162),0)</f>
        <v>46650</v>
      </c>
      <c r="DW162">
        <f>_xlfn.XLOOKUP(B162,'[12]february-2026'!$A:$A,'[12]february-2026'!$H:$H,0,0)</f>
        <v>4000</v>
      </c>
      <c r="DX162">
        <f>_xlfn.XLOOKUP(B162,'[12]february-2026'!$A:$A,'[12]february-2026'!$I:$I,0,0)</f>
        <v>0</v>
      </c>
      <c r="DY162">
        <f>IF($F162="YES",0,IF(DV162&gt;40000,200,IF(DV162&gt;25000,150,IF(DV162&gt;15000,130,IF(DV162&gt;10000,110,0)))))</f>
        <v>200</v>
      </c>
      <c r="DZ162">
        <f>DV162-DW162-DX162-DY162</f>
        <v>42450</v>
      </c>
      <c r="EA162">
        <f>DV162+DL162+DB162+CR162+CH162+BX162+BN162+BD162+AS162+AI162+Y162+O162+H162+I162</f>
        <v>560020</v>
      </c>
      <c r="EB162">
        <f>DY162+DO162+DE162+CU162+CK162+CA162+BQ162+BG162+AV162+AL162+AB162+R162</f>
        <v>2400</v>
      </c>
      <c r="EC162">
        <f>IF(EA162&gt;0,50000,0)</f>
        <v>50000</v>
      </c>
      <c r="ED162">
        <v>0</v>
      </c>
      <c r="EE162">
        <f>EA162-EB162-EC162</f>
        <v>507620</v>
      </c>
      <c r="EF162">
        <f>DW162+DM162+DC162+CS162+CI162+BY162+BO162+BE162+AT162+AJ162+Z162+P162</f>
        <v>48000</v>
      </c>
      <c r="EG162">
        <f>DX162+DN162+DD162+CT162+CJ162+BZ162+BP162+BF162+AU162+AK162+AA162+Q162</f>
        <v>0</v>
      </c>
      <c r="EH162">
        <v>0</v>
      </c>
      <c r="EI162">
        <v>0</v>
      </c>
      <c r="EJ162">
        <v>0</v>
      </c>
      <c r="EK162">
        <v>0</v>
      </c>
      <c r="EL162">
        <v>0</v>
      </c>
      <c r="EM162">
        <v>0</v>
      </c>
      <c r="EN162">
        <v>0</v>
      </c>
      <c r="EO162">
        <v>0</v>
      </c>
      <c r="EP162">
        <v>0</v>
      </c>
      <c r="EQ162">
        <v>0</v>
      </c>
      <c r="ER162">
        <f>SUM(EF162:EQ162)</f>
        <v>48000</v>
      </c>
      <c r="ES162">
        <f>IF(ER162&gt;=150000,150000,ER162)</f>
        <v>48000</v>
      </c>
      <c r="ET162">
        <f>EE162-ES162</f>
        <v>459620</v>
      </c>
      <c r="EU162">
        <v>0</v>
      </c>
      <c r="EV162">
        <v>0</v>
      </c>
      <c r="EW162">
        <v>0</v>
      </c>
      <c r="EX162">
        <v>0</v>
      </c>
      <c r="EY162">
        <v>0</v>
      </c>
      <c r="EZ162">
        <v>0</v>
      </c>
      <c r="FA162">
        <v>0</v>
      </c>
      <c r="FB162">
        <f>SUM(EU162:FA162)+(IF(F162="YES",50000,0))</f>
        <v>0</v>
      </c>
      <c r="FC162">
        <f>ET162-FB162</f>
        <v>459620</v>
      </c>
      <c r="FD162">
        <f>ROUND(IF(FC162&gt;0,IF(FC162&gt;500000,12500,(FC162-250000)*0.05),0),0)</f>
        <v>10481</v>
      </c>
      <c r="FE162">
        <f>IF(ROUND(IF(FC162&gt;0,IF(FC162&gt;1000000,25000,(FC162-500000)*0.2),0),0)&lt;0,0,ROUND(IF(FC162&gt;0,IF(FC162&gt;1000000,25000,(FC162-500000)*0.2),0),0))</f>
        <v>0</v>
      </c>
      <c r="FF162">
        <f>FD162+FE162</f>
        <v>10481</v>
      </c>
      <c r="FG162">
        <f>IF(FF162&lt;12500,0,FF162)</f>
        <v>0</v>
      </c>
      <c r="FH162">
        <f>FG162*0.04</f>
        <v>0</v>
      </c>
      <c r="FI162">
        <f>ROUND(FH162+FG162,0)</f>
        <v>0</v>
      </c>
      <c r="FJ162">
        <v>0</v>
      </c>
      <c r="FK162">
        <f>FI162-FJ162</f>
        <v>0</v>
      </c>
      <c r="FL162" t="b">
        <f>IF(EA162&gt;500000,TRUE,FALSE)</f>
        <v>1</v>
      </c>
      <c r="FM162">
        <f ca="1">IF(FL162,RANDBETWEEN(500,1000),RANDBETWEEN(1000,3000))</f>
        <v>781</v>
      </c>
      <c r="FN162">
        <f ca="1">EA162+FM162</f>
        <v>560801</v>
      </c>
      <c r="FO162">
        <f>IF(EA162&gt;0,75000,0)</f>
        <v>75000</v>
      </c>
      <c r="FP162">
        <f ca="1">FN162-FO162</f>
        <v>485801</v>
      </c>
      <c r="FQ162">
        <f ca="1">IF(FP162&gt;2400000,FP162-2400000,0)</f>
        <v>0</v>
      </c>
      <c r="FR162">
        <f ca="1">FQ162*0.3</f>
        <v>0</v>
      </c>
      <c r="FS162">
        <f ca="1">IF(FP162&gt;2000000,FP162-2000000,0)</f>
        <v>0</v>
      </c>
      <c r="FT162">
        <f ca="1">FS162*0.25</f>
        <v>0</v>
      </c>
      <c r="FU162">
        <f ca="1">IF(FP162&gt;1600000,FP162-1600000-FQ162,0)</f>
        <v>0</v>
      </c>
      <c r="FV162">
        <f ca="1">FU162*0.2</f>
        <v>0</v>
      </c>
      <c r="FW162">
        <f ca="1">IF(FP162&gt;1200000,FP162-1200000-IF(F162="YES",50000,0)-FU162,0)</f>
        <v>0</v>
      </c>
      <c r="FX162">
        <f ca="1">FW162*0.15</f>
        <v>0</v>
      </c>
      <c r="FY162">
        <f ca="1">IF(FP162&gt;800000,FP162-800000-FQ162-FU162-FW162,0)</f>
        <v>0</v>
      </c>
      <c r="FZ162">
        <f ca="1">FY162*0.1</f>
        <v>0</v>
      </c>
      <c r="GA162">
        <f ca="1">IF(FP162&gt;400000,FP162-400000-FQ162-FU162-FW162-FY162,0)</f>
        <v>85801</v>
      </c>
      <c r="GB162">
        <f ca="1">GA162*0.05</f>
        <v>4290.05</v>
      </c>
      <c r="GC162">
        <f ca="1">ROUND(FR162+FT162+FV162+FX162+FZ162+GB162,0)</f>
        <v>4290</v>
      </c>
      <c r="GD162">
        <f ca="1">IF(FP162&gt;1200000,FP162,0)</f>
        <v>0</v>
      </c>
      <c r="GE162">
        <f ca="1">IF(FP162&gt;1200000,GD162-1200000,0)</f>
        <v>0</v>
      </c>
      <c r="GF162">
        <f ca="1">IF(FP162&lt;1200001,MIN(GC162,60000),0)</f>
        <v>4290</v>
      </c>
      <c r="GG162">
        <f ca="1">IF(FP162&gt;1200000,GC162-GE162,0)</f>
        <v>0</v>
      </c>
      <c r="GH162" t="b">
        <f ca="1">IF(GG162&gt;0,TRUE,FALSE)</f>
        <v>0</v>
      </c>
      <c r="GI162">
        <f ca="1">IF(GH162,GG162,0)</f>
        <v>0</v>
      </c>
      <c r="GJ162">
        <f ca="1">GF162+GI162</f>
        <v>4290</v>
      </c>
      <c r="GK162">
        <f ca="1">ROUND(GC162-GJ162,0)</f>
        <v>0</v>
      </c>
      <c r="GL162">
        <f ca="1">GK162*0.04</f>
        <v>0</v>
      </c>
      <c r="GM162">
        <f ca="1">ROUNDUP(GK162+GL162,0)</f>
        <v>0</v>
      </c>
    </row>
    <row r="163" spans="1:195" x14ac:dyDescent="0.25">
      <c r="A163">
        <f>_xlfn.AGGREGATE(3,5,$B$2:B163)</f>
        <v>162</v>
      </c>
      <c r="B163" t="s">
        <v>437</v>
      </c>
      <c r="C163" t="s">
        <v>438</v>
      </c>
      <c r="D163" t="s">
        <v>796</v>
      </c>
      <c r="E163" t="s">
        <v>833</v>
      </c>
      <c r="F163" t="s">
        <v>959</v>
      </c>
      <c r="G163" t="s">
        <v>880</v>
      </c>
      <c r="H163">
        <f>IF(_xlfn.DAYS("31-03-2025",G163)&gt;=180,6800,0)</f>
        <v>6800</v>
      </c>
      <c r="I163">
        <f>_xlfn.XLOOKUP(B163,'[1]march-2025'!$A:$A,'[1]march-2025'!$J:$J,0,0)</f>
        <v>0</v>
      </c>
      <c r="J163">
        <f>_xlfn.XLOOKUP(B163,'[1]march-2025'!$A:$A,'[1]march-2025'!$C:$C,0,0)</f>
        <v>34500</v>
      </c>
      <c r="K163">
        <f>J163*0.14</f>
        <v>4830.0000000000009</v>
      </c>
      <c r="L163">
        <f>J163*0.12</f>
        <v>4140</v>
      </c>
      <c r="M163">
        <f>_xlfn.XLOOKUP(B163,'[1]march-2025'!$A:$A,'[1]march-2025'!$D:$D,0,0)</f>
        <v>0</v>
      </c>
      <c r="N163">
        <f>_xlfn.XLOOKUP(B163,'[1]march-2025'!$A:$A,'[1]march-2025'!$G:$G,0,0)</f>
        <v>500</v>
      </c>
      <c r="O163">
        <f>IF(J163&gt;0,SUM(J163:N163),0)</f>
        <v>43970</v>
      </c>
      <c r="P163">
        <f>_xlfn.XLOOKUP(B163,'[1]march-2025'!$A:$A,'[1]march-2025'!$H:$H,0,0)</f>
        <v>4000</v>
      </c>
      <c r="Q163">
        <f>_xlfn.XLOOKUP(B163,'[1]march-2025'!$A:$A,'[1]march-2025'!$I:$I,0,0)</f>
        <v>0</v>
      </c>
      <c r="R163">
        <f>IF($F163="YES",0,IF(O163&gt;40000,200,IF(O163&gt;25000,150,IF(O163&gt;15000,130,IF(O163&gt;10000,110,0)))))</f>
        <v>200</v>
      </c>
      <c r="S163">
        <f>O163-P163-Q163-R163</f>
        <v>39770</v>
      </c>
      <c r="T163">
        <f>_xlfn.XLOOKUP(B163,'[2]april-2025'!$A:$A,'[2]april-2025'!$C:$C,0,0)</f>
        <v>34500</v>
      </c>
      <c r="U163">
        <f>T163*0.18</f>
        <v>6210</v>
      </c>
      <c r="V163">
        <f>T163*0.12</f>
        <v>4140</v>
      </c>
      <c r="W163">
        <f>_xlfn.XLOOKUP(B163,'[2]april-2025'!$A:$A,'[2]april-2025'!$D:$D,0,0)</f>
        <v>0</v>
      </c>
      <c r="X163">
        <f>_xlfn.XLOOKUP(B163,'[2]april-2025'!$A:$A,'[2]april-2025'!$G:$G,0,0)</f>
        <v>500</v>
      </c>
      <c r="Y163">
        <f>IF(T163&gt;0,SUM(T163:X163),0)</f>
        <v>45350</v>
      </c>
      <c r="Z163">
        <f>_xlfn.XLOOKUP(B163,'[2]april-2025'!$A:$A,'[2]april-2025'!$H:$H,0,0)</f>
        <v>4000</v>
      </c>
      <c r="AA163">
        <f>_xlfn.XLOOKUP(B163,'[2]april-2025'!$A:$A,'[2]april-2025'!$I:$I,0,0)</f>
        <v>0</v>
      </c>
      <c r="AB163">
        <f>IF($F163="YES",0,IF(Y163&gt;40000,200,IF(Y163&gt;25000,150,IF(Y163&gt;15000,130,IF(Y163&gt;10000,110,0)))))</f>
        <v>200</v>
      </c>
      <c r="AC163">
        <f>Y163-Z163-AA163-AB163</f>
        <v>41150</v>
      </c>
      <c r="AD163">
        <f>_xlfn.XLOOKUP(B163,'[3]may-2025'!$A:$A,'[3]may-2025'!$C:$C,0,0)</f>
        <v>34500</v>
      </c>
      <c r="AE163">
        <f>AD163*0.18</f>
        <v>6210</v>
      </c>
      <c r="AF163">
        <f>AD163*0.12</f>
        <v>4140</v>
      </c>
      <c r="AG163">
        <f>_xlfn.XLOOKUP(B163,'[3]may-2025'!$A:$A,'[3]may-2025'!$D:$D,0,0)</f>
        <v>0</v>
      </c>
      <c r="AH163">
        <f>_xlfn.XLOOKUP(B163,'[3]may-2025'!$A:$A,'[3]may-2025'!$G:$G,0,0)</f>
        <v>500</v>
      </c>
      <c r="AI163">
        <f>IF(AD163&gt;0,SUM(AD163:AH163),0)</f>
        <v>45350</v>
      </c>
      <c r="AJ163">
        <f>_xlfn.XLOOKUP(B163,'[3]may-2025'!$A:$A,'[3]may-2025'!$H:$H,0,0)</f>
        <v>4000</v>
      </c>
      <c r="AK163">
        <f>_xlfn.XLOOKUP(B163,'[3]may-2025'!$A:$A,'[3]may-2025'!$I:$I,0,0)</f>
        <v>0</v>
      </c>
      <c r="AL163">
        <f>IF($F163="YES",0,IF(AI163&gt;40000,200,IF(AI163&gt;25000,150,IF(AI163&gt;15000,130,IF(AI163&gt;10000,110,0)))))</f>
        <v>200</v>
      </c>
      <c r="AM163">
        <f>AI163-AJ163-AK163-AL163</f>
        <v>41150</v>
      </c>
      <c r="AN163">
        <f>_xlfn.XLOOKUP(B163,'[4]june-2025'!$A:$A,'[4]june-2025'!$C:$C,0,0)</f>
        <v>34500</v>
      </c>
      <c r="AO163">
        <f>AN163*0.18</f>
        <v>6210</v>
      </c>
      <c r="AP163">
        <f>AN163*0.12</f>
        <v>4140</v>
      </c>
      <c r="AQ163">
        <f>_xlfn.XLOOKUP(B163,'[4]june-2025'!$A:$A,'[4]june-2025'!$D:$D,0,0)</f>
        <v>0</v>
      </c>
      <c r="AR163">
        <f>_xlfn.XLOOKUP(B163,'[4]june-2025'!$A:$A,'[4]june-2025'!$G:$G,0,0)</f>
        <v>500</v>
      </c>
      <c r="AS163">
        <f>IF(AN163&gt;0,SUM(AN163:AR163),0)</f>
        <v>45350</v>
      </c>
      <c r="AT163">
        <f>_xlfn.XLOOKUP(B163,'[4]june-2025'!$A:$A,'[4]june-2025'!$H:$H,0,0)</f>
        <v>4000</v>
      </c>
      <c r="AU163">
        <f>_xlfn.XLOOKUP(B163,'[4]june-2025'!$A:$A,'[4]june-2025'!$I:$I,0,0)</f>
        <v>0</v>
      </c>
      <c r="AV163">
        <f>IF($F163="YES",0,IF(AS163&gt;40000,200,IF(AS163&gt;25000,150,IF(AS163&gt;15000,130,IF(AS163&gt;10000,110,0)))))</f>
        <v>200</v>
      </c>
      <c r="AW163">
        <f>AS163-AT163-AU163-AV163</f>
        <v>41150</v>
      </c>
      <c r="AX163">
        <f>_xlfn.XLOOKUP(B163,'[5]july-2025'!$A:$A,'[5]july-2025'!$C:$C,0,0)</f>
        <v>35500</v>
      </c>
      <c r="AY163">
        <f>AX163*0.18</f>
        <v>6390</v>
      </c>
      <c r="AZ163">
        <v>0</v>
      </c>
      <c r="BA163">
        <f>AX163*0.12</f>
        <v>4260</v>
      </c>
      <c r="BB163">
        <f>_xlfn.XLOOKUP(B163,'[5]july-2025'!$A:$A,'[5]july-2025'!$D:$D,0,0)</f>
        <v>0</v>
      </c>
      <c r="BC163">
        <f>_xlfn.XLOOKUP(B163,'[5]july-2025'!$A:$A,'[5]july-2025'!$G:$G,0,0)</f>
        <v>500</v>
      </c>
      <c r="BD163">
        <f>IF(AX163&gt;0,SUM(AX163:BC163),0)</f>
        <v>46650</v>
      </c>
      <c r="BE163">
        <f>_xlfn.XLOOKUP(B163,'[5]july-2025'!$A:$A,'[5]july-2025'!$H:$H,0,0)</f>
        <v>4000</v>
      </c>
      <c r="BF163">
        <f>_xlfn.XLOOKUP(B163,'[5]july-2025'!$A:$A,'[5]july-2025'!$I:$I,0,0)</f>
        <v>0</v>
      </c>
      <c r="BG163">
        <f>IF($F163="YES",0,IF(BD163&gt;40000,200,IF(BD163&gt;25000,150,IF(BD163&gt;15000,130,IF(BD163&gt;10000,110,0)))))</f>
        <v>200</v>
      </c>
      <c r="BH163">
        <f>BD163-BE163-BF163-BG163</f>
        <v>42450</v>
      </c>
      <c r="BI163">
        <f>_xlfn.XLOOKUP(B163,'[6]august-2025'!$A:$A,'[6]august-2025'!$C:$C,0,0)</f>
        <v>35500</v>
      </c>
      <c r="BJ163">
        <f>BI163*0.18</f>
        <v>6390</v>
      </c>
      <c r="BK163">
        <f>BI163*0.12</f>
        <v>4260</v>
      </c>
      <c r="BL163">
        <f>_xlfn.XLOOKUP(B163,'[6]august-2025'!$A:$A,'[6]august-2025'!$D:$D,0,0)</f>
        <v>0</v>
      </c>
      <c r="BM163">
        <f>_xlfn.XLOOKUP(B163,'[6]august-2025'!$A:$A,'[6]august-2025'!$G:$G,0,0)</f>
        <v>500</v>
      </c>
      <c r="BN163">
        <f>IF(BI163&gt;0,SUM(BI163:BM163),0)</f>
        <v>46650</v>
      </c>
      <c r="BO163">
        <f>_xlfn.XLOOKUP(B163,'[6]august-2025'!$A:$A,'[6]august-2025'!$H:$H,0,0)</f>
        <v>4000</v>
      </c>
      <c r="BP163">
        <f>_xlfn.XLOOKUP(B163,'[6]august-2025'!$A:$A,'[6]august-2025'!$I:$I,0,0)</f>
        <v>0</v>
      </c>
      <c r="BQ163">
        <f>IF($F163="YES",0,IF(BN163&gt;40000,200,IF(BN163&gt;25000,150,IF(BN163&gt;15000,130,IF(BN163&gt;10000,110,0)))))</f>
        <v>200</v>
      </c>
      <c r="BR163">
        <f>BN163-BO163-BP163-BQ163</f>
        <v>42450</v>
      </c>
      <c r="BS163">
        <f>_xlfn.XLOOKUP(B163,'[7]september-2025'!$A:$A,'[7]september-2025'!$C:$C,0,0)</f>
        <v>35500</v>
      </c>
      <c r="BT163">
        <f>BS163*0.18</f>
        <v>6390</v>
      </c>
      <c r="BU163">
        <f>BS163*0.12</f>
        <v>4260</v>
      </c>
      <c r="BV163">
        <f>_xlfn.XLOOKUP(B163,'[7]september-2025'!$A:$A,'[7]september-2025'!$D:$D,0,0)</f>
        <v>0</v>
      </c>
      <c r="BW163">
        <f>_xlfn.XLOOKUP(B163,'[7]september-2025'!$A:$A,'[7]september-2025'!$G:$G,0,0)</f>
        <v>500</v>
      </c>
      <c r="BX163">
        <f>IF(BS163&gt;0,SUM(BS163:BW163),0)</f>
        <v>46650</v>
      </c>
      <c r="BY163">
        <f>_xlfn.XLOOKUP(B163,'[7]september-2025'!$A:$A,'[7]september-2025'!$H:$H,0,0)</f>
        <v>4000</v>
      </c>
      <c r="BZ163">
        <f>_xlfn.XLOOKUP(B163,'[7]september-2025'!$A:$A,'[7]september-2025'!$I:$I,0,0)</f>
        <v>0</v>
      </c>
      <c r="CA163">
        <f>IF($F163="YES",0,IF(BX163&gt;40000,200,IF(BX163&gt;25000,150,IF(BX163&gt;15000,130,IF(BX163&gt;10000,110,0)))))</f>
        <v>200</v>
      </c>
      <c r="CB163">
        <f>BX163-BY163-BZ163-CA163</f>
        <v>42450</v>
      </c>
      <c r="CC163">
        <f>_xlfn.XLOOKUP(B163,'[8]october-2025'!$A:$A,'[8]october-2025'!$C:$C,0,0)</f>
        <v>35500</v>
      </c>
      <c r="CD163">
        <f>CC163*0.18</f>
        <v>6390</v>
      </c>
      <c r="CE163">
        <f>CC163*0.12</f>
        <v>4260</v>
      </c>
      <c r="CF163">
        <f>_xlfn.XLOOKUP(B163,'[8]october-2025'!$A:$A,'[8]october-2025'!$D:$D,0,0)</f>
        <v>0</v>
      </c>
      <c r="CG163">
        <f>_xlfn.XLOOKUP(B163,'[8]october-2025'!$A:$A,'[8]october-2025'!$G:$G,0,0)</f>
        <v>500</v>
      </c>
      <c r="CH163">
        <f>IF(CC163&gt;0,SUM(CC163:CG163),0)</f>
        <v>46650</v>
      </c>
      <c r="CI163">
        <f>_xlfn.XLOOKUP(B163,'[8]october-2025'!$A:$A,'[8]october-2025'!$H:$H,0,0)</f>
        <v>4000</v>
      </c>
      <c r="CJ163">
        <f>_xlfn.XLOOKUP(B163,'[8]october-2025'!$A:$A,'[8]october-2025'!$I:$I,0,0)</f>
        <v>0</v>
      </c>
      <c r="CK163">
        <f>IF($F163="YES",0,IF(CH163&gt;40000,200,IF(CH163&gt;25000,150,IF(CH163&gt;15000,130,IF(CH163&gt;10000,110,0)))))</f>
        <v>200</v>
      </c>
      <c r="CL163">
        <f>CH163-CI163-CJ163-CK163</f>
        <v>42450</v>
      </c>
      <c r="CM163">
        <f>_xlfn.XLOOKUP(B163,'[9]november-2025'!$A:$A,'[9]november-2025'!$C:$C,0,0)</f>
        <v>35500</v>
      </c>
      <c r="CN163">
        <f>CM163*0.18</f>
        <v>6390</v>
      </c>
      <c r="CO163">
        <f>CM163*0.12</f>
        <v>4260</v>
      </c>
      <c r="CP163">
        <f>_xlfn.XLOOKUP(B163,'[9]november-2025'!$A:$A,'[9]november-2025'!$D:$D,0,0)</f>
        <v>0</v>
      </c>
      <c r="CQ163">
        <f>_xlfn.XLOOKUP(B163,'[9]november-2025'!$A:$A,'[9]november-2025'!$G:$G,0,0)</f>
        <v>500</v>
      </c>
      <c r="CR163">
        <f>IF(CM163&gt;0,SUM(CM163:CQ163),0)</f>
        <v>46650</v>
      </c>
      <c r="CS163">
        <f>_xlfn.XLOOKUP(B163,'[9]november-2025'!$A:$A,'[9]november-2025'!$H:$H,0,0)</f>
        <v>4000</v>
      </c>
      <c r="CT163">
        <f>_xlfn.XLOOKUP(B163,'[9]november-2025'!$A:$A,'[9]november-2025'!$I:$I,0,0)</f>
        <v>0</v>
      </c>
      <c r="CU163">
        <f>IF($F163="YES",0,IF(CR163&gt;40000,200,IF(CR163&gt;25000,150,IF(CR163&gt;15000,130,IF(CR163&gt;10000,110,0)))))</f>
        <v>200</v>
      </c>
      <c r="CV163">
        <f>CR163-CS163-CT163-CU163</f>
        <v>42450</v>
      </c>
      <c r="CW163">
        <f>_xlfn.XLOOKUP(B163,'[10]december-2025'!$A:$A,'[10]december-2025'!$C:$C,0,0)</f>
        <v>35500</v>
      </c>
      <c r="CX163">
        <f>ROUND(CW163*0.18,0)</f>
        <v>6390</v>
      </c>
      <c r="CY163">
        <f>ROUND(CW163*0.12,0)</f>
        <v>4260</v>
      </c>
      <c r="CZ163">
        <f>_xlfn.XLOOKUP(B163,'[10]december-2025'!$A:$A,'[10]december-2025'!$D:$D,0,0)</f>
        <v>0</v>
      </c>
      <c r="DA163">
        <f>_xlfn.XLOOKUP(B163,'[10]december-2025'!$A:$A,'[10]december-2025'!$G:$G,0,0)</f>
        <v>500</v>
      </c>
      <c r="DB163">
        <f>IF(CW163&gt;0,SUM(CW163:DA163),0)</f>
        <v>46650</v>
      </c>
      <c r="DC163">
        <f>_xlfn.XLOOKUP(B163,'[10]december-2025'!$A:$A,'[10]december-2025'!$H:$H,0,0)</f>
        <v>4000</v>
      </c>
      <c r="DD163">
        <f>_xlfn.XLOOKUP(B163,'[10]december-2025'!$A:$A,'[10]december-2025'!$I:$I,0,0)</f>
        <v>0</v>
      </c>
      <c r="DE163">
        <f>IF($F163="YES",0,IF(DB163&gt;40000,200,IF(DB163&gt;25000,150,IF(DB163&gt;15000,130,IF(DB163&gt;10000,110,0)))))</f>
        <v>200</v>
      </c>
      <c r="DF163">
        <f>DB163-DC163-DD163-DE163</f>
        <v>42450</v>
      </c>
      <c r="DG163">
        <f>_xlfn.XLOOKUP(B163,'[11]january-2026'!$A:$A,'[11]january-2026'!$C:$C,0,0)</f>
        <v>35500</v>
      </c>
      <c r="DH163">
        <f>DG163*0.18</f>
        <v>6390</v>
      </c>
      <c r="DI163">
        <f>DG163*0.12</f>
        <v>4260</v>
      </c>
      <c r="DJ163">
        <f>_xlfn.XLOOKUP(B163,'[11]january-2026'!$A:$A,'[11]january-2026'!$D:$D,0,0)</f>
        <v>0</v>
      </c>
      <c r="DK163">
        <f>_xlfn.XLOOKUP(B163,'[11]january-2026'!$A:$A,'[11]january-2026'!$G:$G,0,0)</f>
        <v>500</v>
      </c>
      <c r="DL163">
        <f>IF(DG163&gt;0,SUM(DG163:DK163),0)</f>
        <v>46650</v>
      </c>
      <c r="DM163">
        <f>_xlfn.XLOOKUP(B163,'[11]january-2026'!$A:$A,'[11]january-2026'!$H:$H,0,0)</f>
        <v>4000</v>
      </c>
      <c r="DN163">
        <f>_xlfn.XLOOKUP(B163,'[11]january-2026'!$A:$A,'[11]january-2026'!$I:$I,0,0)</f>
        <v>0</v>
      </c>
      <c r="DO163">
        <f>IF($F163="YES",0,IF(DL163&gt;40000,200,IF(DL163&gt;25000,150,IF(DL163&gt;15000,130,IF(DL163&gt;10000,110,0)))))</f>
        <v>200</v>
      </c>
      <c r="DP163">
        <f>DL163-DM163-DN163-DO163</f>
        <v>42450</v>
      </c>
      <c r="DQ163">
        <f>_xlfn.XLOOKUP(B163,'[12]february-2026'!$A:$A,'[12]february-2026'!$C:$C,0,0)</f>
        <v>35500</v>
      </c>
      <c r="DR163">
        <f>DQ163*0.18</f>
        <v>6390</v>
      </c>
      <c r="DS163">
        <f>DQ163*0.12</f>
        <v>4260</v>
      </c>
      <c r="DT163">
        <f>_xlfn.XLOOKUP(B163,'[12]february-2026'!$A:$A,'[12]february-2026'!$D:$D,0,0)</f>
        <v>0</v>
      </c>
      <c r="DU163">
        <f>_xlfn.XLOOKUP(B163,'[12]february-2026'!$A:$A,'[12]february-2026'!$G:$G,0,0)</f>
        <v>500</v>
      </c>
      <c r="DV163">
        <f>IF(DQ163&gt;0,SUM(DQ163:DU163),0)</f>
        <v>46650</v>
      </c>
      <c r="DW163">
        <f>_xlfn.XLOOKUP(B163,'[12]february-2026'!$A:$A,'[12]february-2026'!$H:$H,0,0)</f>
        <v>4000</v>
      </c>
      <c r="DX163">
        <f>_xlfn.XLOOKUP(B163,'[12]february-2026'!$A:$A,'[12]february-2026'!$I:$I,0,0)</f>
        <v>0</v>
      </c>
      <c r="DY163">
        <f>IF($F163="YES",0,IF(DV163&gt;40000,200,IF(DV163&gt;25000,150,IF(DV163&gt;15000,130,IF(DV163&gt;10000,110,0)))))</f>
        <v>200</v>
      </c>
      <c r="DZ163">
        <f>DV163-DW163-DX163-DY163</f>
        <v>42450</v>
      </c>
      <c r="EA163">
        <f>DV163+DL163+DB163+CR163+CH163+BX163+BN163+BD163+AS163+AI163+Y163+O163+H163+I163</f>
        <v>560020</v>
      </c>
      <c r="EB163">
        <f>DY163+DO163+DE163+CU163+CK163+CA163+BQ163+BG163+AV163+AL163+AB163+R163</f>
        <v>2400</v>
      </c>
      <c r="EC163">
        <f>IF(EA163&gt;0,50000,0)</f>
        <v>50000</v>
      </c>
      <c r="ED163">
        <v>0</v>
      </c>
      <c r="EE163">
        <f>EA163-EB163-EC163</f>
        <v>507620</v>
      </c>
      <c r="EF163">
        <f>DW163+DM163+DC163+CS163+CI163+BY163+BO163+BE163+AT163+AJ163+Z163+P163</f>
        <v>48000</v>
      </c>
      <c r="EG163">
        <f>DX163+DN163+DD163+CT163+CJ163+BZ163+BP163+BF163+AU163+AK163+AA163+Q163</f>
        <v>0</v>
      </c>
      <c r="EH163">
        <v>0</v>
      </c>
      <c r="EI163">
        <v>0</v>
      </c>
      <c r="EJ163">
        <v>0</v>
      </c>
      <c r="EK163">
        <v>0</v>
      </c>
      <c r="EL163">
        <v>0</v>
      </c>
      <c r="EM163">
        <v>0</v>
      </c>
      <c r="EN163">
        <v>0</v>
      </c>
      <c r="EO163">
        <v>0</v>
      </c>
      <c r="EP163">
        <v>0</v>
      </c>
      <c r="EQ163">
        <v>0</v>
      </c>
      <c r="ER163">
        <f>SUM(EF163:EQ163)</f>
        <v>48000</v>
      </c>
      <c r="ES163">
        <f>IF(ER163&gt;=150000,150000,ER163)</f>
        <v>48000</v>
      </c>
      <c r="ET163">
        <f>EE163-ES163</f>
        <v>459620</v>
      </c>
      <c r="EU163">
        <v>0</v>
      </c>
      <c r="EV163">
        <v>0</v>
      </c>
      <c r="EW163">
        <v>0</v>
      </c>
      <c r="EX163">
        <v>0</v>
      </c>
      <c r="EY163">
        <v>0</v>
      </c>
      <c r="EZ163">
        <v>0</v>
      </c>
      <c r="FA163">
        <v>0</v>
      </c>
      <c r="FB163">
        <f>SUM(EU163:FA163)+(IF(F163="YES",50000,0))</f>
        <v>0</v>
      </c>
      <c r="FC163">
        <f>ET163-FB163</f>
        <v>459620</v>
      </c>
      <c r="FD163">
        <f>ROUND(IF(FC163&gt;0,IF(FC163&gt;500000,12500,(FC163-250000)*0.05),0),0)</f>
        <v>10481</v>
      </c>
      <c r="FE163">
        <f>IF(ROUND(IF(FC163&gt;0,IF(FC163&gt;1000000,25000,(FC163-500000)*0.2),0),0)&lt;0,0,ROUND(IF(FC163&gt;0,IF(FC163&gt;1000000,25000,(FC163-500000)*0.2),0),0))</f>
        <v>0</v>
      </c>
      <c r="FF163">
        <f>FD163+FE163</f>
        <v>10481</v>
      </c>
      <c r="FG163">
        <f>IF(FF163&lt;12500,0,FF163)</f>
        <v>0</v>
      </c>
      <c r="FH163">
        <f>FG163*0.04</f>
        <v>0</v>
      </c>
      <c r="FI163">
        <f>ROUND(FH163+FG163,0)</f>
        <v>0</v>
      </c>
      <c r="FJ163">
        <v>0</v>
      </c>
      <c r="FK163">
        <f>FI163-FJ163</f>
        <v>0</v>
      </c>
      <c r="FL163" t="b">
        <f>IF(EA163&gt;500000,TRUE,FALSE)</f>
        <v>1</v>
      </c>
      <c r="FM163">
        <f ca="1">IF(FL163,RANDBETWEEN(500,1000),RANDBETWEEN(1000,3000))</f>
        <v>551</v>
      </c>
      <c r="FN163">
        <f ca="1">EA163+FM163</f>
        <v>560571</v>
      </c>
      <c r="FO163">
        <f>IF(EA163&gt;0,75000,0)</f>
        <v>75000</v>
      </c>
      <c r="FP163">
        <f ca="1">FN163-FO163</f>
        <v>485571</v>
      </c>
      <c r="FQ163">
        <f ca="1">IF(FP163&gt;2400000,FP163-2400000,0)</f>
        <v>0</v>
      </c>
      <c r="FR163">
        <f ca="1">FQ163*0.3</f>
        <v>0</v>
      </c>
      <c r="FS163">
        <f ca="1">IF(FP163&gt;2000000,FP163-2000000,0)</f>
        <v>0</v>
      </c>
      <c r="FT163">
        <f ca="1">FS163*0.25</f>
        <v>0</v>
      </c>
      <c r="FU163">
        <f ca="1">IF(FP163&gt;1600000,FP163-1600000-FQ163,0)</f>
        <v>0</v>
      </c>
      <c r="FV163">
        <f ca="1">FU163*0.2</f>
        <v>0</v>
      </c>
      <c r="FW163">
        <f ca="1">IF(FP163&gt;1200000,FP163-1200000-IF(F163="YES",50000,0)-FU163,0)</f>
        <v>0</v>
      </c>
      <c r="FX163">
        <f ca="1">FW163*0.15</f>
        <v>0</v>
      </c>
      <c r="FY163">
        <f ca="1">IF(FP163&gt;800000,FP163-800000-FQ163-FU163-FW163,0)</f>
        <v>0</v>
      </c>
      <c r="FZ163">
        <f ca="1">FY163*0.1</f>
        <v>0</v>
      </c>
      <c r="GA163">
        <f ca="1">IF(FP163&gt;400000,FP163-400000-FQ163-FU163-FW163-FY163,0)</f>
        <v>85571</v>
      </c>
      <c r="GB163">
        <f ca="1">GA163*0.05</f>
        <v>4278.55</v>
      </c>
      <c r="GC163">
        <f ca="1">ROUND(FR163+FT163+FV163+FX163+FZ163+GB163,0)</f>
        <v>4279</v>
      </c>
      <c r="GD163">
        <f ca="1">IF(FP163&gt;1200000,FP163,0)</f>
        <v>0</v>
      </c>
      <c r="GE163">
        <f ca="1">IF(FP163&gt;1200000,GD163-1200000,0)</f>
        <v>0</v>
      </c>
      <c r="GF163">
        <f ca="1">IF(FP163&lt;1200001,MIN(GC163,60000),0)</f>
        <v>4279</v>
      </c>
      <c r="GG163">
        <f ca="1">IF(FP163&gt;1200000,GC163-GE163,0)</f>
        <v>0</v>
      </c>
      <c r="GH163" t="b">
        <f ca="1">IF(GG163&gt;0,TRUE,FALSE)</f>
        <v>0</v>
      </c>
      <c r="GI163">
        <f ca="1">IF(GH163,GG163,0)</f>
        <v>0</v>
      </c>
      <c r="GJ163">
        <f ca="1">GF163+GI163</f>
        <v>4279</v>
      </c>
      <c r="GK163">
        <f ca="1">ROUND(GC163-GJ163,0)</f>
        <v>0</v>
      </c>
      <c r="GL163">
        <f ca="1">GK163*0.04</f>
        <v>0</v>
      </c>
      <c r="GM163">
        <f ca="1">ROUNDUP(GK163+GL163,0)</f>
        <v>0</v>
      </c>
    </row>
    <row r="164" spans="1:195" x14ac:dyDescent="0.25">
      <c r="A164">
        <f>_xlfn.AGGREGATE(3,5,$B$2:B164)</f>
        <v>163</v>
      </c>
      <c r="B164" t="s">
        <v>439</v>
      </c>
      <c r="C164" t="s">
        <v>440</v>
      </c>
      <c r="D164" t="s">
        <v>796</v>
      </c>
      <c r="E164" t="s">
        <v>833</v>
      </c>
      <c r="F164" t="s">
        <v>959</v>
      </c>
      <c r="G164" t="s">
        <v>880</v>
      </c>
      <c r="H164">
        <f>IF(_xlfn.DAYS("31-03-2025",G164)&gt;=180,6800,0)</f>
        <v>6800</v>
      </c>
      <c r="I164">
        <f>_xlfn.XLOOKUP(B164,'[1]march-2025'!$A:$A,'[1]march-2025'!$J:$J,0,0)</f>
        <v>0</v>
      </c>
      <c r="J164">
        <f>_xlfn.XLOOKUP(B164,'[1]march-2025'!$A:$A,'[1]march-2025'!$C:$C,0,0)</f>
        <v>34500</v>
      </c>
      <c r="K164">
        <f>J164*0.14</f>
        <v>4830.0000000000009</v>
      </c>
      <c r="L164">
        <f>J164*0.12</f>
        <v>4140</v>
      </c>
      <c r="M164">
        <f>_xlfn.XLOOKUP(B164,'[1]march-2025'!$A:$A,'[1]march-2025'!$D:$D,0,0)</f>
        <v>0</v>
      </c>
      <c r="N164">
        <f>_xlfn.XLOOKUP(B164,'[1]march-2025'!$A:$A,'[1]march-2025'!$G:$G,0,0)</f>
        <v>500</v>
      </c>
      <c r="O164">
        <f>IF(J164&gt;0,SUM(J164:N164),0)</f>
        <v>43970</v>
      </c>
      <c r="P164">
        <f>_xlfn.XLOOKUP(B164,'[1]march-2025'!$A:$A,'[1]march-2025'!$H:$H,0,0)</f>
        <v>4000</v>
      </c>
      <c r="Q164">
        <f>_xlfn.XLOOKUP(B164,'[1]march-2025'!$A:$A,'[1]march-2025'!$I:$I,0,0)</f>
        <v>0</v>
      </c>
      <c r="R164">
        <f>IF($F164="YES",0,IF(O164&gt;40000,200,IF(O164&gt;25000,150,IF(O164&gt;15000,130,IF(O164&gt;10000,110,0)))))</f>
        <v>200</v>
      </c>
      <c r="S164">
        <f>O164-P164-Q164-R164</f>
        <v>39770</v>
      </c>
      <c r="T164">
        <f>_xlfn.XLOOKUP(B164,'[2]april-2025'!$A:$A,'[2]april-2025'!$C:$C,0,0)</f>
        <v>34500</v>
      </c>
      <c r="U164">
        <f>T164*0.18</f>
        <v>6210</v>
      </c>
      <c r="V164">
        <f>T164*0.12</f>
        <v>4140</v>
      </c>
      <c r="W164">
        <f>_xlfn.XLOOKUP(B164,'[2]april-2025'!$A:$A,'[2]april-2025'!$D:$D,0,0)</f>
        <v>0</v>
      </c>
      <c r="X164">
        <f>_xlfn.XLOOKUP(B164,'[2]april-2025'!$A:$A,'[2]april-2025'!$G:$G,0,0)</f>
        <v>500</v>
      </c>
      <c r="Y164">
        <f>IF(T164&gt;0,SUM(T164:X164),0)</f>
        <v>45350</v>
      </c>
      <c r="Z164">
        <f>_xlfn.XLOOKUP(B164,'[2]april-2025'!$A:$A,'[2]april-2025'!$H:$H,0,0)</f>
        <v>4000</v>
      </c>
      <c r="AA164">
        <f>_xlfn.XLOOKUP(B164,'[2]april-2025'!$A:$A,'[2]april-2025'!$I:$I,0,0)</f>
        <v>0</v>
      </c>
      <c r="AB164">
        <f>IF($F164="YES",0,IF(Y164&gt;40000,200,IF(Y164&gt;25000,150,IF(Y164&gt;15000,130,IF(Y164&gt;10000,110,0)))))</f>
        <v>200</v>
      </c>
      <c r="AC164">
        <f>Y164-Z164-AA164-AB164</f>
        <v>41150</v>
      </c>
      <c r="AD164">
        <f>_xlfn.XLOOKUP(B164,'[3]may-2025'!$A:$A,'[3]may-2025'!$C:$C,0,0)</f>
        <v>34500</v>
      </c>
      <c r="AE164">
        <f>AD164*0.18</f>
        <v>6210</v>
      </c>
      <c r="AF164">
        <f>AD164*0.12</f>
        <v>4140</v>
      </c>
      <c r="AG164">
        <f>_xlfn.XLOOKUP(B164,'[3]may-2025'!$A:$A,'[3]may-2025'!$D:$D,0,0)</f>
        <v>0</v>
      </c>
      <c r="AH164">
        <f>_xlfn.XLOOKUP(B164,'[3]may-2025'!$A:$A,'[3]may-2025'!$G:$G,0,0)</f>
        <v>500</v>
      </c>
      <c r="AI164">
        <f>IF(AD164&gt;0,SUM(AD164:AH164),0)</f>
        <v>45350</v>
      </c>
      <c r="AJ164">
        <f>_xlfn.XLOOKUP(B164,'[3]may-2025'!$A:$A,'[3]may-2025'!$H:$H,0,0)</f>
        <v>4000</v>
      </c>
      <c r="AK164">
        <f>_xlfn.XLOOKUP(B164,'[3]may-2025'!$A:$A,'[3]may-2025'!$I:$I,0,0)</f>
        <v>0</v>
      </c>
      <c r="AL164">
        <f>IF($F164="YES",0,IF(AI164&gt;40000,200,IF(AI164&gt;25000,150,IF(AI164&gt;15000,130,IF(AI164&gt;10000,110,0)))))</f>
        <v>200</v>
      </c>
      <c r="AM164">
        <f>AI164-AJ164-AK164-AL164</f>
        <v>41150</v>
      </c>
      <c r="AN164">
        <f>_xlfn.XLOOKUP(B164,'[4]june-2025'!$A:$A,'[4]june-2025'!$C:$C,0,0)</f>
        <v>34500</v>
      </c>
      <c r="AO164">
        <f>AN164*0.18</f>
        <v>6210</v>
      </c>
      <c r="AP164">
        <f>AN164*0.12</f>
        <v>4140</v>
      </c>
      <c r="AQ164">
        <f>_xlfn.XLOOKUP(B164,'[4]june-2025'!$A:$A,'[4]june-2025'!$D:$D,0,0)</f>
        <v>0</v>
      </c>
      <c r="AR164">
        <f>_xlfn.XLOOKUP(B164,'[4]june-2025'!$A:$A,'[4]june-2025'!$G:$G,0,0)</f>
        <v>500</v>
      </c>
      <c r="AS164">
        <f>IF(AN164&gt;0,SUM(AN164:AR164),0)</f>
        <v>45350</v>
      </c>
      <c r="AT164">
        <f>_xlfn.XLOOKUP(B164,'[4]june-2025'!$A:$A,'[4]june-2025'!$H:$H,0,0)</f>
        <v>4000</v>
      </c>
      <c r="AU164">
        <f>_xlfn.XLOOKUP(B164,'[4]june-2025'!$A:$A,'[4]june-2025'!$I:$I,0,0)</f>
        <v>0</v>
      </c>
      <c r="AV164">
        <f>IF($F164="YES",0,IF(AS164&gt;40000,200,IF(AS164&gt;25000,150,IF(AS164&gt;15000,130,IF(AS164&gt;10000,110,0)))))</f>
        <v>200</v>
      </c>
      <c r="AW164">
        <f>AS164-AT164-AU164-AV164</f>
        <v>41150</v>
      </c>
      <c r="AX164">
        <f>_xlfn.XLOOKUP(B164,'[5]july-2025'!$A:$A,'[5]july-2025'!$C:$C,0,0)</f>
        <v>35500</v>
      </c>
      <c r="AY164">
        <f>AX164*0.18</f>
        <v>6390</v>
      </c>
      <c r="AZ164">
        <v>0</v>
      </c>
      <c r="BA164">
        <f>AX164*0.12</f>
        <v>4260</v>
      </c>
      <c r="BB164">
        <f>_xlfn.XLOOKUP(B164,'[5]july-2025'!$A:$A,'[5]july-2025'!$D:$D,0,0)</f>
        <v>0</v>
      </c>
      <c r="BC164">
        <f>_xlfn.XLOOKUP(B164,'[5]july-2025'!$A:$A,'[5]july-2025'!$G:$G,0,0)</f>
        <v>500</v>
      </c>
      <c r="BD164">
        <f>IF(AX164&gt;0,SUM(AX164:BC164),0)</f>
        <v>46650</v>
      </c>
      <c r="BE164">
        <f>_xlfn.XLOOKUP(B164,'[5]july-2025'!$A:$A,'[5]july-2025'!$H:$H,0,0)</f>
        <v>4000</v>
      </c>
      <c r="BF164">
        <f>_xlfn.XLOOKUP(B164,'[5]july-2025'!$A:$A,'[5]july-2025'!$I:$I,0,0)</f>
        <v>0</v>
      </c>
      <c r="BG164">
        <f>IF($F164="YES",0,IF(BD164&gt;40000,200,IF(BD164&gt;25000,150,IF(BD164&gt;15000,130,IF(BD164&gt;10000,110,0)))))</f>
        <v>200</v>
      </c>
      <c r="BH164">
        <f>BD164-BE164-BF164-BG164</f>
        <v>42450</v>
      </c>
      <c r="BI164">
        <f>_xlfn.XLOOKUP(B164,'[6]august-2025'!$A:$A,'[6]august-2025'!$C:$C,0,0)</f>
        <v>35500</v>
      </c>
      <c r="BJ164">
        <f>BI164*0.18</f>
        <v>6390</v>
      </c>
      <c r="BK164">
        <f>BI164*0.12</f>
        <v>4260</v>
      </c>
      <c r="BL164">
        <f>_xlfn.XLOOKUP(B164,'[6]august-2025'!$A:$A,'[6]august-2025'!$D:$D,0,0)</f>
        <v>0</v>
      </c>
      <c r="BM164">
        <f>_xlfn.XLOOKUP(B164,'[6]august-2025'!$A:$A,'[6]august-2025'!$G:$G,0,0)</f>
        <v>500</v>
      </c>
      <c r="BN164">
        <f>IF(BI164&gt;0,SUM(BI164:BM164),0)</f>
        <v>46650</v>
      </c>
      <c r="BO164">
        <f>_xlfn.XLOOKUP(B164,'[6]august-2025'!$A:$A,'[6]august-2025'!$H:$H,0,0)</f>
        <v>4000</v>
      </c>
      <c r="BP164">
        <f>_xlfn.XLOOKUP(B164,'[6]august-2025'!$A:$A,'[6]august-2025'!$I:$I,0,0)</f>
        <v>0</v>
      </c>
      <c r="BQ164">
        <f>IF($F164="YES",0,IF(BN164&gt;40000,200,IF(BN164&gt;25000,150,IF(BN164&gt;15000,130,IF(BN164&gt;10000,110,0)))))</f>
        <v>200</v>
      </c>
      <c r="BR164">
        <f>BN164-BO164-BP164-BQ164</f>
        <v>42450</v>
      </c>
      <c r="BS164">
        <f>_xlfn.XLOOKUP(B164,'[7]september-2025'!$A:$A,'[7]september-2025'!$C:$C,0,0)</f>
        <v>35500</v>
      </c>
      <c r="BT164">
        <f>BS164*0.18</f>
        <v>6390</v>
      </c>
      <c r="BU164">
        <f>BS164*0.12</f>
        <v>4260</v>
      </c>
      <c r="BV164">
        <f>_xlfn.XLOOKUP(B164,'[7]september-2025'!$A:$A,'[7]september-2025'!$D:$D,0,0)</f>
        <v>0</v>
      </c>
      <c r="BW164">
        <f>_xlfn.XLOOKUP(B164,'[7]september-2025'!$A:$A,'[7]september-2025'!$G:$G,0,0)</f>
        <v>500</v>
      </c>
      <c r="BX164">
        <f>IF(BS164&gt;0,SUM(BS164:BW164),0)</f>
        <v>46650</v>
      </c>
      <c r="BY164">
        <f>_xlfn.XLOOKUP(B164,'[7]september-2025'!$A:$A,'[7]september-2025'!$H:$H,0,0)</f>
        <v>4000</v>
      </c>
      <c r="BZ164">
        <f>_xlfn.XLOOKUP(B164,'[7]september-2025'!$A:$A,'[7]september-2025'!$I:$I,0,0)</f>
        <v>0</v>
      </c>
      <c r="CA164">
        <f>IF($F164="YES",0,IF(BX164&gt;40000,200,IF(BX164&gt;25000,150,IF(BX164&gt;15000,130,IF(BX164&gt;10000,110,0)))))</f>
        <v>200</v>
      </c>
      <c r="CB164">
        <f>BX164-BY164-BZ164-CA164</f>
        <v>42450</v>
      </c>
      <c r="CC164">
        <f>_xlfn.XLOOKUP(B164,'[8]october-2025'!$A:$A,'[8]october-2025'!$C:$C,0,0)</f>
        <v>35500</v>
      </c>
      <c r="CD164">
        <f>CC164*0.18</f>
        <v>6390</v>
      </c>
      <c r="CE164">
        <f>CC164*0.12</f>
        <v>4260</v>
      </c>
      <c r="CF164">
        <f>_xlfn.XLOOKUP(B164,'[8]october-2025'!$A:$A,'[8]october-2025'!$D:$D,0,0)</f>
        <v>0</v>
      </c>
      <c r="CG164">
        <f>_xlfn.XLOOKUP(B164,'[8]october-2025'!$A:$A,'[8]october-2025'!$G:$G,0,0)</f>
        <v>500</v>
      </c>
      <c r="CH164">
        <f>IF(CC164&gt;0,SUM(CC164:CG164),0)</f>
        <v>46650</v>
      </c>
      <c r="CI164">
        <f>_xlfn.XLOOKUP(B164,'[8]october-2025'!$A:$A,'[8]october-2025'!$H:$H,0,0)</f>
        <v>4000</v>
      </c>
      <c r="CJ164">
        <f>_xlfn.XLOOKUP(B164,'[8]october-2025'!$A:$A,'[8]october-2025'!$I:$I,0,0)</f>
        <v>0</v>
      </c>
      <c r="CK164">
        <f>IF($F164="YES",0,IF(CH164&gt;40000,200,IF(CH164&gt;25000,150,IF(CH164&gt;15000,130,IF(CH164&gt;10000,110,0)))))</f>
        <v>200</v>
      </c>
      <c r="CL164">
        <f>CH164-CI164-CJ164-CK164</f>
        <v>42450</v>
      </c>
      <c r="CM164">
        <f>_xlfn.XLOOKUP(B164,'[9]november-2025'!$A:$A,'[9]november-2025'!$C:$C,0,0)</f>
        <v>35500</v>
      </c>
      <c r="CN164">
        <f>CM164*0.18</f>
        <v>6390</v>
      </c>
      <c r="CO164">
        <f>CM164*0.12</f>
        <v>4260</v>
      </c>
      <c r="CP164">
        <f>_xlfn.XLOOKUP(B164,'[9]november-2025'!$A:$A,'[9]november-2025'!$D:$D,0,0)</f>
        <v>0</v>
      </c>
      <c r="CQ164">
        <f>_xlfn.XLOOKUP(B164,'[9]november-2025'!$A:$A,'[9]november-2025'!$G:$G,0,0)</f>
        <v>500</v>
      </c>
      <c r="CR164">
        <f>IF(CM164&gt;0,SUM(CM164:CQ164),0)</f>
        <v>46650</v>
      </c>
      <c r="CS164">
        <f>_xlfn.XLOOKUP(B164,'[9]november-2025'!$A:$A,'[9]november-2025'!$H:$H,0,0)</f>
        <v>4000</v>
      </c>
      <c r="CT164">
        <f>_xlfn.XLOOKUP(B164,'[9]november-2025'!$A:$A,'[9]november-2025'!$I:$I,0,0)</f>
        <v>0</v>
      </c>
      <c r="CU164">
        <f>IF($F164="YES",0,IF(CR164&gt;40000,200,IF(CR164&gt;25000,150,IF(CR164&gt;15000,130,IF(CR164&gt;10000,110,0)))))</f>
        <v>200</v>
      </c>
      <c r="CV164">
        <f>CR164-CS164-CT164-CU164</f>
        <v>42450</v>
      </c>
      <c r="CW164">
        <f>_xlfn.XLOOKUP(B164,'[10]december-2025'!$A:$A,'[10]december-2025'!$C:$C,0,0)</f>
        <v>35500</v>
      </c>
      <c r="CX164">
        <f>ROUND(CW164*0.18,0)</f>
        <v>6390</v>
      </c>
      <c r="CY164">
        <f>ROUND(CW164*0.12,0)</f>
        <v>4260</v>
      </c>
      <c r="CZ164">
        <f>_xlfn.XLOOKUP(B164,'[10]december-2025'!$A:$A,'[10]december-2025'!$D:$D,0,0)</f>
        <v>0</v>
      </c>
      <c r="DA164">
        <f>_xlfn.XLOOKUP(B164,'[10]december-2025'!$A:$A,'[10]december-2025'!$G:$G,0,0)</f>
        <v>500</v>
      </c>
      <c r="DB164">
        <f>IF(CW164&gt;0,SUM(CW164:DA164),0)</f>
        <v>46650</v>
      </c>
      <c r="DC164">
        <f>_xlfn.XLOOKUP(B164,'[10]december-2025'!$A:$A,'[10]december-2025'!$H:$H,0,0)</f>
        <v>4000</v>
      </c>
      <c r="DD164">
        <f>_xlfn.XLOOKUP(B164,'[10]december-2025'!$A:$A,'[10]december-2025'!$I:$I,0,0)</f>
        <v>0</v>
      </c>
      <c r="DE164">
        <f>IF($F164="YES",0,IF(DB164&gt;40000,200,IF(DB164&gt;25000,150,IF(DB164&gt;15000,130,IF(DB164&gt;10000,110,0)))))</f>
        <v>200</v>
      </c>
      <c r="DF164">
        <f>DB164-DC164-DD164-DE164</f>
        <v>42450</v>
      </c>
      <c r="DG164">
        <f>_xlfn.XLOOKUP(B164,'[11]january-2026'!$A:$A,'[11]january-2026'!$C:$C,0,0)</f>
        <v>35500</v>
      </c>
      <c r="DH164">
        <f>DG164*0.18</f>
        <v>6390</v>
      </c>
      <c r="DI164">
        <f>DG164*0.12</f>
        <v>4260</v>
      </c>
      <c r="DJ164">
        <f>_xlfn.XLOOKUP(B164,'[11]january-2026'!$A:$A,'[11]january-2026'!$D:$D,0,0)</f>
        <v>0</v>
      </c>
      <c r="DK164">
        <f>_xlfn.XLOOKUP(B164,'[11]january-2026'!$A:$A,'[11]january-2026'!$G:$G,0,0)</f>
        <v>500</v>
      </c>
      <c r="DL164">
        <f>IF(DG164&gt;0,SUM(DG164:DK164),0)</f>
        <v>46650</v>
      </c>
      <c r="DM164">
        <f>_xlfn.XLOOKUP(B164,'[11]january-2026'!$A:$A,'[11]january-2026'!$H:$H,0,0)</f>
        <v>4000</v>
      </c>
      <c r="DN164">
        <f>_xlfn.XLOOKUP(B164,'[11]january-2026'!$A:$A,'[11]january-2026'!$I:$I,0,0)</f>
        <v>0</v>
      </c>
      <c r="DO164">
        <f>IF($F164="YES",0,IF(DL164&gt;40000,200,IF(DL164&gt;25000,150,IF(DL164&gt;15000,130,IF(DL164&gt;10000,110,0)))))</f>
        <v>200</v>
      </c>
      <c r="DP164">
        <f>DL164-DM164-DN164-DO164</f>
        <v>42450</v>
      </c>
      <c r="DQ164">
        <f>_xlfn.XLOOKUP(B164,'[12]february-2026'!$A:$A,'[12]february-2026'!$C:$C,0,0)</f>
        <v>35500</v>
      </c>
      <c r="DR164">
        <f>DQ164*0.18</f>
        <v>6390</v>
      </c>
      <c r="DS164">
        <f>DQ164*0.12</f>
        <v>4260</v>
      </c>
      <c r="DT164">
        <f>_xlfn.XLOOKUP(B164,'[12]february-2026'!$A:$A,'[12]february-2026'!$D:$D,0,0)</f>
        <v>0</v>
      </c>
      <c r="DU164">
        <f>_xlfn.XLOOKUP(B164,'[12]february-2026'!$A:$A,'[12]february-2026'!$G:$G,0,0)</f>
        <v>500</v>
      </c>
      <c r="DV164">
        <f>IF(DQ164&gt;0,SUM(DQ164:DU164),0)</f>
        <v>46650</v>
      </c>
      <c r="DW164">
        <f>_xlfn.XLOOKUP(B164,'[12]february-2026'!$A:$A,'[12]february-2026'!$H:$H,0,0)</f>
        <v>4000</v>
      </c>
      <c r="DX164">
        <f>_xlfn.XLOOKUP(B164,'[12]february-2026'!$A:$A,'[12]february-2026'!$I:$I,0,0)</f>
        <v>0</v>
      </c>
      <c r="DY164">
        <f>IF($F164="YES",0,IF(DV164&gt;40000,200,IF(DV164&gt;25000,150,IF(DV164&gt;15000,130,IF(DV164&gt;10000,110,0)))))</f>
        <v>200</v>
      </c>
      <c r="DZ164">
        <f>DV164-DW164-DX164-DY164</f>
        <v>42450</v>
      </c>
      <c r="EA164">
        <f>DV164+DL164+DB164+CR164+CH164+BX164+BN164+BD164+AS164+AI164+Y164+O164+H164+I164</f>
        <v>560020</v>
      </c>
      <c r="EB164">
        <f>DY164+DO164+DE164+CU164+CK164+CA164+BQ164+BG164+AV164+AL164+AB164+R164</f>
        <v>2400</v>
      </c>
      <c r="EC164">
        <f>IF(EA164&gt;0,50000,0)</f>
        <v>50000</v>
      </c>
      <c r="ED164">
        <v>0</v>
      </c>
      <c r="EE164">
        <f>EA164-EB164-EC164</f>
        <v>507620</v>
      </c>
      <c r="EF164">
        <f>DW164+DM164+DC164+CS164+CI164+BY164+BO164+BE164+AT164+AJ164+Z164+P164</f>
        <v>48000</v>
      </c>
      <c r="EG164">
        <f>DX164+DN164+DD164+CT164+CJ164+BZ164+BP164+BF164+AU164+AK164+AA164+Q164</f>
        <v>0</v>
      </c>
      <c r="EH164">
        <v>0</v>
      </c>
      <c r="EI164">
        <v>0</v>
      </c>
      <c r="EJ164">
        <v>0</v>
      </c>
      <c r="EK164">
        <v>0</v>
      </c>
      <c r="EL164">
        <v>0</v>
      </c>
      <c r="EM164">
        <v>0</v>
      </c>
      <c r="EN164">
        <v>0</v>
      </c>
      <c r="EO164">
        <v>0</v>
      </c>
      <c r="EP164">
        <v>0</v>
      </c>
      <c r="EQ164">
        <v>0</v>
      </c>
      <c r="ER164">
        <f>SUM(EF164:EQ164)</f>
        <v>48000</v>
      </c>
      <c r="ES164">
        <f>IF(ER164&gt;=150000,150000,ER164)</f>
        <v>48000</v>
      </c>
      <c r="ET164">
        <f>EE164-ES164</f>
        <v>459620</v>
      </c>
      <c r="EU164">
        <v>0</v>
      </c>
      <c r="EV164">
        <v>0</v>
      </c>
      <c r="EW164">
        <v>0</v>
      </c>
      <c r="EX164">
        <v>0</v>
      </c>
      <c r="EY164">
        <v>0</v>
      </c>
      <c r="EZ164">
        <v>0</v>
      </c>
      <c r="FA164">
        <v>0</v>
      </c>
      <c r="FB164">
        <f>SUM(EU164:FA164)+(IF(F164="YES",50000,0))</f>
        <v>0</v>
      </c>
      <c r="FC164">
        <f>ET164-FB164</f>
        <v>459620</v>
      </c>
      <c r="FD164">
        <f>ROUND(IF(FC164&gt;0,IF(FC164&gt;500000,12500,(FC164-250000)*0.05),0),0)</f>
        <v>10481</v>
      </c>
      <c r="FE164">
        <f>IF(ROUND(IF(FC164&gt;0,IF(FC164&gt;1000000,25000,(FC164-500000)*0.2),0),0)&lt;0,0,ROUND(IF(FC164&gt;0,IF(FC164&gt;1000000,25000,(FC164-500000)*0.2),0),0))</f>
        <v>0</v>
      </c>
      <c r="FF164">
        <f>FD164+FE164</f>
        <v>10481</v>
      </c>
      <c r="FG164">
        <f>IF(FF164&lt;12500,0,FF164)</f>
        <v>0</v>
      </c>
      <c r="FH164">
        <f>FG164*0.04</f>
        <v>0</v>
      </c>
      <c r="FI164">
        <f>ROUND(FH164+FG164,0)</f>
        <v>0</v>
      </c>
      <c r="FJ164">
        <v>0</v>
      </c>
      <c r="FK164">
        <f>FI164-FJ164</f>
        <v>0</v>
      </c>
      <c r="FL164" t="b">
        <f>IF(EA164&gt;500000,TRUE,FALSE)</f>
        <v>1</v>
      </c>
      <c r="FM164">
        <f ca="1">IF(FL164,RANDBETWEEN(500,1000),RANDBETWEEN(1000,3000))</f>
        <v>984</v>
      </c>
      <c r="FN164">
        <f ca="1">EA164+FM164</f>
        <v>561004</v>
      </c>
      <c r="FO164">
        <f>IF(EA164&gt;0,75000,0)</f>
        <v>75000</v>
      </c>
      <c r="FP164">
        <f ca="1">FN164-FO164</f>
        <v>486004</v>
      </c>
      <c r="FQ164">
        <f ca="1">IF(FP164&gt;2400000,FP164-2400000,0)</f>
        <v>0</v>
      </c>
      <c r="FR164">
        <f ca="1">FQ164*0.3</f>
        <v>0</v>
      </c>
      <c r="FS164">
        <f ca="1">IF(FP164&gt;2000000,FP164-2000000,0)</f>
        <v>0</v>
      </c>
      <c r="FT164">
        <f ca="1">FS164*0.25</f>
        <v>0</v>
      </c>
      <c r="FU164">
        <f ca="1">IF(FP164&gt;1600000,FP164-1600000-FQ164,0)</f>
        <v>0</v>
      </c>
      <c r="FV164">
        <f ca="1">FU164*0.2</f>
        <v>0</v>
      </c>
      <c r="FW164">
        <f ca="1">IF(FP164&gt;1200000,FP164-1200000-IF(F164="YES",50000,0)-FU164,0)</f>
        <v>0</v>
      </c>
      <c r="FX164">
        <f ca="1">FW164*0.15</f>
        <v>0</v>
      </c>
      <c r="FY164">
        <f ca="1">IF(FP164&gt;800000,FP164-800000-FQ164-FU164-FW164,0)</f>
        <v>0</v>
      </c>
      <c r="FZ164">
        <f ca="1">FY164*0.1</f>
        <v>0</v>
      </c>
      <c r="GA164">
        <f ca="1">IF(FP164&gt;400000,FP164-400000-FQ164-FU164-FW164-FY164,0)</f>
        <v>86004</v>
      </c>
      <c r="GB164">
        <f ca="1">GA164*0.05</f>
        <v>4300.2</v>
      </c>
      <c r="GC164">
        <f ca="1">ROUND(FR164+FT164+FV164+FX164+FZ164+GB164,0)</f>
        <v>4300</v>
      </c>
      <c r="GD164">
        <f ca="1">IF(FP164&gt;1200000,FP164,0)</f>
        <v>0</v>
      </c>
      <c r="GE164">
        <f ca="1">IF(FP164&gt;1200000,GD164-1200000,0)</f>
        <v>0</v>
      </c>
      <c r="GF164">
        <f ca="1">IF(FP164&lt;1200001,MIN(GC164,60000),0)</f>
        <v>4300</v>
      </c>
      <c r="GG164">
        <f ca="1">IF(FP164&gt;1200000,GC164-GE164,0)</f>
        <v>0</v>
      </c>
      <c r="GH164" t="b">
        <f ca="1">IF(GG164&gt;0,TRUE,FALSE)</f>
        <v>0</v>
      </c>
      <c r="GI164">
        <f ca="1">IF(GH164,GG164,0)</f>
        <v>0</v>
      </c>
      <c r="GJ164">
        <f ca="1">GF164+GI164</f>
        <v>4300</v>
      </c>
      <c r="GK164">
        <f ca="1">ROUND(GC164-GJ164,0)</f>
        <v>0</v>
      </c>
      <c r="GL164">
        <f ca="1">GK164*0.04</f>
        <v>0</v>
      </c>
      <c r="GM164">
        <f ca="1">ROUNDUP(GK164+GL164,0)</f>
        <v>0</v>
      </c>
    </row>
    <row r="165" spans="1:195" x14ac:dyDescent="0.25">
      <c r="A165">
        <f>_xlfn.AGGREGATE(3,5,$B$2:B165)</f>
        <v>164</v>
      </c>
      <c r="B165" t="s">
        <v>441</v>
      </c>
      <c r="C165" t="s">
        <v>442</v>
      </c>
      <c r="D165" t="s">
        <v>796</v>
      </c>
      <c r="E165" t="s">
        <v>833</v>
      </c>
      <c r="F165" t="s">
        <v>959</v>
      </c>
      <c r="G165" t="s">
        <v>888</v>
      </c>
      <c r="H165">
        <f>IF(_xlfn.DAYS("31-03-2025",G165)&gt;=180,6800,0)</f>
        <v>6800</v>
      </c>
      <c r="I165">
        <f>_xlfn.XLOOKUP(B165,'[1]march-2025'!$A:$A,'[1]march-2025'!$J:$J,0,0)</f>
        <v>0</v>
      </c>
      <c r="J165">
        <f>_xlfn.XLOOKUP(B165,'[1]march-2025'!$A:$A,'[1]march-2025'!$C:$C,0,0)</f>
        <v>33500</v>
      </c>
      <c r="K165">
        <f>J165*0.14</f>
        <v>4690</v>
      </c>
      <c r="L165">
        <f>J165*0.12</f>
        <v>4020</v>
      </c>
      <c r="M165">
        <f>_xlfn.XLOOKUP(B165,'[1]march-2025'!$A:$A,'[1]march-2025'!$D:$D,0,0)</f>
        <v>0</v>
      </c>
      <c r="N165">
        <f>_xlfn.XLOOKUP(B165,'[1]march-2025'!$A:$A,'[1]march-2025'!$G:$G,0,0)</f>
        <v>500</v>
      </c>
      <c r="O165">
        <f>IF(J165&gt;0,SUM(J165:N165),0)</f>
        <v>42710</v>
      </c>
      <c r="P165">
        <f>_xlfn.XLOOKUP(B165,'[1]march-2025'!$A:$A,'[1]march-2025'!$H:$H,0,0)</f>
        <v>3000</v>
      </c>
      <c r="Q165">
        <f>_xlfn.XLOOKUP(B165,'[1]march-2025'!$A:$A,'[1]march-2025'!$I:$I,0,0)</f>
        <v>0</v>
      </c>
      <c r="R165">
        <f>IF($F165="YES",0,IF(O165&gt;40000,200,IF(O165&gt;25000,150,IF(O165&gt;15000,130,IF(O165&gt;10000,110,0)))))</f>
        <v>200</v>
      </c>
      <c r="S165">
        <f>O165-P165-Q165-R165</f>
        <v>39510</v>
      </c>
      <c r="T165">
        <f>_xlfn.XLOOKUP(B165,'[2]april-2025'!$A:$A,'[2]april-2025'!$C:$C,0,0)</f>
        <v>33500</v>
      </c>
      <c r="U165">
        <f>T165*0.18</f>
        <v>6030</v>
      </c>
      <c r="V165">
        <f>T165*0.12</f>
        <v>4020</v>
      </c>
      <c r="W165">
        <f>_xlfn.XLOOKUP(B165,'[2]april-2025'!$A:$A,'[2]april-2025'!$D:$D,0,0)</f>
        <v>0</v>
      </c>
      <c r="X165">
        <f>_xlfn.XLOOKUP(B165,'[2]april-2025'!$A:$A,'[2]april-2025'!$G:$G,0,0)</f>
        <v>500</v>
      </c>
      <c r="Y165">
        <f>IF(T165&gt;0,SUM(T165:X165),0)</f>
        <v>44050</v>
      </c>
      <c r="Z165">
        <f>_xlfn.XLOOKUP(B165,'[2]april-2025'!$A:$A,'[2]april-2025'!$H:$H,0,0)</f>
        <v>3000</v>
      </c>
      <c r="AA165">
        <f>_xlfn.XLOOKUP(B165,'[2]april-2025'!$A:$A,'[2]april-2025'!$I:$I,0,0)</f>
        <v>0</v>
      </c>
      <c r="AB165">
        <f>IF($F165="YES",0,IF(Y165&gt;40000,200,IF(Y165&gt;25000,150,IF(Y165&gt;15000,130,IF(Y165&gt;10000,110,0)))))</f>
        <v>200</v>
      </c>
      <c r="AC165">
        <f>Y165-Z165-AA165-AB165</f>
        <v>40850</v>
      </c>
      <c r="AD165">
        <f>_xlfn.XLOOKUP(B165,'[3]may-2025'!$A:$A,'[3]may-2025'!$C:$C,0,0)</f>
        <v>33500</v>
      </c>
      <c r="AE165">
        <f>AD165*0.18</f>
        <v>6030</v>
      </c>
      <c r="AF165">
        <f>AD165*0.12</f>
        <v>4020</v>
      </c>
      <c r="AG165">
        <f>_xlfn.XLOOKUP(B165,'[3]may-2025'!$A:$A,'[3]may-2025'!$D:$D,0,0)</f>
        <v>0</v>
      </c>
      <c r="AH165">
        <f>_xlfn.XLOOKUP(B165,'[3]may-2025'!$A:$A,'[3]may-2025'!$G:$G,0,0)</f>
        <v>500</v>
      </c>
      <c r="AI165">
        <f>IF(AD165&gt;0,SUM(AD165:AH165),0)</f>
        <v>44050</v>
      </c>
      <c r="AJ165">
        <f>_xlfn.XLOOKUP(B165,'[3]may-2025'!$A:$A,'[3]may-2025'!$H:$H,0,0)</f>
        <v>3000</v>
      </c>
      <c r="AK165">
        <f>_xlfn.XLOOKUP(B165,'[3]may-2025'!$A:$A,'[3]may-2025'!$I:$I,0,0)</f>
        <v>0</v>
      </c>
      <c r="AL165">
        <f>IF($F165="YES",0,IF(AI165&gt;40000,200,IF(AI165&gt;25000,150,IF(AI165&gt;15000,130,IF(AI165&gt;10000,110,0)))))</f>
        <v>200</v>
      </c>
      <c r="AM165">
        <f>AI165-AJ165-AK165-AL165</f>
        <v>40850</v>
      </c>
      <c r="AN165">
        <f>_xlfn.XLOOKUP(B165,'[4]june-2025'!$A:$A,'[4]june-2025'!$C:$C,0,0)</f>
        <v>33500</v>
      </c>
      <c r="AO165">
        <f>AN165*0.18</f>
        <v>6030</v>
      </c>
      <c r="AP165">
        <f>AN165*0.12</f>
        <v>4020</v>
      </c>
      <c r="AQ165">
        <f>_xlfn.XLOOKUP(B165,'[4]june-2025'!$A:$A,'[4]june-2025'!$D:$D,0,0)</f>
        <v>0</v>
      </c>
      <c r="AR165">
        <f>_xlfn.XLOOKUP(B165,'[4]june-2025'!$A:$A,'[4]june-2025'!$G:$G,0,0)</f>
        <v>500</v>
      </c>
      <c r="AS165">
        <f>IF(AN165&gt;0,SUM(AN165:AR165),0)</f>
        <v>44050</v>
      </c>
      <c r="AT165">
        <f>_xlfn.XLOOKUP(B165,'[4]june-2025'!$A:$A,'[4]june-2025'!$H:$H,0,0)</f>
        <v>3000</v>
      </c>
      <c r="AU165">
        <f>_xlfn.XLOOKUP(B165,'[4]june-2025'!$A:$A,'[4]june-2025'!$I:$I,0,0)</f>
        <v>0</v>
      </c>
      <c r="AV165">
        <f>IF($F165="YES",0,IF(AS165&gt;40000,200,IF(AS165&gt;25000,150,IF(AS165&gt;15000,130,IF(AS165&gt;10000,110,0)))))</f>
        <v>200</v>
      </c>
      <c r="AW165">
        <f>AS165-AT165-AU165-AV165</f>
        <v>40850</v>
      </c>
      <c r="AX165">
        <f>_xlfn.XLOOKUP(B165,'[5]july-2025'!$A:$A,'[5]july-2025'!$C:$C,0,0)</f>
        <v>34500</v>
      </c>
      <c r="AY165">
        <f>AX165*0.18</f>
        <v>6210</v>
      </c>
      <c r="AZ165">
        <v>0</v>
      </c>
      <c r="BA165">
        <f>AX165*0.12</f>
        <v>4140</v>
      </c>
      <c r="BB165">
        <f>_xlfn.XLOOKUP(B165,'[5]july-2025'!$A:$A,'[5]july-2025'!$D:$D,0,0)</f>
        <v>0</v>
      </c>
      <c r="BC165">
        <f>_xlfn.XLOOKUP(B165,'[5]july-2025'!$A:$A,'[5]july-2025'!$G:$G,0,0)</f>
        <v>500</v>
      </c>
      <c r="BD165">
        <f>IF(AX165&gt;0,SUM(AX165:BC165),0)</f>
        <v>45350</v>
      </c>
      <c r="BE165">
        <f>_xlfn.XLOOKUP(B165,'[5]july-2025'!$A:$A,'[5]july-2025'!$H:$H,0,0)</f>
        <v>3000</v>
      </c>
      <c r="BF165">
        <f>_xlfn.XLOOKUP(B165,'[5]july-2025'!$A:$A,'[5]july-2025'!$I:$I,0,0)</f>
        <v>0</v>
      </c>
      <c r="BG165">
        <f>IF($F165="YES",0,IF(BD165&gt;40000,200,IF(BD165&gt;25000,150,IF(BD165&gt;15000,130,IF(BD165&gt;10000,110,0)))))</f>
        <v>200</v>
      </c>
      <c r="BH165">
        <f>BD165-BE165-BF165-BG165</f>
        <v>42150</v>
      </c>
      <c r="BI165">
        <f>_xlfn.XLOOKUP(B165,'[6]august-2025'!$A:$A,'[6]august-2025'!$C:$C,0,0)</f>
        <v>34500</v>
      </c>
      <c r="BJ165">
        <f>BI165*0.18</f>
        <v>6210</v>
      </c>
      <c r="BK165">
        <f>BI165*0.12</f>
        <v>4140</v>
      </c>
      <c r="BL165">
        <f>_xlfn.XLOOKUP(B165,'[6]august-2025'!$A:$A,'[6]august-2025'!$D:$D,0,0)</f>
        <v>0</v>
      </c>
      <c r="BM165">
        <f>_xlfn.XLOOKUP(B165,'[6]august-2025'!$A:$A,'[6]august-2025'!$G:$G,0,0)</f>
        <v>500</v>
      </c>
      <c r="BN165">
        <f>IF(BI165&gt;0,SUM(BI165:BM165),0)</f>
        <v>45350</v>
      </c>
      <c r="BO165">
        <f>_xlfn.XLOOKUP(B165,'[6]august-2025'!$A:$A,'[6]august-2025'!$H:$H,0,0)</f>
        <v>3000</v>
      </c>
      <c r="BP165">
        <f>_xlfn.XLOOKUP(B165,'[6]august-2025'!$A:$A,'[6]august-2025'!$I:$I,0,0)</f>
        <v>0</v>
      </c>
      <c r="BQ165">
        <f>IF($F165="YES",0,IF(BN165&gt;40000,200,IF(BN165&gt;25000,150,IF(BN165&gt;15000,130,IF(BN165&gt;10000,110,0)))))</f>
        <v>200</v>
      </c>
      <c r="BR165">
        <f>BN165-BO165-BP165-BQ165</f>
        <v>42150</v>
      </c>
      <c r="BS165">
        <f>_xlfn.XLOOKUP(B165,'[7]september-2025'!$A:$A,'[7]september-2025'!$C:$C,0,0)</f>
        <v>34500</v>
      </c>
      <c r="BT165">
        <f>BS165*0.18</f>
        <v>6210</v>
      </c>
      <c r="BU165">
        <f>BS165*0.12</f>
        <v>4140</v>
      </c>
      <c r="BV165">
        <f>_xlfn.XLOOKUP(B165,'[7]september-2025'!$A:$A,'[7]september-2025'!$D:$D,0,0)</f>
        <v>0</v>
      </c>
      <c r="BW165">
        <f>_xlfn.XLOOKUP(B165,'[7]september-2025'!$A:$A,'[7]september-2025'!$G:$G,0,0)</f>
        <v>500</v>
      </c>
      <c r="BX165">
        <f>IF(BS165&gt;0,SUM(BS165:BW165),0)</f>
        <v>45350</v>
      </c>
      <c r="BY165">
        <f>_xlfn.XLOOKUP(B165,'[7]september-2025'!$A:$A,'[7]september-2025'!$H:$H,0,0)</f>
        <v>3000</v>
      </c>
      <c r="BZ165">
        <f>_xlfn.XLOOKUP(B165,'[7]september-2025'!$A:$A,'[7]september-2025'!$I:$I,0,0)</f>
        <v>0</v>
      </c>
      <c r="CA165">
        <f>IF($F165="YES",0,IF(BX165&gt;40000,200,IF(BX165&gt;25000,150,IF(BX165&gt;15000,130,IF(BX165&gt;10000,110,0)))))</f>
        <v>200</v>
      </c>
      <c r="CB165">
        <f>BX165-BY165-BZ165-CA165</f>
        <v>42150</v>
      </c>
      <c r="CC165">
        <f>_xlfn.XLOOKUP(B165,'[8]october-2025'!$A:$A,'[8]october-2025'!$C:$C,0,0)</f>
        <v>34500</v>
      </c>
      <c r="CD165">
        <f>CC165*0.18</f>
        <v>6210</v>
      </c>
      <c r="CE165">
        <f>CC165*0.12</f>
        <v>4140</v>
      </c>
      <c r="CF165">
        <f>_xlfn.XLOOKUP(B165,'[8]october-2025'!$A:$A,'[8]october-2025'!$D:$D,0,0)</f>
        <v>0</v>
      </c>
      <c r="CG165">
        <f>_xlfn.XLOOKUP(B165,'[8]october-2025'!$A:$A,'[8]october-2025'!$G:$G,0,0)</f>
        <v>500</v>
      </c>
      <c r="CH165">
        <f>IF(CC165&gt;0,SUM(CC165:CG165),0)</f>
        <v>45350</v>
      </c>
      <c r="CI165">
        <f>_xlfn.XLOOKUP(B165,'[8]october-2025'!$A:$A,'[8]october-2025'!$H:$H,0,0)</f>
        <v>3000</v>
      </c>
      <c r="CJ165">
        <f>_xlfn.XLOOKUP(B165,'[8]october-2025'!$A:$A,'[8]october-2025'!$I:$I,0,0)</f>
        <v>0</v>
      </c>
      <c r="CK165">
        <f>IF($F165="YES",0,IF(CH165&gt;40000,200,IF(CH165&gt;25000,150,IF(CH165&gt;15000,130,IF(CH165&gt;10000,110,0)))))</f>
        <v>200</v>
      </c>
      <c r="CL165">
        <f>CH165-CI165-CJ165-CK165</f>
        <v>42150</v>
      </c>
      <c r="CM165">
        <f>_xlfn.XLOOKUP(B165,'[9]november-2025'!$A:$A,'[9]november-2025'!$C:$C,0,0)</f>
        <v>34500</v>
      </c>
      <c r="CN165">
        <f>CM165*0.18</f>
        <v>6210</v>
      </c>
      <c r="CO165">
        <f>CM165*0.12</f>
        <v>4140</v>
      </c>
      <c r="CP165">
        <f>_xlfn.XLOOKUP(B165,'[9]november-2025'!$A:$A,'[9]november-2025'!$D:$D,0,0)</f>
        <v>0</v>
      </c>
      <c r="CQ165">
        <f>_xlfn.XLOOKUP(B165,'[9]november-2025'!$A:$A,'[9]november-2025'!$G:$G,0,0)</f>
        <v>500</v>
      </c>
      <c r="CR165">
        <f>IF(CM165&gt;0,SUM(CM165:CQ165),0)</f>
        <v>45350</v>
      </c>
      <c r="CS165">
        <f>_xlfn.XLOOKUP(B165,'[9]november-2025'!$A:$A,'[9]november-2025'!$H:$H,0,0)</f>
        <v>3000</v>
      </c>
      <c r="CT165">
        <f>_xlfn.XLOOKUP(B165,'[9]november-2025'!$A:$A,'[9]november-2025'!$I:$I,0,0)</f>
        <v>0</v>
      </c>
      <c r="CU165">
        <f>IF($F165="YES",0,IF(CR165&gt;40000,200,IF(CR165&gt;25000,150,IF(CR165&gt;15000,130,IF(CR165&gt;10000,110,0)))))</f>
        <v>200</v>
      </c>
      <c r="CV165">
        <f>CR165-CS165-CT165-CU165</f>
        <v>42150</v>
      </c>
      <c r="CW165">
        <f>_xlfn.XLOOKUP(B165,'[10]december-2025'!$A:$A,'[10]december-2025'!$C:$C,0,0)</f>
        <v>34500</v>
      </c>
      <c r="CX165">
        <f>ROUND(CW165*0.18,0)</f>
        <v>6210</v>
      </c>
      <c r="CY165">
        <f>ROUND(CW165*0.12,0)</f>
        <v>4140</v>
      </c>
      <c r="CZ165">
        <f>_xlfn.XLOOKUP(B165,'[10]december-2025'!$A:$A,'[10]december-2025'!$D:$D,0,0)</f>
        <v>0</v>
      </c>
      <c r="DA165">
        <f>_xlfn.XLOOKUP(B165,'[10]december-2025'!$A:$A,'[10]december-2025'!$G:$G,0,0)</f>
        <v>500</v>
      </c>
      <c r="DB165">
        <f>IF(CW165&gt;0,SUM(CW165:DA165),0)</f>
        <v>45350</v>
      </c>
      <c r="DC165">
        <f>_xlfn.XLOOKUP(B165,'[10]december-2025'!$A:$A,'[10]december-2025'!$H:$H,0,0)</f>
        <v>3000</v>
      </c>
      <c r="DD165">
        <f>_xlfn.XLOOKUP(B165,'[10]december-2025'!$A:$A,'[10]december-2025'!$I:$I,0,0)</f>
        <v>0</v>
      </c>
      <c r="DE165">
        <f>IF($F165="YES",0,IF(DB165&gt;40000,200,IF(DB165&gt;25000,150,IF(DB165&gt;15000,130,IF(DB165&gt;10000,110,0)))))</f>
        <v>200</v>
      </c>
      <c r="DF165">
        <f>DB165-DC165-DD165-DE165</f>
        <v>42150</v>
      </c>
      <c r="DG165">
        <f>_xlfn.XLOOKUP(B165,'[11]january-2026'!$A:$A,'[11]january-2026'!$C:$C,0,0)</f>
        <v>34500</v>
      </c>
      <c r="DH165">
        <f>DG165*0.18</f>
        <v>6210</v>
      </c>
      <c r="DI165">
        <f>DG165*0.12</f>
        <v>4140</v>
      </c>
      <c r="DJ165">
        <f>_xlfn.XLOOKUP(B165,'[11]january-2026'!$A:$A,'[11]january-2026'!$D:$D,0,0)</f>
        <v>0</v>
      </c>
      <c r="DK165">
        <f>_xlfn.XLOOKUP(B165,'[11]january-2026'!$A:$A,'[11]january-2026'!$G:$G,0,0)</f>
        <v>500</v>
      </c>
      <c r="DL165">
        <f>IF(DG165&gt;0,SUM(DG165:DK165),0)</f>
        <v>45350</v>
      </c>
      <c r="DM165">
        <f>_xlfn.XLOOKUP(B165,'[11]january-2026'!$A:$A,'[11]january-2026'!$H:$H,0,0)</f>
        <v>3000</v>
      </c>
      <c r="DN165">
        <f>_xlfn.XLOOKUP(B165,'[11]january-2026'!$A:$A,'[11]january-2026'!$I:$I,0,0)</f>
        <v>0</v>
      </c>
      <c r="DO165">
        <f>IF($F165="YES",0,IF(DL165&gt;40000,200,IF(DL165&gt;25000,150,IF(DL165&gt;15000,130,IF(DL165&gt;10000,110,0)))))</f>
        <v>200</v>
      </c>
      <c r="DP165">
        <f>DL165-DM165-DN165-DO165</f>
        <v>42150</v>
      </c>
      <c r="DQ165">
        <f>_xlfn.XLOOKUP(B165,'[12]february-2026'!$A:$A,'[12]february-2026'!$C:$C,0,0)</f>
        <v>34500</v>
      </c>
      <c r="DR165">
        <f>DQ165*0.18</f>
        <v>6210</v>
      </c>
      <c r="DS165">
        <f>DQ165*0.12</f>
        <v>4140</v>
      </c>
      <c r="DT165">
        <f>_xlfn.XLOOKUP(B165,'[12]february-2026'!$A:$A,'[12]february-2026'!$D:$D,0,0)</f>
        <v>0</v>
      </c>
      <c r="DU165">
        <f>_xlfn.XLOOKUP(B165,'[12]february-2026'!$A:$A,'[12]february-2026'!$G:$G,0,0)</f>
        <v>500</v>
      </c>
      <c r="DV165">
        <f>IF(DQ165&gt;0,SUM(DQ165:DU165),0)</f>
        <v>45350</v>
      </c>
      <c r="DW165">
        <f>_xlfn.XLOOKUP(B165,'[12]february-2026'!$A:$A,'[12]february-2026'!$H:$H,0,0)</f>
        <v>3000</v>
      </c>
      <c r="DX165">
        <f>_xlfn.XLOOKUP(B165,'[12]february-2026'!$A:$A,'[12]february-2026'!$I:$I,0,0)</f>
        <v>0</v>
      </c>
      <c r="DY165">
        <f>IF($F165="YES",0,IF(DV165&gt;40000,200,IF(DV165&gt;25000,150,IF(DV165&gt;15000,130,IF(DV165&gt;10000,110,0)))))</f>
        <v>200</v>
      </c>
      <c r="DZ165">
        <f>DV165-DW165-DX165-DY165</f>
        <v>42150</v>
      </c>
      <c r="EA165">
        <f>DV165+DL165+DB165+CR165+CH165+BX165+BN165+BD165+AS165+AI165+Y165+O165+H165+I165</f>
        <v>544460</v>
      </c>
      <c r="EB165">
        <f>DY165+DO165+DE165+CU165+CK165+CA165+BQ165+BG165+AV165+AL165+AB165+R165</f>
        <v>2400</v>
      </c>
      <c r="EC165">
        <f>IF(EA165&gt;0,50000,0)</f>
        <v>50000</v>
      </c>
      <c r="ED165">
        <v>0</v>
      </c>
      <c r="EE165">
        <f>EA165-EB165-EC165</f>
        <v>492060</v>
      </c>
      <c r="EF165">
        <f>DW165+DM165+DC165+CS165+CI165+BY165+BO165+BE165+AT165+AJ165+Z165+P165</f>
        <v>36000</v>
      </c>
      <c r="EG165">
        <f>DX165+DN165+DD165+CT165+CJ165+BZ165+BP165+BF165+AU165+AK165+AA165+Q165</f>
        <v>0</v>
      </c>
      <c r="EH165">
        <v>0</v>
      </c>
      <c r="EI165">
        <v>0</v>
      </c>
      <c r="EJ165">
        <v>0</v>
      </c>
      <c r="EK165">
        <v>0</v>
      </c>
      <c r="EL165">
        <v>0</v>
      </c>
      <c r="EM165">
        <v>0</v>
      </c>
      <c r="EN165">
        <v>0</v>
      </c>
      <c r="EO165">
        <v>0</v>
      </c>
      <c r="EP165">
        <v>0</v>
      </c>
      <c r="EQ165">
        <v>0</v>
      </c>
      <c r="ER165">
        <f>SUM(EF165:EQ165)</f>
        <v>36000</v>
      </c>
      <c r="ES165">
        <f>IF(ER165&gt;=150000,150000,ER165)</f>
        <v>36000</v>
      </c>
      <c r="ET165">
        <f>EE165-ES165</f>
        <v>456060</v>
      </c>
      <c r="EU165">
        <v>0</v>
      </c>
      <c r="EV165">
        <v>0</v>
      </c>
      <c r="EW165">
        <v>0</v>
      </c>
      <c r="EX165">
        <v>0</v>
      </c>
      <c r="EY165">
        <v>0</v>
      </c>
      <c r="EZ165">
        <v>0</v>
      </c>
      <c r="FA165">
        <v>0</v>
      </c>
      <c r="FB165">
        <f>SUM(EU165:FA165)+(IF(F165="YES",50000,0))</f>
        <v>0</v>
      </c>
      <c r="FC165">
        <f>ET165-FB165</f>
        <v>456060</v>
      </c>
      <c r="FD165">
        <f>ROUND(IF(FC165&gt;0,IF(FC165&gt;500000,12500,(FC165-250000)*0.05),0),0)</f>
        <v>10303</v>
      </c>
      <c r="FE165">
        <f>IF(ROUND(IF(FC165&gt;0,IF(FC165&gt;1000000,25000,(FC165-500000)*0.2),0),0)&lt;0,0,ROUND(IF(FC165&gt;0,IF(FC165&gt;1000000,25000,(FC165-500000)*0.2),0),0))</f>
        <v>0</v>
      </c>
      <c r="FF165">
        <f>FD165+FE165</f>
        <v>10303</v>
      </c>
      <c r="FG165">
        <f>IF(FF165&lt;12500,0,FF165)</f>
        <v>0</v>
      </c>
      <c r="FH165">
        <f>FG165*0.04</f>
        <v>0</v>
      </c>
      <c r="FI165">
        <f>ROUND(FH165+FG165,0)</f>
        <v>0</v>
      </c>
      <c r="FJ165">
        <v>0</v>
      </c>
      <c r="FK165">
        <f>FI165-FJ165</f>
        <v>0</v>
      </c>
      <c r="FL165" t="b">
        <f>IF(EA165&gt;500000,TRUE,FALSE)</f>
        <v>1</v>
      </c>
      <c r="FM165">
        <f ca="1">IF(FL165,RANDBETWEEN(500,1000),RANDBETWEEN(1000,3000))</f>
        <v>638</v>
      </c>
      <c r="FN165">
        <f ca="1">EA165+FM165</f>
        <v>545098</v>
      </c>
      <c r="FO165">
        <f>IF(EA165&gt;0,75000,0)</f>
        <v>75000</v>
      </c>
      <c r="FP165">
        <f ca="1">FN165-FO165</f>
        <v>470098</v>
      </c>
      <c r="FQ165">
        <f ca="1">IF(FP165&gt;2400000,FP165-2400000,0)</f>
        <v>0</v>
      </c>
      <c r="FR165">
        <f ca="1">FQ165*0.3</f>
        <v>0</v>
      </c>
      <c r="FS165">
        <f ca="1">IF(FP165&gt;2000000,FP165-2000000,0)</f>
        <v>0</v>
      </c>
      <c r="FT165">
        <f ca="1">FS165*0.25</f>
        <v>0</v>
      </c>
      <c r="FU165">
        <f ca="1">IF(FP165&gt;1600000,FP165-1600000-FQ165,0)</f>
        <v>0</v>
      </c>
      <c r="FV165">
        <f ca="1">FU165*0.2</f>
        <v>0</v>
      </c>
      <c r="FW165">
        <f ca="1">IF(FP165&gt;1200000,FP165-1200000-IF(F165="YES",50000,0)-FU165,0)</f>
        <v>0</v>
      </c>
      <c r="FX165">
        <f ca="1">FW165*0.15</f>
        <v>0</v>
      </c>
      <c r="FY165">
        <f ca="1">IF(FP165&gt;800000,FP165-800000-FQ165-FU165-FW165,0)</f>
        <v>0</v>
      </c>
      <c r="FZ165">
        <f ca="1">FY165*0.1</f>
        <v>0</v>
      </c>
      <c r="GA165">
        <f ca="1">IF(FP165&gt;400000,FP165-400000-FQ165-FU165-FW165-FY165,0)</f>
        <v>70098</v>
      </c>
      <c r="GB165">
        <f ca="1">GA165*0.05</f>
        <v>3504.9</v>
      </c>
      <c r="GC165">
        <f ca="1">ROUND(FR165+FT165+FV165+FX165+FZ165+GB165,0)</f>
        <v>3505</v>
      </c>
      <c r="GD165">
        <f ca="1">IF(FP165&gt;1200000,FP165,0)</f>
        <v>0</v>
      </c>
      <c r="GE165">
        <f ca="1">IF(FP165&gt;1200000,GD165-1200000,0)</f>
        <v>0</v>
      </c>
      <c r="GF165">
        <f ca="1">IF(FP165&lt;1200001,MIN(GC165,60000),0)</f>
        <v>3505</v>
      </c>
      <c r="GG165">
        <f ca="1">IF(FP165&gt;1200000,GC165-GE165,0)</f>
        <v>0</v>
      </c>
      <c r="GH165" t="b">
        <f ca="1">IF(GG165&gt;0,TRUE,FALSE)</f>
        <v>0</v>
      </c>
      <c r="GI165">
        <f ca="1">IF(GH165,GG165,0)</f>
        <v>0</v>
      </c>
      <c r="GJ165">
        <f ca="1">GF165+GI165</f>
        <v>3505</v>
      </c>
      <c r="GK165">
        <f ca="1">ROUND(GC165-GJ165,0)</f>
        <v>0</v>
      </c>
      <c r="GL165">
        <f ca="1">GK165*0.04</f>
        <v>0</v>
      </c>
      <c r="GM165">
        <f ca="1">ROUNDUP(GK165+GL165,0)</f>
        <v>0</v>
      </c>
    </row>
    <row r="166" spans="1:195" x14ac:dyDescent="0.25">
      <c r="A166">
        <f>_xlfn.AGGREGATE(3,5,$B$2:B166)</f>
        <v>165</v>
      </c>
      <c r="B166" t="s">
        <v>443</v>
      </c>
      <c r="C166" t="s">
        <v>444</v>
      </c>
      <c r="D166" t="s">
        <v>797</v>
      </c>
      <c r="E166" t="s">
        <v>833</v>
      </c>
      <c r="F166" t="s">
        <v>959</v>
      </c>
      <c r="G166" t="s">
        <v>878</v>
      </c>
      <c r="H166">
        <f>IF(_xlfn.DAYS("31-03-2025",G166)&gt;=180,6800,0)</f>
        <v>6800</v>
      </c>
      <c r="I166">
        <f>_xlfn.XLOOKUP(B166,'[1]march-2025'!$A:$A,'[1]march-2025'!$J:$J,0,0)</f>
        <v>0</v>
      </c>
      <c r="J166">
        <f>_xlfn.XLOOKUP(B166,'[1]march-2025'!$A:$A,'[1]march-2025'!$C:$C,0,0)</f>
        <v>47300</v>
      </c>
      <c r="K166">
        <f>J166*0.14</f>
        <v>6622.0000000000009</v>
      </c>
      <c r="L166">
        <f>J166*0.12</f>
        <v>5676</v>
      </c>
      <c r="M166">
        <f>_xlfn.XLOOKUP(B166,'[1]march-2025'!$A:$A,'[1]march-2025'!$D:$D,0,0)</f>
        <v>400</v>
      </c>
      <c r="N166">
        <f>_xlfn.XLOOKUP(B166,'[1]march-2025'!$A:$A,'[1]march-2025'!$G:$G,0,0)</f>
        <v>0</v>
      </c>
      <c r="O166">
        <f>IF(J166&gt;0,SUM(J166:N166),0)</f>
        <v>59998</v>
      </c>
      <c r="P166">
        <f>_xlfn.XLOOKUP(B166,'[1]march-2025'!$A:$A,'[1]march-2025'!$H:$H,0,0)</f>
        <v>3000</v>
      </c>
      <c r="Q166">
        <f>_xlfn.XLOOKUP(B166,'[1]march-2025'!$A:$A,'[1]march-2025'!$I:$I,0,0)</f>
        <v>0</v>
      </c>
      <c r="R166">
        <f>IF($F166="YES",0,IF(O166&gt;40000,200,IF(O166&gt;25000,150,IF(O166&gt;15000,130,IF(O166&gt;10000,110,0)))))</f>
        <v>200</v>
      </c>
      <c r="S166">
        <f>O166-P166-Q166-R166</f>
        <v>56798</v>
      </c>
      <c r="T166">
        <f>_xlfn.XLOOKUP(B166,'[2]april-2025'!$A:$A,'[2]april-2025'!$C:$C,0,0)</f>
        <v>47300</v>
      </c>
      <c r="U166">
        <f>T166*0.18</f>
        <v>8514</v>
      </c>
      <c r="V166">
        <f>T166*0.12</f>
        <v>5676</v>
      </c>
      <c r="W166">
        <f>_xlfn.XLOOKUP(B166,'[2]april-2025'!$A:$A,'[2]april-2025'!$D:$D,0,0)</f>
        <v>400</v>
      </c>
      <c r="X166">
        <f>_xlfn.XLOOKUP(B166,'[2]april-2025'!$A:$A,'[2]april-2025'!$G:$G,0,0)</f>
        <v>0</v>
      </c>
      <c r="Y166">
        <f>IF(T166&gt;0,SUM(T166:X166),0)</f>
        <v>61890</v>
      </c>
      <c r="Z166">
        <f>_xlfn.XLOOKUP(B166,'[2]april-2025'!$A:$A,'[2]april-2025'!$H:$H,0,0)</f>
        <v>3000</v>
      </c>
      <c r="AA166">
        <f>_xlfn.XLOOKUP(B166,'[2]april-2025'!$A:$A,'[2]april-2025'!$I:$I,0,0)</f>
        <v>0</v>
      </c>
      <c r="AB166">
        <f>IF($F166="YES",0,IF(Y166&gt;40000,200,IF(Y166&gt;25000,150,IF(Y166&gt;15000,130,IF(Y166&gt;10000,110,0)))))</f>
        <v>200</v>
      </c>
      <c r="AC166">
        <f>Y166-Z166-AA166-AB166</f>
        <v>58690</v>
      </c>
      <c r="AD166">
        <f>_xlfn.XLOOKUP(B166,'[3]may-2025'!$A:$A,'[3]may-2025'!$C:$C,0,0)</f>
        <v>47300</v>
      </c>
      <c r="AE166">
        <f>AD166*0.18</f>
        <v>8514</v>
      </c>
      <c r="AF166">
        <f>AD166*0.12</f>
        <v>5676</v>
      </c>
      <c r="AG166">
        <f>_xlfn.XLOOKUP(B166,'[3]may-2025'!$A:$A,'[3]may-2025'!$D:$D,0,0)</f>
        <v>400</v>
      </c>
      <c r="AH166">
        <f>_xlfn.XLOOKUP(B166,'[3]may-2025'!$A:$A,'[3]may-2025'!$G:$G,0,0)</f>
        <v>0</v>
      </c>
      <c r="AI166">
        <f>IF(AD166&gt;0,SUM(AD166:AH166),0)</f>
        <v>61890</v>
      </c>
      <c r="AJ166">
        <f>_xlfn.XLOOKUP(B166,'[3]may-2025'!$A:$A,'[3]may-2025'!$H:$H,0,0)</f>
        <v>3000</v>
      </c>
      <c r="AK166">
        <f>_xlfn.XLOOKUP(B166,'[3]may-2025'!$A:$A,'[3]may-2025'!$I:$I,0,0)</f>
        <v>0</v>
      </c>
      <c r="AL166">
        <f>IF($F166="YES",0,IF(AI166&gt;40000,200,IF(AI166&gt;25000,150,IF(AI166&gt;15000,130,IF(AI166&gt;10000,110,0)))))</f>
        <v>200</v>
      </c>
      <c r="AM166">
        <f>AI166-AJ166-AK166-AL166</f>
        <v>58690</v>
      </c>
      <c r="AN166">
        <f>_xlfn.XLOOKUP(B166,'[4]june-2025'!$A:$A,'[4]june-2025'!$C:$C,0,0)</f>
        <v>47300</v>
      </c>
      <c r="AO166">
        <f>AN166*0.18</f>
        <v>8514</v>
      </c>
      <c r="AP166">
        <f>AN166*0.12</f>
        <v>5676</v>
      </c>
      <c r="AQ166">
        <f>_xlfn.XLOOKUP(B166,'[4]june-2025'!$A:$A,'[4]june-2025'!$D:$D,0,0)</f>
        <v>400</v>
      </c>
      <c r="AR166">
        <f>_xlfn.XLOOKUP(B166,'[4]june-2025'!$A:$A,'[4]june-2025'!$G:$G,0,0)</f>
        <v>0</v>
      </c>
      <c r="AS166">
        <f>IF(AN166&gt;0,SUM(AN166:AR166),0)</f>
        <v>61890</v>
      </c>
      <c r="AT166">
        <f>_xlfn.XLOOKUP(B166,'[4]june-2025'!$A:$A,'[4]june-2025'!$H:$H,0,0)</f>
        <v>3000</v>
      </c>
      <c r="AU166">
        <f>_xlfn.XLOOKUP(B166,'[4]june-2025'!$A:$A,'[4]june-2025'!$I:$I,0,0)</f>
        <v>0</v>
      </c>
      <c r="AV166">
        <f>IF($F166="YES",0,IF(AS166&gt;40000,200,IF(AS166&gt;25000,150,IF(AS166&gt;15000,130,IF(AS166&gt;10000,110,0)))))</f>
        <v>200</v>
      </c>
      <c r="AW166">
        <f>AS166-AT166-AU166-AV166</f>
        <v>58690</v>
      </c>
      <c r="AX166">
        <f>_xlfn.XLOOKUP(B166,'[5]july-2025'!$A:$A,'[5]july-2025'!$C:$C,0,0)</f>
        <v>48700</v>
      </c>
      <c r="AY166">
        <f>AX166*0.18</f>
        <v>8766</v>
      </c>
      <c r="AZ166">
        <v>0</v>
      </c>
      <c r="BA166">
        <f>AX166*0.12</f>
        <v>5844</v>
      </c>
      <c r="BB166">
        <f>_xlfn.XLOOKUP(B166,'[5]july-2025'!$A:$A,'[5]july-2025'!$D:$D,0,0)</f>
        <v>400</v>
      </c>
      <c r="BC166">
        <f>_xlfn.XLOOKUP(B166,'[5]july-2025'!$A:$A,'[5]july-2025'!$G:$G,0,0)</f>
        <v>0</v>
      </c>
      <c r="BD166">
        <f>IF(AX166&gt;0,SUM(AX166:BC166),0)</f>
        <v>63710</v>
      </c>
      <c r="BE166">
        <f>_xlfn.XLOOKUP(B166,'[5]july-2025'!$A:$A,'[5]july-2025'!$H:$H,0,0)</f>
        <v>3000</v>
      </c>
      <c r="BF166">
        <f>_xlfn.XLOOKUP(B166,'[5]july-2025'!$A:$A,'[5]july-2025'!$I:$I,0,0)</f>
        <v>0</v>
      </c>
      <c r="BG166">
        <f>IF($F166="YES",0,IF(BD166&gt;40000,200,IF(BD166&gt;25000,150,IF(BD166&gt;15000,130,IF(BD166&gt;10000,110,0)))))</f>
        <v>200</v>
      </c>
      <c r="BH166">
        <f>BD166-BE166-BF166-BG166</f>
        <v>60510</v>
      </c>
      <c r="BI166">
        <f>_xlfn.XLOOKUP(B166,'[6]august-2025'!$A:$A,'[6]august-2025'!$C:$C,0,0)</f>
        <v>48700</v>
      </c>
      <c r="BJ166">
        <f>BI166*0.18</f>
        <v>8766</v>
      </c>
      <c r="BK166">
        <f>BI166*0.12</f>
        <v>5844</v>
      </c>
      <c r="BL166">
        <f>_xlfn.XLOOKUP(B166,'[6]august-2025'!$A:$A,'[6]august-2025'!$D:$D,0,0)</f>
        <v>400</v>
      </c>
      <c r="BM166">
        <f>_xlfn.XLOOKUP(B166,'[6]august-2025'!$A:$A,'[6]august-2025'!$G:$G,0,0)</f>
        <v>0</v>
      </c>
      <c r="BN166">
        <f>IF(BI166&gt;0,SUM(BI166:BM166),0)</f>
        <v>63710</v>
      </c>
      <c r="BO166">
        <f>_xlfn.XLOOKUP(B166,'[6]august-2025'!$A:$A,'[6]august-2025'!$H:$H,0,0)</f>
        <v>3000</v>
      </c>
      <c r="BP166">
        <f>_xlfn.XLOOKUP(B166,'[6]august-2025'!$A:$A,'[6]august-2025'!$I:$I,0,0)</f>
        <v>0</v>
      </c>
      <c r="BQ166">
        <f>IF($F166="YES",0,IF(BN166&gt;40000,200,IF(BN166&gt;25000,150,IF(BN166&gt;15000,130,IF(BN166&gt;10000,110,0)))))</f>
        <v>200</v>
      </c>
      <c r="BR166">
        <f>BN166-BO166-BP166-BQ166</f>
        <v>60510</v>
      </c>
      <c r="BS166">
        <f>_xlfn.XLOOKUP(B166,'[7]september-2025'!$A:$A,'[7]september-2025'!$C:$C,0,0)</f>
        <v>48700</v>
      </c>
      <c r="BT166">
        <f>BS166*0.18</f>
        <v>8766</v>
      </c>
      <c r="BU166">
        <f>BS166*0.12</f>
        <v>5844</v>
      </c>
      <c r="BV166">
        <f>_xlfn.XLOOKUP(B166,'[7]september-2025'!$A:$A,'[7]september-2025'!$D:$D,0,0)</f>
        <v>400</v>
      </c>
      <c r="BW166">
        <f>_xlfn.XLOOKUP(B166,'[7]september-2025'!$A:$A,'[7]september-2025'!$G:$G,0,0)</f>
        <v>0</v>
      </c>
      <c r="BX166">
        <f>IF(BS166&gt;0,SUM(BS166:BW166),0)</f>
        <v>63710</v>
      </c>
      <c r="BY166">
        <f>_xlfn.XLOOKUP(B166,'[7]september-2025'!$A:$A,'[7]september-2025'!$H:$H,0,0)</f>
        <v>3000</v>
      </c>
      <c r="BZ166">
        <f>_xlfn.XLOOKUP(B166,'[7]september-2025'!$A:$A,'[7]september-2025'!$I:$I,0,0)</f>
        <v>0</v>
      </c>
      <c r="CA166">
        <f>IF($F166="YES",0,IF(BX166&gt;40000,200,IF(BX166&gt;25000,150,IF(BX166&gt;15000,130,IF(BX166&gt;10000,110,0)))))</f>
        <v>200</v>
      </c>
      <c r="CB166">
        <f>BX166-BY166-BZ166-CA166</f>
        <v>60510</v>
      </c>
      <c r="CC166">
        <f>_xlfn.XLOOKUP(B166,'[8]october-2025'!$A:$A,'[8]october-2025'!$C:$C,0,0)</f>
        <v>48700</v>
      </c>
      <c r="CD166">
        <f>CC166*0.18</f>
        <v>8766</v>
      </c>
      <c r="CE166">
        <f>CC166*0.12</f>
        <v>5844</v>
      </c>
      <c r="CF166">
        <f>_xlfn.XLOOKUP(B166,'[8]october-2025'!$A:$A,'[8]october-2025'!$D:$D,0,0)</f>
        <v>400</v>
      </c>
      <c r="CG166">
        <f>_xlfn.XLOOKUP(B166,'[8]october-2025'!$A:$A,'[8]october-2025'!$G:$G,0,0)</f>
        <v>0</v>
      </c>
      <c r="CH166">
        <f>IF(CC166&gt;0,SUM(CC166:CG166),0)</f>
        <v>63710</v>
      </c>
      <c r="CI166">
        <f>_xlfn.XLOOKUP(B166,'[8]october-2025'!$A:$A,'[8]october-2025'!$H:$H,0,0)</f>
        <v>3000</v>
      </c>
      <c r="CJ166">
        <f>_xlfn.XLOOKUP(B166,'[8]october-2025'!$A:$A,'[8]october-2025'!$I:$I,0,0)</f>
        <v>0</v>
      </c>
      <c r="CK166">
        <f>IF($F166="YES",0,IF(CH166&gt;40000,200,IF(CH166&gt;25000,150,IF(CH166&gt;15000,130,IF(CH166&gt;10000,110,0)))))</f>
        <v>200</v>
      </c>
      <c r="CL166">
        <f>CH166-CI166-CJ166-CK166</f>
        <v>60510</v>
      </c>
      <c r="CM166">
        <f>_xlfn.XLOOKUP(B166,'[9]november-2025'!$A:$A,'[9]november-2025'!$C:$C,0,0)</f>
        <v>48700</v>
      </c>
      <c r="CN166">
        <f>CM166*0.18</f>
        <v>8766</v>
      </c>
      <c r="CO166">
        <f>CM166*0.12</f>
        <v>5844</v>
      </c>
      <c r="CP166">
        <f>_xlfn.XLOOKUP(B166,'[9]november-2025'!$A:$A,'[9]november-2025'!$D:$D,0,0)</f>
        <v>400</v>
      </c>
      <c r="CQ166">
        <f>_xlfn.XLOOKUP(B166,'[9]november-2025'!$A:$A,'[9]november-2025'!$G:$G,0,0)</f>
        <v>0</v>
      </c>
      <c r="CR166">
        <f>IF(CM166&gt;0,SUM(CM166:CQ166),0)</f>
        <v>63710</v>
      </c>
      <c r="CS166">
        <f>_xlfn.XLOOKUP(B166,'[9]november-2025'!$A:$A,'[9]november-2025'!$H:$H,0,0)</f>
        <v>3000</v>
      </c>
      <c r="CT166">
        <f>_xlfn.XLOOKUP(B166,'[9]november-2025'!$A:$A,'[9]november-2025'!$I:$I,0,0)</f>
        <v>0</v>
      </c>
      <c r="CU166">
        <f>IF($F166="YES",0,IF(CR166&gt;40000,200,IF(CR166&gt;25000,150,IF(CR166&gt;15000,130,IF(CR166&gt;10000,110,0)))))</f>
        <v>200</v>
      </c>
      <c r="CV166">
        <f>CR166-CS166-CT166-CU166</f>
        <v>60510</v>
      </c>
      <c r="CW166">
        <f>_xlfn.XLOOKUP(B166,'[10]december-2025'!$A:$A,'[10]december-2025'!$C:$C,0,0)</f>
        <v>48700</v>
      </c>
      <c r="CX166">
        <f>ROUND(CW166*0.18,0)</f>
        <v>8766</v>
      </c>
      <c r="CY166">
        <f>ROUND(CW166*0.12,0)</f>
        <v>5844</v>
      </c>
      <c r="CZ166">
        <f>_xlfn.XLOOKUP(B166,'[10]december-2025'!$A:$A,'[10]december-2025'!$D:$D,0,0)</f>
        <v>400</v>
      </c>
      <c r="DA166">
        <f>_xlfn.XLOOKUP(B166,'[10]december-2025'!$A:$A,'[10]december-2025'!$G:$G,0,0)</f>
        <v>0</v>
      </c>
      <c r="DB166">
        <f>IF(CW166&gt;0,SUM(CW166:DA166),0)</f>
        <v>63710</v>
      </c>
      <c r="DC166">
        <f>_xlfn.XLOOKUP(B166,'[10]december-2025'!$A:$A,'[10]december-2025'!$H:$H,0,0)</f>
        <v>3000</v>
      </c>
      <c r="DD166">
        <f>_xlfn.XLOOKUP(B166,'[10]december-2025'!$A:$A,'[10]december-2025'!$I:$I,0,0)</f>
        <v>0</v>
      </c>
      <c r="DE166">
        <f>IF($F166="YES",0,IF(DB166&gt;40000,200,IF(DB166&gt;25000,150,IF(DB166&gt;15000,130,IF(DB166&gt;10000,110,0)))))</f>
        <v>200</v>
      </c>
      <c r="DF166">
        <f>DB166-DC166-DD166-DE166</f>
        <v>60510</v>
      </c>
      <c r="DG166">
        <f>_xlfn.XLOOKUP(B166,'[11]january-2026'!$A:$A,'[11]january-2026'!$C:$C,0,0)</f>
        <v>48700</v>
      </c>
      <c r="DH166">
        <f>DG166*0.18</f>
        <v>8766</v>
      </c>
      <c r="DI166">
        <f>DG166*0.12</f>
        <v>5844</v>
      </c>
      <c r="DJ166">
        <f>_xlfn.XLOOKUP(B166,'[11]january-2026'!$A:$A,'[11]january-2026'!$D:$D,0,0)</f>
        <v>400</v>
      </c>
      <c r="DK166">
        <f>_xlfn.XLOOKUP(B166,'[11]january-2026'!$A:$A,'[11]january-2026'!$G:$G,0,0)</f>
        <v>0</v>
      </c>
      <c r="DL166">
        <f>IF(DG166&gt;0,SUM(DG166:DK166),0)</f>
        <v>63710</v>
      </c>
      <c r="DM166">
        <f>_xlfn.XLOOKUP(B166,'[11]january-2026'!$A:$A,'[11]january-2026'!$H:$H,0,0)</f>
        <v>3000</v>
      </c>
      <c r="DN166">
        <f>_xlfn.XLOOKUP(B166,'[11]january-2026'!$A:$A,'[11]january-2026'!$I:$I,0,0)</f>
        <v>0</v>
      </c>
      <c r="DO166">
        <f>IF($F166="YES",0,IF(DL166&gt;40000,200,IF(DL166&gt;25000,150,IF(DL166&gt;15000,130,IF(DL166&gt;10000,110,0)))))</f>
        <v>200</v>
      </c>
      <c r="DP166">
        <f>DL166-DM166-DN166-DO166</f>
        <v>60510</v>
      </c>
      <c r="DQ166">
        <f>_xlfn.XLOOKUP(B166,'[12]february-2026'!$A:$A,'[12]february-2026'!$C:$C,0,0)</f>
        <v>48700</v>
      </c>
      <c r="DR166">
        <f>DQ166*0.18</f>
        <v>8766</v>
      </c>
      <c r="DS166">
        <f>DQ166*0.12</f>
        <v>5844</v>
      </c>
      <c r="DT166">
        <f>_xlfn.XLOOKUP(B166,'[12]february-2026'!$A:$A,'[12]february-2026'!$D:$D,0,0)</f>
        <v>400</v>
      </c>
      <c r="DU166">
        <f>_xlfn.XLOOKUP(B166,'[12]february-2026'!$A:$A,'[12]february-2026'!$G:$G,0,0)</f>
        <v>0</v>
      </c>
      <c r="DV166">
        <f>IF(DQ166&gt;0,SUM(DQ166:DU166),0)</f>
        <v>63710</v>
      </c>
      <c r="DW166">
        <f>_xlfn.XLOOKUP(B166,'[12]february-2026'!$A:$A,'[12]february-2026'!$H:$H,0,0)</f>
        <v>3000</v>
      </c>
      <c r="DX166">
        <f>_xlfn.XLOOKUP(B166,'[12]february-2026'!$A:$A,'[12]february-2026'!$I:$I,0,0)</f>
        <v>0</v>
      </c>
      <c r="DY166">
        <f>IF($F166="YES",0,IF(DV166&gt;40000,200,IF(DV166&gt;25000,150,IF(DV166&gt;15000,130,IF(DV166&gt;10000,110,0)))))</f>
        <v>200</v>
      </c>
      <c r="DZ166">
        <f>DV166-DW166-DX166-DY166</f>
        <v>60510</v>
      </c>
      <c r="EA166">
        <f>DV166+DL166+DB166+CR166+CH166+BX166+BN166+BD166+AS166+AI166+Y166+O166+H166+I166</f>
        <v>762148</v>
      </c>
      <c r="EB166">
        <f>DY166+DO166+DE166+CU166+CK166+CA166+BQ166+BG166+AV166+AL166+AB166+R166</f>
        <v>2400</v>
      </c>
      <c r="EC166">
        <f>IF(EA166&gt;0,50000,0)</f>
        <v>50000</v>
      </c>
      <c r="ED166">
        <v>0</v>
      </c>
      <c r="EE166">
        <f>EA166-EB166-EC166</f>
        <v>709748</v>
      </c>
      <c r="EF166">
        <f>DW166+DM166+DC166+CS166+CI166+BY166+BO166+BE166+AT166+AJ166+Z166+P166</f>
        <v>36000</v>
      </c>
      <c r="EG166">
        <f>DX166+DN166+DD166+CT166+CJ166+BZ166+BP166+BF166+AU166+AK166+AA166+Q166</f>
        <v>0</v>
      </c>
      <c r="EH166">
        <v>0</v>
      </c>
      <c r="EI166">
        <v>0</v>
      </c>
      <c r="EJ166">
        <v>0</v>
      </c>
      <c r="EK166">
        <v>0</v>
      </c>
      <c r="EL166">
        <v>0</v>
      </c>
      <c r="EM166">
        <v>0</v>
      </c>
      <c r="EN166">
        <v>0</v>
      </c>
      <c r="EO166">
        <v>0</v>
      </c>
      <c r="EP166">
        <v>0</v>
      </c>
      <c r="EQ166">
        <v>0</v>
      </c>
      <c r="ER166">
        <f>SUM(EF166:EQ166)</f>
        <v>36000</v>
      </c>
      <c r="ES166">
        <f>IF(ER166&gt;=150000,150000,ER166)</f>
        <v>36000</v>
      </c>
      <c r="ET166">
        <f>EE166-ES166</f>
        <v>673748</v>
      </c>
      <c r="EU166">
        <v>0</v>
      </c>
      <c r="EV166">
        <v>0</v>
      </c>
      <c r="EW166">
        <v>0</v>
      </c>
      <c r="EX166">
        <v>0</v>
      </c>
      <c r="EY166">
        <v>0</v>
      </c>
      <c r="EZ166">
        <v>0</v>
      </c>
      <c r="FA166">
        <v>0</v>
      </c>
      <c r="FB166">
        <f>SUM(EU166:FA166)+(IF(F166="YES",50000,0))</f>
        <v>0</v>
      </c>
      <c r="FC166">
        <f>ET166-FB166</f>
        <v>673748</v>
      </c>
      <c r="FD166">
        <f>ROUND(IF(FC166&gt;0,IF(FC166&gt;500000,12500,(FC166-250000)*0.05),0),0)</f>
        <v>12500</v>
      </c>
      <c r="FE166">
        <f>IF(ROUND(IF(FC166&gt;0,IF(FC166&gt;1000000,25000,(FC166-500000)*0.2),0),0)&lt;0,0,ROUND(IF(FC166&gt;0,IF(FC166&gt;1000000,25000,(FC166-500000)*0.2),0),0))</f>
        <v>34750</v>
      </c>
      <c r="FF166">
        <f>FD166+FE166</f>
        <v>47250</v>
      </c>
      <c r="FG166">
        <f>IF(FF166&lt;12500,0,FF166)</f>
        <v>47250</v>
      </c>
      <c r="FH166">
        <f>FG166*0.04</f>
        <v>1890</v>
      </c>
      <c r="FI166">
        <f>ROUND(FH166+FG166,0)</f>
        <v>49140</v>
      </c>
      <c r="FJ166">
        <v>0</v>
      </c>
      <c r="FK166">
        <f>FI166-FJ166</f>
        <v>49140</v>
      </c>
      <c r="FL166" t="b">
        <f>IF(EA166&gt;500000,TRUE,FALSE)</f>
        <v>1</v>
      </c>
      <c r="FM166">
        <f ca="1">IF(FL166,RANDBETWEEN(500,1000),RANDBETWEEN(1000,3000))</f>
        <v>533</v>
      </c>
      <c r="FN166">
        <f ca="1">EA166+FM166</f>
        <v>762681</v>
      </c>
      <c r="FO166">
        <f>IF(EA166&gt;0,75000,0)</f>
        <v>75000</v>
      </c>
      <c r="FP166">
        <f ca="1">FN166-FO166</f>
        <v>687681</v>
      </c>
      <c r="FQ166">
        <f ca="1">IF(FP166&gt;2400000,FP166-2400000,0)</f>
        <v>0</v>
      </c>
      <c r="FR166">
        <f ca="1">FQ166*0.3</f>
        <v>0</v>
      </c>
      <c r="FS166">
        <f ca="1">IF(FP166&gt;2000000,FP166-2000000,0)</f>
        <v>0</v>
      </c>
      <c r="FT166">
        <f ca="1">FS166*0.25</f>
        <v>0</v>
      </c>
      <c r="FU166">
        <f ca="1">IF(FP166&gt;1600000,FP166-1600000-FQ166,0)</f>
        <v>0</v>
      </c>
      <c r="FV166">
        <f ca="1">FU166*0.2</f>
        <v>0</v>
      </c>
      <c r="FW166">
        <f ca="1">IF(FP166&gt;1200000,FP166-1200000-IF(F166="YES",50000,0)-FU166,0)</f>
        <v>0</v>
      </c>
      <c r="FX166">
        <f ca="1">FW166*0.15</f>
        <v>0</v>
      </c>
      <c r="FY166">
        <f ca="1">IF(FP166&gt;800000,FP166-800000-FQ166-FU166-FW166,0)</f>
        <v>0</v>
      </c>
      <c r="FZ166">
        <f ca="1">FY166*0.1</f>
        <v>0</v>
      </c>
      <c r="GA166">
        <f ca="1">IF(FP166&gt;400000,FP166-400000-FQ166-FU166-FW166-FY166,0)</f>
        <v>287681</v>
      </c>
      <c r="GB166">
        <f ca="1">GA166*0.05</f>
        <v>14384.050000000001</v>
      </c>
      <c r="GC166">
        <f ca="1">ROUND(FR166+FT166+FV166+FX166+FZ166+GB166,0)</f>
        <v>14384</v>
      </c>
      <c r="GD166">
        <f ca="1">IF(FP166&gt;1200000,FP166,0)</f>
        <v>0</v>
      </c>
      <c r="GE166">
        <f ca="1">IF(FP166&gt;1200000,GD166-1200000,0)</f>
        <v>0</v>
      </c>
      <c r="GF166">
        <f ca="1">IF(FP166&lt;1200001,MIN(GC166,60000),0)</f>
        <v>14384</v>
      </c>
      <c r="GG166">
        <f ca="1">IF(FP166&gt;1200000,GC166-GE166,0)</f>
        <v>0</v>
      </c>
      <c r="GH166" t="b">
        <f ca="1">IF(GG166&gt;0,TRUE,FALSE)</f>
        <v>0</v>
      </c>
      <c r="GI166">
        <f ca="1">IF(GH166,GG166,0)</f>
        <v>0</v>
      </c>
      <c r="GJ166">
        <f ca="1">GF166+GI166</f>
        <v>14384</v>
      </c>
      <c r="GK166">
        <f ca="1">ROUND(GC166-GJ166,0)</f>
        <v>0</v>
      </c>
      <c r="GL166">
        <f ca="1">GK166*0.04</f>
        <v>0</v>
      </c>
      <c r="GM166">
        <f ca="1">ROUNDUP(GK166+GL166,0)</f>
        <v>0</v>
      </c>
    </row>
    <row r="167" spans="1:195" x14ac:dyDescent="0.25">
      <c r="A167">
        <f>_xlfn.AGGREGATE(3,5,$B$2:B167)</f>
        <v>166</v>
      </c>
      <c r="B167" t="s">
        <v>445</v>
      </c>
      <c r="C167" t="s">
        <v>446</v>
      </c>
      <c r="D167" t="s">
        <v>797</v>
      </c>
      <c r="E167" t="s">
        <v>833</v>
      </c>
      <c r="F167" t="s">
        <v>959</v>
      </c>
      <c r="G167" t="s">
        <v>880</v>
      </c>
      <c r="H167">
        <f>IF(_xlfn.DAYS("31-03-2025",G167)&gt;=180,6800,0)</f>
        <v>6800</v>
      </c>
      <c r="I167">
        <f>_xlfn.XLOOKUP(B167,'[1]march-2025'!$A:$A,'[1]march-2025'!$J:$J,0,0)</f>
        <v>0</v>
      </c>
      <c r="J167">
        <f>_xlfn.XLOOKUP(B167,'[1]march-2025'!$A:$A,'[1]march-2025'!$C:$C,0,0)</f>
        <v>34500</v>
      </c>
      <c r="K167">
        <f>J167*0.14</f>
        <v>4830.0000000000009</v>
      </c>
      <c r="L167">
        <f>J167*0.12</f>
        <v>4140</v>
      </c>
      <c r="M167">
        <f>_xlfn.XLOOKUP(B167,'[1]march-2025'!$A:$A,'[1]march-2025'!$D:$D,0,0)</f>
        <v>0</v>
      </c>
      <c r="N167">
        <f>_xlfn.XLOOKUP(B167,'[1]march-2025'!$A:$A,'[1]march-2025'!$G:$G,0,0)</f>
        <v>0</v>
      </c>
      <c r="O167">
        <f>IF(J167&gt;0,SUM(J167:N167),0)</f>
        <v>43470</v>
      </c>
      <c r="P167">
        <f>_xlfn.XLOOKUP(B167,'[1]march-2025'!$A:$A,'[1]march-2025'!$H:$H,0,0)</f>
        <v>3000</v>
      </c>
      <c r="Q167">
        <f>_xlfn.XLOOKUP(B167,'[1]march-2025'!$A:$A,'[1]march-2025'!$I:$I,0,0)</f>
        <v>0</v>
      </c>
      <c r="R167">
        <f>IF($F167="YES",0,IF(O167&gt;40000,200,IF(O167&gt;25000,150,IF(O167&gt;15000,130,IF(O167&gt;10000,110,0)))))</f>
        <v>200</v>
      </c>
      <c r="S167">
        <f>O167-P167-Q167-R167</f>
        <v>40270</v>
      </c>
      <c r="T167">
        <f>_xlfn.XLOOKUP(B167,'[2]april-2025'!$A:$A,'[2]april-2025'!$C:$C,0,0)</f>
        <v>34500</v>
      </c>
      <c r="U167">
        <f>T167*0.18</f>
        <v>6210</v>
      </c>
      <c r="V167">
        <f>T167*0.12</f>
        <v>4140</v>
      </c>
      <c r="W167">
        <f>_xlfn.XLOOKUP(B167,'[2]april-2025'!$A:$A,'[2]april-2025'!$D:$D,0,0)</f>
        <v>0</v>
      </c>
      <c r="X167">
        <f>_xlfn.XLOOKUP(B167,'[2]april-2025'!$A:$A,'[2]april-2025'!$G:$G,0,0)</f>
        <v>0</v>
      </c>
      <c r="Y167">
        <f>IF(T167&gt;0,SUM(T167:X167),0)</f>
        <v>44850</v>
      </c>
      <c r="Z167">
        <f>_xlfn.XLOOKUP(B167,'[2]april-2025'!$A:$A,'[2]april-2025'!$H:$H,0,0)</f>
        <v>3000</v>
      </c>
      <c r="AA167">
        <f>_xlfn.XLOOKUP(B167,'[2]april-2025'!$A:$A,'[2]april-2025'!$I:$I,0,0)</f>
        <v>0</v>
      </c>
      <c r="AB167">
        <f>IF($F167="YES",0,IF(Y167&gt;40000,200,IF(Y167&gt;25000,150,IF(Y167&gt;15000,130,IF(Y167&gt;10000,110,0)))))</f>
        <v>200</v>
      </c>
      <c r="AC167">
        <f>Y167-Z167-AA167-AB167</f>
        <v>41650</v>
      </c>
      <c r="AD167">
        <f>_xlfn.XLOOKUP(B167,'[3]may-2025'!$A:$A,'[3]may-2025'!$C:$C,0,0)</f>
        <v>34500</v>
      </c>
      <c r="AE167">
        <f>AD167*0.18</f>
        <v>6210</v>
      </c>
      <c r="AF167">
        <f>AD167*0.12</f>
        <v>4140</v>
      </c>
      <c r="AG167">
        <f>_xlfn.XLOOKUP(B167,'[3]may-2025'!$A:$A,'[3]may-2025'!$D:$D,0,0)</f>
        <v>0</v>
      </c>
      <c r="AH167">
        <f>_xlfn.XLOOKUP(B167,'[3]may-2025'!$A:$A,'[3]may-2025'!$G:$G,0,0)</f>
        <v>0</v>
      </c>
      <c r="AI167">
        <f>IF(AD167&gt;0,SUM(AD167:AH167),0)</f>
        <v>44850</v>
      </c>
      <c r="AJ167">
        <f>_xlfn.XLOOKUP(B167,'[3]may-2025'!$A:$A,'[3]may-2025'!$H:$H,0,0)</f>
        <v>3000</v>
      </c>
      <c r="AK167">
        <f>_xlfn.XLOOKUP(B167,'[3]may-2025'!$A:$A,'[3]may-2025'!$I:$I,0,0)</f>
        <v>0</v>
      </c>
      <c r="AL167">
        <f>IF($F167="YES",0,IF(AI167&gt;40000,200,IF(AI167&gt;25000,150,IF(AI167&gt;15000,130,IF(AI167&gt;10000,110,0)))))</f>
        <v>200</v>
      </c>
      <c r="AM167">
        <f>AI167-AJ167-AK167-AL167</f>
        <v>41650</v>
      </c>
      <c r="AN167">
        <f>_xlfn.XLOOKUP(B167,'[4]june-2025'!$A:$A,'[4]june-2025'!$C:$C,0,0)</f>
        <v>34500</v>
      </c>
      <c r="AO167">
        <f>AN167*0.18</f>
        <v>6210</v>
      </c>
      <c r="AP167">
        <f>AN167*0.12</f>
        <v>4140</v>
      </c>
      <c r="AQ167">
        <f>_xlfn.XLOOKUP(B167,'[4]june-2025'!$A:$A,'[4]june-2025'!$D:$D,0,0)</f>
        <v>0</v>
      </c>
      <c r="AR167">
        <f>_xlfn.XLOOKUP(B167,'[4]june-2025'!$A:$A,'[4]june-2025'!$G:$G,0,0)</f>
        <v>0</v>
      </c>
      <c r="AS167">
        <f>IF(AN167&gt;0,SUM(AN167:AR167),0)</f>
        <v>44850</v>
      </c>
      <c r="AT167">
        <f>_xlfn.XLOOKUP(B167,'[4]june-2025'!$A:$A,'[4]june-2025'!$H:$H,0,0)</f>
        <v>3000</v>
      </c>
      <c r="AU167">
        <f>_xlfn.XLOOKUP(B167,'[4]june-2025'!$A:$A,'[4]june-2025'!$I:$I,0,0)</f>
        <v>0</v>
      </c>
      <c r="AV167">
        <f>IF($F167="YES",0,IF(AS167&gt;40000,200,IF(AS167&gt;25000,150,IF(AS167&gt;15000,130,IF(AS167&gt;10000,110,0)))))</f>
        <v>200</v>
      </c>
      <c r="AW167">
        <f>AS167-AT167-AU167-AV167</f>
        <v>41650</v>
      </c>
      <c r="AX167">
        <f>_xlfn.XLOOKUP(B167,'[5]july-2025'!$A:$A,'[5]july-2025'!$C:$C,0,0)</f>
        <v>35500</v>
      </c>
      <c r="AY167">
        <f>AX167*0.18</f>
        <v>6390</v>
      </c>
      <c r="AZ167">
        <v>0</v>
      </c>
      <c r="BA167">
        <f>AX167*0.12</f>
        <v>4260</v>
      </c>
      <c r="BB167">
        <f>_xlfn.XLOOKUP(B167,'[5]july-2025'!$A:$A,'[5]july-2025'!$D:$D,0,0)</f>
        <v>0</v>
      </c>
      <c r="BC167">
        <f>_xlfn.XLOOKUP(B167,'[5]july-2025'!$A:$A,'[5]july-2025'!$G:$G,0,0)</f>
        <v>0</v>
      </c>
      <c r="BD167">
        <f>IF(AX167&gt;0,SUM(AX167:BC167),0)</f>
        <v>46150</v>
      </c>
      <c r="BE167">
        <f>_xlfn.XLOOKUP(B167,'[5]july-2025'!$A:$A,'[5]july-2025'!$H:$H,0,0)</f>
        <v>3000</v>
      </c>
      <c r="BF167">
        <f>_xlfn.XLOOKUP(B167,'[5]july-2025'!$A:$A,'[5]july-2025'!$I:$I,0,0)</f>
        <v>0</v>
      </c>
      <c r="BG167">
        <f>IF($F167="YES",0,IF(BD167&gt;40000,200,IF(BD167&gt;25000,150,IF(BD167&gt;15000,130,IF(BD167&gt;10000,110,0)))))</f>
        <v>200</v>
      </c>
      <c r="BH167">
        <f>BD167-BE167-BF167-BG167</f>
        <v>42950</v>
      </c>
      <c r="BI167">
        <f>_xlfn.XLOOKUP(B167,'[6]august-2025'!$A:$A,'[6]august-2025'!$C:$C,0,0)</f>
        <v>35500</v>
      </c>
      <c r="BJ167">
        <f>BI167*0.18</f>
        <v>6390</v>
      </c>
      <c r="BK167">
        <f>BI167*0.12</f>
        <v>4260</v>
      </c>
      <c r="BL167">
        <f>_xlfn.XLOOKUP(B167,'[6]august-2025'!$A:$A,'[6]august-2025'!$D:$D,0,0)</f>
        <v>0</v>
      </c>
      <c r="BM167">
        <f>_xlfn.XLOOKUP(B167,'[6]august-2025'!$A:$A,'[6]august-2025'!$G:$G,0,0)</f>
        <v>0</v>
      </c>
      <c r="BN167">
        <f>IF(BI167&gt;0,SUM(BI167:BM167),0)</f>
        <v>46150</v>
      </c>
      <c r="BO167">
        <f>_xlfn.XLOOKUP(B167,'[6]august-2025'!$A:$A,'[6]august-2025'!$H:$H,0,0)</f>
        <v>3000</v>
      </c>
      <c r="BP167">
        <f>_xlfn.XLOOKUP(B167,'[6]august-2025'!$A:$A,'[6]august-2025'!$I:$I,0,0)</f>
        <v>0</v>
      </c>
      <c r="BQ167">
        <f>IF($F167="YES",0,IF(BN167&gt;40000,200,IF(BN167&gt;25000,150,IF(BN167&gt;15000,130,IF(BN167&gt;10000,110,0)))))</f>
        <v>200</v>
      </c>
      <c r="BR167">
        <f>BN167-BO167-BP167-BQ167</f>
        <v>42950</v>
      </c>
      <c r="BS167">
        <f>_xlfn.XLOOKUP(B167,'[7]september-2025'!$A:$A,'[7]september-2025'!$C:$C,0,0)</f>
        <v>35500</v>
      </c>
      <c r="BT167">
        <f>BS167*0.18</f>
        <v>6390</v>
      </c>
      <c r="BU167">
        <f>BS167*0.12</f>
        <v>4260</v>
      </c>
      <c r="BV167">
        <f>_xlfn.XLOOKUP(B167,'[7]september-2025'!$A:$A,'[7]september-2025'!$D:$D,0,0)</f>
        <v>0</v>
      </c>
      <c r="BW167">
        <f>_xlfn.XLOOKUP(B167,'[7]september-2025'!$A:$A,'[7]september-2025'!$G:$G,0,0)</f>
        <v>0</v>
      </c>
      <c r="BX167">
        <f>IF(BS167&gt;0,SUM(BS167:BW167),0)</f>
        <v>46150</v>
      </c>
      <c r="BY167">
        <f>_xlfn.XLOOKUP(B167,'[7]september-2025'!$A:$A,'[7]september-2025'!$H:$H,0,0)</f>
        <v>3000</v>
      </c>
      <c r="BZ167">
        <f>_xlfn.XLOOKUP(B167,'[7]september-2025'!$A:$A,'[7]september-2025'!$I:$I,0,0)</f>
        <v>0</v>
      </c>
      <c r="CA167">
        <f>IF($F167="YES",0,IF(BX167&gt;40000,200,IF(BX167&gt;25000,150,IF(BX167&gt;15000,130,IF(BX167&gt;10000,110,0)))))</f>
        <v>200</v>
      </c>
      <c r="CB167">
        <f>BX167-BY167-BZ167-CA167</f>
        <v>42950</v>
      </c>
      <c r="CC167">
        <f>_xlfn.XLOOKUP(B167,'[8]october-2025'!$A:$A,'[8]october-2025'!$C:$C,0,0)</f>
        <v>35500</v>
      </c>
      <c r="CD167">
        <f>CC167*0.18</f>
        <v>6390</v>
      </c>
      <c r="CE167">
        <f>CC167*0.12</f>
        <v>4260</v>
      </c>
      <c r="CF167">
        <f>_xlfn.XLOOKUP(B167,'[8]october-2025'!$A:$A,'[8]october-2025'!$D:$D,0,0)</f>
        <v>0</v>
      </c>
      <c r="CG167">
        <f>_xlfn.XLOOKUP(B167,'[8]october-2025'!$A:$A,'[8]october-2025'!$G:$G,0,0)</f>
        <v>0</v>
      </c>
      <c r="CH167">
        <f>IF(CC167&gt;0,SUM(CC167:CG167),0)</f>
        <v>46150</v>
      </c>
      <c r="CI167">
        <f>_xlfn.XLOOKUP(B167,'[8]october-2025'!$A:$A,'[8]october-2025'!$H:$H,0,0)</f>
        <v>3000</v>
      </c>
      <c r="CJ167">
        <f>_xlfn.XLOOKUP(B167,'[8]october-2025'!$A:$A,'[8]october-2025'!$I:$I,0,0)</f>
        <v>0</v>
      </c>
      <c r="CK167">
        <f>IF($F167="YES",0,IF(CH167&gt;40000,200,IF(CH167&gt;25000,150,IF(CH167&gt;15000,130,IF(CH167&gt;10000,110,0)))))</f>
        <v>200</v>
      </c>
      <c r="CL167">
        <f>CH167-CI167-CJ167-CK167</f>
        <v>42950</v>
      </c>
      <c r="CM167">
        <f>_xlfn.XLOOKUP(B167,'[9]november-2025'!$A:$A,'[9]november-2025'!$C:$C,0,0)</f>
        <v>35500</v>
      </c>
      <c r="CN167">
        <f>CM167*0.18</f>
        <v>6390</v>
      </c>
      <c r="CO167">
        <f>CM167*0.12</f>
        <v>4260</v>
      </c>
      <c r="CP167">
        <f>_xlfn.XLOOKUP(B167,'[9]november-2025'!$A:$A,'[9]november-2025'!$D:$D,0,0)</f>
        <v>0</v>
      </c>
      <c r="CQ167">
        <f>_xlfn.XLOOKUP(B167,'[9]november-2025'!$A:$A,'[9]november-2025'!$G:$G,0,0)</f>
        <v>0</v>
      </c>
      <c r="CR167">
        <f>IF(CM167&gt;0,SUM(CM167:CQ167),0)</f>
        <v>46150</v>
      </c>
      <c r="CS167">
        <f>_xlfn.XLOOKUP(B167,'[9]november-2025'!$A:$A,'[9]november-2025'!$H:$H,0,0)</f>
        <v>3000</v>
      </c>
      <c r="CT167">
        <f>_xlfn.XLOOKUP(B167,'[9]november-2025'!$A:$A,'[9]november-2025'!$I:$I,0,0)</f>
        <v>0</v>
      </c>
      <c r="CU167">
        <f>IF($F167="YES",0,IF(CR167&gt;40000,200,IF(CR167&gt;25000,150,IF(CR167&gt;15000,130,IF(CR167&gt;10000,110,0)))))</f>
        <v>200</v>
      </c>
      <c r="CV167">
        <f>CR167-CS167-CT167-CU167</f>
        <v>42950</v>
      </c>
      <c r="CW167">
        <f>_xlfn.XLOOKUP(B167,'[10]december-2025'!$A:$A,'[10]december-2025'!$C:$C,0,0)</f>
        <v>35500</v>
      </c>
      <c r="CX167">
        <f>ROUND(CW167*0.18,0)</f>
        <v>6390</v>
      </c>
      <c r="CY167">
        <f>ROUND(CW167*0.12,0)</f>
        <v>4260</v>
      </c>
      <c r="CZ167">
        <f>_xlfn.XLOOKUP(B167,'[10]december-2025'!$A:$A,'[10]december-2025'!$D:$D,0,0)</f>
        <v>0</v>
      </c>
      <c r="DA167">
        <f>_xlfn.XLOOKUP(B167,'[10]december-2025'!$A:$A,'[10]december-2025'!$G:$G,0,0)</f>
        <v>0</v>
      </c>
      <c r="DB167">
        <f>IF(CW167&gt;0,SUM(CW167:DA167),0)</f>
        <v>46150</v>
      </c>
      <c r="DC167">
        <f>_xlfn.XLOOKUP(B167,'[10]december-2025'!$A:$A,'[10]december-2025'!$H:$H,0,0)</f>
        <v>3000</v>
      </c>
      <c r="DD167">
        <f>_xlfn.XLOOKUP(B167,'[10]december-2025'!$A:$A,'[10]december-2025'!$I:$I,0,0)</f>
        <v>0</v>
      </c>
      <c r="DE167">
        <f>IF($F167="YES",0,IF(DB167&gt;40000,200,IF(DB167&gt;25000,150,IF(DB167&gt;15000,130,IF(DB167&gt;10000,110,0)))))</f>
        <v>200</v>
      </c>
      <c r="DF167">
        <f>DB167-DC167-DD167-DE167</f>
        <v>42950</v>
      </c>
      <c r="DG167">
        <f>_xlfn.XLOOKUP(B167,'[11]january-2026'!$A:$A,'[11]january-2026'!$C:$C,0,0)</f>
        <v>35500</v>
      </c>
      <c r="DH167">
        <f>DG167*0.18</f>
        <v>6390</v>
      </c>
      <c r="DI167">
        <f>DG167*0.12</f>
        <v>4260</v>
      </c>
      <c r="DJ167">
        <f>_xlfn.XLOOKUP(B167,'[11]january-2026'!$A:$A,'[11]january-2026'!$D:$D,0,0)</f>
        <v>0</v>
      </c>
      <c r="DK167">
        <f>_xlfn.XLOOKUP(B167,'[11]january-2026'!$A:$A,'[11]january-2026'!$G:$G,0,0)</f>
        <v>0</v>
      </c>
      <c r="DL167">
        <f>IF(DG167&gt;0,SUM(DG167:DK167),0)</f>
        <v>46150</v>
      </c>
      <c r="DM167">
        <f>_xlfn.XLOOKUP(B167,'[11]january-2026'!$A:$A,'[11]january-2026'!$H:$H,0,0)</f>
        <v>3000</v>
      </c>
      <c r="DN167">
        <f>_xlfn.XLOOKUP(B167,'[11]january-2026'!$A:$A,'[11]january-2026'!$I:$I,0,0)</f>
        <v>0</v>
      </c>
      <c r="DO167">
        <f>IF($F167="YES",0,IF(DL167&gt;40000,200,IF(DL167&gt;25000,150,IF(DL167&gt;15000,130,IF(DL167&gt;10000,110,0)))))</f>
        <v>200</v>
      </c>
      <c r="DP167">
        <f>DL167-DM167-DN167-DO167</f>
        <v>42950</v>
      </c>
      <c r="DQ167">
        <f>_xlfn.XLOOKUP(B167,'[12]february-2026'!$A:$A,'[12]february-2026'!$C:$C,0,0)</f>
        <v>35500</v>
      </c>
      <c r="DR167">
        <f>DQ167*0.18</f>
        <v>6390</v>
      </c>
      <c r="DS167">
        <f>DQ167*0.12</f>
        <v>4260</v>
      </c>
      <c r="DT167">
        <f>_xlfn.XLOOKUP(B167,'[12]february-2026'!$A:$A,'[12]february-2026'!$D:$D,0,0)</f>
        <v>0</v>
      </c>
      <c r="DU167">
        <f>_xlfn.XLOOKUP(B167,'[12]february-2026'!$A:$A,'[12]february-2026'!$G:$G,0,0)</f>
        <v>0</v>
      </c>
      <c r="DV167">
        <f>IF(DQ167&gt;0,SUM(DQ167:DU167),0)</f>
        <v>46150</v>
      </c>
      <c r="DW167">
        <f>_xlfn.XLOOKUP(B167,'[12]february-2026'!$A:$A,'[12]february-2026'!$H:$H,0,0)</f>
        <v>3000</v>
      </c>
      <c r="DX167">
        <f>_xlfn.XLOOKUP(B167,'[12]february-2026'!$A:$A,'[12]february-2026'!$I:$I,0,0)</f>
        <v>0</v>
      </c>
      <c r="DY167">
        <f>IF($F167="YES",0,IF(DV167&gt;40000,200,IF(DV167&gt;25000,150,IF(DV167&gt;15000,130,IF(DV167&gt;10000,110,0)))))</f>
        <v>200</v>
      </c>
      <c r="DZ167">
        <f>DV167-DW167-DX167-DY167</f>
        <v>42950</v>
      </c>
      <c r="EA167">
        <f>DV167+DL167+DB167+CR167+CH167+BX167+BN167+BD167+AS167+AI167+Y167+O167+H167+I167</f>
        <v>554020</v>
      </c>
      <c r="EB167">
        <f>DY167+DO167+DE167+CU167+CK167+CA167+BQ167+BG167+AV167+AL167+AB167+R167</f>
        <v>2400</v>
      </c>
      <c r="EC167">
        <f>IF(EA167&gt;0,50000,0)</f>
        <v>50000</v>
      </c>
      <c r="ED167">
        <v>0</v>
      </c>
      <c r="EE167">
        <f>EA167-EB167-EC167</f>
        <v>501620</v>
      </c>
      <c r="EF167">
        <f>DW167+DM167+DC167+CS167+CI167+BY167+BO167+BE167+AT167+AJ167+Z167+P167</f>
        <v>36000</v>
      </c>
      <c r="EG167">
        <f>DX167+DN167+DD167+CT167+CJ167+BZ167+BP167+BF167+AU167+AK167+AA167+Q167</f>
        <v>0</v>
      </c>
      <c r="EH167">
        <v>0</v>
      </c>
      <c r="EI167">
        <v>0</v>
      </c>
      <c r="EJ167">
        <v>0</v>
      </c>
      <c r="EK167">
        <v>0</v>
      </c>
      <c r="EL167">
        <v>0</v>
      </c>
      <c r="EM167">
        <v>0</v>
      </c>
      <c r="EN167">
        <v>0</v>
      </c>
      <c r="EO167">
        <v>0</v>
      </c>
      <c r="EP167">
        <v>0</v>
      </c>
      <c r="EQ167">
        <v>0</v>
      </c>
      <c r="ER167">
        <f>SUM(EF167:EQ167)</f>
        <v>36000</v>
      </c>
      <c r="ES167">
        <f>IF(ER167&gt;=150000,150000,ER167)</f>
        <v>36000</v>
      </c>
      <c r="ET167">
        <f>EE167-ES167</f>
        <v>465620</v>
      </c>
      <c r="EU167">
        <v>0</v>
      </c>
      <c r="EV167">
        <v>0</v>
      </c>
      <c r="EW167">
        <v>0</v>
      </c>
      <c r="EX167">
        <v>0</v>
      </c>
      <c r="EY167">
        <v>0</v>
      </c>
      <c r="EZ167">
        <v>0</v>
      </c>
      <c r="FA167">
        <v>0</v>
      </c>
      <c r="FB167">
        <f>SUM(EU167:FA167)+(IF(F167="YES",50000,0))</f>
        <v>0</v>
      </c>
      <c r="FC167">
        <f>ET167-FB167</f>
        <v>465620</v>
      </c>
      <c r="FD167">
        <f>ROUND(IF(FC167&gt;0,IF(FC167&gt;500000,12500,(FC167-250000)*0.05),0),0)</f>
        <v>10781</v>
      </c>
      <c r="FE167">
        <f>IF(ROUND(IF(FC167&gt;0,IF(FC167&gt;1000000,25000,(FC167-500000)*0.2),0),0)&lt;0,0,ROUND(IF(FC167&gt;0,IF(FC167&gt;1000000,25000,(FC167-500000)*0.2),0),0))</f>
        <v>0</v>
      </c>
      <c r="FF167">
        <f>FD167+FE167</f>
        <v>10781</v>
      </c>
      <c r="FG167">
        <f>IF(FF167&lt;12500,0,FF167)</f>
        <v>0</v>
      </c>
      <c r="FH167">
        <f>FG167*0.04</f>
        <v>0</v>
      </c>
      <c r="FI167">
        <f>ROUND(FH167+FG167,0)</f>
        <v>0</v>
      </c>
      <c r="FJ167">
        <v>0</v>
      </c>
      <c r="FK167">
        <f>FI167-FJ167</f>
        <v>0</v>
      </c>
      <c r="FL167" t="b">
        <f>IF(EA167&gt;500000,TRUE,FALSE)</f>
        <v>1</v>
      </c>
      <c r="FM167">
        <f ca="1">IF(FL167,RANDBETWEEN(500,1000),RANDBETWEEN(1000,3000))</f>
        <v>767</v>
      </c>
      <c r="FN167">
        <f ca="1">EA167+FM167</f>
        <v>554787</v>
      </c>
      <c r="FO167">
        <f>IF(EA167&gt;0,75000,0)</f>
        <v>75000</v>
      </c>
      <c r="FP167">
        <f ca="1">FN167-FO167</f>
        <v>479787</v>
      </c>
      <c r="FQ167">
        <f ca="1">IF(FP167&gt;2400000,FP167-2400000,0)</f>
        <v>0</v>
      </c>
      <c r="FR167">
        <f ca="1">FQ167*0.3</f>
        <v>0</v>
      </c>
      <c r="FS167">
        <f ca="1">IF(FP167&gt;2000000,FP167-2000000,0)</f>
        <v>0</v>
      </c>
      <c r="FT167">
        <f ca="1">FS167*0.25</f>
        <v>0</v>
      </c>
      <c r="FU167">
        <f ca="1">IF(FP167&gt;1600000,FP167-1600000-FQ167,0)</f>
        <v>0</v>
      </c>
      <c r="FV167">
        <f ca="1">FU167*0.2</f>
        <v>0</v>
      </c>
      <c r="FW167">
        <f ca="1">IF(FP167&gt;1200000,FP167-1200000-IF(F167="YES",50000,0)-FU167,0)</f>
        <v>0</v>
      </c>
      <c r="FX167">
        <f ca="1">FW167*0.15</f>
        <v>0</v>
      </c>
      <c r="FY167">
        <f ca="1">IF(FP167&gt;800000,FP167-800000-FQ167-FU167-FW167,0)</f>
        <v>0</v>
      </c>
      <c r="FZ167">
        <f ca="1">FY167*0.1</f>
        <v>0</v>
      </c>
      <c r="GA167">
        <f ca="1">IF(FP167&gt;400000,FP167-400000-FQ167-FU167-FW167-FY167,0)</f>
        <v>79787</v>
      </c>
      <c r="GB167">
        <f ca="1">GA167*0.05</f>
        <v>3989.3500000000004</v>
      </c>
      <c r="GC167">
        <f ca="1">ROUND(FR167+FT167+FV167+FX167+FZ167+GB167,0)</f>
        <v>3989</v>
      </c>
      <c r="GD167">
        <f ca="1">IF(FP167&gt;1200000,FP167,0)</f>
        <v>0</v>
      </c>
      <c r="GE167">
        <f ca="1">IF(FP167&gt;1200000,GD167-1200000,0)</f>
        <v>0</v>
      </c>
      <c r="GF167">
        <f ca="1">IF(FP167&lt;1200001,MIN(GC167,60000),0)</f>
        <v>3989</v>
      </c>
      <c r="GG167">
        <f ca="1">IF(FP167&gt;1200000,GC167-GE167,0)</f>
        <v>0</v>
      </c>
      <c r="GH167" t="b">
        <f ca="1">IF(GG167&gt;0,TRUE,FALSE)</f>
        <v>0</v>
      </c>
      <c r="GI167">
        <f ca="1">IF(GH167,GG167,0)</f>
        <v>0</v>
      </c>
      <c r="GJ167">
        <f ca="1">GF167+GI167</f>
        <v>3989</v>
      </c>
      <c r="GK167">
        <f ca="1">ROUND(GC167-GJ167,0)</f>
        <v>0</v>
      </c>
      <c r="GL167">
        <f ca="1">GK167*0.04</f>
        <v>0</v>
      </c>
      <c r="GM167">
        <f ca="1">ROUNDUP(GK167+GL167,0)</f>
        <v>0</v>
      </c>
    </row>
    <row r="168" spans="1:195" x14ac:dyDescent="0.25">
      <c r="A168">
        <f>_xlfn.AGGREGATE(3,5,$B$2:B168)</f>
        <v>167</v>
      </c>
      <c r="B168" t="s">
        <v>447</v>
      </c>
      <c r="C168" t="s">
        <v>448</v>
      </c>
      <c r="D168" t="s">
        <v>797</v>
      </c>
      <c r="E168" t="s">
        <v>833</v>
      </c>
      <c r="F168" t="s">
        <v>959</v>
      </c>
      <c r="G168" t="s">
        <v>895</v>
      </c>
      <c r="H168">
        <f>IF(_xlfn.DAYS("31-03-2025",G168)&gt;=180,6800,0)</f>
        <v>6800</v>
      </c>
      <c r="I168">
        <f>_xlfn.XLOOKUP(B168,'[1]march-2025'!$A:$A,'[1]march-2025'!$J:$J,0,0)</f>
        <v>0</v>
      </c>
      <c r="J168">
        <f>_xlfn.XLOOKUP(B168,'[1]march-2025'!$A:$A,'[1]march-2025'!$C:$C,0,0)</f>
        <v>34500</v>
      </c>
      <c r="K168">
        <f>J168*0.14</f>
        <v>4830.0000000000009</v>
      </c>
      <c r="L168">
        <f>J168*0.12</f>
        <v>4140</v>
      </c>
      <c r="M168">
        <f>_xlfn.XLOOKUP(B168,'[1]march-2025'!$A:$A,'[1]march-2025'!$D:$D,0,0)</f>
        <v>0</v>
      </c>
      <c r="N168">
        <f>_xlfn.XLOOKUP(B168,'[1]march-2025'!$A:$A,'[1]march-2025'!$G:$G,0,0)</f>
        <v>500</v>
      </c>
      <c r="O168">
        <f>IF(J168&gt;0,SUM(J168:N168),0)</f>
        <v>43970</v>
      </c>
      <c r="P168">
        <f>_xlfn.XLOOKUP(B168,'[1]march-2025'!$A:$A,'[1]march-2025'!$H:$H,0,0)</f>
        <v>3000</v>
      </c>
      <c r="Q168">
        <f>_xlfn.XLOOKUP(B168,'[1]march-2025'!$A:$A,'[1]march-2025'!$I:$I,0,0)</f>
        <v>0</v>
      </c>
      <c r="R168">
        <f>IF($F168="YES",0,IF(O168&gt;40000,200,IF(O168&gt;25000,150,IF(O168&gt;15000,130,IF(O168&gt;10000,110,0)))))</f>
        <v>200</v>
      </c>
      <c r="S168">
        <f>O168-P168-Q168-R168</f>
        <v>40770</v>
      </c>
      <c r="T168">
        <f>_xlfn.XLOOKUP(B168,'[2]april-2025'!$A:$A,'[2]april-2025'!$C:$C,0,0)</f>
        <v>34500</v>
      </c>
      <c r="U168">
        <f>T168*0.18</f>
        <v>6210</v>
      </c>
      <c r="V168">
        <f>T168*0.12</f>
        <v>4140</v>
      </c>
      <c r="W168">
        <f>_xlfn.XLOOKUP(B168,'[2]april-2025'!$A:$A,'[2]april-2025'!$D:$D,0,0)</f>
        <v>0</v>
      </c>
      <c r="X168">
        <f>_xlfn.XLOOKUP(B168,'[2]april-2025'!$A:$A,'[2]april-2025'!$G:$G,0,0)</f>
        <v>500</v>
      </c>
      <c r="Y168">
        <f>IF(T168&gt;0,SUM(T168:X168),0)</f>
        <v>45350</v>
      </c>
      <c r="Z168">
        <f>_xlfn.XLOOKUP(B168,'[2]april-2025'!$A:$A,'[2]april-2025'!$H:$H,0,0)</f>
        <v>3000</v>
      </c>
      <c r="AA168">
        <f>_xlfn.XLOOKUP(B168,'[2]april-2025'!$A:$A,'[2]april-2025'!$I:$I,0,0)</f>
        <v>0</v>
      </c>
      <c r="AB168">
        <f>IF($F168="YES",0,IF(Y168&gt;40000,200,IF(Y168&gt;25000,150,IF(Y168&gt;15000,130,IF(Y168&gt;10000,110,0)))))</f>
        <v>200</v>
      </c>
      <c r="AC168">
        <f>Y168-Z168-AA168-AB168</f>
        <v>42150</v>
      </c>
      <c r="AD168">
        <f>_xlfn.XLOOKUP(B168,'[3]may-2025'!$A:$A,'[3]may-2025'!$C:$C,0,0)</f>
        <v>34500</v>
      </c>
      <c r="AE168">
        <f>AD168*0.18</f>
        <v>6210</v>
      </c>
      <c r="AF168">
        <f>AD168*0.12</f>
        <v>4140</v>
      </c>
      <c r="AG168">
        <f>_xlfn.XLOOKUP(B168,'[3]may-2025'!$A:$A,'[3]may-2025'!$D:$D,0,0)</f>
        <v>0</v>
      </c>
      <c r="AH168">
        <f>_xlfn.XLOOKUP(B168,'[3]may-2025'!$A:$A,'[3]may-2025'!$G:$G,0,0)</f>
        <v>500</v>
      </c>
      <c r="AI168">
        <f>IF(AD168&gt;0,SUM(AD168:AH168),0)</f>
        <v>45350</v>
      </c>
      <c r="AJ168">
        <f>_xlfn.XLOOKUP(B168,'[3]may-2025'!$A:$A,'[3]may-2025'!$H:$H,0,0)</f>
        <v>3000</v>
      </c>
      <c r="AK168">
        <f>_xlfn.XLOOKUP(B168,'[3]may-2025'!$A:$A,'[3]may-2025'!$I:$I,0,0)</f>
        <v>0</v>
      </c>
      <c r="AL168">
        <f>IF($F168="YES",0,IF(AI168&gt;40000,200,IF(AI168&gt;25000,150,IF(AI168&gt;15000,130,IF(AI168&gt;10000,110,0)))))</f>
        <v>200</v>
      </c>
      <c r="AM168">
        <f>AI168-AJ168-AK168-AL168</f>
        <v>42150</v>
      </c>
      <c r="AN168">
        <f>_xlfn.XLOOKUP(B168,'[4]june-2025'!$A:$A,'[4]june-2025'!$C:$C,0,0)</f>
        <v>34500</v>
      </c>
      <c r="AO168">
        <f>AN168*0.18</f>
        <v>6210</v>
      </c>
      <c r="AP168">
        <f>AN168*0.12</f>
        <v>4140</v>
      </c>
      <c r="AQ168">
        <f>_xlfn.XLOOKUP(B168,'[4]june-2025'!$A:$A,'[4]june-2025'!$D:$D,0,0)</f>
        <v>0</v>
      </c>
      <c r="AR168">
        <f>_xlfn.XLOOKUP(B168,'[4]june-2025'!$A:$A,'[4]june-2025'!$G:$G,0,0)</f>
        <v>500</v>
      </c>
      <c r="AS168">
        <f>IF(AN168&gt;0,SUM(AN168:AR168),0)</f>
        <v>45350</v>
      </c>
      <c r="AT168">
        <f>_xlfn.XLOOKUP(B168,'[4]june-2025'!$A:$A,'[4]june-2025'!$H:$H,0,0)</f>
        <v>3000</v>
      </c>
      <c r="AU168">
        <f>_xlfn.XLOOKUP(B168,'[4]june-2025'!$A:$A,'[4]june-2025'!$I:$I,0,0)</f>
        <v>0</v>
      </c>
      <c r="AV168">
        <f>IF($F168="YES",0,IF(AS168&gt;40000,200,IF(AS168&gt;25000,150,IF(AS168&gt;15000,130,IF(AS168&gt;10000,110,0)))))</f>
        <v>200</v>
      </c>
      <c r="AW168">
        <f>AS168-AT168-AU168-AV168</f>
        <v>42150</v>
      </c>
      <c r="AX168">
        <f>_xlfn.XLOOKUP(B168,'[5]july-2025'!$A:$A,'[5]july-2025'!$C:$C,0,0)</f>
        <v>35500</v>
      </c>
      <c r="AY168">
        <f>AX168*0.18</f>
        <v>6390</v>
      </c>
      <c r="AZ168">
        <v>0</v>
      </c>
      <c r="BA168">
        <f>AX168*0.12</f>
        <v>4260</v>
      </c>
      <c r="BB168">
        <f>_xlfn.XLOOKUP(B168,'[5]july-2025'!$A:$A,'[5]july-2025'!$D:$D,0,0)</f>
        <v>0</v>
      </c>
      <c r="BC168">
        <f>_xlfn.XLOOKUP(B168,'[5]july-2025'!$A:$A,'[5]july-2025'!$G:$G,0,0)</f>
        <v>500</v>
      </c>
      <c r="BD168">
        <f>IF(AX168&gt;0,SUM(AX168:BC168),0)</f>
        <v>46650</v>
      </c>
      <c r="BE168">
        <f>_xlfn.XLOOKUP(B168,'[5]july-2025'!$A:$A,'[5]july-2025'!$H:$H,0,0)</f>
        <v>3000</v>
      </c>
      <c r="BF168">
        <f>_xlfn.XLOOKUP(B168,'[5]july-2025'!$A:$A,'[5]july-2025'!$I:$I,0,0)</f>
        <v>0</v>
      </c>
      <c r="BG168">
        <f>IF($F168="YES",0,IF(BD168&gt;40000,200,IF(BD168&gt;25000,150,IF(BD168&gt;15000,130,IF(BD168&gt;10000,110,0)))))</f>
        <v>200</v>
      </c>
      <c r="BH168">
        <f>BD168-BE168-BF168-BG168</f>
        <v>43450</v>
      </c>
      <c r="BI168">
        <f>_xlfn.XLOOKUP(B168,'[6]august-2025'!$A:$A,'[6]august-2025'!$C:$C,0,0)</f>
        <v>35500</v>
      </c>
      <c r="BJ168">
        <f>BI168*0.18</f>
        <v>6390</v>
      </c>
      <c r="BK168">
        <f>BI168*0.12</f>
        <v>4260</v>
      </c>
      <c r="BL168">
        <f>_xlfn.XLOOKUP(B168,'[6]august-2025'!$A:$A,'[6]august-2025'!$D:$D,0,0)</f>
        <v>0</v>
      </c>
      <c r="BM168">
        <f>_xlfn.XLOOKUP(B168,'[6]august-2025'!$A:$A,'[6]august-2025'!$G:$G,0,0)</f>
        <v>500</v>
      </c>
      <c r="BN168">
        <f>IF(BI168&gt;0,SUM(BI168:BM168),0)</f>
        <v>46650</v>
      </c>
      <c r="BO168">
        <f>_xlfn.XLOOKUP(B168,'[6]august-2025'!$A:$A,'[6]august-2025'!$H:$H,0,0)</f>
        <v>3000</v>
      </c>
      <c r="BP168">
        <f>_xlfn.XLOOKUP(B168,'[6]august-2025'!$A:$A,'[6]august-2025'!$I:$I,0,0)</f>
        <v>0</v>
      </c>
      <c r="BQ168">
        <f>IF($F168="YES",0,IF(BN168&gt;40000,200,IF(BN168&gt;25000,150,IF(BN168&gt;15000,130,IF(BN168&gt;10000,110,0)))))</f>
        <v>200</v>
      </c>
      <c r="BR168">
        <f>BN168-BO168-BP168-BQ168</f>
        <v>43450</v>
      </c>
      <c r="BS168">
        <f>_xlfn.XLOOKUP(B168,'[7]september-2025'!$A:$A,'[7]september-2025'!$C:$C,0,0)</f>
        <v>35500</v>
      </c>
      <c r="BT168">
        <f>BS168*0.18</f>
        <v>6390</v>
      </c>
      <c r="BU168">
        <f>BS168*0.12</f>
        <v>4260</v>
      </c>
      <c r="BV168">
        <f>_xlfn.XLOOKUP(B168,'[7]september-2025'!$A:$A,'[7]september-2025'!$D:$D,0,0)</f>
        <v>0</v>
      </c>
      <c r="BW168">
        <f>_xlfn.XLOOKUP(B168,'[7]september-2025'!$A:$A,'[7]september-2025'!$G:$G,0,0)</f>
        <v>500</v>
      </c>
      <c r="BX168">
        <f>IF(BS168&gt;0,SUM(BS168:BW168),0)</f>
        <v>46650</v>
      </c>
      <c r="BY168">
        <f>_xlfn.XLOOKUP(B168,'[7]september-2025'!$A:$A,'[7]september-2025'!$H:$H,0,0)</f>
        <v>3000</v>
      </c>
      <c r="BZ168">
        <f>_xlfn.XLOOKUP(B168,'[7]september-2025'!$A:$A,'[7]september-2025'!$I:$I,0,0)</f>
        <v>0</v>
      </c>
      <c r="CA168">
        <f>IF($F168="YES",0,IF(BX168&gt;40000,200,IF(BX168&gt;25000,150,IF(BX168&gt;15000,130,IF(BX168&gt;10000,110,0)))))</f>
        <v>200</v>
      </c>
      <c r="CB168">
        <f>BX168-BY168-BZ168-CA168</f>
        <v>43450</v>
      </c>
      <c r="CC168">
        <f>_xlfn.XLOOKUP(B168,'[8]october-2025'!$A:$A,'[8]october-2025'!$C:$C,0,0)</f>
        <v>35500</v>
      </c>
      <c r="CD168">
        <f>CC168*0.18</f>
        <v>6390</v>
      </c>
      <c r="CE168">
        <f>CC168*0.12</f>
        <v>4260</v>
      </c>
      <c r="CF168">
        <f>_xlfn.XLOOKUP(B168,'[8]october-2025'!$A:$A,'[8]october-2025'!$D:$D,0,0)</f>
        <v>0</v>
      </c>
      <c r="CG168">
        <f>_xlfn.XLOOKUP(B168,'[8]october-2025'!$A:$A,'[8]october-2025'!$G:$G,0,0)</f>
        <v>500</v>
      </c>
      <c r="CH168">
        <f>IF(CC168&gt;0,SUM(CC168:CG168),0)</f>
        <v>46650</v>
      </c>
      <c r="CI168">
        <f>_xlfn.XLOOKUP(B168,'[8]october-2025'!$A:$A,'[8]october-2025'!$H:$H,0,0)</f>
        <v>3000</v>
      </c>
      <c r="CJ168">
        <f>_xlfn.XLOOKUP(B168,'[8]october-2025'!$A:$A,'[8]october-2025'!$I:$I,0,0)</f>
        <v>0</v>
      </c>
      <c r="CK168">
        <f>IF($F168="YES",0,IF(CH168&gt;40000,200,IF(CH168&gt;25000,150,IF(CH168&gt;15000,130,IF(CH168&gt;10000,110,0)))))</f>
        <v>200</v>
      </c>
      <c r="CL168">
        <f>CH168-CI168-CJ168-CK168</f>
        <v>43450</v>
      </c>
      <c r="CM168">
        <f>_xlfn.XLOOKUP(B168,'[9]november-2025'!$A:$A,'[9]november-2025'!$C:$C,0,0)</f>
        <v>35500</v>
      </c>
      <c r="CN168">
        <f>CM168*0.18</f>
        <v>6390</v>
      </c>
      <c r="CO168">
        <f>CM168*0.12</f>
        <v>4260</v>
      </c>
      <c r="CP168">
        <f>_xlfn.XLOOKUP(B168,'[9]november-2025'!$A:$A,'[9]november-2025'!$D:$D,0,0)</f>
        <v>0</v>
      </c>
      <c r="CQ168">
        <f>_xlfn.XLOOKUP(B168,'[9]november-2025'!$A:$A,'[9]november-2025'!$G:$G,0,0)</f>
        <v>500</v>
      </c>
      <c r="CR168">
        <f>IF(CM168&gt;0,SUM(CM168:CQ168),0)</f>
        <v>46650</v>
      </c>
      <c r="CS168">
        <f>_xlfn.XLOOKUP(B168,'[9]november-2025'!$A:$A,'[9]november-2025'!$H:$H,0,0)</f>
        <v>3000</v>
      </c>
      <c r="CT168">
        <f>_xlfn.XLOOKUP(B168,'[9]november-2025'!$A:$A,'[9]november-2025'!$I:$I,0,0)</f>
        <v>0</v>
      </c>
      <c r="CU168">
        <f>IF($F168="YES",0,IF(CR168&gt;40000,200,IF(CR168&gt;25000,150,IF(CR168&gt;15000,130,IF(CR168&gt;10000,110,0)))))</f>
        <v>200</v>
      </c>
      <c r="CV168">
        <f>CR168-CS168-CT168-CU168</f>
        <v>43450</v>
      </c>
      <c r="CW168">
        <f>_xlfn.XLOOKUP(B168,'[10]december-2025'!$A:$A,'[10]december-2025'!$C:$C,0,0)</f>
        <v>35500</v>
      </c>
      <c r="CX168">
        <f>ROUND(CW168*0.18,0)</f>
        <v>6390</v>
      </c>
      <c r="CY168">
        <f>ROUND(CW168*0.12,0)</f>
        <v>4260</v>
      </c>
      <c r="CZ168">
        <f>_xlfn.XLOOKUP(B168,'[10]december-2025'!$A:$A,'[10]december-2025'!$D:$D,0,0)</f>
        <v>0</v>
      </c>
      <c r="DA168">
        <f>_xlfn.XLOOKUP(B168,'[10]december-2025'!$A:$A,'[10]december-2025'!$G:$G,0,0)</f>
        <v>500</v>
      </c>
      <c r="DB168">
        <f>IF(CW168&gt;0,SUM(CW168:DA168),0)</f>
        <v>46650</v>
      </c>
      <c r="DC168">
        <f>_xlfn.XLOOKUP(B168,'[10]december-2025'!$A:$A,'[10]december-2025'!$H:$H,0,0)</f>
        <v>3000</v>
      </c>
      <c r="DD168">
        <f>_xlfn.XLOOKUP(B168,'[10]december-2025'!$A:$A,'[10]december-2025'!$I:$I,0,0)</f>
        <v>0</v>
      </c>
      <c r="DE168">
        <f>IF($F168="YES",0,IF(DB168&gt;40000,200,IF(DB168&gt;25000,150,IF(DB168&gt;15000,130,IF(DB168&gt;10000,110,0)))))</f>
        <v>200</v>
      </c>
      <c r="DF168">
        <f>DB168-DC168-DD168-DE168</f>
        <v>43450</v>
      </c>
      <c r="DG168">
        <f>_xlfn.XLOOKUP(B168,'[11]january-2026'!$A:$A,'[11]january-2026'!$C:$C,0,0)</f>
        <v>35500</v>
      </c>
      <c r="DH168">
        <f>DG168*0.18</f>
        <v>6390</v>
      </c>
      <c r="DI168">
        <f>DG168*0.12</f>
        <v>4260</v>
      </c>
      <c r="DJ168">
        <f>_xlfn.XLOOKUP(B168,'[11]january-2026'!$A:$A,'[11]january-2026'!$D:$D,0,0)</f>
        <v>0</v>
      </c>
      <c r="DK168">
        <f>_xlfn.XLOOKUP(B168,'[11]january-2026'!$A:$A,'[11]january-2026'!$G:$G,0,0)</f>
        <v>500</v>
      </c>
      <c r="DL168">
        <f>IF(DG168&gt;0,SUM(DG168:DK168),0)</f>
        <v>46650</v>
      </c>
      <c r="DM168">
        <f>_xlfn.XLOOKUP(B168,'[11]january-2026'!$A:$A,'[11]january-2026'!$H:$H,0,0)</f>
        <v>3000</v>
      </c>
      <c r="DN168">
        <f>_xlfn.XLOOKUP(B168,'[11]january-2026'!$A:$A,'[11]january-2026'!$I:$I,0,0)</f>
        <v>0</v>
      </c>
      <c r="DO168">
        <f>IF($F168="YES",0,IF(DL168&gt;40000,200,IF(DL168&gt;25000,150,IF(DL168&gt;15000,130,IF(DL168&gt;10000,110,0)))))</f>
        <v>200</v>
      </c>
      <c r="DP168">
        <f>DL168-DM168-DN168-DO168</f>
        <v>43450</v>
      </c>
      <c r="DQ168">
        <f>_xlfn.XLOOKUP(B168,'[12]february-2026'!$A:$A,'[12]february-2026'!$C:$C,0,0)</f>
        <v>35500</v>
      </c>
      <c r="DR168">
        <f>DQ168*0.18</f>
        <v>6390</v>
      </c>
      <c r="DS168">
        <f>DQ168*0.12</f>
        <v>4260</v>
      </c>
      <c r="DT168">
        <f>_xlfn.XLOOKUP(B168,'[12]february-2026'!$A:$A,'[12]february-2026'!$D:$D,0,0)</f>
        <v>0</v>
      </c>
      <c r="DU168">
        <f>_xlfn.XLOOKUP(B168,'[12]february-2026'!$A:$A,'[12]february-2026'!$G:$G,0,0)</f>
        <v>500</v>
      </c>
      <c r="DV168">
        <f>IF(DQ168&gt;0,SUM(DQ168:DU168),0)</f>
        <v>46650</v>
      </c>
      <c r="DW168">
        <f>_xlfn.XLOOKUP(B168,'[12]february-2026'!$A:$A,'[12]february-2026'!$H:$H,0,0)</f>
        <v>3000</v>
      </c>
      <c r="DX168">
        <f>_xlfn.XLOOKUP(B168,'[12]february-2026'!$A:$A,'[12]february-2026'!$I:$I,0,0)</f>
        <v>0</v>
      </c>
      <c r="DY168">
        <f>IF($F168="YES",0,IF(DV168&gt;40000,200,IF(DV168&gt;25000,150,IF(DV168&gt;15000,130,IF(DV168&gt;10000,110,0)))))</f>
        <v>200</v>
      </c>
      <c r="DZ168">
        <f>DV168-DW168-DX168-DY168</f>
        <v>43450</v>
      </c>
      <c r="EA168">
        <f>DV168+DL168+DB168+CR168+CH168+BX168+BN168+BD168+AS168+AI168+Y168+O168+H168+I168</f>
        <v>560020</v>
      </c>
      <c r="EB168">
        <f>DY168+DO168+DE168+CU168+CK168+CA168+BQ168+BG168+AV168+AL168+AB168+R168</f>
        <v>2400</v>
      </c>
      <c r="EC168">
        <f>IF(EA168&gt;0,50000,0)</f>
        <v>50000</v>
      </c>
      <c r="ED168">
        <v>0</v>
      </c>
      <c r="EE168">
        <f>EA168-EB168-EC168</f>
        <v>507620</v>
      </c>
      <c r="EF168">
        <f>DW168+DM168+DC168+CS168+CI168+BY168+BO168+BE168+AT168+AJ168+Z168+P168</f>
        <v>36000</v>
      </c>
      <c r="EG168">
        <f>DX168+DN168+DD168+CT168+CJ168+BZ168+BP168+BF168+AU168+AK168+AA168+Q168</f>
        <v>0</v>
      </c>
      <c r="EH168">
        <v>0</v>
      </c>
      <c r="EI168">
        <v>0</v>
      </c>
      <c r="EJ168">
        <v>0</v>
      </c>
      <c r="EK168">
        <v>0</v>
      </c>
      <c r="EL168">
        <v>0</v>
      </c>
      <c r="EM168">
        <v>0</v>
      </c>
      <c r="EN168">
        <v>0</v>
      </c>
      <c r="EO168">
        <v>0</v>
      </c>
      <c r="EP168">
        <v>0</v>
      </c>
      <c r="EQ168">
        <v>0</v>
      </c>
      <c r="ER168">
        <f>SUM(EF168:EQ168)</f>
        <v>36000</v>
      </c>
      <c r="ES168">
        <f>IF(ER168&gt;=150000,150000,ER168)</f>
        <v>36000</v>
      </c>
      <c r="ET168">
        <f>EE168-ES168</f>
        <v>471620</v>
      </c>
      <c r="EU168">
        <v>0</v>
      </c>
      <c r="EV168">
        <v>0</v>
      </c>
      <c r="EW168">
        <v>0</v>
      </c>
      <c r="EX168">
        <v>0</v>
      </c>
      <c r="EY168">
        <v>0</v>
      </c>
      <c r="EZ168">
        <v>0</v>
      </c>
      <c r="FA168">
        <v>0</v>
      </c>
      <c r="FB168">
        <f>SUM(EU168:FA168)+(IF(F168="YES",50000,0))</f>
        <v>0</v>
      </c>
      <c r="FC168">
        <f>ET168-FB168</f>
        <v>471620</v>
      </c>
      <c r="FD168">
        <f>ROUND(IF(FC168&gt;0,IF(FC168&gt;500000,12500,(FC168-250000)*0.05),0),0)</f>
        <v>11081</v>
      </c>
      <c r="FE168">
        <f>IF(ROUND(IF(FC168&gt;0,IF(FC168&gt;1000000,25000,(FC168-500000)*0.2),0),0)&lt;0,0,ROUND(IF(FC168&gt;0,IF(FC168&gt;1000000,25000,(FC168-500000)*0.2),0),0))</f>
        <v>0</v>
      </c>
      <c r="FF168">
        <f>FD168+FE168</f>
        <v>11081</v>
      </c>
      <c r="FG168">
        <f>IF(FF168&lt;12500,0,FF168)</f>
        <v>0</v>
      </c>
      <c r="FH168">
        <f>FG168*0.04</f>
        <v>0</v>
      </c>
      <c r="FI168">
        <f>ROUND(FH168+FG168,0)</f>
        <v>0</v>
      </c>
      <c r="FJ168">
        <v>0</v>
      </c>
      <c r="FK168">
        <f>FI168-FJ168</f>
        <v>0</v>
      </c>
      <c r="FL168" t="b">
        <f>IF(EA168&gt;500000,TRUE,FALSE)</f>
        <v>1</v>
      </c>
      <c r="FM168">
        <f ca="1">IF(FL168,RANDBETWEEN(500,1000),RANDBETWEEN(1000,3000))</f>
        <v>792</v>
      </c>
      <c r="FN168">
        <f ca="1">EA168+FM168</f>
        <v>560812</v>
      </c>
      <c r="FO168">
        <f>IF(EA168&gt;0,75000,0)</f>
        <v>75000</v>
      </c>
      <c r="FP168">
        <f ca="1">FN168-FO168</f>
        <v>485812</v>
      </c>
      <c r="FQ168">
        <f ca="1">IF(FP168&gt;2400000,FP168-2400000,0)</f>
        <v>0</v>
      </c>
      <c r="FR168">
        <f ca="1">FQ168*0.3</f>
        <v>0</v>
      </c>
      <c r="FS168">
        <f ca="1">IF(FP168&gt;2000000,FP168-2000000,0)</f>
        <v>0</v>
      </c>
      <c r="FT168">
        <f ca="1">FS168*0.25</f>
        <v>0</v>
      </c>
      <c r="FU168">
        <f ca="1">IF(FP168&gt;1600000,FP168-1600000-FQ168,0)</f>
        <v>0</v>
      </c>
      <c r="FV168">
        <f ca="1">FU168*0.2</f>
        <v>0</v>
      </c>
      <c r="FW168">
        <f ca="1">IF(FP168&gt;1200000,FP168-1200000-IF(F168="YES",50000,0)-FU168,0)</f>
        <v>0</v>
      </c>
      <c r="FX168">
        <f ca="1">FW168*0.15</f>
        <v>0</v>
      </c>
      <c r="FY168">
        <f ca="1">IF(FP168&gt;800000,FP168-800000-FQ168-FU168-FW168,0)</f>
        <v>0</v>
      </c>
      <c r="FZ168">
        <f ca="1">FY168*0.1</f>
        <v>0</v>
      </c>
      <c r="GA168">
        <f ca="1">IF(FP168&gt;400000,FP168-400000-FQ168-FU168-FW168-FY168,0)</f>
        <v>85812</v>
      </c>
      <c r="GB168">
        <f ca="1">GA168*0.05</f>
        <v>4290.6000000000004</v>
      </c>
      <c r="GC168">
        <f ca="1">ROUND(FR168+FT168+FV168+FX168+FZ168+GB168,0)</f>
        <v>4291</v>
      </c>
      <c r="GD168">
        <f ca="1">IF(FP168&gt;1200000,FP168,0)</f>
        <v>0</v>
      </c>
      <c r="GE168">
        <f ca="1">IF(FP168&gt;1200000,GD168-1200000,0)</f>
        <v>0</v>
      </c>
      <c r="GF168">
        <f ca="1">IF(FP168&lt;1200001,MIN(GC168,60000),0)</f>
        <v>4291</v>
      </c>
      <c r="GG168">
        <f ca="1">IF(FP168&gt;1200000,GC168-GE168,0)</f>
        <v>0</v>
      </c>
      <c r="GH168" t="b">
        <f ca="1">IF(GG168&gt;0,TRUE,FALSE)</f>
        <v>0</v>
      </c>
      <c r="GI168">
        <f ca="1">IF(GH168,GG168,0)</f>
        <v>0</v>
      </c>
      <c r="GJ168">
        <f ca="1">GF168+GI168</f>
        <v>4291</v>
      </c>
      <c r="GK168">
        <f ca="1">ROUND(GC168-GJ168,0)</f>
        <v>0</v>
      </c>
      <c r="GL168">
        <f ca="1">GK168*0.04</f>
        <v>0</v>
      </c>
      <c r="GM168">
        <f ca="1">ROUNDUP(GK168+GL168,0)</f>
        <v>0</v>
      </c>
    </row>
    <row r="169" spans="1:195" x14ac:dyDescent="0.25">
      <c r="A169">
        <f>_xlfn.AGGREGATE(3,5,$B$2:B169)</f>
        <v>168</v>
      </c>
      <c r="B169" t="s">
        <v>449</v>
      </c>
      <c r="C169" t="s">
        <v>450</v>
      </c>
      <c r="D169" t="s">
        <v>797</v>
      </c>
      <c r="E169" t="s">
        <v>833</v>
      </c>
      <c r="F169" t="s">
        <v>959</v>
      </c>
      <c r="G169" t="s">
        <v>881</v>
      </c>
      <c r="H169">
        <f>IF(_xlfn.DAYS("31-03-2025",G169)&gt;=180,6800,0)</f>
        <v>6800</v>
      </c>
      <c r="I169">
        <f>_xlfn.XLOOKUP(B169,'[1]march-2025'!$A:$A,'[1]march-2025'!$J:$J,0,0)</f>
        <v>0</v>
      </c>
      <c r="J169">
        <f>_xlfn.XLOOKUP(B169,'[1]march-2025'!$A:$A,'[1]march-2025'!$C:$C,0,0)</f>
        <v>27000</v>
      </c>
      <c r="K169">
        <f>J169*0.14</f>
        <v>3780.0000000000005</v>
      </c>
      <c r="L169">
        <f>J169*0.12</f>
        <v>3240</v>
      </c>
      <c r="M169">
        <f>_xlfn.XLOOKUP(B169,'[1]march-2025'!$A:$A,'[1]march-2025'!$D:$D,0,0)</f>
        <v>0</v>
      </c>
      <c r="N169">
        <f>_xlfn.XLOOKUP(B169,'[1]march-2025'!$A:$A,'[1]march-2025'!$G:$G,0,0)</f>
        <v>500</v>
      </c>
      <c r="O169">
        <f>IF(J169&gt;0,SUM(J169:N169),0)</f>
        <v>34520</v>
      </c>
      <c r="P169">
        <f>_xlfn.XLOOKUP(B169,'[1]march-2025'!$A:$A,'[1]march-2025'!$H:$H,0,0)</f>
        <v>2000</v>
      </c>
      <c r="Q169">
        <f>_xlfn.XLOOKUP(B169,'[1]march-2025'!$A:$A,'[1]march-2025'!$I:$I,0,0)</f>
        <v>0</v>
      </c>
      <c r="R169">
        <f>IF($F169="YES",0,IF(O169&gt;40000,200,IF(O169&gt;25000,150,IF(O169&gt;15000,130,IF(O169&gt;10000,110,0)))))</f>
        <v>150</v>
      </c>
      <c r="S169">
        <f>O169-P169-Q169-R169</f>
        <v>32370</v>
      </c>
      <c r="T169">
        <f>_xlfn.XLOOKUP(B169,'[2]april-2025'!$A:$A,'[2]april-2025'!$C:$C,0,0)</f>
        <v>27000</v>
      </c>
      <c r="U169">
        <f>T169*0.18</f>
        <v>4860</v>
      </c>
      <c r="V169">
        <f>T169*0.12</f>
        <v>3240</v>
      </c>
      <c r="W169">
        <f>_xlfn.XLOOKUP(B169,'[2]april-2025'!$A:$A,'[2]april-2025'!$D:$D,0,0)</f>
        <v>0</v>
      </c>
      <c r="X169">
        <f>_xlfn.XLOOKUP(B169,'[2]april-2025'!$A:$A,'[2]april-2025'!$G:$G,0,0)</f>
        <v>500</v>
      </c>
      <c r="Y169">
        <f>IF(T169&gt;0,SUM(T169:X169),0)</f>
        <v>35600</v>
      </c>
      <c r="Z169">
        <f>_xlfn.XLOOKUP(B169,'[2]april-2025'!$A:$A,'[2]april-2025'!$H:$H,0,0)</f>
        <v>2000</v>
      </c>
      <c r="AA169">
        <f>_xlfn.XLOOKUP(B169,'[2]april-2025'!$A:$A,'[2]april-2025'!$I:$I,0,0)</f>
        <v>0</v>
      </c>
      <c r="AB169">
        <f>IF($F169="YES",0,IF(Y169&gt;40000,200,IF(Y169&gt;25000,150,IF(Y169&gt;15000,130,IF(Y169&gt;10000,110,0)))))</f>
        <v>150</v>
      </c>
      <c r="AC169">
        <f>Y169-Z169-AA169-AB169</f>
        <v>33450</v>
      </c>
      <c r="AD169">
        <f>_xlfn.XLOOKUP(B169,'[3]may-2025'!$A:$A,'[3]may-2025'!$C:$C,0,0)</f>
        <v>27000</v>
      </c>
      <c r="AE169">
        <f>AD169*0.18</f>
        <v>4860</v>
      </c>
      <c r="AF169">
        <f>AD169*0.12</f>
        <v>3240</v>
      </c>
      <c r="AG169">
        <f>_xlfn.XLOOKUP(B169,'[3]may-2025'!$A:$A,'[3]may-2025'!$D:$D,0,0)</f>
        <v>0</v>
      </c>
      <c r="AH169">
        <f>_xlfn.XLOOKUP(B169,'[3]may-2025'!$A:$A,'[3]may-2025'!$G:$G,0,0)</f>
        <v>500</v>
      </c>
      <c r="AI169">
        <f>IF(AD169&gt;0,SUM(AD169:AH169),0)</f>
        <v>35600</v>
      </c>
      <c r="AJ169">
        <f>_xlfn.XLOOKUP(B169,'[3]may-2025'!$A:$A,'[3]may-2025'!$H:$H,0,0)</f>
        <v>2000</v>
      </c>
      <c r="AK169">
        <f>_xlfn.XLOOKUP(B169,'[3]may-2025'!$A:$A,'[3]may-2025'!$I:$I,0,0)</f>
        <v>0</v>
      </c>
      <c r="AL169">
        <f>IF($F169="YES",0,IF(AI169&gt;40000,200,IF(AI169&gt;25000,150,IF(AI169&gt;15000,130,IF(AI169&gt;10000,110,0)))))</f>
        <v>150</v>
      </c>
      <c r="AM169">
        <f>AI169-AJ169-AK169-AL169</f>
        <v>33450</v>
      </c>
      <c r="AN169">
        <f>_xlfn.XLOOKUP(B169,'[4]june-2025'!$A:$A,'[4]june-2025'!$C:$C,0,0)</f>
        <v>27000</v>
      </c>
      <c r="AO169">
        <f>AN169*0.18</f>
        <v>4860</v>
      </c>
      <c r="AP169">
        <f>AN169*0.12</f>
        <v>3240</v>
      </c>
      <c r="AQ169">
        <f>_xlfn.XLOOKUP(B169,'[4]june-2025'!$A:$A,'[4]june-2025'!$D:$D,0,0)</f>
        <v>0</v>
      </c>
      <c r="AR169">
        <f>_xlfn.XLOOKUP(B169,'[4]june-2025'!$A:$A,'[4]june-2025'!$G:$G,0,0)</f>
        <v>500</v>
      </c>
      <c r="AS169">
        <f>IF(AN169&gt;0,SUM(AN169:AR169),0)</f>
        <v>35600</v>
      </c>
      <c r="AT169">
        <f>_xlfn.XLOOKUP(B169,'[4]june-2025'!$A:$A,'[4]june-2025'!$H:$H,0,0)</f>
        <v>2000</v>
      </c>
      <c r="AU169">
        <f>_xlfn.XLOOKUP(B169,'[4]june-2025'!$A:$A,'[4]june-2025'!$I:$I,0,0)</f>
        <v>0</v>
      </c>
      <c r="AV169">
        <f>IF($F169="YES",0,IF(AS169&gt;40000,200,IF(AS169&gt;25000,150,IF(AS169&gt;15000,130,IF(AS169&gt;10000,110,0)))))</f>
        <v>150</v>
      </c>
      <c r="AW169">
        <f>AS169-AT169-AU169-AV169</f>
        <v>33450</v>
      </c>
      <c r="AX169">
        <f>_xlfn.XLOOKUP(B169,'[5]july-2025'!$A:$A,'[5]july-2025'!$C:$C,0,0)</f>
        <v>0</v>
      </c>
      <c r="AY169">
        <f>AX169*0.18</f>
        <v>0</v>
      </c>
      <c r="AZ169">
        <v>0</v>
      </c>
      <c r="BA169">
        <f>AX169*0.12</f>
        <v>0</v>
      </c>
      <c r="BB169">
        <f>_xlfn.XLOOKUP(B169,'[5]july-2025'!$A:$A,'[5]july-2025'!$D:$D,0,0)</f>
        <v>0</v>
      </c>
      <c r="BC169">
        <f>_xlfn.XLOOKUP(B169,'[5]july-2025'!$A:$A,'[5]july-2025'!$G:$G,0,0)</f>
        <v>0</v>
      </c>
      <c r="BD169">
        <f>IF(AX169&gt;0,SUM(AX169:BC169),0)</f>
        <v>0</v>
      </c>
      <c r="BE169">
        <f>_xlfn.XLOOKUP(B169,'[5]july-2025'!$A:$A,'[5]july-2025'!$H:$H,0,0)</f>
        <v>0</v>
      </c>
      <c r="BF169">
        <f>_xlfn.XLOOKUP(B169,'[5]july-2025'!$A:$A,'[5]july-2025'!$I:$I,0,0)</f>
        <v>0</v>
      </c>
      <c r="BG169">
        <f>IF($F169="YES",0,IF(BD169&gt;40000,200,IF(BD169&gt;25000,150,IF(BD169&gt;15000,130,IF(BD169&gt;10000,110,0)))))</f>
        <v>0</v>
      </c>
      <c r="BH169">
        <f>BD169-BE169-BF169-BG169</f>
        <v>0</v>
      </c>
      <c r="BI169">
        <f>_xlfn.XLOOKUP(B169,'[6]august-2025'!$A:$A,'[6]august-2025'!$C:$C,0,0)</f>
        <v>0</v>
      </c>
      <c r="BJ169">
        <f>BI169*0.18</f>
        <v>0</v>
      </c>
      <c r="BK169">
        <f>BI169*0.12</f>
        <v>0</v>
      </c>
      <c r="BL169">
        <f>_xlfn.XLOOKUP(B169,'[6]august-2025'!$A:$A,'[6]august-2025'!$D:$D,0,0)</f>
        <v>0</v>
      </c>
      <c r="BM169">
        <f>_xlfn.XLOOKUP(B169,'[6]august-2025'!$A:$A,'[6]august-2025'!$G:$G,0,0)</f>
        <v>0</v>
      </c>
      <c r="BN169">
        <f>IF(BI169&gt;0,SUM(BI169:BM169),0)</f>
        <v>0</v>
      </c>
      <c r="BO169">
        <f>_xlfn.XLOOKUP(B169,'[6]august-2025'!$A:$A,'[6]august-2025'!$H:$H,0,0)</f>
        <v>0</v>
      </c>
      <c r="BP169">
        <f>_xlfn.XLOOKUP(B169,'[6]august-2025'!$A:$A,'[6]august-2025'!$I:$I,0,0)</f>
        <v>0</v>
      </c>
      <c r="BQ169">
        <f>IF($F169="YES",0,IF(BN169&gt;40000,200,IF(BN169&gt;25000,150,IF(BN169&gt;15000,130,IF(BN169&gt;10000,110,0)))))</f>
        <v>0</v>
      </c>
      <c r="BR169">
        <f>BN169-BO169-BP169-BQ169</f>
        <v>0</v>
      </c>
      <c r="BS169">
        <f>_xlfn.XLOOKUP(B169,'[7]september-2025'!$A:$A,'[7]september-2025'!$C:$C,0,0)</f>
        <v>0</v>
      </c>
      <c r="BT169">
        <f>BS169*0.18</f>
        <v>0</v>
      </c>
      <c r="BU169">
        <f>BS169*0.12</f>
        <v>0</v>
      </c>
      <c r="BV169">
        <f>_xlfn.XLOOKUP(B169,'[7]september-2025'!$A:$A,'[7]september-2025'!$D:$D,0,0)</f>
        <v>0</v>
      </c>
      <c r="BW169">
        <f>_xlfn.XLOOKUP(B169,'[7]september-2025'!$A:$A,'[7]september-2025'!$G:$G,0,0)</f>
        <v>0</v>
      </c>
      <c r="BX169">
        <f>IF(BS169&gt;0,SUM(BS169:BW169),0)</f>
        <v>0</v>
      </c>
      <c r="BY169">
        <f>_xlfn.XLOOKUP(B169,'[7]september-2025'!$A:$A,'[7]september-2025'!$H:$H,0,0)</f>
        <v>0</v>
      </c>
      <c r="BZ169">
        <f>_xlfn.XLOOKUP(B169,'[7]september-2025'!$A:$A,'[7]september-2025'!$I:$I,0,0)</f>
        <v>0</v>
      </c>
      <c r="CA169">
        <f>IF($F169="YES",0,IF(BX169&gt;40000,200,IF(BX169&gt;25000,150,IF(BX169&gt;15000,130,IF(BX169&gt;10000,110,0)))))</f>
        <v>0</v>
      </c>
      <c r="CB169">
        <f>BX169-BY169-BZ169-CA169</f>
        <v>0</v>
      </c>
      <c r="CC169">
        <f>_xlfn.XLOOKUP(B169,'[8]october-2025'!$A:$A,'[8]october-2025'!$C:$C,0,0)</f>
        <v>0</v>
      </c>
      <c r="CD169">
        <f>CC169*0.18</f>
        <v>0</v>
      </c>
      <c r="CE169">
        <f>CC169*0.12</f>
        <v>0</v>
      </c>
      <c r="CF169">
        <f>_xlfn.XLOOKUP(B169,'[8]october-2025'!$A:$A,'[8]october-2025'!$D:$D,0,0)</f>
        <v>0</v>
      </c>
      <c r="CG169">
        <f>_xlfn.XLOOKUP(B169,'[8]october-2025'!$A:$A,'[8]october-2025'!$G:$G,0,0)</f>
        <v>0</v>
      </c>
      <c r="CH169">
        <f>IF(CC169&gt;0,SUM(CC169:CG169),0)</f>
        <v>0</v>
      </c>
      <c r="CI169">
        <f>_xlfn.XLOOKUP(B169,'[8]october-2025'!$A:$A,'[8]october-2025'!$H:$H,0,0)</f>
        <v>0</v>
      </c>
      <c r="CJ169">
        <f>_xlfn.XLOOKUP(B169,'[8]october-2025'!$A:$A,'[8]october-2025'!$I:$I,0,0)</f>
        <v>0</v>
      </c>
      <c r="CK169">
        <f>IF($F169="YES",0,IF(CH169&gt;40000,200,IF(CH169&gt;25000,150,IF(CH169&gt;15000,130,IF(CH169&gt;10000,110,0)))))</f>
        <v>0</v>
      </c>
      <c r="CL169">
        <f>CH169-CI169-CJ169-CK169</f>
        <v>0</v>
      </c>
      <c r="CM169">
        <f>_xlfn.XLOOKUP(B169,'[9]november-2025'!$A:$A,'[9]november-2025'!$C:$C,0,0)</f>
        <v>0</v>
      </c>
      <c r="CN169">
        <f>CM169*0.18</f>
        <v>0</v>
      </c>
      <c r="CO169">
        <f>CM169*0.12</f>
        <v>0</v>
      </c>
      <c r="CP169">
        <f>_xlfn.XLOOKUP(B169,'[9]november-2025'!$A:$A,'[9]november-2025'!$D:$D,0,0)</f>
        <v>0</v>
      </c>
      <c r="CQ169">
        <f>_xlfn.XLOOKUP(B169,'[9]november-2025'!$A:$A,'[9]november-2025'!$G:$G,0,0)</f>
        <v>0</v>
      </c>
      <c r="CR169">
        <f>IF(CM169&gt;0,SUM(CM169:CQ169),0)</f>
        <v>0</v>
      </c>
      <c r="CS169">
        <f>_xlfn.XLOOKUP(B169,'[9]november-2025'!$A:$A,'[9]november-2025'!$H:$H,0,0)</f>
        <v>0</v>
      </c>
      <c r="CT169">
        <f>_xlfn.XLOOKUP(B169,'[9]november-2025'!$A:$A,'[9]november-2025'!$I:$I,0,0)</f>
        <v>0</v>
      </c>
      <c r="CU169">
        <f>IF($F169="YES",0,IF(CR169&gt;40000,200,IF(CR169&gt;25000,150,IF(CR169&gt;15000,130,IF(CR169&gt;10000,110,0)))))</f>
        <v>0</v>
      </c>
      <c r="CV169">
        <f>CR169-CS169-CT169-CU169</f>
        <v>0</v>
      </c>
      <c r="CW169">
        <f>_xlfn.XLOOKUP(B169,'[10]december-2025'!$A:$A,'[10]december-2025'!$C:$C,0,0)</f>
        <v>0</v>
      </c>
      <c r="CX169">
        <f>ROUND(CW169*0.18,0)</f>
        <v>0</v>
      </c>
      <c r="CY169">
        <f>ROUND(CW169*0.12,0)</f>
        <v>0</v>
      </c>
      <c r="CZ169">
        <f>_xlfn.XLOOKUP(B169,'[10]december-2025'!$A:$A,'[10]december-2025'!$D:$D,0,0)</f>
        <v>0</v>
      </c>
      <c r="DA169">
        <f>_xlfn.XLOOKUP(B169,'[10]december-2025'!$A:$A,'[10]december-2025'!$G:$G,0,0)</f>
        <v>0</v>
      </c>
      <c r="DB169">
        <f>IF(CW169&gt;0,SUM(CW169:DA169),0)</f>
        <v>0</v>
      </c>
      <c r="DC169">
        <f>_xlfn.XLOOKUP(B169,'[10]december-2025'!$A:$A,'[10]december-2025'!$H:$H,0,0)</f>
        <v>0</v>
      </c>
      <c r="DD169">
        <f>_xlfn.XLOOKUP(B169,'[10]december-2025'!$A:$A,'[10]december-2025'!$I:$I,0,0)</f>
        <v>0</v>
      </c>
      <c r="DE169">
        <f>IF($F169="YES",0,IF(DB169&gt;40000,200,IF(DB169&gt;25000,150,IF(DB169&gt;15000,130,IF(DB169&gt;10000,110,0)))))</f>
        <v>0</v>
      </c>
      <c r="DF169">
        <f>DB169-DC169-DD169-DE169</f>
        <v>0</v>
      </c>
      <c r="DG169">
        <f>_xlfn.XLOOKUP(B169,'[11]january-2026'!$A:$A,'[11]january-2026'!$C:$C,0,0)</f>
        <v>0</v>
      </c>
      <c r="DH169">
        <f>DG169*0.18</f>
        <v>0</v>
      </c>
      <c r="DI169">
        <f>DG169*0.12</f>
        <v>0</v>
      </c>
      <c r="DJ169">
        <f>_xlfn.XLOOKUP(B169,'[11]january-2026'!$A:$A,'[11]january-2026'!$D:$D,0,0)</f>
        <v>0</v>
      </c>
      <c r="DK169">
        <f>_xlfn.XLOOKUP(B169,'[11]january-2026'!$A:$A,'[11]january-2026'!$G:$G,0,0)</f>
        <v>0</v>
      </c>
      <c r="DL169">
        <f>IF(DG169&gt;0,SUM(DG169:DK169),0)</f>
        <v>0</v>
      </c>
      <c r="DM169">
        <f>_xlfn.XLOOKUP(B169,'[11]january-2026'!$A:$A,'[11]january-2026'!$H:$H,0,0)</f>
        <v>0</v>
      </c>
      <c r="DN169">
        <f>_xlfn.XLOOKUP(B169,'[11]january-2026'!$A:$A,'[11]january-2026'!$I:$I,0,0)</f>
        <v>0</v>
      </c>
      <c r="DO169">
        <f>IF($F169="YES",0,IF(DL169&gt;40000,200,IF(DL169&gt;25000,150,IF(DL169&gt;15000,130,IF(DL169&gt;10000,110,0)))))</f>
        <v>0</v>
      </c>
      <c r="DP169">
        <f>DL169-DM169-DN169-DO169</f>
        <v>0</v>
      </c>
      <c r="DQ169">
        <f>_xlfn.XLOOKUP(B169,'[12]february-2026'!$A:$A,'[12]february-2026'!$C:$C,0,0)</f>
        <v>0</v>
      </c>
      <c r="DR169">
        <f>DQ169*0.18</f>
        <v>0</v>
      </c>
      <c r="DS169">
        <f>DQ169*0.12</f>
        <v>0</v>
      </c>
      <c r="DT169">
        <f>_xlfn.XLOOKUP(B169,'[12]february-2026'!$A:$A,'[12]february-2026'!$D:$D,0,0)</f>
        <v>0</v>
      </c>
      <c r="DU169">
        <f>_xlfn.XLOOKUP(B169,'[12]february-2026'!$A:$A,'[12]february-2026'!$G:$G,0,0)</f>
        <v>0</v>
      </c>
      <c r="DV169">
        <f>IF(DQ169&gt;0,SUM(DQ169:DU169),0)</f>
        <v>0</v>
      </c>
      <c r="DW169">
        <f>_xlfn.XLOOKUP(B169,'[12]february-2026'!$A:$A,'[12]february-2026'!$H:$H,0,0)</f>
        <v>0</v>
      </c>
      <c r="DX169">
        <f>_xlfn.XLOOKUP(B169,'[12]february-2026'!$A:$A,'[12]february-2026'!$I:$I,0,0)</f>
        <v>0</v>
      </c>
      <c r="DY169">
        <f>IF($F169="YES",0,IF(DV169&gt;40000,200,IF(DV169&gt;25000,150,IF(DV169&gt;15000,130,IF(DV169&gt;10000,110,0)))))</f>
        <v>0</v>
      </c>
      <c r="DZ169">
        <f>DV169-DW169-DX169-DY169</f>
        <v>0</v>
      </c>
      <c r="EA169">
        <f>DV169+DL169+DB169+CR169+CH169+BX169+BN169+BD169+AS169+AI169+Y169+O169+H169+I169</f>
        <v>148120</v>
      </c>
      <c r="EB169">
        <f>DY169+DO169+DE169+CU169+CK169+CA169+BQ169+BG169+AV169+AL169+AB169+R169</f>
        <v>600</v>
      </c>
      <c r="EC169">
        <f>IF(EA169&gt;0,50000,0)</f>
        <v>50000</v>
      </c>
      <c r="ED169">
        <v>0</v>
      </c>
      <c r="EE169">
        <f>EA169-EB169-EC169</f>
        <v>97520</v>
      </c>
      <c r="EF169">
        <f>DW169+DM169+DC169+CS169+CI169+BY169+BO169+BE169+AT169+AJ169+Z169+P169</f>
        <v>8000</v>
      </c>
      <c r="EG169">
        <f>DX169+DN169+DD169+CT169+CJ169+BZ169+BP169+BF169+AU169+AK169+AA169+Q169</f>
        <v>0</v>
      </c>
      <c r="EH169">
        <v>0</v>
      </c>
      <c r="EI169">
        <v>0</v>
      </c>
      <c r="EJ169">
        <v>0</v>
      </c>
      <c r="EK169">
        <v>0</v>
      </c>
      <c r="EL169">
        <v>0</v>
      </c>
      <c r="EM169">
        <v>0</v>
      </c>
      <c r="EN169">
        <v>0</v>
      </c>
      <c r="EO169">
        <v>0</v>
      </c>
      <c r="EP169">
        <v>0</v>
      </c>
      <c r="EQ169">
        <v>0</v>
      </c>
      <c r="ER169">
        <f>SUM(EF169:EQ169)</f>
        <v>8000</v>
      </c>
      <c r="ES169">
        <f>IF(ER169&gt;=150000,150000,ER169)</f>
        <v>8000</v>
      </c>
      <c r="ET169">
        <f>EE169-ES169</f>
        <v>89520</v>
      </c>
      <c r="EU169">
        <v>0</v>
      </c>
      <c r="EV169">
        <v>0</v>
      </c>
      <c r="EW169">
        <v>0</v>
      </c>
      <c r="EX169">
        <v>0</v>
      </c>
      <c r="EY169">
        <v>0</v>
      </c>
      <c r="EZ169">
        <v>0</v>
      </c>
      <c r="FA169">
        <v>0</v>
      </c>
      <c r="FB169">
        <f>SUM(EU169:FA169)+(IF(F169="YES",50000,0))</f>
        <v>0</v>
      </c>
      <c r="FC169">
        <f>ET169-FB169</f>
        <v>89520</v>
      </c>
      <c r="FD169">
        <f>ROUND(IF(FC169&gt;0,IF(FC169&gt;500000,12500,(FC169-250000)*0.05),0),0)</f>
        <v>-8024</v>
      </c>
      <c r="FE169">
        <f>IF(ROUND(IF(FC169&gt;0,IF(FC169&gt;1000000,25000,(FC169-500000)*0.2),0),0)&lt;0,0,ROUND(IF(FC169&gt;0,IF(FC169&gt;1000000,25000,(FC169-500000)*0.2),0),0))</f>
        <v>0</v>
      </c>
      <c r="FF169">
        <f>FD169+FE169</f>
        <v>-8024</v>
      </c>
      <c r="FG169">
        <f>IF(FF169&lt;12500,0,FF169)</f>
        <v>0</v>
      </c>
      <c r="FH169">
        <f>FG169*0.04</f>
        <v>0</v>
      </c>
      <c r="FI169">
        <f>ROUND(FH169+FG169,0)</f>
        <v>0</v>
      </c>
      <c r="FJ169">
        <v>0</v>
      </c>
      <c r="FK169">
        <f>FI169-FJ169</f>
        <v>0</v>
      </c>
      <c r="FL169" t="b">
        <f>IF(EA169&gt;500000,TRUE,FALSE)</f>
        <v>0</v>
      </c>
      <c r="FM169">
        <f ca="1">IF(FL169,RANDBETWEEN(500,1000),RANDBETWEEN(1000,3000))</f>
        <v>2899</v>
      </c>
      <c r="FN169">
        <f ca="1">EA169+FM169</f>
        <v>151019</v>
      </c>
      <c r="FO169">
        <f>IF(EA169&gt;0,75000,0)</f>
        <v>75000</v>
      </c>
      <c r="FP169">
        <f ca="1">FN169-FO169</f>
        <v>76019</v>
      </c>
      <c r="FQ169">
        <f ca="1">IF(FP169&gt;2400000,FP169-2400000,0)</f>
        <v>0</v>
      </c>
      <c r="FR169">
        <f ca="1">FQ169*0.3</f>
        <v>0</v>
      </c>
      <c r="FS169">
        <f ca="1">IF(FP169&gt;2000000,FP169-2000000,0)</f>
        <v>0</v>
      </c>
      <c r="FT169">
        <f ca="1">FS169*0.25</f>
        <v>0</v>
      </c>
      <c r="FU169">
        <f ca="1">IF(FP169&gt;1600000,FP169-1600000-FQ169,0)</f>
        <v>0</v>
      </c>
      <c r="FV169">
        <f ca="1">FU169*0.2</f>
        <v>0</v>
      </c>
      <c r="FW169">
        <f ca="1">IF(FP169&gt;1200000,FP169-1200000-IF(F169="YES",50000,0)-FU169,0)</f>
        <v>0</v>
      </c>
      <c r="FX169">
        <f ca="1">FW169*0.15</f>
        <v>0</v>
      </c>
      <c r="FY169">
        <f ca="1">IF(FP169&gt;800000,FP169-800000-FQ169-FU169-FW169,0)</f>
        <v>0</v>
      </c>
      <c r="FZ169">
        <f ca="1">FY169*0.1</f>
        <v>0</v>
      </c>
      <c r="GA169">
        <f ca="1">IF(FP169&gt;400000,FP169-400000-FQ169-FU169-FW169-FY169,0)</f>
        <v>0</v>
      </c>
      <c r="GB169">
        <f ca="1">GA169*0.05</f>
        <v>0</v>
      </c>
      <c r="GC169">
        <f ca="1">ROUND(FR169+FT169+FV169+FX169+FZ169+GB169,0)</f>
        <v>0</v>
      </c>
      <c r="GD169">
        <f ca="1">IF(FP169&gt;1200000,FP169,0)</f>
        <v>0</v>
      </c>
      <c r="GE169">
        <f ca="1">IF(FP169&gt;1200000,GD169-1200000,0)</f>
        <v>0</v>
      </c>
      <c r="GF169">
        <f ca="1">IF(FP169&lt;1200001,MIN(GC169,60000),0)</f>
        <v>0</v>
      </c>
      <c r="GG169">
        <f ca="1">IF(FP169&gt;1200000,GC169-GE169,0)</f>
        <v>0</v>
      </c>
      <c r="GH169" t="b">
        <f ca="1">IF(GG169&gt;0,TRUE,FALSE)</f>
        <v>0</v>
      </c>
      <c r="GI169">
        <f ca="1">IF(GH169,GG169,0)</f>
        <v>0</v>
      </c>
      <c r="GJ169">
        <f ca="1">GF169+GI169</f>
        <v>0</v>
      </c>
      <c r="GK169">
        <f ca="1">ROUND(GC169-GJ169,0)</f>
        <v>0</v>
      </c>
      <c r="GL169">
        <f ca="1">GK169*0.04</f>
        <v>0</v>
      </c>
      <c r="GM169">
        <f ca="1">ROUNDUP(GK169+GL169,0)</f>
        <v>0</v>
      </c>
    </row>
    <row r="170" spans="1:195" x14ac:dyDescent="0.25">
      <c r="A170">
        <f>_xlfn.AGGREGATE(3,5,$B$2:B170)</f>
        <v>169</v>
      </c>
      <c r="B170" t="s">
        <v>451</v>
      </c>
      <c r="C170" t="s">
        <v>452</v>
      </c>
      <c r="D170" t="s">
        <v>797</v>
      </c>
      <c r="E170" t="s">
        <v>833</v>
      </c>
      <c r="F170" t="s">
        <v>959</v>
      </c>
      <c r="G170" t="s">
        <v>881</v>
      </c>
      <c r="H170">
        <f>IF(_xlfn.DAYS("31-03-2025",G170)&gt;=180,6800,0)</f>
        <v>6800</v>
      </c>
      <c r="I170">
        <f>_xlfn.XLOOKUP(B170,'[1]march-2025'!$A:$A,'[1]march-2025'!$J:$J,0,0)</f>
        <v>0</v>
      </c>
      <c r="J170">
        <f>_xlfn.XLOOKUP(B170,'[1]march-2025'!$A:$A,'[1]march-2025'!$C:$C,0,0)</f>
        <v>31600</v>
      </c>
      <c r="K170">
        <f>J170*0.14</f>
        <v>4424</v>
      </c>
      <c r="L170">
        <f>J170*0.12</f>
        <v>3792</v>
      </c>
      <c r="M170">
        <f>_xlfn.XLOOKUP(B170,'[1]march-2025'!$A:$A,'[1]march-2025'!$D:$D,0,0)</f>
        <v>0</v>
      </c>
      <c r="N170">
        <f>_xlfn.XLOOKUP(B170,'[1]march-2025'!$A:$A,'[1]march-2025'!$G:$G,0,0)</f>
        <v>500</v>
      </c>
      <c r="O170">
        <f>IF(J170&gt;0,SUM(J170:N170),0)</f>
        <v>40316</v>
      </c>
      <c r="P170">
        <f>_xlfn.XLOOKUP(B170,'[1]march-2025'!$A:$A,'[1]march-2025'!$H:$H,0,0)</f>
        <v>2000</v>
      </c>
      <c r="Q170">
        <f>_xlfn.XLOOKUP(B170,'[1]march-2025'!$A:$A,'[1]march-2025'!$I:$I,0,0)</f>
        <v>0</v>
      </c>
      <c r="R170">
        <f>IF($F170="YES",0,IF(O170&gt;40000,200,IF(O170&gt;25000,150,IF(O170&gt;15000,130,IF(O170&gt;10000,110,0)))))</f>
        <v>200</v>
      </c>
      <c r="S170">
        <f>O170-P170-Q170-R170</f>
        <v>38116</v>
      </c>
      <c r="T170">
        <f>_xlfn.XLOOKUP(B170,'[2]april-2025'!$A:$A,'[2]april-2025'!$C:$C,0,0)</f>
        <v>31600</v>
      </c>
      <c r="U170">
        <f>T170*0.18</f>
        <v>5688</v>
      </c>
      <c r="V170">
        <f>T170*0.12</f>
        <v>3792</v>
      </c>
      <c r="W170">
        <f>_xlfn.XLOOKUP(B170,'[2]april-2025'!$A:$A,'[2]april-2025'!$D:$D,0,0)</f>
        <v>0</v>
      </c>
      <c r="X170">
        <f>_xlfn.XLOOKUP(B170,'[2]april-2025'!$A:$A,'[2]april-2025'!$G:$G,0,0)</f>
        <v>500</v>
      </c>
      <c r="Y170">
        <f>IF(T170&gt;0,SUM(T170:X170),0)</f>
        <v>41580</v>
      </c>
      <c r="Z170">
        <f>_xlfn.XLOOKUP(B170,'[2]april-2025'!$A:$A,'[2]april-2025'!$H:$H,0,0)</f>
        <v>2000</v>
      </c>
      <c r="AA170">
        <f>_xlfn.XLOOKUP(B170,'[2]april-2025'!$A:$A,'[2]april-2025'!$I:$I,0,0)</f>
        <v>0</v>
      </c>
      <c r="AB170">
        <f>IF($F170="YES",0,IF(Y170&gt;40000,200,IF(Y170&gt;25000,150,IF(Y170&gt;15000,130,IF(Y170&gt;10000,110,0)))))</f>
        <v>200</v>
      </c>
      <c r="AC170">
        <f>Y170-Z170-AA170-AB170</f>
        <v>39380</v>
      </c>
      <c r="AD170">
        <f>_xlfn.XLOOKUP(B170,'[3]may-2025'!$A:$A,'[3]may-2025'!$C:$C,0,0)</f>
        <v>31600</v>
      </c>
      <c r="AE170">
        <f>AD170*0.18</f>
        <v>5688</v>
      </c>
      <c r="AF170">
        <f>AD170*0.12</f>
        <v>3792</v>
      </c>
      <c r="AG170">
        <f>_xlfn.XLOOKUP(B170,'[3]may-2025'!$A:$A,'[3]may-2025'!$D:$D,0,0)</f>
        <v>0</v>
      </c>
      <c r="AH170">
        <f>_xlfn.XLOOKUP(B170,'[3]may-2025'!$A:$A,'[3]may-2025'!$G:$G,0,0)</f>
        <v>500</v>
      </c>
      <c r="AI170">
        <f>IF(AD170&gt;0,SUM(AD170:AH170),0)</f>
        <v>41580</v>
      </c>
      <c r="AJ170">
        <f>_xlfn.XLOOKUP(B170,'[3]may-2025'!$A:$A,'[3]may-2025'!$H:$H,0,0)</f>
        <v>2000</v>
      </c>
      <c r="AK170">
        <f>_xlfn.XLOOKUP(B170,'[3]may-2025'!$A:$A,'[3]may-2025'!$I:$I,0,0)</f>
        <v>0</v>
      </c>
      <c r="AL170">
        <f>IF($F170="YES",0,IF(AI170&gt;40000,200,IF(AI170&gt;25000,150,IF(AI170&gt;15000,130,IF(AI170&gt;10000,110,0)))))</f>
        <v>200</v>
      </c>
      <c r="AM170">
        <f>AI170-AJ170-AK170-AL170</f>
        <v>39380</v>
      </c>
      <c r="AN170">
        <f>_xlfn.XLOOKUP(B170,'[4]june-2025'!$A:$A,'[4]june-2025'!$C:$C,0,0)</f>
        <v>31600</v>
      </c>
      <c r="AO170">
        <f>AN170*0.18</f>
        <v>5688</v>
      </c>
      <c r="AP170">
        <f>AN170*0.12</f>
        <v>3792</v>
      </c>
      <c r="AQ170">
        <f>_xlfn.XLOOKUP(B170,'[4]june-2025'!$A:$A,'[4]june-2025'!$D:$D,0,0)</f>
        <v>0</v>
      </c>
      <c r="AR170">
        <f>_xlfn.XLOOKUP(B170,'[4]june-2025'!$A:$A,'[4]june-2025'!$G:$G,0,0)</f>
        <v>500</v>
      </c>
      <c r="AS170">
        <f>IF(AN170&gt;0,SUM(AN170:AR170),0)</f>
        <v>41580</v>
      </c>
      <c r="AT170">
        <f>_xlfn.XLOOKUP(B170,'[4]june-2025'!$A:$A,'[4]june-2025'!$H:$H,0,0)</f>
        <v>2000</v>
      </c>
      <c r="AU170">
        <f>_xlfn.XLOOKUP(B170,'[4]june-2025'!$A:$A,'[4]june-2025'!$I:$I,0,0)</f>
        <v>0</v>
      </c>
      <c r="AV170">
        <f>IF($F170="YES",0,IF(AS170&gt;40000,200,IF(AS170&gt;25000,150,IF(AS170&gt;15000,130,IF(AS170&gt;10000,110,0)))))</f>
        <v>200</v>
      </c>
      <c r="AW170">
        <f>AS170-AT170-AU170-AV170</f>
        <v>39380</v>
      </c>
      <c r="AX170">
        <f>_xlfn.XLOOKUP(B170,'[5]july-2025'!$A:$A,'[5]july-2025'!$C:$C,0,0)</f>
        <v>32500</v>
      </c>
      <c r="AY170">
        <f>AX170*0.18</f>
        <v>5850</v>
      </c>
      <c r="AZ170">
        <v>0</v>
      </c>
      <c r="BA170">
        <f>AX170*0.12</f>
        <v>3900</v>
      </c>
      <c r="BB170">
        <f>_xlfn.XLOOKUP(B170,'[5]july-2025'!$A:$A,'[5]july-2025'!$D:$D,0,0)</f>
        <v>0</v>
      </c>
      <c r="BC170">
        <f>_xlfn.XLOOKUP(B170,'[5]july-2025'!$A:$A,'[5]july-2025'!$G:$G,0,0)</f>
        <v>500</v>
      </c>
      <c r="BD170">
        <f>IF(AX170&gt;0,SUM(AX170:BC170),0)</f>
        <v>42750</v>
      </c>
      <c r="BE170">
        <f>_xlfn.XLOOKUP(B170,'[5]july-2025'!$A:$A,'[5]july-2025'!$H:$H,0,0)</f>
        <v>2000</v>
      </c>
      <c r="BF170">
        <f>_xlfn.XLOOKUP(B170,'[5]july-2025'!$A:$A,'[5]july-2025'!$I:$I,0,0)</f>
        <v>0</v>
      </c>
      <c r="BG170">
        <f>IF($F170="YES",0,IF(BD170&gt;40000,200,IF(BD170&gt;25000,150,IF(BD170&gt;15000,130,IF(BD170&gt;10000,110,0)))))</f>
        <v>200</v>
      </c>
      <c r="BH170">
        <f>BD170-BE170-BF170-BG170</f>
        <v>40550</v>
      </c>
      <c r="BI170">
        <f>_xlfn.XLOOKUP(B170,'[6]august-2025'!$A:$A,'[6]august-2025'!$C:$C,0,0)</f>
        <v>32500</v>
      </c>
      <c r="BJ170">
        <f>BI170*0.18</f>
        <v>5850</v>
      </c>
      <c r="BK170">
        <f>BI170*0.12</f>
        <v>3900</v>
      </c>
      <c r="BL170">
        <f>_xlfn.XLOOKUP(B170,'[6]august-2025'!$A:$A,'[6]august-2025'!$D:$D,0,0)</f>
        <v>0</v>
      </c>
      <c r="BM170">
        <f>_xlfn.XLOOKUP(B170,'[6]august-2025'!$A:$A,'[6]august-2025'!$G:$G,0,0)</f>
        <v>500</v>
      </c>
      <c r="BN170">
        <f>IF(BI170&gt;0,SUM(BI170:BM170),0)</f>
        <v>42750</v>
      </c>
      <c r="BO170">
        <f>_xlfn.XLOOKUP(B170,'[6]august-2025'!$A:$A,'[6]august-2025'!$H:$H,0,0)</f>
        <v>2000</v>
      </c>
      <c r="BP170">
        <f>_xlfn.XLOOKUP(B170,'[6]august-2025'!$A:$A,'[6]august-2025'!$I:$I,0,0)</f>
        <v>0</v>
      </c>
      <c r="BQ170">
        <f>IF($F170="YES",0,IF(BN170&gt;40000,200,IF(BN170&gt;25000,150,IF(BN170&gt;15000,130,IF(BN170&gt;10000,110,0)))))</f>
        <v>200</v>
      </c>
      <c r="BR170">
        <f>BN170-BO170-BP170-BQ170</f>
        <v>40550</v>
      </c>
      <c r="BS170">
        <f>_xlfn.XLOOKUP(B170,'[7]september-2025'!$A:$A,'[7]september-2025'!$C:$C,0,0)</f>
        <v>32500</v>
      </c>
      <c r="BT170">
        <f>BS170*0.18</f>
        <v>5850</v>
      </c>
      <c r="BU170">
        <f>BS170*0.12</f>
        <v>3900</v>
      </c>
      <c r="BV170">
        <f>_xlfn.XLOOKUP(B170,'[7]september-2025'!$A:$A,'[7]september-2025'!$D:$D,0,0)</f>
        <v>0</v>
      </c>
      <c r="BW170">
        <f>_xlfn.XLOOKUP(B170,'[7]september-2025'!$A:$A,'[7]september-2025'!$G:$G,0,0)</f>
        <v>500</v>
      </c>
      <c r="BX170">
        <f>IF(BS170&gt;0,SUM(BS170:BW170),0)</f>
        <v>42750</v>
      </c>
      <c r="BY170">
        <f>_xlfn.XLOOKUP(B170,'[7]september-2025'!$A:$A,'[7]september-2025'!$H:$H,0,0)</f>
        <v>2000</v>
      </c>
      <c r="BZ170">
        <f>_xlfn.XLOOKUP(B170,'[7]september-2025'!$A:$A,'[7]september-2025'!$I:$I,0,0)</f>
        <v>0</v>
      </c>
      <c r="CA170">
        <f>IF($F170="YES",0,IF(BX170&gt;40000,200,IF(BX170&gt;25000,150,IF(BX170&gt;15000,130,IF(BX170&gt;10000,110,0)))))</f>
        <v>200</v>
      </c>
      <c r="CB170">
        <f>BX170-BY170-BZ170-CA170</f>
        <v>40550</v>
      </c>
      <c r="CC170">
        <f>_xlfn.XLOOKUP(B170,'[8]october-2025'!$A:$A,'[8]october-2025'!$C:$C,0,0)</f>
        <v>32500</v>
      </c>
      <c r="CD170">
        <f>CC170*0.18</f>
        <v>5850</v>
      </c>
      <c r="CE170">
        <f>CC170*0.12</f>
        <v>3900</v>
      </c>
      <c r="CF170">
        <f>_xlfn.XLOOKUP(B170,'[8]october-2025'!$A:$A,'[8]october-2025'!$D:$D,0,0)</f>
        <v>0</v>
      </c>
      <c r="CG170">
        <f>_xlfn.XLOOKUP(B170,'[8]october-2025'!$A:$A,'[8]october-2025'!$G:$G,0,0)</f>
        <v>500</v>
      </c>
      <c r="CH170">
        <f>IF(CC170&gt;0,SUM(CC170:CG170),0)</f>
        <v>42750</v>
      </c>
      <c r="CI170">
        <f>_xlfn.XLOOKUP(B170,'[8]october-2025'!$A:$A,'[8]october-2025'!$H:$H,0,0)</f>
        <v>2000</v>
      </c>
      <c r="CJ170">
        <f>_xlfn.XLOOKUP(B170,'[8]october-2025'!$A:$A,'[8]october-2025'!$I:$I,0,0)</f>
        <v>0</v>
      </c>
      <c r="CK170">
        <f>IF($F170="YES",0,IF(CH170&gt;40000,200,IF(CH170&gt;25000,150,IF(CH170&gt;15000,130,IF(CH170&gt;10000,110,0)))))</f>
        <v>200</v>
      </c>
      <c r="CL170">
        <f>CH170-CI170-CJ170-CK170</f>
        <v>40550</v>
      </c>
      <c r="CM170">
        <f>_xlfn.XLOOKUP(B170,'[9]november-2025'!$A:$A,'[9]november-2025'!$C:$C,0,0)</f>
        <v>32500</v>
      </c>
      <c r="CN170">
        <f>CM170*0.18</f>
        <v>5850</v>
      </c>
      <c r="CO170">
        <f>CM170*0.12</f>
        <v>3900</v>
      </c>
      <c r="CP170">
        <f>_xlfn.XLOOKUP(B170,'[9]november-2025'!$A:$A,'[9]november-2025'!$D:$D,0,0)</f>
        <v>0</v>
      </c>
      <c r="CQ170">
        <f>_xlfn.XLOOKUP(B170,'[9]november-2025'!$A:$A,'[9]november-2025'!$G:$G,0,0)</f>
        <v>500</v>
      </c>
      <c r="CR170">
        <f>IF(CM170&gt;0,SUM(CM170:CQ170),0)</f>
        <v>42750</v>
      </c>
      <c r="CS170">
        <f>_xlfn.XLOOKUP(B170,'[9]november-2025'!$A:$A,'[9]november-2025'!$H:$H,0,0)</f>
        <v>2000</v>
      </c>
      <c r="CT170">
        <f>_xlfn.XLOOKUP(B170,'[9]november-2025'!$A:$A,'[9]november-2025'!$I:$I,0,0)</f>
        <v>0</v>
      </c>
      <c r="CU170">
        <f>IF($F170="YES",0,IF(CR170&gt;40000,200,IF(CR170&gt;25000,150,IF(CR170&gt;15000,130,IF(CR170&gt;10000,110,0)))))</f>
        <v>200</v>
      </c>
      <c r="CV170">
        <f>CR170-CS170-CT170-CU170</f>
        <v>40550</v>
      </c>
      <c r="CW170">
        <f>_xlfn.XLOOKUP(B170,'[10]december-2025'!$A:$A,'[10]december-2025'!$C:$C,0,0)</f>
        <v>32500</v>
      </c>
      <c r="CX170">
        <f>ROUND(CW170*0.18,0)</f>
        <v>5850</v>
      </c>
      <c r="CY170">
        <f>ROUND(CW170*0.12,0)</f>
        <v>3900</v>
      </c>
      <c r="CZ170">
        <f>_xlfn.XLOOKUP(B170,'[10]december-2025'!$A:$A,'[10]december-2025'!$D:$D,0,0)</f>
        <v>0</v>
      </c>
      <c r="DA170">
        <f>_xlfn.XLOOKUP(B170,'[10]december-2025'!$A:$A,'[10]december-2025'!$G:$G,0,0)</f>
        <v>500</v>
      </c>
      <c r="DB170">
        <f>IF(CW170&gt;0,SUM(CW170:DA170),0)</f>
        <v>42750</v>
      </c>
      <c r="DC170">
        <f>_xlfn.XLOOKUP(B170,'[10]december-2025'!$A:$A,'[10]december-2025'!$H:$H,0,0)</f>
        <v>2000</v>
      </c>
      <c r="DD170">
        <f>_xlfn.XLOOKUP(B170,'[10]december-2025'!$A:$A,'[10]december-2025'!$I:$I,0,0)</f>
        <v>0</v>
      </c>
      <c r="DE170">
        <f>IF($F170="YES",0,IF(DB170&gt;40000,200,IF(DB170&gt;25000,150,IF(DB170&gt;15000,130,IF(DB170&gt;10000,110,0)))))</f>
        <v>200</v>
      </c>
      <c r="DF170">
        <f>DB170-DC170-DD170-DE170</f>
        <v>40550</v>
      </c>
      <c r="DG170">
        <f>_xlfn.XLOOKUP(B170,'[11]january-2026'!$A:$A,'[11]january-2026'!$C:$C,0,0)</f>
        <v>32500</v>
      </c>
      <c r="DH170">
        <f>DG170*0.18</f>
        <v>5850</v>
      </c>
      <c r="DI170">
        <f>DG170*0.12</f>
        <v>3900</v>
      </c>
      <c r="DJ170">
        <f>_xlfn.XLOOKUP(B170,'[11]january-2026'!$A:$A,'[11]january-2026'!$D:$D,0,0)</f>
        <v>0</v>
      </c>
      <c r="DK170">
        <f>_xlfn.XLOOKUP(B170,'[11]january-2026'!$A:$A,'[11]january-2026'!$G:$G,0,0)</f>
        <v>500</v>
      </c>
      <c r="DL170">
        <f>IF(DG170&gt;0,SUM(DG170:DK170),0)</f>
        <v>42750</v>
      </c>
      <c r="DM170">
        <f>_xlfn.XLOOKUP(B170,'[11]january-2026'!$A:$A,'[11]january-2026'!$H:$H,0,0)</f>
        <v>2000</v>
      </c>
      <c r="DN170">
        <f>_xlfn.XLOOKUP(B170,'[11]january-2026'!$A:$A,'[11]january-2026'!$I:$I,0,0)</f>
        <v>0</v>
      </c>
      <c r="DO170">
        <f>IF($F170="YES",0,IF(DL170&gt;40000,200,IF(DL170&gt;25000,150,IF(DL170&gt;15000,130,IF(DL170&gt;10000,110,0)))))</f>
        <v>200</v>
      </c>
      <c r="DP170">
        <f>DL170-DM170-DN170-DO170</f>
        <v>40550</v>
      </c>
      <c r="DQ170">
        <f>_xlfn.XLOOKUP(B170,'[12]february-2026'!$A:$A,'[12]february-2026'!$C:$C,0,0)</f>
        <v>32500</v>
      </c>
      <c r="DR170">
        <f>DQ170*0.18</f>
        <v>5850</v>
      </c>
      <c r="DS170">
        <f>DQ170*0.12</f>
        <v>3900</v>
      </c>
      <c r="DT170">
        <f>_xlfn.XLOOKUP(B170,'[12]february-2026'!$A:$A,'[12]february-2026'!$D:$D,0,0)</f>
        <v>0</v>
      </c>
      <c r="DU170">
        <f>_xlfn.XLOOKUP(B170,'[12]february-2026'!$A:$A,'[12]february-2026'!$G:$G,0,0)</f>
        <v>500</v>
      </c>
      <c r="DV170">
        <f>IF(DQ170&gt;0,SUM(DQ170:DU170),0)</f>
        <v>42750</v>
      </c>
      <c r="DW170">
        <f>_xlfn.XLOOKUP(B170,'[12]february-2026'!$A:$A,'[12]february-2026'!$H:$H,0,0)</f>
        <v>2000</v>
      </c>
      <c r="DX170">
        <f>_xlfn.XLOOKUP(B170,'[12]february-2026'!$A:$A,'[12]february-2026'!$I:$I,0,0)</f>
        <v>0</v>
      </c>
      <c r="DY170">
        <f>IF($F170="YES",0,IF(DV170&gt;40000,200,IF(DV170&gt;25000,150,IF(DV170&gt;15000,130,IF(DV170&gt;10000,110,0)))))</f>
        <v>200</v>
      </c>
      <c r="DZ170">
        <f>DV170-DW170-DX170-DY170</f>
        <v>40550</v>
      </c>
      <c r="EA170">
        <f>DV170+DL170+DB170+CR170+CH170+BX170+BN170+BD170+AS170+AI170+Y170+O170+H170+I170</f>
        <v>513856</v>
      </c>
      <c r="EB170">
        <f>DY170+DO170+DE170+CU170+CK170+CA170+BQ170+BG170+AV170+AL170+AB170+R170</f>
        <v>2400</v>
      </c>
      <c r="EC170">
        <f>IF(EA170&gt;0,50000,0)</f>
        <v>50000</v>
      </c>
      <c r="ED170">
        <v>0</v>
      </c>
      <c r="EE170">
        <f>EA170-EB170-EC170</f>
        <v>461456</v>
      </c>
      <c r="EF170">
        <f>DW170+DM170+DC170+CS170+CI170+BY170+BO170+BE170+AT170+AJ170+Z170+P170</f>
        <v>24000</v>
      </c>
      <c r="EG170">
        <f>DX170+DN170+DD170+CT170+CJ170+BZ170+BP170+BF170+AU170+AK170+AA170+Q170</f>
        <v>0</v>
      </c>
      <c r="EH170">
        <v>0</v>
      </c>
      <c r="EI170">
        <v>0</v>
      </c>
      <c r="EJ170">
        <v>0</v>
      </c>
      <c r="EK170">
        <v>0</v>
      </c>
      <c r="EL170">
        <v>0</v>
      </c>
      <c r="EM170">
        <v>0</v>
      </c>
      <c r="EN170">
        <v>0</v>
      </c>
      <c r="EO170">
        <v>0</v>
      </c>
      <c r="EP170">
        <v>0</v>
      </c>
      <c r="EQ170">
        <v>0</v>
      </c>
      <c r="ER170">
        <f>SUM(EF170:EQ170)</f>
        <v>24000</v>
      </c>
      <c r="ES170">
        <f>IF(ER170&gt;=150000,150000,ER170)</f>
        <v>24000</v>
      </c>
      <c r="ET170">
        <f>EE170-ES170</f>
        <v>437456</v>
      </c>
      <c r="EU170">
        <v>0</v>
      </c>
      <c r="EV170">
        <v>0</v>
      </c>
      <c r="EW170">
        <v>0</v>
      </c>
      <c r="EX170">
        <v>0</v>
      </c>
      <c r="EY170">
        <v>0</v>
      </c>
      <c r="EZ170">
        <v>0</v>
      </c>
      <c r="FA170">
        <v>0</v>
      </c>
      <c r="FB170">
        <f>SUM(EU170:FA170)+(IF(F170="YES",50000,0))</f>
        <v>0</v>
      </c>
      <c r="FC170">
        <f>ET170-FB170</f>
        <v>437456</v>
      </c>
      <c r="FD170">
        <f>ROUND(IF(FC170&gt;0,IF(FC170&gt;500000,12500,(FC170-250000)*0.05),0),0)</f>
        <v>9373</v>
      </c>
      <c r="FE170">
        <f>IF(ROUND(IF(FC170&gt;0,IF(FC170&gt;1000000,25000,(FC170-500000)*0.2),0),0)&lt;0,0,ROUND(IF(FC170&gt;0,IF(FC170&gt;1000000,25000,(FC170-500000)*0.2),0),0))</f>
        <v>0</v>
      </c>
      <c r="FF170">
        <f>FD170+FE170</f>
        <v>9373</v>
      </c>
      <c r="FG170">
        <f>IF(FF170&lt;12500,0,FF170)</f>
        <v>0</v>
      </c>
      <c r="FH170">
        <f>FG170*0.04</f>
        <v>0</v>
      </c>
      <c r="FI170">
        <f>ROUND(FH170+FG170,0)</f>
        <v>0</v>
      </c>
      <c r="FJ170">
        <v>0</v>
      </c>
      <c r="FK170">
        <f>FI170-FJ170</f>
        <v>0</v>
      </c>
      <c r="FL170" t="b">
        <f>IF(EA170&gt;500000,TRUE,FALSE)</f>
        <v>1</v>
      </c>
      <c r="FM170">
        <f ca="1">IF(FL170,RANDBETWEEN(500,1000),RANDBETWEEN(1000,3000))</f>
        <v>888</v>
      </c>
      <c r="FN170">
        <f ca="1">EA170+FM170</f>
        <v>514744</v>
      </c>
      <c r="FO170">
        <f>IF(EA170&gt;0,75000,0)</f>
        <v>75000</v>
      </c>
      <c r="FP170">
        <f ca="1">FN170-FO170</f>
        <v>439744</v>
      </c>
      <c r="FQ170">
        <f ca="1">IF(FP170&gt;2400000,FP170-2400000,0)</f>
        <v>0</v>
      </c>
      <c r="FR170">
        <f ca="1">FQ170*0.3</f>
        <v>0</v>
      </c>
      <c r="FS170">
        <f ca="1">IF(FP170&gt;2000000,FP170-2000000,0)</f>
        <v>0</v>
      </c>
      <c r="FT170">
        <f ca="1">FS170*0.25</f>
        <v>0</v>
      </c>
      <c r="FU170">
        <f ca="1">IF(FP170&gt;1600000,FP170-1600000-FQ170,0)</f>
        <v>0</v>
      </c>
      <c r="FV170">
        <f ca="1">FU170*0.2</f>
        <v>0</v>
      </c>
      <c r="FW170">
        <f ca="1">IF(FP170&gt;1200000,FP170-1200000-IF(F170="YES",50000,0)-FU170,0)</f>
        <v>0</v>
      </c>
      <c r="FX170">
        <f ca="1">FW170*0.15</f>
        <v>0</v>
      </c>
      <c r="FY170">
        <f ca="1">IF(FP170&gt;800000,FP170-800000-FQ170-FU170-FW170,0)</f>
        <v>0</v>
      </c>
      <c r="FZ170">
        <f ca="1">FY170*0.1</f>
        <v>0</v>
      </c>
      <c r="GA170">
        <f ca="1">IF(FP170&gt;400000,FP170-400000-FQ170-FU170-FW170-FY170,0)</f>
        <v>39744</v>
      </c>
      <c r="GB170">
        <f ca="1">GA170*0.05</f>
        <v>1987.2</v>
      </c>
      <c r="GC170">
        <f ca="1">ROUND(FR170+FT170+FV170+FX170+FZ170+GB170,0)</f>
        <v>1987</v>
      </c>
      <c r="GD170">
        <f ca="1">IF(FP170&gt;1200000,FP170,0)</f>
        <v>0</v>
      </c>
      <c r="GE170">
        <f ca="1">IF(FP170&gt;1200000,GD170-1200000,0)</f>
        <v>0</v>
      </c>
      <c r="GF170">
        <f ca="1">IF(FP170&lt;1200001,MIN(GC170,60000),0)</f>
        <v>1987</v>
      </c>
      <c r="GG170">
        <f ca="1">IF(FP170&gt;1200000,GC170-GE170,0)</f>
        <v>0</v>
      </c>
      <c r="GH170" t="b">
        <f ca="1">IF(GG170&gt;0,TRUE,FALSE)</f>
        <v>0</v>
      </c>
      <c r="GI170">
        <f ca="1">IF(GH170,GG170,0)</f>
        <v>0</v>
      </c>
      <c r="GJ170">
        <f ca="1">GF170+GI170</f>
        <v>1987</v>
      </c>
      <c r="GK170">
        <f ca="1">ROUND(GC170-GJ170,0)</f>
        <v>0</v>
      </c>
      <c r="GL170">
        <f ca="1">GK170*0.04</f>
        <v>0</v>
      </c>
      <c r="GM170">
        <f ca="1">ROUNDUP(GK170+GL170,0)</f>
        <v>0</v>
      </c>
    </row>
    <row r="171" spans="1:195" x14ac:dyDescent="0.25">
      <c r="A171">
        <f>_xlfn.AGGREGATE(3,5,$B$2:B171)</f>
        <v>170</v>
      </c>
      <c r="B171" t="s">
        <v>453</v>
      </c>
      <c r="C171" t="s">
        <v>454</v>
      </c>
      <c r="D171" t="s">
        <v>797</v>
      </c>
      <c r="E171" t="s">
        <v>833</v>
      </c>
      <c r="F171" t="s">
        <v>959</v>
      </c>
      <c r="G171" t="s">
        <v>895</v>
      </c>
      <c r="H171">
        <f>IF(_xlfn.DAYS("31-03-2025",G171)&gt;=180,6800,0)</f>
        <v>6800</v>
      </c>
      <c r="I171">
        <f>_xlfn.XLOOKUP(B171,'[1]march-2025'!$A:$A,'[1]march-2025'!$J:$J,0,0)</f>
        <v>0</v>
      </c>
      <c r="J171">
        <f>_xlfn.XLOOKUP(B171,'[1]march-2025'!$A:$A,'[1]march-2025'!$C:$C,0,0)</f>
        <v>34500</v>
      </c>
      <c r="K171">
        <f>J171*0.14</f>
        <v>4830.0000000000009</v>
      </c>
      <c r="L171">
        <f>J171*0.12</f>
        <v>4140</v>
      </c>
      <c r="M171">
        <f>_xlfn.XLOOKUP(B171,'[1]march-2025'!$A:$A,'[1]march-2025'!$D:$D,0,0)</f>
        <v>0</v>
      </c>
      <c r="N171">
        <f>_xlfn.XLOOKUP(B171,'[1]march-2025'!$A:$A,'[1]march-2025'!$G:$G,0,0)</f>
        <v>0</v>
      </c>
      <c r="O171">
        <f>IF(J171&gt;0,SUM(J171:N171),0)</f>
        <v>43470</v>
      </c>
      <c r="P171">
        <f>_xlfn.XLOOKUP(B171,'[1]march-2025'!$A:$A,'[1]march-2025'!$H:$H,0,0)</f>
        <v>3000</v>
      </c>
      <c r="Q171">
        <f>_xlfn.XLOOKUP(B171,'[1]march-2025'!$A:$A,'[1]march-2025'!$I:$I,0,0)</f>
        <v>0</v>
      </c>
      <c r="R171">
        <f>IF($F171="YES",0,IF(O171&gt;40000,200,IF(O171&gt;25000,150,IF(O171&gt;15000,130,IF(O171&gt;10000,110,0)))))</f>
        <v>200</v>
      </c>
      <c r="S171">
        <f>O171-P171-Q171-R171</f>
        <v>40270</v>
      </c>
      <c r="T171">
        <f>_xlfn.XLOOKUP(B171,'[2]april-2025'!$A:$A,'[2]april-2025'!$C:$C,0,0)</f>
        <v>34500</v>
      </c>
      <c r="U171">
        <f>T171*0.18</f>
        <v>6210</v>
      </c>
      <c r="V171">
        <f>T171*0.12</f>
        <v>4140</v>
      </c>
      <c r="W171">
        <f>_xlfn.XLOOKUP(B171,'[2]april-2025'!$A:$A,'[2]april-2025'!$D:$D,0,0)</f>
        <v>0</v>
      </c>
      <c r="X171">
        <f>_xlfn.XLOOKUP(B171,'[2]april-2025'!$A:$A,'[2]april-2025'!$G:$G,0,0)</f>
        <v>0</v>
      </c>
      <c r="Y171">
        <f>IF(T171&gt;0,SUM(T171:X171),0)</f>
        <v>44850</v>
      </c>
      <c r="Z171">
        <f>_xlfn.XLOOKUP(B171,'[2]april-2025'!$A:$A,'[2]april-2025'!$H:$H,0,0)</f>
        <v>3000</v>
      </c>
      <c r="AA171">
        <f>_xlfn.XLOOKUP(B171,'[2]april-2025'!$A:$A,'[2]april-2025'!$I:$I,0,0)</f>
        <v>0</v>
      </c>
      <c r="AB171">
        <f>IF($F171="YES",0,IF(Y171&gt;40000,200,IF(Y171&gt;25000,150,IF(Y171&gt;15000,130,IF(Y171&gt;10000,110,0)))))</f>
        <v>200</v>
      </c>
      <c r="AC171">
        <f>Y171-Z171-AA171-AB171</f>
        <v>41650</v>
      </c>
      <c r="AD171">
        <f>_xlfn.XLOOKUP(B171,'[3]may-2025'!$A:$A,'[3]may-2025'!$C:$C,0,0)</f>
        <v>34500</v>
      </c>
      <c r="AE171">
        <f>AD171*0.18</f>
        <v>6210</v>
      </c>
      <c r="AF171">
        <f>AD171*0.12</f>
        <v>4140</v>
      </c>
      <c r="AG171">
        <f>_xlfn.XLOOKUP(B171,'[3]may-2025'!$A:$A,'[3]may-2025'!$D:$D,0,0)</f>
        <v>0</v>
      </c>
      <c r="AH171">
        <f>_xlfn.XLOOKUP(B171,'[3]may-2025'!$A:$A,'[3]may-2025'!$G:$G,0,0)</f>
        <v>0</v>
      </c>
      <c r="AI171">
        <f>IF(AD171&gt;0,SUM(AD171:AH171),0)</f>
        <v>44850</v>
      </c>
      <c r="AJ171">
        <f>_xlfn.XLOOKUP(B171,'[3]may-2025'!$A:$A,'[3]may-2025'!$H:$H,0,0)</f>
        <v>3000</v>
      </c>
      <c r="AK171">
        <f>_xlfn.XLOOKUP(B171,'[3]may-2025'!$A:$A,'[3]may-2025'!$I:$I,0,0)</f>
        <v>0</v>
      </c>
      <c r="AL171">
        <f>IF($F171="YES",0,IF(AI171&gt;40000,200,IF(AI171&gt;25000,150,IF(AI171&gt;15000,130,IF(AI171&gt;10000,110,0)))))</f>
        <v>200</v>
      </c>
      <c r="AM171">
        <f>AI171-AJ171-AK171-AL171</f>
        <v>41650</v>
      </c>
      <c r="AN171">
        <f>_xlfn.XLOOKUP(B171,'[4]june-2025'!$A:$A,'[4]june-2025'!$C:$C,0,0)</f>
        <v>34500</v>
      </c>
      <c r="AO171">
        <f>AN171*0.18</f>
        <v>6210</v>
      </c>
      <c r="AP171">
        <f>AN171*0.12</f>
        <v>4140</v>
      </c>
      <c r="AQ171">
        <f>_xlfn.XLOOKUP(B171,'[4]june-2025'!$A:$A,'[4]june-2025'!$D:$D,0,0)</f>
        <v>0</v>
      </c>
      <c r="AR171">
        <f>_xlfn.XLOOKUP(B171,'[4]june-2025'!$A:$A,'[4]june-2025'!$G:$G,0,0)</f>
        <v>0</v>
      </c>
      <c r="AS171">
        <f>IF(AN171&gt;0,SUM(AN171:AR171),0)</f>
        <v>44850</v>
      </c>
      <c r="AT171">
        <f>_xlfn.XLOOKUP(B171,'[4]june-2025'!$A:$A,'[4]june-2025'!$H:$H,0,0)</f>
        <v>3000</v>
      </c>
      <c r="AU171">
        <f>_xlfn.XLOOKUP(B171,'[4]june-2025'!$A:$A,'[4]june-2025'!$I:$I,0,0)</f>
        <v>0</v>
      </c>
      <c r="AV171">
        <f>IF($F171="YES",0,IF(AS171&gt;40000,200,IF(AS171&gt;25000,150,IF(AS171&gt;15000,130,IF(AS171&gt;10000,110,0)))))</f>
        <v>200</v>
      </c>
      <c r="AW171">
        <f>AS171-AT171-AU171-AV171</f>
        <v>41650</v>
      </c>
      <c r="AX171">
        <f>_xlfn.XLOOKUP(B171,'[5]july-2025'!$A:$A,'[5]july-2025'!$C:$C,0,0)</f>
        <v>35500</v>
      </c>
      <c r="AY171">
        <f>AX171*0.18</f>
        <v>6390</v>
      </c>
      <c r="AZ171">
        <v>0</v>
      </c>
      <c r="BA171">
        <f>AX171*0.12</f>
        <v>4260</v>
      </c>
      <c r="BB171">
        <f>_xlfn.XLOOKUP(B171,'[5]july-2025'!$A:$A,'[5]july-2025'!$D:$D,0,0)</f>
        <v>0</v>
      </c>
      <c r="BC171">
        <f>_xlfn.XLOOKUP(B171,'[5]july-2025'!$A:$A,'[5]july-2025'!$G:$G,0,0)</f>
        <v>0</v>
      </c>
      <c r="BD171">
        <f>IF(AX171&gt;0,SUM(AX171:BC171),0)</f>
        <v>46150</v>
      </c>
      <c r="BE171">
        <f>_xlfn.XLOOKUP(B171,'[5]july-2025'!$A:$A,'[5]july-2025'!$H:$H,0,0)</f>
        <v>3000</v>
      </c>
      <c r="BF171">
        <f>_xlfn.XLOOKUP(B171,'[5]july-2025'!$A:$A,'[5]july-2025'!$I:$I,0,0)</f>
        <v>0</v>
      </c>
      <c r="BG171">
        <f>IF($F171="YES",0,IF(BD171&gt;40000,200,IF(BD171&gt;25000,150,IF(BD171&gt;15000,130,IF(BD171&gt;10000,110,0)))))</f>
        <v>200</v>
      </c>
      <c r="BH171">
        <f>BD171-BE171-BF171-BG171</f>
        <v>42950</v>
      </c>
      <c r="BI171">
        <f>_xlfn.XLOOKUP(B171,'[6]august-2025'!$A:$A,'[6]august-2025'!$C:$C,0,0)</f>
        <v>35500</v>
      </c>
      <c r="BJ171">
        <f>BI171*0.18</f>
        <v>6390</v>
      </c>
      <c r="BK171">
        <f>BI171*0.12</f>
        <v>4260</v>
      </c>
      <c r="BL171">
        <f>_xlfn.XLOOKUP(B171,'[6]august-2025'!$A:$A,'[6]august-2025'!$D:$D,0,0)</f>
        <v>0</v>
      </c>
      <c r="BM171">
        <f>_xlfn.XLOOKUP(B171,'[6]august-2025'!$A:$A,'[6]august-2025'!$G:$G,0,0)</f>
        <v>0</v>
      </c>
      <c r="BN171">
        <f>IF(BI171&gt;0,SUM(BI171:BM171),0)</f>
        <v>46150</v>
      </c>
      <c r="BO171">
        <f>_xlfn.XLOOKUP(B171,'[6]august-2025'!$A:$A,'[6]august-2025'!$H:$H,0,0)</f>
        <v>3000</v>
      </c>
      <c r="BP171">
        <f>_xlfn.XLOOKUP(B171,'[6]august-2025'!$A:$A,'[6]august-2025'!$I:$I,0,0)</f>
        <v>0</v>
      </c>
      <c r="BQ171">
        <f>IF($F171="YES",0,IF(BN171&gt;40000,200,IF(BN171&gt;25000,150,IF(BN171&gt;15000,130,IF(BN171&gt;10000,110,0)))))</f>
        <v>200</v>
      </c>
      <c r="BR171">
        <f>BN171-BO171-BP171-BQ171</f>
        <v>42950</v>
      </c>
      <c r="BS171">
        <f>_xlfn.XLOOKUP(B171,'[7]september-2025'!$A:$A,'[7]september-2025'!$C:$C,0,0)</f>
        <v>35500</v>
      </c>
      <c r="BT171">
        <f>BS171*0.18</f>
        <v>6390</v>
      </c>
      <c r="BU171">
        <f>BS171*0.12</f>
        <v>4260</v>
      </c>
      <c r="BV171">
        <f>_xlfn.XLOOKUP(B171,'[7]september-2025'!$A:$A,'[7]september-2025'!$D:$D,0,0)</f>
        <v>0</v>
      </c>
      <c r="BW171">
        <f>_xlfn.XLOOKUP(B171,'[7]september-2025'!$A:$A,'[7]september-2025'!$G:$G,0,0)</f>
        <v>0</v>
      </c>
      <c r="BX171">
        <f>IF(BS171&gt;0,SUM(BS171:BW171),0)</f>
        <v>46150</v>
      </c>
      <c r="BY171">
        <f>_xlfn.XLOOKUP(B171,'[7]september-2025'!$A:$A,'[7]september-2025'!$H:$H,0,0)</f>
        <v>3000</v>
      </c>
      <c r="BZ171">
        <f>_xlfn.XLOOKUP(B171,'[7]september-2025'!$A:$A,'[7]september-2025'!$I:$I,0,0)</f>
        <v>0</v>
      </c>
      <c r="CA171">
        <f>IF($F171="YES",0,IF(BX171&gt;40000,200,IF(BX171&gt;25000,150,IF(BX171&gt;15000,130,IF(BX171&gt;10000,110,0)))))</f>
        <v>200</v>
      </c>
      <c r="CB171">
        <f>BX171-BY171-BZ171-CA171</f>
        <v>42950</v>
      </c>
      <c r="CC171">
        <f>_xlfn.XLOOKUP(B171,'[8]october-2025'!$A:$A,'[8]october-2025'!$C:$C,0,0)</f>
        <v>35500</v>
      </c>
      <c r="CD171">
        <f>CC171*0.18</f>
        <v>6390</v>
      </c>
      <c r="CE171">
        <f>CC171*0.12</f>
        <v>4260</v>
      </c>
      <c r="CF171">
        <f>_xlfn.XLOOKUP(B171,'[8]october-2025'!$A:$A,'[8]october-2025'!$D:$D,0,0)</f>
        <v>0</v>
      </c>
      <c r="CG171">
        <f>_xlfn.XLOOKUP(B171,'[8]october-2025'!$A:$A,'[8]october-2025'!$G:$G,0,0)</f>
        <v>0</v>
      </c>
      <c r="CH171">
        <f>IF(CC171&gt;0,SUM(CC171:CG171),0)</f>
        <v>46150</v>
      </c>
      <c r="CI171">
        <f>_xlfn.XLOOKUP(B171,'[8]october-2025'!$A:$A,'[8]october-2025'!$H:$H,0,0)</f>
        <v>3000</v>
      </c>
      <c r="CJ171">
        <f>_xlfn.XLOOKUP(B171,'[8]october-2025'!$A:$A,'[8]october-2025'!$I:$I,0,0)</f>
        <v>0</v>
      </c>
      <c r="CK171">
        <f>IF($F171="YES",0,IF(CH171&gt;40000,200,IF(CH171&gt;25000,150,IF(CH171&gt;15000,130,IF(CH171&gt;10000,110,0)))))</f>
        <v>200</v>
      </c>
      <c r="CL171">
        <f>CH171-CI171-CJ171-CK171</f>
        <v>42950</v>
      </c>
      <c r="CM171">
        <f>_xlfn.XLOOKUP(B171,'[9]november-2025'!$A:$A,'[9]november-2025'!$C:$C,0,0)</f>
        <v>35500</v>
      </c>
      <c r="CN171">
        <f>CM171*0.18</f>
        <v>6390</v>
      </c>
      <c r="CO171">
        <f>CM171*0.12</f>
        <v>4260</v>
      </c>
      <c r="CP171">
        <f>_xlfn.XLOOKUP(B171,'[9]november-2025'!$A:$A,'[9]november-2025'!$D:$D,0,0)</f>
        <v>0</v>
      </c>
      <c r="CQ171">
        <f>_xlfn.XLOOKUP(B171,'[9]november-2025'!$A:$A,'[9]november-2025'!$G:$G,0,0)</f>
        <v>0</v>
      </c>
      <c r="CR171">
        <f>IF(CM171&gt;0,SUM(CM171:CQ171),0)</f>
        <v>46150</v>
      </c>
      <c r="CS171">
        <f>_xlfn.XLOOKUP(B171,'[9]november-2025'!$A:$A,'[9]november-2025'!$H:$H,0,0)</f>
        <v>3000</v>
      </c>
      <c r="CT171">
        <f>_xlfn.XLOOKUP(B171,'[9]november-2025'!$A:$A,'[9]november-2025'!$I:$I,0,0)</f>
        <v>0</v>
      </c>
      <c r="CU171">
        <f>IF($F171="YES",0,IF(CR171&gt;40000,200,IF(CR171&gt;25000,150,IF(CR171&gt;15000,130,IF(CR171&gt;10000,110,0)))))</f>
        <v>200</v>
      </c>
      <c r="CV171">
        <f>CR171-CS171-CT171-CU171</f>
        <v>42950</v>
      </c>
      <c r="CW171">
        <f>_xlfn.XLOOKUP(B171,'[10]december-2025'!$A:$A,'[10]december-2025'!$C:$C,0,0)</f>
        <v>35500</v>
      </c>
      <c r="CX171">
        <f>ROUND(CW171*0.18,0)</f>
        <v>6390</v>
      </c>
      <c r="CY171">
        <f>ROUND(CW171*0.12,0)</f>
        <v>4260</v>
      </c>
      <c r="CZ171">
        <f>_xlfn.XLOOKUP(B171,'[10]december-2025'!$A:$A,'[10]december-2025'!$D:$D,0,0)</f>
        <v>0</v>
      </c>
      <c r="DA171">
        <f>_xlfn.XLOOKUP(B171,'[10]december-2025'!$A:$A,'[10]december-2025'!$G:$G,0,0)</f>
        <v>0</v>
      </c>
      <c r="DB171">
        <f>IF(CW171&gt;0,SUM(CW171:DA171),0)</f>
        <v>46150</v>
      </c>
      <c r="DC171">
        <f>_xlfn.XLOOKUP(B171,'[10]december-2025'!$A:$A,'[10]december-2025'!$H:$H,0,0)</f>
        <v>3000</v>
      </c>
      <c r="DD171">
        <f>_xlfn.XLOOKUP(B171,'[10]december-2025'!$A:$A,'[10]december-2025'!$I:$I,0,0)</f>
        <v>0</v>
      </c>
      <c r="DE171">
        <f>IF($F171="YES",0,IF(DB171&gt;40000,200,IF(DB171&gt;25000,150,IF(DB171&gt;15000,130,IF(DB171&gt;10000,110,0)))))</f>
        <v>200</v>
      </c>
      <c r="DF171">
        <f>DB171-DC171-DD171-DE171</f>
        <v>42950</v>
      </c>
      <c r="DG171">
        <f>_xlfn.XLOOKUP(B171,'[11]january-2026'!$A:$A,'[11]january-2026'!$C:$C,0,0)</f>
        <v>35500</v>
      </c>
      <c r="DH171">
        <f>DG171*0.18</f>
        <v>6390</v>
      </c>
      <c r="DI171">
        <f>DG171*0.12</f>
        <v>4260</v>
      </c>
      <c r="DJ171">
        <f>_xlfn.XLOOKUP(B171,'[11]january-2026'!$A:$A,'[11]january-2026'!$D:$D,0,0)</f>
        <v>0</v>
      </c>
      <c r="DK171">
        <f>_xlfn.XLOOKUP(B171,'[11]january-2026'!$A:$A,'[11]january-2026'!$G:$G,0,0)</f>
        <v>0</v>
      </c>
      <c r="DL171">
        <f>IF(DG171&gt;0,SUM(DG171:DK171),0)</f>
        <v>46150</v>
      </c>
      <c r="DM171">
        <f>_xlfn.XLOOKUP(B171,'[11]january-2026'!$A:$A,'[11]january-2026'!$H:$H,0,0)</f>
        <v>3000</v>
      </c>
      <c r="DN171">
        <f>_xlfn.XLOOKUP(B171,'[11]january-2026'!$A:$A,'[11]january-2026'!$I:$I,0,0)</f>
        <v>0</v>
      </c>
      <c r="DO171">
        <f>IF($F171="YES",0,IF(DL171&gt;40000,200,IF(DL171&gt;25000,150,IF(DL171&gt;15000,130,IF(DL171&gt;10000,110,0)))))</f>
        <v>200</v>
      </c>
      <c r="DP171">
        <f>DL171-DM171-DN171-DO171</f>
        <v>42950</v>
      </c>
      <c r="DQ171">
        <f>_xlfn.XLOOKUP(B171,'[12]february-2026'!$A:$A,'[12]february-2026'!$C:$C,0,0)</f>
        <v>35500</v>
      </c>
      <c r="DR171">
        <f>DQ171*0.18</f>
        <v>6390</v>
      </c>
      <c r="DS171">
        <f>DQ171*0.12</f>
        <v>4260</v>
      </c>
      <c r="DT171">
        <f>_xlfn.XLOOKUP(B171,'[12]february-2026'!$A:$A,'[12]february-2026'!$D:$D,0,0)</f>
        <v>0</v>
      </c>
      <c r="DU171">
        <f>_xlfn.XLOOKUP(B171,'[12]february-2026'!$A:$A,'[12]february-2026'!$G:$G,0,0)</f>
        <v>0</v>
      </c>
      <c r="DV171">
        <f>IF(DQ171&gt;0,SUM(DQ171:DU171),0)</f>
        <v>46150</v>
      </c>
      <c r="DW171">
        <f>_xlfn.XLOOKUP(B171,'[12]february-2026'!$A:$A,'[12]february-2026'!$H:$H,0,0)</f>
        <v>3000</v>
      </c>
      <c r="DX171">
        <f>_xlfn.XLOOKUP(B171,'[12]february-2026'!$A:$A,'[12]february-2026'!$I:$I,0,0)</f>
        <v>0</v>
      </c>
      <c r="DY171">
        <f>IF($F171="YES",0,IF(DV171&gt;40000,200,IF(DV171&gt;25000,150,IF(DV171&gt;15000,130,IF(DV171&gt;10000,110,0)))))</f>
        <v>200</v>
      </c>
      <c r="DZ171">
        <f>DV171-DW171-DX171-DY171</f>
        <v>42950</v>
      </c>
      <c r="EA171">
        <f>DV171+DL171+DB171+CR171+CH171+BX171+BN171+BD171+AS171+AI171+Y171+O171+H171+I171</f>
        <v>554020</v>
      </c>
      <c r="EB171">
        <f>DY171+DO171+DE171+CU171+CK171+CA171+BQ171+BG171+AV171+AL171+AB171+R171</f>
        <v>2400</v>
      </c>
      <c r="EC171">
        <f>IF(EA171&gt;0,50000,0)</f>
        <v>50000</v>
      </c>
      <c r="ED171">
        <v>0</v>
      </c>
      <c r="EE171">
        <f>EA171-EB171-EC171</f>
        <v>501620</v>
      </c>
      <c r="EF171">
        <f>DW171+DM171+DC171+CS171+CI171+BY171+BO171+BE171+AT171+AJ171+Z171+P171</f>
        <v>36000</v>
      </c>
      <c r="EG171">
        <f>DX171+DN171+DD171+CT171+CJ171+BZ171+BP171+BF171+AU171+AK171+AA171+Q171</f>
        <v>0</v>
      </c>
      <c r="EH171">
        <v>0</v>
      </c>
      <c r="EI171">
        <v>0</v>
      </c>
      <c r="EJ171">
        <v>0</v>
      </c>
      <c r="EK171">
        <v>0</v>
      </c>
      <c r="EL171">
        <v>0</v>
      </c>
      <c r="EM171">
        <v>0</v>
      </c>
      <c r="EN171">
        <v>0</v>
      </c>
      <c r="EO171">
        <v>0</v>
      </c>
      <c r="EP171">
        <v>0</v>
      </c>
      <c r="EQ171">
        <v>0</v>
      </c>
      <c r="ER171">
        <f>SUM(EF171:EQ171)</f>
        <v>36000</v>
      </c>
      <c r="ES171">
        <f>IF(ER171&gt;=150000,150000,ER171)</f>
        <v>36000</v>
      </c>
      <c r="ET171">
        <f>EE171-ES171</f>
        <v>465620</v>
      </c>
      <c r="EU171">
        <v>0</v>
      </c>
      <c r="EV171">
        <v>0</v>
      </c>
      <c r="EW171">
        <v>0</v>
      </c>
      <c r="EX171">
        <v>0</v>
      </c>
      <c r="EY171">
        <v>0</v>
      </c>
      <c r="EZ171">
        <v>0</v>
      </c>
      <c r="FA171">
        <v>0</v>
      </c>
      <c r="FB171">
        <f>SUM(EU171:FA171)+(IF(F171="YES",50000,0))</f>
        <v>0</v>
      </c>
      <c r="FC171">
        <f>ET171-FB171</f>
        <v>465620</v>
      </c>
      <c r="FD171">
        <f>ROUND(IF(FC171&gt;0,IF(FC171&gt;500000,12500,(FC171-250000)*0.05),0),0)</f>
        <v>10781</v>
      </c>
      <c r="FE171">
        <f>IF(ROUND(IF(FC171&gt;0,IF(FC171&gt;1000000,25000,(FC171-500000)*0.2),0),0)&lt;0,0,ROUND(IF(FC171&gt;0,IF(FC171&gt;1000000,25000,(FC171-500000)*0.2),0),0))</f>
        <v>0</v>
      </c>
      <c r="FF171">
        <f>FD171+FE171</f>
        <v>10781</v>
      </c>
      <c r="FG171">
        <f>IF(FF171&lt;12500,0,FF171)</f>
        <v>0</v>
      </c>
      <c r="FH171">
        <f>FG171*0.04</f>
        <v>0</v>
      </c>
      <c r="FI171">
        <f>ROUND(FH171+FG171,0)</f>
        <v>0</v>
      </c>
      <c r="FJ171">
        <v>0</v>
      </c>
      <c r="FK171">
        <f>FI171-FJ171</f>
        <v>0</v>
      </c>
      <c r="FL171" t="b">
        <f>IF(EA171&gt;500000,TRUE,FALSE)</f>
        <v>1</v>
      </c>
      <c r="FM171">
        <f ca="1">IF(FL171,RANDBETWEEN(500,1000),RANDBETWEEN(1000,3000))</f>
        <v>922</v>
      </c>
      <c r="FN171">
        <f ca="1">EA171+FM171</f>
        <v>554942</v>
      </c>
      <c r="FO171">
        <f>IF(EA171&gt;0,75000,0)</f>
        <v>75000</v>
      </c>
      <c r="FP171">
        <f ca="1">FN171-FO171</f>
        <v>479942</v>
      </c>
      <c r="FQ171">
        <f ca="1">IF(FP171&gt;2400000,FP171-2400000,0)</f>
        <v>0</v>
      </c>
      <c r="FR171">
        <f ca="1">FQ171*0.3</f>
        <v>0</v>
      </c>
      <c r="FS171">
        <f ca="1">IF(FP171&gt;2000000,FP171-2000000,0)</f>
        <v>0</v>
      </c>
      <c r="FT171">
        <f ca="1">FS171*0.25</f>
        <v>0</v>
      </c>
      <c r="FU171">
        <f ca="1">IF(FP171&gt;1600000,FP171-1600000-FQ171,0)</f>
        <v>0</v>
      </c>
      <c r="FV171">
        <f ca="1">FU171*0.2</f>
        <v>0</v>
      </c>
      <c r="FW171">
        <f ca="1">IF(FP171&gt;1200000,FP171-1200000-IF(F171="YES",50000,0)-FU171,0)</f>
        <v>0</v>
      </c>
      <c r="FX171">
        <f ca="1">FW171*0.15</f>
        <v>0</v>
      </c>
      <c r="FY171">
        <f ca="1">IF(FP171&gt;800000,FP171-800000-FQ171-FU171-FW171,0)</f>
        <v>0</v>
      </c>
      <c r="FZ171">
        <f ca="1">FY171*0.1</f>
        <v>0</v>
      </c>
      <c r="GA171">
        <f ca="1">IF(FP171&gt;400000,FP171-400000-FQ171-FU171-FW171-FY171,0)</f>
        <v>79942</v>
      </c>
      <c r="GB171">
        <f ca="1">GA171*0.05</f>
        <v>3997.1000000000004</v>
      </c>
      <c r="GC171">
        <f ca="1">ROUND(FR171+FT171+FV171+FX171+FZ171+GB171,0)</f>
        <v>3997</v>
      </c>
      <c r="GD171">
        <f ca="1">IF(FP171&gt;1200000,FP171,0)</f>
        <v>0</v>
      </c>
      <c r="GE171">
        <f ca="1">IF(FP171&gt;1200000,GD171-1200000,0)</f>
        <v>0</v>
      </c>
      <c r="GF171">
        <f ca="1">IF(FP171&lt;1200001,MIN(GC171,60000),0)</f>
        <v>3997</v>
      </c>
      <c r="GG171">
        <f ca="1">IF(FP171&gt;1200000,GC171-GE171,0)</f>
        <v>0</v>
      </c>
      <c r="GH171" t="b">
        <f ca="1">IF(GG171&gt;0,TRUE,FALSE)</f>
        <v>0</v>
      </c>
      <c r="GI171">
        <f ca="1">IF(GH171,GG171,0)</f>
        <v>0</v>
      </c>
      <c r="GJ171">
        <f ca="1">GF171+GI171</f>
        <v>3997</v>
      </c>
      <c r="GK171">
        <f ca="1">ROUND(GC171-GJ171,0)</f>
        <v>0</v>
      </c>
      <c r="GL171">
        <f ca="1">GK171*0.04</f>
        <v>0</v>
      </c>
      <c r="GM171">
        <f ca="1">ROUNDUP(GK171+GL171,0)</f>
        <v>0</v>
      </c>
    </row>
    <row r="172" spans="1:195" x14ac:dyDescent="0.25">
      <c r="A172">
        <f>_xlfn.AGGREGATE(3,5,$B$2:B172)</f>
        <v>171</v>
      </c>
      <c r="B172" t="s">
        <v>455</v>
      </c>
      <c r="C172" t="s">
        <v>456</v>
      </c>
      <c r="D172" t="s">
        <v>798</v>
      </c>
      <c r="E172" t="s">
        <v>833</v>
      </c>
      <c r="F172" t="s">
        <v>959</v>
      </c>
      <c r="G172" t="s">
        <v>926</v>
      </c>
      <c r="H172">
        <f>IF(_xlfn.DAYS("31-03-2025",G172)&gt;=180,6800,0)</f>
        <v>6800</v>
      </c>
      <c r="I172">
        <f>_xlfn.XLOOKUP(B172,'[1]march-2025'!$A:$A,'[1]march-2025'!$J:$J,0,0)</f>
        <v>0</v>
      </c>
      <c r="J172">
        <f>_xlfn.XLOOKUP(B172,'[1]march-2025'!$A:$A,'[1]march-2025'!$C:$C,0,0)</f>
        <v>33500</v>
      </c>
      <c r="K172">
        <f>J172*0.14</f>
        <v>4690</v>
      </c>
      <c r="L172">
        <f>J172*0.12</f>
        <v>4020</v>
      </c>
      <c r="M172">
        <f>_xlfn.XLOOKUP(B172,'[1]march-2025'!$A:$A,'[1]march-2025'!$D:$D,0,0)</f>
        <v>400</v>
      </c>
      <c r="N172">
        <f>_xlfn.XLOOKUP(B172,'[1]march-2025'!$A:$A,'[1]march-2025'!$G:$G,0,0)</f>
        <v>500</v>
      </c>
      <c r="O172">
        <f>IF(J172&gt;0,SUM(J172:N172),0)</f>
        <v>43110</v>
      </c>
      <c r="P172">
        <f>_xlfn.XLOOKUP(B172,'[1]march-2025'!$A:$A,'[1]march-2025'!$H:$H,0,0)</f>
        <v>2500</v>
      </c>
      <c r="Q172">
        <f>_xlfn.XLOOKUP(B172,'[1]march-2025'!$A:$A,'[1]march-2025'!$I:$I,0,0)</f>
        <v>0</v>
      </c>
      <c r="R172">
        <f>IF($F172="YES",0,IF(O172&gt;40000,200,IF(O172&gt;25000,150,IF(O172&gt;15000,130,IF(O172&gt;10000,110,0)))))</f>
        <v>200</v>
      </c>
      <c r="S172">
        <f>O172-P172-Q172-R172</f>
        <v>40410</v>
      </c>
      <c r="T172">
        <f>_xlfn.XLOOKUP(B172,'[2]april-2025'!$A:$A,'[2]april-2025'!$C:$C,0,0)</f>
        <v>33500</v>
      </c>
      <c r="U172">
        <f>T172*0.18</f>
        <v>6030</v>
      </c>
      <c r="V172">
        <f>T172*0.12</f>
        <v>4020</v>
      </c>
      <c r="W172">
        <f>_xlfn.XLOOKUP(B172,'[2]april-2025'!$A:$A,'[2]april-2025'!$D:$D,0,0)</f>
        <v>400</v>
      </c>
      <c r="X172">
        <f>_xlfn.XLOOKUP(B172,'[2]april-2025'!$A:$A,'[2]april-2025'!$G:$G,0,0)</f>
        <v>500</v>
      </c>
      <c r="Y172">
        <f>IF(T172&gt;0,SUM(T172:X172),0)</f>
        <v>44450</v>
      </c>
      <c r="Z172">
        <f>_xlfn.XLOOKUP(B172,'[2]april-2025'!$A:$A,'[2]april-2025'!$H:$H,0,0)</f>
        <v>2500</v>
      </c>
      <c r="AA172">
        <f>_xlfn.XLOOKUP(B172,'[2]april-2025'!$A:$A,'[2]april-2025'!$I:$I,0,0)</f>
        <v>0</v>
      </c>
      <c r="AB172">
        <f>IF($F172="YES",0,IF(Y172&gt;40000,200,IF(Y172&gt;25000,150,IF(Y172&gt;15000,130,IF(Y172&gt;10000,110,0)))))</f>
        <v>200</v>
      </c>
      <c r="AC172">
        <f>Y172-Z172-AA172-AB172</f>
        <v>41750</v>
      </c>
      <c r="AD172">
        <f>_xlfn.XLOOKUP(B172,'[3]may-2025'!$A:$A,'[3]may-2025'!$C:$C,0,0)</f>
        <v>33500</v>
      </c>
      <c r="AE172">
        <f>AD172*0.18</f>
        <v>6030</v>
      </c>
      <c r="AF172">
        <f>AD172*0.12</f>
        <v>4020</v>
      </c>
      <c r="AG172">
        <f>_xlfn.XLOOKUP(B172,'[3]may-2025'!$A:$A,'[3]may-2025'!$D:$D,0,0)</f>
        <v>400</v>
      </c>
      <c r="AH172">
        <f>_xlfn.XLOOKUP(B172,'[3]may-2025'!$A:$A,'[3]may-2025'!$G:$G,0,0)</f>
        <v>500</v>
      </c>
      <c r="AI172">
        <f>IF(AD172&gt;0,SUM(AD172:AH172),0)</f>
        <v>44450</v>
      </c>
      <c r="AJ172">
        <f>_xlfn.XLOOKUP(B172,'[3]may-2025'!$A:$A,'[3]may-2025'!$H:$H,0,0)</f>
        <v>2500</v>
      </c>
      <c r="AK172">
        <f>_xlfn.XLOOKUP(B172,'[3]may-2025'!$A:$A,'[3]may-2025'!$I:$I,0,0)</f>
        <v>0</v>
      </c>
      <c r="AL172">
        <f>IF($F172="YES",0,IF(AI172&gt;40000,200,IF(AI172&gt;25000,150,IF(AI172&gt;15000,130,IF(AI172&gt;10000,110,0)))))</f>
        <v>200</v>
      </c>
      <c r="AM172">
        <f>AI172-AJ172-AK172-AL172</f>
        <v>41750</v>
      </c>
      <c r="AN172">
        <f>_xlfn.XLOOKUP(B172,'[4]june-2025'!$A:$A,'[4]june-2025'!$C:$C,0,0)</f>
        <v>33500</v>
      </c>
      <c r="AO172">
        <f>AN172*0.18</f>
        <v>6030</v>
      </c>
      <c r="AP172">
        <f>AN172*0.12</f>
        <v>4020</v>
      </c>
      <c r="AQ172">
        <f>_xlfn.XLOOKUP(B172,'[4]june-2025'!$A:$A,'[4]june-2025'!$D:$D,0,0)</f>
        <v>400</v>
      </c>
      <c r="AR172">
        <f>_xlfn.XLOOKUP(B172,'[4]june-2025'!$A:$A,'[4]june-2025'!$G:$G,0,0)</f>
        <v>500</v>
      </c>
      <c r="AS172">
        <f>IF(AN172&gt;0,SUM(AN172:AR172),0)</f>
        <v>44450</v>
      </c>
      <c r="AT172">
        <f>_xlfn.XLOOKUP(B172,'[4]june-2025'!$A:$A,'[4]june-2025'!$H:$H,0,0)</f>
        <v>2500</v>
      </c>
      <c r="AU172">
        <f>_xlfn.XLOOKUP(B172,'[4]june-2025'!$A:$A,'[4]june-2025'!$I:$I,0,0)</f>
        <v>0</v>
      </c>
      <c r="AV172">
        <f>IF($F172="YES",0,IF(AS172&gt;40000,200,IF(AS172&gt;25000,150,IF(AS172&gt;15000,130,IF(AS172&gt;10000,110,0)))))</f>
        <v>200</v>
      </c>
      <c r="AW172">
        <f>AS172-AT172-AU172-AV172</f>
        <v>41750</v>
      </c>
      <c r="AX172">
        <f>_xlfn.XLOOKUP(B172,'[5]july-2025'!$A:$A,'[5]july-2025'!$C:$C,0,0)</f>
        <v>34500</v>
      </c>
      <c r="AY172">
        <f>AX172*0.18</f>
        <v>6210</v>
      </c>
      <c r="AZ172">
        <v>0</v>
      </c>
      <c r="BA172">
        <f>AX172*0.12</f>
        <v>4140</v>
      </c>
      <c r="BB172">
        <f>_xlfn.XLOOKUP(B172,'[5]july-2025'!$A:$A,'[5]july-2025'!$D:$D,0,0)</f>
        <v>400</v>
      </c>
      <c r="BC172">
        <f>_xlfn.XLOOKUP(B172,'[5]july-2025'!$A:$A,'[5]july-2025'!$G:$G,0,0)</f>
        <v>500</v>
      </c>
      <c r="BD172">
        <f>IF(AX172&gt;0,SUM(AX172:BC172),0)</f>
        <v>45750</v>
      </c>
      <c r="BE172">
        <f>_xlfn.XLOOKUP(B172,'[5]july-2025'!$A:$A,'[5]july-2025'!$H:$H,0,0)</f>
        <v>2500</v>
      </c>
      <c r="BF172">
        <f>_xlfn.XLOOKUP(B172,'[5]july-2025'!$A:$A,'[5]july-2025'!$I:$I,0,0)</f>
        <v>0</v>
      </c>
      <c r="BG172">
        <f>IF($F172="YES",0,IF(BD172&gt;40000,200,IF(BD172&gt;25000,150,IF(BD172&gt;15000,130,IF(BD172&gt;10000,110,0)))))</f>
        <v>200</v>
      </c>
      <c r="BH172">
        <f>BD172-BE172-BF172-BG172</f>
        <v>43050</v>
      </c>
      <c r="BI172">
        <f>_xlfn.XLOOKUP(B172,'[6]august-2025'!$A:$A,'[6]august-2025'!$C:$C,0,0)</f>
        <v>34500</v>
      </c>
      <c r="BJ172">
        <f>BI172*0.18</f>
        <v>6210</v>
      </c>
      <c r="BK172">
        <f>BI172*0.12</f>
        <v>4140</v>
      </c>
      <c r="BL172">
        <f>_xlfn.XLOOKUP(B172,'[6]august-2025'!$A:$A,'[6]august-2025'!$D:$D,0,0)</f>
        <v>400</v>
      </c>
      <c r="BM172">
        <f>_xlfn.XLOOKUP(B172,'[6]august-2025'!$A:$A,'[6]august-2025'!$G:$G,0,0)</f>
        <v>500</v>
      </c>
      <c r="BN172">
        <f>IF(BI172&gt;0,SUM(BI172:BM172),0)</f>
        <v>45750</v>
      </c>
      <c r="BO172">
        <f>_xlfn.XLOOKUP(B172,'[6]august-2025'!$A:$A,'[6]august-2025'!$H:$H,0,0)</f>
        <v>2500</v>
      </c>
      <c r="BP172">
        <f>_xlfn.XLOOKUP(B172,'[6]august-2025'!$A:$A,'[6]august-2025'!$I:$I,0,0)</f>
        <v>0</v>
      </c>
      <c r="BQ172">
        <f>IF($F172="YES",0,IF(BN172&gt;40000,200,IF(BN172&gt;25000,150,IF(BN172&gt;15000,130,IF(BN172&gt;10000,110,0)))))</f>
        <v>200</v>
      </c>
      <c r="BR172">
        <f>BN172-BO172-BP172-BQ172</f>
        <v>43050</v>
      </c>
      <c r="BS172">
        <f>_xlfn.XLOOKUP(B172,'[7]september-2025'!$A:$A,'[7]september-2025'!$C:$C,0,0)</f>
        <v>34500</v>
      </c>
      <c r="BT172">
        <f>BS172*0.18</f>
        <v>6210</v>
      </c>
      <c r="BU172">
        <f>BS172*0.12</f>
        <v>4140</v>
      </c>
      <c r="BV172">
        <f>_xlfn.XLOOKUP(B172,'[7]september-2025'!$A:$A,'[7]september-2025'!$D:$D,0,0)</f>
        <v>400</v>
      </c>
      <c r="BW172">
        <f>_xlfn.XLOOKUP(B172,'[7]september-2025'!$A:$A,'[7]september-2025'!$G:$G,0,0)</f>
        <v>500</v>
      </c>
      <c r="BX172">
        <f>IF(BS172&gt;0,SUM(BS172:BW172),0)</f>
        <v>45750</v>
      </c>
      <c r="BY172">
        <f>_xlfn.XLOOKUP(B172,'[7]september-2025'!$A:$A,'[7]september-2025'!$H:$H,0,0)</f>
        <v>2500</v>
      </c>
      <c r="BZ172">
        <f>_xlfn.XLOOKUP(B172,'[7]september-2025'!$A:$A,'[7]september-2025'!$I:$I,0,0)</f>
        <v>0</v>
      </c>
      <c r="CA172">
        <f>IF($F172="YES",0,IF(BX172&gt;40000,200,IF(BX172&gt;25000,150,IF(BX172&gt;15000,130,IF(BX172&gt;10000,110,0)))))</f>
        <v>200</v>
      </c>
      <c r="CB172">
        <f>BX172-BY172-BZ172-CA172</f>
        <v>43050</v>
      </c>
      <c r="CC172">
        <f>_xlfn.XLOOKUP(B172,'[8]october-2025'!$A:$A,'[8]october-2025'!$C:$C,0,0)</f>
        <v>34500</v>
      </c>
      <c r="CD172">
        <f>CC172*0.18</f>
        <v>6210</v>
      </c>
      <c r="CE172">
        <f>CC172*0.12</f>
        <v>4140</v>
      </c>
      <c r="CF172">
        <f>_xlfn.XLOOKUP(B172,'[8]october-2025'!$A:$A,'[8]october-2025'!$D:$D,0,0)</f>
        <v>400</v>
      </c>
      <c r="CG172">
        <f>_xlfn.XLOOKUP(B172,'[8]october-2025'!$A:$A,'[8]october-2025'!$G:$G,0,0)</f>
        <v>500</v>
      </c>
      <c r="CH172">
        <f>IF(CC172&gt;0,SUM(CC172:CG172),0)</f>
        <v>45750</v>
      </c>
      <c r="CI172">
        <f>_xlfn.XLOOKUP(B172,'[8]october-2025'!$A:$A,'[8]october-2025'!$H:$H,0,0)</f>
        <v>2500</v>
      </c>
      <c r="CJ172">
        <f>_xlfn.XLOOKUP(B172,'[8]october-2025'!$A:$A,'[8]october-2025'!$I:$I,0,0)</f>
        <v>0</v>
      </c>
      <c r="CK172">
        <f>IF($F172="YES",0,IF(CH172&gt;40000,200,IF(CH172&gt;25000,150,IF(CH172&gt;15000,130,IF(CH172&gt;10000,110,0)))))</f>
        <v>200</v>
      </c>
      <c r="CL172">
        <f>CH172-CI172-CJ172-CK172</f>
        <v>43050</v>
      </c>
      <c r="CM172">
        <f>_xlfn.XLOOKUP(B172,'[9]november-2025'!$A:$A,'[9]november-2025'!$C:$C,0,0)</f>
        <v>34500</v>
      </c>
      <c r="CN172">
        <f>CM172*0.18</f>
        <v>6210</v>
      </c>
      <c r="CO172">
        <f>CM172*0.12</f>
        <v>4140</v>
      </c>
      <c r="CP172">
        <f>_xlfn.XLOOKUP(B172,'[9]november-2025'!$A:$A,'[9]november-2025'!$D:$D,0,0)</f>
        <v>400</v>
      </c>
      <c r="CQ172">
        <f>_xlfn.XLOOKUP(B172,'[9]november-2025'!$A:$A,'[9]november-2025'!$G:$G,0,0)</f>
        <v>500</v>
      </c>
      <c r="CR172">
        <f>IF(CM172&gt;0,SUM(CM172:CQ172),0)</f>
        <v>45750</v>
      </c>
      <c r="CS172">
        <f>_xlfn.XLOOKUP(B172,'[9]november-2025'!$A:$A,'[9]november-2025'!$H:$H,0,0)</f>
        <v>2500</v>
      </c>
      <c r="CT172">
        <f>_xlfn.XLOOKUP(B172,'[9]november-2025'!$A:$A,'[9]november-2025'!$I:$I,0,0)</f>
        <v>0</v>
      </c>
      <c r="CU172">
        <f>IF($F172="YES",0,IF(CR172&gt;40000,200,IF(CR172&gt;25000,150,IF(CR172&gt;15000,130,IF(CR172&gt;10000,110,0)))))</f>
        <v>200</v>
      </c>
      <c r="CV172">
        <f>CR172-CS172-CT172-CU172</f>
        <v>43050</v>
      </c>
      <c r="CW172">
        <f>_xlfn.XLOOKUP(B172,'[10]december-2025'!$A:$A,'[10]december-2025'!$C:$C,0,0)</f>
        <v>34500</v>
      </c>
      <c r="CX172">
        <f>ROUND(CW172*0.18,0)</f>
        <v>6210</v>
      </c>
      <c r="CY172">
        <f>ROUND(CW172*0.12,0)</f>
        <v>4140</v>
      </c>
      <c r="CZ172">
        <f>_xlfn.XLOOKUP(B172,'[10]december-2025'!$A:$A,'[10]december-2025'!$D:$D,0,0)</f>
        <v>400</v>
      </c>
      <c r="DA172">
        <f>_xlfn.XLOOKUP(B172,'[10]december-2025'!$A:$A,'[10]december-2025'!$G:$G,0,0)</f>
        <v>500</v>
      </c>
      <c r="DB172">
        <f>IF(CW172&gt;0,SUM(CW172:DA172),0)</f>
        <v>45750</v>
      </c>
      <c r="DC172">
        <f>_xlfn.XLOOKUP(B172,'[10]december-2025'!$A:$A,'[10]december-2025'!$H:$H,0,0)</f>
        <v>2500</v>
      </c>
      <c r="DD172">
        <f>_xlfn.XLOOKUP(B172,'[10]december-2025'!$A:$A,'[10]december-2025'!$I:$I,0,0)</f>
        <v>0</v>
      </c>
      <c r="DE172">
        <f>IF($F172="YES",0,IF(DB172&gt;40000,200,IF(DB172&gt;25000,150,IF(DB172&gt;15000,130,IF(DB172&gt;10000,110,0)))))</f>
        <v>200</v>
      </c>
      <c r="DF172">
        <f>DB172-DC172-DD172-DE172</f>
        <v>43050</v>
      </c>
      <c r="DG172">
        <f>_xlfn.XLOOKUP(B172,'[11]january-2026'!$A:$A,'[11]january-2026'!$C:$C,0,0)</f>
        <v>34500</v>
      </c>
      <c r="DH172">
        <f>DG172*0.18</f>
        <v>6210</v>
      </c>
      <c r="DI172">
        <f>DG172*0.12</f>
        <v>4140</v>
      </c>
      <c r="DJ172">
        <f>_xlfn.XLOOKUP(B172,'[11]january-2026'!$A:$A,'[11]january-2026'!$D:$D,0,0)</f>
        <v>400</v>
      </c>
      <c r="DK172">
        <f>_xlfn.XLOOKUP(B172,'[11]january-2026'!$A:$A,'[11]january-2026'!$G:$G,0,0)</f>
        <v>500</v>
      </c>
      <c r="DL172">
        <f>IF(DG172&gt;0,SUM(DG172:DK172),0)</f>
        <v>45750</v>
      </c>
      <c r="DM172">
        <f>_xlfn.XLOOKUP(B172,'[11]january-2026'!$A:$A,'[11]january-2026'!$H:$H,0,0)</f>
        <v>2500</v>
      </c>
      <c r="DN172">
        <f>_xlfn.XLOOKUP(B172,'[11]january-2026'!$A:$A,'[11]january-2026'!$I:$I,0,0)</f>
        <v>0</v>
      </c>
      <c r="DO172">
        <f>IF($F172="YES",0,IF(DL172&gt;40000,200,IF(DL172&gt;25000,150,IF(DL172&gt;15000,130,IF(DL172&gt;10000,110,0)))))</f>
        <v>200</v>
      </c>
      <c r="DP172">
        <f>DL172-DM172-DN172-DO172</f>
        <v>43050</v>
      </c>
      <c r="DQ172">
        <f>_xlfn.XLOOKUP(B172,'[12]february-2026'!$A:$A,'[12]february-2026'!$C:$C,0,0)</f>
        <v>34500</v>
      </c>
      <c r="DR172">
        <f>DQ172*0.18</f>
        <v>6210</v>
      </c>
      <c r="DS172">
        <f>DQ172*0.12</f>
        <v>4140</v>
      </c>
      <c r="DT172">
        <f>_xlfn.XLOOKUP(B172,'[12]february-2026'!$A:$A,'[12]february-2026'!$D:$D,0,0)</f>
        <v>400</v>
      </c>
      <c r="DU172">
        <f>_xlfn.XLOOKUP(B172,'[12]february-2026'!$A:$A,'[12]february-2026'!$G:$G,0,0)</f>
        <v>500</v>
      </c>
      <c r="DV172">
        <f>IF(DQ172&gt;0,SUM(DQ172:DU172),0)</f>
        <v>45750</v>
      </c>
      <c r="DW172">
        <f>_xlfn.XLOOKUP(B172,'[12]february-2026'!$A:$A,'[12]february-2026'!$H:$H,0,0)</f>
        <v>2500</v>
      </c>
      <c r="DX172">
        <f>_xlfn.XLOOKUP(B172,'[12]february-2026'!$A:$A,'[12]february-2026'!$I:$I,0,0)</f>
        <v>0</v>
      </c>
      <c r="DY172">
        <f>IF($F172="YES",0,IF(DV172&gt;40000,200,IF(DV172&gt;25000,150,IF(DV172&gt;15000,130,IF(DV172&gt;10000,110,0)))))</f>
        <v>200</v>
      </c>
      <c r="DZ172">
        <f>DV172-DW172-DX172-DY172</f>
        <v>43050</v>
      </c>
      <c r="EA172">
        <f>DV172+DL172+DB172+CR172+CH172+BX172+BN172+BD172+AS172+AI172+Y172+O172+H172+I172</f>
        <v>549260</v>
      </c>
      <c r="EB172">
        <f>DY172+DO172+DE172+CU172+CK172+CA172+BQ172+BG172+AV172+AL172+AB172+R172</f>
        <v>2400</v>
      </c>
      <c r="EC172">
        <f>IF(EA172&gt;0,50000,0)</f>
        <v>50000</v>
      </c>
      <c r="ED172">
        <v>0</v>
      </c>
      <c r="EE172">
        <f>EA172-EB172-EC172</f>
        <v>496860</v>
      </c>
      <c r="EF172">
        <f>DW172+DM172+DC172+CS172+CI172+BY172+BO172+BE172+AT172+AJ172+Z172+P172</f>
        <v>30000</v>
      </c>
      <c r="EG172">
        <f>DX172+DN172+DD172+CT172+CJ172+BZ172+BP172+BF172+AU172+AK172+AA172+Q172</f>
        <v>0</v>
      </c>
      <c r="EH172">
        <v>0</v>
      </c>
      <c r="EI172">
        <v>0</v>
      </c>
      <c r="EJ172">
        <v>0</v>
      </c>
      <c r="EK172">
        <v>0</v>
      </c>
      <c r="EL172">
        <v>0</v>
      </c>
      <c r="EM172">
        <v>0</v>
      </c>
      <c r="EN172">
        <v>0</v>
      </c>
      <c r="EO172">
        <v>0</v>
      </c>
      <c r="EP172">
        <v>0</v>
      </c>
      <c r="EQ172">
        <v>0</v>
      </c>
      <c r="ER172">
        <f>SUM(EF172:EQ172)</f>
        <v>30000</v>
      </c>
      <c r="ES172">
        <f>IF(ER172&gt;=150000,150000,ER172)</f>
        <v>30000</v>
      </c>
      <c r="ET172">
        <f>EE172-ES172</f>
        <v>466860</v>
      </c>
      <c r="EU172">
        <v>0</v>
      </c>
      <c r="EV172">
        <v>0</v>
      </c>
      <c r="EW172">
        <v>0</v>
      </c>
      <c r="EX172">
        <v>0</v>
      </c>
      <c r="EY172">
        <v>0</v>
      </c>
      <c r="EZ172">
        <v>0</v>
      </c>
      <c r="FA172">
        <v>0</v>
      </c>
      <c r="FB172">
        <f>SUM(EU172:FA172)+(IF(F172="YES",50000,0))</f>
        <v>0</v>
      </c>
      <c r="FC172">
        <f>ET172-FB172</f>
        <v>466860</v>
      </c>
      <c r="FD172">
        <f>ROUND(IF(FC172&gt;0,IF(FC172&gt;500000,12500,(FC172-250000)*0.05),0),0)</f>
        <v>10843</v>
      </c>
      <c r="FE172">
        <f>IF(ROUND(IF(FC172&gt;0,IF(FC172&gt;1000000,25000,(FC172-500000)*0.2),0),0)&lt;0,0,ROUND(IF(FC172&gt;0,IF(FC172&gt;1000000,25000,(FC172-500000)*0.2),0),0))</f>
        <v>0</v>
      </c>
      <c r="FF172">
        <f>FD172+FE172</f>
        <v>10843</v>
      </c>
      <c r="FG172">
        <f>IF(FF172&lt;12500,0,FF172)</f>
        <v>0</v>
      </c>
      <c r="FH172">
        <f>FG172*0.04</f>
        <v>0</v>
      </c>
      <c r="FI172">
        <f>ROUND(FH172+FG172,0)</f>
        <v>0</v>
      </c>
      <c r="FJ172">
        <v>0</v>
      </c>
      <c r="FK172">
        <f>FI172-FJ172</f>
        <v>0</v>
      </c>
      <c r="FL172" t="b">
        <f>IF(EA172&gt;500000,TRUE,FALSE)</f>
        <v>1</v>
      </c>
      <c r="FM172">
        <f ca="1">IF(FL172,RANDBETWEEN(500,1000),RANDBETWEEN(1000,3000))</f>
        <v>637</v>
      </c>
      <c r="FN172">
        <f ca="1">EA172+FM172</f>
        <v>549897</v>
      </c>
      <c r="FO172">
        <f>IF(EA172&gt;0,75000,0)</f>
        <v>75000</v>
      </c>
      <c r="FP172">
        <f ca="1">FN172-FO172</f>
        <v>474897</v>
      </c>
      <c r="FQ172">
        <f ca="1">IF(FP172&gt;2400000,FP172-2400000,0)</f>
        <v>0</v>
      </c>
      <c r="FR172">
        <f ca="1">FQ172*0.3</f>
        <v>0</v>
      </c>
      <c r="FS172">
        <f ca="1">IF(FP172&gt;2000000,FP172-2000000,0)</f>
        <v>0</v>
      </c>
      <c r="FT172">
        <f ca="1">FS172*0.25</f>
        <v>0</v>
      </c>
      <c r="FU172">
        <f ca="1">IF(FP172&gt;1600000,FP172-1600000-FQ172,0)</f>
        <v>0</v>
      </c>
      <c r="FV172">
        <f ca="1">FU172*0.2</f>
        <v>0</v>
      </c>
      <c r="FW172">
        <f ca="1">IF(FP172&gt;1200000,FP172-1200000-IF(F172="YES",50000,0)-FU172,0)</f>
        <v>0</v>
      </c>
      <c r="FX172">
        <f ca="1">FW172*0.15</f>
        <v>0</v>
      </c>
      <c r="FY172">
        <f ca="1">IF(FP172&gt;800000,FP172-800000-FQ172-FU172-FW172,0)</f>
        <v>0</v>
      </c>
      <c r="FZ172">
        <f ca="1">FY172*0.1</f>
        <v>0</v>
      </c>
      <c r="GA172">
        <f ca="1">IF(FP172&gt;400000,FP172-400000-FQ172-FU172-FW172-FY172,0)</f>
        <v>74897</v>
      </c>
      <c r="GB172">
        <f ca="1">GA172*0.05</f>
        <v>3744.8500000000004</v>
      </c>
      <c r="GC172">
        <f ca="1">ROUND(FR172+FT172+FV172+FX172+FZ172+GB172,0)</f>
        <v>3745</v>
      </c>
      <c r="GD172">
        <f ca="1">IF(FP172&gt;1200000,FP172,0)</f>
        <v>0</v>
      </c>
      <c r="GE172">
        <f ca="1">IF(FP172&gt;1200000,GD172-1200000,0)</f>
        <v>0</v>
      </c>
      <c r="GF172">
        <f ca="1">IF(FP172&lt;1200001,MIN(GC172,60000),0)</f>
        <v>3745</v>
      </c>
      <c r="GG172">
        <f ca="1">IF(FP172&gt;1200000,GC172-GE172,0)</f>
        <v>0</v>
      </c>
      <c r="GH172" t="b">
        <f ca="1">IF(GG172&gt;0,TRUE,FALSE)</f>
        <v>0</v>
      </c>
      <c r="GI172">
        <f ca="1">IF(GH172,GG172,0)</f>
        <v>0</v>
      </c>
      <c r="GJ172">
        <f ca="1">GF172+GI172</f>
        <v>3745</v>
      </c>
      <c r="GK172">
        <f ca="1">ROUND(GC172-GJ172,0)</f>
        <v>0</v>
      </c>
      <c r="GL172">
        <f ca="1">GK172*0.04</f>
        <v>0</v>
      </c>
      <c r="GM172">
        <f ca="1">ROUNDUP(GK172+GL172,0)</f>
        <v>0</v>
      </c>
    </row>
    <row r="173" spans="1:195" x14ac:dyDescent="0.25">
      <c r="A173">
        <f>_xlfn.AGGREGATE(3,5,$B$2:B173)</f>
        <v>172</v>
      </c>
      <c r="B173" t="s">
        <v>457</v>
      </c>
      <c r="C173" t="s">
        <v>458</v>
      </c>
      <c r="D173" t="s">
        <v>798</v>
      </c>
      <c r="E173" t="s">
        <v>833</v>
      </c>
      <c r="F173" t="s">
        <v>959</v>
      </c>
      <c r="G173" t="s">
        <v>882</v>
      </c>
      <c r="H173">
        <f>IF(_xlfn.DAYS("31-03-2025",G173)&gt;=180,6800,0)</f>
        <v>6800</v>
      </c>
      <c r="I173">
        <f>_xlfn.XLOOKUP(B173,'[1]march-2025'!$A:$A,'[1]march-2025'!$J:$J,0,0)</f>
        <v>0</v>
      </c>
      <c r="J173">
        <f>_xlfn.XLOOKUP(B173,'[1]march-2025'!$A:$A,'[1]march-2025'!$C:$C,0,0)</f>
        <v>50200</v>
      </c>
      <c r="K173">
        <f>J173*0.14</f>
        <v>7028.0000000000009</v>
      </c>
      <c r="L173">
        <f>J173*0.12</f>
        <v>6024</v>
      </c>
      <c r="M173">
        <f>_xlfn.XLOOKUP(B173,'[1]march-2025'!$A:$A,'[1]march-2025'!$D:$D,0,0)</f>
        <v>0</v>
      </c>
      <c r="N173">
        <f>_xlfn.XLOOKUP(B173,'[1]march-2025'!$A:$A,'[1]march-2025'!$G:$G,0,0)</f>
        <v>500</v>
      </c>
      <c r="O173">
        <f>IF(J173&gt;0,SUM(J173:N173),0)</f>
        <v>63752</v>
      </c>
      <c r="P173">
        <f>_xlfn.XLOOKUP(B173,'[1]march-2025'!$A:$A,'[1]march-2025'!$H:$H,0,0)</f>
        <v>15000</v>
      </c>
      <c r="Q173">
        <f>_xlfn.XLOOKUP(B173,'[1]march-2025'!$A:$A,'[1]march-2025'!$I:$I,0,0)</f>
        <v>0</v>
      </c>
      <c r="R173">
        <f>IF($F173="YES",0,IF(O173&gt;40000,200,IF(O173&gt;25000,150,IF(O173&gt;15000,130,IF(O173&gt;10000,110,0)))))</f>
        <v>200</v>
      </c>
      <c r="S173">
        <f>O173-P173-Q173-R173</f>
        <v>48552</v>
      </c>
      <c r="T173">
        <f>_xlfn.XLOOKUP(B173,'[2]april-2025'!$A:$A,'[2]april-2025'!$C:$C,0,0)</f>
        <v>50200</v>
      </c>
      <c r="U173">
        <f>T173*0.18</f>
        <v>9036</v>
      </c>
      <c r="V173">
        <f>T173*0.12</f>
        <v>6024</v>
      </c>
      <c r="W173">
        <f>_xlfn.XLOOKUP(B173,'[2]april-2025'!$A:$A,'[2]april-2025'!$D:$D,0,0)</f>
        <v>0</v>
      </c>
      <c r="X173">
        <f>_xlfn.XLOOKUP(B173,'[2]april-2025'!$A:$A,'[2]april-2025'!$G:$G,0,0)</f>
        <v>500</v>
      </c>
      <c r="Y173">
        <f>IF(T173&gt;0,SUM(T173:X173),0)</f>
        <v>65760</v>
      </c>
      <c r="Z173">
        <f>_xlfn.XLOOKUP(B173,'[2]april-2025'!$A:$A,'[2]april-2025'!$H:$H,0,0)</f>
        <v>15000</v>
      </c>
      <c r="AA173">
        <f>_xlfn.XLOOKUP(B173,'[2]april-2025'!$A:$A,'[2]april-2025'!$I:$I,0,0)</f>
        <v>0</v>
      </c>
      <c r="AB173">
        <f>IF($F173="YES",0,IF(Y173&gt;40000,200,IF(Y173&gt;25000,150,IF(Y173&gt;15000,130,IF(Y173&gt;10000,110,0)))))</f>
        <v>200</v>
      </c>
      <c r="AC173">
        <f>Y173-Z173-AA173-AB173</f>
        <v>50560</v>
      </c>
      <c r="AD173">
        <f>_xlfn.XLOOKUP(B173,'[3]may-2025'!$A:$A,'[3]may-2025'!$C:$C,0,0)</f>
        <v>50200</v>
      </c>
      <c r="AE173">
        <f>AD173*0.18</f>
        <v>9036</v>
      </c>
      <c r="AF173">
        <f>AD173*0.12</f>
        <v>6024</v>
      </c>
      <c r="AG173">
        <f>_xlfn.XLOOKUP(B173,'[3]may-2025'!$A:$A,'[3]may-2025'!$D:$D,0,0)</f>
        <v>0</v>
      </c>
      <c r="AH173">
        <f>_xlfn.XLOOKUP(B173,'[3]may-2025'!$A:$A,'[3]may-2025'!$G:$G,0,0)</f>
        <v>500</v>
      </c>
      <c r="AI173">
        <f>IF(AD173&gt;0,SUM(AD173:AH173),0)</f>
        <v>65760</v>
      </c>
      <c r="AJ173">
        <f>_xlfn.XLOOKUP(B173,'[3]may-2025'!$A:$A,'[3]may-2025'!$H:$H,0,0)</f>
        <v>15000</v>
      </c>
      <c r="AK173">
        <f>_xlfn.XLOOKUP(B173,'[3]may-2025'!$A:$A,'[3]may-2025'!$I:$I,0,0)</f>
        <v>0</v>
      </c>
      <c r="AL173">
        <f>IF($F173="YES",0,IF(AI173&gt;40000,200,IF(AI173&gt;25000,150,IF(AI173&gt;15000,130,IF(AI173&gt;10000,110,0)))))</f>
        <v>200</v>
      </c>
      <c r="AM173">
        <f>AI173-AJ173-AK173-AL173</f>
        <v>50560</v>
      </c>
      <c r="AN173">
        <f>_xlfn.XLOOKUP(B173,'[4]june-2025'!$A:$A,'[4]june-2025'!$C:$C,0,0)</f>
        <v>50200</v>
      </c>
      <c r="AO173">
        <f>AN173*0.18</f>
        <v>9036</v>
      </c>
      <c r="AP173">
        <f>AN173*0.12</f>
        <v>6024</v>
      </c>
      <c r="AQ173">
        <f>_xlfn.XLOOKUP(B173,'[4]june-2025'!$A:$A,'[4]june-2025'!$D:$D,0,0)</f>
        <v>0</v>
      </c>
      <c r="AR173">
        <f>_xlfn.XLOOKUP(B173,'[4]june-2025'!$A:$A,'[4]june-2025'!$G:$G,0,0)</f>
        <v>500</v>
      </c>
      <c r="AS173">
        <f>IF(AN173&gt;0,SUM(AN173:AR173),0)</f>
        <v>65760</v>
      </c>
      <c r="AT173">
        <f>_xlfn.XLOOKUP(B173,'[4]june-2025'!$A:$A,'[4]june-2025'!$H:$H,0,0)</f>
        <v>15000</v>
      </c>
      <c r="AU173">
        <f>_xlfn.XLOOKUP(B173,'[4]june-2025'!$A:$A,'[4]june-2025'!$I:$I,0,0)</f>
        <v>0</v>
      </c>
      <c r="AV173">
        <f>IF($F173="YES",0,IF(AS173&gt;40000,200,IF(AS173&gt;25000,150,IF(AS173&gt;15000,130,IF(AS173&gt;10000,110,0)))))</f>
        <v>200</v>
      </c>
      <c r="AW173">
        <f>AS173-AT173-AU173-AV173</f>
        <v>50560</v>
      </c>
      <c r="AX173">
        <f>_xlfn.XLOOKUP(B173,'[5]july-2025'!$A:$A,'[5]july-2025'!$C:$C,0,0)</f>
        <v>51700</v>
      </c>
      <c r="AY173">
        <f>AX173*0.18</f>
        <v>9306</v>
      </c>
      <c r="AZ173">
        <v>0</v>
      </c>
      <c r="BA173">
        <f>AX173*0.12</f>
        <v>6204</v>
      </c>
      <c r="BB173">
        <f>_xlfn.XLOOKUP(B173,'[5]july-2025'!$A:$A,'[5]july-2025'!$D:$D,0,0)</f>
        <v>0</v>
      </c>
      <c r="BC173">
        <f>_xlfn.XLOOKUP(B173,'[5]july-2025'!$A:$A,'[5]july-2025'!$G:$G,0,0)</f>
        <v>500</v>
      </c>
      <c r="BD173">
        <f>IF(AX173&gt;0,SUM(AX173:BC173),0)</f>
        <v>67710</v>
      </c>
      <c r="BE173">
        <f>_xlfn.XLOOKUP(B173,'[5]july-2025'!$A:$A,'[5]july-2025'!$H:$H,0,0)</f>
        <v>15000</v>
      </c>
      <c r="BF173">
        <f>_xlfn.XLOOKUP(B173,'[5]july-2025'!$A:$A,'[5]july-2025'!$I:$I,0,0)</f>
        <v>0</v>
      </c>
      <c r="BG173">
        <f>IF($F173="YES",0,IF(BD173&gt;40000,200,IF(BD173&gt;25000,150,IF(BD173&gt;15000,130,IF(BD173&gt;10000,110,0)))))</f>
        <v>200</v>
      </c>
      <c r="BH173">
        <f>BD173-BE173-BF173-BG173</f>
        <v>52510</v>
      </c>
      <c r="BI173">
        <f>_xlfn.XLOOKUP(B173,'[6]august-2025'!$A:$A,'[6]august-2025'!$C:$C,0,0)</f>
        <v>51700</v>
      </c>
      <c r="BJ173">
        <f>BI173*0.18</f>
        <v>9306</v>
      </c>
      <c r="BK173">
        <f>BI173*0.12</f>
        <v>6204</v>
      </c>
      <c r="BL173">
        <f>_xlfn.XLOOKUP(B173,'[6]august-2025'!$A:$A,'[6]august-2025'!$D:$D,0,0)</f>
        <v>0</v>
      </c>
      <c r="BM173">
        <f>_xlfn.XLOOKUP(B173,'[6]august-2025'!$A:$A,'[6]august-2025'!$G:$G,0,0)</f>
        <v>500</v>
      </c>
      <c r="BN173">
        <f>IF(BI173&gt;0,SUM(BI173:BM173),0)</f>
        <v>67710</v>
      </c>
      <c r="BO173">
        <f>_xlfn.XLOOKUP(B173,'[6]august-2025'!$A:$A,'[6]august-2025'!$H:$H,0,0)</f>
        <v>15000</v>
      </c>
      <c r="BP173">
        <f>_xlfn.XLOOKUP(B173,'[6]august-2025'!$A:$A,'[6]august-2025'!$I:$I,0,0)</f>
        <v>0</v>
      </c>
      <c r="BQ173">
        <f>IF($F173="YES",0,IF(BN173&gt;40000,200,IF(BN173&gt;25000,150,IF(BN173&gt;15000,130,IF(BN173&gt;10000,110,0)))))</f>
        <v>200</v>
      </c>
      <c r="BR173">
        <f>BN173-BO173-BP173-BQ173</f>
        <v>52510</v>
      </c>
      <c r="BS173">
        <f>_xlfn.XLOOKUP(B173,'[7]september-2025'!$A:$A,'[7]september-2025'!$C:$C,0,0)</f>
        <v>51700</v>
      </c>
      <c r="BT173">
        <f>BS173*0.18</f>
        <v>9306</v>
      </c>
      <c r="BU173">
        <f>BS173*0.12</f>
        <v>6204</v>
      </c>
      <c r="BV173">
        <f>_xlfn.XLOOKUP(B173,'[7]september-2025'!$A:$A,'[7]september-2025'!$D:$D,0,0)</f>
        <v>0</v>
      </c>
      <c r="BW173">
        <f>_xlfn.XLOOKUP(B173,'[7]september-2025'!$A:$A,'[7]september-2025'!$G:$G,0,0)</f>
        <v>500</v>
      </c>
      <c r="BX173">
        <f>IF(BS173&gt;0,SUM(BS173:BW173),0)</f>
        <v>67710</v>
      </c>
      <c r="BY173">
        <f>_xlfn.XLOOKUP(B173,'[7]september-2025'!$A:$A,'[7]september-2025'!$H:$H,0,0)</f>
        <v>15000</v>
      </c>
      <c r="BZ173">
        <f>_xlfn.XLOOKUP(B173,'[7]september-2025'!$A:$A,'[7]september-2025'!$I:$I,0,0)</f>
        <v>0</v>
      </c>
      <c r="CA173">
        <f>IF($F173="YES",0,IF(BX173&gt;40000,200,IF(BX173&gt;25000,150,IF(BX173&gt;15000,130,IF(BX173&gt;10000,110,0)))))</f>
        <v>200</v>
      </c>
      <c r="CB173">
        <f>BX173-BY173-BZ173-CA173</f>
        <v>52510</v>
      </c>
      <c r="CC173">
        <f>_xlfn.XLOOKUP(B173,'[8]october-2025'!$A:$A,'[8]october-2025'!$C:$C,0,0)</f>
        <v>51700</v>
      </c>
      <c r="CD173">
        <f>CC173*0.18</f>
        <v>9306</v>
      </c>
      <c r="CE173">
        <f>CC173*0.12</f>
        <v>6204</v>
      </c>
      <c r="CF173">
        <f>_xlfn.XLOOKUP(B173,'[8]october-2025'!$A:$A,'[8]october-2025'!$D:$D,0,0)</f>
        <v>0</v>
      </c>
      <c r="CG173">
        <f>_xlfn.XLOOKUP(B173,'[8]october-2025'!$A:$A,'[8]october-2025'!$G:$G,0,0)</f>
        <v>500</v>
      </c>
      <c r="CH173">
        <f>IF(CC173&gt;0,SUM(CC173:CG173),0)</f>
        <v>67710</v>
      </c>
      <c r="CI173">
        <f>_xlfn.XLOOKUP(B173,'[8]october-2025'!$A:$A,'[8]october-2025'!$H:$H,0,0)</f>
        <v>15000</v>
      </c>
      <c r="CJ173">
        <f>_xlfn.XLOOKUP(B173,'[8]october-2025'!$A:$A,'[8]october-2025'!$I:$I,0,0)</f>
        <v>0</v>
      </c>
      <c r="CK173">
        <f>IF($F173="YES",0,IF(CH173&gt;40000,200,IF(CH173&gt;25000,150,IF(CH173&gt;15000,130,IF(CH173&gt;10000,110,0)))))</f>
        <v>200</v>
      </c>
      <c r="CL173">
        <f>CH173-CI173-CJ173-CK173</f>
        <v>52510</v>
      </c>
      <c r="CM173">
        <f>_xlfn.XLOOKUP(B173,'[9]november-2025'!$A:$A,'[9]november-2025'!$C:$C,0,0)</f>
        <v>51700</v>
      </c>
      <c r="CN173">
        <f>CM173*0.18</f>
        <v>9306</v>
      </c>
      <c r="CO173">
        <f>CM173*0.12</f>
        <v>6204</v>
      </c>
      <c r="CP173">
        <f>_xlfn.XLOOKUP(B173,'[9]november-2025'!$A:$A,'[9]november-2025'!$D:$D,0,0)</f>
        <v>0</v>
      </c>
      <c r="CQ173">
        <f>_xlfn.XLOOKUP(B173,'[9]november-2025'!$A:$A,'[9]november-2025'!$G:$G,0,0)</f>
        <v>500</v>
      </c>
      <c r="CR173">
        <f>IF(CM173&gt;0,SUM(CM173:CQ173),0)</f>
        <v>67710</v>
      </c>
      <c r="CS173">
        <f>_xlfn.XLOOKUP(B173,'[9]november-2025'!$A:$A,'[9]november-2025'!$H:$H,0,0)</f>
        <v>15000</v>
      </c>
      <c r="CT173">
        <f>_xlfn.XLOOKUP(B173,'[9]november-2025'!$A:$A,'[9]november-2025'!$I:$I,0,0)</f>
        <v>0</v>
      </c>
      <c r="CU173">
        <f>IF($F173="YES",0,IF(CR173&gt;40000,200,IF(CR173&gt;25000,150,IF(CR173&gt;15000,130,IF(CR173&gt;10000,110,0)))))</f>
        <v>200</v>
      </c>
      <c r="CV173">
        <f>CR173-CS173-CT173-CU173</f>
        <v>52510</v>
      </c>
      <c r="CW173">
        <f>_xlfn.XLOOKUP(B173,'[10]december-2025'!$A:$A,'[10]december-2025'!$C:$C,0,0)</f>
        <v>51700</v>
      </c>
      <c r="CX173">
        <f>ROUND(CW173*0.18,0)</f>
        <v>9306</v>
      </c>
      <c r="CY173">
        <f>ROUND(CW173*0.12,0)</f>
        <v>6204</v>
      </c>
      <c r="CZ173">
        <f>_xlfn.XLOOKUP(B173,'[10]december-2025'!$A:$A,'[10]december-2025'!$D:$D,0,0)</f>
        <v>0</v>
      </c>
      <c r="DA173">
        <f>_xlfn.XLOOKUP(B173,'[10]december-2025'!$A:$A,'[10]december-2025'!$G:$G,0,0)</f>
        <v>500</v>
      </c>
      <c r="DB173">
        <f>IF(CW173&gt;0,SUM(CW173:DA173),0)</f>
        <v>67710</v>
      </c>
      <c r="DC173">
        <f>_xlfn.XLOOKUP(B173,'[10]december-2025'!$A:$A,'[10]december-2025'!$H:$H,0,0)</f>
        <v>15000</v>
      </c>
      <c r="DD173">
        <f>_xlfn.XLOOKUP(B173,'[10]december-2025'!$A:$A,'[10]december-2025'!$I:$I,0,0)</f>
        <v>0</v>
      </c>
      <c r="DE173">
        <f>IF($F173="YES",0,IF(DB173&gt;40000,200,IF(DB173&gt;25000,150,IF(DB173&gt;15000,130,IF(DB173&gt;10000,110,0)))))</f>
        <v>200</v>
      </c>
      <c r="DF173">
        <f>DB173-DC173-DD173-DE173</f>
        <v>52510</v>
      </c>
      <c r="DG173">
        <f>_xlfn.XLOOKUP(B173,'[11]january-2026'!$A:$A,'[11]january-2026'!$C:$C,0,0)</f>
        <v>51700</v>
      </c>
      <c r="DH173">
        <f>DG173*0.18</f>
        <v>9306</v>
      </c>
      <c r="DI173">
        <f>DG173*0.12</f>
        <v>6204</v>
      </c>
      <c r="DJ173">
        <f>_xlfn.XLOOKUP(B173,'[11]january-2026'!$A:$A,'[11]january-2026'!$D:$D,0,0)</f>
        <v>0</v>
      </c>
      <c r="DK173">
        <f>_xlfn.XLOOKUP(B173,'[11]january-2026'!$A:$A,'[11]january-2026'!$G:$G,0,0)</f>
        <v>500</v>
      </c>
      <c r="DL173">
        <f>IF(DG173&gt;0,SUM(DG173:DK173),0)</f>
        <v>67710</v>
      </c>
      <c r="DM173">
        <f>_xlfn.XLOOKUP(B173,'[11]january-2026'!$A:$A,'[11]january-2026'!$H:$H,0,0)</f>
        <v>15000</v>
      </c>
      <c r="DN173">
        <f>_xlfn.XLOOKUP(B173,'[11]january-2026'!$A:$A,'[11]january-2026'!$I:$I,0,0)</f>
        <v>0</v>
      </c>
      <c r="DO173">
        <f>IF($F173="YES",0,IF(DL173&gt;40000,200,IF(DL173&gt;25000,150,IF(DL173&gt;15000,130,IF(DL173&gt;10000,110,0)))))</f>
        <v>200</v>
      </c>
      <c r="DP173">
        <f>DL173-DM173-DN173-DO173</f>
        <v>52510</v>
      </c>
      <c r="DQ173">
        <f>_xlfn.XLOOKUP(B173,'[12]february-2026'!$A:$A,'[12]february-2026'!$C:$C,0,0)</f>
        <v>51700</v>
      </c>
      <c r="DR173">
        <f>DQ173*0.18</f>
        <v>9306</v>
      </c>
      <c r="DS173">
        <f>DQ173*0.12</f>
        <v>6204</v>
      </c>
      <c r="DT173">
        <f>_xlfn.XLOOKUP(B173,'[12]february-2026'!$A:$A,'[12]february-2026'!$D:$D,0,0)</f>
        <v>0</v>
      </c>
      <c r="DU173">
        <f>_xlfn.XLOOKUP(B173,'[12]february-2026'!$A:$A,'[12]february-2026'!$G:$G,0,0)</f>
        <v>500</v>
      </c>
      <c r="DV173">
        <f>IF(DQ173&gt;0,SUM(DQ173:DU173),0)</f>
        <v>67710</v>
      </c>
      <c r="DW173">
        <f>_xlfn.XLOOKUP(B173,'[12]february-2026'!$A:$A,'[12]february-2026'!$H:$H,0,0)</f>
        <v>15000</v>
      </c>
      <c r="DX173">
        <f>_xlfn.XLOOKUP(B173,'[12]february-2026'!$A:$A,'[12]february-2026'!$I:$I,0,0)</f>
        <v>0</v>
      </c>
      <c r="DY173">
        <f>IF($F173="YES",0,IF(DV173&gt;40000,200,IF(DV173&gt;25000,150,IF(DV173&gt;15000,130,IF(DV173&gt;10000,110,0)))))</f>
        <v>200</v>
      </c>
      <c r="DZ173">
        <f>DV173-DW173-DX173-DY173</f>
        <v>52510</v>
      </c>
      <c r="EA173">
        <f>DV173+DL173+DB173+CR173+CH173+BX173+BN173+BD173+AS173+AI173+Y173+O173+H173+I173</f>
        <v>809512</v>
      </c>
      <c r="EB173">
        <f>DY173+DO173+DE173+CU173+CK173+CA173+BQ173+BG173+AV173+AL173+AB173+R173</f>
        <v>2400</v>
      </c>
      <c r="EC173">
        <f>IF(EA173&gt;0,50000,0)</f>
        <v>50000</v>
      </c>
      <c r="ED173">
        <v>0</v>
      </c>
      <c r="EE173">
        <f>EA173-EB173-EC173</f>
        <v>757112</v>
      </c>
      <c r="EF173">
        <f>DW173+DM173+DC173+CS173+CI173+BY173+BO173+BE173+AT173+AJ173+Z173+P173</f>
        <v>180000</v>
      </c>
      <c r="EG173">
        <f>DX173+DN173+DD173+CT173+CJ173+BZ173+BP173+BF173+AU173+AK173+AA173+Q173</f>
        <v>0</v>
      </c>
      <c r="EH173">
        <v>0</v>
      </c>
      <c r="EI173">
        <v>0</v>
      </c>
      <c r="EJ173">
        <v>0</v>
      </c>
      <c r="EK173">
        <v>0</v>
      </c>
      <c r="EL173">
        <v>0</v>
      </c>
      <c r="EM173">
        <v>0</v>
      </c>
      <c r="EN173">
        <v>0</v>
      </c>
      <c r="EO173">
        <v>0</v>
      </c>
      <c r="EP173">
        <v>0</v>
      </c>
      <c r="EQ173">
        <v>0</v>
      </c>
      <c r="ER173">
        <f>SUM(EF173:EQ173)</f>
        <v>180000</v>
      </c>
      <c r="ES173">
        <f>IF(ER173&gt;=150000,150000,ER173)</f>
        <v>150000</v>
      </c>
      <c r="ET173">
        <f>EE173-ES173</f>
        <v>607112</v>
      </c>
      <c r="EU173">
        <v>0</v>
      </c>
      <c r="EV173">
        <v>0</v>
      </c>
      <c r="EW173">
        <v>0</v>
      </c>
      <c r="EX173">
        <v>0</v>
      </c>
      <c r="EY173">
        <v>0</v>
      </c>
      <c r="EZ173">
        <v>0</v>
      </c>
      <c r="FA173">
        <v>0</v>
      </c>
      <c r="FB173">
        <f>SUM(EU173:FA173)+(IF(F173="YES",50000,0))</f>
        <v>0</v>
      </c>
      <c r="FC173">
        <f>ET173-FB173</f>
        <v>607112</v>
      </c>
      <c r="FD173">
        <f>ROUND(IF(FC173&gt;0,IF(FC173&gt;500000,12500,(FC173-250000)*0.05),0),0)</f>
        <v>12500</v>
      </c>
      <c r="FE173">
        <f>IF(ROUND(IF(FC173&gt;0,IF(FC173&gt;1000000,25000,(FC173-500000)*0.2),0),0)&lt;0,0,ROUND(IF(FC173&gt;0,IF(FC173&gt;1000000,25000,(FC173-500000)*0.2),0),0))</f>
        <v>21422</v>
      </c>
      <c r="FF173">
        <f>FD173+FE173</f>
        <v>33922</v>
      </c>
      <c r="FG173">
        <f>IF(FF173&lt;12500,0,FF173)</f>
        <v>33922</v>
      </c>
      <c r="FH173">
        <f>FG173*0.04</f>
        <v>1356.88</v>
      </c>
      <c r="FI173">
        <f>ROUND(FH173+FG173,0)</f>
        <v>35279</v>
      </c>
      <c r="FJ173">
        <v>0</v>
      </c>
      <c r="FK173">
        <f>FI173-FJ173</f>
        <v>35279</v>
      </c>
      <c r="FL173" t="b">
        <f>IF(EA173&gt;500000,TRUE,FALSE)</f>
        <v>1</v>
      </c>
      <c r="FM173">
        <f ca="1">IF(FL173,RANDBETWEEN(500,1000),RANDBETWEEN(1000,3000))</f>
        <v>504</v>
      </c>
      <c r="FN173">
        <f ca="1">EA173+FM173</f>
        <v>810016</v>
      </c>
      <c r="FO173">
        <f>IF(EA173&gt;0,75000,0)</f>
        <v>75000</v>
      </c>
      <c r="FP173">
        <f ca="1">FN173-FO173</f>
        <v>735016</v>
      </c>
      <c r="FQ173">
        <f ca="1">IF(FP173&gt;2400000,FP173-2400000,0)</f>
        <v>0</v>
      </c>
      <c r="FR173">
        <f ca="1">FQ173*0.3</f>
        <v>0</v>
      </c>
      <c r="FS173">
        <f ca="1">IF(FP173&gt;2000000,FP173-2000000,0)</f>
        <v>0</v>
      </c>
      <c r="FT173">
        <f ca="1">FS173*0.25</f>
        <v>0</v>
      </c>
      <c r="FU173">
        <f ca="1">IF(FP173&gt;1600000,FP173-1600000-FQ173,0)</f>
        <v>0</v>
      </c>
      <c r="FV173">
        <f ca="1">FU173*0.2</f>
        <v>0</v>
      </c>
      <c r="FW173">
        <f ca="1">IF(FP173&gt;1200000,FP173-1200000-IF(F173="YES",50000,0)-FU173,0)</f>
        <v>0</v>
      </c>
      <c r="FX173">
        <f ca="1">FW173*0.15</f>
        <v>0</v>
      </c>
      <c r="FY173">
        <f ca="1">IF(FP173&gt;800000,FP173-800000-FQ173-FU173-FW173,0)</f>
        <v>0</v>
      </c>
      <c r="FZ173">
        <f ca="1">FY173*0.1</f>
        <v>0</v>
      </c>
      <c r="GA173">
        <f ca="1">IF(FP173&gt;400000,FP173-400000-FQ173-FU173-FW173-FY173,0)</f>
        <v>335016</v>
      </c>
      <c r="GB173">
        <f ca="1">GA173*0.05</f>
        <v>16750.8</v>
      </c>
      <c r="GC173">
        <f ca="1">ROUND(FR173+FT173+FV173+FX173+FZ173+GB173,0)</f>
        <v>16751</v>
      </c>
      <c r="GD173">
        <f ca="1">IF(FP173&gt;1200000,FP173,0)</f>
        <v>0</v>
      </c>
      <c r="GE173">
        <f ca="1">IF(FP173&gt;1200000,GD173-1200000,0)</f>
        <v>0</v>
      </c>
      <c r="GF173">
        <f ca="1">IF(FP173&lt;1200001,MIN(GC173,60000),0)</f>
        <v>16751</v>
      </c>
      <c r="GG173">
        <f ca="1">IF(FP173&gt;1200000,GC173-GE173,0)</f>
        <v>0</v>
      </c>
      <c r="GH173" t="b">
        <f ca="1">IF(GG173&gt;0,TRUE,FALSE)</f>
        <v>0</v>
      </c>
      <c r="GI173">
        <f ca="1">IF(GH173,GG173,0)</f>
        <v>0</v>
      </c>
      <c r="GJ173">
        <f ca="1">GF173+GI173</f>
        <v>16751</v>
      </c>
      <c r="GK173">
        <f ca="1">ROUND(GC173-GJ173,0)</f>
        <v>0</v>
      </c>
      <c r="GL173">
        <f ca="1">GK173*0.04</f>
        <v>0</v>
      </c>
      <c r="GM173">
        <f ca="1">ROUNDUP(GK173+GL173,0)</f>
        <v>0</v>
      </c>
    </row>
    <row r="174" spans="1:195" x14ac:dyDescent="0.25">
      <c r="A174">
        <f>_xlfn.AGGREGATE(3,5,$B$2:B174)</f>
        <v>173</v>
      </c>
      <c r="B174" t="s">
        <v>459</v>
      </c>
      <c r="C174" t="s">
        <v>460</v>
      </c>
      <c r="D174" t="s">
        <v>798</v>
      </c>
      <c r="E174" t="s">
        <v>833</v>
      </c>
      <c r="F174" t="s">
        <v>959</v>
      </c>
      <c r="G174" t="s">
        <v>926</v>
      </c>
      <c r="H174">
        <f>IF(_xlfn.DAYS("31-03-2025",G174)&gt;=180,6800,0)</f>
        <v>6800</v>
      </c>
      <c r="I174">
        <f>_xlfn.XLOOKUP(B174,'[1]march-2025'!$A:$A,'[1]march-2025'!$J:$J,0,0)</f>
        <v>0</v>
      </c>
      <c r="J174">
        <f>_xlfn.XLOOKUP(B174,'[1]march-2025'!$A:$A,'[1]march-2025'!$C:$C,0,0)</f>
        <v>33500</v>
      </c>
      <c r="K174">
        <f>J174*0.14</f>
        <v>4690</v>
      </c>
      <c r="L174">
        <f>J174*0.12</f>
        <v>4020</v>
      </c>
      <c r="M174">
        <f>_xlfn.XLOOKUP(B174,'[1]march-2025'!$A:$A,'[1]march-2025'!$D:$D,0,0)</f>
        <v>0</v>
      </c>
      <c r="N174">
        <f>_xlfn.XLOOKUP(B174,'[1]march-2025'!$A:$A,'[1]march-2025'!$G:$G,0,0)</f>
        <v>500</v>
      </c>
      <c r="O174">
        <f>IF(J174&gt;0,SUM(J174:N174),0)</f>
        <v>42710</v>
      </c>
      <c r="P174">
        <f>_xlfn.XLOOKUP(B174,'[1]march-2025'!$A:$A,'[1]march-2025'!$H:$H,0,0)</f>
        <v>2500</v>
      </c>
      <c r="Q174">
        <f>_xlfn.XLOOKUP(B174,'[1]march-2025'!$A:$A,'[1]march-2025'!$I:$I,0,0)</f>
        <v>0</v>
      </c>
      <c r="R174">
        <f>IF($F174="YES",0,IF(O174&gt;40000,200,IF(O174&gt;25000,150,IF(O174&gt;15000,130,IF(O174&gt;10000,110,0)))))</f>
        <v>200</v>
      </c>
      <c r="S174">
        <f>O174-P174-Q174-R174</f>
        <v>40010</v>
      </c>
      <c r="T174">
        <f>_xlfn.XLOOKUP(B174,'[2]april-2025'!$A:$A,'[2]april-2025'!$C:$C,0,0)</f>
        <v>33500</v>
      </c>
      <c r="U174">
        <f>T174*0.18</f>
        <v>6030</v>
      </c>
      <c r="V174">
        <f>T174*0.12</f>
        <v>4020</v>
      </c>
      <c r="W174">
        <f>_xlfn.XLOOKUP(B174,'[2]april-2025'!$A:$A,'[2]april-2025'!$D:$D,0,0)</f>
        <v>0</v>
      </c>
      <c r="X174">
        <f>_xlfn.XLOOKUP(B174,'[2]april-2025'!$A:$A,'[2]april-2025'!$G:$G,0,0)</f>
        <v>500</v>
      </c>
      <c r="Y174">
        <f>IF(T174&gt;0,SUM(T174:X174),0)</f>
        <v>44050</v>
      </c>
      <c r="Z174">
        <f>_xlfn.XLOOKUP(B174,'[2]april-2025'!$A:$A,'[2]april-2025'!$H:$H,0,0)</f>
        <v>2500</v>
      </c>
      <c r="AA174">
        <f>_xlfn.XLOOKUP(B174,'[2]april-2025'!$A:$A,'[2]april-2025'!$I:$I,0,0)</f>
        <v>0</v>
      </c>
      <c r="AB174">
        <f>IF($F174="YES",0,IF(Y174&gt;40000,200,IF(Y174&gt;25000,150,IF(Y174&gt;15000,130,IF(Y174&gt;10000,110,0)))))</f>
        <v>200</v>
      </c>
      <c r="AC174">
        <f>Y174-Z174-AA174-AB174</f>
        <v>41350</v>
      </c>
      <c r="AD174">
        <f>_xlfn.XLOOKUP(B174,'[3]may-2025'!$A:$A,'[3]may-2025'!$C:$C,0,0)</f>
        <v>33500</v>
      </c>
      <c r="AE174">
        <f>AD174*0.18</f>
        <v>6030</v>
      </c>
      <c r="AF174">
        <f>AD174*0.12</f>
        <v>4020</v>
      </c>
      <c r="AG174">
        <f>_xlfn.XLOOKUP(B174,'[3]may-2025'!$A:$A,'[3]may-2025'!$D:$D,0,0)</f>
        <v>0</v>
      </c>
      <c r="AH174">
        <f>_xlfn.XLOOKUP(B174,'[3]may-2025'!$A:$A,'[3]may-2025'!$G:$G,0,0)</f>
        <v>500</v>
      </c>
      <c r="AI174">
        <f>IF(AD174&gt;0,SUM(AD174:AH174),0)</f>
        <v>44050</v>
      </c>
      <c r="AJ174">
        <f>_xlfn.XLOOKUP(B174,'[3]may-2025'!$A:$A,'[3]may-2025'!$H:$H,0,0)</f>
        <v>2500</v>
      </c>
      <c r="AK174">
        <f>_xlfn.XLOOKUP(B174,'[3]may-2025'!$A:$A,'[3]may-2025'!$I:$I,0,0)</f>
        <v>0</v>
      </c>
      <c r="AL174">
        <f>IF($F174="YES",0,IF(AI174&gt;40000,200,IF(AI174&gt;25000,150,IF(AI174&gt;15000,130,IF(AI174&gt;10000,110,0)))))</f>
        <v>200</v>
      </c>
      <c r="AM174">
        <f>AI174-AJ174-AK174-AL174</f>
        <v>41350</v>
      </c>
      <c r="AN174">
        <f>_xlfn.XLOOKUP(B174,'[4]june-2025'!$A:$A,'[4]june-2025'!$C:$C,0,0)</f>
        <v>33500</v>
      </c>
      <c r="AO174">
        <f>AN174*0.18</f>
        <v>6030</v>
      </c>
      <c r="AP174">
        <f>AN174*0.12</f>
        <v>4020</v>
      </c>
      <c r="AQ174">
        <f>_xlfn.XLOOKUP(B174,'[4]june-2025'!$A:$A,'[4]june-2025'!$D:$D,0,0)</f>
        <v>0</v>
      </c>
      <c r="AR174">
        <f>_xlfn.XLOOKUP(B174,'[4]june-2025'!$A:$A,'[4]june-2025'!$G:$G,0,0)</f>
        <v>500</v>
      </c>
      <c r="AS174">
        <f>IF(AN174&gt;0,SUM(AN174:AR174),0)</f>
        <v>44050</v>
      </c>
      <c r="AT174">
        <f>_xlfn.XLOOKUP(B174,'[4]june-2025'!$A:$A,'[4]june-2025'!$H:$H,0,0)</f>
        <v>2500</v>
      </c>
      <c r="AU174">
        <f>_xlfn.XLOOKUP(B174,'[4]june-2025'!$A:$A,'[4]june-2025'!$I:$I,0,0)</f>
        <v>0</v>
      </c>
      <c r="AV174">
        <f>IF($F174="YES",0,IF(AS174&gt;40000,200,IF(AS174&gt;25000,150,IF(AS174&gt;15000,130,IF(AS174&gt;10000,110,0)))))</f>
        <v>200</v>
      </c>
      <c r="AW174">
        <f>AS174-AT174-AU174-AV174</f>
        <v>41350</v>
      </c>
      <c r="AX174">
        <f>_xlfn.XLOOKUP(B174,'[5]july-2025'!$A:$A,'[5]july-2025'!$C:$C,0,0)</f>
        <v>34500</v>
      </c>
      <c r="AY174">
        <f>AX174*0.18</f>
        <v>6210</v>
      </c>
      <c r="AZ174">
        <v>0</v>
      </c>
      <c r="BA174">
        <f>AX174*0.12</f>
        <v>4140</v>
      </c>
      <c r="BB174">
        <f>_xlfn.XLOOKUP(B174,'[5]july-2025'!$A:$A,'[5]july-2025'!$D:$D,0,0)</f>
        <v>0</v>
      </c>
      <c r="BC174">
        <f>_xlfn.XLOOKUP(B174,'[5]july-2025'!$A:$A,'[5]july-2025'!$G:$G,0,0)</f>
        <v>500</v>
      </c>
      <c r="BD174">
        <f>IF(AX174&gt;0,SUM(AX174:BC174),0)</f>
        <v>45350</v>
      </c>
      <c r="BE174">
        <f>_xlfn.XLOOKUP(B174,'[5]july-2025'!$A:$A,'[5]july-2025'!$H:$H,0,0)</f>
        <v>2500</v>
      </c>
      <c r="BF174">
        <f>_xlfn.XLOOKUP(B174,'[5]july-2025'!$A:$A,'[5]july-2025'!$I:$I,0,0)</f>
        <v>0</v>
      </c>
      <c r="BG174">
        <f>IF($F174="YES",0,IF(BD174&gt;40000,200,IF(BD174&gt;25000,150,IF(BD174&gt;15000,130,IF(BD174&gt;10000,110,0)))))</f>
        <v>200</v>
      </c>
      <c r="BH174">
        <f>BD174-BE174-BF174-BG174</f>
        <v>42650</v>
      </c>
      <c r="BI174">
        <f>_xlfn.XLOOKUP(B174,'[6]august-2025'!$A:$A,'[6]august-2025'!$C:$C,0,0)</f>
        <v>34500</v>
      </c>
      <c r="BJ174">
        <f>BI174*0.18</f>
        <v>6210</v>
      </c>
      <c r="BK174">
        <f>BI174*0.12</f>
        <v>4140</v>
      </c>
      <c r="BL174">
        <f>_xlfn.XLOOKUP(B174,'[6]august-2025'!$A:$A,'[6]august-2025'!$D:$D,0,0)</f>
        <v>0</v>
      </c>
      <c r="BM174">
        <f>_xlfn.XLOOKUP(B174,'[6]august-2025'!$A:$A,'[6]august-2025'!$G:$G,0,0)</f>
        <v>500</v>
      </c>
      <c r="BN174">
        <f>IF(BI174&gt;0,SUM(BI174:BM174),0)</f>
        <v>45350</v>
      </c>
      <c r="BO174">
        <f>_xlfn.XLOOKUP(B174,'[6]august-2025'!$A:$A,'[6]august-2025'!$H:$H,0,0)</f>
        <v>2500</v>
      </c>
      <c r="BP174">
        <f>_xlfn.XLOOKUP(B174,'[6]august-2025'!$A:$A,'[6]august-2025'!$I:$I,0,0)</f>
        <v>0</v>
      </c>
      <c r="BQ174">
        <f>IF($F174="YES",0,IF(BN174&gt;40000,200,IF(BN174&gt;25000,150,IF(BN174&gt;15000,130,IF(BN174&gt;10000,110,0)))))</f>
        <v>200</v>
      </c>
      <c r="BR174">
        <f>BN174-BO174-BP174-BQ174</f>
        <v>42650</v>
      </c>
      <c r="BS174">
        <f>_xlfn.XLOOKUP(B174,'[7]september-2025'!$A:$A,'[7]september-2025'!$C:$C,0,0)</f>
        <v>34500</v>
      </c>
      <c r="BT174">
        <f>BS174*0.18</f>
        <v>6210</v>
      </c>
      <c r="BU174">
        <f>BS174*0.12</f>
        <v>4140</v>
      </c>
      <c r="BV174">
        <f>_xlfn.XLOOKUP(B174,'[7]september-2025'!$A:$A,'[7]september-2025'!$D:$D,0,0)</f>
        <v>0</v>
      </c>
      <c r="BW174">
        <f>_xlfn.XLOOKUP(B174,'[7]september-2025'!$A:$A,'[7]september-2025'!$G:$G,0,0)</f>
        <v>500</v>
      </c>
      <c r="BX174">
        <f>IF(BS174&gt;0,SUM(BS174:BW174),0)</f>
        <v>45350</v>
      </c>
      <c r="BY174">
        <f>_xlfn.XLOOKUP(B174,'[7]september-2025'!$A:$A,'[7]september-2025'!$H:$H,0,0)</f>
        <v>2500</v>
      </c>
      <c r="BZ174">
        <f>_xlfn.XLOOKUP(B174,'[7]september-2025'!$A:$A,'[7]september-2025'!$I:$I,0,0)</f>
        <v>0</v>
      </c>
      <c r="CA174">
        <f>IF($F174="YES",0,IF(BX174&gt;40000,200,IF(BX174&gt;25000,150,IF(BX174&gt;15000,130,IF(BX174&gt;10000,110,0)))))</f>
        <v>200</v>
      </c>
      <c r="CB174">
        <f>BX174-BY174-BZ174-CA174</f>
        <v>42650</v>
      </c>
      <c r="CC174">
        <f>_xlfn.XLOOKUP(B174,'[8]october-2025'!$A:$A,'[8]october-2025'!$C:$C,0,0)</f>
        <v>34500</v>
      </c>
      <c r="CD174">
        <f>CC174*0.18</f>
        <v>6210</v>
      </c>
      <c r="CE174">
        <f>CC174*0.12</f>
        <v>4140</v>
      </c>
      <c r="CF174">
        <f>_xlfn.XLOOKUP(B174,'[8]october-2025'!$A:$A,'[8]october-2025'!$D:$D,0,0)</f>
        <v>0</v>
      </c>
      <c r="CG174">
        <f>_xlfn.XLOOKUP(B174,'[8]october-2025'!$A:$A,'[8]october-2025'!$G:$G,0,0)</f>
        <v>500</v>
      </c>
      <c r="CH174">
        <f>IF(CC174&gt;0,SUM(CC174:CG174),0)</f>
        <v>45350</v>
      </c>
      <c r="CI174">
        <f>_xlfn.XLOOKUP(B174,'[8]october-2025'!$A:$A,'[8]october-2025'!$H:$H,0,0)</f>
        <v>2500</v>
      </c>
      <c r="CJ174">
        <f>_xlfn.XLOOKUP(B174,'[8]october-2025'!$A:$A,'[8]october-2025'!$I:$I,0,0)</f>
        <v>0</v>
      </c>
      <c r="CK174">
        <f>IF($F174="YES",0,IF(CH174&gt;40000,200,IF(CH174&gt;25000,150,IF(CH174&gt;15000,130,IF(CH174&gt;10000,110,0)))))</f>
        <v>200</v>
      </c>
      <c r="CL174">
        <f>CH174-CI174-CJ174-CK174</f>
        <v>42650</v>
      </c>
      <c r="CM174">
        <f>_xlfn.XLOOKUP(B174,'[9]november-2025'!$A:$A,'[9]november-2025'!$C:$C,0,0)</f>
        <v>34500</v>
      </c>
      <c r="CN174">
        <f>CM174*0.18</f>
        <v>6210</v>
      </c>
      <c r="CO174">
        <f>CM174*0.12</f>
        <v>4140</v>
      </c>
      <c r="CP174">
        <f>_xlfn.XLOOKUP(B174,'[9]november-2025'!$A:$A,'[9]november-2025'!$D:$D,0,0)</f>
        <v>0</v>
      </c>
      <c r="CQ174">
        <f>_xlfn.XLOOKUP(B174,'[9]november-2025'!$A:$A,'[9]november-2025'!$G:$G,0,0)</f>
        <v>500</v>
      </c>
      <c r="CR174">
        <f>IF(CM174&gt;0,SUM(CM174:CQ174),0)</f>
        <v>45350</v>
      </c>
      <c r="CS174">
        <f>_xlfn.XLOOKUP(B174,'[9]november-2025'!$A:$A,'[9]november-2025'!$H:$H,0,0)</f>
        <v>2500</v>
      </c>
      <c r="CT174">
        <f>_xlfn.XLOOKUP(B174,'[9]november-2025'!$A:$A,'[9]november-2025'!$I:$I,0,0)</f>
        <v>0</v>
      </c>
      <c r="CU174">
        <f>IF($F174="YES",0,IF(CR174&gt;40000,200,IF(CR174&gt;25000,150,IF(CR174&gt;15000,130,IF(CR174&gt;10000,110,0)))))</f>
        <v>200</v>
      </c>
      <c r="CV174">
        <f>CR174-CS174-CT174-CU174</f>
        <v>42650</v>
      </c>
      <c r="CW174">
        <f>_xlfn.XLOOKUP(B174,'[10]december-2025'!$A:$A,'[10]december-2025'!$C:$C,0,0)</f>
        <v>34500</v>
      </c>
      <c r="CX174">
        <f>ROUND(CW174*0.18,0)</f>
        <v>6210</v>
      </c>
      <c r="CY174">
        <f>ROUND(CW174*0.12,0)</f>
        <v>4140</v>
      </c>
      <c r="CZ174">
        <f>_xlfn.XLOOKUP(B174,'[10]december-2025'!$A:$A,'[10]december-2025'!$D:$D,0,0)</f>
        <v>0</v>
      </c>
      <c r="DA174">
        <f>_xlfn.XLOOKUP(B174,'[10]december-2025'!$A:$A,'[10]december-2025'!$G:$G,0,0)</f>
        <v>500</v>
      </c>
      <c r="DB174">
        <f>IF(CW174&gt;0,SUM(CW174:DA174),0)</f>
        <v>45350</v>
      </c>
      <c r="DC174">
        <f>_xlfn.XLOOKUP(B174,'[10]december-2025'!$A:$A,'[10]december-2025'!$H:$H,0,0)</f>
        <v>2500</v>
      </c>
      <c r="DD174">
        <f>_xlfn.XLOOKUP(B174,'[10]december-2025'!$A:$A,'[10]december-2025'!$I:$I,0,0)</f>
        <v>0</v>
      </c>
      <c r="DE174">
        <f>IF($F174="YES",0,IF(DB174&gt;40000,200,IF(DB174&gt;25000,150,IF(DB174&gt;15000,130,IF(DB174&gt;10000,110,0)))))</f>
        <v>200</v>
      </c>
      <c r="DF174">
        <f>DB174-DC174-DD174-DE174</f>
        <v>42650</v>
      </c>
      <c r="DG174">
        <f>_xlfn.XLOOKUP(B174,'[11]january-2026'!$A:$A,'[11]january-2026'!$C:$C,0,0)</f>
        <v>34500</v>
      </c>
      <c r="DH174">
        <f>DG174*0.18</f>
        <v>6210</v>
      </c>
      <c r="DI174">
        <f>DG174*0.12</f>
        <v>4140</v>
      </c>
      <c r="DJ174">
        <f>_xlfn.XLOOKUP(B174,'[11]january-2026'!$A:$A,'[11]january-2026'!$D:$D,0,0)</f>
        <v>0</v>
      </c>
      <c r="DK174">
        <f>_xlfn.XLOOKUP(B174,'[11]january-2026'!$A:$A,'[11]january-2026'!$G:$G,0,0)</f>
        <v>500</v>
      </c>
      <c r="DL174">
        <f>IF(DG174&gt;0,SUM(DG174:DK174),0)</f>
        <v>45350</v>
      </c>
      <c r="DM174">
        <f>_xlfn.XLOOKUP(B174,'[11]january-2026'!$A:$A,'[11]january-2026'!$H:$H,0,0)</f>
        <v>2500</v>
      </c>
      <c r="DN174">
        <f>_xlfn.XLOOKUP(B174,'[11]january-2026'!$A:$A,'[11]january-2026'!$I:$I,0,0)</f>
        <v>0</v>
      </c>
      <c r="DO174">
        <f>IF($F174="YES",0,IF(DL174&gt;40000,200,IF(DL174&gt;25000,150,IF(DL174&gt;15000,130,IF(DL174&gt;10000,110,0)))))</f>
        <v>200</v>
      </c>
      <c r="DP174">
        <f>DL174-DM174-DN174-DO174</f>
        <v>42650</v>
      </c>
      <c r="DQ174">
        <f>_xlfn.XLOOKUP(B174,'[12]february-2026'!$A:$A,'[12]february-2026'!$C:$C,0,0)</f>
        <v>34500</v>
      </c>
      <c r="DR174">
        <f>DQ174*0.18</f>
        <v>6210</v>
      </c>
      <c r="DS174">
        <f>DQ174*0.12</f>
        <v>4140</v>
      </c>
      <c r="DT174">
        <f>_xlfn.XLOOKUP(B174,'[12]february-2026'!$A:$A,'[12]february-2026'!$D:$D,0,0)</f>
        <v>0</v>
      </c>
      <c r="DU174">
        <f>_xlfn.XLOOKUP(B174,'[12]february-2026'!$A:$A,'[12]february-2026'!$G:$G,0,0)</f>
        <v>500</v>
      </c>
      <c r="DV174">
        <f>IF(DQ174&gt;0,SUM(DQ174:DU174),0)</f>
        <v>45350</v>
      </c>
      <c r="DW174">
        <f>_xlfn.XLOOKUP(B174,'[12]february-2026'!$A:$A,'[12]february-2026'!$H:$H,0,0)</f>
        <v>2500</v>
      </c>
      <c r="DX174">
        <f>_xlfn.XLOOKUP(B174,'[12]february-2026'!$A:$A,'[12]february-2026'!$I:$I,0,0)</f>
        <v>0</v>
      </c>
      <c r="DY174">
        <f>IF($F174="YES",0,IF(DV174&gt;40000,200,IF(DV174&gt;25000,150,IF(DV174&gt;15000,130,IF(DV174&gt;10000,110,0)))))</f>
        <v>200</v>
      </c>
      <c r="DZ174">
        <f>DV174-DW174-DX174-DY174</f>
        <v>42650</v>
      </c>
      <c r="EA174">
        <f>DV174+DL174+DB174+CR174+CH174+BX174+BN174+BD174+AS174+AI174+Y174+O174+H174+I174</f>
        <v>544460</v>
      </c>
      <c r="EB174">
        <f>DY174+DO174+DE174+CU174+CK174+CA174+BQ174+BG174+AV174+AL174+AB174+R174</f>
        <v>2400</v>
      </c>
      <c r="EC174">
        <f>IF(EA174&gt;0,50000,0)</f>
        <v>50000</v>
      </c>
      <c r="ED174">
        <v>0</v>
      </c>
      <c r="EE174">
        <f>EA174-EB174-EC174</f>
        <v>492060</v>
      </c>
      <c r="EF174">
        <f>DW174+DM174+DC174+CS174+CI174+BY174+BO174+BE174+AT174+AJ174+Z174+P174</f>
        <v>30000</v>
      </c>
      <c r="EG174">
        <f>DX174+DN174+DD174+CT174+CJ174+BZ174+BP174+BF174+AU174+AK174+AA174+Q174</f>
        <v>0</v>
      </c>
      <c r="EH174">
        <v>0</v>
      </c>
      <c r="EI174">
        <v>0</v>
      </c>
      <c r="EJ174">
        <v>0</v>
      </c>
      <c r="EK174">
        <v>0</v>
      </c>
      <c r="EL174">
        <v>0</v>
      </c>
      <c r="EM174">
        <v>0</v>
      </c>
      <c r="EN174">
        <v>0</v>
      </c>
      <c r="EO174">
        <v>0</v>
      </c>
      <c r="EP174">
        <v>0</v>
      </c>
      <c r="EQ174">
        <v>0</v>
      </c>
      <c r="ER174">
        <f>SUM(EF174:EQ174)</f>
        <v>30000</v>
      </c>
      <c r="ES174">
        <f>IF(ER174&gt;=150000,150000,ER174)</f>
        <v>30000</v>
      </c>
      <c r="ET174">
        <f>EE174-ES174</f>
        <v>462060</v>
      </c>
      <c r="EU174">
        <v>0</v>
      </c>
      <c r="EV174">
        <v>0</v>
      </c>
      <c r="EW174">
        <v>0</v>
      </c>
      <c r="EX174">
        <v>0</v>
      </c>
      <c r="EY174">
        <v>0</v>
      </c>
      <c r="EZ174">
        <v>0</v>
      </c>
      <c r="FA174">
        <v>0</v>
      </c>
      <c r="FB174">
        <f>SUM(EU174:FA174)+(IF(F174="YES",50000,0))</f>
        <v>0</v>
      </c>
      <c r="FC174">
        <f>ET174-FB174</f>
        <v>462060</v>
      </c>
      <c r="FD174">
        <f>ROUND(IF(FC174&gt;0,IF(FC174&gt;500000,12500,(FC174-250000)*0.05),0),0)</f>
        <v>10603</v>
      </c>
      <c r="FE174">
        <f>IF(ROUND(IF(FC174&gt;0,IF(FC174&gt;1000000,25000,(FC174-500000)*0.2),0),0)&lt;0,0,ROUND(IF(FC174&gt;0,IF(FC174&gt;1000000,25000,(FC174-500000)*0.2),0),0))</f>
        <v>0</v>
      </c>
      <c r="FF174">
        <f>FD174+FE174</f>
        <v>10603</v>
      </c>
      <c r="FG174">
        <f>IF(FF174&lt;12500,0,FF174)</f>
        <v>0</v>
      </c>
      <c r="FH174">
        <f>FG174*0.04</f>
        <v>0</v>
      </c>
      <c r="FI174">
        <f>ROUND(FH174+FG174,0)</f>
        <v>0</v>
      </c>
      <c r="FJ174">
        <v>0</v>
      </c>
      <c r="FK174">
        <f>FI174-FJ174</f>
        <v>0</v>
      </c>
      <c r="FL174" t="b">
        <f>IF(EA174&gt;500000,TRUE,FALSE)</f>
        <v>1</v>
      </c>
      <c r="FM174">
        <f ca="1">IF(FL174,RANDBETWEEN(500,1000),RANDBETWEEN(1000,3000))</f>
        <v>935</v>
      </c>
      <c r="FN174">
        <f ca="1">EA174+FM174</f>
        <v>545395</v>
      </c>
      <c r="FO174">
        <f>IF(EA174&gt;0,75000,0)</f>
        <v>75000</v>
      </c>
      <c r="FP174">
        <f ca="1">FN174-FO174</f>
        <v>470395</v>
      </c>
      <c r="FQ174">
        <f ca="1">IF(FP174&gt;2400000,FP174-2400000,0)</f>
        <v>0</v>
      </c>
      <c r="FR174">
        <f ca="1">FQ174*0.3</f>
        <v>0</v>
      </c>
      <c r="FS174">
        <f ca="1">IF(FP174&gt;2000000,FP174-2000000,0)</f>
        <v>0</v>
      </c>
      <c r="FT174">
        <f ca="1">FS174*0.25</f>
        <v>0</v>
      </c>
      <c r="FU174">
        <f ca="1">IF(FP174&gt;1600000,FP174-1600000-FQ174,0)</f>
        <v>0</v>
      </c>
      <c r="FV174">
        <f ca="1">FU174*0.2</f>
        <v>0</v>
      </c>
      <c r="FW174">
        <f ca="1">IF(FP174&gt;1200000,FP174-1200000-IF(F174="YES",50000,0)-FU174,0)</f>
        <v>0</v>
      </c>
      <c r="FX174">
        <f ca="1">FW174*0.15</f>
        <v>0</v>
      </c>
      <c r="FY174">
        <f ca="1">IF(FP174&gt;800000,FP174-800000-FQ174-FU174-FW174,0)</f>
        <v>0</v>
      </c>
      <c r="FZ174">
        <f ca="1">FY174*0.1</f>
        <v>0</v>
      </c>
      <c r="GA174">
        <f ca="1">IF(FP174&gt;400000,FP174-400000-FQ174-FU174-FW174-FY174,0)</f>
        <v>70395</v>
      </c>
      <c r="GB174">
        <f ca="1">GA174*0.05</f>
        <v>3519.75</v>
      </c>
      <c r="GC174">
        <f ca="1">ROUND(FR174+FT174+FV174+FX174+FZ174+GB174,0)</f>
        <v>3520</v>
      </c>
      <c r="GD174">
        <f ca="1">IF(FP174&gt;1200000,FP174,0)</f>
        <v>0</v>
      </c>
      <c r="GE174">
        <f ca="1">IF(FP174&gt;1200000,GD174-1200000,0)</f>
        <v>0</v>
      </c>
      <c r="GF174">
        <f ca="1">IF(FP174&lt;1200001,MIN(GC174,60000),0)</f>
        <v>3520</v>
      </c>
      <c r="GG174">
        <f ca="1">IF(FP174&gt;1200000,GC174-GE174,0)</f>
        <v>0</v>
      </c>
      <c r="GH174" t="b">
        <f ca="1">IF(GG174&gt;0,TRUE,FALSE)</f>
        <v>0</v>
      </c>
      <c r="GI174">
        <f ca="1">IF(GH174,GG174,0)</f>
        <v>0</v>
      </c>
      <c r="GJ174">
        <f ca="1">GF174+GI174</f>
        <v>3520</v>
      </c>
      <c r="GK174">
        <f ca="1">ROUND(GC174-GJ174,0)</f>
        <v>0</v>
      </c>
      <c r="GL174">
        <f ca="1">GK174*0.04</f>
        <v>0</v>
      </c>
      <c r="GM174">
        <f ca="1">ROUNDUP(GK174+GL174,0)</f>
        <v>0</v>
      </c>
    </row>
    <row r="175" spans="1:195" x14ac:dyDescent="0.25">
      <c r="A175">
        <f>_xlfn.AGGREGATE(3,5,$B$2:B175)</f>
        <v>174</v>
      </c>
      <c r="B175" t="s">
        <v>461</v>
      </c>
      <c r="C175" t="s">
        <v>462</v>
      </c>
      <c r="D175" t="s">
        <v>798</v>
      </c>
      <c r="E175" t="s">
        <v>833</v>
      </c>
      <c r="F175" t="s">
        <v>959</v>
      </c>
      <c r="G175" t="s">
        <v>926</v>
      </c>
      <c r="H175">
        <f>IF(_xlfn.DAYS("31-03-2025",G175)&gt;=180,6800,0)</f>
        <v>6800</v>
      </c>
      <c r="I175">
        <f>_xlfn.XLOOKUP(B175,'[1]march-2025'!$A:$A,'[1]march-2025'!$J:$J,0,0)</f>
        <v>0</v>
      </c>
      <c r="J175">
        <f>_xlfn.XLOOKUP(B175,'[1]march-2025'!$A:$A,'[1]march-2025'!$C:$C,0,0)</f>
        <v>33500</v>
      </c>
      <c r="K175">
        <f>J175*0.14</f>
        <v>4690</v>
      </c>
      <c r="L175">
        <f>J175*0.12</f>
        <v>4020</v>
      </c>
      <c r="M175">
        <f>_xlfn.XLOOKUP(B175,'[1]march-2025'!$A:$A,'[1]march-2025'!$D:$D,0,0)</f>
        <v>0</v>
      </c>
      <c r="N175">
        <f>_xlfn.XLOOKUP(B175,'[1]march-2025'!$A:$A,'[1]march-2025'!$G:$G,0,0)</f>
        <v>500</v>
      </c>
      <c r="O175">
        <f>IF(J175&gt;0,SUM(J175:N175),0)</f>
        <v>42710</v>
      </c>
      <c r="P175">
        <f>_xlfn.XLOOKUP(B175,'[1]march-2025'!$A:$A,'[1]march-2025'!$H:$H,0,0)</f>
        <v>2500</v>
      </c>
      <c r="Q175">
        <f>_xlfn.XLOOKUP(B175,'[1]march-2025'!$A:$A,'[1]march-2025'!$I:$I,0,0)</f>
        <v>0</v>
      </c>
      <c r="R175">
        <f>IF($F175="YES",0,IF(O175&gt;40000,200,IF(O175&gt;25000,150,IF(O175&gt;15000,130,IF(O175&gt;10000,110,0)))))</f>
        <v>200</v>
      </c>
      <c r="S175">
        <f>O175-P175-Q175-R175</f>
        <v>40010</v>
      </c>
      <c r="T175">
        <f>_xlfn.XLOOKUP(B175,'[2]april-2025'!$A:$A,'[2]april-2025'!$C:$C,0,0)</f>
        <v>33500</v>
      </c>
      <c r="U175">
        <f>T175*0.18</f>
        <v>6030</v>
      </c>
      <c r="V175">
        <f>T175*0.12</f>
        <v>4020</v>
      </c>
      <c r="W175">
        <f>_xlfn.XLOOKUP(B175,'[2]april-2025'!$A:$A,'[2]april-2025'!$D:$D,0,0)</f>
        <v>0</v>
      </c>
      <c r="X175">
        <f>_xlfn.XLOOKUP(B175,'[2]april-2025'!$A:$A,'[2]april-2025'!$G:$G,0,0)</f>
        <v>500</v>
      </c>
      <c r="Y175">
        <f>IF(T175&gt;0,SUM(T175:X175),0)</f>
        <v>44050</v>
      </c>
      <c r="Z175">
        <f>_xlfn.XLOOKUP(B175,'[2]april-2025'!$A:$A,'[2]april-2025'!$H:$H,0,0)</f>
        <v>2500</v>
      </c>
      <c r="AA175">
        <f>_xlfn.XLOOKUP(B175,'[2]april-2025'!$A:$A,'[2]april-2025'!$I:$I,0,0)</f>
        <v>0</v>
      </c>
      <c r="AB175">
        <f>IF($F175="YES",0,IF(Y175&gt;40000,200,IF(Y175&gt;25000,150,IF(Y175&gt;15000,130,IF(Y175&gt;10000,110,0)))))</f>
        <v>200</v>
      </c>
      <c r="AC175">
        <f>Y175-Z175-AA175-AB175</f>
        <v>41350</v>
      </c>
      <c r="AD175">
        <f>_xlfn.XLOOKUP(B175,'[3]may-2025'!$A:$A,'[3]may-2025'!$C:$C,0,0)</f>
        <v>33500</v>
      </c>
      <c r="AE175">
        <f>AD175*0.18</f>
        <v>6030</v>
      </c>
      <c r="AF175">
        <f>AD175*0.12</f>
        <v>4020</v>
      </c>
      <c r="AG175">
        <f>_xlfn.XLOOKUP(B175,'[3]may-2025'!$A:$A,'[3]may-2025'!$D:$D,0,0)</f>
        <v>0</v>
      </c>
      <c r="AH175">
        <f>_xlfn.XLOOKUP(B175,'[3]may-2025'!$A:$A,'[3]may-2025'!$G:$G,0,0)</f>
        <v>500</v>
      </c>
      <c r="AI175">
        <f>IF(AD175&gt;0,SUM(AD175:AH175),0)</f>
        <v>44050</v>
      </c>
      <c r="AJ175">
        <f>_xlfn.XLOOKUP(B175,'[3]may-2025'!$A:$A,'[3]may-2025'!$H:$H,0,0)</f>
        <v>2500</v>
      </c>
      <c r="AK175">
        <f>_xlfn.XLOOKUP(B175,'[3]may-2025'!$A:$A,'[3]may-2025'!$I:$I,0,0)</f>
        <v>0</v>
      </c>
      <c r="AL175">
        <f>IF($F175="YES",0,IF(AI175&gt;40000,200,IF(AI175&gt;25000,150,IF(AI175&gt;15000,130,IF(AI175&gt;10000,110,0)))))</f>
        <v>200</v>
      </c>
      <c r="AM175">
        <f>AI175-AJ175-AK175-AL175</f>
        <v>41350</v>
      </c>
      <c r="AN175">
        <f>_xlfn.XLOOKUP(B175,'[4]june-2025'!$A:$A,'[4]june-2025'!$C:$C,0,0)</f>
        <v>33500</v>
      </c>
      <c r="AO175">
        <f>AN175*0.18</f>
        <v>6030</v>
      </c>
      <c r="AP175">
        <f>AN175*0.12</f>
        <v>4020</v>
      </c>
      <c r="AQ175">
        <f>_xlfn.XLOOKUP(B175,'[4]june-2025'!$A:$A,'[4]june-2025'!$D:$D,0,0)</f>
        <v>0</v>
      </c>
      <c r="AR175">
        <f>_xlfn.XLOOKUP(B175,'[4]june-2025'!$A:$A,'[4]june-2025'!$G:$G,0,0)</f>
        <v>500</v>
      </c>
      <c r="AS175">
        <f>IF(AN175&gt;0,SUM(AN175:AR175),0)</f>
        <v>44050</v>
      </c>
      <c r="AT175">
        <f>_xlfn.XLOOKUP(B175,'[4]june-2025'!$A:$A,'[4]june-2025'!$H:$H,0,0)</f>
        <v>2500</v>
      </c>
      <c r="AU175">
        <f>_xlfn.XLOOKUP(B175,'[4]june-2025'!$A:$A,'[4]june-2025'!$I:$I,0,0)</f>
        <v>0</v>
      </c>
      <c r="AV175">
        <f>IF($F175="YES",0,IF(AS175&gt;40000,200,IF(AS175&gt;25000,150,IF(AS175&gt;15000,130,IF(AS175&gt;10000,110,0)))))</f>
        <v>200</v>
      </c>
      <c r="AW175">
        <f>AS175-AT175-AU175-AV175</f>
        <v>41350</v>
      </c>
      <c r="AX175">
        <f>_xlfn.XLOOKUP(B175,'[5]july-2025'!$A:$A,'[5]july-2025'!$C:$C,0,0)</f>
        <v>34500</v>
      </c>
      <c r="AY175">
        <f>AX175*0.18</f>
        <v>6210</v>
      </c>
      <c r="AZ175">
        <v>0</v>
      </c>
      <c r="BA175">
        <f>AX175*0.12</f>
        <v>4140</v>
      </c>
      <c r="BB175">
        <f>_xlfn.XLOOKUP(B175,'[5]july-2025'!$A:$A,'[5]july-2025'!$D:$D,0,0)</f>
        <v>0</v>
      </c>
      <c r="BC175">
        <f>_xlfn.XLOOKUP(B175,'[5]july-2025'!$A:$A,'[5]july-2025'!$G:$G,0,0)</f>
        <v>500</v>
      </c>
      <c r="BD175">
        <f>IF(AX175&gt;0,SUM(AX175:BC175),0)</f>
        <v>45350</v>
      </c>
      <c r="BE175">
        <f>_xlfn.XLOOKUP(B175,'[5]july-2025'!$A:$A,'[5]july-2025'!$H:$H,0,0)</f>
        <v>2500</v>
      </c>
      <c r="BF175">
        <f>_xlfn.XLOOKUP(B175,'[5]july-2025'!$A:$A,'[5]july-2025'!$I:$I,0,0)</f>
        <v>0</v>
      </c>
      <c r="BG175">
        <f>IF($F175="YES",0,IF(BD175&gt;40000,200,IF(BD175&gt;25000,150,IF(BD175&gt;15000,130,IF(BD175&gt;10000,110,0)))))</f>
        <v>200</v>
      </c>
      <c r="BH175">
        <f>BD175-BE175-BF175-BG175</f>
        <v>42650</v>
      </c>
      <c r="BI175">
        <f>_xlfn.XLOOKUP(B175,'[6]august-2025'!$A:$A,'[6]august-2025'!$C:$C,0,0)</f>
        <v>34500</v>
      </c>
      <c r="BJ175">
        <f>BI175*0.18</f>
        <v>6210</v>
      </c>
      <c r="BK175">
        <f>BI175*0.12</f>
        <v>4140</v>
      </c>
      <c r="BL175">
        <f>_xlfn.XLOOKUP(B175,'[6]august-2025'!$A:$A,'[6]august-2025'!$D:$D,0,0)</f>
        <v>0</v>
      </c>
      <c r="BM175">
        <f>_xlfn.XLOOKUP(B175,'[6]august-2025'!$A:$A,'[6]august-2025'!$G:$G,0,0)</f>
        <v>500</v>
      </c>
      <c r="BN175">
        <f>IF(BI175&gt;0,SUM(BI175:BM175),0)</f>
        <v>45350</v>
      </c>
      <c r="BO175">
        <f>_xlfn.XLOOKUP(B175,'[6]august-2025'!$A:$A,'[6]august-2025'!$H:$H,0,0)</f>
        <v>2500</v>
      </c>
      <c r="BP175">
        <f>_xlfn.XLOOKUP(B175,'[6]august-2025'!$A:$A,'[6]august-2025'!$I:$I,0,0)</f>
        <v>0</v>
      </c>
      <c r="BQ175">
        <f>IF($F175="YES",0,IF(BN175&gt;40000,200,IF(BN175&gt;25000,150,IF(BN175&gt;15000,130,IF(BN175&gt;10000,110,0)))))</f>
        <v>200</v>
      </c>
      <c r="BR175">
        <f>BN175-BO175-BP175-BQ175</f>
        <v>42650</v>
      </c>
      <c r="BS175">
        <f>_xlfn.XLOOKUP(B175,'[7]september-2025'!$A:$A,'[7]september-2025'!$C:$C,0,0)</f>
        <v>34500</v>
      </c>
      <c r="BT175">
        <f>BS175*0.18</f>
        <v>6210</v>
      </c>
      <c r="BU175">
        <f>BS175*0.12</f>
        <v>4140</v>
      </c>
      <c r="BV175">
        <f>_xlfn.XLOOKUP(B175,'[7]september-2025'!$A:$A,'[7]september-2025'!$D:$D,0,0)</f>
        <v>0</v>
      </c>
      <c r="BW175">
        <f>_xlfn.XLOOKUP(B175,'[7]september-2025'!$A:$A,'[7]september-2025'!$G:$G,0,0)</f>
        <v>500</v>
      </c>
      <c r="BX175">
        <f>IF(BS175&gt;0,SUM(BS175:BW175),0)</f>
        <v>45350</v>
      </c>
      <c r="BY175">
        <f>_xlfn.XLOOKUP(B175,'[7]september-2025'!$A:$A,'[7]september-2025'!$H:$H,0,0)</f>
        <v>2500</v>
      </c>
      <c r="BZ175">
        <f>_xlfn.XLOOKUP(B175,'[7]september-2025'!$A:$A,'[7]september-2025'!$I:$I,0,0)</f>
        <v>0</v>
      </c>
      <c r="CA175">
        <f>IF($F175="YES",0,IF(BX175&gt;40000,200,IF(BX175&gt;25000,150,IF(BX175&gt;15000,130,IF(BX175&gt;10000,110,0)))))</f>
        <v>200</v>
      </c>
      <c r="CB175">
        <f>BX175-BY175-BZ175-CA175</f>
        <v>42650</v>
      </c>
      <c r="CC175">
        <f>_xlfn.XLOOKUP(B175,'[8]october-2025'!$A:$A,'[8]october-2025'!$C:$C,0,0)</f>
        <v>34500</v>
      </c>
      <c r="CD175">
        <f>CC175*0.18</f>
        <v>6210</v>
      </c>
      <c r="CE175">
        <f>CC175*0.12</f>
        <v>4140</v>
      </c>
      <c r="CF175">
        <f>_xlfn.XLOOKUP(B175,'[8]october-2025'!$A:$A,'[8]october-2025'!$D:$D,0,0)</f>
        <v>0</v>
      </c>
      <c r="CG175">
        <f>_xlfn.XLOOKUP(B175,'[8]october-2025'!$A:$A,'[8]october-2025'!$G:$G,0,0)</f>
        <v>500</v>
      </c>
      <c r="CH175">
        <f>IF(CC175&gt;0,SUM(CC175:CG175),0)</f>
        <v>45350</v>
      </c>
      <c r="CI175">
        <f>_xlfn.XLOOKUP(B175,'[8]october-2025'!$A:$A,'[8]october-2025'!$H:$H,0,0)</f>
        <v>2500</v>
      </c>
      <c r="CJ175">
        <f>_xlfn.XLOOKUP(B175,'[8]october-2025'!$A:$A,'[8]october-2025'!$I:$I,0,0)</f>
        <v>0</v>
      </c>
      <c r="CK175">
        <f>IF($F175="YES",0,IF(CH175&gt;40000,200,IF(CH175&gt;25000,150,IF(CH175&gt;15000,130,IF(CH175&gt;10000,110,0)))))</f>
        <v>200</v>
      </c>
      <c r="CL175">
        <f>CH175-CI175-CJ175-CK175</f>
        <v>42650</v>
      </c>
      <c r="CM175">
        <f>_xlfn.XLOOKUP(B175,'[9]november-2025'!$A:$A,'[9]november-2025'!$C:$C,0,0)</f>
        <v>34500</v>
      </c>
      <c r="CN175">
        <f>CM175*0.18</f>
        <v>6210</v>
      </c>
      <c r="CO175">
        <f>CM175*0.12</f>
        <v>4140</v>
      </c>
      <c r="CP175">
        <f>_xlfn.XLOOKUP(B175,'[9]november-2025'!$A:$A,'[9]november-2025'!$D:$D,0,0)</f>
        <v>0</v>
      </c>
      <c r="CQ175">
        <f>_xlfn.XLOOKUP(B175,'[9]november-2025'!$A:$A,'[9]november-2025'!$G:$G,0,0)</f>
        <v>500</v>
      </c>
      <c r="CR175">
        <f>IF(CM175&gt;0,SUM(CM175:CQ175),0)</f>
        <v>45350</v>
      </c>
      <c r="CS175">
        <f>_xlfn.XLOOKUP(B175,'[9]november-2025'!$A:$A,'[9]november-2025'!$H:$H,0,0)</f>
        <v>2500</v>
      </c>
      <c r="CT175">
        <f>_xlfn.XLOOKUP(B175,'[9]november-2025'!$A:$A,'[9]november-2025'!$I:$I,0,0)</f>
        <v>0</v>
      </c>
      <c r="CU175">
        <f>IF($F175="YES",0,IF(CR175&gt;40000,200,IF(CR175&gt;25000,150,IF(CR175&gt;15000,130,IF(CR175&gt;10000,110,0)))))</f>
        <v>200</v>
      </c>
      <c r="CV175">
        <f>CR175-CS175-CT175-CU175</f>
        <v>42650</v>
      </c>
      <c r="CW175">
        <f>_xlfn.XLOOKUP(B175,'[10]december-2025'!$A:$A,'[10]december-2025'!$C:$C,0,0)</f>
        <v>34500</v>
      </c>
      <c r="CX175">
        <f>ROUND(CW175*0.18,0)</f>
        <v>6210</v>
      </c>
      <c r="CY175">
        <f>ROUND(CW175*0.12,0)</f>
        <v>4140</v>
      </c>
      <c r="CZ175">
        <f>_xlfn.XLOOKUP(B175,'[10]december-2025'!$A:$A,'[10]december-2025'!$D:$D,0,0)</f>
        <v>0</v>
      </c>
      <c r="DA175">
        <f>_xlfn.XLOOKUP(B175,'[10]december-2025'!$A:$A,'[10]december-2025'!$G:$G,0,0)</f>
        <v>500</v>
      </c>
      <c r="DB175">
        <f>IF(CW175&gt;0,SUM(CW175:DA175),0)</f>
        <v>45350</v>
      </c>
      <c r="DC175">
        <f>_xlfn.XLOOKUP(B175,'[10]december-2025'!$A:$A,'[10]december-2025'!$H:$H,0,0)</f>
        <v>2500</v>
      </c>
      <c r="DD175">
        <f>_xlfn.XLOOKUP(B175,'[10]december-2025'!$A:$A,'[10]december-2025'!$I:$I,0,0)</f>
        <v>0</v>
      </c>
      <c r="DE175">
        <f>IF($F175="YES",0,IF(DB175&gt;40000,200,IF(DB175&gt;25000,150,IF(DB175&gt;15000,130,IF(DB175&gt;10000,110,0)))))</f>
        <v>200</v>
      </c>
      <c r="DF175">
        <f>DB175-DC175-DD175-DE175</f>
        <v>42650</v>
      </c>
      <c r="DG175">
        <f>_xlfn.XLOOKUP(B175,'[11]january-2026'!$A:$A,'[11]january-2026'!$C:$C,0,0)</f>
        <v>34500</v>
      </c>
      <c r="DH175">
        <f>DG175*0.18</f>
        <v>6210</v>
      </c>
      <c r="DI175">
        <f>DG175*0.12</f>
        <v>4140</v>
      </c>
      <c r="DJ175">
        <f>_xlfn.XLOOKUP(B175,'[11]january-2026'!$A:$A,'[11]january-2026'!$D:$D,0,0)</f>
        <v>0</v>
      </c>
      <c r="DK175">
        <f>_xlfn.XLOOKUP(B175,'[11]january-2026'!$A:$A,'[11]january-2026'!$G:$G,0,0)</f>
        <v>500</v>
      </c>
      <c r="DL175">
        <f>IF(DG175&gt;0,SUM(DG175:DK175),0)</f>
        <v>45350</v>
      </c>
      <c r="DM175">
        <f>_xlfn.XLOOKUP(B175,'[11]january-2026'!$A:$A,'[11]january-2026'!$H:$H,0,0)</f>
        <v>2500</v>
      </c>
      <c r="DN175">
        <f>_xlfn.XLOOKUP(B175,'[11]january-2026'!$A:$A,'[11]january-2026'!$I:$I,0,0)</f>
        <v>0</v>
      </c>
      <c r="DO175">
        <f>IF($F175="YES",0,IF(DL175&gt;40000,200,IF(DL175&gt;25000,150,IF(DL175&gt;15000,130,IF(DL175&gt;10000,110,0)))))</f>
        <v>200</v>
      </c>
      <c r="DP175">
        <f>DL175-DM175-DN175-DO175</f>
        <v>42650</v>
      </c>
      <c r="DQ175">
        <f>_xlfn.XLOOKUP(B175,'[12]february-2026'!$A:$A,'[12]february-2026'!$C:$C,0,0)</f>
        <v>34500</v>
      </c>
      <c r="DR175">
        <f>DQ175*0.18</f>
        <v>6210</v>
      </c>
      <c r="DS175">
        <f>DQ175*0.12</f>
        <v>4140</v>
      </c>
      <c r="DT175">
        <f>_xlfn.XLOOKUP(B175,'[12]february-2026'!$A:$A,'[12]february-2026'!$D:$D,0,0)</f>
        <v>0</v>
      </c>
      <c r="DU175">
        <f>_xlfn.XLOOKUP(B175,'[12]february-2026'!$A:$A,'[12]february-2026'!$G:$G,0,0)</f>
        <v>500</v>
      </c>
      <c r="DV175">
        <f>IF(DQ175&gt;0,SUM(DQ175:DU175),0)</f>
        <v>45350</v>
      </c>
      <c r="DW175">
        <f>_xlfn.XLOOKUP(B175,'[12]february-2026'!$A:$A,'[12]february-2026'!$H:$H,0,0)</f>
        <v>2500</v>
      </c>
      <c r="DX175">
        <f>_xlfn.XLOOKUP(B175,'[12]february-2026'!$A:$A,'[12]february-2026'!$I:$I,0,0)</f>
        <v>0</v>
      </c>
      <c r="DY175">
        <f>IF($F175="YES",0,IF(DV175&gt;40000,200,IF(DV175&gt;25000,150,IF(DV175&gt;15000,130,IF(DV175&gt;10000,110,0)))))</f>
        <v>200</v>
      </c>
      <c r="DZ175">
        <f>DV175-DW175-DX175-DY175</f>
        <v>42650</v>
      </c>
      <c r="EA175">
        <f>DV175+DL175+DB175+CR175+CH175+BX175+BN175+BD175+AS175+AI175+Y175+O175+H175+I175</f>
        <v>544460</v>
      </c>
      <c r="EB175">
        <f>DY175+DO175+DE175+CU175+CK175+CA175+BQ175+BG175+AV175+AL175+AB175+R175</f>
        <v>2400</v>
      </c>
      <c r="EC175">
        <f>IF(EA175&gt;0,50000,0)</f>
        <v>50000</v>
      </c>
      <c r="ED175">
        <v>0</v>
      </c>
      <c r="EE175">
        <f>EA175-EB175-EC175</f>
        <v>492060</v>
      </c>
      <c r="EF175">
        <f>DW175+DM175+DC175+CS175+CI175+BY175+BO175+BE175+AT175+AJ175+Z175+P175</f>
        <v>30000</v>
      </c>
      <c r="EG175">
        <f>DX175+DN175+DD175+CT175+CJ175+BZ175+BP175+BF175+AU175+AK175+AA175+Q175</f>
        <v>0</v>
      </c>
      <c r="EH175">
        <v>0</v>
      </c>
      <c r="EI175">
        <v>0</v>
      </c>
      <c r="EJ175">
        <v>0</v>
      </c>
      <c r="EK175">
        <v>0</v>
      </c>
      <c r="EL175">
        <v>0</v>
      </c>
      <c r="EM175">
        <v>0</v>
      </c>
      <c r="EN175">
        <v>0</v>
      </c>
      <c r="EO175">
        <v>0</v>
      </c>
      <c r="EP175">
        <v>0</v>
      </c>
      <c r="EQ175">
        <v>0</v>
      </c>
      <c r="ER175">
        <f>SUM(EF175:EQ175)</f>
        <v>30000</v>
      </c>
      <c r="ES175">
        <f>IF(ER175&gt;=150000,150000,ER175)</f>
        <v>30000</v>
      </c>
      <c r="ET175">
        <f>EE175-ES175</f>
        <v>462060</v>
      </c>
      <c r="EU175">
        <v>0</v>
      </c>
      <c r="EV175">
        <v>0</v>
      </c>
      <c r="EW175">
        <v>0</v>
      </c>
      <c r="EX175">
        <v>0</v>
      </c>
      <c r="EY175">
        <v>0</v>
      </c>
      <c r="EZ175">
        <v>0</v>
      </c>
      <c r="FA175">
        <v>0</v>
      </c>
      <c r="FB175">
        <f>SUM(EU175:FA175)+(IF(F175="YES",50000,0))</f>
        <v>0</v>
      </c>
      <c r="FC175">
        <f>ET175-FB175</f>
        <v>462060</v>
      </c>
      <c r="FD175">
        <f>ROUND(IF(FC175&gt;0,IF(FC175&gt;500000,12500,(FC175-250000)*0.05),0),0)</f>
        <v>10603</v>
      </c>
      <c r="FE175">
        <f>IF(ROUND(IF(FC175&gt;0,IF(FC175&gt;1000000,25000,(FC175-500000)*0.2),0),0)&lt;0,0,ROUND(IF(FC175&gt;0,IF(FC175&gt;1000000,25000,(FC175-500000)*0.2),0),0))</f>
        <v>0</v>
      </c>
      <c r="FF175">
        <f>FD175+FE175</f>
        <v>10603</v>
      </c>
      <c r="FG175">
        <f>IF(FF175&lt;12500,0,FF175)</f>
        <v>0</v>
      </c>
      <c r="FH175">
        <f>FG175*0.04</f>
        <v>0</v>
      </c>
      <c r="FI175">
        <f>ROUND(FH175+FG175,0)</f>
        <v>0</v>
      </c>
      <c r="FJ175">
        <v>0</v>
      </c>
      <c r="FK175">
        <f>FI175-FJ175</f>
        <v>0</v>
      </c>
      <c r="FL175" t="b">
        <f>IF(EA175&gt;500000,TRUE,FALSE)</f>
        <v>1</v>
      </c>
      <c r="FM175">
        <f ca="1">IF(FL175,RANDBETWEEN(500,1000),RANDBETWEEN(1000,3000))</f>
        <v>554</v>
      </c>
      <c r="FN175">
        <f ca="1">EA175+FM175</f>
        <v>545014</v>
      </c>
      <c r="FO175">
        <f>IF(EA175&gt;0,75000,0)</f>
        <v>75000</v>
      </c>
      <c r="FP175">
        <f ca="1">FN175-FO175</f>
        <v>470014</v>
      </c>
      <c r="FQ175">
        <f ca="1">IF(FP175&gt;2400000,FP175-2400000,0)</f>
        <v>0</v>
      </c>
      <c r="FR175">
        <f ca="1">FQ175*0.3</f>
        <v>0</v>
      </c>
      <c r="FS175">
        <f ca="1">IF(FP175&gt;2000000,FP175-2000000,0)</f>
        <v>0</v>
      </c>
      <c r="FT175">
        <f ca="1">FS175*0.25</f>
        <v>0</v>
      </c>
      <c r="FU175">
        <f ca="1">IF(FP175&gt;1600000,FP175-1600000-FQ175,0)</f>
        <v>0</v>
      </c>
      <c r="FV175">
        <f ca="1">FU175*0.2</f>
        <v>0</v>
      </c>
      <c r="FW175">
        <f ca="1">IF(FP175&gt;1200000,FP175-1200000-IF(F175="YES",50000,0)-FU175,0)</f>
        <v>0</v>
      </c>
      <c r="FX175">
        <f ca="1">FW175*0.15</f>
        <v>0</v>
      </c>
      <c r="FY175">
        <f ca="1">IF(FP175&gt;800000,FP175-800000-FQ175-FU175-FW175,0)</f>
        <v>0</v>
      </c>
      <c r="FZ175">
        <f ca="1">FY175*0.1</f>
        <v>0</v>
      </c>
      <c r="GA175">
        <f ca="1">IF(FP175&gt;400000,FP175-400000-FQ175-FU175-FW175-FY175,0)</f>
        <v>70014</v>
      </c>
      <c r="GB175">
        <f ca="1">GA175*0.05</f>
        <v>3500.7000000000003</v>
      </c>
      <c r="GC175">
        <f ca="1">ROUND(FR175+FT175+FV175+FX175+FZ175+GB175,0)</f>
        <v>3501</v>
      </c>
      <c r="GD175">
        <f ca="1">IF(FP175&gt;1200000,FP175,0)</f>
        <v>0</v>
      </c>
      <c r="GE175">
        <f ca="1">IF(FP175&gt;1200000,GD175-1200000,0)</f>
        <v>0</v>
      </c>
      <c r="GF175">
        <f ca="1">IF(FP175&lt;1200001,MIN(GC175,60000),0)</f>
        <v>3501</v>
      </c>
      <c r="GG175">
        <f ca="1">IF(FP175&gt;1200000,GC175-GE175,0)</f>
        <v>0</v>
      </c>
      <c r="GH175" t="b">
        <f ca="1">IF(GG175&gt;0,TRUE,FALSE)</f>
        <v>0</v>
      </c>
      <c r="GI175">
        <f ca="1">IF(GH175,GG175,0)</f>
        <v>0</v>
      </c>
      <c r="GJ175">
        <f ca="1">GF175+GI175</f>
        <v>3501</v>
      </c>
      <c r="GK175">
        <f ca="1">ROUND(GC175-GJ175,0)</f>
        <v>0</v>
      </c>
      <c r="GL175">
        <f ca="1">GK175*0.04</f>
        <v>0</v>
      </c>
      <c r="GM175">
        <f ca="1">ROUNDUP(GK175+GL175,0)</f>
        <v>0</v>
      </c>
    </row>
    <row r="176" spans="1:195" x14ac:dyDescent="0.25">
      <c r="A176">
        <f>_xlfn.AGGREGATE(3,5,$B$2:B176)</f>
        <v>175</v>
      </c>
      <c r="B176" t="s">
        <v>463</v>
      </c>
      <c r="C176" t="s">
        <v>464</v>
      </c>
      <c r="D176" t="s">
        <v>799</v>
      </c>
      <c r="E176" t="s">
        <v>833</v>
      </c>
      <c r="F176" t="s">
        <v>959</v>
      </c>
      <c r="G176" t="s">
        <v>935</v>
      </c>
      <c r="H176">
        <f>IF(_xlfn.DAYS("31-03-2025",G176)&gt;=180,6800,0)</f>
        <v>6800</v>
      </c>
      <c r="I176">
        <f>_xlfn.XLOOKUP(B176,'[1]march-2025'!$A:$A,'[1]march-2025'!$J:$J,0,0)</f>
        <v>0</v>
      </c>
      <c r="J176">
        <f>_xlfn.XLOOKUP(B176,'[1]march-2025'!$A:$A,'[1]march-2025'!$C:$C,0,0)</f>
        <v>33500</v>
      </c>
      <c r="K176">
        <f>J176*0.14</f>
        <v>4690</v>
      </c>
      <c r="L176">
        <f>J176*0.12</f>
        <v>4020</v>
      </c>
      <c r="M176">
        <f>_xlfn.XLOOKUP(B176,'[1]march-2025'!$A:$A,'[1]march-2025'!$D:$D,0,0)</f>
        <v>400</v>
      </c>
      <c r="N176">
        <f>_xlfn.XLOOKUP(B176,'[1]march-2025'!$A:$A,'[1]march-2025'!$G:$G,0,0)</f>
        <v>500</v>
      </c>
      <c r="O176">
        <f>IF(J176&gt;0,SUM(J176:N176),0)</f>
        <v>43110</v>
      </c>
      <c r="P176">
        <f>_xlfn.XLOOKUP(B176,'[1]march-2025'!$A:$A,'[1]march-2025'!$H:$H,0,0)</f>
        <v>3000</v>
      </c>
      <c r="Q176">
        <f>_xlfn.XLOOKUP(B176,'[1]march-2025'!$A:$A,'[1]march-2025'!$I:$I,0,0)</f>
        <v>0</v>
      </c>
      <c r="R176">
        <f>IF($F176="YES",0,IF(O176&gt;40000,200,IF(O176&gt;25000,150,IF(O176&gt;15000,130,IF(O176&gt;10000,110,0)))))</f>
        <v>200</v>
      </c>
      <c r="S176">
        <f>O176-P176-Q176-R176</f>
        <v>39910</v>
      </c>
      <c r="T176">
        <f>_xlfn.XLOOKUP(B176,'[2]april-2025'!$A:$A,'[2]april-2025'!$C:$C,0,0)</f>
        <v>33500</v>
      </c>
      <c r="U176">
        <f>T176*0.18</f>
        <v>6030</v>
      </c>
      <c r="V176">
        <f>T176*0.12</f>
        <v>4020</v>
      </c>
      <c r="W176">
        <f>_xlfn.XLOOKUP(B176,'[2]april-2025'!$A:$A,'[2]april-2025'!$D:$D,0,0)</f>
        <v>400</v>
      </c>
      <c r="X176">
        <f>_xlfn.XLOOKUP(B176,'[2]april-2025'!$A:$A,'[2]april-2025'!$G:$G,0,0)</f>
        <v>500</v>
      </c>
      <c r="Y176">
        <f>IF(T176&gt;0,SUM(T176:X176),0)</f>
        <v>44450</v>
      </c>
      <c r="Z176">
        <f>_xlfn.XLOOKUP(B176,'[2]april-2025'!$A:$A,'[2]april-2025'!$H:$H,0,0)</f>
        <v>3000</v>
      </c>
      <c r="AA176">
        <f>_xlfn.XLOOKUP(B176,'[2]april-2025'!$A:$A,'[2]april-2025'!$I:$I,0,0)</f>
        <v>0</v>
      </c>
      <c r="AB176">
        <f>IF($F176="YES",0,IF(Y176&gt;40000,200,IF(Y176&gt;25000,150,IF(Y176&gt;15000,130,IF(Y176&gt;10000,110,0)))))</f>
        <v>200</v>
      </c>
      <c r="AC176">
        <f>Y176-Z176-AA176-AB176</f>
        <v>41250</v>
      </c>
      <c r="AD176">
        <f>_xlfn.XLOOKUP(B176,'[3]may-2025'!$A:$A,'[3]may-2025'!$C:$C,0,0)</f>
        <v>33500</v>
      </c>
      <c r="AE176">
        <f>AD176*0.18</f>
        <v>6030</v>
      </c>
      <c r="AF176">
        <f>AD176*0.12</f>
        <v>4020</v>
      </c>
      <c r="AG176">
        <f>_xlfn.XLOOKUP(B176,'[3]may-2025'!$A:$A,'[3]may-2025'!$D:$D,0,0)</f>
        <v>400</v>
      </c>
      <c r="AH176">
        <f>_xlfn.XLOOKUP(B176,'[3]may-2025'!$A:$A,'[3]may-2025'!$G:$G,0,0)</f>
        <v>500</v>
      </c>
      <c r="AI176">
        <f>IF(AD176&gt;0,SUM(AD176:AH176),0)</f>
        <v>44450</v>
      </c>
      <c r="AJ176">
        <f>_xlfn.XLOOKUP(B176,'[3]may-2025'!$A:$A,'[3]may-2025'!$H:$H,0,0)</f>
        <v>3000</v>
      </c>
      <c r="AK176">
        <f>_xlfn.XLOOKUP(B176,'[3]may-2025'!$A:$A,'[3]may-2025'!$I:$I,0,0)</f>
        <v>0</v>
      </c>
      <c r="AL176">
        <f>IF($F176="YES",0,IF(AI176&gt;40000,200,IF(AI176&gt;25000,150,IF(AI176&gt;15000,130,IF(AI176&gt;10000,110,0)))))</f>
        <v>200</v>
      </c>
      <c r="AM176">
        <f>AI176-AJ176-AK176-AL176</f>
        <v>41250</v>
      </c>
      <c r="AN176">
        <f>_xlfn.XLOOKUP(B176,'[4]june-2025'!$A:$A,'[4]june-2025'!$C:$C,0,0)</f>
        <v>33500</v>
      </c>
      <c r="AO176">
        <f>AN176*0.18</f>
        <v>6030</v>
      </c>
      <c r="AP176">
        <f>AN176*0.12</f>
        <v>4020</v>
      </c>
      <c r="AQ176">
        <f>_xlfn.XLOOKUP(B176,'[4]june-2025'!$A:$A,'[4]june-2025'!$D:$D,0,0)</f>
        <v>400</v>
      </c>
      <c r="AR176">
        <f>_xlfn.XLOOKUP(B176,'[4]june-2025'!$A:$A,'[4]june-2025'!$G:$G,0,0)</f>
        <v>500</v>
      </c>
      <c r="AS176">
        <f>IF(AN176&gt;0,SUM(AN176:AR176),0)</f>
        <v>44450</v>
      </c>
      <c r="AT176">
        <f>_xlfn.XLOOKUP(B176,'[4]june-2025'!$A:$A,'[4]june-2025'!$H:$H,0,0)</f>
        <v>3000</v>
      </c>
      <c r="AU176">
        <f>_xlfn.XLOOKUP(B176,'[4]june-2025'!$A:$A,'[4]june-2025'!$I:$I,0,0)</f>
        <v>0</v>
      </c>
      <c r="AV176">
        <f>IF($F176="YES",0,IF(AS176&gt;40000,200,IF(AS176&gt;25000,150,IF(AS176&gt;15000,130,IF(AS176&gt;10000,110,0)))))</f>
        <v>200</v>
      </c>
      <c r="AW176">
        <f>AS176-AT176-AU176-AV176</f>
        <v>41250</v>
      </c>
      <c r="AX176">
        <f>_xlfn.XLOOKUP(B176,'[5]july-2025'!$A:$A,'[5]july-2025'!$C:$C,0,0)</f>
        <v>34500</v>
      </c>
      <c r="AY176">
        <f>AX176*0.18</f>
        <v>6210</v>
      </c>
      <c r="AZ176">
        <v>0</v>
      </c>
      <c r="BA176">
        <f>AX176*0.12</f>
        <v>4140</v>
      </c>
      <c r="BB176">
        <f>_xlfn.XLOOKUP(B176,'[5]july-2025'!$A:$A,'[5]july-2025'!$D:$D,0,0)</f>
        <v>400</v>
      </c>
      <c r="BC176">
        <f>_xlfn.XLOOKUP(B176,'[5]july-2025'!$A:$A,'[5]july-2025'!$G:$G,0,0)</f>
        <v>500</v>
      </c>
      <c r="BD176">
        <f>IF(AX176&gt;0,SUM(AX176:BC176),0)</f>
        <v>45750</v>
      </c>
      <c r="BE176">
        <f>_xlfn.XLOOKUP(B176,'[5]july-2025'!$A:$A,'[5]july-2025'!$H:$H,0,0)</f>
        <v>3000</v>
      </c>
      <c r="BF176">
        <f>_xlfn.XLOOKUP(B176,'[5]july-2025'!$A:$A,'[5]july-2025'!$I:$I,0,0)</f>
        <v>0</v>
      </c>
      <c r="BG176">
        <f>IF($F176="YES",0,IF(BD176&gt;40000,200,IF(BD176&gt;25000,150,IF(BD176&gt;15000,130,IF(BD176&gt;10000,110,0)))))</f>
        <v>200</v>
      </c>
      <c r="BH176">
        <f>BD176-BE176-BF176-BG176</f>
        <v>42550</v>
      </c>
      <c r="BI176">
        <f>_xlfn.XLOOKUP(B176,'[6]august-2025'!$A:$A,'[6]august-2025'!$C:$C,0,0)</f>
        <v>34500</v>
      </c>
      <c r="BJ176">
        <f>BI176*0.18</f>
        <v>6210</v>
      </c>
      <c r="BK176">
        <f>BI176*0.12</f>
        <v>4140</v>
      </c>
      <c r="BL176">
        <f>_xlfn.XLOOKUP(B176,'[6]august-2025'!$A:$A,'[6]august-2025'!$D:$D,0,0)</f>
        <v>400</v>
      </c>
      <c r="BM176">
        <f>_xlfn.XLOOKUP(B176,'[6]august-2025'!$A:$A,'[6]august-2025'!$G:$G,0,0)</f>
        <v>500</v>
      </c>
      <c r="BN176">
        <f>IF(BI176&gt;0,SUM(BI176:BM176),0)</f>
        <v>45750</v>
      </c>
      <c r="BO176">
        <f>_xlfn.XLOOKUP(B176,'[6]august-2025'!$A:$A,'[6]august-2025'!$H:$H,0,0)</f>
        <v>3000</v>
      </c>
      <c r="BP176">
        <f>_xlfn.XLOOKUP(B176,'[6]august-2025'!$A:$A,'[6]august-2025'!$I:$I,0,0)</f>
        <v>0</v>
      </c>
      <c r="BQ176">
        <f>IF($F176="YES",0,IF(BN176&gt;40000,200,IF(BN176&gt;25000,150,IF(BN176&gt;15000,130,IF(BN176&gt;10000,110,0)))))</f>
        <v>200</v>
      </c>
      <c r="BR176">
        <f>BN176-BO176-BP176-BQ176</f>
        <v>42550</v>
      </c>
      <c r="BS176">
        <f>_xlfn.XLOOKUP(B176,'[7]september-2025'!$A:$A,'[7]september-2025'!$C:$C,0,0)</f>
        <v>34500</v>
      </c>
      <c r="BT176">
        <f>BS176*0.18</f>
        <v>6210</v>
      </c>
      <c r="BU176">
        <f>BS176*0.12</f>
        <v>4140</v>
      </c>
      <c r="BV176">
        <f>_xlfn.XLOOKUP(B176,'[7]september-2025'!$A:$A,'[7]september-2025'!$D:$D,0,0)</f>
        <v>400</v>
      </c>
      <c r="BW176">
        <f>_xlfn.XLOOKUP(B176,'[7]september-2025'!$A:$A,'[7]september-2025'!$G:$G,0,0)</f>
        <v>500</v>
      </c>
      <c r="BX176">
        <f>IF(BS176&gt;0,SUM(BS176:BW176),0)</f>
        <v>45750</v>
      </c>
      <c r="BY176">
        <f>_xlfn.XLOOKUP(B176,'[7]september-2025'!$A:$A,'[7]september-2025'!$H:$H,0,0)</f>
        <v>3000</v>
      </c>
      <c r="BZ176">
        <f>_xlfn.XLOOKUP(B176,'[7]september-2025'!$A:$A,'[7]september-2025'!$I:$I,0,0)</f>
        <v>0</v>
      </c>
      <c r="CA176">
        <f>IF($F176="YES",0,IF(BX176&gt;40000,200,IF(BX176&gt;25000,150,IF(BX176&gt;15000,130,IF(BX176&gt;10000,110,0)))))</f>
        <v>200</v>
      </c>
      <c r="CB176">
        <f>BX176-BY176-BZ176-CA176</f>
        <v>42550</v>
      </c>
      <c r="CC176">
        <f>_xlfn.XLOOKUP(B176,'[8]october-2025'!$A:$A,'[8]october-2025'!$C:$C,0,0)</f>
        <v>34500</v>
      </c>
      <c r="CD176">
        <f>CC176*0.18</f>
        <v>6210</v>
      </c>
      <c r="CE176">
        <f>CC176*0.12</f>
        <v>4140</v>
      </c>
      <c r="CF176">
        <f>_xlfn.XLOOKUP(B176,'[8]october-2025'!$A:$A,'[8]october-2025'!$D:$D,0,0)</f>
        <v>400</v>
      </c>
      <c r="CG176">
        <f>_xlfn.XLOOKUP(B176,'[8]october-2025'!$A:$A,'[8]october-2025'!$G:$G,0,0)</f>
        <v>500</v>
      </c>
      <c r="CH176">
        <f>IF(CC176&gt;0,SUM(CC176:CG176),0)</f>
        <v>45750</v>
      </c>
      <c r="CI176">
        <f>_xlfn.XLOOKUP(B176,'[8]october-2025'!$A:$A,'[8]october-2025'!$H:$H,0,0)</f>
        <v>3000</v>
      </c>
      <c r="CJ176">
        <f>_xlfn.XLOOKUP(B176,'[8]october-2025'!$A:$A,'[8]october-2025'!$I:$I,0,0)</f>
        <v>0</v>
      </c>
      <c r="CK176">
        <f>IF($F176="YES",0,IF(CH176&gt;40000,200,IF(CH176&gt;25000,150,IF(CH176&gt;15000,130,IF(CH176&gt;10000,110,0)))))</f>
        <v>200</v>
      </c>
      <c r="CL176">
        <f>CH176-CI176-CJ176-CK176</f>
        <v>42550</v>
      </c>
      <c r="CM176">
        <f>_xlfn.XLOOKUP(B176,'[9]november-2025'!$A:$A,'[9]november-2025'!$C:$C,0,0)</f>
        <v>34500</v>
      </c>
      <c r="CN176">
        <f>CM176*0.18</f>
        <v>6210</v>
      </c>
      <c r="CO176">
        <f>CM176*0.12</f>
        <v>4140</v>
      </c>
      <c r="CP176">
        <f>_xlfn.XLOOKUP(B176,'[9]november-2025'!$A:$A,'[9]november-2025'!$D:$D,0,0)</f>
        <v>400</v>
      </c>
      <c r="CQ176">
        <f>_xlfn.XLOOKUP(B176,'[9]november-2025'!$A:$A,'[9]november-2025'!$G:$G,0,0)</f>
        <v>500</v>
      </c>
      <c r="CR176">
        <f>IF(CM176&gt;0,SUM(CM176:CQ176),0)</f>
        <v>45750</v>
      </c>
      <c r="CS176">
        <f>_xlfn.XLOOKUP(B176,'[9]november-2025'!$A:$A,'[9]november-2025'!$H:$H,0,0)</f>
        <v>3000</v>
      </c>
      <c r="CT176">
        <f>_xlfn.XLOOKUP(B176,'[9]november-2025'!$A:$A,'[9]november-2025'!$I:$I,0,0)</f>
        <v>0</v>
      </c>
      <c r="CU176">
        <f>IF($F176="YES",0,IF(CR176&gt;40000,200,IF(CR176&gt;25000,150,IF(CR176&gt;15000,130,IF(CR176&gt;10000,110,0)))))</f>
        <v>200</v>
      </c>
      <c r="CV176">
        <f>CR176-CS176-CT176-CU176</f>
        <v>42550</v>
      </c>
      <c r="CW176">
        <f>_xlfn.XLOOKUP(B176,'[10]december-2025'!$A:$A,'[10]december-2025'!$C:$C,0,0)</f>
        <v>34500</v>
      </c>
      <c r="CX176">
        <f>ROUND(CW176*0.18,0)</f>
        <v>6210</v>
      </c>
      <c r="CY176">
        <f>ROUND(CW176*0.12,0)</f>
        <v>4140</v>
      </c>
      <c r="CZ176">
        <f>_xlfn.XLOOKUP(B176,'[10]december-2025'!$A:$A,'[10]december-2025'!$D:$D,0,0)</f>
        <v>400</v>
      </c>
      <c r="DA176">
        <f>_xlfn.XLOOKUP(B176,'[10]december-2025'!$A:$A,'[10]december-2025'!$G:$G,0,0)</f>
        <v>500</v>
      </c>
      <c r="DB176">
        <f>IF(CW176&gt;0,SUM(CW176:DA176),0)</f>
        <v>45750</v>
      </c>
      <c r="DC176">
        <f>_xlfn.XLOOKUP(B176,'[10]december-2025'!$A:$A,'[10]december-2025'!$H:$H,0,0)</f>
        <v>3000</v>
      </c>
      <c r="DD176">
        <f>_xlfn.XLOOKUP(B176,'[10]december-2025'!$A:$A,'[10]december-2025'!$I:$I,0,0)</f>
        <v>0</v>
      </c>
      <c r="DE176">
        <f>IF($F176="YES",0,IF(DB176&gt;40000,200,IF(DB176&gt;25000,150,IF(DB176&gt;15000,130,IF(DB176&gt;10000,110,0)))))</f>
        <v>200</v>
      </c>
      <c r="DF176">
        <f>DB176-DC176-DD176-DE176</f>
        <v>42550</v>
      </c>
      <c r="DG176">
        <f>_xlfn.XLOOKUP(B176,'[11]january-2026'!$A:$A,'[11]january-2026'!$C:$C,0,0)</f>
        <v>34500</v>
      </c>
      <c r="DH176">
        <f>DG176*0.18</f>
        <v>6210</v>
      </c>
      <c r="DI176">
        <f>DG176*0.12</f>
        <v>4140</v>
      </c>
      <c r="DJ176">
        <f>_xlfn.XLOOKUP(B176,'[11]january-2026'!$A:$A,'[11]january-2026'!$D:$D,0,0)</f>
        <v>400</v>
      </c>
      <c r="DK176">
        <f>_xlfn.XLOOKUP(B176,'[11]january-2026'!$A:$A,'[11]january-2026'!$G:$G,0,0)</f>
        <v>500</v>
      </c>
      <c r="DL176">
        <f>IF(DG176&gt;0,SUM(DG176:DK176),0)</f>
        <v>45750</v>
      </c>
      <c r="DM176">
        <f>_xlfn.XLOOKUP(B176,'[11]january-2026'!$A:$A,'[11]january-2026'!$H:$H,0,0)</f>
        <v>3000</v>
      </c>
      <c r="DN176">
        <f>_xlfn.XLOOKUP(B176,'[11]january-2026'!$A:$A,'[11]january-2026'!$I:$I,0,0)</f>
        <v>0</v>
      </c>
      <c r="DO176">
        <f>IF($F176="YES",0,IF(DL176&gt;40000,200,IF(DL176&gt;25000,150,IF(DL176&gt;15000,130,IF(DL176&gt;10000,110,0)))))</f>
        <v>200</v>
      </c>
      <c r="DP176">
        <f>DL176-DM176-DN176-DO176</f>
        <v>42550</v>
      </c>
      <c r="DQ176">
        <f>_xlfn.XLOOKUP(B176,'[12]february-2026'!$A:$A,'[12]february-2026'!$C:$C,0,0)</f>
        <v>34500</v>
      </c>
      <c r="DR176">
        <f>DQ176*0.18</f>
        <v>6210</v>
      </c>
      <c r="DS176">
        <f>DQ176*0.12</f>
        <v>4140</v>
      </c>
      <c r="DT176">
        <f>_xlfn.XLOOKUP(B176,'[12]february-2026'!$A:$A,'[12]february-2026'!$D:$D,0,0)</f>
        <v>400</v>
      </c>
      <c r="DU176">
        <f>_xlfn.XLOOKUP(B176,'[12]february-2026'!$A:$A,'[12]february-2026'!$G:$G,0,0)</f>
        <v>500</v>
      </c>
      <c r="DV176">
        <f>IF(DQ176&gt;0,SUM(DQ176:DU176),0)</f>
        <v>45750</v>
      </c>
      <c r="DW176">
        <f>_xlfn.XLOOKUP(B176,'[12]february-2026'!$A:$A,'[12]february-2026'!$H:$H,0,0)</f>
        <v>3000</v>
      </c>
      <c r="DX176">
        <f>_xlfn.XLOOKUP(B176,'[12]february-2026'!$A:$A,'[12]february-2026'!$I:$I,0,0)</f>
        <v>0</v>
      </c>
      <c r="DY176">
        <f>IF($F176="YES",0,IF(DV176&gt;40000,200,IF(DV176&gt;25000,150,IF(DV176&gt;15000,130,IF(DV176&gt;10000,110,0)))))</f>
        <v>200</v>
      </c>
      <c r="DZ176">
        <f>DV176-DW176-DX176-DY176</f>
        <v>42550</v>
      </c>
      <c r="EA176">
        <f>DV176+DL176+DB176+CR176+CH176+BX176+BN176+BD176+AS176+AI176+Y176+O176+H176+I176</f>
        <v>549260</v>
      </c>
      <c r="EB176">
        <f>DY176+DO176+DE176+CU176+CK176+CA176+BQ176+BG176+AV176+AL176+AB176+R176</f>
        <v>2400</v>
      </c>
      <c r="EC176">
        <f>IF(EA176&gt;0,50000,0)</f>
        <v>50000</v>
      </c>
      <c r="ED176">
        <v>0</v>
      </c>
      <c r="EE176">
        <f>EA176-EB176-EC176</f>
        <v>496860</v>
      </c>
      <c r="EF176">
        <f>DW176+DM176+DC176+CS176+CI176+BY176+BO176+BE176+AT176+AJ176+Z176+P176</f>
        <v>36000</v>
      </c>
      <c r="EG176">
        <f>DX176+DN176+DD176+CT176+CJ176+BZ176+BP176+BF176+AU176+AK176+AA176+Q176</f>
        <v>0</v>
      </c>
      <c r="EH176">
        <v>0</v>
      </c>
      <c r="EI176">
        <v>0</v>
      </c>
      <c r="EJ176">
        <v>0</v>
      </c>
      <c r="EK176">
        <v>0</v>
      </c>
      <c r="EL176">
        <v>0</v>
      </c>
      <c r="EM176">
        <v>0</v>
      </c>
      <c r="EN176">
        <v>0</v>
      </c>
      <c r="EO176">
        <v>0</v>
      </c>
      <c r="EP176">
        <v>0</v>
      </c>
      <c r="EQ176">
        <v>0</v>
      </c>
      <c r="ER176">
        <f>SUM(EF176:EQ176)</f>
        <v>36000</v>
      </c>
      <c r="ES176">
        <f>IF(ER176&gt;=150000,150000,ER176)</f>
        <v>36000</v>
      </c>
      <c r="ET176">
        <f>EE176-ES176</f>
        <v>460860</v>
      </c>
      <c r="EU176">
        <v>0</v>
      </c>
      <c r="EV176">
        <v>0</v>
      </c>
      <c r="EW176">
        <v>0</v>
      </c>
      <c r="EX176">
        <v>0</v>
      </c>
      <c r="EY176">
        <v>0</v>
      </c>
      <c r="EZ176">
        <v>0</v>
      </c>
      <c r="FA176">
        <v>0</v>
      </c>
      <c r="FB176">
        <f>SUM(EU176:FA176)+(IF(F176="YES",50000,0))</f>
        <v>0</v>
      </c>
      <c r="FC176">
        <f>ET176-FB176</f>
        <v>460860</v>
      </c>
      <c r="FD176">
        <f>ROUND(IF(FC176&gt;0,IF(FC176&gt;500000,12500,(FC176-250000)*0.05),0),0)</f>
        <v>10543</v>
      </c>
      <c r="FE176">
        <f>IF(ROUND(IF(FC176&gt;0,IF(FC176&gt;1000000,25000,(FC176-500000)*0.2),0),0)&lt;0,0,ROUND(IF(FC176&gt;0,IF(FC176&gt;1000000,25000,(FC176-500000)*0.2),0),0))</f>
        <v>0</v>
      </c>
      <c r="FF176">
        <f>FD176+FE176</f>
        <v>10543</v>
      </c>
      <c r="FG176">
        <f>IF(FF176&lt;12500,0,FF176)</f>
        <v>0</v>
      </c>
      <c r="FH176">
        <f>FG176*0.04</f>
        <v>0</v>
      </c>
      <c r="FI176">
        <f>ROUND(FH176+FG176,0)</f>
        <v>0</v>
      </c>
      <c r="FJ176">
        <v>0</v>
      </c>
      <c r="FK176">
        <f>FI176-FJ176</f>
        <v>0</v>
      </c>
      <c r="FL176" t="b">
        <f>IF(EA176&gt;500000,TRUE,FALSE)</f>
        <v>1</v>
      </c>
      <c r="FM176">
        <f ca="1">IF(FL176,RANDBETWEEN(500,1000),RANDBETWEEN(1000,3000))</f>
        <v>887</v>
      </c>
      <c r="FN176">
        <f ca="1">EA176+FM176</f>
        <v>550147</v>
      </c>
      <c r="FO176">
        <f>IF(EA176&gt;0,75000,0)</f>
        <v>75000</v>
      </c>
      <c r="FP176">
        <f ca="1">FN176-FO176</f>
        <v>475147</v>
      </c>
      <c r="FQ176">
        <f ca="1">IF(FP176&gt;2400000,FP176-2400000,0)</f>
        <v>0</v>
      </c>
      <c r="FR176">
        <f ca="1">FQ176*0.3</f>
        <v>0</v>
      </c>
      <c r="FS176">
        <f ca="1">IF(FP176&gt;2000000,FP176-2000000,0)</f>
        <v>0</v>
      </c>
      <c r="FT176">
        <f ca="1">FS176*0.25</f>
        <v>0</v>
      </c>
      <c r="FU176">
        <f ca="1">IF(FP176&gt;1600000,FP176-1600000-FQ176,0)</f>
        <v>0</v>
      </c>
      <c r="FV176">
        <f ca="1">FU176*0.2</f>
        <v>0</v>
      </c>
      <c r="FW176">
        <f ca="1">IF(FP176&gt;1200000,FP176-1200000-IF(F176="YES",50000,0)-FU176,0)</f>
        <v>0</v>
      </c>
      <c r="FX176">
        <f ca="1">FW176*0.15</f>
        <v>0</v>
      </c>
      <c r="FY176">
        <f ca="1">IF(FP176&gt;800000,FP176-800000-FQ176-FU176-FW176,0)</f>
        <v>0</v>
      </c>
      <c r="FZ176">
        <f ca="1">FY176*0.1</f>
        <v>0</v>
      </c>
      <c r="GA176">
        <f ca="1">IF(FP176&gt;400000,FP176-400000-FQ176-FU176-FW176-FY176,0)</f>
        <v>75147</v>
      </c>
      <c r="GB176">
        <f ca="1">GA176*0.05</f>
        <v>3757.3500000000004</v>
      </c>
      <c r="GC176">
        <f ca="1">ROUND(FR176+FT176+FV176+FX176+FZ176+GB176,0)</f>
        <v>3757</v>
      </c>
      <c r="GD176">
        <f ca="1">IF(FP176&gt;1200000,FP176,0)</f>
        <v>0</v>
      </c>
      <c r="GE176">
        <f ca="1">IF(FP176&gt;1200000,GD176-1200000,0)</f>
        <v>0</v>
      </c>
      <c r="GF176">
        <f ca="1">IF(FP176&lt;1200001,MIN(GC176,60000),0)</f>
        <v>3757</v>
      </c>
      <c r="GG176">
        <f ca="1">IF(FP176&gt;1200000,GC176-GE176,0)</f>
        <v>0</v>
      </c>
      <c r="GH176" t="b">
        <f ca="1">IF(GG176&gt;0,TRUE,FALSE)</f>
        <v>0</v>
      </c>
      <c r="GI176">
        <f ca="1">IF(GH176,GG176,0)</f>
        <v>0</v>
      </c>
      <c r="GJ176">
        <f ca="1">GF176+GI176</f>
        <v>3757</v>
      </c>
      <c r="GK176">
        <f ca="1">ROUND(GC176-GJ176,0)</f>
        <v>0</v>
      </c>
      <c r="GL176">
        <f ca="1">GK176*0.04</f>
        <v>0</v>
      </c>
      <c r="GM176">
        <f ca="1">ROUNDUP(GK176+GL176,0)</f>
        <v>0</v>
      </c>
    </row>
    <row r="177" spans="1:195" x14ac:dyDescent="0.25">
      <c r="A177">
        <f>_xlfn.AGGREGATE(3,5,$B$2:B177)</f>
        <v>176</v>
      </c>
      <c r="B177" t="s">
        <v>465</v>
      </c>
      <c r="C177" t="s">
        <v>466</v>
      </c>
      <c r="D177" t="s">
        <v>799</v>
      </c>
      <c r="E177" t="s">
        <v>833</v>
      </c>
      <c r="F177" t="s">
        <v>959</v>
      </c>
      <c r="G177" t="s">
        <v>880</v>
      </c>
      <c r="H177">
        <f>IF(_xlfn.DAYS("31-03-2025",G177)&gt;=180,6800,0)</f>
        <v>6800</v>
      </c>
      <c r="I177">
        <f>_xlfn.XLOOKUP(B177,'[1]march-2025'!$A:$A,'[1]march-2025'!$J:$J,0,0)</f>
        <v>0</v>
      </c>
      <c r="J177">
        <f>_xlfn.XLOOKUP(B177,'[1]march-2025'!$A:$A,'[1]march-2025'!$C:$C,0,0)</f>
        <v>34500</v>
      </c>
      <c r="K177">
        <f>J177*0.14</f>
        <v>4830.0000000000009</v>
      </c>
      <c r="L177">
        <f>J177*0.12</f>
        <v>4140</v>
      </c>
      <c r="M177">
        <f>_xlfn.XLOOKUP(B177,'[1]march-2025'!$A:$A,'[1]march-2025'!$D:$D,0,0)</f>
        <v>0</v>
      </c>
      <c r="N177">
        <f>_xlfn.XLOOKUP(B177,'[1]march-2025'!$A:$A,'[1]march-2025'!$G:$G,0,0)</f>
        <v>500</v>
      </c>
      <c r="O177">
        <f>IF(J177&gt;0,SUM(J177:N177),0)</f>
        <v>43970</v>
      </c>
      <c r="P177">
        <f>_xlfn.XLOOKUP(B177,'[1]march-2025'!$A:$A,'[1]march-2025'!$H:$H,0,0)</f>
        <v>3000</v>
      </c>
      <c r="Q177">
        <f>_xlfn.XLOOKUP(B177,'[1]march-2025'!$A:$A,'[1]march-2025'!$I:$I,0,0)</f>
        <v>0</v>
      </c>
      <c r="R177">
        <f>IF($F177="YES",0,IF(O177&gt;40000,200,IF(O177&gt;25000,150,IF(O177&gt;15000,130,IF(O177&gt;10000,110,0)))))</f>
        <v>200</v>
      </c>
      <c r="S177">
        <f>O177-P177-Q177-R177</f>
        <v>40770</v>
      </c>
      <c r="T177">
        <f>_xlfn.XLOOKUP(B177,'[2]april-2025'!$A:$A,'[2]april-2025'!$C:$C,0,0)</f>
        <v>34500</v>
      </c>
      <c r="U177">
        <f>T177*0.18</f>
        <v>6210</v>
      </c>
      <c r="V177">
        <f>T177*0.12</f>
        <v>4140</v>
      </c>
      <c r="W177">
        <f>_xlfn.XLOOKUP(B177,'[2]april-2025'!$A:$A,'[2]april-2025'!$D:$D,0,0)</f>
        <v>0</v>
      </c>
      <c r="X177">
        <f>_xlfn.XLOOKUP(B177,'[2]april-2025'!$A:$A,'[2]april-2025'!$G:$G,0,0)</f>
        <v>500</v>
      </c>
      <c r="Y177">
        <f>IF(T177&gt;0,SUM(T177:X177),0)</f>
        <v>45350</v>
      </c>
      <c r="Z177">
        <f>_xlfn.XLOOKUP(B177,'[2]april-2025'!$A:$A,'[2]april-2025'!$H:$H,0,0)</f>
        <v>3000</v>
      </c>
      <c r="AA177">
        <f>_xlfn.XLOOKUP(B177,'[2]april-2025'!$A:$A,'[2]april-2025'!$I:$I,0,0)</f>
        <v>0</v>
      </c>
      <c r="AB177">
        <f>IF($F177="YES",0,IF(Y177&gt;40000,200,IF(Y177&gt;25000,150,IF(Y177&gt;15000,130,IF(Y177&gt;10000,110,0)))))</f>
        <v>200</v>
      </c>
      <c r="AC177">
        <f>Y177-Z177-AA177-AB177</f>
        <v>42150</v>
      </c>
      <c r="AD177">
        <f>_xlfn.XLOOKUP(B177,'[3]may-2025'!$A:$A,'[3]may-2025'!$C:$C,0,0)</f>
        <v>34500</v>
      </c>
      <c r="AE177">
        <f>AD177*0.18</f>
        <v>6210</v>
      </c>
      <c r="AF177">
        <f>AD177*0.12</f>
        <v>4140</v>
      </c>
      <c r="AG177">
        <f>_xlfn.XLOOKUP(B177,'[3]may-2025'!$A:$A,'[3]may-2025'!$D:$D,0,0)</f>
        <v>0</v>
      </c>
      <c r="AH177">
        <f>_xlfn.XLOOKUP(B177,'[3]may-2025'!$A:$A,'[3]may-2025'!$G:$G,0,0)</f>
        <v>500</v>
      </c>
      <c r="AI177">
        <f>IF(AD177&gt;0,SUM(AD177:AH177),0)</f>
        <v>45350</v>
      </c>
      <c r="AJ177">
        <f>_xlfn.XLOOKUP(B177,'[3]may-2025'!$A:$A,'[3]may-2025'!$H:$H,0,0)</f>
        <v>3000</v>
      </c>
      <c r="AK177">
        <f>_xlfn.XLOOKUP(B177,'[3]may-2025'!$A:$A,'[3]may-2025'!$I:$I,0,0)</f>
        <v>0</v>
      </c>
      <c r="AL177">
        <f>IF($F177="YES",0,IF(AI177&gt;40000,200,IF(AI177&gt;25000,150,IF(AI177&gt;15000,130,IF(AI177&gt;10000,110,0)))))</f>
        <v>200</v>
      </c>
      <c r="AM177">
        <f>AI177-AJ177-AK177-AL177</f>
        <v>42150</v>
      </c>
      <c r="AN177">
        <f>_xlfn.XLOOKUP(B177,'[4]june-2025'!$A:$A,'[4]june-2025'!$C:$C,0,0)</f>
        <v>34500</v>
      </c>
      <c r="AO177">
        <f>AN177*0.18</f>
        <v>6210</v>
      </c>
      <c r="AP177">
        <f>AN177*0.12</f>
        <v>4140</v>
      </c>
      <c r="AQ177">
        <f>_xlfn.XLOOKUP(B177,'[4]june-2025'!$A:$A,'[4]june-2025'!$D:$D,0,0)</f>
        <v>0</v>
      </c>
      <c r="AR177">
        <f>_xlfn.XLOOKUP(B177,'[4]june-2025'!$A:$A,'[4]june-2025'!$G:$G,0,0)</f>
        <v>500</v>
      </c>
      <c r="AS177">
        <f>IF(AN177&gt;0,SUM(AN177:AR177),0)</f>
        <v>45350</v>
      </c>
      <c r="AT177">
        <f>_xlfn.XLOOKUP(B177,'[4]june-2025'!$A:$A,'[4]june-2025'!$H:$H,0,0)</f>
        <v>3000</v>
      </c>
      <c r="AU177">
        <f>_xlfn.XLOOKUP(B177,'[4]june-2025'!$A:$A,'[4]june-2025'!$I:$I,0,0)</f>
        <v>0</v>
      </c>
      <c r="AV177">
        <f>IF($F177="YES",0,IF(AS177&gt;40000,200,IF(AS177&gt;25000,150,IF(AS177&gt;15000,130,IF(AS177&gt;10000,110,0)))))</f>
        <v>200</v>
      </c>
      <c r="AW177">
        <f>AS177-AT177-AU177-AV177</f>
        <v>42150</v>
      </c>
      <c r="AX177">
        <f>_xlfn.XLOOKUP(B177,'[5]july-2025'!$A:$A,'[5]july-2025'!$C:$C,0,0)</f>
        <v>35500</v>
      </c>
      <c r="AY177">
        <f>AX177*0.18</f>
        <v>6390</v>
      </c>
      <c r="AZ177">
        <v>0</v>
      </c>
      <c r="BA177">
        <f>AX177*0.12</f>
        <v>4260</v>
      </c>
      <c r="BB177">
        <f>_xlfn.XLOOKUP(B177,'[5]july-2025'!$A:$A,'[5]july-2025'!$D:$D,0,0)</f>
        <v>0</v>
      </c>
      <c r="BC177">
        <f>_xlfn.XLOOKUP(B177,'[5]july-2025'!$A:$A,'[5]july-2025'!$G:$G,0,0)</f>
        <v>500</v>
      </c>
      <c r="BD177">
        <f>IF(AX177&gt;0,SUM(AX177:BC177),0)</f>
        <v>46650</v>
      </c>
      <c r="BE177">
        <f>_xlfn.XLOOKUP(B177,'[5]july-2025'!$A:$A,'[5]july-2025'!$H:$H,0,0)</f>
        <v>3000</v>
      </c>
      <c r="BF177">
        <f>_xlfn.XLOOKUP(B177,'[5]july-2025'!$A:$A,'[5]july-2025'!$I:$I,0,0)</f>
        <v>0</v>
      </c>
      <c r="BG177">
        <f>IF($F177="YES",0,IF(BD177&gt;40000,200,IF(BD177&gt;25000,150,IF(BD177&gt;15000,130,IF(BD177&gt;10000,110,0)))))</f>
        <v>200</v>
      </c>
      <c r="BH177">
        <f>BD177-BE177-BF177-BG177</f>
        <v>43450</v>
      </c>
      <c r="BI177">
        <f>_xlfn.XLOOKUP(B177,'[6]august-2025'!$A:$A,'[6]august-2025'!$C:$C,0,0)</f>
        <v>35500</v>
      </c>
      <c r="BJ177">
        <f>BI177*0.18</f>
        <v>6390</v>
      </c>
      <c r="BK177">
        <f>BI177*0.12</f>
        <v>4260</v>
      </c>
      <c r="BL177">
        <f>_xlfn.XLOOKUP(B177,'[6]august-2025'!$A:$A,'[6]august-2025'!$D:$D,0,0)</f>
        <v>0</v>
      </c>
      <c r="BM177">
        <f>_xlfn.XLOOKUP(B177,'[6]august-2025'!$A:$A,'[6]august-2025'!$G:$G,0,0)</f>
        <v>500</v>
      </c>
      <c r="BN177">
        <f>IF(BI177&gt;0,SUM(BI177:BM177),0)</f>
        <v>46650</v>
      </c>
      <c r="BO177">
        <f>_xlfn.XLOOKUP(B177,'[6]august-2025'!$A:$A,'[6]august-2025'!$H:$H,0,0)</f>
        <v>3000</v>
      </c>
      <c r="BP177">
        <f>_xlfn.XLOOKUP(B177,'[6]august-2025'!$A:$A,'[6]august-2025'!$I:$I,0,0)</f>
        <v>0</v>
      </c>
      <c r="BQ177">
        <f>IF($F177="YES",0,IF(BN177&gt;40000,200,IF(BN177&gt;25000,150,IF(BN177&gt;15000,130,IF(BN177&gt;10000,110,0)))))</f>
        <v>200</v>
      </c>
      <c r="BR177">
        <f>BN177-BO177-BP177-BQ177</f>
        <v>43450</v>
      </c>
      <c r="BS177">
        <f>_xlfn.XLOOKUP(B177,'[7]september-2025'!$A:$A,'[7]september-2025'!$C:$C,0,0)</f>
        <v>35500</v>
      </c>
      <c r="BT177">
        <f>BS177*0.18</f>
        <v>6390</v>
      </c>
      <c r="BU177">
        <f>BS177*0.12</f>
        <v>4260</v>
      </c>
      <c r="BV177">
        <f>_xlfn.XLOOKUP(B177,'[7]september-2025'!$A:$A,'[7]september-2025'!$D:$D,0,0)</f>
        <v>0</v>
      </c>
      <c r="BW177">
        <f>_xlfn.XLOOKUP(B177,'[7]september-2025'!$A:$A,'[7]september-2025'!$G:$G,0,0)</f>
        <v>500</v>
      </c>
      <c r="BX177">
        <f>IF(BS177&gt;0,SUM(BS177:BW177),0)</f>
        <v>46650</v>
      </c>
      <c r="BY177">
        <f>_xlfn.XLOOKUP(B177,'[7]september-2025'!$A:$A,'[7]september-2025'!$H:$H,0,0)</f>
        <v>3000</v>
      </c>
      <c r="BZ177">
        <f>_xlfn.XLOOKUP(B177,'[7]september-2025'!$A:$A,'[7]september-2025'!$I:$I,0,0)</f>
        <v>0</v>
      </c>
      <c r="CA177">
        <f>IF($F177="YES",0,IF(BX177&gt;40000,200,IF(BX177&gt;25000,150,IF(BX177&gt;15000,130,IF(BX177&gt;10000,110,0)))))</f>
        <v>200</v>
      </c>
      <c r="CB177">
        <f>BX177-BY177-BZ177-CA177</f>
        <v>43450</v>
      </c>
      <c r="CC177">
        <f>_xlfn.XLOOKUP(B177,'[8]october-2025'!$A:$A,'[8]october-2025'!$C:$C,0,0)</f>
        <v>35500</v>
      </c>
      <c r="CD177">
        <f>CC177*0.18</f>
        <v>6390</v>
      </c>
      <c r="CE177">
        <f>CC177*0.12</f>
        <v>4260</v>
      </c>
      <c r="CF177">
        <f>_xlfn.XLOOKUP(B177,'[8]october-2025'!$A:$A,'[8]october-2025'!$D:$D,0,0)</f>
        <v>0</v>
      </c>
      <c r="CG177">
        <f>_xlfn.XLOOKUP(B177,'[8]october-2025'!$A:$A,'[8]october-2025'!$G:$G,0,0)</f>
        <v>500</v>
      </c>
      <c r="CH177">
        <f>IF(CC177&gt;0,SUM(CC177:CG177),0)</f>
        <v>46650</v>
      </c>
      <c r="CI177">
        <f>_xlfn.XLOOKUP(B177,'[8]october-2025'!$A:$A,'[8]october-2025'!$H:$H,0,0)</f>
        <v>3000</v>
      </c>
      <c r="CJ177">
        <f>_xlfn.XLOOKUP(B177,'[8]october-2025'!$A:$A,'[8]october-2025'!$I:$I,0,0)</f>
        <v>0</v>
      </c>
      <c r="CK177">
        <f>IF($F177="YES",0,IF(CH177&gt;40000,200,IF(CH177&gt;25000,150,IF(CH177&gt;15000,130,IF(CH177&gt;10000,110,0)))))</f>
        <v>200</v>
      </c>
      <c r="CL177">
        <f>CH177-CI177-CJ177-CK177</f>
        <v>43450</v>
      </c>
      <c r="CM177">
        <f>_xlfn.XLOOKUP(B177,'[9]november-2025'!$A:$A,'[9]november-2025'!$C:$C,0,0)</f>
        <v>35500</v>
      </c>
      <c r="CN177">
        <f>CM177*0.18</f>
        <v>6390</v>
      </c>
      <c r="CO177">
        <f>CM177*0.12</f>
        <v>4260</v>
      </c>
      <c r="CP177">
        <f>_xlfn.XLOOKUP(B177,'[9]november-2025'!$A:$A,'[9]november-2025'!$D:$D,0,0)</f>
        <v>0</v>
      </c>
      <c r="CQ177">
        <f>_xlfn.XLOOKUP(B177,'[9]november-2025'!$A:$A,'[9]november-2025'!$G:$G,0,0)</f>
        <v>500</v>
      </c>
      <c r="CR177">
        <f>IF(CM177&gt;0,SUM(CM177:CQ177),0)</f>
        <v>46650</v>
      </c>
      <c r="CS177">
        <f>_xlfn.XLOOKUP(B177,'[9]november-2025'!$A:$A,'[9]november-2025'!$H:$H,0,0)</f>
        <v>3000</v>
      </c>
      <c r="CT177">
        <f>_xlfn.XLOOKUP(B177,'[9]november-2025'!$A:$A,'[9]november-2025'!$I:$I,0,0)</f>
        <v>0</v>
      </c>
      <c r="CU177">
        <f>IF($F177="YES",0,IF(CR177&gt;40000,200,IF(CR177&gt;25000,150,IF(CR177&gt;15000,130,IF(CR177&gt;10000,110,0)))))</f>
        <v>200</v>
      </c>
      <c r="CV177">
        <f>CR177-CS177-CT177-CU177</f>
        <v>43450</v>
      </c>
      <c r="CW177">
        <f>_xlfn.XLOOKUP(B177,'[10]december-2025'!$A:$A,'[10]december-2025'!$C:$C,0,0)</f>
        <v>35500</v>
      </c>
      <c r="CX177">
        <f>ROUND(CW177*0.18,0)</f>
        <v>6390</v>
      </c>
      <c r="CY177">
        <f>ROUND(CW177*0.12,0)</f>
        <v>4260</v>
      </c>
      <c r="CZ177">
        <f>_xlfn.XLOOKUP(B177,'[10]december-2025'!$A:$A,'[10]december-2025'!$D:$D,0,0)</f>
        <v>0</v>
      </c>
      <c r="DA177">
        <f>_xlfn.XLOOKUP(B177,'[10]december-2025'!$A:$A,'[10]december-2025'!$G:$G,0,0)</f>
        <v>500</v>
      </c>
      <c r="DB177">
        <f>IF(CW177&gt;0,SUM(CW177:DA177),0)</f>
        <v>46650</v>
      </c>
      <c r="DC177">
        <f>_xlfn.XLOOKUP(B177,'[10]december-2025'!$A:$A,'[10]december-2025'!$H:$H,0,0)</f>
        <v>3000</v>
      </c>
      <c r="DD177">
        <f>_xlfn.XLOOKUP(B177,'[10]december-2025'!$A:$A,'[10]december-2025'!$I:$I,0,0)</f>
        <v>0</v>
      </c>
      <c r="DE177">
        <f>IF($F177="YES",0,IF(DB177&gt;40000,200,IF(DB177&gt;25000,150,IF(DB177&gt;15000,130,IF(DB177&gt;10000,110,0)))))</f>
        <v>200</v>
      </c>
      <c r="DF177">
        <f>DB177-DC177-DD177-DE177</f>
        <v>43450</v>
      </c>
      <c r="DG177">
        <f>_xlfn.XLOOKUP(B177,'[11]january-2026'!$A:$A,'[11]january-2026'!$C:$C,0,0)</f>
        <v>35500</v>
      </c>
      <c r="DH177">
        <f>DG177*0.18</f>
        <v>6390</v>
      </c>
      <c r="DI177">
        <f>DG177*0.12</f>
        <v>4260</v>
      </c>
      <c r="DJ177">
        <f>_xlfn.XLOOKUP(B177,'[11]january-2026'!$A:$A,'[11]january-2026'!$D:$D,0,0)</f>
        <v>0</v>
      </c>
      <c r="DK177">
        <f>_xlfn.XLOOKUP(B177,'[11]january-2026'!$A:$A,'[11]january-2026'!$G:$G,0,0)</f>
        <v>500</v>
      </c>
      <c r="DL177">
        <f>IF(DG177&gt;0,SUM(DG177:DK177),0)</f>
        <v>46650</v>
      </c>
      <c r="DM177">
        <f>_xlfn.XLOOKUP(B177,'[11]january-2026'!$A:$A,'[11]january-2026'!$H:$H,0,0)</f>
        <v>3000</v>
      </c>
      <c r="DN177">
        <f>_xlfn.XLOOKUP(B177,'[11]january-2026'!$A:$A,'[11]january-2026'!$I:$I,0,0)</f>
        <v>0</v>
      </c>
      <c r="DO177">
        <f>IF($F177="YES",0,IF(DL177&gt;40000,200,IF(DL177&gt;25000,150,IF(DL177&gt;15000,130,IF(DL177&gt;10000,110,0)))))</f>
        <v>200</v>
      </c>
      <c r="DP177">
        <f>DL177-DM177-DN177-DO177</f>
        <v>43450</v>
      </c>
      <c r="DQ177">
        <f>_xlfn.XLOOKUP(B177,'[12]february-2026'!$A:$A,'[12]february-2026'!$C:$C,0,0)</f>
        <v>35500</v>
      </c>
      <c r="DR177">
        <f>DQ177*0.18</f>
        <v>6390</v>
      </c>
      <c r="DS177">
        <f>DQ177*0.12</f>
        <v>4260</v>
      </c>
      <c r="DT177">
        <f>_xlfn.XLOOKUP(B177,'[12]february-2026'!$A:$A,'[12]february-2026'!$D:$D,0,0)</f>
        <v>0</v>
      </c>
      <c r="DU177">
        <f>_xlfn.XLOOKUP(B177,'[12]february-2026'!$A:$A,'[12]february-2026'!$G:$G,0,0)</f>
        <v>500</v>
      </c>
      <c r="DV177">
        <f>IF(DQ177&gt;0,SUM(DQ177:DU177),0)</f>
        <v>46650</v>
      </c>
      <c r="DW177">
        <f>_xlfn.XLOOKUP(B177,'[12]february-2026'!$A:$A,'[12]february-2026'!$H:$H,0,0)</f>
        <v>3000</v>
      </c>
      <c r="DX177">
        <f>_xlfn.XLOOKUP(B177,'[12]february-2026'!$A:$A,'[12]february-2026'!$I:$I,0,0)</f>
        <v>0</v>
      </c>
      <c r="DY177">
        <f>IF($F177="YES",0,IF(DV177&gt;40000,200,IF(DV177&gt;25000,150,IF(DV177&gt;15000,130,IF(DV177&gt;10000,110,0)))))</f>
        <v>200</v>
      </c>
      <c r="DZ177">
        <f>DV177-DW177-DX177-DY177</f>
        <v>43450</v>
      </c>
      <c r="EA177">
        <f>DV177+DL177+DB177+CR177+CH177+BX177+BN177+BD177+AS177+AI177+Y177+O177+H177+I177</f>
        <v>560020</v>
      </c>
      <c r="EB177">
        <f>DY177+DO177+DE177+CU177+CK177+CA177+BQ177+BG177+AV177+AL177+AB177+R177</f>
        <v>2400</v>
      </c>
      <c r="EC177">
        <f>IF(EA177&gt;0,50000,0)</f>
        <v>50000</v>
      </c>
      <c r="ED177">
        <v>0</v>
      </c>
      <c r="EE177">
        <f>EA177-EB177-EC177</f>
        <v>507620</v>
      </c>
      <c r="EF177">
        <f>DW177+DM177+DC177+CS177+CI177+BY177+BO177+BE177+AT177+AJ177+Z177+P177</f>
        <v>36000</v>
      </c>
      <c r="EG177">
        <f>DX177+DN177+DD177+CT177+CJ177+BZ177+BP177+BF177+AU177+AK177+AA177+Q177</f>
        <v>0</v>
      </c>
      <c r="EH177">
        <v>0</v>
      </c>
      <c r="EI177">
        <v>0</v>
      </c>
      <c r="EJ177">
        <v>0</v>
      </c>
      <c r="EK177">
        <v>0</v>
      </c>
      <c r="EL177">
        <v>0</v>
      </c>
      <c r="EM177">
        <v>0</v>
      </c>
      <c r="EN177">
        <v>0</v>
      </c>
      <c r="EO177">
        <v>0</v>
      </c>
      <c r="EP177">
        <v>0</v>
      </c>
      <c r="EQ177">
        <v>0</v>
      </c>
      <c r="ER177">
        <f>SUM(EF177:EQ177)</f>
        <v>36000</v>
      </c>
      <c r="ES177">
        <f>IF(ER177&gt;=150000,150000,ER177)</f>
        <v>36000</v>
      </c>
      <c r="ET177">
        <f>EE177-ES177</f>
        <v>471620</v>
      </c>
      <c r="EU177">
        <v>0</v>
      </c>
      <c r="EV177">
        <v>0</v>
      </c>
      <c r="EW177">
        <v>0</v>
      </c>
      <c r="EX177">
        <v>0</v>
      </c>
      <c r="EY177">
        <v>0</v>
      </c>
      <c r="EZ177">
        <v>0</v>
      </c>
      <c r="FA177">
        <v>0</v>
      </c>
      <c r="FB177">
        <f>SUM(EU177:FA177)+(IF(F177="YES",50000,0))</f>
        <v>0</v>
      </c>
      <c r="FC177">
        <f>ET177-FB177</f>
        <v>471620</v>
      </c>
      <c r="FD177">
        <f>ROUND(IF(FC177&gt;0,IF(FC177&gt;500000,12500,(FC177-250000)*0.05),0),0)</f>
        <v>11081</v>
      </c>
      <c r="FE177">
        <f>IF(ROUND(IF(FC177&gt;0,IF(FC177&gt;1000000,25000,(FC177-500000)*0.2),0),0)&lt;0,0,ROUND(IF(FC177&gt;0,IF(FC177&gt;1000000,25000,(FC177-500000)*0.2),0),0))</f>
        <v>0</v>
      </c>
      <c r="FF177">
        <f>FD177+FE177</f>
        <v>11081</v>
      </c>
      <c r="FG177">
        <f>IF(FF177&lt;12500,0,FF177)</f>
        <v>0</v>
      </c>
      <c r="FH177">
        <f>FG177*0.04</f>
        <v>0</v>
      </c>
      <c r="FI177">
        <f>ROUND(FH177+FG177,0)</f>
        <v>0</v>
      </c>
      <c r="FJ177">
        <v>0</v>
      </c>
      <c r="FK177">
        <f>FI177-FJ177</f>
        <v>0</v>
      </c>
      <c r="FL177" t="b">
        <f>IF(EA177&gt;500000,TRUE,FALSE)</f>
        <v>1</v>
      </c>
      <c r="FM177">
        <f ca="1">IF(FL177,RANDBETWEEN(500,1000),RANDBETWEEN(1000,3000))</f>
        <v>927</v>
      </c>
      <c r="FN177">
        <f ca="1">EA177+FM177</f>
        <v>560947</v>
      </c>
      <c r="FO177">
        <f>IF(EA177&gt;0,75000,0)</f>
        <v>75000</v>
      </c>
      <c r="FP177">
        <f ca="1">FN177-FO177</f>
        <v>485947</v>
      </c>
      <c r="FQ177">
        <f ca="1">IF(FP177&gt;2400000,FP177-2400000,0)</f>
        <v>0</v>
      </c>
      <c r="FR177">
        <f ca="1">FQ177*0.3</f>
        <v>0</v>
      </c>
      <c r="FS177">
        <f ca="1">IF(FP177&gt;2000000,FP177-2000000,0)</f>
        <v>0</v>
      </c>
      <c r="FT177">
        <f ca="1">FS177*0.25</f>
        <v>0</v>
      </c>
      <c r="FU177">
        <f ca="1">IF(FP177&gt;1600000,FP177-1600000-FQ177,0)</f>
        <v>0</v>
      </c>
      <c r="FV177">
        <f ca="1">FU177*0.2</f>
        <v>0</v>
      </c>
      <c r="FW177">
        <f ca="1">IF(FP177&gt;1200000,FP177-1200000-IF(F177="YES",50000,0)-FU177,0)</f>
        <v>0</v>
      </c>
      <c r="FX177">
        <f ca="1">FW177*0.15</f>
        <v>0</v>
      </c>
      <c r="FY177">
        <f ca="1">IF(FP177&gt;800000,FP177-800000-FQ177-FU177-FW177,0)</f>
        <v>0</v>
      </c>
      <c r="FZ177">
        <f ca="1">FY177*0.1</f>
        <v>0</v>
      </c>
      <c r="GA177">
        <f ca="1">IF(FP177&gt;400000,FP177-400000-FQ177-FU177-FW177-FY177,0)</f>
        <v>85947</v>
      </c>
      <c r="GB177">
        <f ca="1">GA177*0.05</f>
        <v>4297.3500000000004</v>
      </c>
      <c r="GC177">
        <f ca="1">ROUND(FR177+FT177+FV177+FX177+FZ177+GB177,0)</f>
        <v>4297</v>
      </c>
      <c r="GD177">
        <f ca="1">IF(FP177&gt;1200000,FP177,0)</f>
        <v>0</v>
      </c>
      <c r="GE177">
        <f ca="1">IF(FP177&gt;1200000,GD177-1200000,0)</f>
        <v>0</v>
      </c>
      <c r="GF177">
        <f ca="1">IF(FP177&lt;1200001,MIN(GC177,60000),0)</f>
        <v>4297</v>
      </c>
      <c r="GG177">
        <f ca="1">IF(FP177&gt;1200000,GC177-GE177,0)</f>
        <v>0</v>
      </c>
      <c r="GH177" t="b">
        <f ca="1">IF(GG177&gt;0,TRUE,FALSE)</f>
        <v>0</v>
      </c>
      <c r="GI177">
        <f ca="1">IF(GH177,GG177,0)</f>
        <v>0</v>
      </c>
      <c r="GJ177">
        <f ca="1">GF177+GI177</f>
        <v>4297</v>
      </c>
      <c r="GK177">
        <f ca="1">ROUND(GC177-GJ177,0)</f>
        <v>0</v>
      </c>
      <c r="GL177">
        <f ca="1">GK177*0.04</f>
        <v>0</v>
      </c>
      <c r="GM177">
        <f ca="1">ROUNDUP(GK177+GL177,0)</f>
        <v>0</v>
      </c>
    </row>
    <row r="178" spans="1:195" x14ac:dyDescent="0.25">
      <c r="A178">
        <f>_xlfn.AGGREGATE(3,5,$B$2:B178)</f>
        <v>177</v>
      </c>
      <c r="B178" t="s">
        <v>467</v>
      </c>
      <c r="C178" t="s">
        <v>468</v>
      </c>
      <c r="D178" t="s">
        <v>799</v>
      </c>
      <c r="E178" t="s">
        <v>833</v>
      </c>
      <c r="F178" t="s">
        <v>959</v>
      </c>
      <c r="G178" t="s">
        <v>935</v>
      </c>
      <c r="H178">
        <f>IF(_xlfn.DAYS("31-03-2025",G178)&gt;=180,6800,0)</f>
        <v>6800</v>
      </c>
      <c r="I178">
        <f>_xlfn.XLOOKUP(B178,'[1]march-2025'!$A:$A,'[1]march-2025'!$J:$J,0,0)</f>
        <v>0</v>
      </c>
      <c r="J178">
        <f>_xlfn.XLOOKUP(B178,'[1]march-2025'!$A:$A,'[1]march-2025'!$C:$C,0,0)</f>
        <v>33500</v>
      </c>
      <c r="K178">
        <f>J178*0.14</f>
        <v>4690</v>
      </c>
      <c r="L178">
        <f>J178*0.12</f>
        <v>4020</v>
      </c>
      <c r="M178">
        <f>_xlfn.XLOOKUP(B178,'[1]march-2025'!$A:$A,'[1]march-2025'!$D:$D,0,0)</f>
        <v>0</v>
      </c>
      <c r="N178">
        <f>_xlfn.XLOOKUP(B178,'[1]march-2025'!$A:$A,'[1]march-2025'!$G:$G,0,0)</f>
        <v>500</v>
      </c>
      <c r="O178">
        <f>IF(J178&gt;0,SUM(J178:N178),0)</f>
        <v>42710</v>
      </c>
      <c r="P178">
        <f>_xlfn.XLOOKUP(B178,'[1]march-2025'!$A:$A,'[1]march-2025'!$H:$H,0,0)</f>
        <v>3000</v>
      </c>
      <c r="Q178">
        <f>_xlfn.XLOOKUP(B178,'[1]march-2025'!$A:$A,'[1]march-2025'!$I:$I,0,0)</f>
        <v>0</v>
      </c>
      <c r="R178">
        <f>IF($F178="YES",0,IF(O178&gt;40000,200,IF(O178&gt;25000,150,IF(O178&gt;15000,130,IF(O178&gt;10000,110,0)))))</f>
        <v>200</v>
      </c>
      <c r="S178">
        <f>O178-P178-Q178-R178</f>
        <v>39510</v>
      </c>
      <c r="T178">
        <f>_xlfn.XLOOKUP(B178,'[2]april-2025'!$A:$A,'[2]april-2025'!$C:$C,0,0)</f>
        <v>33500</v>
      </c>
      <c r="U178">
        <f>T178*0.18</f>
        <v>6030</v>
      </c>
      <c r="V178">
        <f>T178*0.12</f>
        <v>4020</v>
      </c>
      <c r="W178">
        <f>_xlfn.XLOOKUP(B178,'[2]april-2025'!$A:$A,'[2]april-2025'!$D:$D,0,0)</f>
        <v>0</v>
      </c>
      <c r="X178">
        <f>_xlfn.XLOOKUP(B178,'[2]april-2025'!$A:$A,'[2]april-2025'!$G:$G,0,0)</f>
        <v>500</v>
      </c>
      <c r="Y178">
        <f>IF(T178&gt;0,SUM(T178:X178),0)</f>
        <v>44050</v>
      </c>
      <c r="Z178">
        <f>_xlfn.XLOOKUP(B178,'[2]april-2025'!$A:$A,'[2]april-2025'!$H:$H,0,0)</f>
        <v>3000</v>
      </c>
      <c r="AA178">
        <f>_xlfn.XLOOKUP(B178,'[2]april-2025'!$A:$A,'[2]april-2025'!$I:$I,0,0)</f>
        <v>0</v>
      </c>
      <c r="AB178">
        <f>IF($F178="YES",0,IF(Y178&gt;40000,200,IF(Y178&gt;25000,150,IF(Y178&gt;15000,130,IF(Y178&gt;10000,110,0)))))</f>
        <v>200</v>
      </c>
      <c r="AC178">
        <f>Y178-Z178-AA178-AB178</f>
        <v>40850</v>
      </c>
      <c r="AD178">
        <f>_xlfn.XLOOKUP(B178,'[3]may-2025'!$A:$A,'[3]may-2025'!$C:$C,0,0)</f>
        <v>33500</v>
      </c>
      <c r="AE178">
        <f>AD178*0.18</f>
        <v>6030</v>
      </c>
      <c r="AF178">
        <f>AD178*0.12</f>
        <v>4020</v>
      </c>
      <c r="AG178">
        <f>_xlfn.XLOOKUP(B178,'[3]may-2025'!$A:$A,'[3]may-2025'!$D:$D,0,0)</f>
        <v>0</v>
      </c>
      <c r="AH178">
        <f>_xlfn.XLOOKUP(B178,'[3]may-2025'!$A:$A,'[3]may-2025'!$G:$G,0,0)</f>
        <v>500</v>
      </c>
      <c r="AI178">
        <f>IF(AD178&gt;0,SUM(AD178:AH178),0)</f>
        <v>44050</v>
      </c>
      <c r="AJ178">
        <f>_xlfn.XLOOKUP(B178,'[3]may-2025'!$A:$A,'[3]may-2025'!$H:$H,0,0)</f>
        <v>3000</v>
      </c>
      <c r="AK178">
        <f>_xlfn.XLOOKUP(B178,'[3]may-2025'!$A:$A,'[3]may-2025'!$I:$I,0,0)</f>
        <v>0</v>
      </c>
      <c r="AL178">
        <f>IF($F178="YES",0,IF(AI178&gt;40000,200,IF(AI178&gt;25000,150,IF(AI178&gt;15000,130,IF(AI178&gt;10000,110,0)))))</f>
        <v>200</v>
      </c>
      <c r="AM178">
        <f>AI178-AJ178-AK178-AL178</f>
        <v>40850</v>
      </c>
      <c r="AN178">
        <f>_xlfn.XLOOKUP(B178,'[4]june-2025'!$A:$A,'[4]june-2025'!$C:$C,0,0)</f>
        <v>33500</v>
      </c>
      <c r="AO178">
        <f>AN178*0.18</f>
        <v>6030</v>
      </c>
      <c r="AP178">
        <f>AN178*0.12</f>
        <v>4020</v>
      </c>
      <c r="AQ178">
        <f>_xlfn.XLOOKUP(B178,'[4]june-2025'!$A:$A,'[4]june-2025'!$D:$D,0,0)</f>
        <v>0</v>
      </c>
      <c r="AR178">
        <f>_xlfn.XLOOKUP(B178,'[4]june-2025'!$A:$A,'[4]june-2025'!$G:$G,0,0)</f>
        <v>500</v>
      </c>
      <c r="AS178">
        <f>IF(AN178&gt;0,SUM(AN178:AR178),0)</f>
        <v>44050</v>
      </c>
      <c r="AT178">
        <f>_xlfn.XLOOKUP(B178,'[4]june-2025'!$A:$A,'[4]june-2025'!$H:$H,0,0)</f>
        <v>3000</v>
      </c>
      <c r="AU178">
        <f>_xlfn.XLOOKUP(B178,'[4]june-2025'!$A:$A,'[4]june-2025'!$I:$I,0,0)</f>
        <v>0</v>
      </c>
      <c r="AV178">
        <f>IF($F178="YES",0,IF(AS178&gt;40000,200,IF(AS178&gt;25000,150,IF(AS178&gt;15000,130,IF(AS178&gt;10000,110,0)))))</f>
        <v>200</v>
      </c>
      <c r="AW178">
        <f>AS178-AT178-AU178-AV178</f>
        <v>40850</v>
      </c>
      <c r="AX178">
        <f>_xlfn.XLOOKUP(B178,'[5]july-2025'!$A:$A,'[5]july-2025'!$C:$C,0,0)</f>
        <v>34500</v>
      </c>
      <c r="AY178">
        <f>AX178*0.18</f>
        <v>6210</v>
      </c>
      <c r="AZ178">
        <v>0</v>
      </c>
      <c r="BA178">
        <f>AX178*0.12</f>
        <v>4140</v>
      </c>
      <c r="BB178">
        <f>_xlfn.XLOOKUP(B178,'[5]july-2025'!$A:$A,'[5]july-2025'!$D:$D,0,0)</f>
        <v>0</v>
      </c>
      <c r="BC178">
        <f>_xlfn.XLOOKUP(B178,'[5]july-2025'!$A:$A,'[5]july-2025'!$G:$G,0,0)</f>
        <v>500</v>
      </c>
      <c r="BD178">
        <f>IF(AX178&gt;0,SUM(AX178:BC178),0)</f>
        <v>45350</v>
      </c>
      <c r="BE178">
        <f>_xlfn.XLOOKUP(B178,'[5]july-2025'!$A:$A,'[5]july-2025'!$H:$H,0,0)</f>
        <v>3000</v>
      </c>
      <c r="BF178">
        <f>_xlfn.XLOOKUP(B178,'[5]july-2025'!$A:$A,'[5]july-2025'!$I:$I,0,0)</f>
        <v>0</v>
      </c>
      <c r="BG178">
        <f>IF($F178="YES",0,IF(BD178&gt;40000,200,IF(BD178&gt;25000,150,IF(BD178&gt;15000,130,IF(BD178&gt;10000,110,0)))))</f>
        <v>200</v>
      </c>
      <c r="BH178">
        <f>BD178-BE178-BF178-BG178</f>
        <v>42150</v>
      </c>
      <c r="BI178">
        <f>_xlfn.XLOOKUP(B178,'[6]august-2025'!$A:$A,'[6]august-2025'!$C:$C,0,0)</f>
        <v>34500</v>
      </c>
      <c r="BJ178">
        <f>BI178*0.18</f>
        <v>6210</v>
      </c>
      <c r="BK178">
        <f>BI178*0.12</f>
        <v>4140</v>
      </c>
      <c r="BL178">
        <f>_xlfn.XLOOKUP(B178,'[6]august-2025'!$A:$A,'[6]august-2025'!$D:$D,0,0)</f>
        <v>0</v>
      </c>
      <c r="BM178">
        <f>_xlfn.XLOOKUP(B178,'[6]august-2025'!$A:$A,'[6]august-2025'!$G:$G,0,0)</f>
        <v>500</v>
      </c>
      <c r="BN178">
        <f>IF(BI178&gt;0,SUM(BI178:BM178),0)</f>
        <v>45350</v>
      </c>
      <c r="BO178">
        <f>_xlfn.XLOOKUP(B178,'[6]august-2025'!$A:$A,'[6]august-2025'!$H:$H,0,0)</f>
        <v>3000</v>
      </c>
      <c r="BP178">
        <f>_xlfn.XLOOKUP(B178,'[6]august-2025'!$A:$A,'[6]august-2025'!$I:$I,0,0)</f>
        <v>0</v>
      </c>
      <c r="BQ178">
        <f>IF($F178="YES",0,IF(BN178&gt;40000,200,IF(BN178&gt;25000,150,IF(BN178&gt;15000,130,IF(BN178&gt;10000,110,0)))))</f>
        <v>200</v>
      </c>
      <c r="BR178">
        <f>BN178-BO178-BP178-BQ178</f>
        <v>42150</v>
      </c>
      <c r="BS178">
        <f>_xlfn.XLOOKUP(B178,'[7]september-2025'!$A:$A,'[7]september-2025'!$C:$C,0,0)</f>
        <v>34500</v>
      </c>
      <c r="BT178">
        <f>BS178*0.18</f>
        <v>6210</v>
      </c>
      <c r="BU178">
        <f>BS178*0.12</f>
        <v>4140</v>
      </c>
      <c r="BV178">
        <f>_xlfn.XLOOKUP(B178,'[7]september-2025'!$A:$A,'[7]september-2025'!$D:$D,0,0)</f>
        <v>0</v>
      </c>
      <c r="BW178">
        <f>_xlfn.XLOOKUP(B178,'[7]september-2025'!$A:$A,'[7]september-2025'!$G:$G,0,0)</f>
        <v>500</v>
      </c>
      <c r="BX178">
        <f>IF(BS178&gt;0,SUM(BS178:BW178),0)</f>
        <v>45350</v>
      </c>
      <c r="BY178">
        <f>_xlfn.XLOOKUP(B178,'[7]september-2025'!$A:$A,'[7]september-2025'!$H:$H,0,0)</f>
        <v>3000</v>
      </c>
      <c r="BZ178">
        <f>_xlfn.XLOOKUP(B178,'[7]september-2025'!$A:$A,'[7]september-2025'!$I:$I,0,0)</f>
        <v>0</v>
      </c>
      <c r="CA178">
        <f>IF($F178="YES",0,IF(BX178&gt;40000,200,IF(BX178&gt;25000,150,IF(BX178&gt;15000,130,IF(BX178&gt;10000,110,0)))))</f>
        <v>200</v>
      </c>
      <c r="CB178">
        <f>BX178-BY178-BZ178-CA178</f>
        <v>42150</v>
      </c>
      <c r="CC178">
        <f>_xlfn.XLOOKUP(B178,'[8]october-2025'!$A:$A,'[8]october-2025'!$C:$C,0,0)</f>
        <v>34500</v>
      </c>
      <c r="CD178">
        <f>CC178*0.18</f>
        <v>6210</v>
      </c>
      <c r="CE178">
        <f>CC178*0.12</f>
        <v>4140</v>
      </c>
      <c r="CF178">
        <f>_xlfn.XLOOKUP(B178,'[8]october-2025'!$A:$A,'[8]october-2025'!$D:$D,0,0)</f>
        <v>0</v>
      </c>
      <c r="CG178">
        <f>_xlfn.XLOOKUP(B178,'[8]october-2025'!$A:$A,'[8]october-2025'!$G:$G,0,0)</f>
        <v>500</v>
      </c>
      <c r="CH178">
        <f>IF(CC178&gt;0,SUM(CC178:CG178),0)</f>
        <v>45350</v>
      </c>
      <c r="CI178">
        <f>_xlfn.XLOOKUP(B178,'[8]october-2025'!$A:$A,'[8]october-2025'!$H:$H,0,0)</f>
        <v>3000</v>
      </c>
      <c r="CJ178">
        <f>_xlfn.XLOOKUP(B178,'[8]october-2025'!$A:$A,'[8]october-2025'!$I:$I,0,0)</f>
        <v>0</v>
      </c>
      <c r="CK178">
        <f>IF($F178="YES",0,IF(CH178&gt;40000,200,IF(CH178&gt;25000,150,IF(CH178&gt;15000,130,IF(CH178&gt;10000,110,0)))))</f>
        <v>200</v>
      </c>
      <c r="CL178">
        <f>CH178-CI178-CJ178-CK178</f>
        <v>42150</v>
      </c>
      <c r="CM178">
        <f>_xlfn.XLOOKUP(B178,'[9]november-2025'!$A:$A,'[9]november-2025'!$C:$C,0,0)</f>
        <v>34500</v>
      </c>
      <c r="CN178">
        <f>CM178*0.18</f>
        <v>6210</v>
      </c>
      <c r="CO178">
        <f>CM178*0.12</f>
        <v>4140</v>
      </c>
      <c r="CP178">
        <f>_xlfn.XLOOKUP(B178,'[9]november-2025'!$A:$A,'[9]november-2025'!$D:$D,0,0)</f>
        <v>0</v>
      </c>
      <c r="CQ178">
        <f>_xlfn.XLOOKUP(B178,'[9]november-2025'!$A:$A,'[9]november-2025'!$G:$G,0,0)</f>
        <v>500</v>
      </c>
      <c r="CR178">
        <f>IF(CM178&gt;0,SUM(CM178:CQ178),0)</f>
        <v>45350</v>
      </c>
      <c r="CS178">
        <f>_xlfn.XLOOKUP(B178,'[9]november-2025'!$A:$A,'[9]november-2025'!$H:$H,0,0)</f>
        <v>3000</v>
      </c>
      <c r="CT178">
        <f>_xlfn.XLOOKUP(B178,'[9]november-2025'!$A:$A,'[9]november-2025'!$I:$I,0,0)</f>
        <v>0</v>
      </c>
      <c r="CU178">
        <f>IF($F178="YES",0,IF(CR178&gt;40000,200,IF(CR178&gt;25000,150,IF(CR178&gt;15000,130,IF(CR178&gt;10000,110,0)))))</f>
        <v>200</v>
      </c>
      <c r="CV178">
        <f>CR178-CS178-CT178-CU178</f>
        <v>42150</v>
      </c>
      <c r="CW178">
        <f>_xlfn.XLOOKUP(B178,'[10]december-2025'!$A:$A,'[10]december-2025'!$C:$C,0,0)</f>
        <v>34500</v>
      </c>
      <c r="CX178">
        <f>ROUND(CW178*0.18,0)</f>
        <v>6210</v>
      </c>
      <c r="CY178">
        <f>ROUND(CW178*0.12,0)</f>
        <v>4140</v>
      </c>
      <c r="CZ178">
        <f>_xlfn.XLOOKUP(B178,'[10]december-2025'!$A:$A,'[10]december-2025'!$D:$D,0,0)</f>
        <v>0</v>
      </c>
      <c r="DA178">
        <f>_xlfn.XLOOKUP(B178,'[10]december-2025'!$A:$A,'[10]december-2025'!$G:$G,0,0)</f>
        <v>500</v>
      </c>
      <c r="DB178">
        <f>IF(CW178&gt;0,SUM(CW178:DA178),0)</f>
        <v>45350</v>
      </c>
      <c r="DC178">
        <f>_xlfn.XLOOKUP(B178,'[10]december-2025'!$A:$A,'[10]december-2025'!$H:$H,0,0)</f>
        <v>3000</v>
      </c>
      <c r="DD178">
        <f>_xlfn.XLOOKUP(B178,'[10]december-2025'!$A:$A,'[10]december-2025'!$I:$I,0,0)</f>
        <v>0</v>
      </c>
      <c r="DE178">
        <f>IF($F178="YES",0,IF(DB178&gt;40000,200,IF(DB178&gt;25000,150,IF(DB178&gt;15000,130,IF(DB178&gt;10000,110,0)))))</f>
        <v>200</v>
      </c>
      <c r="DF178">
        <f>DB178-DC178-DD178-DE178</f>
        <v>42150</v>
      </c>
      <c r="DG178">
        <f>_xlfn.XLOOKUP(B178,'[11]january-2026'!$A:$A,'[11]january-2026'!$C:$C,0,0)</f>
        <v>34500</v>
      </c>
      <c r="DH178">
        <f>DG178*0.18</f>
        <v>6210</v>
      </c>
      <c r="DI178">
        <f>DG178*0.12</f>
        <v>4140</v>
      </c>
      <c r="DJ178">
        <f>_xlfn.XLOOKUP(B178,'[11]january-2026'!$A:$A,'[11]january-2026'!$D:$D,0,0)</f>
        <v>0</v>
      </c>
      <c r="DK178">
        <f>_xlfn.XLOOKUP(B178,'[11]january-2026'!$A:$A,'[11]january-2026'!$G:$G,0,0)</f>
        <v>500</v>
      </c>
      <c r="DL178">
        <f>IF(DG178&gt;0,SUM(DG178:DK178),0)</f>
        <v>45350</v>
      </c>
      <c r="DM178">
        <f>_xlfn.XLOOKUP(B178,'[11]january-2026'!$A:$A,'[11]january-2026'!$H:$H,0,0)</f>
        <v>3000</v>
      </c>
      <c r="DN178">
        <f>_xlfn.XLOOKUP(B178,'[11]january-2026'!$A:$A,'[11]january-2026'!$I:$I,0,0)</f>
        <v>0</v>
      </c>
      <c r="DO178">
        <f>IF($F178="YES",0,IF(DL178&gt;40000,200,IF(DL178&gt;25000,150,IF(DL178&gt;15000,130,IF(DL178&gt;10000,110,0)))))</f>
        <v>200</v>
      </c>
      <c r="DP178">
        <f>DL178-DM178-DN178-DO178</f>
        <v>42150</v>
      </c>
      <c r="DQ178">
        <f>_xlfn.XLOOKUP(B178,'[12]february-2026'!$A:$A,'[12]february-2026'!$C:$C,0,0)</f>
        <v>34500</v>
      </c>
      <c r="DR178">
        <f>DQ178*0.18</f>
        <v>6210</v>
      </c>
      <c r="DS178">
        <f>DQ178*0.12</f>
        <v>4140</v>
      </c>
      <c r="DT178">
        <f>_xlfn.XLOOKUP(B178,'[12]february-2026'!$A:$A,'[12]february-2026'!$D:$D,0,0)</f>
        <v>0</v>
      </c>
      <c r="DU178">
        <f>_xlfn.XLOOKUP(B178,'[12]february-2026'!$A:$A,'[12]february-2026'!$G:$G,0,0)</f>
        <v>500</v>
      </c>
      <c r="DV178">
        <f>IF(DQ178&gt;0,SUM(DQ178:DU178),0)</f>
        <v>45350</v>
      </c>
      <c r="DW178">
        <f>_xlfn.XLOOKUP(B178,'[12]february-2026'!$A:$A,'[12]february-2026'!$H:$H,0,0)</f>
        <v>3000</v>
      </c>
      <c r="DX178">
        <f>_xlfn.XLOOKUP(B178,'[12]february-2026'!$A:$A,'[12]february-2026'!$I:$I,0,0)</f>
        <v>0</v>
      </c>
      <c r="DY178">
        <f>IF($F178="YES",0,IF(DV178&gt;40000,200,IF(DV178&gt;25000,150,IF(DV178&gt;15000,130,IF(DV178&gt;10000,110,0)))))</f>
        <v>200</v>
      </c>
      <c r="DZ178">
        <f>DV178-DW178-DX178-DY178</f>
        <v>42150</v>
      </c>
      <c r="EA178">
        <f>DV178+DL178+DB178+CR178+CH178+BX178+BN178+BD178+AS178+AI178+Y178+O178+H178+I178</f>
        <v>544460</v>
      </c>
      <c r="EB178">
        <f>DY178+DO178+DE178+CU178+CK178+CA178+BQ178+BG178+AV178+AL178+AB178+R178</f>
        <v>2400</v>
      </c>
      <c r="EC178">
        <f>IF(EA178&gt;0,50000,0)</f>
        <v>50000</v>
      </c>
      <c r="ED178">
        <v>0</v>
      </c>
      <c r="EE178">
        <f>EA178-EB178-EC178</f>
        <v>492060</v>
      </c>
      <c r="EF178">
        <f>DW178+DM178+DC178+CS178+CI178+BY178+BO178+BE178+AT178+AJ178+Z178+P178</f>
        <v>36000</v>
      </c>
      <c r="EG178">
        <f>DX178+DN178+DD178+CT178+CJ178+BZ178+BP178+BF178+AU178+AK178+AA178+Q178</f>
        <v>0</v>
      </c>
      <c r="EH178">
        <v>0</v>
      </c>
      <c r="EI178">
        <v>0</v>
      </c>
      <c r="EJ178">
        <v>0</v>
      </c>
      <c r="EK178">
        <v>0</v>
      </c>
      <c r="EL178">
        <v>0</v>
      </c>
      <c r="EM178">
        <v>0</v>
      </c>
      <c r="EN178">
        <v>0</v>
      </c>
      <c r="EO178">
        <v>0</v>
      </c>
      <c r="EP178">
        <v>0</v>
      </c>
      <c r="EQ178">
        <v>0</v>
      </c>
      <c r="ER178">
        <f>SUM(EF178:EQ178)</f>
        <v>36000</v>
      </c>
      <c r="ES178">
        <f>IF(ER178&gt;=150000,150000,ER178)</f>
        <v>36000</v>
      </c>
      <c r="ET178">
        <f>EE178-ES178</f>
        <v>456060</v>
      </c>
      <c r="EU178">
        <v>0</v>
      </c>
      <c r="EV178">
        <v>0</v>
      </c>
      <c r="EW178">
        <v>0</v>
      </c>
      <c r="EX178">
        <v>0</v>
      </c>
      <c r="EY178">
        <v>0</v>
      </c>
      <c r="EZ178">
        <v>0</v>
      </c>
      <c r="FA178">
        <v>0</v>
      </c>
      <c r="FB178">
        <f>SUM(EU178:FA178)+(IF(F178="YES",50000,0))</f>
        <v>0</v>
      </c>
      <c r="FC178">
        <f>ET178-FB178</f>
        <v>456060</v>
      </c>
      <c r="FD178">
        <f>ROUND(IF(FC178&gt;0,IF(FC178&gt;500000,12500,(FC178-250000)*0.05),0),0)</f>
        <v>10303</v>
      </c>
      <c r="FE178">
        <f>IF(ROUND(IF(FC178&gt;0,IF(FC178&gt;1000000,25000,(FC178-500000)*0.2),0),0)&lt;0,0,ROUND(IF(FC178&gt;0,IF(FC178&gt;1000000,25000,(FC178-500000)*0.2),0),0))</f>
        <v>0</v>
      </c>
      <c r="FF178">
        <f>FD178+FE178</f>
        <v>10303</v>
      </c>
      <c r="FG178">
        <f>IF(FF178&lt;12500,0,FF178)</f>
        <v>0</v>
      </c>
      <c r="FH178">
        <f>FG178*0.04</f>
        <v>0</v>
      </c>
      <c r="FI178">
        <f>ROUND(FH178+FG178,0)</f>
        <v>0</v>
      </c>
      <c r="FJ178">
        <v>0</v>
      </c>
      <c r="FK178">
        <f>FI178-FJ178</f>
        <v>0</v>
      </c>
      <c r="FL178" t="b">
        <f>IF(EA178&gt;500000,TRUE,FALSE)</f>
        <v>1</v>
      </c>
      <c r="FM178">
        <f ca="1">IF(FL178,RANDBETWEEN(500,1000),RANDBETWEEN(1000,3000))</f>
        <v>702</v>
      </c>
      <c r="FN178">
        <f ca="1">EA178+FM178</f>
        <v>545162</v>
      </c>
      <c r="FO178">
        <f>IF(EA178&gt;0,75000,0)</f>
        <v>75000</v>
      </c>
      <c r="FP178">
        <f ca="1">FN178-FO178</f>
        <v>470162</v>
      </c>
      <c r="FQ178">
        <f ca="1">IF(FP178&gt;2400000,FP178-2400000,0)</f>
        <v>0</v>
      </c>
      <c r="FR178">
        <f ca="1">FQ178*0.3</f>
        <v>0</v>
      </c>
      <c r="FS178">
        <f ca="1">IF(FP178&gt;2000000,FP178-2000000,0)</f>
        <v>0</v>
      </c>
      <c r="FT178">
        <f ca="1">FS178*0.25</f>
        <v>0</v>
      </c>
      <c r="FU178">
        <f ca="1">IF(FP178&gt;1600000,FP178-1600000-FQ178,0)</f>
        <v>0</v>
      </c>
      <c r="FV178">
        <f ca="1">FU178*0.2</f>
        <v>0</v>
      </c>
      <c r="FW178">
        <f ca="1">IF(FP178&gt;1200000,FP178-1200000-IF(F178="YES",50000,0)-FU178,0)</f>
        <v>0</v>
      </c>
      <c r="FX178">
        <f ca="1">FW178*0.15</f>
        <v>0</v>
      </c>
      <c r="FY178">
        <f ca="1">IF(FP178&gt;800000,FP178-800000-FQ178-FU178-FW178,0)</f>
        <v>0</v>
      </c>
      <c r="FZ178">
        <f ca="1">FY178*0.1</f>
        <v>0</v>
      </c>
      <c r="GA178">
        <f ca="1">IF(FP178&gt;400000,FP178-400000-FQ178-FU178-FW178-FY178,0)</f>
        <v>70162</v>
      </c>
      <c r="GB178">
        <f ca="1">GA178*0.05</f>
        <v>3508.1000000000004</v>
      </c>
      <c r="GC178">
        <f ca="1">ROUND(FR178+FT178+FV178+FX178+FZ178+GB178,0)</f>
        <v>3508</v>
      </c>
      <c r="GD178">
        <f ca="1">IF(FP178&gt;1200000,FP178,0)</f>
        <v>0</v>
      </c>
      <c r="GE178">
        <f ca="1">IF(FP178&gt;1200000,GD178-1200000,0)</f>
        <v>0</v>
      </c>
      <c r="GF178">
        <f ca="1">IF(FP178&lt;1200001,MIN(GC178,60000),0)</f>
        <v>3508</v>
      </c>
      <c r="GG178">
        <f ca="1">IF(FP178&gt;1200000,GC178-GE178,0)</f>
        <v>0</v>
      </c>
      <c r="GH178" t="b">
        <f ca="1">IF(GG178&gt;0,TRUE,FALSE)</f>
        <v>0</v>
      </c>
      <c r="GI178">
        <f ca="1">IF(GH178,GG178,0)</f>
        <v>0</v>
      </c>
      <c r="GJ178">
        <f ca="1">GF178+GI178</f>
        <v>3508</v>
      </c>
      <c r="GK178">
        <f ca="1">ROUND(GC178-GJ178,0)</f>
        <v>0</v>
      </c>
      <c r="GL178">
        <f ca="1">GK178*0.04</f>
        <v>0</v>
      </c>
      <c r="GM178">
        <f ca="1">ROUNDUP(GK178+GL178,0)</f>
        <v>0</v>
      </c>
    </row>
    <row r="179" spans="1:195" x14ac:dyDescent="0.25">
      <c r="A179">
        <f>_xlfn.AGGREGATE(3,5,$B$2:B179)</f>
        <v>178</v>
      </c>
      <c r="B179" t="s">
        <v>469</v>
      </c>
      <c r="C179" t="s">
        <v>470</v>
      </c>
      <c r="D179" t="s">
        <v>799</v>
      </c>
      <c r="E179" t="s">
        <v>834</v>
      </c>
      <c r="F179" t="s">
        <v>959</v>
      </c>
      <c r="G179" t="s">
        <v>890</v>
      </c>
      <c r="H179">
        <f>IF(_xlfn.DAYS("31-03-2025",G179)&gt;=180,6800,0)</f>
        <v>6800</v>
      </c>
      <c r="I179">
        <f>_xlfn.XLOOKUP(B179,'[1]march-2025'!$A:$A,'[1]march-2025'!$J:$J,0,0)</f>
        <v>0</v>
      </c>
      <c r="J179">
        <f>_xlfn.XLOOKUP(B179,'[1]march-2025'!$A:$A,'[1]march-2025'!$C:$C,0,0)</f>
        <v>37700</v>
      </c>
      <c r="K179">
        <f>J179*0.14</f>
        <v>5278.0000000000009</v>
      </c>
      <c r="L179">
        <f>J179*0.12</f>
        <v>4524</v>
      </c>
      <c r="M179">
        <f>_xlfn.XLOOKUP(B179,'[1]march-2025'!$A:$A,'[1]march-2025'!$D:$D,0,0)</f>
        <v>0</v>
      </c>
      <c r="N179">
        <f>_xlfn.XLOOKUP(B179,'[1]march-2025'!$A:$A,'[1]march-2025'!$G:$G,0,0)</f>
        <v>500</v>
      </c>
      <c r="O179">
        <f>IF(J179&gt;0,SUM(J179:N179),0)</f>
        <v>48002</v>
      </c>
      <c r="P179">
        <f>_xlfn.XLOOKUP(B179,'[1]march-2025'!$A:$A,'[1]march-2025'!$H:$H,0,0)</f>
        <v>7000</v>
      </c>
      <c r="Q179">
        <f>_xlfn.XLOOKUP(B179,'[1]march-2025'!$A:$A,'[1]march-2025'!$I:$I,0,0)</f>
        <v>0</v>
      </c>
      <c r="R179">
        <f>IF($F179="YES",0,IF(O179&gt;40000,200,IF(O179&gt;25000,150,IF(O179&gt;15000,130,IF(O179&gt;10000,110,0)))))</f>
        <v>200</v>
      </c>
      <c r="S179">
        <f>O179-P179-Q179-R179</f>
        <v>40802</v>
      </c>
      <c r="T179">
        <f>_xlfn.XLOOKUP(B179,'[2]april-2025'!$A:$A,'[2]april-2025'!$C:$C,0,0)</f>
        <v>37700</v>
      </c>
      <c r="U179">
        <f>T179*0.18</f>
        <v>6786</v>
      </c>
      <c r="V179">
        <f>T179*0.12</f>
        <v>4524</v>
      </c>
      <c r="W179">
        <f>_xlfn.XLOOKUP(B179,'[2]april-2025'!$A:$A,'[2]april-2025'!$D:$D,0,0)</f>
        <v>0</v>
      </c>
      <c r="X179">
        <f>_xlfn.XLOOKUP(B179,'[2]april-2025'!$A:$A,'[2]april-2025'!$G:$G,0,0)</f>
        <v>500</v>
      </c>
      <c r="Y179">
        <f>IF(T179&gt;0,SUM(T179:X179),0)</f>
        <v>49510</v>
      </c>
      <c r="Z179">
        <f>_xlfn.XLOOKUP(B179,'[2]april-2025'!$A:$A,'[2]april-2025'!$H:$H,0,0)</f>
        <v>7000</v>
      </c>
      <c r="AA179">
        <f>_xlfn.XLOOKUP(B179,'[2]april-2025'!$A:$A,'[2]april-2025'!$I:$I,0,0)</f>
        <v>0</v>
      </c>
      <c r="AB179">
        <f>IF($F179="YES",0,IF(Y179&gt;40000,200,IF(Y179&gt;25000,150,IF(Y179&gt;15000,130,IF(Y179&gt;10000,110,0)))))</f>
        <v>200</v>
      </c>
      <c r="AC179">
        <f>Y179-Z179-AA179-AB179</f>
        <v>42310</v>
      </c>
      <c r="AD179">
        <f>_xlfn.XLOOKUP(B179,'[3]may-2025'!$A:$A,'[3]may-2025'!$C:$C,0,0)</f>
        <v>37700</v>
      </c>
      <c r="AE179">
        <f>AD179*0.18</f>
        <v>6786</v>
      </c>
      <c r="AF179">
        <f>AD179*0.12</f>
        <v>4524</v>
      </c>
      <c r="AG179">
        <f>_xlfn.XLOOKUP(B179,'[3]may-2025'!$A:$A,'[3]may-2025'!$D:$D,0,0)</f>
        <v>0</v>
      </c>
      <c r="AH179">
        <f>_xlfn.XLOOKUP(B179,'[3]may-2025'!$A:$A,'[3]may-2025'!$G:$G,0,0)</f>
        <v>500</v>
      </c>
      <c r="AI179">
        <f>IF(AD179&gt;0,SUM(AD179:AH179),0)</f>
        <v>49510</v>
      </c>
      <c r="AJ179">
        <f>_xlfn.XLOOKUP(B179,'[3]may-2025'!$A:$A,'[3]may-2025'!$H:$H,0,0)</f>
        <v>7000</v>
      </c>
      <c r="AK179">
        <f>_xlfn.XLOOKUP(B179,'[3]may-2025'!$A:$A,'[3]may-2025'!$I:$I,0,0)</f>
        <v>0</v>
      </c>
      <c r="AL179">
        <f>IF($F179="YES",0,IF(AI179&gt;40000,200,IF(AI179&gt;25000,150,IF(AI179&gt;15000,130,IF(AI179&gt;10000,110,0)))))</f>
        <v>200</v>
      </c>
      <c r="AM179">
        <f>AI179-AJ179-AK179-AL179</f>
        <v>42310</v>
      </c>
      <c r="AN179">
        <f>_xlfn.XLOOKUP(B179,'[4]june-2025'!$A:$A,'[4]june-2025'!$C:$C,0,0)</f>
        <v>37700</v>
      </c>
      <c r="AO179">
        <f>AN179*0.18</f>
        <v>6786</v>
      </c>
      <c r="AP179">
        <f>AN179*0.12</f>
        <v>4524</v>
      </c>
      <c r="AQ179">
        <f>_xlfn.XLOOKUP(B179,'[4]june-2025'!$A:$A,'[4]june-2025'!$D:$D,0,0)</f>
        <v>0</v>
      </c>
      <c r="AR179">
        <f>_xlfn.XLOOKUP(B179,'[4]june-2025'!$A:$A,'[4]june-2025'!$G:$G,0,0)</f>
        <v>500</v>
      </c>
      <c r="AS179">
        <f>IF(AN179&gt;0,SUM(AN179:AR179),0)</f>
        <v>49510</v>
      </c>
      <c r="AT179">
        <f>_xlfn.XLOOKUP(B179,'[4]june-2025'!$A:$A,'[4]june-2025'!$H:$H,0,0)</f>
        <v>7000</v>
      </c>
      <c r="AU179">
        <f>_xlfn.XLOOKUP(B179,'[4]june-2025'!$A:$A,'[4]june-2025'!$I:$I,0,0)</f>
        <v>0</v>
      </c>
      <c r="AV179">
        <f>IF($F179="YES",0,IF(AS179&gt;40000,200,IF(AS179&gt;25000,150,IF(AS179&gt;15000,130,IF(AS179&gt;10000,110,0)))))</f>
        <v>200</v>
      </c>
      <c r="AW179">
        <f>AS179-AT179-AU179-AV179</f>
        <v>42310</v>
      </c>
      <c r="AX179">
        <f>_xlfn.XLOOKUP(B179,'[5]july-2025'!$A:$A,'[5]july-2025'!$C:$C,0,0)</f>
        <v>38800</v>
      </c>
      <c r="AY179">
        <f>AX179*0.18</f>
        <v>6984</v>
      </c>
      <c r="AZ179">
        <v>0</v>
      </c>
      <c r="BA179">
        <f>AX179*0.12</f>
        <v>4656</v>
      </c>
      <c r="BB179">
        <f>_xlfn.XLOOKUP(B179,'[5]july-2025'!$A:$A,'[5]july-2025'!$D:$D,0,0)</f>
        <v>0</v>
      </c>
      <c r="BC179">
        <f>_xlfn.XLOOKUP(B179,'[5]july-2025'!$A:$A,'[5]july-2025'!$G:$G,0,0)</f>
        <v>500</v>
      </c>
      <c r="BD179">
        <f>IF(AX179&gt;0,SUM(AX179:BC179),0)</f>
        <v>50940</v>
      </c>
      <c r="BE179">
        <f>_xlfn.XLOOKUP(B179,'[5]july-2025'!$A:$A,'[5]july-2025'!$H:$H,0,0)</f>
        <v>7000</v>
      </c>
      <c r="BF179">
        <f>_xlfn.XLOOKUP(B179,'[5]july-2025'!$A:$A,'[5]july-2025'!$I:$I,0,0)</f>
        <v>0</v>
      </c>
      <c r="BG179">
        <f>IF($F179="YES",0,IF(BD179&gt;40000,200,IF(BD179&gt;25000,150,IF(BD179&gt;15000,130,IF(BD179&gt;10000,110,0)))))</f>
        <v>200</v>
      </c>
      <c r="BH179">
        <f>BD179-BE179-BF179-BG179</f>
        <v>43740</v>
      </c>
      <c r="BI179">
        <f>_xlfn.XLOOKUP(B179,'[6]august-2025'!$A:$A,'[6]august-2025'!$C:$C,0,0)</f>
        <v>38800</v>
      </c>
      <c r="BJ179">
        <f>BI179*0.18</f>
        <v>6984</v>
      </c>
      <c r="BK179">
        <f>BI179*0.12</f>
        <v>4656</v>
      </c>
      <c r="BL179">
        <f>_xlfn.XLOOKUP(B179,'[6]august-2025'!$A:$A,'[6]august-2025'!$D:$D,0,0)</f>
        <v>0</v>
      </c>
      <c r="BM179">
        <f>_xlfn.XLOOKUP(B179,'[6]august-2025'!$A:$A,'[6]august-2025'!$G:$G,0,0)</f>
        <v>500</v>
      </c>
      <c r="BN179">
        <f>IF(BI179&gt;0,SUM(BI179:BM179),0)</f>
        <v>50940</v>
      </c>
      <c r="BO179">
        <f>_xlfn.XLOOKUP(B179,'[6]august-2025'!$A:$A,'[6]august-2025'!$H:$H,0,0)</f>
        <v>7000</v>
      </c>
      <c r="BP179">
        <f>_xlfn.XLOOKUP(B179,'[6]august-2025'!$A:$A,'[6]august-2025'!$I:$I,0,0)</f>
        <v>0</v>
      </c>
      <c r="BQ179">
        <f>IF($F179="YES",0,IF(BN179&gt;40000,200,IF(BN179&gt;25000,150,IF(BN179&gt;15000,130,IF(BN179&gt;10000,110,0)))))</f>
        <v>200</v>
      </c>
      <c r="BR179">
        <f>BN179-BO179-BP179-BQ179</f>
        <v>43740</v>
      </c>
      <c r="BS179">
        <f>_xlfn.XLOOKUP(B179,'[7]september-2025'!$A:$A,'[7]september-2025'!$C:$C,0,0)</f>
        <v>38800</v>
      </c>
      <c r="BT179">
        <f>BS179*0.18</f>
        <v>6984</v>
      </c>
      <c r="BU179">
        <f>BS179*0.12</f>
        <v>4656</v>
      </c>
      <c r="BV179">
        <f>_xlfn.XLOOKUP(B179,'[7]september-2025'!$A:$A,'[7]september-2025'!$D:$D,0,0)</f>
        <v>0</v>
      </c>
      <c r="BW179">
        <f>_xlfn.XLOOKUP(B179,'[7]september-2025'!$A:$A,'[7]september-2025'!$G:$G,0,0)</f>
        <v>500</v>
      </c>
      <c r="BX179">
        <f>IF(BS179&gt;0,SUM(BS179:BW179),0)</f>
        <v>50940</v>
      </c>
      <c r="BY179">
        <f>_xlfn.XLOOKUP(B179,'[7]september-2025'!$A:$A,'[7]september-2025'!$H:$H,0,0)</f>
        <v>7000</v>
      </c>
      <c r="BZ179">
        <f>_xlfn.XLOOKUP(B179,'[7]september-2025'!$A:$A,'[7]september-2025'!$I:$I,0,0)</f>
        <v>0</v>
      </c>
      <c r="CA179">
        <f>IF($F179="YES",0,IF(BX179&gt;40000,200,IF(BX179&gt;25000,150,IF(BX179&gt;15000,130,IF(BX179&gt;10000,110,0)))))</f>
        <v>200</v>
      </c>
      <c r="CB179">
        <f>BX179-BY179-BZ179-CA179</f>
        <v>43740</v>
      </c>
      <c r="CC179">
        <f>_xlfn.XLOOKUP(B179,'[8]october-2025'!$A:$A,'[8]october-2025'!$C:$C,0,0)</f>
        <v>38800</v>
      </c>
      <c r="CD179">
        <f>CC179*0.18</f>
        <v>6984</v>
      </c>
      <c r="CE179">
        <f>CC179*0.12</f>
        <v>4656</v>
      </c>
      <c r="CF179">
        <f>_xlfn.XLOOKUP(B179,'[8]october-2025'!$A:$A,'[8]october-2025'!$D:$D,0,0)</f>
        <v>0</v>
      </c>
      <c r="CG179">
        <f>_xlfn.XLOOKUP(B179,'[8]october-2025'!$A:$A,'[8]october-2025'!$G:$G,0,0)</f>
        <v>500</v>
      </c>
      <c r="CH179">
        <f>IF(CC179&gt;0,SUM(CC179:CG179),0)</f>
        <v>50940</v>
      </c>
      <c r="CI179">
        <f>_xlfn.XLOOKUP(B179,'[8]october-2025'!$A:$A,'[8]october-2025'!$H:$H,0,0)</f>
        <v>7000</v>
      </c>
      <c r="CJ179">
        <f>_xlfn.XLOOKUP(B179,'[8]october-2025'!$A:$A,'[8]october-2025'!$I:$I,0,0)</f>
        <v>0</v>
      </c>
      <c r="CK179">
        <f>IF($F179="YES",0,IF(CH179&gt;40000,200,IF(CH179&gt;25000,150,IF(CH179&gt;15000,130,IF(CH179&gt;10000,110,0)))))</f>
        <v>200</v>
      </c>
      <c r="CL179">
        <f>CH179-CI179-CJ179-CK179</f>
        <v>43740</v>
      </c>
      <c r="CM179">
        <f>_xlfn.XLOOKUP(B179,'[9]november-2025'!$A:$A,'[9]november-2025'!$C:$C,0,0)</f>
        <v>38800</v>
      </c>
      <c r="CN179">
        <f>CM179*0.18</f>
        <v>6984</v>
      </c>
      <c r="CO179">
        <f>CM179*0.12</f>
        <v>4656</v>
      </c>
      <c r="CP179">
        <f>_xlfn.XLOOKUP(B179,'[9]november-2025'!$A:$A,'[9]november-2025'!$D:$D,0,0)</f>
        <v>0</v>
      </c>
      <c r="CQ179">
        <f>_xlfn.XLOOKUP(B179,'[9]november-2025'!$A:$A,'[9]november-2025'!$G:$G,0,0)</f>
        <v>500</v>
      </c>
      <c r="CR179">
        <f>IF(CM179&gt;0,SUM(CM179:CQ179),0)</f>
        <v>50940</v>
      </c>
      <c r="CS179">
        <f>_xlfn.XLOOKUP(B179,'[9]november-2025'!$A:$A,'[9]november-2025'!$H:$H,0,0)</f>
        <v>7000</v>
      </c>
      <c r="CT179">
        <f>_xlfn.XLOOKUP(B179,'[9]november-2025'!$A:$A,'[9]november-2025'!$I:$I,0,0)</f>
        <v>0</v>
      </c>
      <c r="CU179">
        <f>IF($F179="YES",0,IF(CR179&gt;40000,200,IF(CR179&gt;25000,150,IF(CR179&gt;15000,130,IF(CR179&gt;10000,110,0)))))</f>
        <v>200</v>
      </c>
      <c r="CV179">
        <f>CR179-CS179-CT179-CU179</f>
        <v>43740</v>
      </c>
      <c r="CW179">
        <f>_xlfn.XLOOKUP(B179,'[10]december-2025'!$A:$A,'[10]december-2025'!$C:$C,0,0)</f>
        <v>38800</v>
      </c>
      <c r="CX179">
        <f>ROUND(CW179*0.18,0)</f>
        <v>6984</v>
      </c>
      <c r="CY179">
        <f>ROUND(CW179*0.12,0)</f>
        <v>4656</v>
      </c>
      <c r="CZ179">
        <f>_xlfn.XLOOKUP(B179,'[10]december-2025'!$A:$A,'[10]december-2025'!$D:$D,0,0)</f>
        <v>0</v>
      </c>
      <c r="DA179">
        <f>_xlfn.XLOOKUP(B179,'[10]december-2025'!$A:$A,'[10]december-2025'!$G:$G,0,0)</f>
        <v>500</v>
      </c>
      <c r="DB179">
        <f>IF(CW179&gt;0,SUM(CW179:DA179),0)</f>
        <v>50940</v>
      </c>
      <c r="DC179">
        <f>_xlfn.XLOOKUP(B179,'[10]december-2025'!$A:$A,'[10]december-2025'!$H:$H,0,0)</f>
        <v>7000</v>
      </c>
      <c r="DD179">
        <f>_xlfn.XLOOKUP(B179,'[10]december-2025'!$A:$A,'[10]december-2025'!$I:$I,0,0)</f>
        <v>0</v>
      </c>
      <c r="DE179">
        <f>IF($F179="YES",0,IF(DB179&gt;40000,200,IF(DB179&gt;25000,150,IF(DB179&gt;15000,130,IF(DB179&gt;10000,110,0)))))</f>
        <v>200</v>
      </c>
      <c r="DF179">
        <f>DB179-DC179-DD179-DE179</f>
        <v>43740</v>
      </c>
      <c r="DG179">
        <f>_xlfn.XLOOKUP(B179,'[11]january-2026'!$A:$A,'[11]january-2026'!$C:$C,0,0)</f>
        <v>38800</v>
      </c>
      <c r="DH179">
        <f>DG179*0.18</f>
        <v>6984</v>
      </c>
      <c r="DI179">
        <f>DG179*0.12</f>
        <v>4656</v>
      </c>
      <c r="DJ179">
        <f>_xlfn.XLOOKUP(B179,'[11]january-2026'!$A:$A,'[11]january-2026'!$D:$D,0,0)</f>
        <v>0</v>
      </c>
      <c r="DK179">
        <f>_xlfn.XLOOKUP(B179,'[11]january-2026'!$A:$A,'[11]january-2026'!$G:$G,0,0)</f>
        <v>500</v>
      </c>
      <c r="DL179">
        <f>IF(DG179&gt;0,SUM(DG179:DK179),0)</f>
        <v>50940</v>
      </c>
      <c r="DM179">
        <f>_xlfn.XLOOKUP(B179,'[11]january-2026'!$A:$A,'[11]january-2026'!$H:$H,0,0)</f>
        <v>7000</v>
      </c>
      <c r="DN179">
        <f>_xlfn.XLOOKUP(B179,'[11]january-2026'!$A:$A,'[11]january-2026'!$I:$I,0,0)</f>
        <v>0</v>
      </c>
      <c r="DO179">
        <f>IF($F179="YES",0,IF(DL179&gt;40000,200,IF(DL179&gt;25000,150,IF(DL179&gt;15000,130,IF(DL179&gt;10000,110,0)))))</f>
        <v>200</v>
      </c>
      <c r="DP179">
        <f>DL179-DM179-DN179-DO179</f>
        <v>43740</v>
      </c>
      <c r="DQ179">
        <f>_xlfn.XLOOKUP(B179,'[12]february-2026'!$A:$A,'[12]february-2026'!$C:$C,0,0)</f>
        <v>38800</v>
      </c>
      <c r="DR179">
        <f>DQ179*0.18</f>
        <v>6984</v>
      </c>
      <c r="DS179">
        <f>DQ179*0.12</f>
        <v>4656</v>
      </c>
      <c r="DT179">
        <f>_xlfn.XLOOKUP(B179,'[12]february-2026'!$A:$A,'[12]february-2026'!$D:$D,0,0)</f>
        <v>0</v>
      </c>
      <c r="DU179">
        <f>_xlfn.XLOOKUP(B179,'[12]february-2026'!$A:$A,'[12]february-2026'!$G:$G,0,0)</f>
        <v>500</v>
      </c>
      <c r="DV179">
        <f>IF(DQ179&gt;0,SUM(DQ179:DU179),0)</f>
        <v>50940</v>
      </c>
      <c r="DW179">
        <f>_xlfn.XLOOKUP(B179,'[12]february-2026'!$A:$A,'[12]february-2026'!$H:$H,0,0)</f>
        <v>7000</v>
      </c>
      <c r="DX179">
        <f>_xlfn.XLOOKUP(B179,'[12]february-2026'!$A:$A,'[12]february-2026'!$I:$I,0,0)</f>
        <v>0</v>
      </c>
      <c r="DY179">
        <f>IF($F179="YES",0,IF(DV179&gt;40000,200,IF(DV179&gt;25000,150,IF(DV179&gt;15000,130,IF(DV179&gt;10000,110,0)))))</f>
        <v>200</v>
      </c>
      <c r="DZ179">
        <f>DV179-DW179-DX179-DY179</f>
        <v>43740</v>
      </c>
      <c r="EA179">
        <f>DV179+DL179+DB179+CR179+CH179+BX179+BN179+BD179+AS179+AI179+Y179+O179+H179+I179</f>
        <v>610852</v>
      </c>
      <c r="EB179">
        <f>DY179+DO179+DE179+CU179+CK179+CA179+BQ179+BG179+AV179+AL179+AB179+R179</f>
        <v>2400</v>
      </c>
      <c r="EC179">
        <f>IF(EA179&gt;0,50000,0)</f>
        <v>50000</v>
      </c>
      <c r="ED179">
        <v>0</v>
      </c>
      <c r="EE179">
        <f>EA179-EB179-EC179</f>
        <v>558452</v>
      </c>
      <c r="EF179">
        <f>DW179+DM179+DC179+CS179+CI179+BY179+BO179+BE179+AT179+AJ179+Z179+P179</f>
        <v>84000</v>
      </c>
      <c r="EG179">
        <f>DX179+DN179+DD179+CT179+CJ179+BZ179+BP179+BF179+AU179+AK179+AA179+Q179</f>
        <v>0</v>
      </c>
      <c r="EH179">
        <v>0</v>
      </c>
      <c r="EI179">
        <v>0</v>
      </c>
      <c r="EJ179">
        <v>0</v>
      </c>
      <c r="EK179">
        <v>0</v>
      </c>
      <c r="EL179">
        <v>0</v>
      </c>
      <c r="EM179">
        <v>0</v>
      </c>
      <c r="EN179">
        <v>0</v>
      </c>
      <c r="EO179">
        <v>0</v>
      </c>
      <c r="EP179">
        <v>0</v>
      </c>
      <c r="EQ179">
        <v>0</v>
      </c>
      <c r="ER179">
        <f>SUM(EF179:EQ179)</f>
        <v>84000</v>
      </c>
      <c r="ES179">
        <f>IF(ER179&gt;=150000,150000,ER179)</f>
        <v>84000</v>
      </c>
      <c r="ET179">
        <f>EE179-ES179</f>
        <v>474452</v>
      </c>
      <c r="EU179">
        <v>0</v>
      </c>
      <c r="EV179">
        <v>0</v>
      </c>
      <c r="EW179">
        <v>0</v>
      </c>
      <c r="EX179">
        <v>0</v>
      </c>
      <c r="EY179">
        <v>0</v>
      </c>
      <c r="EZ179">
        <v>0</v>
      </c>
      <c r="FA179">
        <v>0</v>
      </c>
      <c r="FB179">
        <f>SUM(EU179:FA179)+(IF(F179="YES",50000,0))</f>
        <v>0</v>
      </c>
      <c r="FC179">
        <f>ET179-FB179</f>
        <v>474452</v>
      </c>
      <c r="FD179">
        <f>ROUND(IF(FC179&gt;0,IF(FC179&gt;500000,12500,(FC179-250000)*0.05),0),0)</f>
        <v>11223</v>
      </c>
      <c r="FE179">
        <f>IF(ROUND(IF(FC179&gt;0,IF(FC179&gt;1000000,25000,(FC179-500000)*0.2),0),0)&lt;0,0,ROUND(IF(FC179&gt;0,IF(FC179&gt;1000000,25000,(FC179-500000)*0.2),0),0))</f>
        <v>0</v>
      </c>
      <c r="FF179">
        <f>FD179+FE179</f>
        <v>11223</v>
      </c>
      <c r="FG179">
        <f>IF(FF179&lt;12500,0,FF179)</f>
        <v>0</v>
      </c>
      <c r="FH179">
        <f>FG179*0.04</f>
        <v>0</v>
      </c>
      <c r="FI179">
        <f>ROUND(FH179+FG179,0)</f>
        <v>0</v>
      </c>
      <c r="FJ179">
        <v>0</v>
      </c>
      <c r="FK179">
        <f>FI179-FJ179</f>
        <v>0</v>
      </c>
      <c r="FL179" t="b">
        <f>IF(EA179&gt;500000,TRUE,FALSE)</f>
        <v>1</v>
      </c>
      <c r="FM179">
        <f ca="1">IF(FL179,RANDBETWEEN(500,1000),RANDBETWEEN(1000,3000))</f>
        <v>807</v>
      </c>
      <c r="FN179">
        <f ca="1">EA179+FM179</f>
        <v>611659</v>
      </c>
      <c r="FO179">
        <f>IF(EA179&gt;0,75000,0)</f>
        <v>75000</v>
      </c>
      <c r="FP179">
        <f ca="1">FN179-FO179</f>
        <v>536659</v>
      </c>
      <c r="FQ179">
        <f ca="1">IF(FP179&gt;2400000,FP179-2400000,0)</f>
        <v>0</v>
      </c>
      <c r="FR179">
        <f ca="1">FQ179*0.3</f>
        <v>0</v>
      </c>
      <c r="FS179">
        <f ca="1">IF(FP179&gt;2000000,FP179-2000000,0)</f>
        <v>0</v>
      </c>
      <c r="FT179">
        <f ca="1">FS179*0.25</f>
        <v>0</v>
      </c>
      <c r="FU179">
        <f ca="1">IF(FP179&gt;1600000,FP179-1600000-FQ179,0)</f>
        <v>0</v>
      </c>
      <c r="FV179">
        <f ca="1">FU179*0.2</f>
        <v>0</v>
      </c>
      <c r="FW179">
        <f ca="1">IF(FP179&gt;1200000,FP179-1200000-IF(F179="YES",50000,0)-FU179,0)</f>
        <v>0</v>
      </c>
      <c r="FX179">
        <f ca="1">FW179*0.15</f>
        <v>0</v>
      </c>
      <c r="FY179">
        <f ca="1">IF(FP179&gt;800000,FP179-800000-FQ179-FU179-FW179,0)</f>
        <v>0</v>
      </c>
      <c r="FZ179">
        <f ca="1">FY179*0.1</f>
        <v>0</v>
      </c>
      <c r="GA179">
        <f ca="1">IF(FP179&gt;400000,FP179-400000-FQ179-FU179-FW179-FY179,0)</f>
        <v>136659</v>
      </c>
      <c r="GB179">
        <f ca="1">GA179*0.05</f>
        <v>6832.9500000000007</v>
      </c>
      <c r="GC179">
        <f ca="1">ROUND(FR179+FT179+FV179+FX179+FZ179+GB179,0)</f>
        <v>6833</v>
      </c>
      <c r="GD179">
        <f ca="1">IF(FP179&gt;1200000,FP179,0)</f>
        <v>0</v>
      </c>
      <c r="GE179">
        <f ca="1">IF(FP179&gt;1200000,GD179-1200000,0)</f>
        <v>0</v>
      </c>
      <c r="GF179">
        <f ca="1">IF(FP179&lt;1200001,MIN(GC179,60000),0)</f>
        <v>6833</v>
      </c>
      <c r="GG179">
        <f ca="1">IF(FP179&gt;1200000,GC179-GE179,0)</f>
        <v>0</v>
      </c>
      <c r="GH179" t="b">
        <f ca="1">IF(GG179&gt;0,TRUE,FALSE)</f>
        <v>0</v>
      </c>
      <c r="GI179">
        <f ca="1">IF(GH179,GG179,0)</f>
        <v>0</v>
      </c>
      <c r="GJ179">
        <f ca="1">GF179+GI179</f>
        <v>6833</v>
      </c>
      <c r="GK179">
        <f ca="1">ROUND(GC179-GJ179,0)</f>
        <v>0</v>
      </c>
      <c r="GL179">
        <f ca="1">GK179*0.04</f>
        <v>0</v>
      </c>
      <c r="GM179">
        <f ca="1">ROUNDUP(GK179+GL179,0)</f>
        <v>0</v>
      </c>
    </row>
    <row r="180" spans="1:195" x14ac:dyDescent="0.25">
      <c r="A180">
        <f>_xlfn.AGGREGATE(3,5,$B$2:B180)</f>
        <v>179</v>
      </c>
      <c r="B180" t="s">
        <v>471</v>
      </c>
      <c r="C180" t="s">
        <v>472</v>
      </c>
      <c r="D180" t="s">
        <v>799</v>
      </c>
      <c r="E180" t="s">
        <v>833</v>
      </c>
      <c r="F180" t="s">
        <v>959</v>
      </c>
      <c r="G180" t="s">
        <v>936</v>
      </c>
      <c r="H180">
        <f>IF(_xlfn.DAYS("31-03-2025",G180)&gt;=180,6800,0)</f>
        <v>6800</v>
      </c>
      <c r="I180">
        <f>_xlfn.XLOOKUP(B180,'[1]march-2025'!$A:$A,'[1]march-2025'!$J:$J,0,0)</f>
        <v>0</v>
      </c>
      <c r="J180">
        <f>_xlfn.XLOOKUP(B180,'[1]march-2025'!$A:$A,'[1]march-2025'!$C:$C,0,0)</f>
        <v>25400</v>
      </c>
      <c r="K180">
        <f>J180*0.14</f>
        <v>3556.0000000000005</v>
      </c>
      <c r="L180">
        <f>J180*0.12</f>
        <v>3048</v>
      </c>
      <c r="M180">
        <f>_xlfn.XLOOKUP(B180,'[1]march-2025'!$A:$A,'[1]march-2025'!$D:$D,0,0)</f>
        <v>0</v>
      </c>
      <c r="N180">
        <f>_xlfn.XLOOKUP(B180,'[1]march-2025'!$A:$A,'[1]march-2025'!$G:$G,0,0)</f>
        <v>500</v>
      </c>
      <c r="O180">
        <f>IF(J180&gt;0,SUM(J180:N180),0)</f>
        <v>32504</v>
      </c>
      <c r="P180">
        <f>_xlfn.XLOOKUP(B180,'[1]march-2025'!$A:$A,'[1]march-2025'!$H:$H,0,0)</f>
        <v>2000</v>
      </c>
      <c r="Q180">
        <f>_xlfn.XLOOKUP(B180,'[1]march-2025'!$A:$A,'[1]march-2025'!$I:$I,0,0)</f>
        <v>0</v>
      </c>
      <c r="R180">
        <f>IF($F180="YES",0,IF(O180&gt;40000,200,IF(O180&gt;25000,150,IF(O180&gt;15000,130,IF(O180&gt;10000,110,0)))))</f>
        <v>150</v>
      </c>
      <c r="S180">
        <f>O180-P180-Q180-R180</f>
        <v>30354</v>
      </c>
      <c r="T180">
        <f>_xlfn.XLOOKUP(B180,'[2]april-2025'!$A:$A,'[2]april-2025'!$C:$C,0,0)</f>
        <v>25400</v>
      </c>
      <c r="U180">
        <f>T180*0.18</f>
        <v>4572</v>
      </c>
      <c r="V180">
        <f>T180*0.12</f>
        <v>3048</v>
      </c>
      <c r="W180">
        <f>_xlfn.XLOOKUP(B180,'[2]april-2025'!$A:$A,'[2]april-2025'!$D:$D,0,0)</f>
        <v>0</v>
      </c>
      <c r="X180">
        <f>_xlfn.XLOOKUP(B180,'[2]april-2025'!$A:$A,'[2]april-2025'!$G:$G,0,0)</f>
        <v>500</v>
      </c>
      <c r="Y180">
        <f>IF(T180&gt;0,SUM(T180:X180),0)</f>
        <v>33520</v>
      </c>
      <c r="Z180">
        <f>_xlfn.XLOOKUP(B180,'[2]april-2025'!$A:$A,'[2]april-2025'!$H:$H,0,0)</f>
        <v>2000</v>
      </c>
      <c r="AA180">
        <f>_xlfn.XLOOKUP(B180,'[2]april-2025'!$A:$A,'[2]april-2025'!$I:$I,0,0)</f>
        <v>0</v>
      </c>
      <c r="AB180">
        <f>IF($F180="YES",0,IF(Y180&gt;40000,200,IF(Y180&gt;25000,150,IF(Y180&gt;15000,130,IF(Y180&gt;10000,110,0)))))</f>
        <v>150</v>
      </c>
      <c r="AC180">
        <f>Y180-Z180-AA180-AB180</f>
        <v>31370</v>
      </c>
      <c r="AD180">
        <f>_xlfn.XLOOKUP(B180,'[3]may-2025'!$A:$A,'[3]may-2025'!$C:$C,0,0)</f>
        <v>25400</v>
      </c>
      <c r="AE180">
        <f>AD180*0.18</f>
        <v>4572</v>
      </c>
      <c r="AF180">
        <f>AD180*0.12</f>
        <v>3048</v>
      </c>
      <c r="AG180">
        <f>_xlfn.XLOOKUP(B180,'[3]may-2025'!$A:$A,'[3]may-2025'!$D:$D,0,0)</f>
        <v>0</v>
      </c>
      <c r="AH180">
        <f>_xlfn.XLOOKUP(B180,'[3]may-2025'!$A:$A,'[3]may-2025'!$G:$G,0,0)</f>
        <v>500</v>
      </c>
      <c r="AI180">
        <f>IF(AD180&gt;0,SUM(AD180:AH180),0)</f>
        <v>33520</v>
      </c>
      <c r="AJ180">
        <f>_xlfn.XLOOKUP(B180,'[3]may-2025'!$A:$A,'[3]may-2025'!$H:$H,0,0)</f>
        <v>2000</v>
      </c>
      <c r="AK180">
        <f>_xlfn.XLOOKUP(B180,'[3]may-2025'!$A:$A,'[3]may-2025'!$I:$I,0,0)</f>
        <v>0</v>
      </c>
      <c r="AL180">
        <f>IF($F180="YES",0,IF(AI180&gt;40000,200,IF(AI180&gt;25000,150,IF(AI180&gt;15000,130,IF(AI180&gt;10000,110,0)))))</f>
        <v>150</v>
      </c>
      <c r="AM180">
        <f>AI180-AJ180-AK180-AL180</f>
        <v>31370</v>
      </c>
      <c r="AN180">
        <f>_xlfn.XLOOKUP(B180,'[4]june-2025'!$A:$A,'[4]june-2025'!$C:$C,0,0)</f>
        <v>25400</v>
      </c>
      <c r="AO180">
        <f>AN180*0.18</f>
        <v>4572</v>
      </c>
      <c r="AP180">
        <f>AN180*0.12</f>
        <v>3048</v>
      </c>
      <c r="AQ180">
        <f>_xlfn.XLOOKUP(B180,'[4]june-2025'!$A:$A,'[4]june-2025'!$D:$D,0,0)</f>
        <v>0</v>
      </c>
      <c r="AR180">
        <f>_xlfn.XLOOKUP(B180,'[4]june-2025'!$A:$A,'[4]june-2025'!$G:$G,0,0)</f>
        <v>500</v>
      </c>
      <c r="AS180">
        <f>IF(AN180&gt;0,SUM(AN180:AR180),0)</f>
        <v>33520</v>
      </c>
      <c r="AT180">
        <f>_xlfn.XLOOKUP(B180,'[4]june-2025'!$A:$A,'[4]june-2025'!$H:$H,0,0)</f>
        <v>2000</v>
      </c>
      <c r="AU180">
        <f>_xlfn.XLOOKUP(B180,'[4]june-2025'!$A:$A,'[4]june-2025'!$I:$I,0,0)</f>
        <v>0</v>
      </c>
      <c r="AV180">
        <f>IF($F180="YES",0,IF(AS180&gt;40000,200,IF(AS180&gt;25000,150,IF(AS180&gt;15000,130,IF(AS180&gt;10000,110,0)))))</f>
        <v>150</v>
      </c>
      <c r="AW180">
        <f>AS180-AT180-AU180-AV180</f>
        <v>31370</v>
      </c>
      <c r="AX180">
        <f>_xlfn.XLOOKUP(B180,'[5]july-2025'!$A:$A,'[5]july-2025'!$C:$C,0,0)</f>
        <v>26200</v>
      </c>
      <c r="AY180">
        <f>AX180*0.18</f>
        <v>4716</v>
      </c>
      <c r="AZ180">
        <v>0</v>
      </c>
      <c r="BA180">
        <f>AX180*0.12</f>
        <v>3144</v>
      </c>
      <c r="BB180">
        <f>_xlfn.XLOOKUP(B180,'[5]july-2025'!$A:$A,'[5]july-2025'!$D:$D,0,0)</f>
        <v>0</v>
      </c>
      <c r="BC180">
        <f>_xlfn.XLOOKUP(B180,'[5]july-2025'!$A:$A,'[5]july-2025'!$G:$G,0,0)</f>
        <v>500</v>
      </c>
      <c r="BD180">
        <f>IF(AX180&gt;0,SUM(AX180:BC180),0)</f>
        <v>34560</v>
      </c>
      <c r="BE180">
        <f>_xlfn.XLOOKUP(B180,'[5]july-2025'!$A:$A,'[5]july-2025'!$H:$H,0,0)</f>
        <v>2000</v>
      </c>
      <c r="BF180">
        <f>_xlfn.XLOOKUP(B180,'[5]july-2025'!$A:$A,'[5]july-2025'!$I:$I,0,0)</f>
        <v>0</v>
      </c>
      <c r="BG180">
        <f>IF($F180="YES",0,IF(BD180&gt;40000,200,IF(BD180&gt;25000,150,IF(BD180&gt;15000,130,IF(BD180&gt;10000,110,0)))))</f>
        <v>150</v>
      </c>
      <c r="BH180">
        <f>BD180-BE180-BF180-BG180</f>
        <v>32410</v>
      </c>
      <c r="BI180">
        <f>_xlfn.XLOOKUP(B180,'[6]august-2025'!$A:$A,'[6]august-2025'!$C:$C,0,0)</f>
        <v>26200</v>
      </c>
      <c r="BJ180">
        <f>BI180*0.18</f>
        <v>4716</v>
      </c>
      <c r="BK180">
        <f>BI180*0.12</f>
        <v>3144</v>
      </c>
      <c r="BL180">
        <f>_xlfn.XLOOKUP(B180,'[6]august-2025'!$A:$A,'[6]august-2025'!$D:$D,0,0)</f>
        <v>0</v>
      </c>
      <c r="BM180">
        <f>_xlfn.XLOOKUP(B180,'[6]august-2025'!$A:$A,'[6]august-2025'!$G:$G,0,0)</f>
        <v>500</v>
      </c>
      <c r="BN180">
        <f>IF(BI180&gt;0,SUM(BI180:BM180),0)</f>
        <v>34560</v>
      </c>
      <c r="BO180">
        <f>_xlfn.XLOOKUP(B180,'[6]august-2025'!$A:$A,'[6]august-2025'!$H:$H,0,0)</f>
        <v>2000</v>
      </c>
      <c r="BP180">
        <f>_xlfn.XLOOKUP(B180,'[6]august-2025'!$A:$A,'[6]august-2025'!$I:$I,0,0)</f>
        <v>0</v>
      </c>
      <c r="BQ180">
        <f>IF($F180="YES",0,IF(BN180&gt;40000,200,IF(BN180&gt;25000,150,IF(BN180&gt;15000,130,IF(BN180&gt;10000,110,0)))))</f>
        <v>150</v>
      </c>
      <c r="BR180">
        <f>BN180-BO180-BP180-BQ180</f>
        <v>32410</v>
      </c>
      <c r="BS180">
        <f>_xlfn.XLOOKUP(B180,'[7]september-2025'!$A:$A,'[7]september-2025'!$C:$C,0,0)</f>
        <v>26200</v>
      </c>
      <c r="BT180">
        <f>BS180*0.18</f>
        <v>4716</v>
      </c>
      <c r="BU180">
        <f>BS180*0.12</f>
        <v>3144</v>
      </c>
      <c r="BV180">
        <f>_xlfn.XLOOKUP(B180,'[7]september-2025'!$A:$A,'[7]september-2025'!$D:$D,0,0)</f>
        <v>0</v>
      </c>
      <c r="BW180">
        <f>_xlfn.XLOOKUP(B180,'[7]september-2025'!$A:$A,'[7]september-2025'!$G:$G,0,0)</f>
        <v>500</v>
      </c>
      <c r="BX180">
        <f>IF(BS180&gt;0,SUM(BS180:BW180),0)</f>
        <v>34560</v>
      </c>
      <c r="BY180">
        <f>_xlfn.XLOOKUP(B180,'[7]september-2025'!$A:$A,'[7]september-2025'!$H:$H,0,0)</f>
        <v>2000</v>
      </c>
      <c r="BZ180">
        <f>_xlfn.XLOOKUP(B180,'[7]september-2025'!$A:$A,'[7]september-2025'!$I:$I,0,0)</f>
        <v>0</v>
      </c>
      <c r="CA180">
        <f>IF($F180="YES",0,IF(BX180&gt;40000,200,IF(BX180&gt;25000,150,IF(BX180&gt;15000,130,IF(BX180&gt;10000,110,0)))))</f>
        <v>150</v>
      </c>
      <c r="CB180">
        <f>BX180-BY180-BZ180-CA180</f>
        <v>32410</v>
      </c>
      <c r="CC180">
        <f>_xlfn.XLOOKUP(B180,'[8]october-2025'!$A:$A,'[8]october-2025'!$C:$C,0,0)</f>
        <v>26200</v>
      </c>
      <c r="CD180">
        <f>CC180*0.18</f>
        <v>4716</v>
      </c>
      <c r="CE180">
        <f>CC180*0.12</f>
        <v>3144</v>
      </c>
      <c r="CF180">
        <f>_xlfn.XLOOKUP(B180,'[8]october-2025'!$A:$A,'[8]october-2025'!$D:$D,0,0)</f>
        <v>0</v>
      </c>
      <c r="CG180">
        <f>_xlfn.XLOOKUP(B180,'[8]october-2025'!$A:$A,'[8]october-2025'!$G:$G,0,0)</f>
        <v>500</v>
      </c>
      <c r="CH180">
        <f>IF(CC180&gt;0,SUM(CC180:CG180),0)</f>
        <v>34560</v>
      </c>
      <c r="CI180">
        <f>_xlfn.XLOOKUP(B180,'[8]october-2025'!$A:$A,'[8]october-2025'!$H:$H,0,0)</f>
        <v>2000</v>
      </c>
      <c r="CJ180">
        <f>_xlfn.XLOOKUP(B180,'[8]october-2025'!$A:$A,'[8]october-2025'!$I:$I,0,0)</f>
        <v>0</v>
      </c>
      <c r="CK180">
        <f>IF($F180="YES",0,IF(CH180&gt;40000,200,IF(CH180&gt;25000,150,IF(CH180&gt;15000,130,IF(CH180&gt;10000,110,0)))))</f>
        <v>150</v>
      </c>
      <c r="CL180">
        <f>CH180-CI180-CJ180-CK180</f>
        <v>32410</v>
      </c>
      <c r="CM180">
        <f>_xlfn.XLOOKUP(B180,'[9]november-2025'!$A:$A,'[9]november-2025'!$C:$C,0,0)</f>
        <v>26200</v>
      </c>
      <c r="CN180">
        <f>CM180*0.18</f>
        <v>4716</v>
      </c>
      <c r="CO180">
        <f>CM180*0.12</f>
        <v>3144</v>
      </c>
      <c r="CP180">
        <f>_xlfn.XLOOKUP(B180,'[9]november-2025'!$A:$A,'[9]november-2025'!$D:$D,0,0)</f>
        <v>0</v>
      </c>
      <c r="CQ180">
        <f>_xlfn.XLOOKUP(B180,'[9]november-2025'!$A:$A,'[9]november-2025'!$G:$G,0,0)</f>
        <v>500</v>
      </c>
      <c r="CR180">
        <f>IF(CM180&gt;0,SUM(CM180:CQ180),0)</f>
        <v>34560</v>
      </c>
      <c r="CS180">
        <f>_xlfn.XLOOKUP(B180,'[9]november-2025'!$A:$A,'[9]november-2025'!$H:$H,0,0)</f>
        <v>2000</v>
      </c>
      <c r="CT180">
        <f>_xlfn.XLOOKUP(B180,'[9]november-2025'!$A:$A,'[9]november-2025'!$I:$I,0,0)</f>
        <v>0</v>
      </c>
      <c r="CU180">
        <f>IF($F180="YES",0,IF(CR180&gt;40000,200,IF(CR180&gt;25000,150,IF(CR180&gt;15000,130,IF(CR180&gt;10000,110,0)))))</f>
        <v>150</v>
      </c>
      <c r="CV180">
        <f>CR180-CS180-CT180-CU180</f>
        <v>32410</v>
      </c>
      <c r="CW180">
        <f>_xlfn.XLOOKUP(B180,'[10]december-2025'!$A:$A,'[10]december-2025'!$C:$C,0,0)</f>
        <v>26200</v>
      </c>
      <c r="CX180">
        <f>ROUND(CW180*0.18,0)</f>
        <v>4716</v>
      </c>
      <c r="CY180">
        <f>ROUND(CW180*0.12,0)</f>
        <v>3144</v>
      </c>
      <c r="CZ180">
        <f>_xlfn.XLOOKUP(B180,'[10]december-2025'!$A:$A,'[10]december-2025'!$D:$D,0,0)</f>
        <v>0</v>
      </c>
      <c r="DA180">
        <f>_xlfn.XLOOKUP(B180,'[10]december-2025'!$A:$A,'[10]december-2025'!$G:$G,0,0)</f>
        <v>500</v>
      </c>
      <c r="DB180">
        <f>IF(CW180&gt;0,SUM(CW180:DA180),0)</f>
        <v>34560</v>
      </c>
      <c r="DC180">
        <f>_xlfn.XLOOKUP(B180,'[10]december-2025'!$A:$A,'[10]december-2025'!$H:$H,0,0)</f>
        <v>2000</v>
      </c>
      <c r="DD180">
        <f>_xlfn.XLOOKUP(B180,'[10]december-2025'!$A:$A,'[10]december-2025'!$I:$I,0,0)</f>
        <v>0</v>
      </c>
      <c r="DE180">
        <f>IF($F180="YES",0,IF(DB180&gt;40000,200,IF(DB180&gt;25000,150,IF(DB180&gt;15000,130,IF(DB180&gt;10000,110,0)))))</f>
        <v>150</v>
      </c>
      <c r="DF180">
        <f>DB180-DC180-DD180-DE180</f>
        <v>32410</v>
      </c>
      <c r="DG180">
        <f>_xlfn.XLOOKUP(B180,'[11]january-2026'!$A:$A,'[11]january-2026'!$C:$C,0,0)</f>
        <v>26200</v>
      </c>
      <c r="DH180">
        <f>DG180*0.18</f>
        <v>4716</v>
      </c>
      <c r="DI180">
        <f>DG180*0.12</f>
        <v>3144</v>
      </c>
      <c r="DJ180">
        <f>_xlfn.XLOOKUP(B180,'[11]january-2026'!$A:$A,'[11]january-2026'!$D:$D,0,0)</f>
        <v>0</v>
      </c>
      <c r="DK180">
        <f>_xlfn.XLOOKUP(B180,'[11]january-2026'!$A:$A,'[11]january-2026'!$G:$G,0,0)</f>
        <v>500</v>
      </c>
      <c r="DL180">
        <f>IF(DG180&gt;0,SUM(DG180:DK180),0)</f>
        <v>34560</v>
      </c>
      <c r="DM180">
        <f>_xlfn.XLOOKUP(B180,'[11]january-2026'!$A:$A,'[11]january-2026'!$H:$H,0,0)</f>
        <v>2000</v>
      </c>
      <c r="DN180">
        <f>_xlfn.XLOOKUP(B180,'[11]january-2026'!$A:$A,'[11]january-2026'!$I:$I,0,0)</f>
        <v>0</v>
      </c>
      <c r="DO180">
        <f>IF($F180="YES",0,IF(DL180&gt;40000,200,IF(DL180&gt;25000,150,IF(DL180&gt;15000,130,IF(DL180&gt;10000,110,0)))))</f>
        <v>150</v>
      </c>
      <c r="DP180">
        <f>DL180-DM180-DN180-DO180</f>
        <v>32410</v>
      </c>
      <c r="DQ180">
        <f>_xlfn.XLOOKUP(B180,'[12]february-2026'!$A:$A,'[12]february-2026'!$C:$C,0,0)</f>
        <v>26200</v>
      </c>
      <c r="DR180">
        <f>DQ180*0.18</f>
        <v>4716</v>
      </c>
      <c r="DS180">
        <f>DQ180*0.12</f>
        <v>3144</v>
      </c>
      <c r="DT180">
        <f>_xlfn.XLOOKUP(B180,'[12]february-2026'!$A:$A,'[12]february-2026'!$D:$D,0,0)</f>
        <v>0</v>
      </c>
      <c r="DU180">
        <f>_xlfn.XLOOKUP(B180,'[12]february-2026'!$A:$A,'[12]february-2026'!$G:$G,0,0)</f>
        <v>500</v>
      </c>
      <c r="DV180">
        <f>IF(DQ180&gt;0,SUM(DQ180:DU180),0)</f>
        <v>34560</v>
      </c>
      <c r="DW180">
        <f>_xlfn.XLOOKUP(B180,'[12]february-2026'!$A:$A,'[12]february-2026'!$H:$H,0,0)</f>
        <v>2000</v>
      </c>
      <c r="DX180">
        <f>_xlfn.XLOOKUP(B180,'[12]february-2026'!$A:$A,'[12]february-2026'!$I:$I,0,0)</f>
        <v>0</v>
      </c>
      <c r="DY180">
        <f>IF($F180="YES",0,IF(DV180&gt;40000,200,IF(DV180&gt;25000,150,IF(DV180&gt;15000,130,IF(DV180&gt;10000,110,0)))))</f>
        <v>150</v>
      </c>
      <c r="DZ180">
        <f>DV180-DW180-DX180-DY180</f>
        <v>32410</v>
      </c>
      <c r="EA180">
        <f>DV180+DL180+DB180+CR180+CH180+BX180+BN180+BD180+AS180+AI180+Y180+O180+H180+I180</f>
        <v>416344</v>
      </c>
      <c r="EB180">
        <f>DY180+DO180+DE180+CU180+CK180+CA180+BQ180+BG180+AV180+AL180+AB180+R180</f>
        <v>1800</v>
      </c>
      <c r="EC180">
        <f>IF(EA180&gt;0,50000,0)</f>
        <v>50000</v>
      </c>
      <c r="ED180">
        <v>0</v>
      </c>
      <c r="EE180">
        <f>EA180-EB180-EC180</f>
        <v>364544</v>
      </c>
      <c r="EF180">
        <f>DW180+DM180+DC180+CS180+CI180+BY180+BO180+BE180+AT180+AJ180+Z180+P180</f>
        <v>24000</v>
      </c>
      <c r="EG180">
        <f>DX180+DN180+DD180+CT180+CJ180+BZ180+BP180+BF180+AU180+AK180+AA180+Q180</f>
        <v>0</v>
      </c>
      <c r="EH180">
        <v>0</v>
      </c>
      <c r="EI180">
        <v>0</v>
      </c>
      <c r="EJ180">
        <v>0</v>
      </c>
      <c r="EK180">
        <v>0</v>
      </c>
      <c r="EL180">
        <v>0</v>
      </c>
      <c r="EM180">
        <v>0</v>
      </c>
      <c r="EN180">
        <v>0</v>
      </c>
      <c r="EO180">
        <v>0</v>
      </c>
      <c r="EP180">
        <v>0</v>
      </c>
      <c r="EQ180">
        <v>0</v>
      </c>
      <c r="ER180">
        <f>SUM(EF180:EQ180)</f>
        <v>24000</v>
      </c>
      <c r="ES180">
        <f>IF(ER180&gt;=150000,150000,ER180)</f>
        <v>24000</v>
      </c>
      <c r="ET180">
        <f>EE180-ES180</f>
        <v>340544</v>
      </c>
      <c r="EU180">
        <v>0</v>
      </c>
      <c r="EV180">
        <v>0</v>
      </c>
      <c r="EW180">
        <v>0</v>
      </c>
      <c r="EX180">
        <v>0</v>
      </c>
      <c r="EY180">
        <v>0</v>
      </c>
      <c r="EZ180">
        <v>0</v>
      </c>
      <c r="FA180">
        <v>0</v>
      </c>
      <c r="FB180">
        <f>SUM(EU180:FA180)+(IF(F180="YES",50000,0))</f>
        <v>0</v>
      </c>
      <c r="FC180">
        <f>ET180-FB180</f>
        <v>340544</v>
      </c>
      <c r="FD180">
        <f>ROUND(IF(FC180&gt;0,IF(FC180&gt;500000,12500,(FC180-250000)*0.05),0),0)</f>
        <v>4527</v>
      </c>
      <c r="FE180">
        <f>IF(ROUND(IF(FC180&gt;0,IF(FC180&gt;1000000,25000,(FC180-500000)*0.2),0),0)&lt;0,0,ROUND(IF(FC180&gt;0,IF(FC180&gt;1000000,25000,(FC180-500000)*0.2),0),0))</f>
        <v>0</v>
      </c>
      <c r="FF180">
        <f>FD180+FE180</f>
        <v>4527</v>
      </c>
      <c r="FG180">
        <f>IF(FF180&lt;12500,0,FF180)</f>
        <v>0</v>
      </c>
      <c r="FH180">
        <f>FG180*0.04</f>
        <v>0</v>
      </c>
      <c r="FI180">
        <f>ROUND(FH180+FG180,0)</f>
        <v>0</v>
      </c>
      <c r="FJ180">
        <v>0</v>
      </c>
      <c r="FK180">
        <f>FI180-FJ180</f>
        <v>0</v>
      </c>
      <c r="FL180" t="b">
        <f>IF(EA180&gt;500000,TRUE,FALSE)</f>
        <v>0</v>
      </c>
      <c r="FM180">
        <f ca="1">IF(FL180,RANDBETWEEN(500,1000),RANDBETWEEN(1000,3000))</f>
        <v>2779</v>
      </c>
      <c r="FN180">
        <f ca="1">EA180+FM180</f>
        <v>419123</v>
      </c>
      <c r="FO180">
        <f>IF(EA180&gt;0,75000,0)</f>
        <v>75000</v>
      </c>
      <c r="FP180">
        <f ca="1">FN180-FO180</f>
        <v>344123</v>
      </c>
      <c r="FQ180">
        <f ca="1">IF(FP180&gt;2400000,FP180-2400000,0)</f>
        <v>0</v>
      </c>
      <c r="FR180">
        <f ca="1">FQ180*0.3</f>
        <v>0</v>
      </c>
      <c r="FS180">
        <f ca="1">IF(FP180&gt;2000000,FP180-2000000,0)</f>
        <v>0</v>
      </c>
      <c r="FT180">
        <f ca="1">FS180*0.25</f>
        <v>0</v>
      </c>
      <c r="FU180">
        <f ca="1">IF(FP180&gt;1600000,FP180-1600000-FQ180,0)</f>
        <v>0</v>
      </c>
      <c r="FV180">
        <f ca="1">FU180*0.2</f>
        <v>0</v>
      </c>
      <c r="FW180">
        <f ca="1">IF(FP180&gt;1200000,FP180-1200000-IF(F180="YES",50000,0)-FU180,0)</f>
        <v>0</v>
      </c>
      <c r="FX180">
        <f ca="1">FW180*0.15</f>
        <v>0</v>
      </c>
      <c r="FY180">
        <f ca="1">IF(FP180&gt;800000,FP180-800000-FQ180-FU180-FW180,0)</f>
        <v>0</v>
      </c>
      <c r="FZ180">
        <f ca="1">FY180*0.1</f>
        <v>0</v>
      </c>
      <c r="GA180">
        <f ca="1">IF(FP180&gt;400000,FP180-400000-FQ180-FU180-FW180-FY180,0)</f>
        <v>0</v>
      </c>
      <c r="GB180">
        <f ca="1">GA180*0.05</f>
        <v>0</v>
      </c>
      <c r="GC180">
        <f ca="1">ROUND(FR180+FT180+FV180+FX180+FZ180+GB180,0)</f>
        <v>0</v>
      </c>
      <c r="GD180">
        <f ca="1">IF(FP180&gt;1200000,FP180,0)</f>
        <v>0</v>
      </c>
      <c r="GE180">
        <f ca="1">IF(FP180&gt;1200000,GD180-1200000,0)</f>
        <v>0</v>
      </c>
      <c r="GF180">
        <f ca="1">IF(FP180&lt;1200001,MIN(GC180,60000),0)</f>
        <v>0</v>
      </c>
      <c r="GG180">
        <f ca="1">IF(FP180&gt;1200000,GC180-GE180,0)</f>
        <v>0</v>
      </c>
      <c r="GH180" t="b">
        <f ca="1">IF(GG180&gt;0,TRUE,FALSE)</f>
        <v>0</v>
      </c>
      <c r="GI180">
        <f ca="1">IF(GH180,GG180,0)</f>
        <v>0</v>
      </c>
      <c r="GJ180">
        <f ca="1">GF180+GI180</f>
        <v>0</v>
      </c>
      <c r="GK180">
        <f ca="1">ROUND(GC180-GJ180,0)</f>
        <v>0</v>
      </c>
      <c r="GL180">
        <f ca="1">GK180*0.04</f>
        <v>0</v>
      </c>
      <c r="GM180">
        <f ca="1">ROUNDUP(GK180+GL180,0)</f>
        <v>0</v>
      </c>
    </row>
    <row r="181" spans="1:195" x14ac:dyDescent="0.25">
      <c r="A181">
        <f>_xlfn.AGGREGATE(3,5,$B$2:B181)</f>
        <v>180</v>
      </c>
      <c r="B181" t="s">
        <v>473</v>
      </c>
      <c r="C181" t="s">
        <v>474</v>
      </c>
      <c r="D181" t="s">
        <v>799</v>
      </c>
      <c r="E181" t="s">
        <v>833</v>
      </c>
      <c r="F181" t="s">
        <v>959</v>
      </c>
      <c r="G181" t="s">
        <v>937</v>
      </c>
      <c r="H181">
        <f>IF(_xlfn.DAYS("31-03-2025",G181)&gt;=180,6800,0)</f>
        <v>6800</v>
      </c>
      <c r="I181">
        <f>_xlfn.XLOOKUP(B181,'[1]march-2025'!$A:$A,'[1]march-2025'!$J:$J,0,0)</f>
        <v>0</v>
      </c>
      <c r="J181">
        <f>_xlfn.XLOOKUP(B181,'[1]march-2025'!$A:$A,'[1]march-2025'!$C:$C,0,0)</f>
        <v>28900</v>
      </c>
      <c r="K181">
        <f>J181*0.14</f>
        <v>4046.0000000000005</v>
      </c>
      <c r="L181">
        <f>J181*0.12</f>
        <v>3468</v>
      </c>
      <c r="M181">
        <f>_xlfn.XLOOKUP(B181,'[1]march-2025'!$A:$A,'[1]march-2025'!$D:$D,0,0)</f>
        <v>0</v>
      </c>
      <c r="N181">
        <f>_xlfn.XLOOKUP(B181,'[1]march-2025'!$A:$A,'[1]march-2025'!$G:$G,0,0)</f>
        <v>500</v>
      </c>
      <c r="O181">
        <f>IF(J181&gt;0,SUM(J181:N181),0)</f>
        <v>36914</v>
      </c>
      <c r="P181">
        <f>_xlfn.XLOOKUP(B181,'[1]march-2025'!$A:$A,'[1]march-2025'!$H:$H,0,0)</f>
        <v>2000</v>
      </c>
      <c r="Q181">
        <f>_xlfn.XLOOKUP(B181,'[1]march-2025'!$A:$A,'[1]march-2025'!$I:$I,0,0)</f>
        <v>0</v>
      </c>
      <c r="R181">
        <f>IF($F181="YES",0,IF(O181&gt;40000,200,IF(O181&gt;25000,150,IF(O181&gt;15000,130,IF(O181&gt;10000,110,0)))))</f>
        <v>150</v>
      </c>
      <c r="S181">
        <f>O181-P181-Q181-R181</f>
        <v>34764</v>
      </c>
      <c r="T181">
        <f>_xlfn.XLOOKUP(B181,'[2]april-2025'!$A:$A,'[2]april-2025'!$C:$C,0,0)</f>
        <v>28900</v>
      </c>
      <c r="U181">
        <f>T181*0.18</f>
        <v>5202</v>
      </c>
      <c r="V181">
        <f>T181*0.12</f>
        <v>3468</v>
      </c>
      <c r="W181">
        <f>_xlfn.XLOOKUP(B181,'[2]april-2025'!$A:$A,'[2]april-2025'!$D:$D,0,0)</f>
        <v>0</v>
      </c>
      <c r="X181">
        <f>_xlfn.XLOOKUP(B181,'[2]april-2025'!$A:$A,'[2]april-2025'!$G:$G,0,0)</f>
        <v>500</v>
      </c>
      <c r="Y181">
        <f>IF(T181&gt;0,SUM(T181:X181),0)</f>
        <v>38070</v>
      </c>
      <c r="Z181">
        <f>_xlfn.XLOOKUP(B181,'[2]april-2025'!$A:$A,'[2]april-2025'!$H:$H,0,0)</f>
        <v>2000</v>
      </c>
      <c r="AA181">
        <f>_xlfn.XLOOKUP(B181,'[2]april-2025'!$A:$A,'[2]april-2025'!$I:$I,0,0)</f>
        <v>0</v>
      </c>
      <c r="AB181">
        <f>IF($F181="YES",0,IF(Y181&gt;40000,200,IF(Y181&gt;25000,150,IF(Y181&gt;15000,130,IF(Y181&gt;10000,110,0)))))</f>
        <v>150</v>
      </c>
      <c r="AC181">
        <f>Y181-Z181-AA181-AB181</f>
        <v>35920</v>
      </c>
      <c r="AD181">
        <f>_xlfn.XLOOKUP(B181,'[3]may-2025'!$A:$A,'[3]may-2025'!$C:$C,0,0)</f>
        <v>28900</v>
      </c>
      <c r="AE181">
        <f>AD181*0.18</f>
        <v>5202</v>
      </c>
      <c r="AF181">
        <f>AD181*0.12</f>
        <v>3468</v>
      </c>
      <c r="AG181">
        <f>_xlfn.XLOOKUP(B181,'[3]may-2025'!$A:$A,'[3]may-2025'!$D:$D,0,0)</f>
        <v>0</v>
      </c>
      <c r="AH181">
        <f>_xlfn.XLOOKUP(B181,'[3]may-2025'!$A:$A,'[3]may-2025'!$G:$G,0,0)</f>
        <v>500</v>
      </c>
      <c r="AI181">
        <f>IF(AD181&gt;0,SUM(AD181:AH181),0)</f>
        <v>38070</v>
      </c>
      <c r="AJ181">
        <f>_xlfn.XLOOKUP(B181,'[3]may-2025'!$A:$A,'[3]may-2025'!$H:$H,0,0)</f>
        <v>2000</v>
      </c>
      <c r="AK181">
        <f>_xlfn.XLOOKUP(B181,'[3]may-2025'!$A:$A,'[3]may-2025'!$I:$I,0,0)</f>
        <v>0</v>
      </c>
      <c r="AL181">
        <f>IF($F181="YES",0,IF(AI181&gt;40000,200,IF(AI181&gt;25000,150,IF(AI181&gt;15000,130,IF(AI181&gt;10000,110,0)))))</f>
        <v>150</v>
      </c>
      <c r="AM181">
        <f>AI181-AJ181-AK181-AL181</f>
        <v>35920</v>
      </c>
      <c r="AN181">
        <f>_xlfn.XLOOKUP(B181,'[4]june-2025'!$A:$A,'[4]june-2025'!$C:$C,0,0)</f>
        <v>28900</v>
      </c>
      <c r="AO181">
        <f>AN181*0.18</f>
        <v>5202</v>
      </c>
      <c r="AP181">
        <f>AN181*0.12</f>
        <v>3468</v>
      </c>
      <c r="AQ181">
        <f>_xlfn.XLOOKUP(B181,'[4]june-2025'!$A:$A,'[4]june-2025'!$D:$D,0,0)</f>
        <v>0</v>
      </c>
      <c r="AR181">
        <f>_xlfn.XLOOKUP(B181,'[4]june-2025'!$A:$A,'[4]june-2025'!$G:$G,0,0)</f>
        <v>500</v>
      </c>
      <c r="AS181">
        <f>IF(AN181&gt;0,SUM(AN181:AR181),0)</f>
        <v>38070</v>
      </c>
      <c r="AT181">
        <f>_xlfn.XLOOKUP(B181,'[4]june-2025'!$A:$A,'[4]june-2025'!$H:$H,0,0)</f>
        <v>2000</v>
      </c>
      <c r="AU181">
        <f>_xlfn.XLOOKUP(B181,'[4]june-2025'!$A:$A,'[4]june-2025'!$I:$I,0,0)</f>
        <v>0</v>
      </c>
      <c r="AV181">
        <f>IF($F181="YES",0,IF(AS181&gt;40000,200,IF(AS181&gt;25000,150,IF(AS181&gt;15000,130,IF(AS181&gt;10000,110,0)))))</f>
        <v>150</v>
      </c>
      <c r="AW181">
        <f>AS181-AT181-AU181-AV181</f>
        <v>35920</v>
      </c>
      <c r="AX181">
        <f>_xlfn.XLOOKUP(B181,'[5]july-2025'!$A:$A,'[5]july-2025'!$C:$C,0,0)</f>
        <v>29800</v>
      </c>
      <c r="AY181">
        <f>AX181*0.18</f>
        <v>5364</v>
      </c>
      <c r="AZ181">
        <v>0</v>
      </c>
      <c r="BA181">
        <f>AX181*0.12</f>
        <v>3576</v>
      </c>
      <c r="BB181">
        <f>_xlfn.XLOOKUP(B181,'[5]july-2025'!$A:$A,'[5]july-2025'!$D:$D,0,0)</f>
        <v>0</v>
      </c>
      <c r="BC181">
        <f>_xlfn.XLOOKUP(B181,'[5]july-2025'!$A:$A,'[5]july-2025'!$G:$G,0,0)</f>
        <v>500</v>
      </c>
      <c r="BD181">
        <f>IF(AX181&gt;0,SUM(AX181:BC181),0)</f>
        <v>39240</v>
      </c>
      <c r="BE181">
        <f>_xlfn.XLOOKUP(B181,'[5]july-2025'!$A:$A,'[5]july-2025'!$H:$H,0,0)</f>
        <v>2000</v>
      </c>
      <c r="BF181">
        <f>_xlfn.XLOOKUP(B181,'[5]july-2025'!$A:$A,'[5]july-2025'!$I:$I,0,0)</f>
        <v>0</v>
      </c>
      <c r="BG181">
        <f>IF($F181="YES",0,IF(BD181&gt;40000,200,IF(BD181&gt;25000,150,IF(BD181&gt;15000,130,IF(BD181&gt;10000,110,0)))))</f>
        <v>150</v>
      </c>
      <c r="BH181">
        <f>BD181-BE181-BF181-BG181</f>
        <v>37090</v>
      </c>
      <c r="BI181">
        <f>_xlfn.XLOOKUP(B181,'[6]august-2025'!$A:$A,'[6]august-2025'!$C:$C,0,0)</f>
        <v>29800</v>
      </c>
      <c r="BJ181">
        <f>BI181*0.18</f>
        <v>5364</v>
      </c>
      <c r="BK181">
        <f>BI181*0.12</f>
        <v>3576</v>
      </c>
      <c r="BL181">
        <f>_xlfn.XLOOKUP(B181,'[6]august-2025'!$A:$A,'[6]august-2025'!$D:$D,0,0)</f>
        <v>0</v>
      </c>
      <c r="BM181">
        <f>_xlfn.XLOOKUP(B181,'[6]august-2025'!$A:$A,'[6]august-2025'!$G:$G,0,0)</f>
        <v>500</v>
      </c>
      <c r="BN181">
        <f>IF(BI181&gt;0,SUM(BI181:BM181),0)</f>
        <v>39240</v>
      </c>
      <c r="BO181">
        <f>_xlfn.XLOOKUP(B181,'[6]august-2025'!$A:$A,'[6]august-2025'!$H:$H,0,0)</f>
        <v>2000</v>
      </c>
      <c r="BP181">
        <f>_xlfn.XLOOKUP(B181,'[6]august-2025'!$A:$A,'[6]august-2025'!$I:$I,0,0)</f>
        <v>0</v>
      </c>
      <c r="BQ181">
        <f>IF($F181="YES",0,IF(BN181&gt;40000,200,IF(BN181&gt;25000,150,IF(BN181&gt;15000,130,IF(BN181&gt;10000,110,0)))))</f>
        <v>150</v>
      </c>
      <c r="BR181">
        <f>BN181-BO181-BP181-BQ181</f>
        <v>37090</v>
      </c>
      <c r="BS181">
        <f>_xlfn.XLOOKUP(B181,'[7]september-2025'!$A:$A,'[7]september-2025'!$C:$C,0,0)</f>
        <v>29800</v>
      </c>
      <c r="BT181">
        <f>BS181*0.18</f>
        <v>5364</v>
      </c>
      <c r="BU181">
        <f>BS181*0.12</f>
        <v>3576</v>
      </c>
      <c r="BV181">
        <f>_xlfn.XLOOKUP(B181,'[7]september-2025'!$A:$A,'[7]september-2025'!$D:$D,0,0)</f>
        <v>0</v>
      </c>
      <c r="BW181">
        <f>_xlfn.XLOOKUP(B181,'[7]september-2025'!$A:$A,'[7]september-2025'!$G:$G,0,0)</f>
        <v>500</v>
      </c>
      <c r="BX181">
        <f>IF(BS181&gt;0,SUM(BS181:BW181),0)</f>
        <v>39240</v>
      </c>
      <c r="BY181">
        <f>_xlfn.XLOOKUP(B181,'[7]september-2025'!$A:$A,'[7]september-2025'!$H:$H,0,0)</f>
        <v>2000</v>
      </c>
      <c r="BZ181">
        <f>_xlfn.XLOOKUP(B181,'[7]september-2025'!$A:$A,'[7]september-2025'!$I:$I,0,0)</f>
        <v>0</v>
      </c>
      <c r="CA181">
        <f>IF($F181="YES",0,IF(BX181&gt;40000,200,IF(BX181&gt;25000,150,IF(BX181&gt;15000,130,IF(BX181&gt;10000,110,0)))))</f>
        <v>150</v>
      </c>
      <c r="CB181">
        <f>BX181-BY181-BZ181-CA181</f>
        <v>37090</v>
      </c>
      <c r="CC181">
        <f>_xlfn.XLOOKUP(B181,'[8]october-2025'!$A:$A,'[8]october-2025'!$C:$C,0,0)</f>
        <v>29800</v>
      </c>
      <c r="CD181">
        <f>CC181*0.18</f>
        <v>5364</v>
      </c>
      <c r="CE181">
        <f>CC181*0.12</f>
        <v>3576</v>
      </c>
      <c r="CF181">
        <f>_xlfn.XLOOKUP(B181,'[8]october-2025'!$A:$A,'[8]october-2025'!$D:$D,0,0)</f>
        <v>0</v>
      </c>
      <c r="CG181">
        <f>_xlfn.XLOOKUP(B181,'[8]october-2025'!$A:$A,'[8]october-2025'!$G:$G,0,0)</f>
        <v>500</v>
      </c>
      <c r="CH181">
        <f>IF(CC181&gt;0,SUM(CC181:CG181),0)</f>
        <v>39240</v>
      </c>
      <c r="CI181">
        <f>_xlfn.XLOOKUP(B181,'[8]october-2025'!$A:$A,'[8]october-2025'!$H:$H,0,0)</f>
        <v>2000</v>
      </c>
      <c r="CJ181">
        <f>_xlfn.XLOOKUP(B181,'[8]october-2025'!$A:$A,'[8]october-2025'!$I:$I,0,0)</f>
        <v>0</v>
      </c>
      <c r="CK181">
        <f>IF($F181="YES",0,IF(CH181&gt;40000,200,IF(CH181&gt;25000,150,IF(CH181&gt;15000,130,IF(CH181&gt;10000,110,0)))))</f>
        <v>150</v>
      </c>
      <c r="CL181">
        <f>CH181-CI181-CJ181-CK181</f>
        <v>37090</v>
      </c>
      <c r="CM181">
        <f>_xlfn.XLOOKUP(B181,'[9]november-2025'!$A:$A,'[9]november-2025'!$C:$C,0,0)</f>
        <v>29800</v>
      </c>
      <c r="CN181">
        <f>CM181*0.18</f>
        <v>5364</v>
      </c>
      <c r="CO181">
        <f>CM181*0.12</f>
        <v>3576</v>
      </c>
      <c r="CP181">
        <f>_xlfn.XLOOKUP(B181,'[9]november-2025'!$A:$A,'[9]november-2025'!$D:$D,0,0)</f>
        <v>0</v>
      </c>
      <c r="CQ181">
        <f>_xlfn.XLOOKUP(B181,'[9]november-2025'!$A:$A,'[9]november-2025'!$G:$G,0,0)</f>
        <v>500</v>
      </c>
      <c r="CR181">
        <f>IF(CM181&gt;0,SUM(CM181:CQ181),0)</f>
        <v>39240</v>
      </c>
      <c r="CS181">
        <f>_xlfn.XLOOKUP(B181,'[9]november-2025'!$A:$A,'[9]november-2025'!$H:$H,0,0)</f>
        <v>2000</v>
      </c>
      <c r="CT181">
        <f>_xlfn.XLOOKUP(B181,'[9]november-2025'!$A:$A,'[9]november-2025'!$I:$I,0,0)</f>
        <v>0</v>
      </c>
      <c r="CU181">
        <f>IF($F181="YES",0,IF(CR181&gt;40000,200,IF(CR181&gt;25000,150,IF(CR181&gt;15000,130,IF(CR181&gt;10000,110,0)))))</f>
        <v>150</v>
      </c>
      <c r="CV181">
        <f>CR181-CS181-CT181-CU181</f>
        <v>37090</v>
      </c>
      <c r="CW181">
        <f>_xlfn.XLOOKUP(B181,'[10]december-2025'!$A:$A,'[10]december-2025'!$C:$C,0,0)</f>
        <v>29800</v>
      </c>
      <c r="CX181">
        <f>ROUND(CW181*0.18,0)</f>
        <v>5364</v>
      </c>
      <c r="CY181">
        <f>ROUND(CW181*0.12,0)</f>
        <v>3576</v>
      </c>
      <c r="CZ181">
        <f>_xlfn.XLOOKUP(B181,'[10]december-2025'!$A:$A,'[10]december-2025'!$D:$D,0,0)</f>
        <v>0</v>
      </c>
      <c r="DA181">
        <f>_xlfn.XLOOKUP(B181,'[10]december-2025'!$A:$A,'[10]december-2025'!$G:$G,0,0)</f>
        <v>500</v>
      </c>
      <c r="DB181">
        <f>IF(CW181&gt;0,SUM(CW181:DA181),0)</f>
        <v>39240</v>
      </c>
      <c r="DC181">
        <f>_xlfn.XLOOKUP(B181,'[10]december-2025'!$A:$A,'[10]december-2025'!$H:$H,0,0)</f>
        <v>2000</v>
      </c>
      <c r="DD181">
        <f>_xlfn.XLOOKUP(B181,'[10]december-2025'!$A:$A,'[10]december-2025'!$I:$I,0,0)</f>
        <v>0</v>
      </c>
      <c r="DE181">
        <f>IF($F181="YES",0,IF(DB181&gt;40000,200,IF(DB181&gt;25000,150,IF(DB181&gt;15000,130,IF(DB181&gt;10000,110,0)))))</f>
        <v>150</v>
      </c>
      <c r="DF181">
        <f>DB181-DC181-DD181-DE181</f>
        <v>37090</v>
      </c>
      <c r="DG181">
        <f>_xlfn.XLOOKUP(B181,'[11]january-2026'!$A:$A,'[11]january-2026'!$C:$C,0,0)</f>
        <v>29800</v>
      </c>
      <c r="DH181">
        <f>DG181*0.18</f>
        <v>5364</v>
      </c>
      <c r="DI181">
        <f>DG181*0.12</f>
        <v>3576</v>
      </c>
      <c r="DJ181">
        <f>_xlfn.XLOOKUP(B181,'[11]january-2026'!$A:$A,'[11]january-2026'!$D:$D,0,0)</f>
        <v>0</v>
      </c>
      <c r="DK181">
        <f>_xlfn.XLOOKUP(B181,'[11]january-2026'!$A:$A,'[11]january-2026'!$G:$G,0,0)</f>
        <v>500</v>
      </c>
      <c r="DL181">
        <f>IF(DG181&gt;0,SUM(DG181:DK181),0)</f>
        <v>39240</v>
      </c>
      <c r="DM181">
        <f>_xlfn.XLOOKUP(B181,'[11]january-2026'!$A:$A,'[11]january-2026'!$H:$H,0,0)</f>
        <v>2000</v>
      </c>
      <c r="DN181">
        <f>_xlfn.XLOOKUP(B181,'[11]january-2026'!$A:$A,'[11]january-2026'!$I:$I,0,0)</f>
        <v>0</v>
      </c>
      <c r="DO181">
        <f>IF($F181="YES",0,IF(DL181&gt;40000,200,IF(DL181&gt;25000,150,IF(DL181&gt;15000,130,IF(DL181&gt;10000,110,0)))))</f>
        <v>150</v>
      </c>
      <c r="DP181">
        <f>DL181-DM181-DN181-DO181</f>
        <v>37090</v>
      </c>
      <c r="DQ181">
        <f>_xlfn.XLOOKUP(B181,'[12]february-2026'!$A:$A,'[12]february-2026'!$C:$C,0,0)</f>
        <v>29800</v>
      </c>
      <c r="DR181">
        <f>DQ181*0.18</f>
        <v>5364</v>
      </c>
      <c r="DS181">
        <f>DQ181*0.12</f>
        <v>3576</v>
      </c>
      <c r="DT181">
        <f>_xlfn.XLOOKUP(B181,'[12]february-2026'!$A:$A,'[12]february-2026'!$D:$D,0,0)</f>
        <v>0</v>
      </c>
      <c r="DU181">
        <f>_xlfn.XLOOKUP(B181,'[12]february-2026'!$A:$A,'[12]february-2026'!$G:$G,0,0)</f>
        <v>500</v>
      </c>
      <c r="DV181">
        <f>IF(DQ181&gt;0,SUM(DQ181:DU181),0)</f>
        <v>39240</v>
      </c>
      <c r="DW181">
        <f>_xlfn.XLOOKUP(B181,'[12]february-2026'!$A:$A,'[12]february-2026'!$H:$H,0,0)</f>
        <v>2000</v>
      </c>
      <c r="DX181">
        <f>_xlfn.XLOOKUP(B181,'[12]february-2026'!$A:$A,'[12]february-2026'!$I:$I,0,0)</f>
        <v>0</v>
      </c>
      <c r="DY181">
        <f>IF($F181="YES",0,IF(DV181&gt;40000,200,IF(DV181&gt;25000,150,IF(DV181&gt;15000,130,IF(DV181&gt;10000,110,0)))))</f>
        <v>150</v>
      </c>
      <c r="DZ181">
        <f>DV181-DW181-DX181-DY181</f>
        <v>37090</v>
      </c>
      <c r="EA181">
        <f>DV181+DL181+DB181+CR181+CH181+BX181+BN181+BD181+AS181+AI181+Y181+O181+H181+I181</f>
        <v>471844</v>
      </c>
      <c r="EB181">
        <f>DY181+DO181+DE181+CU181+CK181+CA181+BQ181+BG181+AV181+AL181+AB181+R181</f>
        <v>1800</v>
      </c>
      <c r="EC181">
        <f>IF(EA181&gt;0,50000,0)</f>
        <v>50000</v>
      </c>
      <c r="ED181">
        <v>0</v>
      </c>
      <c r="EE181">
        <f>EA181-EB181-EC181</f>
        <v>420044</v>
      </c>
      <c r="EF181">
        <f>DW181+DM181+DC181+CS181+CI181+BY181+BO181+BE181+AT181+AJ181+Z181+P181</f>
        <v>24000</v>
      </c>
      <c r="EG181">
        <f>DX181+DN181+DD181+CT181+CJ181+BZ181+BP181+BF181+AU181+AK181+AA181+Q181</f>
        <v>0</v>
      </c>
      <c r="EH181">
        <v>0</v>
      </c>
      <c r="EI181">
        <v>0</v>
      </c>
      <c r="EJ181">
        <v>0</v>
      </c>
      <c r="EK181">
        <v>0</v>
      </c>
      <c r="EL181">
        <v>0</v>
      </c>
      <c r="EM181">
        <v>0</v>
      </c>
      <c r="EN181">
        <v>0</v>
      </c>
      <c r="EO181">
        <v>0</v>
      </c>
      <c r="EP181">
        <v>0</v>
      </c>
      <c r="EQ181">
        <v>0</v>
      </c>
      <c r="ER181">
        <f>SUM(EF181:EQ181)</f>
        <v>24000</v>
      </c>
      <c r="ES181">
        <f>IF(ER181&gt;=150000,150000,ER181)</f>
        <v>24000</v>
      </c>
      <c r="ET181">
        <f>EE181-ES181</f>
        <v>396044</v>
      </c>
      <c r="EU181">
        <v>0</v>
      </c>
      <c r="EV181">
        <v>0</v>
      </c>
      <c r="EW181">
        <v>0</v>
      </c>
      <c r="EX181">
        <v>0</v>
      </c>
      <c r="EY181">
        <v>0</v>
      </c>
      <c r="EZ181">
        <v>0</v>
      </c>
      <c r="FA181">
        <v>0</v>
      </c>
      <c r="FB181">
        <f>SUM(EU181:FA181)+(IF(F181="YES",50000,0))</f>
        <v>0</v>
      </c>
      <c r="FC181">
        <f>ET181-FB181</f>
        <v>396044</v>
      </c>
      <c r="FD181">
        <f>ROUND(IF(FC181&gt;0,IF(FC181&gt;500000,12500,(FC181-250000)*0.05),0),0)</f>
        <v>7302</v>
      </c>
      <c r="FE181">
        <f>IF(ROUND(IF(FC181&gt;0,IF(FC181&gt;1000000,25000,(FC181-500000)*0.2),0),0)&lt;0,0,ROUND(IF(FC181&gt;0,IF(FC181&gt;1000000,25000,(FC181-500000)*0.2),0),0))</f>
        <v>0</v>
      </c>
      <c r="FF181">
        <f>FD181+FE181</f>
        <v>7302</v>
      </c>
      <c r="FG181">
        <f>IF(FF181&lt;12500,0,FF181)</f>
        <v>0</v>
      </c>
      <c r="FH181">
        <f>FG181*0.04</f>
        <v>0</v>
      </c>
      <c r="FI181">
        <f>ROUND(FH181+FG181,0)</f>
        <v>0</v>
      </c>
      <c r="FJ181">
        <v>0</v>
      </c>
      <c r="FK181">
        <f>FI181-FJ181</f>
        <v>0</v>
      </c>
      <c r="FL181" t="b">
        <f>IF(EA181&gt;500000,TRUE,FALSE)</f>
        <v>0</v>
      </c>
      <c r="FM181">
        <f ca="1">IF(FL181,RANDBETWEEN(500,1000),RANDBETWEEN(1000,3000))</f>
        <v>1034</v>
      </c>
      <c r="FN181">
        <f ca="1">EA181+FM181</f>
        <v>472878</v>
      </c>
      <c r="FO181">
        <f>IF(EA181&gt;0,75000,0)</f>
        <v>75000</v>
      </c>
      <c r="FP181">
        <f ca="1">FN181-FO181</f>
        <v>397878</v>
      </c>
      <c r="FQ181">
        <f ca="1">IF(FP181&gt;2400000,FP181-2400000,0)</f>
        <v>0</v>
      </c>
      <c r="FR181">
        <f ca="1">FQ181*0.3</f>
        <v>0</v>
      </c>
      <c r="FS181">
        <f ca="1">IF(FP181&gt;2000000,FP181-2000000,0)</f>
        <v>0</v>
      </c>
      <c r="FT181">
        <f ca="1">FS181*0.25</f>
        <v>0</v>
      </c>
      <c r="FU181">
        <f ca="1">IF(FP181&gt;1600000,FP181-1600000-FQ181,0)</f>
        <v>0</v>
      </c>
      <c r="FV181">
        <f ca="1">FU181*0.2</f>
        <v>0</v>
      </c>
      <c r="FW181">
        <f ca="1">IF(FP181&gt;1200000,FP181-1200000-IF(F181="YES",50000,0)-FU181,0)</f>
        <v>0</v>
      </c>
      <c r="FX181">
        <f ca="1">FW181*0.15</f>
        <v>0</v>
      </c>
      <c r="FY181">
        <f ca="1">IF(FP181&gt;800000,FP181-800000-FQ181-FU181-FW181,0)</f>
        <v>0</v>
      </c>
      <c r="FZ181">
        <f ca="1">FY181*0.1</f>
        <v>0</v>
      </c>
      <c r="GA181">
        <f ca="1">IF(FP181&gt;400000,FP181-400000-FQ181-FU181-FW181-FY181,0)</f>
        <v>0</v>
      </c>
      <c r="GB181">
        <f ca="1">GA181*0.05</f>
        <v>0</v>
      </c>
      <c r="GC181">
        <f ca="1">ROUND(FR181+FT181+FV181+FX181+FZ181+GB181,0)</f>
        <v>0</v>
      </c>
      <c r="GD181">
        <f ca="1">IF(FP181&gt;1200000,FP181,0)</f>
        <v>0</v>
      </c>
      <c r="GE181">
        <f ca="1">IF(FP181&gt;1200000,GD181-1200000,0)</f>
        <v>0</v>
      </c>
      <c r="GF181">
        <f ca="1">IF(FP181&lt;1200001,MIN(GC181,60000),0)</f>
        <v>0</v>
      </c>
      <c r="GG181">
        <f ca="1">IF(FP181&gt;1200000,GC181-GE181,0)</f>
        <v>0</v>
      </c>
      <c r="GH181" t="b">
        <f ca="1">IF(GG181&gt;0,TRUE,FALSE)</f>
        <v>0</v>
      </c>
      <c r="GI181">
        <f ca="1">IF(GH181,GG181,0)</f>
        <v>0</v>
      </c>
      <c r="GJ181">
        <f ca="1">GF181+GI181</f>
        <v>0</v>
      </c>
      <c r="GK181">
        <f ca="1">ROUND(GC181-GJ181,0)</f>
        <v>0</v>
      </c>
      <c r="GL181">
        <f ca="1">GK181*0.04</f>
        <v>0</v>
      </c>
      <c r="GM181">
        <f ca="1">ROUNDUP(GK181+GL181,0)</f>
        <v>0</v>
      </c>
    </row>
    <row r="182" spans="1:195" x14ac:dyDescent="0.25">
      <c r="A182">
        <f>_xlfn.AGGREGATE(3,5,$B$2:B182)</f>
        <v>181</v>
      </c>
      <c r="B182" t="s">
        <v>475</v>
      </c>
      <c r="C182" t="s">
        <v>476</v>
      </c>
      <c r="D182" t="s">
        <v>800</v>
      </c>
      <c r="E182" t="s">
        <v>833</v>
      </c>
      <c r="F182" t="s">
        <v>959</v>
      </c>
      <c r="G182" t="s">
        <v>887</v>
      </c>
      <c r="H182">
        <f>IF(_xlfn.DAYS("31-03-2025",G182)&gt;=180,6800,0)</f>
        <v>6800</v>
      </c>
      <c r="I182">
        <f>_xlfn.XLOOKUP(B182,'[1]march-2025'!$A:$A,'[1]march-2025'!$J:$J,0,0)</f>
        <v>0</v>
      </c>
      <c r="J182">
        <f>_xlfn.XLOOKUP(B182,'[1]march-2025'!$A:$A,'[1]march-2025'!$C:$C,0,0)</f>
        <v>51700</v>
      </c>
      <c r="K182">
        <f>J182*0.14</f>
        <v>7238.0000000000009</v>
      </c>
      <c r="L182">
        <f>J182*0.12</f>
        <v>6204</v>
      </c>
      <c r="M182">
        <f>_xlfn.XLOOKUP(B182,'[1]march-2025'!$A:$A,'[1]march-2025'!$D:$D,0,0)</f>
        <v>400</v>
      </c>
      <c r="N182">
        <f>_xlfn.XLOOKUP(B182,'[1]march-2025'!$A:$A,'[1]march-2025'!$G:$G,0,0)</f>
        <v>500</v>
      </c>
      <c r="O182">
        <f>IF(J182&gt;0,SUM(J182:N182),0)</f>
        <v>66042</v>
      </c>
      <c r="P182">
        <f>_xlfn.XLOOKUP(B182,'[1]march-2025'!$A:$A,'[1]march-2025'!$H:$H,0,0)</f>
        <v>3500</v>
      </c>
      <c r="Q182">
        <f>_xlfn.XLOOKUP(B182,'[1]march-2025'!$A:$A,'[1]march-2025'!$I:$I,0,0)</f>
        <v>0</v>
      </c>
      <c r="R182">
        <f>IF($F182="YES",0,IF(O182&gt;40000,200,IF(O182&gt;25000,150,IF(O182&gt;15000,130,IF(O182&gt;10000,110,0)))))</f>
        <v>200</v>
      </c>
      <c r="S182">
        <f>O182-P182-Q182-R182</f>
        <v>62342</v>
      </c>
      <c r="T182">
        <f>_xlfn.XLOOKUP(B182,'[2]april-2025'!$A:$A,'[2]april-2025'!$C:$C,0,0)</f>
        <v>51700</v>
      </c>
      <c r="U182">
        <f>T182*0.18</f>
        <v>9306</v>
      </c>
      <c r="V182">
        <f>T182*0.12</f>
        <v>6204</v>
      </c>
      <c r="W182">
        <f>_xlfn.XLOOKUP(B182,'[2]april-2025'!$A:$A,'[2]april-2025'!$D:$D,0,0)</f>
        <v>400</v>
      </c>
      <c r="X182">
        <f>_xlfn.XLOOKUP(B182,'[2]april-2025'!$A:$A,'[2]april-2025'!$G:$G,0,0)</f>
        <v>500</v>
      </c>
      <c r="Y182">
        <f>IF(T182&gt;0,SUM(T182:X182),0)</f>
        <v>68110</v>
      </c>
      <c r="Z182">
        <f>_xlfn.XLOOKUP(B182,'[2]april-2025'!$A:$A,'[2]april-2025'!$H:$H,0,0)</f>
        <v>3500</v>
      </c>
      <c r="AA182">
        <f>_xlfn.XLOOKUP(B182,'[2]april-2025'!$A:$A,'[2]april-2025'!$I:$I,0,0)</f>
        <v>0</v>
      </c>
      <c r="AB182">
        <f>IF($F182="YES",0,IF(Y182&gt;40000,200,IF(Y182&gt;25000,150,IF(Y182&gt;15000,130,IF(Y182&gt;10000,110,0)))))</f>
        <v>200</v>
      </c>
      <c r="AC182">
        <f>Y182-Z182-AA182-AB182</f>
        <v>64410</v>
      </c>
      <c r="AD182">
        <f>_xlfn.XLOOKUP(B182,'[3]may-2025'!$A:$A,'[3]may-2025'!$C:$C,0,0)</f>
        <v>51700</v>
      </c>
      <c r="AE182">
        <f>AD182*0.18</f>
        <v>9306</v>
      </c>
      <c r="AF182">
        <f>AD182*0.12</f>
        <v>6204</v>
      </c>
      <c r="AG182">
        <f>_xlfn.XLOOKUP(B182,'[3]may-2025'!$A:$A,'[3]may-2025'!$D:$D,0,0)</f>
        <v>400</v>
      </c>
      <c r="AH182">
        <f>_xlfn.XLOOKUP(B182,'[3]may-2025'!$A:$A,'[3]may-2025'!$G:$G,0,0)</f>
        <v>500</v>
      </c>
      <c r="AI182">
        <f>IF(AD182&gt;0,SUM(AD182:AH182),0)</f>
        <v>68110</v>
      </c>
      <c r="AJ182">
        <f>_xlfn.XLOOKUP(B182,'[3]may-2025'!$A:$A,'[3]may-2025'!$H:$H,0,0)</f>
        <v>3500</v>
      </c>
      <c r="AK182">
        <f>_xlfn.XLOOKUP(B182,'[3]may-2025'!$A:$A,'[3]may-2025'!$I:$I,0,0)</f>
        <v>0</v>
      </c>
      <c r="AL182">
        <f>IF($F182="YES",0,IF(AI182&gt;40000,200,IF(AI182&gt;25000,150,IF(AI182&gt;15000,130,IF(AI182&gt;10000,110,0)))))</f>
        <v>200</v>
      </c>
      <c r="AM182">
        <f>AI182-AJ182-AK182-AL182</f>
        <v>64410</v>
      </c>
      <c r="AN182">
        <f>_xlfn.XLOOKUP(B182,'[4]june-2025'!$A:$A,'[4]june-2025'!$C:$C,0,0)</f>
        <v>51700</v>
      </c>
      <c r="AO182">
        <f>AN182*0.18</f>
        <v>9306</v>
      </c>
      <c r="AP182">
        <f>AN182*0.12</f>
        <v>6204</v>
      </c>
      <c r="AQ182">
        <f>_xlfn.XLOOKUP(B182,'[4]june-2025'!$A:$A,'[4]june-2025'!$D:$D,0,0)</f>
        <v>400</v>
      </c>
      <c r="AR182">
        <f>_xlfn.XLOOKUP(B182,'[4]june-2025'!$A:$A,'[4]june-2025'!$G:$G,0,0)</f>
        <v>500</v>
      </c>
      <c r="AS182">
        <f>IF(AN182&gt;0,SUM(AN182:AR182),0)</f>
        <v>68110</v>
      </c>
      <c r="AT182">
        <f>_xlfn.XLOOKUP(B182,'[4]june-2025'!$A:$A,'[4]june-2025'!$H:$H,0,0)</f>
        <v>3500</v>
      </c>
      <c r="AU182">
        <f>_xlfn.XLOOKUP(B182,'[4]june-2025'!$A:$A,'[4]june-2025'!$I:$I,0,0)</f>
        <v>0</v>
      </c>
      <c r="AV182">
        <f>IF($F182="YES",0,IF(AS182&gt;40000,200,IF(AS182&gt;25000,150,IF(AS182&gt;15000,130,IF(AS182&gt;10000,110,0)))))</f>
        <v>200</v>
      </c>
      <c r="AW182">
        <f>AS182-AT182-AU182-AV182</f>
        <v>64410</v>
      </c>
      <c r="AX182">
        <f>_xlfn.XLOOKUP(B182,'[5]july-2025'!$A:$A,'[5]july-2025'!$C:$C,0,0)</f>
        <v>53300</v>
      </c>
      <c r="AY182">
        <f>AX182*0.18</f>
        <v>9594</v>
      </c>
      <c r="AZ182">
        <v>0</v>
      </c>
      <c r="BA182">
        <f>AX182*0.12</f>
        <v>6396</v>
      </c>
      <c r="BB182">
        <f>_xlfn.XLOOKUP(B182,'[5]july-2025'!$A:$A,'[5]july-2025'!$D:$D,0,0)</f>
        <v>400</v>
      </c>
      <c r="BC182">
        <f>_xlfn.XLOOKUP(B182,'[5]july-2025'!$A:$A,'[5]july-2025'!$G:$G,0,0)</f>
        <v>500</v>
      </c>
      <c r="BD182">
        <f>IF(AX182&gt;0,SUM(AX182:BC182),0)</f>
        <v>70190</v>
      </c>
      <c r="BE182">
        <f>_xlfn.XLOOKUP(B182,'[5]july-2025'!$A:$A,'[5]july-2025'!$H:$H,0,0)</f>
        <v>3500</v>
      </c>
      <c r="BF182">
        <f>_xlfn.XLOOKUP(B182,'[5]july-2025'!$A:$A,'[5]july-2025'!$I:$I,0,0)</f>
        <v>0</v>
      </c>
      <c r="BG182">
        <f>IF($F182="YES",0,IF(BD182&gt;40000,200,IF(BD182&gt;25000,150,IF(BD182&gt;15000,130,IF(BD182&gt;10000,110,0)))))</f>
        <v>200</v>
      </c>
      <c r="BH182">
        <f>BD182-BE182-BF182-BG182</f>
        <v>66490</v>
      </c>
      <c r="BI182">
        <f>_xlfn.XLOOKUP(B182,'[6]august-2025'!$A:$A,'[6]august-2025'!$C:$C,0,0)</f>
        <v>53300</v>
      </c>
      <c r="BJ182">
        <f>BI182*0.18</f>
        <v>9594</v>
      </c>
      <c r="BK182">
        <f>BI182*0.12</f>
        <v>6396</v>
      </c>
      <c r="BL182">
        <f>_xlfn.XLOOKUP(B182,'[6]august-2025'!$A:$A,'[6]august-2025'!$D:$D,0,0)</f>
        <v>400</v>
      </c>
      <c r="BM182">
        <f>_xlfn.XLOOKUP(B182,'[6]august-2025'!$A:$A,'[6]august-2025'!$G:$G,0,0)</f>
        <v>500</v>
      </c>
      <c r="BN182">
        <f>IF(BI182&gt;0,SUM(BI182:BM182),0)</f>
        <v>70190</v>
      </c>
      <c r="BO182">
        <f>_xlfn.XLOOKUP(B182,'[6]august-2025'!$A:$A,'[6]august-2025'!$H:$H,0,0)</f>
        <v>3500</v>
      </c>
      <c r="BP182">
        <f>_xlfn.XLOOKUP(B182,'[6]august-2025'!$A:$A,'[6]august-2025'!$I:$I,0,0)</f>
        <v>0</v>
      </c>
      <c r="BQ182">
        <f>IF($F182="YES",0,IF(BN182&gt;40000,200,IF(BN182&gt;25000,150,IF(BN182&gt;15000,130,IF(BN182&gt;10000,110,0)))))</f>
        <v>200</v>
      </c>
      <c r="BR182">
        <f>BN182-BO182-BP182-BQ182</f>
        <v>66490</v>
      </c>
      <c r="BS182">
        <f>_xlfn.XLOOKUP(B182,'[7]september-2025'!$A:$A,'[7]september-2025'!$C:$C,0,0)</f>
        <v>53300</v>
      </c>
      <c r="BT182">
        <f>BS182*0.18</f>
        <v>9594</v>
      </c>
      <c r="BU182">
        <f>BS182*0.12</f>
        <v>6396</v>
      </c>
      <c r="BV182">
        <f>_xlfn.XLOOKUP(B182,'[7]september-2025'!$A:$A,'[7]september-2025'!$D:$D,0,0)</f>
        <v>400</v>
      </c>
      <c r="BW182">
        <f>_xlfn.XLOOKUP(B182,'[7]september-2025'!$A:$A,'[7]september-2025'!$G:$G,0,0)</f>
        <v>500</v>
      </c>
      <c r="BX182">
        <f>IF(BS182&gt;0,SUM(BS182:BW182),0)</f>
        <v>70190</v>
      </c>
      <c r="BY182">
        <f>_xlfn.XLOOKUP(B182,'[7]september-2025'!$A:$A,'[7]september-2025'!$H:$H,0,0)</f>
        <v>3500</v>
      </c>
      <c r="BZ182">
        <f>_xlfn.XLOOKUP(B182,'[7]september-2025'!$A:$A,'[7]september-2025'!$I:$I,0,0)</f>
        <v>0</v>
      </c>
      <c r="CA182">
        <f>IF($F182="YES",0,IF(BX182&gt;40000,200,IF(BX182&gt;25000,150,IF(BX182&gt;15000,130,IF(BX182&gt;10000,110,0)))))</f>
        <v>200</v>
      </c>
      <c r="CB182">
        <f>BX182-BY182-BZ182-CA182</f>
        <v>66490</v>
      </c>
      <c r="CC182">
        <f>_xlfn.XLOOKUP(B182,'[8]october-2025'!$A:$A,'[8]october-2025'!$C:$C,0,0)</f>
        <v>53300</v>
      </c>
      <c r="CD182">
        <f>CC182*0.18</f>
        <v>9594</v>
      </c>
      <c r="CE182">
        <f>CC182*0.12</f>
        <v>6396</v>
      </c>
      <c r="CF182">
        <f>_xlfn.XLOOKUP(B182,'[8]october-2025'!$A:$A,'[8]october-2025'!$D:$D,0,0)</f>
        <v>400</v>
      </c>
      <c r="CG182">
        <f>_xlfn.XLOOKUP(B182,'[8]october-2025'!$A:$A,'[8]october-2025'!$G:$G,0,0)</f>
        <v>500</v>
      </c>
      <c r="CH182">
        <f>IF(CC182&gt;0,SUM(CC182:CG182),0)</f>
        <v>70190</v>
      </c>
      <c r="CI182">
        <f>_xlfn.XLOOKUP(B182,'[8]october-2025'!$A:$A,'[8]october-2025'!$H:$H,0,0)</f>
        <v>3500</v>
      </c>
      <c r="CJ182">
        <f>_xlfn.XLOOKUP(B182,'[8]october-2025'!$A:$A,'[8]october-2025'!$I:$I,0,0)</f>
        <v>0</v>
      </c>
      <c r="CK182">
        <f>IF($F182="YES",0,IF(CH182&gt;40000,200,IF(CH182&gt;25000,150,IF(CH182&gt;15000,130,IF(CH182&gt;10000,110,0)))))</f>
        <v>200</v>
      </c>
      <c r="CL182">
        <f>CH182-CI182-CJ182-CK182</f>
        <v>66490</v>
      </c>
      <c r="CM182">
        <f>_xlfn.XLOOKUP(B182,'[9]november-2025'!$A:$A,'[9]november-2025'!$C:$C,0,0)</f>
        <v>53300</v>
      </c>
      <c r="CN182">
        <f>CM182*0.18</f>
        <v>9594</v>
      </c>
      <c r="CO182">
        <f>CM182*0.12</f>
        <v>6396</v>
      </c>
      <c r="CP182">
        <f>_xlfn.XLOOKUP(B182,'[9]november-2025'!$A:$A,'[9]november-2025'!$D:$D,0,0)</f>
        <v>400</v>
      </c>
      <c r="CQ182">
        <f>_xlfn.XLOOKUP(B182,'[9]november-2025'!$A:$A,'[9]november-2025'!$G:$G,0,0)</f>
        <v>500</v>
      </c>
      <c r="CR182">
        <f>IF(CM182&gt;0,SUM(CM182:CQ182),0)</f>
        <v>70190</v>
      </c>
      <c r="CS182">
        <f>_xlfn.XLOOKUP(B182,'[9]november-2025'!$A:$A,'[9]november-2025'!$H:$H,0,0)</f>
        <v>3500</v>
      </c>
      <c r="CT182">
        <f>_xlfn.XLOOKUP(B182,'[9]november-2025'!$A:$A,'[9]november-2025'!$I:$I,0,0)</f>
        <v>0</v>
      </c>
      <c r="CU182">
        <f>IF($F182="YES",0,IF(CR182&gt;40000,200,IF(CR182&gt;25000,150,IF(CR182&gt;15000,130,IF(CR182&gt;10000,110,0)))))</f>
        <v>200</v>
      </c>
      <c r="CV182">
        <f>CR182-CS182-CT182-CU182</f>
        <v>66490</v>
      </c>
      <c r="CW182">
        <f>_xlfn.XLOOKUP(B182,'[10]december-2025'!$A:$A,'[10]december-2025'!$C:$C,0,0)</f>
        <v>53300</v>
      </c>
      <c r="CX182">
        <f>ROUND(CW182*0.18,0)</f>
        <v>9594</v>
      </c>
      <c r="CY182">
        <f>ROUND(CW182*0.12,0)</f>
        <v>6396</v>
      </c>
      <c r="CZ182">
        <f>_xlfn.XLOOKUP(B182,'[10]december-2025'!$A:$A,'[10]december-2025'!$D:$D,0,0)</f>
        <v>400</v>
      </c>
      <c r="DA182">
        <f>_xlfn.XLOOKUP(B182,'[10]december-2025'!$A:$A,'[10]december-2025'!$G:$G,0,0)</f>
        <v>500</v>
      </c>
      <c r="DB182">
        <f>IF(CW182&gt;0,SUM(CW182:DA182),0)</f>
        <v>70190</v>
      </c>
      <c r="DC182">
        <f>_xlfn.XLOOKUP(B182,'[10]december-2025'!$A:$A,'[10]december-2025'!$H:$H,0,0)</f>
        <v>3500</v>
      </c>
      <c r="DD182">
        <f>_xlfn.XLOOKUP(B182,'[10]december-2025'!$A:$A,'[10]december-2025'!$I:$I,0,0)</f>
        <v>0</v>
      </c>
      <c r="DE182">
        <f>IF($F182="YES",0,IF(DB182&gt;40000,200,IF(DB182&gt;25000,150,IF(DB182&gt;15000,130,IF(DB182&gt;10000,110,0)))))</f>
        <v>200</v>
      </c>
      <c r="DF182">
        <f>DB182-DC182-DD182-DE182</f>
        <v>66490</v>
      </c>
      <c r="DG182">
        <f>_xlfn.XLOOKUP(B182,'[11]january-2026'!$A:$A,'[11]january-2026'!$C:$C,0,0)</f>
        <v>53300</v>
      </c>
      <c r="DH182">
        <f>DG182*0.18</f>
        <v>9594</v>
      </c>
      <c r="DI182">
        <f>DG182*0.12</f>
        <v>6396</v>
      </c>
      <c r="DJ182">
        <f>_xlfn.XLOOKUP(B182,'[11]january-2026'!$A:$A,'[11]january-2026'!$D:$D,0,0)</f>
        <v>400</v>
      </c>
      <c r="DK182">
        <f>_xlfn.XLOOKUP(B182,'[11]january-2026'!$A:$A,'[11]january-2026'!$G:$G,0,0)</f>
        <v>500</v>
      </c>
      <c r="DL182">
        <f>IF(DG182&gt;0,SUM(DG182:DK182),0)</f>
        <v>70190</v>
      </c>
      <c r="DM182">
        <f>_xlfn.XLOOKUP(B182,'[11]january-2026'!$A:$A,'[11]january-2026'!$H:$H,0,0)</f>
        <v>3500</v>
      </c>
      <c r="DN182">
        <f>_xlfn.XLOOKUP(B182,'[11]january-2026'!$A:$A,'[11]january-2026'!$I:$I,0,0)</f>
        <v>0</v>
      </c>
      <c r="DO182">
        <f>IF($F182="YES",0,IF(DL182&gt;40000,200,IF(DL182&gt;25000,150,IF(DL182&gt;15000,130,IF(DL182&gt;10000,110,0)))))</f>
        <v>200</v>
      </c>
      <c r="DP182">
        <f>DL182-DM182-DN182-DO182</f>
        <v>66490</v>
      </c>
      <c r="DQ182">
        <f>_xlfn.XLOOKUP(B182,'[12]february-2026'!$A:$A,'[12]february-2026'!$C:$C,0,0)</f>
        <v>53300</v>
      </c>
      <c r="DR182">
        <f>DQ182*0.18</f>
        <v>9594</v>
      </c>
      <c r="DS182">
        <f>DQ182*0.12</f>
        <v>6396</v>
      </c>
      <c r="DT182">
        <f>_xlfn.XLOOKUP(B182,'[12]february-2026'!$A:$A,'[12]february-2026'!$D:$D,0,0)</f>
        <v>400</v>
      </c>
      <c r="DU182">
        <f>_xlfn.XLOOKUP(B182,'[12]february-2026'!$A:$A,'[12]february-2026'!$G:$G,0,0)</f>
        <v>500</v>
      </c>
      <c r="DV182">
        <f>IF(DQ182&gt;0,SUM(DQ182:DU182),0)</f>
        <v>70190</v>
      </c>
      <c r="DW182">
        <f>_xlfn.XLOOKUP(B182,'[12]february-2026'!$A:$A,'[12]february-2026'!$H:$H,0,0)</f>
        <v>3500</v>
      </c>
      <c r="DX182">
        <f>_xlfn.XLOOKUP(B182,'[12]february-2026'!$A:$A,'[12]february-2026'!$I:$I,0,0)</f>
        <v>0</v>
      </c>
      <c r="DY182">
        <f>IF($F182="YES",0,IF(DV182&gt;40000,200,IF(DV182&gt;25000,150,IF(DV182&gt;15000,130,IF(DV182&gt;10000,110,0)))))</f>
        <v>200</v>
      </c>
      <c r="DZ182">
        <f>DV182-DW182-DX182-DY182</f>
        <v>66490</v>
      </c>
      <c r="EA182">
        <f>DV182+DL182+DB182+CR182+CH182+BX182+BN182+BD182+AS182+AI182+Y182+O182+H182+I182</f>
        <v>838692</v>
      </c>
      <c r="EB182">
        <f>DY182+DO182+DE182+CU182+CK182+CA182+BQ182+BG182+AV182+AL182+AB182+R182</f>
        <v>2400</v>
      </c>
      <c r="EC182">
        <f>IF(EA182&gt;0,50000,0)</f>
        <v>50000</v>
      </c>
      <c r="ED182">
        <v>0</v>
      </c>
      <c r="EE182">
        <f>EA182-EB182-EC182</f>
        <v>786292</v>
      </c>
      <c r="EF182">
        <f>DW182+DM182+DC182+CS182+CI182+BY182+BO182+BE182+AT182+AJ182+Z182+P182</f>
        <v>42000</v>
      </c>
      <c r="EG182">
        <f>DX182+DN182+DD182+CT182+CJ182+BZ182+BP182+BF182+AU182+AK182+AA182+Q182</f>
        <v>0</v>
      </c>
      <c r="EH182">
        <v>0</v>
      </c>
      <c r="EI182">
        <v>0</v>
      </c>
      <c r="EJ182">
        <v>0</v>
      </c>
      <c r="EK182">
        <v>0</v>
      </c>
      <c r="EL182">
        <v>0</v>
      </c>
      <c r="EM182">
        <v>0</v>
      </c>
      <c r="EN182">
        <v>0</v>
      </c>
      <c r="EO182">
        <v>0</v>
      </c>
      <c r="EP182">
        <v>0</v>
      </c>
      <c r="EQ182">
        <v>0</v>
      </c>
      <c r="ER182">
        <f>SUM(EF182:EQ182)</f>
        <v>42000</v>
      </c>
      <c r="ES182">
        <f>IF(ER182&gt;=150000,150000,ER182)</f>
        <v>42000</v>
      </c>
      <c r="ET182">
        <f>EE182-ES182</f>
        <v>744292</v>
      </c>
      <c r="EU182">
        <v>0</v>
      </c>
      <c r="EV182">
        <v>0</v>
      </c>
      <c r="EW182">
        <v>0</v>
      </c>
      <c r="EX182">
        <v>0</v>
      </c>
      <c r="EY182">
        <v>0</v>
      </c>
      <c r="EZ182">
        <v>0</v>
      </c>
      <c r="FA182">
        <v>0</v>
      </c>
      <c r="FB182">
        <f>SUM(EU182:FA182)+(IF(F182="YES",50000,0))</f>
        <v>0</v>
      </c>
      <c r="FC182">
        <f>ET182-FB182</f>
        <v>744292</v>
      </c>
      <c r="FD182">
        <f>ROUND(IF(FC182&gt;0,IF(FC182&gt;500000,12500,(FC182-250000)*0.05),0),0)</f>
        <v>12500</v>
      </c>
      <c r="FE182">
        <f>IF(ROUND(IF(FC182&gt;0,IF(FC182&gt;1000000,25000,(FC182-500000)*0.2),0),0)&lt;0,0,ROUND(IF(FC182&gt;0,IF(FC182&gt;1000000,25000,(FC182-500000)*0.2),0),0))</f>
        <v>48858</v>
      </c>
      <c r="FF182">
        <f>FD182+FE182</f>
        <v>61358</v>
      </c>
      <c r="FG182">
        <f>IF(FF182&lt;12500,0,FF182)</f>
        <v>61358</v>
      </c>
      <c r="FH182">
        <f>FG182*0.04</f>
        <v>2454.3200000000002</v>
      </c>
      <c r="FI182">
        <f>ROUND(FH182+FG182,0)</f>
        <v>63812</v>
      </c>
      <c r="FJ182">
        <v>0</v>
      </c>
      <c r="FK182">
        <f>FI182-FJ182</f>
        <v>63812</v>
      </c>
      <c r="FL182" t="b">
        <f>IF(EA182&gt;500000,TRUE,FALSE)</f>
        <v>1</v>
      </c>
      <c r="FM182">
        <f ca="1">IF(FL182,RANDBETWEEN(500,1000),RANDBETWEEN(1000,3000))</f>
        <v>682</v>
      </c>
      <c r="FN182">
        <f ca="1">EA182+FM182</f>
        <v>839374</v>
      </c>
      <c r="FO182">
        <f>IF(EA182&gt;0,75000,0)</f>
        <v>75000</v>
      </c>
      <c r="FP182">
        <f ca="1">FN182-FO182</f>
        <v>764374</v>
      </c>
      <c r="FQ182">
        <f ca="1">IF(FP182&gt;2400000,FP182-2400000,0)</f>
        <v>0</v>
      </c>
      <c r="FR182">
        <f ca="1">FQ182*0.3</f>
        <v>0</v>
      </c>
      <c r="FS182">
        <f ca="1">IF(FP182&gt;2000000,FP182-2000000,0)</f>
        <v>0</v>
      </c>
      <c r="FT182">
        <f ca="1">FS182*0.25</f>
        <v>0</v>
      </c>
      <c r="FU182">
        <f ca="1">IF(FP182&gt;1600000,FP182-1600000-FQ182,0)</f>
        <v>0</v>
      </c>
      <c r="FV182">
        <f ca="1">FU182*0.2</f>
        <v>0</v>
      </c>
      <c r="FW182">
        <f ca="1">IF(FP182&gt;1200000,FP182-1200000-IF(F182="YES",50000,0)-FU182,0)</f>
        <v>0</v>
      </c>
      <c r="FX182">
        <f ca="1">FW182*0.15</f>
        <v>0</v>
      </c>
      <c r="FY182">
        <f ca="1">IF(FP182&gt;800000,FP182-800000-FQ182-FU182-FW182,0)</f>
        <v>0</v>
      </c>
      <c r="FZ182">
        <f ca="1">FY182*0.1</f>
        <v>0</v>
      </c>
      <c r="GA182">
        <f ca="1">IF(FP182&gt;400000,FP182-400000-FQ182-FU182-FW182-FY182,0)</f>
        <v>364374</v>
      </c>
      <c r="GB182">
        <f ca="1">GA182*0.05</f>
        <v>18218.7</v>
      </c>
      <c r="GC182">
        <f ca="1">ROUND(FR182+FT182+FV182+FX182+FZ182+GB182,0)</f>
        <v>18219</v>
      </c>
      <c r="GD182">
        <f ca="1">IF(FP182&gt;1200000,FP182,0)</f>
        <v>0</v>
      </c>
      <c r="GE182">
        <f ca="1">IF(FP182&gt;1200000,GD182-1200000,0)</f>
        <v>0</v>
      </c>
      <c r="GF182">
        <f ca="1">IF(FP182&lt;1200001,MIN(GC182,60000),0)</f>
        <v>18219</v>
      </c>
      <c r="GG182">
        <f ca="1">IF(FP182&gt;1200000,GC182-GE182,0)</f>
        <v>0</v>
      </c>
      <c r="GH182" t="b">
        <f ca="1">IF(GG182&gt;0,TRUE,FALSE)</f>
        <v>0</v>
      </c>
      <c r="GI182">
        <f ca="1">IF(GH182,GG182,0)</f>
        <v>0</v>
      </c>
      <c r="GJ182">
        <f ca="1">GF182+GI182</f>
        <v>18219</v>
      </c>
      <c r="GK182">
        <f ca="1">ROUND(GC182-GJ182,0)</f>
        <v>0</v>
      </c>
      <c r="GL182">
        <f ca="1">GK182*0.04</f>
        <v>0</v>
      </c>
      <c r="GM182">
        <f ca="1">ROUNDUP(GK182+GL182,0)</f>
        <v>0</v>
      </c>
    </row>
    <row r="183" spans="1:195" x14ac:dyDescent="0.25">
      <c r="A183">
        <f>_xlfn.AGGREGATE(3,5,$B$2:B183)</f>
        <v>182</v>
      </c>
      <c r="B183" t="s">
        <v>477</v>
      </c>
      <c r="C183" t="s">
        <v>478</v>
      </c>
      <c r="D183" t="s">
        <v>800</v>
      </c>
      <c r="E183" t="s">
        <v>833</v>
      </c>
      <c r="F183" t="s">
        <v>959</v>
      </c>
      <c r="G183" t="s">
        <v>878</v>
      </c>
      <c r="H183">
        <f>IF(_xlfn.DAYS("31-03-2025",G183)&gt;=180,6800,0)</f>
        <v>6800</v>
      </c>
      <c r="I183">
        <f>_xlfn.XLOOKUP(B183,'[1]march-2025'!$A:$A,'[1]march-2025'!$J:$J,0,0)</f>
        <v>0</v>
      </c>
      <c r="J183">
        <f>_xlfn.XLOOKUP(B183,'[1]march-2025'!$A:$A,'[1]march-2025'!$C:$C,0,0)</f>
        <v>47300</v>
      </c>
      <c r="K183">
        <f>J183*0.14</f>
        <v>6622.0000000000009</v>
      </c>
      <c r="L183">
        <f>J183*0.12</f>
        <v>5676</v>
      </c>
      <c r="M183">
        <f>_xlfn.XLOOKUP(B183,'[1]march-2025'!$A:$A,'[1]march-2025'!$D:$D,0,0)</f>
        <v>0</v>
      </c>
      <c r="N183">
        <f>_xlfn.XLOOKUP(B183,'[1]march-2025'!$A:$A,'[1]march-2025'!$G:$G,0,0)</f>
        <v>0</v>
      </c>
      <c r="O183">
        <f>IF(J183&gt;0,SUM(J183:N183),0)</f>
        <v>59598</v>
      </c>
      <c r="P183">
        <f>_xlfn.XLOOKUP(B183,'[1]march-2025'!$A:$A,'[1]march-2025'!$H:$H,0,0)</f>
        <v>3000</v>
      </c>
      <c r="Q183">
        <f>_xlfn.XLOOKUP(B183,'[1]march-2025'!$A:$A,'[1]march-2025'!$I:$I,0,0)</f>
        <v>0</v>
      </c>
      <c r="R183">
        <f>IF($F183="YES",0,IF(O183&gt;40000,200,IF(O183&gt;25000,150,IF(O183&gt;15000,130,IF(O183&gt;10000,110,0)))))</f>
        <v>200</v>
      </c>
      <c r="S183">
        <f>O183-P183-Q183-R183</f>
        <v>56398</v>
      </c>
      <c r="T183">
        <f>_xlfn.XLOOKUP(B183,'[2]april-2025'!$A:$A,'[2]april-2025'!$C:$C,0,0)</f>
        <v>47300</v>
      </c>
      <c r="U183">
        <f>T183*0.18</f>
        <v>8514</v>
      </c>
      <c r="V183">
        <f>T183*0.12</f>
        <v>5676</v>
      </c>
      <c r="W183">
        <f>_xlfn.XLOOKUP(B183,'[2]april-2025'!$A:$A,'[2]april-2025'!$D:$D,0,0)</f>
        <v>0</v>
      </c>
      <c r="X183">
        <f>_xlfn.XLOOKUP(B183,'[2]april-2025'!$A:$A,'[2]april-2025'!$G:$G,0,0)</f>
        <v>0</v>
      </c>
      <c r="Y183">
        <f>IF(T183&gt;0,SUM(T183:X183),0)</f>
        <v>61490</v>
      </c>
      <c r="Z183">
        <f>_xlfn.XLOOKUP(B183,'[2]april-2025'!$A:$A,'[2]april-2025'!$H:$H,0,0)</f>
        <v>3000</v>
      </c>
      <c r="AA183">
        <f>_xlfn.XLOOKUP(B183,'[2]april-2025'!$A:$A,'[2]april-2025'!$I:$I,0,0)</f>
        <v>0</v>
      </c>
      <c r="AB183">
        <f>IF($F183="YES",0,IF(Y183&gt;40000,200,IF(Y183&gt;25000,150,IF(Y183&gt;15000,130,IF(Y183&gt;10000,110,0)))))</f>
        <v>200</v>
      </c>
      <c r="AC183">
        <f>Y183-Z183-AA183-AB183</f>
        <v>58290</v>
      </c>
      <c r="AD183">
        <f>_xlfn.XLOOKUP(B183,'[3]may-2025'!$A:$A,'[3]may-2025'!$C:$C,0,0)</f>
        <v>47300</v>
      </c>
      <c r="AE183">
        <f>AD183*0.18</f>
        <v>8514</v>
      </c>
      <c r="AF183">
        <f>AD183*0.12</f>
        <v>5676</v>
      </c>
      <c r="AG183">
        <f>_xlfn.XLOOKUP(B183,'[3]may-2025'!$A:$A,'[3]may-2025'!$D:$D,0,0)</f>
        <v>0</v>
      </c>
      <c r="AH183">
        <f>_xlfn.XLOOKUP(B183,'[3]may-2025'!$A:$A,'[3]may-2025'!$G:$G,0,0)</f>
        <v>0</v>
      </c>
      <c r="AI183">
        <f>IF(AD183&gt;0,SUM(AD183:AH183),0)</f>
        <v>61490</v>
      </c>
      <c r="AJ183">
        <f>_xlfn.XLOOKUP(B183,'[3]may-2025'!$A:$A,'[3]may-2025'!$H:$H,0,0)</f>
        <v>3000</v>
      </c>
      <c r="AK183">
        <f>_xlfn.XLOOKUP(B183,'[3]may-2025'!$A:$A,'[3]may-2025'!$I:$I,0,0)</f>
        <v>0</v>
      </c>
      <c r="AL183">
        <f>IF($F183="YES",0,IF(AI183&gt;40000,200,IF(AI183&gt;25000,150,IF(AI183&gt;15000,130,IF(AI183&gt;10000,110,0)))))</f>
        <v>200</v>
      </c>
      <c r="AM183">
        <f>AI183-AJ183-AK183-AL183</f>
        <v>58290</v>
      </c>
      <c r="AN183">
        <f>_xlfn.XLOOKUP(B183,'[4]june-2025'!$A:$A,'[4]june-2025'!$C:$C,0,0)</f>
        <v>47300</v>
      </c>
      <c r="AO183">
        <f>AN183*0.18</f>
        <v>8514</v>
      </c>
      <c r="AP183">
        <f>AN183*0.12</f>
        <v>5676</v>
      </c>
      <c r="AQ183">
        <f>_xlfn.XLOOKUP(B183,'[4]june-2025'!$A:$A,'[4]june-2025'!$D:$D,0,0)</f>
        <v>0</v>
      </c>
      <c r="AR183">
        <f>_xlfn.XLOOKUP(B183,'[4]june-2025'!$A:$A,'[4]june-2025'!$G:$G,0,0)</f>
        <v>0</v>
      </c>
      <c r="AS183">
        <f>IF(AN183&gt;0,SUM(AN183:AR183),0)</f>
        <v>61490</v>
      </c>
      <c r="AT183">
        <f>_xlfn.XLOOKUP(B183,'[4]june-2025'!$A:$A,'[4]june-2025'!$H:$H,0,0)</f>
        <v>3000</v>
      </c>
      <c r="AU183">
        <f>_xlfn.XLOOKUP(B183,'[4]june-2025'!$A:$A,'[4]june-2025'!$I:$I,0,0)</f>
        <v>0</v>
      </c>
      <c r="AV183">
        <f>IF($F183="YES",0,IF(AS183&gt;40000,200,IF(AS183&gt;25000,150,IF(AS183&gt;15000,130,IF(AS183&gt;10000,110,0)))))</f>
        <v>200</v>
      </c>
      <c r="AW183">
        <f>AS183-AT183-AU183-AV183</f>
        <v>58290</v>
      </c>
      <c r="AX183">
        <f>_xlfn.XLOOKUP(B183,'[5]july-2025'!$A:$A,'[5]july-2025'!$C:$C,0,0)</f>
        <v>48700</v>
      </c>
      <c r="AY183">
        <f>AX183*0.18</f>
        <v>8766</v>
      </c>
      <c r="AZ183">
        <v>0</v>
      </c>
      <c r="BA183">
        <f>AX183*0.12</f>
        <v>5844</v>
      </c>
      <c r="BB183">
        <f>_xlfn.XLOOKUP(B183,'[5]july-2025'!$A:$A,'[5]july-2025'!$D:$D,0,0)</f>
        <v>0</v>
      </c>
      <c r="BC183">
        <f>_xlfn.XLOOKUP(B183,'[5]july-2025'!$A:$A,'[5]july-2025'!$G:$G,0,0)</f>
        <v>0</v>
      </c>
      <c r="BD183">
        <f>IF(AX183&gt;0,SUM(AX183:BC183),0)</f>
        <v>63310</v>
      </c>
      <c r="BE183">
        <f>_xlfn.XLOOKUP(B183,'[5]july-2025'!$A:$A,'[5]july-2025'!$H:$H,0,0)</f>
        <v>3000</v>
      </c>
      <c r="BF183">
        <f>_xlfn.XLOOKUP(B183,'[5]july-2025'!$A:$A,'[5]july-2025'!$I:$I,0,0)</f>
        <v>0</v>
      </c>
      <c r="BG183">
        <f>IF($F183="YES",0,IF(BD183&gt;40000,200,IF(BD183&gt;25000,150,IF(BD183&gt;15000,130,IF(BD183&gt;10000,110,0)))))</f>
        <v>200</v>
      </c>
      <c r="BH183">
        <f>BD183-BE183-BF183-BG183</f>
        <v>60110</v>
      </c>
      <c r="BI183">
        <f>_xlfn.XLOOKUP(B183,'[6]august-2025'!$A:$A,'[6]august-2025'!$C:$C,0,0)</f>
        <v>48700</v>
      </c>
      <c r="BJ183">
        <f>BI183*0.18</f>
        <v>8766</v>
      </c>
      <c r="BK183">
        <f>BI183*0.12</f>
        <v>5844</v>
      </c>
      <c r="BL183">
        <f>_xlfn.XLOOKUP(B183,'[6]august-2025'!$A:$A,'[6]august-2025'!$D:$D,0,0)</f>
        <v>0</v>
      </c>
      <c r="BM183">
        <f>_xlfn.XLOOKUP(B183,'[6]august-2025'!$A:$A,'[6]august-2025'!$G:$G,0,0)</f>
        <v>0</v>
      </c>
      <c r="BN183">
        <f>IF(BI183&gt;0,SUM(BI183:BM183),0)</f>
        <v>63310</v>
      </c>
      <c r="BO183">
        <f>_xlfn.XLOOKUP(B183,'[6]august-2025'!$A:$A,'[6]august-2025'!$H:$H,0,0)</f>
        <v>3000</v>
      </c>
      <c r="BP183">
        <f>_xlfn.XLOOKUP(B183,'[6]august-2025'!$A:$A,'[6]august-2025'!$I:$I,0,0)</f>
        <v>0</v>
      </c>
      <c r="BQ183">
        <f>IF($F183="YES",0,IF(BN183&gt;40000,200,IF(BN183&gt;25000,150,IF(BN183&gt;15000,130,IF(BN183&gt;10000,110,0)))))</f>
        <v>200</v>
      </c>
      <c r="BR183">
        <f>BN183-BO183-BP183-BQ183</f>
        <v>60110</v>
      </c>
      <c r="BS183">
        <f>_xlfn.XLOOKUP(B183,'[7]september-2025'!$A:$A,'[7]september-2025'!$C:$C,0,0)</f>
        <v>48700</v>
      </c>
      <c r="BT183">
        <f>BS183*0.18</f>
        <v>8766</v>
      </c>
      <c r="BU183">
        <f>BS183*0.12</f>
        <v>5844</v>
      </c>
      <c r="BV183">
        <f>_xlfn.XLOOKUP(B183,'[7]september-2025'!$A:$A,'[7]september-2025'!$D:$D,0,0)</f>
        <v>0</v>
      </c>
      <c r="BW183">
        <f>_xlfn.XLOOKUP(B183,'[7]september-2025'!$A:$A,'[7]september-2025'!$G:$G,0,0)</f>
        <v>0</v>
      </c>
      <c r="BX183">
        <f>IF(BS183&gt;0,SUM(BS183:BW183),0)</f>
        <v>63310</v>
      </c>
      <c r="BY183">
        <f>_xlfn.XLOOKUP(B183,'[7]september-2025'!$A:$A,'[7]september-2025'!$H:$H,0,0)</f>
        <v>3000</v>
      </c>
      <c r="BZ183">
        <f>_xlfn.XLOOKUP(B183,'[7]september-2025'!$A:$A,'[7]september-2025'!$I:$I,0,0)</f>
        <v>0</v>
      </c>
      <c r="CA183">
        <f>IF($F183="YES",0,IF(BX183&gt;40000,200,IF(BX183&gt;25000,150,IF(BX183&gt;15000,130,IF(BX183&gt;10000,110,0)))))</f>
        <v>200</v>
      </c>
      <c r="CB183">
        <f>BX183-BY183-BZ183-CA183</f>
        <v>60110</v>
      </c>
      <c r="CC183">
        <f>_xlfn.XLOOKUP(B183,'[8]october-2025'!$A:$A,'[8]october-2025'!$C:$C,0,0)</f>
        <v>48700</v>
      </c>
      <c r="CD183">
        <f>CC183*0.18</f>
        <v>8766</v>
      </c>
      <c r="CE183">
        <f>CC183*0.12</f>
        <v>5844</v>
      </c>
      <c r="CF183">
        <f>_xlfn.XLOOKUP(B183,'[8]october-2025'!$A:$A,'[8]october-2025'!$D:$D,0,0)</f>
        <v>0</v>
      </c>
      <c r="CG183">
        <f>_xlfn.XLOOKUP(B183,'[8]october-2025'!$A:$A,'[8]october-2025'!$G:$G,0,0)</f>
        <v>0</v>
      </c>
      <c r="CH183">
        <f>IF(CC183&gt;0,SUM(CC183:CG183),0)</f>
        <v>63310</v>
      </c>
      <c r="CI183">
        <f>_xlfn.XLOOKUP(B183,'[8]october-2025'!$A:$A,'[8]october-2025'!$H:$H,0,0)</f>
        <v>3000</v>
      </c>
      <c r="CJ183">
        <f>_xlfn.XLOOKUP(B183,'[8]october-2025'!$A:$A,'[8]october-2025'!$I:$I,0,0)</f>
        <v>0</v>
      </c>
      <c r="CK183">
        <f>IF($F183="YES",0,IF(CH183&gt;40000,200,IF(CH183&gt;25000,150,IF(CH183&gt;15000,130,IF(CH183&gt;10000,110,0)))))</f>
        <v>200</v>
      </c>
      <c r="CL183">
        <f>CH183-CI183-CJ183-CK183</f>
        <v>60110</v>
      </c>
      <c r="CM183">
        <f>_xlfn.XLOOKUP(B183,'[9]november-2025'!$A:$A,'[9]november-2025'!$C:$C,0,0)</f>
        <v>48700</v>
      </c>
      <c r="CN183">
        <f>CM183*0.18</f>
        <v>8766</v>
      </c>
      <c r="CO183">
        <f>CM183*0.12</f>
        <v>5844</v>
      </c>
      <c r="CP183">
        <f>_xlfn.XLOOKUP(B183,'[9]november-2025'!$A:$A,'[9]november-2025'!$D:$D,0,0)</f>
        <v>0</v>
      </c>
      <c r="CQ183">
        <f>_xlfn.XLOOKUP(B183,'[9]november-2025'!$A:$A,'[9]november-2025'!$G:$G,0,0)</f>
        <v>0</v>
      </c>
      <c r="CR183">
        <f>IF(CM183&gt;0,SUM(CM183:CQ183),0)</f>
        <v>63310</v>
      </c>
      <c r="CS183">
        <f>_xlfn.XLOOKUP(B183,'[9]november-2025'!$A:$A,'[9]november-2025'!$H:$H,0,0)</f>
        <v>3000</v>
      </c>
      <c r="CT183">
        <f>_xlfn.XLOOKUP(B183,'[9]november-2025'!$A:$A,'[9]november-2025'!$I:$I,0,0)</f>
        <v>0</v>
      </c>
      <c r="CU183">
        <f>IF($F183="YES",0,IF(CR183&gt;40000,200,IF(CR183&gt;25000,150,IF(CR183&gt;15000,130,IF(CR183&gt;10000,110,0)))))</f>
        <v>200</v>
      </c>
      <c r="CV183">
        <f>CR183-CS183-CT183-CU183</f>
        <v>60110</v>
      </c>
      <c r="CW183">
        <f>_xlfn.XLOOKUP(B183,'[10]december-2025'!$A:$A,'[10]december-2025'!$C:$C,0,0)</f>
        <v>48700</v>
      </c>
      <c r="CX183">
        <f>ROUND(CW183*0.18,0)</f>
        <v>8766</v>
      </c>
      <c r="CY183">
        <f>ROUND(CW183*0.12,0)</f>
        <v>5844</v>
      </c>
      <c r="CZ183">
        <f>_xlfn.XLOOKUP(B183,'[10]december-2025'!$A:$A,'[10]december-2025'!$D:$D,0,0)</f>
        <v>0</v>
      </c>
      <c r="DA183">
        <f>_xlfn.XLOOKUP(B183,'[10]december-2025'!$A:$A,'[10]december-2025'!$G:$G,0,0)</f>
        <v>0</v>
      </c>
      <c r="DB183">
        <f>IF(CW183&gt;0,SUM(CW183:DA183),0)</f>
        <v>63310</v>
      </c>
      <c r="DC183">
        <f>_xlfn.XLOOKUP(B183,'[10]december-2025'!$A:$A,'[10]december-2025'!$H:$H,0,0)</f>
        <v>3000</v>
      </c>
      <c r="DD183">
        <f>_xlfn.XLOOKUP(B183,'[10]december-2025'!$A:$A,'[10]december-2025'!$I:$I,0,0)</f>
        <v>0</v>
      </c>
      <c r="DE183">
        <f>IF($F183="YES",0,IF(DB183&gt;40000,200,IF(DB183&gt;25000,150,IF(DB183&gt;15000,130,IF(DB183&gt;10000,110,0)))))</f>
        <v>200</v>
      </c>
      <c r="DF183">
        <f>DB183-DC183-DD183-DE183</f>
        <v>60110</v>
      </c>
      <c r="DG183">
        <f>_xlfn.XLOOKUP(B183,'[11]january-2026'!$A:$A,'[11]january-2026'!$C:$C,0,0)</f>
        <v>48700</v>
      </c>
      <c r="DH183">
        <f>DG183*0.18</f>
        <v>8766</v>
      </c>
      <c r="DI183">
        <f>DG183*0.12</f>
        <v>5844</v>
      </c>
      <c r="DJ183">
        <f>_xlfn.XLOOKUP(B183,'[11]january-2026'!$A:$A,'[11]january-2026'!$D:$D,0,0)</f>
        <v>0</v>
      </c>
      <c r="DK183">
        <f>_xlfn.XLOOKUP(B183,'[11]january-2026'!$A:$A,'[11]january-2026'!$G:$G,0,0)</f>
        <v>0</v>
      </c>
      <c r="DL183">
        <f>IF(DG183&gt;0,SUM(DG183:DK183),0)</f>
        <v>63310</v>
      </c>
      <c r="DM183">
        <f>_xlfn.XLOOKUP(B183,'[11]january-2026'!$A:$A,'[11]january-2026'!$H:$H,0,0)</f>
        <v>3000</v>
      </c>
      <c r="DN183">
        <f>_xlfn.XLOOKUP(B183,'[11]january-2026'!$A:$A,'[11]january-2026'!$I:$I,0,0)</f>
        <v>0</v>
      </c>
      <c r="DO183">
        <f>IF($F183="YES",0,IF(DL183&gt;40000,200,IF(DL183&gt;25000,150,IF(DL183&gt;15000,130,IF(DL183&gt;10000,110,0)))))</f>
        <v>200</v>
      </c>
      <c r="DP183">
        <f>DL183-DM183-DN183-DO183</f>
        <v>60110</v>
      </c>
      <c r="DQ183">
        <f>_xlfn.XLOOKUP(B183,'[12]february-2026'!$A:$A,'[12]february-2026'!$C:$C,0,0)</f>
        <v>48700</v>
      </c>
      <c r="DR183">
        <f>DQ183*0.18</f>
        <v>8766</v>
      </c>
      <c r="DS183">
        <f>DQ183*0.12</f>
        <v>5844</v>
      </c>
      <c r="DT183">
        <f>_xlfn.XLOOKUP(B183,'[12]february-2026'!$A:$A,'[12]february-2026'!$D:$D,0,0)</f>
        <v>0</v>
      </c>
      <c r="DU183">
        <f>_xlfn.XLOOKUP(B183,'[12]february-2026'!$A:$A,'[12]february-2026'!$G:$G,0,0)</f>
        <v>0</v>
      </c>
      <c r="DV183">
        <f>IF(DQ183&gt;0,SUM(DQ183:DU183),0)</f>
        <v>63310</v>
      </c>
      <c r="DW183">
        <f>_xlfn.XLOOKUP(B183,'[12]february-2026'!$A:$A,'[12]february-2026'!$H:$H,0,0)</f>
        <v>3000</v>
      </c>
      <c r="DX183">
        <f>_xlfn.XLOOKUP(B183,'[12]february-2026'!$A:$A,'[12]february-2026'!$I:$I,0,0)</f>
        <v>0</v>
      </c>
      <c r="DY183">
        <f>IF($F183="YES",0,IF(DV183&gt;40000,200,IF(DV183&gt;25000,150,IF(DV183&gt;15000,130,IF(DV183&gt;10000,110,0)))))</f>
        <v>200</v>
      </c>
      <c r="DZ183">
        <f>DV183-DW183-DX183-DY183</f>
        <v>60110</v>
      </c>
      <c r="EA183">
        <f>DV183+DL183+DB183+CR183+CH183+BX183+BN183+BD183+AS183+AI183+Y183+O183+H183+I183</f>
        <v>757348</v>
      </c>
      <c r="EB183">
        <f>DY183+DO183+DE183+CU183+CK183+CA183+BQ183+BG183+AV183+AL183+AB183+R183</f>
        <v>2400</v>
      </c>
      <c r="EC183">
        <f>IF(EA183&gt;0,50000,0)</f>
        <v>50000</v>
      </c>
      <c r="ED183">
        <v>0</v>
      </c>
      <c r="EE183">
        <f>EA183-EB183-EC183</f>
        <v>704948</v>
      </c>
      <c r="EF183">
        <f>DW183+DM183+DC183+CS183+CI183+BY183+BO183+BE183+AT183+AJ183+Z183+P183</f>
        <v>36000</v>
      </c>
      <c r="EG183">
        <f>DX183+DN183+DD183+CT183+CJ183+BZ183+BP183+BF183+AU183+AK183+AA183+Q183</f>
        <v>0</v>
      </c>
      <c r="EH183">
        <v>0</v>
      </c>
      <c r="EI183">
        <v>0</v>
      </c>
      <c r="EJ183">
        <v>0</v>
      </c>
      <c r="EK183">
        <v>0</v>
      </c>
      <c r="EL183">
        <v>0</v>
      </c>
      <c r="EM183">
        <v>0</v>
      </c>
      <c r="EN183">
        <v>0</v>
      </c>
      <c r="EO183">
        <v>0</v>
      </c>
      <c r="EP183">
        <v>0</v>
      </c>
      <c r="EQ183">
        <v>0</v>
      </c>
      <c r="ER183">
        <f>SUM(EF183:EQ183)</f>
        <v>36000</v>
      </c>
      <c r="ES183">
        <f>IF(ER183&gt;=150000,150000,ER183)</f>
        <v>36000</v>
      </c>
      <c r="ET183">
        <f>EE183-ES183</f>
        <v>668948</v>
      </c>
      <c r="EU183">
        <v>0</v>
      </c>
      <c r="EV183">
        <v>0</v>
      </c>
      <c r="EW183">
        <v>0</v>
      </c>
      <c r="EX183">
        <v>0</v>
      </c>
      <c r="EY183">
        <v>0</v>
      </c>
      <c r="EZ183">
        <v>0</v>
      </c>
      <c r="FA183">
        <v>0</v>
      </c>
      <c r="FB183">
        <f>SUM(EU183:FA183)+(IF(F183="YES",50000,0))</f>
        <v>0</v>
      </c>
      <c r="FC183">
        <f>ET183-FB183</f>
        <v>668948</v>
      </c>
      <c r="FD183">
        <f>ROUND(IF(FC183&gt;0,IF(FC183&gt;500000,12500,(FC183-250000)*0.05),0),0)</f>
        <v>12500</v>
      </c>
      <c r="FE183">
        <f>IF(ROUND(IF(FC183&gt;0,IF(FC183&gt;1000000,25000,(FC183-500000)*0.2),0),0)&lt;0,0,ROUND(IF(FC183&gt;0,IF(FC183&gt;1000000,25000,(FC183-500000)*0.2),0),0))</f>
        <v>33790</v>
      </c>
      <c r="FF183">
        <f>FD183+FE183</f>
        <v>46290</v>
      </c>
      <c r="FG183">
        <f>IF(FF183&lt;12500,0,FF183)</f>
        <v>46290</v>
      </c>
      <c r="FH183">
        <f>FG183*0.04</f>
        <v>1851.6000000000001</v>
      </c>
      <c r="FI183">
        <f>ROUND(FH183+FG183,0)</f>
        <v>48142</v>
      </c>
      <c r="FJ183">
        <v>0</v>
      </c>
      <c r="FK183">
        <f>FI183-FJ183</f>
        <v>48142</v>
      </c>
      <c r="FL183" t="b">
        <f>IF(EA183&gt;500000,TRUE,FALSE)</f>
        <v>1</v>
      </c>
      <c r="FM183">
        <f ca="1">IF(FL183,RANDBETWEEN(500,1000),RANDBETWEEN(1000,3000))</f>
        <v>545</v>
      </c>
      <c r="FN183">
        <f ca="1">EA183+FM183</f>
        <v>757893</v>
      </c>
      <c r="FO183">
        <f>IF(EA183&gt;0,75000,0)</f>
        <v>75000</v>
      </c>
      <c r="FP183">
        <f ca="1">FN183-FO183</f>
        <v>682893</v>
      </c>
      <c r="FQ183">
        <f ca="1">IF(FP183&gt;2400000,FP183-2400000,0)</f>
        <v>0</v>
      </c>
      <c r="FR183">
        <f ca="1">FQ183*0.3</f>
        <v>0</v>
      </c>
      <c r="FS183">
        <f ca="1">IF(FP183&gt;2000000,FP183-2000000,0)</f>
        <v>0</v>
      </c>
      <c r="FT183">
        <f ca="1">FS183*0.25</f>
        <v>0</v>
      </c>
      <c r="FU183">
        <f ca="1">IF(FP183&gt;1600000,FP183-1600000-FQ183,0)</f>
        <v>0</v>
      </c>
      <c r="FV183">
        <f ca="1">FU183*0.2</f>
        <v>0</v>
      </c>
      <c r="FW183">
        <f ca="1">IF(FP183&gt;1200000,FP183-1200000-IF(F183="YES",50000,0)-FU183,0)</f>
        <v>0</v>
      </c>
      <c r="FX183">
        <f ca="1">FW183*0.15</f>
        <v>0</v>
      </c>
      <c r="FY183">
        <f ca="1">IF(FP183&gt;800000,FP183-800000-FQ183-FU183-FW183,0)</f>
        <v>0</v>
      </c>
      <c r="FZ183">
        <f ca="1">FY183*0.1</f>
        <v>0</v>
      </c>
      <c r="GA183">
        <f ca="1">IF(FP183&gt;400000,FP183-400000-FQ183-FU183-FW183-FY183,0)</f>
        <v>282893</v>
      </c>
      <c r="GB183">
        <f ca="1">GA183*0.05</f>
        <v>14144.650000000001</v>
      </c>
      <c r="GC183">
        <f ca="1">ROUND(FR183+FT183+FV183+FX183+FZ183+GB183,0)</f>
        <v>14145</v>
      </c>
      <c r="GD183">
        <f ca="1">IF(FP183&gt;1200000,FP183,0)</f>
        <v>0</v>
      </c>
      <c r="GE183">
        <f ca="1">IF(FP183&gt;1200000,GD183-1200000,0)</f>
        <v>0</v>
      </c>
      <c r="GF183">
        <f ca="1">IF(FP183&lt;1200001,MIN(GC183,60000),0)</f>
        <v>14145</v>
      </c>
      <c r="GG183">
        <f ca="1">IF(FP183&gt;1200000,GC183-GE183,0)</f>
        <v>0</v>
      </c>
      <c r="GH183" t="b">
        <f ca="1">IF(GG183&gt;0,TRUE,FALSE)</f>
        <v>0</v>
      </c>
      <c r="GI183">
        <f ca="1">IF(GH183,GG183,0)</f>
        <v>0</v>
      </c>
      <c r="GJ183">
        <f ca="1">GF183+GI183</f>
        <v>14145</v>
      </c>
      <c r="GK183">
        <f ca="1">ROUND(GC183-GJ183,0)</f>
        <v>0</v>
      </c>
      <c r="GL183">
        <f ca="1">GK183*0.04</f>
        <v>0</v>
      </c>
      <c r="GM183">
        <f ca="1">ROUNDUP(GK183+GL183,0)</f>
        <v>0</v>
      </c>
    </row>
    <row r="184" spans="1:195" x14ac:dyDescent="0.25">
      <c r="A184">
        <f>_xlfn.AGGREGATE(3,5,$B$2:B184)</f>
        <v>183</v>
      </c>
      <c r="B184" t="s">
        <v>479</v>
      </c>
      <c r="C184" t="s">
        <v>480</v>
      </c>
      <c r="D184" t="s">
        <v>800</v>
      </c>
      <c r="E184" t="s">
        <v>833</v>
      </c>
      <c r="F184" t="s">
        <v>959</v>
      </c>
      <c r="G184" t="s">
        <v>910</v>
      </c>
      <c r="H184">
        <f>IF(_xlfn.DAYS("31-03-2025",G184)&gt;=180,6800,0)</f>
        <v>6800</v>
      </c>
      <c r="I184">
        <f>_xlfn.XLOOKUP(B184,'[1]march-2025'!$A:$A,'[1]march-2025'!$J:$J,0,0)</f>
        <v>0</v>
      </c>
      <c r="J184">
        <f>_xlfn.XLOOKUP(B184,'[1]march-2025'!$A:$A,'[1]march-2025'!$C:$C,0,0)</f>
        <v>47300</v>
      </c>
      <c r="K184">
        <f>J184*0.14</f>
        <v>6622.0000000000009</v>
      </c>
      <c r="L184">
        <f>J184*0.12</f>
        <v>5676</v>
      </c>
      <c r="M184">
        <f>_xlfn.XLOOKUP(B184,'[1]march-2025'!$A:$A,'[1]march-2025'!$D:$D,0,0)</f>
        <v>0</v>
      </c>
      <c r="N184">
        <f>_xlfn.XLOOKUP(B184,'[1]march-2025'!$A:$A,'[1]march-2025'!$G:$G,0,0)</f>
        <v>500</v>
      </c>
      <c r="O184">
        <f>IF(J184&gt;0,SUM(J184:N184),0)</f>
        <v>60098</v>
      </c>
      <c r="P184">
        <f>_xlfn.XLOOKUP(B184,'[1]march-2025'!$A:$A,'[1]march-2025'!$H:$H,0,0)</f>
        <v>3000</v>
      </c>
      <c r="Q184">
        <f>_xlfn.XLOOKUP(B184,'[1]march-2025'!$A:$A,'[1]march-2025'!$I:$I,0,0)</f>
        <v>0</v>
      </c>
      <c r="R184">
        <f>IF($F184="YES",0,IF(O184&gt;40000,200,IF(O184&gt;25000,150,IF(O184&gt;15000,130,IF(O184&gt;10000,110,0)))))</f>
        <v>200</v>
      </c>
      <c r="S184">
        <f>O184-P184-Q184-R184</f>
        <v>56898</v>
      </c>
      <c r="T184">
        <f>_xlfn.XLOOKUP(B184,'[2]april-2025'!$A:$A,'[2]april-2025'!$C:$C,0,0)</f>
        <v>47300</v>
      </c>
      <c r="U184">
        <f>T184*0.18</f>
        <v>8514</v>
      </c>
      <c r="V184">
        <f>T184*0.12</f>
        <v>5676</v>
      </c>
      <c r="W184">
        <f>_xlfn.XLOOKUP(B184,'[2]april-2025'!$A:$A,'[2]april-2025'!$D:$D,0,0)</f>
        <v>0</v>
      </c>
      <c r="X184">
        <f>_xlfn.XLOOKUP(B184,'[2]april-2025'!$A:$A,'[2]april-2025'!$G:$G,0,0)</f>
        <v>500</v>
      </c>
      <c r="Y184">
        <f>IF(T184&gt;0,SUM(T184:X184),0)</f>
        <v>61990</v>
      </c>
      <c r="Z184">
        <f>_xlfn.XLOOKUP(B184,'[2]april-2025'!$A:$A,'[2]april-2025'!$H:$H,0,0)</f>
        <v>3000</v>
      </c>
      <c r="AA184">
        <f>_xlfn.XLOOKUP(B184,'[2]april-2025'!$A:$A,'[2]april-2025'!$I:$I,0,0)</f>
        <v>0</v>
      </c>
      <c r="AB184">
        <f>IF($F184="YES",0,IF(Y184&gt;40000,200,IF(Y184&gt;25000,150,IF(Y184&gt;15000,130,IF(Y184&gt;10000,110,0)))))</f>
        <v>200</v>
      </c>
      <c r="AC184">
        <f>Y184-Z184-AA184-AB184</f>
        <v>58790</v>
      </c>
      <c r="AD184">
        <f>_xlfn.XLOOKUP(B184,'[3]may-2025'!$A:$A,'[3]may-2025'!$C:$C,0,0)</f>
        <v>47300</v>
      </c>
      <c r="AE184">
        <f>AD184*0.18</f>
        <v>8514</v>
      </c>
      <c r="AF184">
        <f>AD184*0.12</f>
        <v>5676</v>
      </c>
      <c r="AG184">
        <f>_xlfn.XLOOKUP(B184,'[3]may-2025'!$A:$A,'[3]may-2025'!$D:$D,0,0)</f>
        <v>0</v>
      </c>
      <c r="AH184">
        <f>_xlfn.XLOOKUP(B184,'[3]may-2025'!$A:$A,'[3]may-2025'!$G:$G,0,0)</f>
        <v>500</v>
      </c>
      <c r="AI184">
        <f>IF(AD184&gt;0,SUM(AD184:AH184),0)</f>
        <v>61990</v>
      </c>
      <c r="AJ184">
        <f>_xlfn.XLOOKUP(B184,'[3]may-2025'!$A:$A,'[3]may-2025'!$H:$H,0,0)</f>
        <v>3000</v>
      </c>
      <c r="AK184">
        <f>_xlfn.XLOOKUP(B184,'[3]may-2025'!$A:$A,'[3]may-2025'!$I:$I,0,0)</f>
        <v>0</v>
      </c>
      <c r="AL184">
        <f>IF($F184="YES",0,IF(AI184&gt;40000,200,IF(AI184&gt;25000,150,IF(AI184&gt;15000,130,IF(AI184&gt;10000,110,0)))))</f>
        <v>200</v>
      </c>
      <c r="AM184">
        <f>AI184-AJ184-AK184-AL184</f>
        <v>58790</v>
      </c>
      <c r="AN184">
        <f>_xlfn.XLOOKUP(B184,'[4]june-2025'!$A:$A,'[4]june-2025'!$C:$C,0,0)</f>
        <v>47300</v>
      </c>
      <c r="AO184">
        <f>AN184*0.18</f>
        <v>8514</v>
      </c>
      <c r="AP184">
        <f>AN184*0.12</f>
        <v>5676</v>
      </c>
      <c r="AQ184">
        <f>_xlfn.XLOOKUP(B184,'[4]june-2025'!$A:$A,'[4]june-2025'!$D:$D,0,0)</f>
        <v>0</v>
      </c>
      <c r="AR184">
        <f>_xlfn.XLOOKUP(B184,'[4]june-2025'!$A:$A,'[4]june-2025'!$G:$G,0,0)</f>
        <v>500</v>
      </c>
      <c r="AS184">
        <f>IF(AN184&gt;0,SUM(AN184:AR184),0)</f>
        <v>61990</v>
      </c>
      <c r="AT184">
        <f>_xlfn.XLOOKUP(B184,'[4]june-2025'!$A:$A,'[4]june-2025'!$H:$H,0,0)</f>
        <v>3000</v>
      </c>
      <c r="AU184">
        <f>_xlfn.XLOOKUP(B184,'[4]june-2025'!$A:$A,'[4]june-2025'!$I:$I,0,0)</f>
        <v>0</v>
      </c>
      <c r="AV184">
        <f>IF($F184="YES",0,IF(AS184&gt;40000,200,IF(AS184&gt;25000,150,IF(AS184&gt;15000,130,IF(AS184&gt;10000,110,0)))))</f>
        <v>200</v>
      </c>
      <c r="AW184">
        <f>AS184-AT184-AU184-AV184</f>
        <v>58790</v>
      </c>
      <c r="AX184">
        <f>_xlfn.XLOOKUP(B184,'[5]july-2025'!$A:$A,'[5]july-2025'!$C:$C,0,0)</f>
        <v>48700</v>
      </c>
      <c r="AY184">
        <f>AX184*0.18</f>
        <v>8766</v>
      </c>
      <c r="AZ184">
        <v>0</v>
      </c>
      <c r="BA184">
        <f>AX184*0.12</f>
        <v>5844</v>
      </c>
      <c r="BB184">
        <f>_xlfn.XLOOKUP(B184,'[5]july-2025'!$A:$A,'[5]july-2025'!$D:$D,0,0)</f>
        <v>0</v>
      </c>
      <c r="BC184">
        <f>_xlfn.XLOOKUP(B184,'[5]july-2025'!$A:$A,'[5]july-2025'!$G:$G,0,0)</f>
        <v>500</v>
      </c>
      <c r="BD184">
        <f>IF(AX184&gt;0,SUM(AX184:BC184),0)</f>
        <v>63810</v>
      </c>
      <c r="BE184">
        <f>_xlfn.XLOOKUP(B184,'[5]july-2025'!$A:$A,'[5]july-2025'!$H:$H,0,0)</f>
        <v>3000</v>
      </c>
      <c r="BF184">
        <f>_xlfn.XLOOKUP(B184,'[5]july-2025'!$A:$A,'[5]july-2025'!$I:$I,0,0)</f>
        <v>0</v>
      </c>
      <c r="BG184">
        <f>IF($F184="YES",0,IF(BD184&gt;40000,200,IF(BD184&gt;25000,150,IF(BD184&gt;15000,130,IF(BD184&gt;10000,110,0)))))</f>
        <v>200</v>
      </c>
      <c r="BH184">
        <f>BD184-BE184-BF184-BG184</f>
        <v>60610</v>
      </c>
      <c r="BI184">
        <f>_xlfn.XLOOKUP(B184,'[6]august-2025'!$A:$A,'[6]august-2025'!$C:$C,0,0)</f>
        <v>48700</v>
      </c>
      <c r="BJ184">
        <f>BI184*0.18</f>
        <v>8766</v>
      </c>
      <c r="BK184">
        <f>BI184*0.12</f>
        <v>5844</v>
      </c>
      <c r="BL184">
        <f>_xlfn.XLOOKUP(B184,'[6]august-2025'!$A:$A,'[6]august-2025'!$D:$D,0,0)</f>
        <v>0</v>
      </c>
      <c r="BM184">
        <f>_xlfn.XLOOKUP(B184,'[6]august-2025'!$A:$A,'[6]august-2025'!$G:$G,0,0)</f>
        <v>500</v>
      </c>
      <c r="BN184">
        <f>IF(BI184&gt;0,SUM(BI184:BM184),0)</f>
        <v>63810</v>
      </c>
      <c r="BO184">
        <f>_xlfn.XLOOKUP(B184,'[6]august-2025'!$A:$A,'[6]august-2025'!$H:$H,0,0)</f>
        <v>3000</v>
      </c>
      <c r="BP184">
        <f>_xlfn.XLOOKUP(B184,'[6]august-2025'!$A:$A,'[6]august-2025'!$I:$I,0,0)</f>
        <v>0</v>
      </c>
      <c r="BQ184">
        <f>IF($F184="YES",0,IF(BN184&gt;40000,200,IF(BN184&gt;25000,150,IF(BN184&gt;15000,130,IF(BN184&gt;10000,110,0)))))</f>
        <v>200</v>
      </c>
      <c r="BR184">
        <f>BN184-BO184-BP184-BQ184</f>
        <v>60610</v>
      </c>
      <c r="BS184">
        <f>_xlfn.XLOOKUP(B184,'[7]september-2025'!$A:$A,'[7]september-2025'!$C:$C,0,0)</f>
        <v>48700</v>
      </c>
      <c r="BT184">
        <f>BS184*0.18</f>
        <v>8766</v>
      </c>
      <c r="BU184">
        <f>BS184*0.12</f>
        <v>5844</v>
      </c>
      <c r="BV184">
        <f>_xlfn.XLOOKUP(B184,'[7]september-2025'!$A:$A,'[7]september-2025'!$D:$D,0,0)</f>
        <v>0</v>
      </c>
      <c r="BW184">
        <f>_xlfn.XLOOKUP(B184,'[7]september-2025'!$A:$A,'[7]september-2025'!$G:$G,0,0)</f>
        <v>500</v>
      </c>
      <c r="BX184">
        <f>IF(BS184&gt;0,SUM(BS184:BW184),0)</f>
        <v>63810</v>
      </c>
      <c r="BY184">
        <f>_xlfn.XLOOKUP(B184,'[7]september-2025'!$A:$A,'[7]september-2025'!$H:$H,0,0)</f>
        <v>3000</v>
      </c>
      <c r="BZ184">
        <f>_xlfn.XLOOKUP(B184,'[7]september-2025'!$A:$A,'[7]september-2025'!$I:$I,0,0)</f>
        <v>0</v>
      </c>
      <c r="CA184">
        <f>IF($F184="YES",0,IF(BX184&gt;40000,200,IF(BX184&gt;25000,150,IF(BX184&gt;15000,130,IF(BX184&gt;10000,110,0)))))</f>
        <v>200</v>
      </c>
      <c r="CB184">
        <f>BX184-BY184-BZ184-CA184</f>
        <v>60610</v>
      </c>
      <c r="CC184">
        <f>_xlfn.XLOOKUP(B184,'[8]october-2025'!$A:$A,'[8]october-2025'!$C:$C,0,0)</f>
        <v>48700</v>
      </c>
      <c r="CD184">
        <f>CC184*0.18</f>
        <v>8766</v>
      </c>
      <c r="CE184">
        <f>CC184*0.12</f>
        <v>5844</v>
      </c>
      <c r="CF184">
        <f>_xlfn.XLOOKUP(B184,'[8]october-2025'!$A:$A,'[8]october-2025'!$D:$D,0,0)</f>
        <v>0</v>
      </c>
      <c r="CG184">
        <f>_xlfn.XLOOKUP(B184,'[8]october-2025'!$A:$A,'[8]october-2025'!$G:$G,0,0)</f>
        <v>500</v>
      </c>
      <c r="CH184">
        <f>IF(CC184&gt;0,SUM(CC184:CG184),0)</f>
        <v>63810</v>
      </c>
      <c r="CI184">
        <f>_xlfn.XLOOKUP(B184,'[8]october-2025'!$A:$A,'[8]october-2025'!$H:$H,0,0)</f>
        <v>3000</v>
      </c>
      <c r="CJ184">
        <f>_xlfn.XLOOKUP(B184,'[8]october-2025'!$A:$A,'[8]october-2025'!$I:$I,0,0)</f>
        <v>0</v>
      </c>
      <c r="CK184">
        <f>IF($F184="YES",0,IF(CH184&gt;40000,200,IF(CH184&gt;25000,150,IF(CH184&gt;15000,130,IF(CH184&gt;10000,110,0)))))</f>
        <v>200</v>
      </c>
      <c r="CL184">
        <f>CH184-CI184-CJ184-CK184</f>
        <v>60610</v>
      </c>
      <c r="CM184">
        <f>_xlfn.XLOOKUP(B184,'[9]november-2025'!$A:$A,'[9]november-2025'!$C:$C,0,0)</f>
        <v>48700</v>
      </c>
      <c r="CN184">
        <f>CM184*0.18</f>
        <v>8766</v>
      </c>
      <c r="CO184">
        <f>CM184*0.12</f>
        <v>5844</v>
      </c>
      <c r="CP184">
        <f>_xlfn.XLOOKUP(B184,'[9]november-2025'!$A:$A,'[9]november-2025'!$D:$D,0,0)</f>
        <v>0</v>
      </c>
      <c r="CQ184">
        <f>_xlfn.XLOOKUP(B184,'[9]november-2025'!$A:$A,'[9]november-2025'!$G:$G,0,0)</f>
        <v>500</v>
      </c>
      <c r="CR184">
        <f>IF(CM184&gt;0,SUM(CM184:CQ184),0)</f>
        <v>63810</v>
      </c>
      <c r="CS184">
        <f>_xlfn.XLOOKUP(B184,'[9]november-2025'!$A:$A,'[9]november-2025'!$H:$H,0,0)</f>
        <v>3000</v>
      </c>
      <c r="CT184">
        <f>_xlfn.XLOOKUP(B184,'[9]november-2025'!$A:$A,'[9]november-2025'!$I:$I,0,0)</f>
        <v>0</v>
      </c>
      <c r="CU184">
        <f>IF($F184="YES",0,IF(CR184&gt;40000,200,IF(CR184&gt;25000,150,IF(CR184&gt;15000,130,IF(CR184&gt;10000,110,0)))))</f>
        <v>200</v>
      </c>
      <c r="CV184">
        <f>CR184-CS184-CT184-CU184</f>
        <v>60610</v>
      </c>
      <c r="CW184">
        <f>_xlfn.XLOOKUP(B184,'[10]december-2025'!$A:$A,'[10]december-2025'!$C:$C,0,0)</f>
        <v>48700</v>
      </c>
      <c r="CX184">
        <f>ROUND(CW184*0.18,0)</f>
        <v>8766</v>
      </c>
      <c r="CY184">
        <f>ROUND(CW184*0.12,0)</f>
        <v>5844</v>
      </c>
      <c r="CZ184">
        <f>_xlfn.XLOOKUP(B184,'[10]december-2025'!$A:$A,'[10]december-2025'!$D:$D,0,0)</f>
        <v>0</v>
      </c>
      <c r="DA184">
        <f>_xlfn.XLOOKUP(B184,'[10]december-2025'!$A:$A,'[10]december-2025'!$G:$G,0,0)</f>
        <v>500</v>
      </c>
      <c r="DB184">
        <f>IF(CW184&gt;0,SUM(CW184:DA184),0)</f>
        <v>63810</v>
      </c>
      <c r="DC184">
        <f>_xlfn.XLOOKUP(B184,'[10]december-2025'!$A:$A,'[10]december-2025'!$H:$H,0,0)</f>
        <v>3000</v>
      </c>
      <c r="DD184">
        <f>_xlfn.XLOOKUP(B184,'[10]december-2025'!$A:$A,'[10]december-2025'!$I:$I,0,0)</f>
        <v>0</v>
      </c>
      <c r="DE184">
        <f>IF($F184="YES",0,IF(DB184&gt;40000,200,IF(DB184&gt;25000,150,IF(DB184&gt;15000,130,IF(DB184&gt;10000,110,0)))))</f>
        <v>200</v>
      </c>
      <c r="DF184">
        <f>DB184-DC184-DD184-DE184</f>
        <v>60610</v>
      </c>
      <c r="DG184">
        <f>_xlfn.XLOOKUP(B184,'[11]january-2026'!$A:$A,'[11]january-2026'!$C:$C,0,0)</f>
        <v>48700</v>
      </c>
      <c r="DH184">
        <f>DG184*0.18</f>
        <v>8766</v>
      </c>
      <c r="DI184">
        <f>DG184*0.12</f>
        <v>5844</v>
      </c>
      <c r="DJ184">
        <f>_xlfn.XLOOKUP(B184,'[11]january-2026'!$A:$A,'[11]january-2026'!$D:$D,0,0)</f>
        <v>0</v>
      </c>
      <c r="DK184">
        <f>_xlfn.XLOOKUP(B184,'[11]january-2026'!$A:$A,'[11]january-2026'!$G:$G,0,0)</f>
        <v>500</v>
      </c>
      <c r="DL184">
        <f>IF(DG184&gt;0,SUM(DG184:DK184),0)</f>
        <v>63810</v>
      </c>
      <c r="DM184">
        <f>_xlfn.XLOOKUP(B184,'[11]january-2026'!$A:$A,'[11]january-2026'!$H:$H,0,0)</f>
        <v>3000</v>
      </c>
      <c r="DN184">
        <f>_xlfn.XLOOKUP(B184,'[11]january-2026'!$A:$A,'[11]january-2026'!$I:$I,0,0)</f>
        <v>0</v>
      </c>
      <c r="DO184">
        <f>IF($F184="YES",0,IF(DL184&gt;40000,200,IF(DL184&gt;25000,150,IF(DL184&gt;15000,130,IF(DL184&gt;10000,110,0)))))</f>
        <v>200</v>
      </c>
      <c r="DP184">
        <f>DL184-DM184-DN184-DO184</f>
        <v>60610</v>
      </c>
      <c r="DQ184">
        <f>_xlfn.XLOOKUP(B184,'[12]february-2026'!$A:$A,'[12]february-2026'!$C:$C,0,0)</f>
        <v>48700</v>
      </c>
      <c r="DR184">
        <f>DQ184*0.18</f>
        <v>8766</v>
      </c>
      <c r="DS184">
        <f>DQ184*0.12</f>
        <v>5844</v>
      </c>
      <c r="DT184">
        <f>_xlfn.XLOOKUP(B184,'[12]february-2026'!$A:$A,'[12]february-2026'!$D:$D,0,0)</f>
        <v>0</v>
      </c>
      <c r="DU184">
        <f>_xlfn.XLOOKUP(B184,'[12]february-2026'!$A:$A,'[12]february-2026'!$G:$G,0,0)</f>
        <v>500</v>
      </c>
      <c r="DV184">
        <f>IF(DQ184&gt;0,SUM(DQ184:DU184),0)</f>
        <v>63810</v>
      </c>
      <c r="DW184">
        <f>_xlfn.XLOOKUP(B184,'[12]february-2026'!$A:$A,'[12]february-2026'!$H:$H,0,0)</f>
        <v>3000</v>
      </c>
      <c r="DX184">
        <f>_xlfn.XLOOKUP(B184,'[12]february-2026'!$A:$A,'[12]february-2026'!$I:$I,0,0)</f>
        <v>0</v>
      </c>
      <c r="DY184">
        <f>IF($F184="YES",0,IF(DV184&gt;40000,200,IF(DV184&gt;25000,150,IF(DV184&gt;15000,130,IF(DV184&gt;10000,110,0)))))</f>
        <v>200</v>
      </c>
      <c r="DZ184">
        <f>DV184-DW184-DX184-DY184</f>
        <v>60610</v>
      </c>
      <c r="EA184">
        <f>DV184+DL184+DB184+CR184+CH184+BX184+BN184+BD184+AS184+AI184+Y184+O184+H184+I184</f>
        <v>763348</v>
      </c>
      <c r="EB184">
        <f>DY184+DO184+DE184+CU184+CK184+CA184+BQ184+BG184+AV184+AL184+AB184+R184</f>
        <v>2400</v>
      </c>
      <c r="EC184">
        <f>IF(EA184&gt;0,50000,0)</f>
        <v>50000</v>
      </c>
      <c r="ED184">
        <v>0</v>
      </c>
      <c r="EE184">
        <f>EA184-EB184-EC184</f>
        <v>710948</v>
      </c>
      <c r="EF184">
        <f>DW184+DM184+DC184+CS184+CI184+BY184+BO184+BE184+AT184+AJ184+Z184+P184</f>
        <v>36000</v>
      </c>
      <c r="EG184">
        <f>DX184+DN184+DD184+CT184+CJ184+BZ184+BP184+BF184+AU184+AK184+AA184+Q184</f>
        <v>0</v>
      </c>
      <c r="EH184">
        <v>0</v>
      </c>
      <c r="EI184">
        <v>0</v>
      </c>
      <c r="EJ184">
        <v>0</v>
      </c>
      <c r="EK184">
        <v>0</v>
      </c>
      <c r="EL184">
        <v>0</v>
      </c>
      <c r="EM184">
        <v>0</v>
      </c>
      <c r="EN184">
        <v>0</v>
      </c>
      <c r="EO184">
        <v>0</v>
      </c>
      <c r="EP184">
        <v>0</v>
      </c>
      <c r="EQ184">
        <v>0</v>
      </c>
      <c r="ER184">
        <f>SUM(EF184:EQ184)</f>
        <v>36000</v>
      </c>
      <c r="ES184">
        <f>IF(ER184&gt;=150000,150000,ER184)</f>
        <v>36000</v>
      </c>
      <c r="ET184">
        <f>EE184-ES184</f>
        <v>674948</v>
      </c>
      <c r="EU184">
        <v>0</v>
      </c>
      <c r="EV184">
        <v>0</v>
      </c>
      <c r="EW184">
        <v>0</v>
      </c>
      <c r="EX184">
        <v>0</v>
      </c>
      <c r="EY184">
        <v>0</v>
      </c>
      <c r="EZ184">
        <v>0</v>
      </c>
      <c r="FA184">
        <v>0</v>
      </c>
      <c r="FB184">
        <f>SUM(EU184:FA184)+(IF(F184="YES",50000,0))</f>
        <v>0</v>
      </c>
      <c r="FC184">
        <f>ET184-FB184</f>
        <v>674948</v>
      </c>
      <c r="FD184">
        <f>ROUND(IF(FC184&gt;0,IF(FC184&gt;500000,12500,(FC184-250000)*0.05),0),0)</f>
        <v>12500</v>
      </c>
      <c r="FE184">
        <f>IF(ROUND(IF(FC184&gt;0,IF(FC184&gt;1000000,25000,(FC184-500000)*0.2),0),0)&lt;0,0,ROUND(IF(FC184&gt;0,IF(FC184&gt;1000000,25000,(FC184-500000)*0.2),0),0))</f>
        <v>34990</v>
      </c>
      <c r="FF184">
        <f>FD184+FE184</f>
        <v>47490</v>
      </c>
      <c r="FG184">
        <f>IF(FF184&lt;12500,0,FF184)</f>
        <v>47490</v>
      </c>
      <c r="FH184">
        <f>FG184*0.04</f>
        <v>1899.6000000000001</v>
      </c>
      <c r="FI184">
        <f>ROUND(FH184+FG184,0)</f>
        <v>49390</v>
      </c>
      <c r="FJ184">
        <v>0</v>
      </c>
      <c r="FK184">
        <f>FI184-FJ184</f>
        <v>49390</v>
      </c>
      <c r="FL184" t="b">
        <f>IF(EA184&gt;500000,TRUE,FALSE)</f>
        <v>1</v>
      </c>
      <c r="FM184">
        <f ca="1">IF(FL184,RANDBETWEEN(500,1000),RANDBETWEEN(1000,3000))</f>
        <v>588</v>
      </c>
      <c r="FN184">
        <f ca="1">EA184+FM184</f>
        <v>763936</v>
      </c>
      <c r="FO184">
        <f>IF(EA184&gt;0,75000,0)</f>
        <v>75000</v>
      </c>
      <c r="FP184">
        <f ca="1">FN184-FO184</f>
        <v>688936</v>
      </c>
      <c r="FQ184">
        <f ca="1">IF(FP184&gt;2400000,FP184-2400000,0)</f>
        <v>0</v>
      </c>
      <c r="FR184">
        <f ca="1">FQ184*0.3</f>
        <v>0</v>
      </c>
      <c r="FS184">
        <f ca="1">IF(FP184&gt;2000000,FP184-2000000,0)</f>
        <v>0</v>
      </c>
      <c r="FT184">
        <f ca="1">FS184*0.25</f>
        <v>0</v>
      </c>
      <c r="FU184">
        <f ca="1">IF(FP184&gt;1600000,FP184-1600000-FQ184,0)</f>
        <v>0</v>
      </c>
      <c r="FV184">
        <f ca="1">FU184*0.2</f>
        <v>0</v>
      </c>
      <c r="FW184">
        <f ca="1">IF(FP184&gt;1200000,FP184-1200000-IF(F184="YES",50000,0)-FU184,0)</f>
        <v>0</v>
      </c>
      <c r="FX184">
        <f ca="1">FW184*0.15</f>
        <v>0</v>
      </c>
      <c r="FY184">
        <f ca="1">IF(FP184&gt;800000,FP184-800000-FQ184-FU184-FW184,0)</f>
        <v>0</v>
      </c>
      <c r="FZ184">
        <f ca="1">FY184*0.1</f>
        <v>0</v>
      </c>
      <c r="GA184">
        <f ca="1">IF(FP184&gt;400000,FP184-400000-FQ184-FU184-FW184-FY184,0)</f>
        <v>288936</v>
      </c>
      <c r="GB184">
        <f ca="1">GA184*0.05</f>
        <v>14446.800000000001</v>
      </c>
      <c r="GC184">
        <f ca="1">ROUND(FR184+FT184+FV184+FX184+FZ184+GB184,0)</f>
        <v>14447</v>
      </c>
      <c r="GD184">
        <f ca="1">IF(FP184&gt;1200000,FP184,0)</f>
        <v>0</v>
      </c>
      <c r="GE184">
        <f ca="1">IF(FP184&gt;1200000,GD184-1200000,0)</f>
        <v>0</v>
      </c>
      <c r="GF184">
        <f ca="1">IF(FP184&lt;1200001,MIN(GC184,60000),0)</f>
        <v>14447</v>
      </c>
      <c r="GG184">
        <f ca="1">IF(FP184&gt;1200000,GC184-GE184,0)</f>
        <v>0</v>
      </c>
      <c r="GH184" t="b">
        <f ca="1">IF(GG184&gt;0,TRUE,FALSE)</f>
        <v>0</v>
      </c>
      <c r="GI184">
        <f ca="1">IF(GH184,GG184,0)</f>
        <v>0</v>
      </c>
      <c r="GJ184">
        <f ca="1">GF184+GI184</f>
        <v>14447</v>
      </c>
      <c r="GK184">
        <f ca="1">ROUND(GC184-GJ184,0)</f>
        <v>0</v>
      </c>
      <c r="GL184">
        <f ca="1">GK184*0.04</f>
        <v>0</v>
      </c>
      <c r="GM184">
        <f ca="1">ROUNDUP(GK184+GL184,0)</f>
        <v>0</v>
      </c>
    </row>
    <row r="185" spans="1:195" x14ac:dyDescent="0.25">
      <c r="A185">
        <f>_xlfn.AGGREGATE(3,5,$B$2:B185)</f>
        <v>184</v>
      </c>
      <c r="B185" t="s">
        <v>481</v>
      </c>
      <c r="C185" t="s">
        <v>482</v>
      </c>
      <c r="D185" t="s">
        <v>800</v>
      </c>
      <c r="E185" t="s">
        <v>833</v>
      </c>
      <c r="F185" t="s">
        <v>959</v>
      </c>
      <c r="G185" t="s">
        <v>893</v>
      </c>
      <c r="H185">
        <f>IF(_xlfn.DAYS("31-03-2025",G185)&gt;=180,6800,0)</f>
        <v>6800</v>
      </c>
      <c r="I185">
        <f>_xlfn.XLOOKUP(B185,'[1]march-2025'!$A:$A,'[1]march-2025'!$J:$J,0,0)</f>
        <v>0</v>
      </c>
      <c r="J185">
        <f>_xlfn.XLOOKUP(B185,'[1]march-2025'!$A:$A,'[1]march-2025'!$C:$C,0,0)</f>
        <v>34500</v>
      </c>
      <c r="K185">
        <f>J185*0.14</f>
        <v>4830.0000000000009</v>
      </c>
      <c r="L185">
        <f>J185*0.12</f>
        <v>4140</v>
      </c>
      <c r="M185">
        <f>_xlfn.XLOOKUP(B185,'[1]march-2025'!$A:$A,'[1]march-2025'!$D:$D,0,0)</f>
        <v>0</v>
      </c>
      <c r="N185">
        <f>_xlfn.XLOOKUP(B185,'[1]march-2025'!$A:$A,'[1]march-2025'!$G:$G,0,0)</f>
        <v>500</v>
      </c>
      <c r="O185">
        <f>IF(J185&gt;0,SUM(J185:N185),0)</f>
        <v>43970</v>
      </c>
      <c r="P185">
        <f>_xlfn.XLOOKUP(B185,'[1]march-2025'!$A:$A,'[1]march-2025'!$H:$H,0,0)</f>
        <v>2500</v>
      </c>
      <c r="Q185">
        <f>_xlfn.XLOOKUP(B185,'[1]march-2025'!$A:$A,'[1]march-2025'!$I:$I,0,0)</f>
        <v>0</v>
      </c>
      <c r="R185">
        <f>IF($F185="YES",0,IF(O185&gt;40000,200,IF(O185&gt;25000,150,IF(O185&gt;15000,130,IF(O185&gt;10000,110,0)))))</f>
        <v>200</v>
      </c>
      <c r="S185">
        <f>O185-P185-Q185-R185</f>
        <v>41270</v>
      </c>
      <c r="T185">
        <f>_xlfn.XLOOKUP(B185,'[2]april-2025'!$A:$A,'[2]april-2025'!$C:$C,0,0)</f>
        <v>34500</v>
      </c>
      <c r="U185">
        <f>T185*0.18</f>
        <v>6210</v>
      </c>
      <c r="V185">
        <f>T185*0.12</f>
        <v>4140</v>
      </c>
      <c r="W185">
        <f>_xlfn.XLOOKUP(B185,'[2]april-2025'!$A:$A,'[2]april-2025'!$D:$D,0,0)</f>
        <v>0</v>
      </c>
      <c r="X185">
        <f>_xlfn.XLOOKUP(B185,'[2]april-2025'!$A:$A,'[2]april-2025'!$G:$G,0,0)</f>
        <v>500</v>
      </c>
      <c r="Y185">
        <f>IF(T185&gt;0,SUM(T185:X185),0)</f>
        <v>45350</v>
      </c>
      <c r="Z185">
        <f>_xlfn.XLOOKUP(B185,'[2]april-2025'!$A:$A,'[2]april-2025'!$H:$H,0,0)</f>
        <v>2500</v>
      </c>
      <c r="AA185">
        <f>_xlfn.XLOOKUP(B185,'[2]april-2025'!$A:$A,'[2]april-2025'!$I:$I,0,0)</f>
        <v>0</v>
      </c>
      <c r="AB185">
        <f>IF($F185="YES",0,IF(Y185&gt;40000,200,IF(Y185&gt;25000,150,IF(Y185&gt;15000,130,IF(Y185&gt;10000,110,0)))))</f>
        <v>200</v>
      </c>
      <c r="AC185">
        <f>Y185-Z185-AA185-AB185</f>
        <v>42650</v>
      </c>
      <c r="AD185">
        <f>_xlfn.XLOOKUP(B185,'[3]may-2025'!$A:$A,'[3]may-2025'!$C:$C,0,0)</f>
        <v>34500</v>
      </c>
      <c r="AE185">
        <f>AD185*0.18</f>
        <v>6210</v>
      </c>
      <c r="AF185">
        <f>AD185*0.12</f>
        <v>4140</v>
      </c>
      <c r="AG185">
        <f>_xlfn.XLOOKUP(B185,'[3]may-2025'!$A:$A,'[3]may-2025'!$D:$D,0,0)</f>
        <v>0</v>
      </c>
      <c r="AH185">
        <f>_xlfn.XLOOKUP(B185,'[3]may-2025'!$A:$A,'[3]may-2025'!$G:$G,0,0)</f>
        <v>500</v>
      </c>
      <c r="AI185">
        <f>IF(AD185&gt;0,SUM(AD185:AH185),0)</f>
        <v>45350</v>
      </c>
      <c r="AJ185">
        <f>_xlfn.XLOOKUP(B185,'[3]may-2025'!$A:$A,'[3]may-2025'!$H:$H,0,0)</f>
        <v>2500</v>
      </c>
      <c r="AK185">
        <f>_xlfn.XLOOKUP(B185,'[3]may-2025'!$A:$A,'[3]may-2025'!$I:$I,0,0)</f>
        <v>0</v>
      </c>
      <c r="AL185">
        <f>IF($F185="YES",0,IF(AI185&gt;40000,200,IF(AI185&gt;25000,150,IF(AI185&gt;15000,130,IF(AI185&gt;10000,110,0)))))</f>
        <v>200</v>
      </c>
      <c r="AM185">
        <f>AI185-AJ185-AK185-AL185</f>
        <v>42650</v>
      </c>
      <c r="AN185">
        <f>_xlfn.XLOOKUP(B185,'[4]june-2025'!$A:$A,'[4]june-2025'!$C:$C,0,0)</f>
        <v>34500</v>
      </c>
      <c r="AO185">
        <f>AN185*0.18</f>
        <v>6210</v>
      </c>
      <c r="AP185">
        <f>AN185*0.12</f>
        <v>4140</v>
      </c>
      <c r="AQ185">
        <f>_xlfn.XLOOKUP(B185,'[4]june-2025'!$A:$A,'[4]june-2025'!$D:$D,0,0)</f>
        <v>0</v>
      </c>
      <c r="AR185">
        <f>_xlfn.XLOOKUP(B185,'[4]june-2025'!$A:$A,'[4]june-2025'!$G:$G,0,0)</f>
        <v>500</v>
      </c>
      <c r="AS185">
        <f>IF(AN185&gt;0,SUM(AN185:AR185),0)</f>
        <v>45350</v>
      </c>
      <c r="AT185">
        <f>_xlfn.XLOOKUP(B185,'[4]june-2025'!$A:$A,'[4]june-2025'!$H:$H,0,0)</f>
        <v>2500</v>
      </c>
      <c r="AU185">
        <f>_xlfn.XLOOKUP(B185,'[4]june-2025'!$A:$A,'[4]june-2025'!$I:$I,0,0)</f>
        <v>0</v>
      </c>
      <c r="AV185">
        <f>IF($F185="YES",0,IF(AS185&gt;40000,200,IF(AS185&gt;25000,150,IF(AS185&gt;15000,130,IF(AS185&gt;10000,110,0)))))</f>
        <v>200</v>
      </c>
      <c r="AW185">
        <f>AS185-AT185-AU185-AV185</f>
        <v>42650</v>
      </c>
      <c r="AX185">
        <f>_xlfn.XLOOKUP(B185,'[5]july-2025'!$A:$A,'[5]july-2025'!$C:$C,0,0)</f>
        <v>35500</v>
      </c>
      <c r="AY185">
        <f>AX185*0.18</f>
        <v>6390</v>
      </c>
      <c r="AZ185">
        <v>0</v>
      </c>
      <c r="BA185">
        <f>AX185*0.12</f>
        <v>4260</v>
      </c>
      <c r="BB185">
        <f>_xlfn.XLOOKUP(B185,'[5]july-2025'!$A:$A,'[5]july-2025'!$D:$D,0,0)</f>
        <v>0</v>
      </c>
      <c r="BC185">
        <f>_xlfn.XLOOKUP(B185,'[5]july-2025'!$A:$A,'[5]july-2025'!$G:$G,0,0)</f>
        <v>500</v>
      </c>
      <c r="BD185">
        <f>IF(AX185&gt;0,SUM(AX185:BC185),0)</f>
        <v>46650</v>
      </c>
      <c r="BE185">
        <f>_xlfn.XLOOKUP(B185,'[5]july-2025'!$A:$A,'[5]july-2025'!$H:$H,0,0)</f>
        <v>2500</v>
      </c>
      <c r="BF185">
        <f>_xlfn.XLOOKUP(B185,'[5]july-2025'!$A:$A,'[5]july-2025'!$I:$I,0,0)</f>
        <v>0</v>
      </c>
      <c r="BG185">
        <f>IF($F185="YES",0,IF(BD185&gt;40000,200,IF(BD185&gt;25000,150,IF(BD185&gt;15000,130,IF(BD185&gt;10000,110,0)))))</f>
        <v>200</v>
      </c>
      <c r="BH185">
        <f>BD185-BE185-BF185-BG185</f>
        <v>43950</v>
      </c>
      <c r="BI185">
        <f>_xlfn.XLOOKUP(B185,'[6]august-2025'!$A:$A,'[6]august-2025'!$C:$C,0,0)</f>
        <v>35500</v>
      </c>
      <c r="BJ185">
        <f>BI185*0.18</f>
        <v>6390</v>
      </c>
      <c r="BK185">
        <f>BI185*0.12</f>
        <v>4260</v>
      </c>
      <c r="BL185">
        <f>_xlfn.XLOOKUP(B185,'[6]august-2025'!$A:$A,'[6]august-2025'!$D:$D,0,0)</f>
        <v>0</v>
      </c>
      <c r="BM185">
        <f>_xlfn.XLOOKUP(B185,'[6]august-2025'!$A:$A,'[6]august-2025'!$G:$G,0,0)</f>
        <v>500</v>
      </c>
      <c r="BN185">
        <f>IF(BI185&gt;0,SUM(BI185:BM185),0)</f>
        <v>46650</v>
      </c>
      <c r="BO185">
        <f>_xlfn.XLOOKUP(B185,'[6]august-2025'!$A:$A,'[6]august-2025'!$H:$H,0,0)</f>
        <v>2500</v>
      </c>
      <c r="BP185">
        <f>_xlfn.XLOOKUP(B185,'[6]august-2025'!$A:$A,'[6]august-2025'!$I:$I,0,0)</f>
        <v>0</v>
      </c>
      <c r="BQ185">
        <f>IF($F185="YES",0,IF(BN185&gt;40000,200,IF(BN185&gt;25000,150,IF(BN185&gt;15000,130,IF(BN185&gt;10000,110,0)))))</f>
        <v>200</v>
      </c>
      <c r="BR185">
        <f>BN185-BO185-BP185-BQ185</f>
        <v>43950</v>
      </c>
      <c r="BS185">
        <f>_xlfn.XLOOKUP(B185,'[7]september-2025'!$A:$A,'[7]september-2025'!$C:$C,0,0)</f>
        <v>35500</v>
      </c>
      <c r="BT185">
        <f>BS185*0.18</f>
        <v>6390</v>
      </c>
      <c r="BU185">
        <f>BS185*0.12</f>
        <v>4260</v>
      </c>
      <c r="BV185">
        <f>_xlfn.XLOOKUP(B185,'[7]september-2025'!$A:$A,'[7]september-2025'!$D:$D,0,0)</f>
        <v>0</v>
      </c>
      <c r="BW185">
        <f>_xlfn.XLOOKUP(B185,'[7]september-2025'!$A:$A,'[7]september-2025'!$G:$G,0,0)</f>
        <v>500</v>
      </c>
      <c r="BX185">
        <f>IF(BS185&gt;0,SUM(BS185:BW185),0)</f>
        <v>46650</v>
      </c>
      <c r="BY185">
        <f>_xlfn.XLOOKUP(B185,'[7]september-2025'!$A:$A,'[7]september-2025'!$H:$H,0,0)</f>
        <v>2500</v>
      </c>
      <c r="BZ185">
        <f>_xlfn.XLOOKUP(B185,'[7]september-2025'!$A:$A,'[7]september-2025'!$I:$I,0,0)</f>
        <v>0</v>
      </c>
      <c r="CA185">
        <f>IF($F185="YES",0,IF(BX185&gt;40000,200,IF(BX185&gt;25000,150,IF(BX185&gt;15000,130,IF(BX185&gt;10000,110,0)))))</f>
        <v>200</v>
      </c>
      <c r="CB185">
        <f>BX185-BY185-BZ185-CA185</f>
        <v>43950</v>
      </c>
      <c r="CC185">
        <f>_xlfn.XLOOKUP(B185,'[8]october-2025'!$A:$A,'[8]october-2025'!$C:$C,0,0)</f>
        <v>35500</v>
      </c>
      <c r="CD185">
        <f>CC185*0.18</f>
        <v>6390</v>
      </c>
      <c r="CE185">
        <f>CC185*0.12</f>
        <v>4260</v>
      </c>
      <c r="CF185">
        <f>_xlfn.XLOOKUP(B185,'[8]october-2025'!$A:$A,'[8]october-2025'!$D:$D,0,0)</f>
        <v>0</v>
      </c>
      <c r="CG185">
        <f>_xlfn.XLOOKUP(B185,'[8]october-2025'!$A:$A,'[8]october-2025'!$G:$G,0,0)</f>
        <v>500</v>
      </c>
      <c r="CH185">
        <f>IF(CC185&gt;0,SUM(CC185:CG185),0)</f>
        <v>46650</v>
      </c>
      <c r="CI185">
        <f>_xlfn.XLOOKUP(B185,'[8]october-2025'!$A:$A,'[8]october-2025'!$H:$H,0,0)</f>
        <v>2500</v>
      </c>
      <c r="CJ185">
        <f>_xlfn.XLOOKUP(B185,'[8]october-2025'!$A:$A,'[8]october-2025'!$I:$I,0,0)</f>
        <v>0</v>
      </c>
      <c r="CK185">
        <f>IF($F185="YES",0,IF(CH185&gt;40000,200,IF(CH185&gt;25000,150,IF(CH185&gt;15000,130,IF(CH185&gt;10000,110,0)))))</f>
        <v>200</v>
      </c>
      <c r="CL185">
        <f>CH185-CI185-CJ185-CK185</f>
        <v>43950</v>
      </c>
      <c r="CM185">
        <f>_xlfn.XLOOKUP(B185,'[9]november-2025'!$A:$A,'[9]november-2025'!$C:$C,0,0)</f>
        <v>35500</v>
      </c>
      <c r="CN185">
        <f>CM185*0.18</f>
        <v>6390</v>
      </c>
      <c r="CO185">
        <f>CM185*0.12</f>
        <v>4260</v>
      </c>
      <c r="CP185">
        <f>_xlfn.XLOOKUP(B185,'[9]november-2025'!$A:$A,'[9]november-2025'!$D:$D,0,0)</f>
        <v>0</v>
      </c>
      <c r="CQ185">
        <f>_xlfn.XLOOKUP(B185,'[9]november-2025'!$A:$A,'[9]november-2025'!$G:$G,0,0)</f>
        <v>500</v>
      </c>
      <c r="CR185">
        <f>IF(CM185&gt;0,SUM(CM185:CQ185),0)</f>
        <v>46650</v>
      </c>
      <c r="CS185">
        <f>_xlfn.XLOOKUP(B185,'[9]november-2025'!$A:$A,'[9]november-2025'!$H:$H,0,0)</f>
        <v>2500</v>
      </c>
      <c r="CT185">
        <f>_xlfn.XLOOKUP(B185,'[9]november-2025'!$A:$A,'[9]november-2025'!$I:$I,0,0)</f>
        <v>0</v>
      </c>
      <c r="CU185">
        <f>IF($F185="YES",0,IF(CR185&gt;40000,200,IF(CR185&gt;25000,150,IF(CR185&gt;15000,130,IF(CR185&gt;10000,110,0)))))</f>
        <v>200</v>
      </c>
      <c r="CV185">
        <f>CR185-CS185-CT185-CU185</f>
        <v>43950</v>
      </c>
      <c r="CW185">
        <f>_xlfn.XLOOKUP(B185,'[10]december-2025'!$A:$A,'[10]december-2025'!$C:$C,0,0)</f>
        <v>35500</v>
      </c>
      <c r="CX185">
        <f>ROUND(CW185*0.18,0)</f>
        <v>6390</v>
      </c>
      <c r="CY185">
        <f>ROUND(CW185*0.12,0)</f>
        <v>4260</v>
      </c>
      <c r="CZ185">
        <f>_xlfn.XLOOKUP(B185,'[10]december-2025'!$A:$A,'[10]december-2025'!$D:$D,0,0)</f>
        <v>0</v>
      </c>
      <c r="DA185">
        <f>_xlfn.XLOOKUP(B185,'[10]december-2025'!$A:$A,'[10]december-2025'!$G:$G,0,0)</f>
        <v>500</v>
      </c>
      <c r="DB185">
        <f>IF(CW185&gt;0,SUM(CW185:DA185),0)</f>
        <v>46650</v>
      </c>
      <c r="DC185">
        <f>_xlfn.XLOOKUP(B185,'[10]december-2025'!$A:$A,'[10]december-2025'!$H:$H,0,0)</f>
        <v>2500</v>
      </c>
      <c r="DD185">
        <f>_xlfn.XLOOKUP(B185,'[10]december-2025'!$A:$A,'[10]december-2025'!$I:$I,0,0)</f>
        <v>0</v>
      </c>
      <c r="DE185">
        <f>IF($F185="YES",0,IF(DB185&gt;40000,200,IF(DB185&gt;25000,150,IF(DB185&gt;15000,130,IF(DB185&gt;10000,110,0)))))</f>
        <v>200</v>
      </c>
      <c r="DF185">
        <f>DB185-DC185-DD185-DE185</f>
        <v>43950</v>
      </c>
      <c r="DG185">
        <f>_xlfn.XLOOKUP(B185,'[11]january-2026'!$A:$A,'[11]january-2026'!$C:$C,0,0)</f>
        <v>35500</v>
      </c>
      <c r="DH185">
        <f>DG185*0.18</f>
        <v>6390</v>
      </c>
      <c r="DI185">
        <f>DG185*0.12</f>
        <v>4260</v>
      </c>
      <c r="DJ185">
        <f>_xlfn.XLOOKUP(B185,'[11]january-2026'!$A:$A,'[11]january-2026'!$D:$D,0,0)</f>
        <v>0</v>
      </c>
      <c r="DK185">
        <f>_xlfn.XLOOKUP(B185,'[11]january-2026'!$A:$A,'[11]january-2026'!$G:$G,0,0)</f>
        <v>500</v>
      </c>
      <c r="DL185">
        <f>IF(DG185&gt;0,SUM(DG185:DK185),0)</f>
        <v>46650</v>
      </c>
      <c r="DM185">
        <f>_xlfn.XLOOKUP(B185,'[11]january-2026'!$A:$A,'[11]january-2026'!$H:$H,0,0)</f>
        <v>2500</v>
      </c>
      <c r="DN185">
        <f>_xlfn.XLOOKUP(B185,'[11]january-2026'!$A:$A,'[11]january-2026'!$I:$I,0,0)</f>
        <v>0</v>
      </c>
      <c r="DO185">
        <f>IF($F185="YES",0,IF(DL185&gt;40000,200,IF(DL185&gt;25000,150,IF(DL185&gt;15000,130,IF(DL185&gt;10000,110,0)))))</f>
        <v>200</v>
      </c>
      <c r="DP185">
        <f>DL185-DM185-DN185-DO185</f>
        <v>43950</v>
      </c>
      <c r="DQ185">
        <f>_xlfn.XLOOKUP(B185,'[12]february-2026'!$A:$A,'[12]february-2026'!$C:$C,0,0)</f>
        <v>35500</v>
      </c>
      <c r="DR185">
        <f>DQ185*0.18</f>
        <v>6390</v>
      </c>
      <c r="DS185">
        <f>DQ185*0.12</f>
        <v>4260</v>
      </c>
      <c r="DT185">
        <f>_xlfn.XLOOKUP(B185,'[12]february-2026'!$A:$A,'[12]february-2026'!$D:$D,0,0)</f>
        <v>0</v>
      </c>
      <c r="DU185">
        <f>_xlfn.XLOOKUP(B185,'[12]february-2026'!$A:$A,'[12]february-2026'!$G:$G,0,0)</f>
        <v>500</v>
      </c>
      <c r="DV185">
        <f>IF(DQ185&gt;0,SUM(DQ185:DU185),0)</f>
        <v>46650</v>
      </c>
      <c r="DW185">
        <f>_xlfn.XLOOKUP(B185,'[12]february-2026'!$A:$A,'[12]february-2026'!$H:$H,0,0)</f>
        <v>2500</v>
      </c>
      <c r="DX185">
        <f>_xlfn.XLOOKUP(B185,'[12]february-2026'!$A:$A,'[12]february-2026'!$I:$I,0,0)</f>
        <v>0</v>
      </c>
      <c r="DY185">
        <f>IF($F185="YES",0,IF(DV185&gt;40000,200,IF(DV185&gt;25000,150,IF(DV185&gt;15000,130,IF(DV185&gt;10000,110,0)))))</f>
        <v>200</v>
      </c>
      <c r="DZ185">
        <f>DV185-DW185-DX185-DY185</f>
        <v>43950</v>
      </c>
      <c r="EA185">
        <f>DV185+DL185+DB185+CR185+CH185+BX185+BN185+BD185+AS185+AI185+Y185+O185+H185+I185</f>
        <v>560020</v>
      </c>
      <c r="EB185">
        <f>DY185+DO185+DE185+CU185+CK185+CA185+BQ185+BG185+AV185+AL185+AB185+R185</f>
        <v>2400</v>
      </c>
      <c r="EC185">
        <f>IF(EA185&gt;0,50000,0)</f>
        <v>50000</v>
      </c>
      <c r="ED185">
        <v>0</v>
      </c>
      <c r="EE185">
        <f>EA185-EB185-EC185</f>
        <v>507620</v>
      </c>
      <c r="EF185">
        <f>DW185+DM185+DC185+CS185+CI185+BY185+BO185+BE185+AT185+AJ185+Z185+P185</f>
        <v>30000</v>
      </c>
      <c r="EG185">
        <f>DX185+DN185+DD185+CT185+CJ185+BZ185+BP185+BF185+AU185+AK185+AA185+Q185</f>
        <v>0</v>
      </c>
      <c r="EH185">
        <v>0</v>
      </c>
      <c r="EI185">
        <v>0</v>
      </c>
      <c r="EJ185">
        <v>0</v>
      </c>
      <c r="EK185">
        <v>0</v>
      </c>
      <c r="EL185">
        <v>0</v>
      </c>
      <c r="EM185">
        <v>0</v>
      </c>
      <c r="EN185">
        <v>0</v>
      </c>
      <c r="EO185">
        <v>0</v>
      </c>
      <c r="EP185">
        <v>0</v>
      </c>
      <c r="EQ185">
        <v>0</v>
      </c>
      <c r="ER185">
        <f>SUM(EF185:EQ185)</f>
        <v>30000</v>
      </c>
      <c r="ES185">
        <f>IF(ER185&gt;=150000,150000,ER185)</f>
        <v>30000</v>
      </c>
      <c r="ET185">
        <f>EE185-ES185</f>
        <v>477620</v>
      </c>
      <c r="EU185">
        <v>0</v>
      </c>
      <c r="EV185">
        <v>0</v>
      </c>
      <c r="EW185">
        <v>0</v>
      </c>
      <c r="EX185">
        <v>0</v>
      </c>
      <c r="EY185">
        <v>0</v>
      </c>
      <c r="EZ185">
        <v>0</v>
      </c>
      <c r="FA185">
        <v>0</v>
      </c>
      <c r="FB185">
        <f>SUM(EU185:FA185)+(IF(F185="YES",50000,0))</f>
        <v>0</v>
      </c>
      <c r="FC185">
        <f>ET185-FB185</f>
        <v>477620</v>
      </c>
      <c r="FD185">
        <f>ROUND(IF(FC185&gt;0,IF(FC185&gt;500000,12500,(FC185-250000)*0.05),0),0)</f>
        <v>11381</v>
      </c>
      <c r="FE185">
        <f>IF(ROUND(IF(FC185&gt;0,IF(FC185&gt;1000000,25000,(FC185-500000)*0.2),0),0)&lt;0,0,ROUND(IF(FC185&gt;0,IF(FC185&gt;1000000,25000,(FC185-500000)*0.2),0),0))</f>
        <v>0</v>
      </c>
      <c r="FF185">
        <f>FD185+FE185</f>
        <v>11381</v>
      </c>
      <c r="FG185">
        <f>IF(FF185&lt;12500,0,FF185)</f>
        <v>0</v>
      </c>
      <c r="FH185">
        <f>FG185*0.04</f>
        <v>0</v>
      </c>
      <c r="FI185">
        <f>ROUND(FH185+FG185,0)</f>
        <v>0</v>
      </c>
      <c r="FJ185">
        <v>0</v>
      </c>
      <c r="FK185">
        <f>FI185-FJ185</f>
        <v>0</v>
      </c>
      <c r="FL185" t="b">
        <f>IF(EA185&gt;500000,TRUE,FALSE)</f>
        <v>1</v>
      </c>
      <c r="FM185">
        <f ca="1">IF(FL185,RANDBETWEEN(500,1000),RANDBETWEEN(1000,3000))</f>
        <v>668</v>
      </c>
      <c r="FN185">
        <f ca="1">EA185+FM185</f>
        <v>560688</v>
      </c>
      <c r="FO185">
        <f>IF(EA185&gt;0,75000,0)</f>
        <v>75000</v>
      </c>
      <c r="FP185">
        <f ca="1">FN185-FO185</f>
        <v>485688</v>
      </c>
      <c r="FQ185">
        <f ca="1">IF(FP185&gt;2400000,FP185-2400000,0)</f>
        <v>0</v>
      </c>
      <c r="FR185">
        <f ca="1">FQ185*0.3</f>
        <v>0</v>
      </c>
      <c r="FS185">
        <f ca="1">IF(FP185&gt;2000000,FP185-2000000,0)</f>
        <v>0</v>
      </c>
      <c r="FT185">
        <f ca="1">FS185*0.25</f>
        <v>0</v>
      </c>
      <c r="FU185">
        <f ca="1">IF(FP185&gt;1600000,FP185-1600000-FQ185,0)</f>
        <v>0</v>
      </c>
      <c r="FV185">
        <f ca="1">FU185*0.2</f>
        <v>0</v>
      </c>
      <c r="FW185">
        <f ca="1">IF(FP185&gt;1200000,FP185-1200000-IF(F185="YES",50000,0)-FU185,0)</f>
        <v>0</v>
      </c>
      <c r="FX185">
        <f ca="1">FW185*0.15</f>
        <v>0</v>
      </c>
      <c r="FY185">
        <f ca="1">IF(FP185&gt;800000,FP185-800000-FQ185-FU185-FW185,0)</f>
        <v>0</v>
      </c>
      <c r="FZ185">
        <f ca="1">FY185*0.1</f>
        <v>0</v>
      </c>
      <c r="GA185">
        <f ca="1">IF(FP185&gt;400000,FP185-400000-FQ185-FU185-FW185-FY185,0)</f>
        <v>85688</v>
      </c>
      <c r="GB185">
        <f ca="1">GA185*0.05</f>
        <v>4284.4000000000005</v>
      </c>
      <c r="GC185">
        <f ca="1">ROUND(FR185+FT185+FV185+FX185+FZ185+GB185,0)</f>
        <v>4284</v>
      </c>
      <c r="GD185">
        <f ca="1">IF(FP185&gt;1200000,FP185,0)</f>
        <v>0</v>
      </c>
      <c r="GE185">
        <f ca="1">IF(FP185&gt;1200000,GD185-1200000,0)</f>
        <v>0</v>
      </c>
      <c r="GF185">
        <f ca="1">IF(FP185&lt;1200001,MIN(GC185,60000),0)</f>
        <v>4284</v>
      </c>
      <c r="GG185">
        <f ca="1">IF(FP185&gt;1200000,GC185-GE185,0)</f>
        <v>0</v>
      </c>
      <c r="GH185" t="b">
        <f ca="1">IF(GG185&gt;0,TRUE,FALSE)</f>
        <v>0</v>
      </c>
      <c r="GI185">
        <f ca="1">IF(GH185,GG185,0)</f>
        <v>0</v>
      </c>
      <c r="GJ185">
        <f ca="1">GF185+GI185</f>
        <v>4284</v>
      </c>
      <c r="GK185">
        <f ca="1">ROUND(GC185-GJ185,0)</f>
        <v>0</v>
      </c>
      <c r="GL185">
        <f ca="1">GK185*0.04</f>
        <v>0</v>
      </c>
      <c r="GM185">
        <f ca="1">ROUNDUP(GK185+GL185,0)</f>
        <v>0</v>
      </c>
    </row>
    <row r="186" spans="1:195" x14ac:dyDescent="0.25">
      <c r="A186">
        <f>_xlfn.AGGREGATE(3,5,$B$2:B186)</f>
        <v>185</v>
      </c>
      <c r="B186" t="s">
        <v>483</v>
      </c>
      <c r="C186" t="s">
        <v>484</v>
      </c>
      <c r="D186" t="s">
        <v>800</v>
      </c>
      <c r="E186" t="s">
        <v>833</v>
      </c>
      <c r="F186" t="s">
        <v>959</v>
      </c>
      <c r="G186" t="s">
        <v>888</v>
      </c>
      <c r="H186">
        <f>IF(_xlfn.DAYS("31-03-2025",G186)&gt;=180,6800,0)</f>
        <v>6800</v>
      </c>
      <c r="I186">
        <f>_xlfn.XLOOKUP(B186,'[1]march-2025'!$A:$A,'[1]march-2025'!$J:$J,0,0)</f>
        <v>0</v>
      </c>
      <c r="J186">
        <f>_xlfn.XLOOKUP(B186,'[1]march-2025'!$A:$A,'[1]march-2025'!$C:$C,0,0)</f>
        <v>33500</v>
      </c>
      <c r="K186">
        <f>J186*0.14</f>
        <v>4690</v>
      </c>
      <c r="L186">
        <f>J186*0.12</f>
        <v>4020</v>
      </c>
      <c r="M186">
        <f>_xlfn.XLOOKUP(B186,'[1]march-2025'!$A:$A,'[1]march-2025'!$D:$D,0,0)</f>
        <v>0</v>
      </c>
      <c r="N186">
        <f>_xlfn.XLOOKUP(B186,'[1]march-2025'!$A:$A,'[1]march-2025'!$G:$G,0,0)</f>
        <v>0</v>
      </c>
      <c r="O186">
        <f>IF(J186&gt;0,SUM(J186:N186),0)</f>
        <v>42210</v>
      </c>
      <c r="P186">
        <f>_xlfn.XLOOKUP(B186,'[1]march-2025'!$A:$A,'[1]march-2025'!$H:$H,0,0)</f>
        <v>2500</v>
      </c>
      <c r="Q186">
        <f>_xlfn.XLOOKUP(B186,'[1]march-2025'!$A:$A,'[1]march-2025'!$I:$I,0,0)</f>
        <v>0</v>
      </c>
      <c r="R186">
        <f>IF($F186="YES",0,IF(O186&gt;40000,200,IF(O186&gt;25000,150,IF(O186&gt;15000,130,IF(O186&gt;10000,110,0)))))</f>
        <v>200</v>
      </c>
      <c r="S186">
        <f>O186-P186-Q186-R186</f>
        <v>39510</v>
      </c>
      <c r="T186">
        <f>_xlfn.XLOOKUP(B186,'[2]april-2025'!$A:$A,'[2]april-2025'!$C:$C,0,0)</f>
        <v>33500</v>
      </c>
      <c r="U186">
        <f>T186*0.18</f>
        <v>6030</v>
      </c>
      <c r="V186">
        <f>T186*0.12</f>
        <v>4020</v>
      </c>
      <c r="W186">
        <f>_xlfn.XLOOKUP(B186,'[2]april-2025'!$A:$A,'[2]april-2025'!$D:$D,0,0)</f>
        <v>0</v>
      </c>
      <c r="X186">
        <f>_xlfn.XLOOKUP(B186,'[2]april-2025'!$A:$A,'[2]april-2025'!$G:$G,0,0)</f>
        <v>0</v>
      </c>
      <c r="Y186">
        <f>IF(T186&gt;0,SUM(T186:X186),0)</f>
        <v>43550</v>
      </c>
      <c r="Z186">
        <f>_xlfn.XLOOKUP(B186,'[2]april-2025'!$A:$A,'[2]april-2025'!$H:$H,0,0)</f>
        <v>2500</v>
      </c>
      <c r="AA186">
        <f>_xlfn.XLOOKUP(B186,'[2]april-2025'!$A:$A,'[2]april-2025'!$I:$I,0,0)</f>
        <v>0</v>
      </c>
      <c r="AB186">
        <f>IF($F186="YES",0,IF(Y186&gt;40000,200,IF(Y186&gt;25000,150,IF(Y186&gt;15000,130,IF(Y186&gt;10000,110,0)))))</f>
        <v>200</v>
      </c>
      <c r="AC186">
        <f>Y186-Z186-AA186-AB186</f>
        <v>40850</v>
      </c>
      <c r="AD186">
        <f>_xlfn.XLOOKUP(B186,'[3]may-2025'!$A:$A,'[3]may-2025'!$C:$C,0,0)</f>
        <v>33500</v>
      </c>
      <c r="AE186">
        <f>AD186*0.18</f>
        <v>6030</v>
      </c>
      <c r="AF186">
        <f>AD186*0.12</f>
        <v>4020</v>
      </c>
      <c r="AG186">
        <f>_xlfn.XLOOKUP(B186,'[3]may-2025'!$A:$A,'[3]may-2025'!$D:$D,0,0)</f>
        <v>0</v>
      </c>
      <c r="AH186">
        <f>_xlfn.XLOOKUP(B186,'[3]may-2025'!$A:$A,'[3]may-2025'!$G:$G,0,0)</f>
        <v>0</v>
      </c>
      <c r="AI186">
        <f>IF(AD186&gt;0,SUM(AD186:AH186),0)</f>
        <v>43550</v>
      </c>
      <c r="AJ186">
        <f>_xlfn.XLOOKUP(B186,'[3]may-2025'!$A:$A,'[3]may-2025'!$H:$H,0,0)</f>
        <v>2500</v>
      </c>
      <c r="AK186">
        <f>_xlfn.XLOOKUP(B186,'[3]may-2025'!$A:$A,'[3]may-2025'!$I:$I,0,0)</f>
        <v>0</v>
      </c>
      <c r="AL186">
        <f>IF($F186="YES",0,IF(AI186&gt;40000,200,IF(AI186&gt;25000,150,IF(AI186&gt;15000,130,IF(AI186&gt;10000,110,0)))))</f>
        <v>200</v>
      </c>
      <c r="AM186">
        <f>AI186-AJ186-AK186-AL186</f>
        <v>40850</v>
      </c>
      <c r="AN186">
        <f>_xlfn.XLOOKUP(B186,'[4]june-2025'!$A:$A,'[4]june-2025'!$C:$C,0,0)</f>
        <v>33500</v>
      </c>
      <c r="AO186">
        <f>AN186*0.18</f>
        <v>6030</v>
      </c>
      <c r="AP186">
        <f>AN186*0.12</f>
        <v>4020</v>
      </c>
      <c r="AQ186">
        <f>_xlfn.XLOOKUP(B186,'[4]june-2025'!$A:$A,'[4]june-2025'!$D:$D,0,0)</f>
        <v>0</v>
      </c>
      <c r="AR186">
        <f>_xlfn.XLOOKUP(B186,'[4]june-2025'!$A:$A,'[4]june-2025'!$G:$G,0,0)</f>
        <v>0</v>
      </c>
      <c r="AS186">
        <f>IF(AN186&gt;0,SUM(AN186:AR186),0)</f>
        <v>43550</v>
      </c>
      <c r="AT186">
        <f>_xlfn.XLOOKUP(B186,'[4]june-2025'!$A:$A,'[4]june-2025'!$H:$H,0,0)</f>
        <v>2500</v>
      </c>
      <c r="AU186">
        <f>_xlfn.XLOOKUP(B186,'[4]june-2025'!$A:$A,'[4]june-2025'!$I:$I,0,0)</f>
        <v>0</v>
      </c>
      <c r="AV186">
        <f>IF($F186="YES",0,IF(AS186&gt;40000,200,IF(AS186&gt;25000,150,IF(AS186&gt;15000,130,IF(AS186&gt;10000,110,0)))))</f>
        <v>200</v>
      </c>
      <c r="AW186">
        <f>AS186-AT186-AU186-AV186</f>
        <v>40850</v>
      </c>
      <c r="AX186">
        <f>_xlfn.XLOOKUP(B186,'[5]july-2025'!$A:$A,'[5]july-2025'!$C:$C,0,0)</f>
        <v>34500</v>
      </c>
      <c r="AY186">
        <f>AX186*0.18</f>
        <v>6210</v>
      </c>
      <c r="AZ186">
        <v>0</v>
      </c>
      <c r="BA186">
        <f>AX186*0.12</f>
        <v>4140</v>
      </c>
      <c r="BB186">
        <f>_xlfn.XLOOKUP(B186,'[5]july-2025'!$A:$A,'[5]july-2025'!$D:$D,0,0)</f>
        <v>0</v>
      </c>
      <c r="BC186">
        <f>_xlfn.XLOOKUP(B186,'[5]july-2025'!$A:$A,'[5]july-2025'!$G:$G,0,0)</f>
        <v>0</v>
      </c>
      <c r="BD186">
        <f>IF(AX186&gt;0,SUM(AX186:BC186),0)</f>
        <v>44850</v>
      </c>
      <c r="BE186">
        <f>_xlfn.XLOOKUP(B186,'[5]july-2025'!$A:$A,'[5]july-2025'!$H:$H,0,0)</f>
        <v>2500</v>
      </c>
      <c r="BF186">
        <f>_xlfn.XLOOKUP(B186,'[5]july-2025'!$A:$A,'[5]july-2025'!$I:$I,0,0)</f>
        <v>0</v>
      </c>
      <c r="BG186">
        <f>IF($F186="YES",0,IF(BD186&gt;40000,200,IF(BD186&gt;25000,150,IF(BD186&gt;15000,130,IF(BD186&gt;10000,110,0)))))</f>
        <v>200</v>
      </c>
      <c r="BH186">
        <f>BD186-BE186-BF186-BG186</f>
        <v>42150</v>
      </c>
      <c r="BI186">
        <f>_xlfn.XLOOKUP(B186,'[6]august-2025'!$A:$A,'[6]august-2025'!$C:$C,0,0)</f>
        <v>34500</v>
      </c>
      <c r="BJ186">
        <f>BI186*0.18</f>
        <v>6210</v>
      </c>
      <c r="BK186">
        <f>BI186*0.12</f>
        <v>4140</v>
      </c>
      <c r="BL186">
        <f>_xlfn.XLOOKUP(B186,'[6]august-2025'!$A:$A,'[6]august-2025'!$D:$D,0,0)</f>
        <v>0</v>
      </c>
      <c r="BM186">
        <f>_xlfn.XLOOKUP(B186,'[6]august-2025'!$A:$A,'[6]august-2025'!$G:$G,0,0)</f>
        <v>0</v>
      </c>
      <c r="BN186">
        <f>IF(BI186&gt;0,SUM(BI186:BM186),0)</f>
        <v>44850</v>
      </c>
      <c r="BO186">
        <f>_xlfn.XLOOKUP(B186,'[6]august-2025'!$A:$A,'[6]august-2025'!$H:$H,0,0)</f>
        <v>2500</v>
      </c>
      <c r="BP186">
        <f>_xlfn.XLOOKUP(B186,'[6]august-2025'!$A:$A,'[6]august-2025'!$I:$I,0,0)</f>
        <v>0</v>
      </c>
      <c r="BQ186">
        <f>IF($F186="YES",0,IF(BN186&gt;40000,200,IF(BN186&gt;25000,150,IF(BN186&gt;15000,130,IF(BN186&gt;10000,110,0)))))</f>
        <v>200</v>
      </c>
      <c r="BR186">
        <f>BN186-BO186-BP186-BQ186</f>
        <v>42150</v>
      </c>
      <c r="BS186">
        <f>_xlfn.XLOOKUP(B186,'[7]september-2025'!$A:$A,'[7]september-2025'!$C:$C,0,0)</f>
        <v>34500</v>
      </c>
      <c r="BT186">
        <f>BS186*0.18</f>
        <v>6210</v>
      </c>
      <c r="BU186">
        <f>BS186*0.12</f>
        <v>4140</v>
      </c>
      <c r="BV186">
        <f>_xlfn.XLOOKUP(B186,'[7]september-2025'!$A:$A,'[7]september-2025'!$D:$D,0,0)</f>
        <v>0</v>
      </c>
      <c r="BW186">
        <f>_xlfn.XLOOKUP(B186,'[7]september-2025'!$A:$A,'[7]september-2025'!$G:$G,0,0)</f>
        <v>0</v>
      </c>
      <c r="BX186">
        <f>IF(BS186&gt;0,SUM(BS186:BW186),0)</f>
        <v>44850</v>
      </c>
      <c r="BY186">
        <f>_xlfn.XLOOKUP(B186,'[7]september-2025'!$A:$A,'[7]september-2025'!$H:$H,0,0)</f>
        <v>2500</v>
      </c>
      <c r="BZ186">
        <f>_xlfn.XLOOKUP(B186,'[7]september-2025'!$A:$A,'[7]september-2025'!$I:$I,0,0)</f>
        <v>0</v>
      </c>
      <c r="CA186">
        <f>IF($F186="YES",0,IF(BX186&gt;40000,200,IF(BX186&gt;25000,150,IF(BX186&gt;15000,130,IF(BX186&gt;10000,110,0)))))</f>
        <v>200</v>
      </c>
      <c r="CB186">
        <f>BX186-BY186-BZ186-CA186</f>
        <v>42150</v>
      </c>
      <c r="CC186">
        <f>_xlfn.XLOOKUP(B186,'[8]october-2025'!$A:$A,'[8]october-2025'!$C:$C,0,0)</f>
        <v>34500</v>
      </c>
      <c r="CD186">
        <f>CC186*0.18</f>
        <v>6210</v>
      </c>
      <c r="CE186">
        <f>CC186*0.12</f>
        <v>4140</v>
      </c>
      <c r="CF186">
        <f>_xlfn.XLOOKUP(B186,'[8]october-2025'!$A:$A,'[8]october-2025'!$D:$D,0,0)</f>
        <v>0</v>
      </c>
      <c r="CG186">
        <f>_xlfn.XLOOKUP(B186,'[8]october-2025'!$A:$A,'[8]october-2025'!$G:$G,0,0)</f>
        <v>0</v>
      </c>
      <c r="CH186">
        <f>IF(CC186&gt;0,SUM(CC186:CG186),0)</f>
        <v>44850</v>
      </c>
      <c r="CI186">
        <f>_xlfn.XLOOKUP(B186,'[8]october-2025'!$A:$A,'[8]october-2025'!$H:$H,0,0)</f>
        <v>2500</v>
      </c>
      <c r="CJ186">
        <f>_xlfn.XLOOKUP(B186,'[8]october-2025'!$A:$A,'[8]october-2025'!$I:$I,0,0)</f>
        <v>0</v>
      </c>
      <c r="CK186">
        <f>IF($F186="YES",0,IF(CH186&gt;40000,200,IF(CH186&gt;25000,150,IF(CH186&gt;15000,130,IF(CH186&gt;10000,110,0)))))</f>
        <v>200</v>
      </c>
      <c r="CL186">
        <f>CH186-CI186-CJ186-CK186</f>
        <v>42150</v>
      </c>
      <c r="CM186">
        <f>_xlfn.XLOOKUP(B186,'[9]november-2025'!$A:$A,'[9]november-2025'!$C:$C,0,0)</f>
        <v>34500</v>
      </c>
      <c r="CN186">
        <f>CM186*0.18</f>
        <v>6210</v>
      </c>
      <c r="CO186">
        <f>CM186*0.12</f>
        <v>4140</v>
      </c>
      <c r="CP186">
        <f>_xlfn.XLOOKUP(B186,'[9]november-2025'!$A:$A,'[9]november-2025'!$D:$D,0,0)</f>
        <v>0</v>
      </c>
      <c r="CQ186">
        <f>_xlfn.XLOOKUP(B186,'[9]november-2025'!$A:$A,'[9]november-2025'!$G:$G,0,0)</f>
        <v>0</v>
      </c>
      <c r="CR186">
        <f>IF(CM186&gt;0,SUM(CM186:CQ186),0)</f>
        <v>44850</v>
      </c>
      <c r="CS186">
        <f>_xlfn.XLOOKUP(B186,'[9]november-2025'!$A:$A,'[9]november-2025'!$H:$H,0,0)</f>
        <v>2500</v>
      </c>
      <c r="CT186">
        <f>_xlfn.XLOOKUP(B186,'[9]november-2025'!$A:$A,'[9]november-2025'!$I:$I,0,0)</f>
        <v>0</v>
      </c>
      <c r="CU186">
        <f>IF($F186="YES",0,IF(CR186&gt;40000,200,IF(CR186&gt;25000,150,IF(CR186&gt;15000,130,IF(CR186&gt;10000,110,0)))))</f>
        <v>200</v>
      </c>
      <c r="CV186">
        <f>CR186-CS186-CT186-CU186</f>
        <v>42150</v>
      </c>
      <c r="CW186">
        <f>_xlfn.XLOOKUP(B186,'[10]december-2025'!$A:$A,'[10]december-2025'!$C:$C,0,0)</f>
        <v>34500</v>
      </c>
      <c r="CX186">
        <f>ROUND(CW186*0.18,0)</f>
        <v>6210</v>
      </c>
      <c r="CY186">
        <f>ROUND(CW186*0.12,0)</f>
        <v>4140</v>
      </c>
      <c r="CZ186">
        <f>_xlfn.XLOOKUP(B186,'[10]december-2025'!$A:$A,'[10]december-2025'!$D:$D,0,0)</f>
        <v>0</v>
      </c>
      <c r="DA186">
        <f>_xlfn.XLOOKUP(B186,'[10]december-2025'!$A:$A,'[10]december-2025'!$G:$G,0,0)</f>
        <v>0</v>
      </c>
      <c r="DB186">
        <f>IF(CW186&gt;0,SUM(CW186:DA186),0)</f>
        <v>44850</v>
      </c>
      <c r="DC186">
        <f>_xlfn.XLOOKUP(B186,'[10]december-2025'!$A:$A,'[10]december-2025'!$H:$H,0,0)</f>
        <v>2500</v>
      </c>
      <c r="DD186">
        <f>_xlfn.XLOOKUP(B186,'[10]december-2025'!$A:$A,'[10]december-2025'!$I:$I,0,0)</f>
        <v>0</v>
      </c>
      <c r="DE186">
        <f>IF($F186="YES",0,IF(DB186&gt;40000,200,IF(DB186&gt;25000,150,IF(DB186&gt;15000,130,IF(DB186&gt;10000,110,0)))))</f>
        <v>200</v>
      </c>
      <c r="DF186">
        <f>DB186-DC186-DD186-DE186</f>
        <v>42150</v>
      </c>
      <c r="DG186">
        <f>_xlfn.XLOOKUP(B186,'[11]january-2026'!$A:$A,'[11]january-2026'!$C:$C,0,0)</f>
        <v>34500</v>
      </c>
      <c r="DH186">
        <f>DG186*0.18</f>
        <v>6210</v>
      </c>
      <c r="DI186">
        <f>DG186*0.12</f>
        <v>4140</v>
      </c>
      <c r="DJ186">
        <f>_xlfn.XLOOKUP(B186,'[11]january-2026'!$A:$A,'[11]january-2026'!$D:$D,0,0)</f>
        <v>0</v>
      </c>
      <c r="DK186">
        <f>_xlfn.XLOOKUP(B186,'[11]january-2026'!$A:$A,'[11]january-2026'!$G:$G,0,0)</f>
        <v>0</v>
      </c>
      <c r="DL186">
        <f>IF(DG186&gt;0,SUM(DG186:DK186),0)</f>
        <v>44850</v>
      </c>
      <c r="DM186">
        <f>_xlfn.XLOOKUP(B186,'[11]january-2026'!$A:$A,'[11]january-2026'!$H:$H,0,0)</f>
        <v>2500</v>
      </c>
      <c r="DN186">
        <f>_xlfn.XLOOKUP(B186,'[11]january-2026'!$A:$A,'[11]january-2026'!$I:$I,0,0)</f>
        <v>0</v>
      </c>
      <c r="DO186">
        <f>IF($F186="YES",0,IF(DL186&gt;40000,200,IF(DL186&gt;25000,150,IF(DL186&gt;15000,130,IF(DL186&gt;10000,110,0)))))</f>
        <v>200</v>
      </c>
      <c r="DP186">
        <f>DL186-DM186-DN186-DO186</f>
        <v>42150</v>
      </c>
      <c r="DQ186">
        <f>_xlfn.XLOOKUP(B186,'[12]february-2026'!$A:$A,'[12]february-2026'!$C:$C,0,0)</f>
        <v>34500</v>
      </c>
      <c r="DR186">
        <f>DQ186*0.18</f>
        <v>6210</v>
      </c>
      <c r="DS186">
        <f>DQ186*0.12</f>
        <v>4140</v>
      </c>
      <c r="DT186">
        <f>_xlfn.XLOOKUP(B186,'[12]february-2026'!$A:$A,'[12]february-2026'!$D:$D,0,0)</f>
        <v>0</v>
      </c>
      <c r="DU186">
        <f>_xlfn.XLOOKUP(B186,'[12]february-2026'!$A:$A,'[12]february-2026'!$G:$G,0,0)</f>
        <v>0</v>
      </c>
      <c r="DV186">
        <f>IF(DQ186&gt;0,SUM(DQ186:DU186),0)</f>
        <v>44850</v>
      </c>
      <c r="DW186">
        <f>_xlfn.XLOOKUP(B186,'[12]february-2026'!$A:$A,'[12]february-2026'!$H:$H,0,0)</f>
        <v>2500</v>
      </c>
      <c r="DX186">
        <f>_xlfn.XLOOKUP(B186,'[12]february-2026'!$A:$A,'[12]february-2026'!$I:$I,0,0)</f>
        <v>0</v>
      </c>
      <c r="DY186">
        <f>IF($F186="YES",0,IF(DV186&gt;40000,200,IF(DV186&gt;25000,150,IF(DV186&gt;15000,130,IF(DV186&gt;10000,110,0)))))</f>
        <v>200</v>
      </c>
      <c r="DZ186">
        <f>DV186-DW186-DX186-DY186</f>
        <v>42150</v>
      </c>
      <c r="EA186">
        <f>DV186+DL186+DB186+CR186+CH186+BX186+BN186+BD186+AS186+AI186+Y186+O186+H186+I186</f>
        <v>538460</v>
      </c>
      <c r="EB186">
        <f>DY186+DO186+DE186+CU186+CK186+CA186+BQ186+BG186+AV186+AL186+AB186+R186</f>
        <v>2400</v>
      </c>
      <c r="EC186">
        <f>IF(EA186&gt;0,50000,0)</f>
        <v>50000</v>
      </c>
      <c r="ED186">
        <v>0</v>
      </c>
      <c r="EE186">
        <f>EA186-EB186-EC186</f>
        <v>486060</v>
      </c>
      <c r="EF186">
        <f>DW186+DM186+DC186+CS186+CI186+BY186+BO186+BE186+AT186+AJ186+Z186+P186</f>
        <v>30000</v>
      </c>
      <c r="EG186">
        <f>DX186+DN186+DD186+CT186+CJ186+BZ186+BP186+BF186+AU186+AK186+AA186+Q186</f>
        <v>0</v>
      </c>
      <c r="EH186">
        <v>0</v>
      </c>
      <c r="EI186">
        <v>0</v>
      </c>
      <c r="EJ186">
        <v>0</v>
      </c>
      <c r="EK186">
        <v>0</v>
      </c>
      <c r="EL186">
        <v>0</v>
      </c>
      <c r="EM186">
        <v>0</v>
      </c>
      <c r="EN186">
        <v>0</v>
      </c>
      <c r="EO186">
        <v>0</v>
      </c>
      <c r="EP186">
        <v>0</v>
      </c>
      <c r="EQ186">
        <v>0</v>
      </c>
      <c r="ER186">
        <f>SUM(EF186:EQ186)</f>
        <v>30000</v>
      </c>
      <c r="ES186">
        <f>IF(ER186&gt;=150000,150000,ER186)</f>
        <v>30000</v>
      </c>
      <c r="ET186">
        <f>EE186-ES186</f>
        <v>456060</v>
      </c>
      <c r="EU186">
        <v>0</v>
      </c>
      <c r="EV186">
        <v>0</v>
      </c>
      <c r="EW186">
        <v>0</v>
      </c>
      <c r="EX186">
        <v>0</v>
      </c>
      <c r="EY186">
        <v>0</v>
      </c>
      <c r="EZ186">
        <v>0</v>
      </c>
      <c r="FA186">
        <v>0</v>
      </c>
      <c r="FB186">
        <f>SUM(EU186:FA186)+(IF(F186="YES",50000,0))</f>
        <v>0</v>
      </c>
      <c r="FC186">
        <f>ET186-FB186</f>
        <v>456060</v>
      </c>
      <c r="FD186">
        <f>ROUND(IF(FC186&gt;0,IF(FC186&gt;500000,12500,(FC186-250000)*0.05),0),0)</f>
        <v>10303</v>
      </c>
      <c r="FE186">
        <f>IF(ROUND(IF(FC186&gt;0,IF(FC186&gt;1000000,25000,(FC186-500000)*0.2),0),0)&lt;0,0,ROUND(IF(FC186&gt;0,IF(FC186&gt;1000000,25000,(FC186-500000)*0.2),0),0))</f>
        <v>0</v>
      </c>
      <c r="FF186">
        <f>FD186+FE186</f>
        <v>10303</v>
      </c>
      <c r="FG186">
        <f>IF(FF186&lt;12500,0,FF186)</f>
        <v>0</v>
      </c>
      <c r="FH186">
        <f>FG186*0.04</f>
        <v>0</v>
      </c>
      <c r="FI186">
        <f>ROUND(FH186+FG186,0)</f>
        <v>0</v>
      </c>
      <c r="FJ186">
        <v>0</v>
      </c>
      <c r="FK186">
        <f>FI186-FJ186</f>
        <v>0</v>
      </c>
      <c r="FL186" t="b">
        <f>IF(EA186&gt;500000,TRUE,FALSE)</f>
        <v>1</v>
      </c>
      <c r="FM186">
        <f ca="1">IF(FL186,RANDBETWEEN(500,1000),RANDBETWEEN(1000,3000))</f>
        <v>958</v>
      </c>
      <c r="FN186">
        <f ca="1">EA186+FM186</f>
        <v>539418</v>
      </c>
      <c r="FO186">
        <f>IF(EA186&gt;0,75000,0)</f>
        <v>75000</v>
      </c>
      <c r="FP186">
        <f ca="1">FN186-FO186</f>
        <v>464418</v>
      </c>
      <c r="FQ186">
        <f ca="1">IF(FP186&gt;2400000,FP186-2400000,0)</f>
        <v>0</v>
      </c>
      <c r="FR186">
        <f ca="1">FQ186*0.3</f>
        <v>0</v>
      </c>
      <c r="FS186">
        <f ca="1">IF(FP186&gt;2000000,FP186-2000000,0)</f>
        <v>0</v>
      </c>
      <c r="FT186">
        <f ca="1">FS186*0.25</f>
        <v>0</v>
      </c>
      <c r="FU186">
        <f ca="1">IF(FP186&gt;1600000,FP186-1600000-FQ186,0)</f>
        <v>0</v>
      </c>
      <c r="FV186">
        <f ca="1">FU186*0.2</f>
        <v>0</v>
      </c>
      <c r="FW186">
        <f ca="1">IF(FP186&gt;1200000,FP186-1200000-IF(F186="YES",50000,0)-FU186,0)</f>
        <v>0</v>
      </c>
      <c r="FX186">
        <f ca="1">FW186*0.15</f>
        <v>0</v>
      </c>
      <c r="FY186">
        <f ca="1">IF(FP186&gt;800000,FP186-800000-FQ186-FU186-FW186,0)</f>
        <v>0</v>
      </c>
      <c r="FZ186">
        <f ca="1">FY186*0.1</f>
        <v>0</v>
      </c>
      <c r="GA186">
        <f ca="1">IF(FP186&gt;400000,FP186-400000-FQ186-FU186-FW186-FY186,0)</f>
        <v>64418</v>
      </c>
      <c r="GB186">
        <f ca="1">GA186*0.05</f>
        <v>3220.9</v>
      </c>
      <c r="GC186">
        <f ca="1">ROUND(FR186+FT186+FV186+FX186+FZ186+GB186,0)</f>
        <v>3221</v>
      </c>
      <c r="GD186">
        <f ca="1">IF(FP186&gt;1200000,FP186,0)</f>
        <v>0</v>
      </c>
      <c r="GE186">
        <f ca="1">IF(FP186&gt;1200000,GD186-1200000,0)</f>
        <v>0</v>
      </c>
      <c r="GF186">
        <f ca="1">IF(FP186&lt;1200001,MIN(GC186,60000),0)</f>
        <v>3221</v>
      </c>
      <c r="GG186">
        <f ca="1">IF(FP186&gt;1200000,GC186-GE186,0)</f>
        <v>0</v>
      </c>
      <c r="GH186" t="b">
        <f ca="1">IF(GG186&gt;0,TRUE,FALSE)</f>
        <v>0</v>
      </c>
      <c r="GI186">
        <f ca="1">IF(GH186,GG186,0)</f>
        <v>0</v>
      </c>
      <c r="GJ186">
        <f ca="1">GF186+GI186</f>
        <v>3221</v>
      </c>
      <c r="GK186">
        <f ca="1">ROUND(GC186-GJ186,0)</f>
        <v>0</v>
      </c>
      <c r="GL186">
        <f ca="1">GK186*0.04</f>
        <v>0</v>
      </c>
      <c r="GM186">
        <f ca="1">ROUNDUP(GK186+GL186,0)</f>
        <v>0</v>
      </c>
    </row>
    <row r="187" spans="1:195" x14ac:dyDescent="0.25">
      <c r="A187">
        <f>_xlfn.AGGREGATE(3,5,$B$2:B187)</f>
        <v>186</v>
      </c>
      <c r="B187" t="s">
        <v>485</v>
      </c>
      <c r="C187" t="s">
        <v>486</v>
      </c>
      <c r="D187" t="s">
        <v>800</v>
      </c>
      <c r="E187" t="s">
        <v>833</v>
      </c>
      <c r="F187" t="s">
        <v>959</v>
      </c>
      <c r="G187" t="s">
        <v>883</v>
      </c>
      <c r="H187">
        <f>IF(_xlfn.DAYS("31-03-2025",G187)&gt;=180,6800,0)</f>
        <v>6800</v>
      </c>
      <c r="I187">
        <f>_xlfn.XLOOKUP(B187,'[1]march-2025'!$A:$A,'[1]march-2025'!$J:$J,0,0)</f>
        <v>0</v>
      </c>
      <c r="J187">
        <f>_xlfn.XLOOKUP(B187,'[1]march-2025'!$A:$A,'[1]march-2025'!$C:$C,0,0)</f>
        <v>28900</v>
      </c>
      <c r="K187">
        <f>J187*0.14</f>
        <v>4046.0000000000005</v>
      </c>
      <c r="L187">
        <f>J187*0.12</f>
        <v>3468</v>
      </c>
      <c r="M187">
        <f>_xlfn.XLOOKUP(B187,'[1]march-2025'!$A:$A,'[1]march-2025'!$D:$D,0,0)</f>
        <v>0</v>
      </c>
      <c r="N187">
        <f>_xlfn.XLOOKUP(B187,'[1]march-2025'!$A:$A,'[1]march-2025'!$G:$G,0,0)</f>
        <v>500</v>
      </c>
      <c r="O187">
        <f>IF(J187&gt;0,SUM(J187:N187),0)</f>
        <v>36914</v>
      </c>
      <c r="P187">
        <f>_xlfn.XLOOKUP(B187,'[1]march-2025'!$A:$A,'[1]march-2025'!$H:$H,0,0)</f>
        <v>2000</v>
      </c>
      <c r="Q187">
        <f>_xlfn.XLOOKUP(B187,'[1]march-2025'!$A:$A,'[1]march-2025'!$I:$I,0,0)</f>
        <v>0</v>
      </c>
      <c r="R187">
        <f>IF($F187="YES",0,IF(O187&gt;40000,200,IF(O187&gt;25000,150,IF(O187&gt;15000,130,IF(O187&gt;10000,110,0)))))</f>
        <v>150</v>
      </c>
      <c r="S187">
        <f>O187-P187-Q187-R187</f>
        <v>34764</v>
      </c>
      <c r="T187">
        <f>_xlfn.XLOOKUP(B187,'[2]april-2025'!$A:$A,'[2]april-2025'!$C:$C,0,0)</f>
        <v>28900</v>
      </c>
      <c r="U187">
        <f>T187*0.18</f>
        <v>5202</v>
      </c>
      <c r="V187">
        <f>T187*0.12</f>
        <v>3468</v>
      </c>
      <c r="W187">
        <f>_xlfn.XLOOKUP(B187,'[2]april-2025'!$A:$A,'[2]april-2025'!$D:$D,0,0)</f>
        <v>0</v>
      </c>
      <c r="X187">
        <f>_xlfn.XLOOKUP(B187,'[2]april-2025'!$A:$A,'[2]april-2025'!$G:$G,0,0)</f>
        <v>500</v>
      </c>
      <c r="Y187">
        <f>IF(T187&gt;0,SUM(T187:X187),0)</f>
        <v>38070</v>
      </c>
      <c r="Z187">
        <f>_xlfn.XLOOKUP(B187,'[2]april-2025'!$A:$A,'[2]april-2025'!$H:$H,0,0)</f>
        <v>2000</v>
      </c>
      <c r="AA187">
        <f>_xlfn.XLOOKUP(B187,'[2]april-2025'!$A:$A,'[2]april-2025'!$I:$I,0,0)</f>
        <v>0</v>
      </c>
      <c r="AB187">
        <f>IF($F187="YES",0,IF(Y187&gt;40000,200,IF(Y187&gt;25000,150,IF(Y187&gt;15000,130,IF(Y187&gt;10000,110,0)))))</f>
        <v>150</v>
      </c>
      <c r="AC187">
        <f>Y187-Z187-AA187-AB187</f>
        <v>35920</v>
      </c>
      <c r="AD187">
        <f>_xlfn.XLOOKUP(B187,'[3]may-2025'!$A:$A,'[3]may-2025'!$C:$C,0,0)</f>
        <v>28900</v>
      </c>
      <c r="AE187">
        <f>AD187*0.18</f>
        <v>5202</v>
      </c>
      <c r="AF187">
        <f>AD187*0.12</f>
        <v>3468</v>
      </c>
      <c r="AG187">
        <f>_xlfn.XLOOKUP(B187,'[3]may-2025'!$A:$A,'[3]may-2025'!$D:$D,0,0)</f>
        <v>0</v>
      </c>
      <c r="AH187">
        <f>_xlfn.XLOOKUP(B187,'[3]may-2025'!$A:$A,'[3]may-2025'!$G:$G,0,0)</f>
        <v>500</v>
      </c>
      <c r="AI187">
        <f>IF(AD187&gt;0,SUM(AD187:AH187),0)</f>
        <v>38070</v>
      </c>
      <c r="AJ187">
        <f>_xlfn.XLOOKUP(B187,'[3]may-2025'!$A:$A,'[3]may-2025'!$H:$H,0,0)</f>
        <v>2000</v>
      </c>
      <c r="AK187">
        <f>_xlfn.XLOOKUP(B187,'[3]may-2025'!$A:$A,'[3]may-2025'!$I:$I,0,0)</f>
        <v>0</v>
      </c>
      <c r="AL187">
        <f>IF($F187="YES",0,IF(AI187&gt;40000,200,IF(AI187&gt;25000,150,IF(AI187&gt;15000,130,IF(AI187&gt;10000,110,0)))))</f>
        <v>150</v>
      </c>
      <c r="AM187">
        <f>AI187-AJ187-AK187-AL187</f>
        <v>35920</v>
      </c>
      <c r="AN187">
        <f>_xlfn.XLOOKUP(B187,'[4]june-2025'!$A:$A,'[4]june-2025'!$C:$C,0,0)</f>
        <v>28900</v>
      </c>
      <c r="AO187">
        <f>AN187*0.18</f>
        <v>5202</v>
      </c>
      <c r="AP187">
        <f>AN187*0.12</f>
        <v>3468</v>
      </c>
      <c r="AQ187">
        <f>_xlfn.XLOOKUP(B187,'[4]june-2025'!$A:$A,'[4]june-2025'!$D:$D,0,0)</f>
        <v>0</v>
      </c>
      <c r="AR187">
        <f>_xlfn.XLOOKUP(B187,'[4]june-2025'!$A:$A,'[4]june-2025'!$G:$G,0,0)</f>
        <v>500</v>
      </c>
      <c r="AS187">
        <f>IF(AN187&gt;0,SUM(AN187:AR187),0)</f>
        <v>38070</v>
      </c>
      <c r="AT187">
        <f>_xlfn.XLOOKUP(B187,'[4]june-2025'!$A:$A,'[4]june-2025'!$H:$H,0,0)</f>
        <v>2000</v>
      </c>
      <c r="AU187">
        <f>_xlfn.XLOOKUP(B187,'[4]june-2025'!$A:$A,'[4]june-2025'!$I:$I,0,0)</f>
        <v>0</v>
      </c>
      <c r="AV187">
        <f>IF($F187="YES",0,IF(AS187&gt;40000,200,IF(AS187&gt;25000,150,IF(AS187&gt;15000,130,IF(AS187&gt;10000,110,0)))))</f>
        <v>150</v>
      </c>
      <c r="AW187">
        <f>AS187-AT187-AU187-AV187</f>
        <v>35920</v>
      </c>
      <c r="AX187">
        <f>_xlfn.XLOOKUP(B187,'[5]july-2025'!$A:$A,'[5]july-2025'!$C:$C,0,0)</f>
        <v>29800</v>
      </c>
      <c r="AY187">
        <f>AX187*0.18</f>
        <v>5364</v>
      </c>
      <c r="AZ187">
        <v>0</v>
      </c>
      <c r="BA187">
        <f>AX187*0.12</f>
        <v>3576</v>
      </c>
      <c r="BB187">
        <f>_xlfn.XLOOKUP(B187,'[5]july-2025'!$A:$A,'[5]july-2025'!$D:$D,0,0)</f>
        <v>0</v>
      </c>
      <c r="BC187">
        <f>_xlfn.XLOOKUP(B187,'[5]july-2025'!$A:$A,'[5]july-2025'!$G:$G,0,0)</f>
        <v>500</v>
      </c>
      <c r="BD187">
        <f>IF(AX187&gt;0,SUM(AX187:BC187),0)</f>
        <v>39240</v>
      </c>
      <c r="BE187">
        <f>_xlfn.XLOOKUP(B187,'[5]july-2025'!$A:$A,'[5]july-2025'!$H:$H,0,0)</f>
        <v>2000</v>
      </c>
      <c r="BF187">
        <f>_xlfn.XLOOKUP(B187,'[5]july-2025'!$A:$A,'[5]july-2025'!$I:$I,0,0)</f>
        <v>0</v>
      </c>
      <c r="BG187">
        <f>IF($F187="YES",0,IF(BD187&gt;40000,200,IF(BD187&gt;25000,150,IF(BD187&gt;15000,130,IF(BD187&gt;10000,110,0)))))</f>
        <v>150</v>
      </c>
      <c r="BH187">
        <f>BD187-BE187-BF187-BG187</f>
        <v>37090</v>
      </c>
      <c r="BI187">
        <f>_xlfn.XLOOKUP(B187,'[6]august-2025'!$A:$A,'[6]august-2025'!$C:$C,0,0)</f>
        <v>29800</v>
      </c>
      <c r="BJ187">
        <f>BI187*0.18</f>
        <v>5364</v>
      </c>
      <c r="BK187">
        <f>BI187*0.12</f>
        <v>3576</v>
      </c>
      <c r="BL187">
        <f>_xlfn.XLOOKUP(B187,'[6]august-2025'!$A:$A,'[6]august-2025'!$D:$D,0,0)</f>
        <v>0</v>
      </c>
      <c r="BM187">
        <f>_xlfn.XLOOKUP(B187,'[6]august-2025'!$A:$A,'[6]august-2025'!$G:$G,0,0)</f>
        <v>500</v>
      </c>
      <c r="BN187">
        <f>IF(BI187&gt;0,SUM(BI187:BM187),0)</f>
        <v>39240</v>
      </c>
      <c r="BO187">
        <f>_xlfn.XLOOKUP(B187,'[6]august-2025'!$A:$A,'[6]august-2025'!$H:$H,0,0)</f>
        <v>2000</v>
      </c>
      <c r="BP187">
        <f>_xlfn.XLOOKUP(B187,'[6]august-2025'!$A:$A,'[6]august-2025'!$I:$I,0,0)</f>
        <v>0</v>
      </c>
      <c r="BQ187">
        <f>IF($F187="YES",0,IF(BN187&gt;40000,200,IF(BN187&gt;25000,150,IF(BN187&gt;15000,130,IF(BN187&gt;10000,110,0)))))</f>
        <v>150</v>
      </c>
      <c r="BR187">
        <f>BN187-BO187-BP187-BQ187</f>
        <v>37090</v>
      </c>
      <c r="BS187">
        <f>_xlfn.XLOOKUP(B187,'[7]september-2025'!$A:$A,'[7]september-2025'!$C:$C,0,0)</f>
        <v>29800</v>
      </c>
      <c r="BT187">
        <f>BS187*0.18</f>
        <v>5364</v>
      </c>
      <c r="BU187">
        <f>BS187*0.12</f>
        <v>3576</v>
      </c>
      <c r="BV187">
        <f>_xlfn.XLOOKUP(B187,'[7]september-2025'!$A:$A,'[7]september-2025'!$D:$D,0,0)</f>
        <v>0</v>
      </c>
      <c r="BW187">
        <f>_xlfn.XLOOKUP(B187,'[7]september-2025'!$A:$A,'[7]september-2025'!$G:$G,0,0)</f>
        <v>500</v>
      </c>
      <c r="BX187">
        <f>IF(BS187&gt;0,SUM(BS187:BW187),0)</f>
        <v>39240</v>
      </c>
      <c r="BY187">
        <f>_xlfn.XLOOKUP(B187,'[7]september-2025'!$A:$A,'[7]september-2025'!$H:$H,0,0)</f>
        <v>2000</v>
      </c>
      <c r="BZ187">
        <f>_xlfn.XLOOKUP(B187,'[7]september-2025'!$A:$A,'[7]september-2025'!$I:$I,0,0)</f>
        <v>0</v>
      </c>
      <c r="CA187">
        <f>IF($F187="YES",0,IF(BX187&gt;40000,200,IF(BX187&gt;25000,150,IF(BX187&gt;15000,130,IF(BX187&gt;10000,110,0)))))</f>
        <v>150</v>
      </c>
      <c r="CB187">
        <f>BX187-BY187-BZ187-CA187</f>
        <v>37090</v>
      </c>
      <c r="CC187">
        <f>_xlfn.XLOOKUP(B187,'[8]october-2025'!$A:$A,'[8]october-2025'!$C:$C,0,0)</f>
        <v>29800</v>
      </c>
      <c r="CD187">
        <f>CC187*0.18</f>
        <v>5364</v>
      </c>
      <c r="CE187">
        <f>CC187*0.12</f>
        <v>3576</v>
      </c>
      <c r="CF187">
        <f>_xlfn.XLOOKUP(B187,'[8]october-2025'!$A:$A,'[8]october-2025'!$D:$D,0,0)</f>
        <v>0</v>
      </c>
      <c r="CG187">
        <f>_xlfn.XLOOKUP(B187,'[8]october-2025'!$A:$A,'[8]october-2025'!$G:$G,0,0)</f>
        <v>500</v>
      </c>
      <c r="CH187">
        <f>IF(CC187&gt;0,SUM(CC187:CG187),0)</f>
        <v>39240</v>
      </c>
      <c r="CI187">
        <f>_xlfn.XLOOKUP(B187,'[8]october-2025'!$A:$A,'[8]october-2025'!$H:$H,0,0)</f>
        <v>2000</v>
      </c>
      <c r="CJ187">
        <f>_xlfn.XLOOKUP(B187,'[8]october-2025'!$A:$A,'[8]october-2025'!$I:$I,0,0)</f>
        <v>0</v>
      </c>
      <c r="CK187">
        <f>IF($F187="YES",0,IF(CH187&gt;40000,200,IF(CH187&gt;25000,150,IF(CH187&gt;15000,130,IF(CH187&gt;10000,110,0)))))</f>
        <v>150</v>
      </c>
      <c r="CL187">
        <f>CH187-CI187-CJ187-CK187</f>
        <v>37090</v>
      </c>
      <c r="CM187">
        <f>_xlfn.XLOOKUP(B187,'[9]november-2025'!$A:$A,'[9]november-2025'!$C:$C,0,0)</f>
        <v>29800</v>
      </c>
      <c r="CN187">
        <f>CM187*0.18</f>
        <v>5364</v>
      </c>
      <c r="CO187">
        <f>CM187*0.12</f>
        <v>3576</v>
      </c>
      <c r="CP187">
        <f>_xlfn.XLOOKUP(B187,'[9]november-2025'!$A:$A,'[9]november-2025'!$D:$D,0,0)</f>
        <v>0</v>
      </c>
      <c r="CQ187">
        <f>_xlfn.XLOOKUP(B187,'[9]november-2025'!$A:$A,'[9]november-2025'!$G:$G,0,0)</f>
        <v>500</v>
      </c>
      <c r="CR187">
        <f>IF(CM187&gt;0,SUM(CM187:CQ187),0)</f>
        <v>39240</v>
      </c>
      <c r="CS187">
        <f>_xlfn.XLOOKUP(B187,'[9]november-2025'!$A:$A,'[9]november-2025'!$H:$H,0,0)</f>
        <v>2000</v>
      </c>
      <c r="CT187">
        <f>_xlfn.XLOOKUP(B187,'[9]november-2025'!$A:$A,'[9]november-2025'!$I:$I,0,0)</f>
        <v>0</v>
      </c>
      <c r="CU187">
        <f>IF($F187="YES",0,IF(CR187&gt;40000,200,IF(CR187&gt;25000,150,IF(CR187&gt;15000,130,IF(CR187&gt;10000,110,0)))))</f>
        <v>150</v>
      </c>
      <c r="CV187">
        <f>CR187-CS187-CT187-CU187</f>
        <v>37090</v>
      </c>
      <c r="CW187">
        <f>_xlfn.XLOOKUP(B187,'[10]december-2025'!$A:$A,'[10]december-2025'!$C:$C,0,0)</f>
        <v>29800</v>
      </c>
      <c r="CX187">
        <f>ROUND(CW187*0.18,0)</f>
        <v>5364</v>
      </c>
      <c r="CY187">
        <f>ROUND(CW187*0.12,0)</f>
        <v>3576</v>
      </c>
      <c r="CZ187">
        <f>_xlfn.XLOOKUP(B187,'[10]december-2025'!$A:$A,'[10]december-2025'!$D:$D,0,0)</f>
        <v>0</v>
      </c>
      <c r="DA187">
        <f>_xlfn.XLOOKUP(B187,'[10]december-2025'!$A:$A,'[10]december-2025'!$G:$G,0,0)</f>
        <v>500</v>
      </c>
      <c r="DB187">
        <f>IF(CW187&gt;0,SUM(CW187:DA187),0)</f>
        <v>39240</v>
      </c>
      <c r="DC187">
        <f>_xlfn.XLOOKUP(B187,'[10]december-2025'!$A:$A,'[10]december-2025'!$H:$H,0,0)</f>
        <v>2000</v>
      </c>
      <c r="DD187">
        <f>_xlfn.XLOOKUP(B187,'[10]december-2025'!$A:$A,'[10]december-2025'!$I:$I,0,0)</f>
        <v>0</v>
      </c>
      <c r="DE187">
        <f>IF($F187="YES",0,IF(DB187&gt;40000,200,IF(DB187&gt;25000,150,IF(DB187&gt;15000,130,IF(DB187&gt;10000,110,0)))))</f>
        <v>150</v>
      </c>
      <c r="DF187">
        <f>DB187-DC187-DD187-DE187</f>
        <v>37090</v>
      </c>
      <c r="DG187">
        <f>_xlfn.XLOOKUP(B187,'[11]january-2026'!$A:$A,'[11]january-2026'!$C:$C,0,0)</f>
        <v>29800</v>
      </c>
      <c r="DH187">
        <f>DG187*0.18</f>
        <v>5364</v>
      </c>
      <c r="DI187">
        <f>DG187*0.12</f>
        <v>3576</v>
      </c>
      <c r="DJ187">
        <f>_xlfn.XLOOKUP(B187,'[11]january-2026'!$A:$A,'[11]january-2026'!$D:$D,0,0)</f>
        <v>0</v>
      </c>
      <c r="DK187">
        <f>_xlfn.XLOOKUP(B187,'[11]january-2026'!$A:$A,'[11]january-2026'!$G:$G,0,0)</f>
        <v>500</v>
      </c>
      <c r="DL187">
        <f>IF(DG187&gt;0,SUM(DG187:DK187),0)</f>
        <v>39240</v>
      </c>
      <c r="DM187">
        <f>_xlfn.XLOOKUP(B187,'[11]january-2026'!$A:$A,'[11]january-2026'!$H:$H,0,0)</f>
        <v>2000</v>
      </c>
      <c r="DN187">
        <f>_xlfn.XLOOKUP(B187,'[11]january-2026'!$A:$A,'[11]january-2026'!$I:$I,0,0)</f>
        <v>0</v>
      </c>
      <c r="DO187">
        <f>IF($F187="YES",0,IF(DL187&gt;40000,200,IF(DL187&gt;25000,150,IF(DL187&gt;15000,130,IF(DL187&gt;10000,110,0)))))</f>
        <v>150</v>
      </c>
      <c r="DP187">
        <f>DL187-DM187-DN187-DO187</f>
        <v>37090</v>
      </c>
      <c r="DQ187">
        <f>_xlfn.XLOOKUP(B187,'[12]february-2026'!$A:$A,'[12]february-2026'!$C:$C,0,0)</f>
        <v>29800</v>
      </c>
      <c r="DR187">
        <f>DQ187*0.18</f>
        <v>5364</v>
      </c>
      <c r="DS187">
        <f>DQ187*0.12</f>
        <v>3576</v>
      </c>
      <c r="DT187">
        <f>_xlfn.XLOOKUP(B187,'[12]february-2026'!$A:$A,'[12]february-2026'!$D:$D,0,0)</f>
        <v>0</v>
      </c>
      <c r="DU187">
        <f>_xlfn.XLOOKUP(B187,'[12]february-2026'!$A:$A,'[12]february-2026'!$G:$G,0,0)</f>
        <v>500</v>
      </c>
      <c r="DV187">
        <f>IF(DQ187&gt;0,SUM(DQ187:DU187),0)</f>
        <v>39240</v>
      </c>
      <c r="DW187">
        <f>_xlfn.XLOOKUP(B187,'[12]february-2026'!$A:$A,'[12]february-2026'!$H:$H,0,0)</f>
        <v>2000</v>
      </c>
      <c r="DX187">
        <f>_xlfn.XLOOKUP(B187,'[12]february-2026'!$A:$A,'[12]february-2026'!$I:$I,0,0)</f>
        <v>0</v>
      </c>
      <c r="DY187">
        <f>IF($F187="YES",0,IF(DV187&gt;40000,200,IF(DV187&gt;25000,150,IF(DV187&gt;15000,130,IF(DV187&gt;10000,110,0)))))</f>
        <v>150</v>
      </c>
      <c r="DZ187">
        <f>DV187-DW187-DX187-DY187</f>
        <v>37090</v>
      </c>
      <c r="EA187">
        <f>DV187+DL187+DB187+CR187+CH187+BX187+BN187+BD187+AS187+AI187+Y187+O187+H187+I187</f>
        <v>471844</v>
      </c>
      <c r="EB187">
        <f>DY187+DO187+DE187+CU187+CK187+CA187+BQ187+BG187+AV187+AL187+AB187+R187</f>
        <v>1800</v>
      </c>
      <c r="EC187">
        <f>IF(EA187&gt;0,50000,0)</f>
        <v>50000</v>
      </c>
      <c r="ED187">
        <v>0</v>
      </c>
      <c r="EE187">
        <f>EA187-EB187-EC187</f>
        <v>420044</v>
      </c>
      <c r="EF187">
        <f>DW187+DM187+DC187+CS187+CI187+BY187+BO187+BE187+AT187+AJ187+Z187+P187</f>
        <v>24000</v>
      </c>
      <c r="EG187">
        <f>DX187+DN187+DD187+CT187+CJ187+BZ187+BP187+BF187+AU187+AK187+AA187+Q187</f>
        <v>0</v>
      </c>
      <c r="EH187">
        <v>0</v>
      </c>
      <c r="EI187">
        <v>0</v>
      </c>
      <c r="EJ187">
        <v>0</v>
      </c>
      <c r="EK187">
        <v>0</v>
      </c>
      <c r="EL187">
        <v>0</v>
      </c>
      <c r="EM187">
        <v>0</v>
      </c>
      <c r="EN187">
        <v>0</v>
      </c>
      <c r="EO187">
        <v>0</v>
      </c>
      <c r="EP187">
        <v>0</v>
      </c>
      <c r="EQ187">
        <v>0</v>
      </c>
      <c r="ER187">
        <f>SUM(EF187:EQ187)</f>
        <v>24000</v>
      </c>
      <c r="ES187">
        <f>IF(ER187&gt;=150000,150000,ER187)</f>
        <v>24000</v>
      </c>
      <c r="ET187">
        <f>EE187-ES187</f>
        <v>396044</v>
      </c>
      <c r="EU187">
        <v>0</v>
      </c>
      <c r="EV187">
        <v>0</v>
      </c>
      <c r="EW187">
        <v>0</v>
      </c>
      <c r="EX187">
        <v>0</v>
      </c>
      <c r="EY187">
        <v>0</v>
      </c>
      <c r="EZ187">
        <v>0</v>
      </c>
      <c r="FA187">
        <v>0</v>
      </c>
      <c r="FB187">
        <f>SUM(EU187:FA187)+(IF(F187="YES",50000,0))</f>
        <v>0</v>
      </c>
      <c r="FC187">
        <f>ET187-FB187</f>
        <v>396044</v>
      </c>
      <c r="FD187">
        <f>ROUND(IF(FC187&gt;0,IF(FC187&gt;500000,12500,(FC187-250000)*0.05),0),0)</f>
        <v>7302</v>
      </c>
      <c r="FE187">
        <f>IF(ROUND(IF(FC187&gt;0,IF(FC187&gt;1000000,25000,(FC187-500000)*0.2),0),0)&lt;0,0,ROUND(IF(FC187&gt;0,IF(FC187&gt;1000000,25000,(FC187-500000)*0.2),0),0))</f>
        <v>0</v>
      </c>
      <c r="FF187">
        <f>FD187+FE187</f>
        <v>7302</v>
      </c>
      <c r="FG187">
        <f>IF(FF187&lt;12500,0,FF187)</f>
        <v>0</v>
      </c>
      <c r="FH187">
        <f>FG187*0.04</f>
        <v>0</v>
      </c>
      <c r="FI187">
        <f>ROUND(FH187+FG187,0)</f>
        <v>0</v>
      </c>
      <c r="FJ187">
        <v>0</v>
      </c>
      <c r="FK187">
        <f>FI187-FJ187</f>
        <v>0</v>
      </c>
      <c r="FL187" t="b">
        <f>IF(EA187&gt;500000,TRUE,FALSE)</f>
        <v>0</v>
      </c>
      <c r="FM187">
        <f ca="1">IF(FL187,RANDBETWEEN(500,1000),RANDBETWEEN(1000,3000))</f>
        <v>1279</v>
      </c>
      <c r="FN187">
        <f ca="1">EA187+FM187</f>
        <v>473123</v>
      </c>
      <c r="FO187">
        <f>IF(EA187&gt;0,75000,0)</f>
        <v>75000</v>
      </c>
      <c r="FP187">
        <f ca="1">FN187-FO187</f>
        <v>398123</v>
      </c>
      <c r="FQ187">
        <f ca="1">IF(FP187&gt;2400000,FP187-2400000,0)</f>
        <v>0</v>
      </c>
      <c r="FR187">
        <f ca="1">FQ187*0.3</f>
        <v>0</v>
      </c>
      <c r="FS187">
        <f ca="1">IF(FP187&gt;2000000,FP187-2000000,0)</f>
        <v>0</v>
      </c>
      <c r="FT187">
        <f ca="1">FS187*0.25</f>
        <v>0</v>
      </c>
      <c r="FU187">
        <f ca="1">IF(FP187&gt;1600000,FP187-1600000-FQ187,0)</f>
        <v>0</v>
      </c>
      <c r="FV187">
        <f ca="1">FU187*0.2</f>
        <v>0</v>
      </c>
      <c r="FW187">
        <f ca="1">IF(FP187&gt;1200000,FP187-1200000-IF(F187="YES",50000,0)-FU187,0)</f>
        <v>0</v>
      </c>
      <c r="FX187">
        <f ca="1">FW187*0.15</f>
        <v>0</v>
      </c>
      <c r="FY187">
        <f ca="1">IF(FP187&gt;800000,FP187-800000-FQ187-FU187-FW187,0)</f>
        <v>0</v>
      </c>
      <c r="FZ187">
        <f ca="1">FY187*0.1</f>
        <v>0</v>
      </c>
      <c r="GA187">
        <f ca="1">IF(FP187&gt;400000,FP187-400000-FQ187-FU187-FW187-FY187,0)</f>
        <v>0</v>
      </c>
      <c r="GB187">
        <f ca="1">GA187*0.05</f>
        <v>0</v>
      </c>
      <c r="GC187">
        <f ca="1">ROUND(FR187+FT187+FV187+FX187+FZ187+GB187,0)</f>
        <v>0</v>
      </c>
      <c r="GD187">
        <f ca="1">IF(FP187&gt;1200000,FP187,0)</f>
        <v>0</v>
      </c>
      <c r="GE187">
        <f ca="1">IF(FP187&gt;1200000,GD187-1200000,0)</f>
        <v>0</v>
      </c>
      <c r="GF187">
        <f ca="1">IF(FP187&lt;1200001,MIN(GC187,60000),0)</f>
        <v>0</v>
      </c>
      <c r="GG187">
        <f ca="1">IF(FP187&gt;1200000,GC187-GE187,0)</f>
        <v>0</v>
      </c>
      <c r="GH187" t="b">
        <f ca="1">IF(GG187&gt;0,TRUE,FALSE)</f>
        <v>0</v>
      </c>
      <c r="GI187">
        <f ca="1">IF(GH187,GG187,0)</f>
        <v>0</v>
      </c>
      <c r="GJ187">
        <f ca="1">GF187+GI187</f>
        <v>0</v>
      </c>
      <c r="GK187">
        <f ca="1">ROUND(GC187-GJ187,0)</f>
        <v>0</v>
      </c>
      <c r="GL187">
        <f ca="1">GK187*0.04</f>
        <v>0</v>
      </c>
      <c r="GM187">
        <f ca="1">ROUNDUP(GK187+GL187,0)</f>
        <v>0</v>
      </c>
    </row>
    <row r="188" spans="1:195" x14ac:dyDescent="0.25">
      <c r="A188">
        <f>_xlfn.AGGREGATE(3,5,$B$2:B188)</f>
        <v>187</v>
      </c>
      <c r="B188" t="s">
        <v>487</v>
      </c>
      <c r="C188" t="s">
        <v>488</v>
      </c>
      <c r="D188" t="s">
        <v>800</v>
      </c>
      <c r="E188" t="s">
        <v>833</v>
      </c>
      <c r="F188" t="s">
        <v>959</v>
      </c>
      <c r="G188" t="s">
        <v>933</v>
      </c>
      <c r="H188">
        <f>IF(_xlfn.DAYS("31-03-2025",G188)&gt;=180,6800,0)</f>
        <v>6800</v>
      </c>
      <c r="I188">
        <f>_xlfn.XLOOKUP(B188,'[1]march-2025'!$A:$A,'[1]march-2025'!$J:$J,0,0)</f>
        <v>0</v>
      </c>
      <c r="J188">
        <f>_xlfn.XLOOKUP(B188,'[1]march-2025'!$A:$A,'[1]march-2025'!$C:$C,0,0)</f>
        <v>24700</v>
      </c>
      <c r="K188">
        <f>J188*0.14</f>
        <v>3458.0000000000005</v>
      </c>
      <c r="L188">
        <f>J188*0.12</f>
        <v>2964</v>
      </c>
      <c r="M188">
        <f>_xlfn.XLOOKUP(B188,'[1]march-2025'!$A:$A,'[1]march-2025'!$D:$D,0,0)</f>
        <v>0</v>
      </c>
      <c r="N188">
        <f>_xlfn.XLOOKUP(B188,'[1]march-2025'!$A:$A,'[1]march-2025'!$G:$G,0,0)</f>
        <v>500</v>
      </c>
      <c r="O188">
        <f>IF(J188&gt;0,SUM(J188:N188),0)</f>
        <v>31622</v>
      </c>
      <c r="P188">
        <f>_xlfn.XLOOKUP(B188,'[1]march-2025'!$A:$A,'[1]march-2025'!$H:$H,0,0)</f>
        <v>0</v>
      </c>
      <c r="Q188">
        <f>_xlfn.XLOOKUP(B188,'[1]march-2025'!$A:$A,'[1]march-2025'!$I:$I,0,0)</f>
        <v>0</v>
      </c>
      <c r="R188">
        <f>IF($F188="YES",0,IF(O188&gt;40000,200,IF(O188&gt;25000,150,IF(O188&gt;15000,130,IF(O188&gt;10000,110,0)))))</f>
        <v>150</v>
      </c>
      <c r="S188">
        <f>O188-P188-Q188-R188</f>
        <v>31472</v>
      </c>
      <c r="T188">
        <f>_xlfn.XLOOKUP(B188,'[2]april-2025'!$A:$A,'[2]april-2025'!$C:$C,0,0)</f>
        <v>24700</v>
      </c>
      <c r="U188">
        <f>T188*0.18</f>
        <v>4446</v>
      </c>
      <c r="V188">
        <f>T188*0.12</f>
        <v>2964</v>
      </c>
      <c r="W188">
        <f>_xlfn.XLOOKUP(B188,'[2]april-2025'!$A:$A,'[2]april-2025'!$D:$D,0,0)</f>
        <v>0</v>
      </c>
      <c r="X188">
        <f>_xlfn.XLOOKUP(B188,'[2]april-2025'!$A:$A,'[2]april-2025'!$G:$G,0,0)</f>
        <v>500</v>
      </c>
      <c r="Y188">
        <f>IF(T188&gt;0,SUM(T188:X188),0)</f>
        <v>32610</v>
      </c>
      <c r="Z188">
        <f>_xlfn.XLOOKUP(B188,'[2]april-2025'!$A:$A,'[2]april-2025'!$H:$H,0,0)</f>
        <v>0</v>
      </c>
      <c r="AA188">
        <f>_xlfn.XLOOKUP(B188,'[2]april-2025'!$A:$A,'[2]april-2025'!$I:$I,0,0)</f>
        <v>0</v>
      </c>
      <c r="AB188">
        <f>IF($F188="YES",0,IF(Y188&gt;40000,200,IF(Y188&gt;25000,150,IF(Y188&gt;15000,130,IF(Y188&gt;10000,110,0)))))</f>
        <v>150</v>
      </c>
      <c r="AC188">
        <f>Y188-Z188-AA188-AB188</f>
        <v>32460</v>
      </c>
      <c r="AD188">
        <f>_xlfn.XLOOKUP(B188,'[3]may-2025'!$A:$A,'[3]may-2025'!$C:$C,0,0)</f>
        <v>24700</v>
      </c>
      <c r="AE188">
        <f>AD188*0.18</f>
        <v>4446</v>
      </c>
      <c r="AF188">
        <f>AD188*0.12</f>
        <v>2964</v>
      </c>
      <c r="AG188">
        <f>_xlfn.XLOOKUP(B188,'[3]may-2025'!$A:$A,'[3]may-2025'!$D:$D,0,0)</f>
        <v>0</v>
      </c>
      <c r="AH188">
        <f>_xlfn.XLOOKUP(B188,'[3]may-2025'!$A:$A,'[3]may-2025'!$G:$G,0,0)</f>
        <v>500</v>
      </c>
      <c r="AI188">
        <f>IF(AD188&gt;0,SUM(AD188:AH188),0)</f>
        <v>32610</v>
      </c>
      <c r="AJ188">
        <f>_xlfn.XLOOKUP(B188,'[3]may-2025'!$A:$A,'[3]may-2025'!$H:$H,0,0)</f>
        <v>0</v>
      </c>
      <c r="AK188">
        <f>_xlfn.XLOOKUP(B188,'[3]may-2025'!$A:$A,'[3]may-2025'!$I:$I,0,0)</f>
        <v>0</v>
      </c>
      <c r="AL188">
        <f>IF($F188="YES",0,IF(AI188&gt;40000,200,IF(AI188&gt;25000,150,IF(AI188&gt;15000,130,IF(AI188&gt;10000,110,0)))))</f>
        <v>150</v>
      </c>
      <c r="AM188">
        <f>AI188-AJ188-AK188-AL188</f>
        <v>32460</v>
      </c>
      <c r="AN188">
        <f>_xlfn.XLOOKUP(B188,'[4]june-2025'!$A:$A,'[4]june-2025'!$C:$C,0,0)</f>
        <v>24700</v>
      </c>
      <c r="AO188">
        <f>AN188*0.18</f>
        <v>4446</v>
      </c>
      <c r="AP188">
        <f>AN188*0.12</f>
        <v>2964</v>
      </c>
      <c r="AQ188">
        <f>_xlfn.XLOOKUP(B188,'[4]june-2025'!$A:$A,'[4]june-2025'!$D:$D,0,0)</f>
        <v>0</v>
      </c>
      <c r="AR188">
        <f>_xlfn.XLOOKUP(B188,'[4]june-2025'!$A:$A,'[4]june-2025'!$G:$G,0,0)</f>
        <v>500</v>
      </c>
      <c r="AS188">
        <f>IF(AN188&gt;0,SUM(AN188:AR188),0)</f>
        <v>32610</v>
      </c>
      <c r="AT188">
        <f>_xlfn.XLOOKUP(B188,'[4]june-2025'!$A:$A,'[4]june-2025'!$H:$H,0,0)</f>
        <v>0</v>
      </c>
      <c r="AU188">
        <f>_xlfn.XLOOKUP(B188,'[4]june-2025'!$A:$A,'[4]june-2025'!$I:$I,0,0)</f>
        <v>0</v>
      </c>
      <c r="AV188">
        <f>IF($F188="YES",0,IF(AS188&gt;40000,200,IF(AS188&gt;25000,150,IF(AS188&gt;15000,130,IF(AS188&gt;10000,110,0)))))</f>
        <v>150</v>
      </c>
      <c r="AW188">
        <f>AS188-AT188-AU188-AV188</f>
        <v>32460</v>
      </c>
      <c r="AX188">
        <f>_xlfn.XLOOKUP(B188,'[5]july-2025'!$A:$A,'[5]july-2025'!$C:$C,0,0)</f>
        <v>25400</v>
      </c>
      <c r="AY188">
        <f>AX188*0.18</f>
        <v>4572</v>
      </c>
      <c r="AZ188">
        <v>0</v>
      </c>
      <c r="BA188">
        <f>AX188*0.12</f>
        <v>3048</v>
      </c>
      <c r="BB188">
        <f>_xlfn.XLOOKUP(B188,'[5]july-2025'!$A:$A,'[5]july-2025'!$D:$D,0,0)</f>
        <v>0</v>
      </c>
      <c r="BC188">
        <f>_xlfn.XLOOKUP(B188,'[5]july-2025'!$A:$A,'[5]july-2025'!$G:$G,0,0)</f>
        <v>500</v>
      </c>
      <c r="BD188">
        <f>IF(AX188&gt;0,SUM(AX188:BC188),0)</f>
        <v>33520</v>
      </c>
      <c r="BE188">
        <f>_xlfn.XLOOKUP(B188,'[5]july-2025'!$A:$A,'[5]july-2025'!$H:$H,0,0)</f>
        <v>0</v>
      </c>
      <c r="BF188">
        <f>_xlfn.XLOOKUP(B188,'[5]july-2025'!$A:$A,'[5]july-2025'!$I:$I,0,0)</f>
        <v>0</v>
      </c>
      <c r="BG188">
        <f>IF($F188="YES",0,IF(BD188&gt;40000,200,IF(BD188&gt;25000,150,IF(BD188&gt;15000,130,IF(BD188&gt;10000,110,0)))))</f>
        <v>150</v>
      </c>
      <c r="BH188">
        <f>BD188-BE188-BF188-BG188</f>
        <v>33370</v>
      </c>
      <c r="BI188">
        <f>_xlfn.XLOOKUP(B188,'[6]august-2025'!$A:$A,'[6]august-2025'!$C:$C,0,0)</f>
        <v>29800</v>
      </c>
      <c r="BJ188">
        <f>BI188*0.18</f>
        <v>5364</v>
      </c>
      <c r="BK188">
        <f>BI188*0.12</f>
        <v>3576</v>
      </c>
      <c r="BL188">
        <f>_xlfn.XLOOKUP(B188,'[6]august-2025'!$A:$A,'[6]august-2025'!$D:$D,0,0)</f>
        <v>0</v>
      </c>
      <c r="BM188">
        <f>_xlfn.XLOOKUP(B188,'[6]august-2025'!$A:$A,'[6]august-2025'!$G:$G,0,0)</f>
        <v>500</v>
      </c>
      <c r="BN188">
        <f>IF(BI188&gt;0,SUM(BI188:BM188),0)</f>
        <v>39240</v>
      </c>
      <c r="BO188">
        <f>_xlfn.XLOOKUP(B188,'[6]august-2025'!$A:$A,'[6]august-2025'!$H:$H,0,0)</f>
        <v>0</v>
      </c>
      <c r="BP188">
        <f>_xlfn.XLOOKUP(B188,'[6]august-2025'!$A:$A,'[6]august-2025'!$I:$I,0,0)</f>
        <v>0</v>
      </c>
      <c r="BQ188">
        <f>IF($F188="YES",0,IF(BN188&gt;40000,200,IF(BN188&gt;25000,150,IF(BN188&gt;15000,130,IF(BN188&gt;10000,110,0)))))</f>
        <v>150</v>
      </c>
      <c r="BR188">
        <f>BN188-BO188-BP188-BQ188</f>
        <v>39090</v>
      </c>
      <c r="BS188">
        <f>_xlfn.XLOOKUP(B188,'[7]september-2025'!$A:$A,'[7]september-2025'!$C:$C,0,0)</f>
        <v>29800</v>
      </c>
      <c r="BT188">
        <f>BS188*0.18</f>
        <v>5364</v>
      </c>
      <c r="BU188">
        <f>BS188*0.12</f>
        <v>3576</v>
      </c>
      <c r="BV188">
        <f>_xlfn.XLOOKUP(B188,'[7]september-2025'!$A:$A,'[7]september-2025'!$D:$D,0,0)</f>
        <v>0</v>
      </c>
      <c r="BW188">
        <f>_xlfn.XLOOKUP(B188,'[7]september-2025'!$A:$A,'[7]september-2025'!$G:$G,0,0)</f>
        <v>500</v>
      </c>
      <c r="BX188">
        <f>IF(BS188&gt;0,SUM(BS188:BW188),0)</f>
        <v>39240</v>
      </c>
      <c r="BY188">
        <f>_xlfn.XLOOKUP(B188,'[7]september-2025'!$A:$A,'[7]september-2025'!$H:$H,0,0)</f>
        <v>0</v>
      </c>
      <c r="BZ188">
        <f>_xlfn.XLOOKUP(B188,'[7]september-2025'!$A:$A,'[7]september-2025'!$I:$I,0,0)</f>
        <v>0</v>
      </c>
      <c r="CA188">
        <f>IF($F188="YES",0,IF(BX188&gt;40000,200,IF(BX188&gt;25000,150,IF(BX188&gt;15000,130,IF(BX188&gt;10000,110,0)))))</f>
        <v>150</v>
      </c>
      <c r="CB188">
        <f>BX188-BY188-BZ188-CA188</f>
        <v>39090</v>
      </c>
      <c r="CC188">
        <f>_xlfn.XLOOKUP(B188,'[8]october-2025'!$A:$A,'[8]october-2025'!$C:$C,0,0)</f>
        <v>29800</v>
      </c>
      <c r="CD188">
        <f>CC188*0.18</f>
        <v>5364</v>
      </c>
      <c r="CE188">
        <f>CC188*0.12</f>
        <v>3576</v>
      </c>
      <c r="CF188">
        <f>_xlfn.XLOOKUP(B188,'[8]october-2025'!$A:$A,'[8]october-2025'!$D:$D,0,0)</f>
        <v>0</v>
      </c>
      <c r="CG188">
        <f>_xlfn.XLOOKUP(B188,'[8]october-2025'!$A:$A,'[8]october-2025'!$G:$G,0,0)</f>
        <v>500</v>
      </c>
      <c r="CH188">
        <f>IF(CC188&gt;0,SUM(CC188:CG188),0)</f>
        <v>39240</v>
      </c>
      <c r="CI188">
        <f>_xlfn.XLOOKUP(B188,'[8]october-2025'!$A:$A,'[8]october-2025'!$H:$H,0,0)</f>
        <v>0</v>
      </c>
      <c r="CJ188">
        <f>_xlfn.XLOOKUP(B188,'[8]october-2025'!$A:$A,'[8]october-2025'!$I:$I,0,0)</f>
        <v>0</v>
      </c>
      <c r="CK188">
        <f>IF($F188="YES",0,IF(CH188&gt;40000,200,IF(CH188&gt;25000,150,IF(CH188&gt;15000,130,IF(CH188&gt;10000,110,0)))))</f>
        <v>150</v>
      </c>
      <c r="CL188">
        <f>CH188-CI188-CJ188-CK188</f>
        <v>39090</v>
      </c>
      <c r="CM188">
        <f>_xlfn.XLOOKUP(B188,'[9]november-2025'!$A:$A,'[9]november-2025'!$C:$C,0,0)</f>
        <v>29800</v>
      </c>
      <c r="CN188">
        <f>CM188*0.18</f>
        <v>5364</v>
      </c>
      <c r="CO188">
        <f>CM188*0.12</f>
        <v>3576</v>
      </c>
      <c r="CP188">
        <f>_xlfn.XLOOKUP(B188,'[9]november-2025'!$A:$A,'[9]november-2025'!$D:$D,0,0)</f>
        <v>0</v>
      </c>
      <c r="CQ188">
        <f>_xlfn.XLOOKUP(B188,'[9]november-2025'!$A:$A,'[9]november-2025'!$G:$G,0,0)</f>
        <v>500</v>
      </c>
      <c r="CR188">
        <f>IF(CM188&gt;0,SUM(CM188:CQ188),0)</f>
        <v>39240</v>
      </c>
      <c r="CS188">
        <f>_xlfn.XLOOKUP(B188,'[9]november-2025'!$A:$A,'[9]november-2025'!$H:$H,0,0)</f>
        <v>0</v>
      </c>
      <c r="CT188">
        <f>_xlfn.XLOOKUP(B188,'[9]november-2025'!$A:$A,'[9]november-2025'!$I:$I,0,0)</f>
        <v>0</v>
      </c>
      <c r="CU188">
        <f>IF($F188="YES",0,IF(CR188&gt;40000,200,IF(CR188&gt;25000,150,IF(CR188&gt;15000,130,IF(CR188&gt;10000,110,0)))))</f>
        <v>150</v>
      </c>
      <c r="CV188">
        <f>CR188-CS188-CT188-CU188</f>
        <v>39090</v>
      </c>
      <c r="CW188">
        <f>_xlfn.XLOOKUP(B188,'[10]december-2025'!$A:$A,'[10]december-2025'!$C:$C,0,0)</f>
        <v>29800</v>
      </c>
      <c r="CX188">
        <f>ROUND(CW188*0.18,0)</f>
        <v>5364</v>
      </c>
      <c r="CY188">
        <f>ROUND(CW188*0.12,0)</f>
        <v>3576</v>
      </c>
      <c r="CZ188">
        <f>_xlfn.XLOOKUP(B188,'[10]december-2025'!$A:$A,'[10]december-2025'!$D:$D,0,0)</f>
        <v>0</v>
      </c>
      <c r="DA188">
        <f>_xlfn.XLOOKUP(B188,'[10]december-2025'!$A:$A,'[10]december-2025'!$G:$G,0,0)</f>
        <v>500</v>
      </c>
      <c r="DB188">
        <f>IF(CW188&gt;0,SUM(CW188:DA188),0)</f>
        <v>39240</v>
      </c>
      <c r="DC188">
        <f>_xlfn.XLOOKUP(B188,'[10]december-2025'!$A:$A,'[10]december-2025'!$H:$H,0,0)</f>
        <v>0</v>
      </c>
      <c r="DD188">
        <f>_xlfn.XLOOKUP(B188,'[10]december-2025'!$A:$A,'[10]december-2025'!$I:$I,0,0)</f>
        <v>0</v>
      </c>
      <c r="DE188">
        <f>IF($F188="YES",0,IF(DB188&gt;40000,200,IF(DB188&gt;25000,150,IF(DB188&gt;15000,130,IF(DB188&gt;10000,110,0)))))</f>
        <v>150</v>
      </c>
      <c r="DF188">
        <f>DB188-DC188-DD188-DE188</f>
        <v>39090</v>
      </c>
      <c r="DG188">
        <f>_xlfn.XLOOKUP(B188,'[11]january-2026'!$A:$A,'[11]january-2026'!$C:$C,0,0)</f>
        <v>29800</v>
      </c>
      <c r="DH188">
        <f>DG188*0.18</f>
        <v>5364</v>
      </c>
      <c r="DI188">
        <f>DG188*0.12</f>
        <v>3576</v>
      </c>
      <c r="DJ188">
        <f>_xlfn.XLOOKUP(B188,'[11]january-2026'!$A:$A,'[11]january-2026'!$D:$D,0,0)</f>
        <v>0</v>
      </c>
      <c r="DK188">
        <f>_xlfn.XLOOKUP(B188,'[11]january-2026'!$A:$A,'[11]january-2026'!$G:$G,0,0)</f>
        <v>500</v>
      </c>
      <c r="DL188">
        <f>IF(DG188&gt;0,SUM(DG188:DK188),0)</f>
        <v>39240</v>
      </c>
      <c r="DM188">
        <f>_xlfn.XLOOKUP(B188,'[11]january-2026'!$A:$A,'[11]january-2026'!$H:$H,0,0)</f>
        <v>0</v>
      </c>
      <c r="DN188">
        <f>_xlfn.XLOOKUP(B188,'[11]january-2026'!$A:$A,'[11]january-2026'!$I:$I,0,0)</f>
        <v>0</v>
      </c>
      <c r="DO188">
        <f>IF($F188="YES",0,IF(DL188&gt;40000,200,IF(DL188&gt;25000,150,IF(DL188&gt;15000,130,IF(DL188&gt;10000,110,0)))))</f>
        <v>150</v>
      </c>
      <c r="DP188">
        <f>DL188-DM188-DN188-DO188</f>
        <v>39090</v>
      </c>
      <c r="DQ188">
        <f>_xlfn.XLOOKUP(B188,'[12]february-2026'!$A:$A,'[12]february-2026'!$C:$C,0,0)</f>
        <v>29800</v>
      </c>
      <c r="DR188">
        <f>DQ188*0.18</f>
        <v>5364</v>
      </c>
      <c r="DS188">
        <f>DQ188*0.12</f>
        <v>3576</v>
      </c>
      <c r="DT188">
        <f>_xlfn.XLOOKUP(B188,'[12]february-2026'!$A:$A,'[12]february-2026'!$D:$D,0,0)</f>
        <v>0</v>
      </c>
      <c r="DU188">
        <f>_xlfn.XLOOKUP(B188,'[12]february-2026'!$A:$A,'[12]february-2026'!$G:$G,0,0)</f>
        <v>500</v>
      </c>
      <c r="DV188">
        <f>IF(DQ188&gt;0,SUM(DQ188:DU188),0)</f>
        <v>39240</v>
      </c>
      <c r="DW188">
        <f>_xlfn.XLOOKUP(B188,'[12]february-2026'!$A:$A,'[12]february-2026'!$H:$H,0,0)</f>
        <v>0</v>
      </c>
      <c r="DX188">
        <f>_xlfn.XLOOKUP(B188,'[12]february-2026'!$A:$A,'[12]february-2026'!$I:$I,0,0)</f>
        <v>0</v>
      </c>
      <c r="DY188">
        <f>IF($F188="YES",0,IF(DV188&gt;40000,200,IF(DV188&gt;25000,150,IF(DV188&gt;15000,130,IF(DV188&gt;10000,110,0)))))</f>
        <v>150</v>
      </c>
      <c r="DZ188">
        <f>DV188-DW188-DX188-DY188</f>
        <v>39090</v>
      </c>
      <c r="EA188">
        <f>DV188+DL188+DB188+CR188+CH188+BX188+BN188+BD188+AS188+AI188+Y188+O188+H188+I188</f>
        <v>444452</v>
      </c>
      <c r="EB188">
        <f>DY188+DO188+DE188+CU188+CK188+CA188+BQ188+BG188+AV188+AL188+AB188+R188</f>
        <v>1800</v>
      </c>
      <c r="EC188">
        <f>IF(EA188&gt;0,50000,0)</f>
        <v>50000</v>
      </c>
      <c r="ED188">
        <v>0</v>
      </c>
      <c r="EE188">
        <f>EA188-EB188-EC188</f>
        <v>392652</v>
      </c>
      <c r="EF188">
        <f>DW188+DM188+DC188+CS188+CI188+BY188+BO188+BE188+AT188+AJ188+Z188+P188</f>
        <v>0</v>
      </c>
      <c r="EG188">
        <f>DX188+DN188+DD188+CT188+CJ188+BZ188+BP188+BF188+AU188+AK188+AA188+Q188</f>
        <v>0</v>
      </c>
      <c r="EH188">
        <v>0</v>
      </c>
      <c r="EI188">
        <v>0</v>
      </c>
      <c r="EJ188">
        <v>0</v>
      </c>
      <c r="EK188">
        <v>0</v>
      </c>
      <c r="EL188">
        <v>0</v>
      </c>
      <c r="EM188">
        <v>0</v>
      </c>
      <c r="EN188">
        <v>0</v>
      </c>
      <c r="EO188">
        <v>0</v>
      </c>
      <c r="EP188">
        <v>0</v>
      </c>
      <c r="EQ188">
        <v>0</v>
      </c>
      <c r="ER188">
        <f>SUM(EF188:EQ188)</f>
        <v>0</v>
      </c>
      <c r="ES188">
        <f>IF(ER188&gt;=150000,150000,ER188)</f>
        <v>0</v>
      </c>
      <c r="ET188">
        <f>EE188-ES188</f>
        <v>392652</v>
      </c>
      <c r="EU188">
        <v>0</v>
      </c>
      <c r="EV188">
        <v>0</v>
      </c>
      <c r="EW188">
        <v>0</v>
      </c>
      <c r="EX188">
        <v>0</v>
      </c>
      <c r="EY188">
        <v>0</v>
      </c>
      <c r="EZ188">
        <v>0</v>
      </c>
      <c r="FA188">
        <v>0</v>
      </c>
      <c r="FB188">
        <f>SUM(EU188:FA188)+(IF(F188="YES",50000,0))</f>
        <v>0</v>
      </c>
      <c r="FC188">
        <f>ET188-FB188</f>
        <v>392652</v>
      </c>
      <c r="FD188">
        <f>ROUND(IF(FC188&gt;0,IF(FC188&gt;500000,12500,(FC188-250000)*0.05),0),0)</f>
        <v>7133</v>
      </c>
      <c r="FE188">
        <f>IF(ROUND(IF(FC188&gt;0,IF(FC188&gt;1000000,25000,(FC188-500000)*0.2),0),0)&lt;0,0,ROUND(IF(FC188&gt;0,IF(FC188&gt;1000000,25000,(FC188-500000)*0.2),0),0))</f>
        <v>0</v>
      </c>
      <c r="FF188">
        <f>FD188+FE188</f>
        <v>7133</v>
      </c>
      <c r="FG188">
        <f>IF(FF188&lt;12500,0,FF188)</f>
        <v>0</v>
      </c>
      <c r="FH188">
        <f>FG188*0.04</f>
        <v>0</v>
      </c>
      <c r="FI188">
        <f>ROUND(FH188+FG188,0)</f>
        <v>0</v>
      </c>
      <c r="FJ188">
        <v>0</v>
      </c>
      <c r="FK188">
        <f>FI188-FJ188</f>
        <v>0</v>
      </c>
      <c r="FL188" t="b">
        <f>IF(EA188&gt;500000,TRUE,FALSE)</f>
        <v>0</v>
      </c>
      <c r="FM188">
        <f ca="1">IF(FL188,RANDBETWEEN(500,1000),RANDBETWEEN(1000,3000))</f>
        <v>2640</v>
      </c>
      <c r="FN188">
        <f ca="1">EA188+FM188</f>
        <v>447092</v>
      </c>
      <c r="FO188">
        <f>IF(EA188&gt;0,75000,0)</f>
        <v>75000</v>
      </c>
      <c r="FP188">
        <f ca="1">FN188-FO188</f>
        <v>372092</v>
      </c>
      <c r="FQ188">
        <f ca="1">IF(FP188&gt;2400000,FP188-2400000,0)</f>
        <v>0</v>
      </c>
      <c r="FR188">
        <f ca="1">FQ188*0.3</f>
        <v>0</v>
      </c>
      <c r="FS188">
        <f ca="1">IF(FP188&gt;2000000,FP188-2000000,0)</f>
        <v>0</v>
      </c>
      <c r="FT188">
        <f ca="1">FS188*0.25</f>
        <v>0</v>
      </c>
      <c r="FU188">
        <f ca="1">IF(FP188&gt;1600000,FP188-1600000-FQ188,0)</f>
        <v>0</v>
      </c>
      <c r="FV188">
        <f ca="1">FU188*0.2</f>
        <v>0</v>
      </c>
      <c r="FW188">
        <f ca="1">IF(FP188&gt;1200000,FP188-1200000-IF(F188="YES",50000,0)-FU188,0)</f>
        <v>0</v>
      </c>
      <c r="FX188">
        <f ca="1">FW188*0.15</f>
        <v>0</v>
      </c>
      <c r="FY188">
        <f ca="1">IF(FP188&gt;800000,FP188-800000-FQ188-FU188-FW188,0)</f>
        <v>0</v>
      </c>
      <c r="FZ188">
        <f ca="1">FY188*0.1</f>
        <v>0</v>
      </c>
      <c r="GA188">
        <f ca="1">IF(FP188&gt;400000,FP188-400000-FQ188-FU188-FW188-FY188,0)</f>
        <v>0</v>
      </c>
      <c r="GB188">
        <f ca="1">GA188*0.05</f>
        <v>0</v>
      </c>
      <c r="GC188">
        <f ca="1">ROUND(FR188+FT188+FV188+FX188+FZ188+GB188,0)</f>
        <v>0</v>
      </c>
      <c r="GD188">
        <f ca="1">IF(FP188&gt;1200000,FP188,0)</f>
        <v>0</v>
      </c>
      <c r="GE188">
        <f ca="1">IF(FP188&gt;1200000,GD188-1200000,0)</f>
        <v>0</v>
      </c>
      <c r="GF188">
        <f ca="1">IF(FP188&lt;1200001,MIN(GC188,60000),0)</f>
        <v>0</v>
      </c>
      <c r="GG188">
        <f ca="1">IF(FP188&gt;1200000,GC188-GE188,0)</f>
        <v>0</v>
      </c>
      <c r="GH188" t="b">
        <f ca="1">IF(GG188&gt;0,TRUE,FALSE)</f>
        <v>0</v>
      </c>
      <c r="GI188">
        <f ca="1">IF(GH188,GG188,0)</f>
        <v>0</v>
      </c>
      <c r="GJ188">
        <f ca="1">GF188+GI188</f>
        <v>0</v>
      </c>
      <c r="GK188">
        <f ca="1">ROUND(GC188-GJ188,0)</f>
        <v>0</v>
      </c>
      <c r="GL188">
        <f ca="1">GK188*0.04</f>
        <v>0</v>
      </c>
      <c r="GM188">
        <f ca="1">ROUNDUP(GK188+GL188,0)</f>
        <v>0</v>
      </c>
    </row>
    <row r="189" spans="1:195" x14ac:dyDescent="0.25">
      <c r="A189">
        <f>_xlfn.AGGREGATE(3,5,$B$2:B189)</f>
        <v>188</v>
      </c>
      <c r="B189" t="s">
        <v>489</v>
      </c>
      <c r="C189" t="s">
        <v>490</v>
      </c>
      <c r="D189" t="s">
        <v>801</v>
      </c>
      <c r="E189" t="s">
        <v>833</v>
      </c>
      <c r="F189" t="s">
        <v>959</v>
      </c>
      <c r="G189" t="s">
        <v>882</v>
      </c>
      <c r="H189">
        <f>IF(_xlfn.DAYS("31-03-2025",G189)&gt;=180,6800,0)</f>
        <v>6800</v>
      </c>
      <c r="I189">
        <f>_xlfn.XLOOKUP(B189,'[1]march-2025'!$A:$A,'[1]march-2025'!$J:$J,0,0)</f>
        <v>0</v>
      </c>
      <c r="J189">
        <f>_xlfn.XLOOKUP(B189,'[1]march-2025'!$A:$A,'[1]march-2025'!$C:$C,0,0)</f>
        <v>47300</v>
      </c>
      <c r="K189">
        <f>J189*0.14</f>
        <v>6622.0000000000009</v>
      </c>
      <c r="L189">
        <f>J189*0.12</f>
        <v>5676</v>
      </c>
      <c r="M189">
        <f>_xlfn.XLOOKUP(B189,'[1]march-2025'!$A:$A,'[1]march-2025'!$D:$D,0,0)</f>
        <v>400</v>
      </c>
      <c r="N189">
        <f>_xlfn.XLOOKUP(B189,'[1]march-2025'!$A:$A,'[1]march-2025'!$G:$G,0,0)</f>
        <v>0</v>
      </c>
      <c r="O189">
        <f>IF(J189&gt;0,SUM(J189:N189),0)</f>
        <v>59998</v>
      </c>
      <c r="P189">
        <f>_xlfn.XLOOKUP(B189,'[1]march-2025'!$A:$A,'[1]march-2025'!$H:$H,0,0)</f>
        <v>4000</v>
      </c>
      <c r="Q189">
        <f>_xlfn.XLOOKUP(B189,'[1]march-2025'!$A:$A,'[1]march-2025'!$I:$I,0,0)</f>
        <v>0</v>
      </c>
      <c r="R189">
        <f>IF($F189="YES",0,IF(O189&gt;40000,200,IF(O189&gt;25000,150,IF(O189&gt;15000,130,IF(O189&gt;10000,110,0)))))</f>
        <v>200</v>
      </c>
      <c r="S189">
        <f>O189-P189-Q189-R189</f>
        <v>55798</v>
      </c>
      <c r="T189">
        <f>_xlfn.XLOOKUP(B189,'[2]april-2025'!$A:$A,'[2]april-2025'!$C:$C,0,0)</f>
        <v>47300</v>
      </c>
      <c r="U189">
        <f>T189*0.18</f>
        <v>8514</v>
      </c>
      <c r="V189">
        <f>T189*0.12</f>
        <v>5676</v>
      </c>
      <c r="W189">
        <f>_xlfn.XLOOKUP(B189,'[2]april-2025'!$A:$A,'[2]april-2025'!$D:$D,0,0)</f>
        <v>400</v>
      </c>
      <c r="X189">
        <f>_xlfn.XLOOKUP(B189,'[2]april-2025'!$A:$A,'[2]april-2025'!$G:$G,0,0)</f>
        <v>0</v>
      </c>
      <c r="Y189">
        <f>IF(T189&gt;0,SUM(T189:X189),0)</f>
        <v>61890</v>
      </c>
      <c r="Z189">
        <f>_xlfn.XLOOKUP(B189,'[2]april-2025'!$A:$A,'[2]april-2025'!$H:$H,0,0)</f>
        <v>4000</v>
      </c>
      <c r="AA189">
        <f>_xlfn.XLOOKUP(B189,'[2]april-2025'!$A:$A,'[2]april-2025'!$I:$I,0,0)</f>
        <v>0</v>
      </c>
      <c r="AB189">
        <f>IF($F189="YES",0,IF(Y189&gt;40000,200,IF(Y189&gt;25000,150,IF(Y189&gt;15000,130,IF(Y189&gt;10000,110,0)))))</f>
        <v>200</v>
      </c>
      <c r="AC189">
        <f>Y189-Z189-AA189-AB189</f>
        <v>57690</v>
      </c>
      <c r="AD189">
        <f>_xlfn.XLOOKUP(B189,'[3]may-2025'!$A:$A,'[3]may-2025'!$C:$C,0,0)</f>
        <v>47300</v>
      </c>
      <c r="AE189">
        <f>AD189*0.18</f>
        <v>8514</v>
      </c>
      <c r="AF189">
        <f>AD189*0.12</f>
        <v>5676</v>
      </c>
      <c r="AG189">
        <f>_xlfn.XLOOKUP(B189,'[3]may-2025'!$A:$A,'[3]may-2025'!$D:$D,0,0)</f>
        <v>400</v>
      </c>
      <c r="AH189">
        <f>_xlfn.XLOOKUP(B189,'[3]may-2025'!$A:$A,'[3]may-2025'!$G:$G,0,0)</f>
        <v>0</v>
      </c>
      <c r="AI189">
        <f>IF(AD189&gt;0,SUM(AD189:AH189),0)</f>
        <v>61890</v>
      </c>
      <c r="AJ189">
        <f>_xlfn.XLOOKUP(B189,'[3]may-2025'!$A:$A,'[3]may-2025'!$H:$H,0,0)</f>
        <v>4000</v>
      </c>
      <c r="AK189">
        <f>_xlfn.XLOOKUP(B189,'[3]may-2025'!$A:$A,'[3]may-2025'!$I:$I,0,0)</f>
        <v>0</v>
      </c>
      <c r="AL189">
        <f>IF($F189="YES",0,IF(AI189&gt;40000,200,IF(AI189&gt;25000,150,IF(AI189&gt;15000,130,IF(AI189&gt;10000,110,0)))))</f>
        <v>200</v>
      </c>
      <c r="AM189">
        <f>AI189-AJ189-AK189-AL189</f>
        <v>57690</v>
      </c>
      <c r="AN189">
        <f>_xlfn.XLOOKUP(B189,'[4]june-2025'!$A:$A,'[4]june-2025'!$C:$C,0,0)</f>
        <v>47300</v>
      </c>
      <c r="AO189">
        <f>AN189*0.18</f>
        <v>8514</v>
      </c>
      <c r="AP189">
        <f>AN189*0.12</f>
        <v>5676</v>
      </c>
      <c r="AQ189">
        <f>_xlfn.XLOOKUP(B189,'[4]june-2025'!$A:$A,'[4]june-2025'!$D:$D,0,0)</f>
        <v>400</v>
      </c>
      <c r="AR189">
        <f>_xlfn.XLOOKUP(B189,'[4]june-2025'!$A:$A,'[4]june-2025'!$G:$G,0,0)</f>
        <v>0</v>
      </c>
      <c r="AS189">
        <f>IF(AN189&gt;0,SUM(AN189:AR189),0)</f>
        <v>61890</v>
      </c>
      <c r="AT189">
        <f>_xlfn.XLOOKUP(B189,'[4]june-2025'!$A:$A,'[4]june-2025'!$H:$H,0,0)</f>
        <v>4000</v>
      </c>
      <c r="AU189">
        <f>_xlfn.XLOOKUP(B189,'[4]june-2025'!$A:$A,'[4]june-2025'!$I:$I,0,0)</f>
        <v>0</v>
      </c>
      <c r="AV189">
        <f>IF($F189="YES",0,IF(AS189&gt;40000,200,IF(AS189&gt;25000,150,IF(AS189&gt;15000,130,IF(AS189&gt;10000,110,0)))))</f>
        <v>200</v>
      </c>
      <c r="AW189">
        <f>AS189-AT189-AU189-AV189</f>
        <v>57690</v>
      </c>
      <c r="AX189">
        <f>_xlfn.XLOOKUP(B189,'[5]july-2025'!$A:$A,'[5]july-2025'!$C:$C,0,0)</f>
        <v>48700</v>
      </c>
      <c r="AY189">
        <f>AX189*0.18</f>
        <v>8766</v>
      </c>
      <c r="AZ189">
        <v>0</v>
      </c>
      <c r="BA189">
        <f>AX189*0.12</f>
        <v>5844</v>
      </c>
      <c r="BB189">
        <f>_xlfn.XLOOKUP(B189,'[5]july-2025'!$A:$A,'[5]july-2025'!$D:$D,0,0)</f>
        <v>400</v>
      </c>
      <c r="BC189">
        <f>_xlfn.XLOOKUP(B189,'[5]july-2025'!$A:$A,'[5]july-2025'!$G:$G,0,0)</f>
        <v>0</v>
      </c>
      <c r="BD189">
        <f>IF(AX189&gt;0,SUM(AX189:BC189),0)</f>
        <v>63710</v>
      </c>
      <c r="BE189">
        <f>_xlfn.XLOOKUP(B189,'[5]july-2025'!$A:$A,'[5]july-2025'!$H:$H,0,0)</f>
        <v>4000</v>
      </c>
      <c r="BF189">
        <f>_xlfn.XLOOKUP(B189,'[5]july-2025'!$A:$A,'[5]july-2025'!$I:$I,0,0)</f>
        <v>0</v>
      </c>
      <c r="BG189">
        <f>IF($F189="YES",0,IF(BD189&gt;40000,200,IF(BD189&gt;25000,150,IF(BD189&gt;15000,130,IF(BD189&gt;10000,110,0)))))</f>
        <v>200</v>
      </c>
      <c r="BH189">
        <f>BD189-BE189-BF189-BG189</f>
        <v>59510</v>
      </c>
      <c r="BI189">
        <f>_xlfn.XLOOKUP(B189,'[6]august-2025'!$A:$A,'[6]august-2025'!$C:$C,0,0)</f>
        <v>48700</v>
      </c>
      <c r="BJ189">
        <f>BI189*0.18</f>
        <v>8766</v>
      </c>
      <c r="BK189">
        <f>BI189*0.12</f>
        <v>5844</v>
      </c>
      <c r="BL189">
        <f>_xlfn.XLOOKUP(B189,'[6]august-2025'!$A:$A,'[6]august-2025'!$D:$D,0,0)</f>
        <v>400</v>
      </c>
      <c r="BM189">
        <f>_xlfn.XLOOKUP(B189,'[6]august-2025'!$A:$A,'[6]august-2025'!$G:$G,0,0)</f>
        <v>0</v>
      </c>
      <c r="BN189">
        <f>IF(BI189&gt;0,SUM(BI189:BM189),0)</f>
        <v>63710</v>
      </c>
      <c r="BO189">
        <f>_xlfn.XLOOKUP(B189,'[6]august-2025'!$A:$A,'[6]august-2025'!$H:$H,0,0)</f>
        <v>4000</v>
      </c>
      <c r="BP189">
        <f>_xlfn.XLOOKUP(B189,'[6]august-2025'!$A:$A,'[6]august-2025'!$I:$I,0,0)</f>
        <v>0</v>
      </c>
      <c r="BQ189">
        <f>IF($F189="YES",0,IF(BN189&gt;40000,200,IF(BN189&gt;25000,150,IF(BN189&gt;15000,130,IF(BN189&gt;10000,110,0)))))</f>
        <v>200</v>
      </c>
      <c r="BR189">
        <f>BN189-BO189-BP189-BQ189</f>
        <v>59510</v>
      </c>
      <c r="BS189">
        <f>_xlfn.XLOOKUP(B189,'[7]september-2025'!$A:$A,'[7]september-2025'!$C:$C,0,0)</f>
        <v>48700</v>
      </c>
      <c r="BT189">
        <f>BS189*0.18</f>
        <v>8766</v>
      </c>
      <c r="BU189">
        <f>BS189*0.12</f>
        <v>5844</v>
      </c>
      <c r="BV189">
        <f>_xlfn.XLOOKUP(B189,'[7]september-2025'!$A:$A,'[7]september-2025'!$D:$D,0,0)</f>
        <v>400</v>
      </c>
      <c r="BW189">
        <f>_xlfn.XLOOKUP(B189,'[7]september-2025'!$A:$A,'[7]september-2025'!$G:$G,0,0)</f>
        <v>0</v>
      </c>
      <c r="BX189">
        <f>IF(BS189&gt;0,SUM(BS189:BW189),0)</f>
        <v>63710</v>
      </c>
      <c r="BY189">
        <f>_xlfn.XLOOKUP(B189,'[7]september-2025'!$A:$A,'[7]september-2025'!$H:$H,0,0)</f>
        <v>4000</v>
      </c>
      <c r="BZ189">
        <f>_xlfn.XLOOKUP(B189,'[7]september-2025'!$A:$A,'[7]september-2025'!$I:$I,0,0)</f>
        <v>0</v>
      </c>
      <c r="CA189">
        <f>IF($F189="YES",0,IF(BX189&gt;40000,200,IF(BX189&gt;25000,150,IF(BX189&gt;15000,130,IF(BX189&gt;10000,110,0)))))</f>
        <v>200</v>
      </c>
      <c r="CB189">
        <f>BX189-BY189-BZ189-CA189</f>
        <v>59510</v>
      </c>
      <c r="CC189">
        <f>_xlfn.XLOOKUP(B189,'[8]october-2025'!$A:$A,'[8]october-2025'!$C:$C,0,0)</f>
        <v>48700</v>
      </c>
      <c r="CD189">
        <f>CC189*0.18</f>
        <v>8766</v>
      </c>
      <c r="CE189">
        <f>CC189*0.12</f>
        <v>5844</v>
      </c>
      <c r="CF189">
        <f>_xlfn.XLOOKUP(B189,'[8]october-2025'!$A:$A,'[8]october-2025'!$D:$D,0,0)</f>
        <v>400</v>
      </c>
      <c r="CG189">
        <f>_xlfn.XLOOKUP(B189,'[8]october-2025'!$A:$A,'[8]october-2025'!$G:$G,0,0)</f>
        <v>0</v>
      </c>
      <c r="CH189">
        <f>IF(CC189&gt;0,SUM(CC189:CG189),0)</f>
        <v>63710</v>
      </c>
      <c r="CI189">
        <f>_xlfn.XLOOKUP(B189,'[8]october-2025'!$A:$A,'[8]october-2025'!$H:$H,0,0)</f>
        <v>4000</v>
      </c>
      <c r="CJ189">
        <f>_xlfn.XLOOKUP(B189,'[8]october-2025'!$A:$A,'[8]october-2025'!$I:$I,0,0)</f>
        <v>0</v>
      </c>
      <c r="CK189">
        <f>IF($F189="YES",0,IF(CH189&gt;40000,200,IF(CH189&gt;25000,150,IF(CH189&gt;15000,130,IF(CH189&gt;10000,110,0)))))</f>
        <v>200</v>
      </c>
      <c r="CL189">
        <f>CH189-CI189-CJ189-CK189</f>
        <v>59510</v>
      </c>
      <c r="CM189">
        <f>_xlfn.XLOOKUP(B189,'[9]november-2025'!$A:$A,'[9]november-2025'!$C:$C,0,0)</f>
        <v>48700</v>
      </c>
      <c r="CN189">
        <f>CM189*0.18</f>
        <v>8766</v>
      </c>
      <c r="CO189">
        <f>CM189*0.12</f>
        <v>5844</v>
      </c>
      <c r="CP189">
        <f>_xlfn.XLOOKUP(B189,'[9]november-2025'!$A:$A,'[9]november-2025'!$D:$D,0,0)</f>
        <v>400</v>
      </c>
      <c r="CQ189">
        <f>_xlfn.XLOOKUP(B189,'[9]november-2025'!$A:$A,'[9]november-2025'!$G:$G,0,0)</f>
        <v>0</v>
      </c>
      <c r="CR189">
        <f>IF(CM189&gt;0,SUM(CM189:CQ189),0)</f>
        <v>63710</v>
      </c>
      <c r="CS189">
        <f>_xlfn.XLOOKUP(B189,'[9]november-2025'!$A:$A,'[9]november-2025'!$H:$H,0,0)</f>
        <v>4000</v>
      </c>
      <c r="CT189">
        <f>_xlfn.XLOOKUP(B189,'[9]november-2025'!$A:$A,'[9]november-2025'!$I:$I,0,0)</f>
        <v>0</v>
      </c>
      <c r="CU189">
        <f>IF($F189="YES",0,IF(CR189&gt;40000,200,IF(CR189&gt;25000,150,IF(CR189&gt;15000,130,IF(CR189&gt;10000,110,0)))))</f>
        <v>200</v>
      </c>
      <c r="CV189">
        <f>CR189-CS189-CT189-CU189</f>
        <v>59510</v>
      </c>
      <c r="CW189">
        <f>_xlfn.XLOOKUP(B189,'[10]december-2025'!$A:$A,'[10]december-2025'!$C:$C,0,0)</f>
        <v>48700</v>
      </c>
      <c r="CX189">
        <f>ROUND(CW189*0.18,0)</f>
        <v>8766</v>
      </c>
      <c r="CY189">
        <f>ROUND(CW189*0.12,0)</f>
        <v>5844</v>
      </c>
      <c r="CZ189">
        <f>_xlfn.XLOOKUP(B189,'[10]december-2025'!$A:$A,'[10]december-2025'!$D:$D,0,0)</f>
        <v>400</v>
      </c>
      <c r="DA189">
        <f>_xlfn.XLOOKUP(B189,'[10]december-2025'!$A:$A,'[10]december-2025'!$G:$G,0,0)</f>
        <v>0</v>
      </c>
      <c r="DB189">
        <f>IF(CW189&gt;0,SUM(CW189:DA189),0)</f>
        <v>63710</v>
      </c>
      <c r="DC189">
        <f>_xlfn.XLOOKUP(B189,'[10]december-2025'!$A:$A,'[10]december-2025'!$H:$H,0,0)</f>
        <v>4000</v>
      </c>
      <c r="DD189">
        <f>_xlfn.XLOOKUP(B189,'[10]december-2025'!$A:$A,'[10]december-2025'!$I:$I,0,0)</f>
        <v>0</v>
      </c>
      <c r="DE189">
        <f>IF($F189="YES",0,IF(DB189&gt;40000,200,IF(DB189&gt;25000,150,IF(DB189&gt;15000,130,IF(DB189&gt;10000,110,0)))))</f>
        <v>200</v>
      </c>
      <c r="DF189">
        <f>DB189-DC189-DD189-DE189</f>
        <v>59510</v>
      </c>
      <c r="DG189">
        <f>_xlfn.XLOOKUP(B189,'[11]january-2026'!$A:$A,'[11]january-2026'!$C:$C,0,0)</f>
        <v>48700</v>
      </c>
      <c r="DH189">
        <f>DG189*0.18</f>
        <v>8766</v>
      </c>
      <c r="DI189">
        <f>DG189*0.12</f>
        <v>5844</v>
      </c>
      <c r="DJ189">
        <f>_xlfn.XLOOKUP(B189,'[11]january-2026'!$A:$A,'[11]january-2026'!$D:$D,0,0)</f>
        <v>400</v>
      </c>
      <c r="DK189">
        <f>_xlfn.XLOOKUP(B189,'[11]january-2026'!$A:$A,'[11]january-2026'!$G:$G,0,0)</f>
        <v>0</v>
      </c>
      <c r="DL189">
        <f>IF(DG189&gt;0,SUM(DG189:DK189),0)</f>
        <v>63710</v>
      </c>
      <c r="DM189">
        <f>_xlfn.XLOOKUP(B189,'[11]january-2026'!$A:$A,'[11]january-2026'!$H:$H,0,0)</f>
        <v>4000</v>
      </c>
      <c r="DN189">
        <f>_xlfn.XLOOKUP(B189,'[11]january-2026'!$A:$A,'[11]january-2026'!$I:$I,0,0)</f>
        <v>0</v>
      </c>
      <c r="DO189">
        <f>IF($F189="YES",0,IF(DL189&gt;40000,200,IF(DL189&gt;25000,150,IF(DL189&gt;15000,130,IF(DL189&gt;10000,110,0)))))</f>
        <v>200</v>
      </c>
      <c r="DP189">
        <f>DL189-DM189-DN189-DO189</f>
        <v>59510</v>
      </c>
      <c r="DQ189">
        <f>_xlfn.XLOOKUP(B189,'[12]february-2026'!$A:$A,'[12]february-2026'!$C:$C,0,0)</f>
        <v>48700</v>
      </c>
      <c r="DR189">
        <f>DQ189*0.18</f>
        <v>8766</v>
      </c>
      <c r="DS189">
        <f>DQ189*0.12</f>
        <v>5844</v>
      </c>
      <c r="DT189">
        <f>_xlfn.XLOOKUP(B189,'[12]february-2026'!$A:$A,'[12]february-2026'!$D:$D,0,0)</f>
        <v>400</v>
      </c>
      <c r="DU189">
        <f>_xlfn.XLOOKUP(B189,'[12]february-2026'!$A:$A,'[12]february-2026'!$G:$G,0,0)</f>
        <v>0</v>
      </c>
      <c r="DV189">
        <f>IF(DQ189&gt;0,SUM(DQ189:DU189),0)</f>
        <v>63710</v>
      </c>
      <c r="DW189">
        <f>_xlfn.XLOOKUP(B189,'[12]february-2026'!$A:$A,'[12]february-2026'!$H:$H,0,0)</f>
        <v>4000</v>
      </c>
      <c r="DX189">
        <f>_xlfn.XLOOKUP(B189,'[12]february-2026'!$A:$A,'[12]february-2026'!$I:$I,0,0)</f>
        <v>0</v>
      </c>
      <c r="DY189">
        <f>IF($F189="YES",0,IF(DV189&gt;40000,200,IF(DV189&gt;25000,150,IF(DV189&gt;15000,130,IF(DV189&gt;10000,110,0)))))</f>
        <v>200</v>
      </c>
      <c r="DZ189">
        <f>DV189-DW189-DX189-DY189</f>
        <v>59510</v>
      </c>
      <c r="EA189">
        <f>DV189+DL189+DB189+CR189+CH189+BX189+BN189+BD189+AS189+AI189+Y189+O189+H189+I189</f>
        <v>762148</v>
      </c>
      <c r="EB189">
        <f>DY189+DO189+DE189+CU189+CK189+CA189+BQ189+BG189+AV189+AL189+AB189+R189</f>
        <v>2400</v>
      </c>
      <c r="EC189">
        <f>IF(EA189&gt;0,50000,0)</f>
        <v>50000</v>
      </c>
      <c r="ED189">
        <v>0</v>
      </c>
      <c r="EE189">
        <f>EA189-EB189-EC189</f>
        <v>709748</v>
      </c>
      <c r="EF189">
        <f>DW189+DM189+DC189+CS189+CI189+BY189+BO189+BE189+AT189+AJ189+Z189+P189</f>
        <v>48000</v>
      </c>
      <c r="EG189">
        <f>DX189+DN189+DD189+CT189+CJ189+BZ189+BP189+BF189+AU189+AK189+AA189+Q189</f>
        <v>0</v>
      </c>
      <c r="EH189">
        <v>0</v>
      </c>
      <c r="EI189">
        <v>0</v>
      </c>
      <c r="EJ189">
        <v>0</v>
      </c>
      <c r="EK189">
        <v>0</v>
      </c>
      <c r="EL189">
        <v>0</v>
      </c>
      <c r="EM189">
        <v>0</v>
      </c>
      <c r="EN189">
        <v>0</v>
      </c>
      <c r="EO189">
        <v>0</v>
      </c>
      <c r="EP189">
        <v>0</v>
      </c>
      <c r="EQ189">
        <v>0</v>
      </c>
      <c r="ER189">
        <f>SUM(EF189:EQ189)</f>
        <v>48000</v>
      </c>
      <c r="ES189">
        <f>IF(ER189&gt;=150000,150000,ER189)</f>
        <v>48000</v>
      </c>
      <c r="ET189">
        <f>EE189-ES189</f>
        <v>661748</v>
      </c>
      <c r="EU189">
        <v>0</v>
      </c>
      <c r="EV189">
        <v>0</v>
      </c>
      <c r="EW189">
        <v>0</v>
      </c>
      <c r="EX189">
        <v>0</v>
      </c>
      <c r="EY189">
        <v>0</v>
      </c>
      <c r="EZ189">
        <v>0</v>
      </c>
      <c r="FA189">
        <v>0</v>
      </c>
      <c r="FB189">
        <f>SUM(EU189:FA189)+(IF(F189="YES",50000,0))</f>
        <v>0</v>
      </c>
      <c r="FC189">
        <f>ET189-FB189</f>
        <v>661748</v>
      </c>
      <c r="FD189">
        <f>ROUND(IF(FC189&gt;0,IF(FC189&gt;500000,12500,(FC189-250000)*0.05),0),0)</f>
        <v>12500</v>
      </c>
      <c r="FE189">
        <f>IF(ROUND(IF(FC189&gt;0,IF(FC189&gt;1000000,25000,(FC189-500000)*0.2),0),0)&lt;0,0,ROUND(IF(FC189&gt;0,IF(FC189&gt;1000000,25000,(FC189-500000)*0.2),0),0))</f>
        <v>32350</v>
      </c>
      <c r="FF189">
        <f>FD189+FE189</f>
        <v>44850</v>
      </c>
      <c r="FG189">
        <f>IF(FF189&lt;12500,0,FF189)</f>
        <v>44850</v>
      </c>
      <c r="FH189">
        <f>FG189*0.04</f>
        <v>1794</v>
      </c>
      <c r="FI189">
        <f>ROUND(FH189+FG189,0)</f>
        <v>46644</v>
      </c>
      <c r="FJ189">
        <v>0</v>
      </c>
      <c r="FK189">
        <f>FI189-FJ189</f>
        <v>46644</v>
      </c>
      <c r="FL189" t="b">
        <f>IF(EA189&gt;500000,TRUE,FALSE)</f>
        <v>1</v>
      </c>
      <c r="FM189">
        <f ca="1">IF(FL189,RANDBETWEEN(500,1000),RANDBETWEEN(1000,3000))</f>
        <v>964</v>
      </c>
      <c r="FN189">
        <f ca="1">EA189+FM189</f>
        <v>763112</v>
      </c>
      <c r="FO189">
        <f>IF(EA189&gt;0,75000,0)</f>
        <v>75000</v>
      </c>
      <c r="FP189">
        <f ca="1">FN189-FO189</f>
        <v>688112</v>
      </c>
      <c r="FQ189">
        <f ca="1">IF(FP189&gt;2400000,FP189-2400000,0)</f>
        <v>0</v>
      </c>
      <c r="FR189">
        <f ca="1">FQ189*0.3</f>
        <v>0</v>
      </c>
      <c r="FS189">
        <f ca="1">IF(FP189&gt;2000000,FP189-2000000,0)</f>
        <v>0</v>
      </c>
      <c r="FT189">
        <f ca="1">FS189*0.25</f>
        <v>0</v>
      </c>
      <c r="FU189">
        <f ca="1">IF(FP189&gt;1600000,FP189-1600000-FQ189,0)</f>
        <v>0</v>
      </c>
      <c r="FV189">
        <f ca="1">FU189*0.2</f>
        <v>0</v>
      </c>
      <c r="FW189">
        <f ca="1">IF(FP189&gt;1200000,FP189-1200000-IF(F189="YES",50000,0)-FU189,0)</f>
        <v>0</v>
      </c>
      <c r="FX189">
        <f ca="1">FW189*0.15</f>
        <v>0</v>
      </c>
      <c r="FY189">
        <f ca="1">IF(FP189&gt;800000,FP189-800000-FQ189-FU189-FW189,0)</f>
        <v>0</v>
      </c>
      <c r="FZ189">
        <f ca="1">FY189*0.1</f>
        <v>0</v>
      </c>
      <c r="GA189">
        <f ca="1">IF(FP189&gt;400000,FP189-400000-FQ189-FU189-FW189-FY189,0)</f>
        <v>288112</v>
      </c>
      <c r="GB189">
        <f ca="1">GA189*0.05</f>
        <v>14405.6</v>
      </c>
      <c r="GC189">
        <f ca="1">ROUND(FR189+FT189+FV189+FX189+FZ189+GB189,0)</f>
        <v>14406</v>
      </c>
      <c r="GD189">
        <f ca="1">IF(FP189&gt;1200000,FP189,0)</f>
        <v>0</v>
      </c>
      <c r="GE189">
        <f ca="1">IF(FP189&gt;1200000,GD189-1200000,0)</f>
        <v>0</v>
      </c>
      <c r="GF189">
        <f ca="1">IF(FP189&lt;1200001,MIN(GC189,60000),0)</f>
        <v>14406</v>
      </c>
      <c r="GG189">
        <f ca="1">IF(FP189&gt;1200000,GC189-GE189,0)</f>
        <v>0</v>
      </c>
      <c r="GH189" t="b">
        <f ca="1">IF(GG189&gt;0,TRUE,FALSE)</f>
        <v>0</v>
      </c>
      <c r="GI189">
        <f ca="1">IF(GH189,GG189,0)</f>
        <v>0</v>
      </c>
      <c r="GJ189">
        <f ca="1">GF189+GI189</f>
        <v>14406</v>
      </c>
      <c r="GK189">
        <f ca="1">ROUND(GC189-GJ189,0)</f>
        <v>0</v>
      </c>
      <c r="GL189">
        <f ca="1">GK189*0.04</f>
        <v>0</v>
      </c>
      <c r="GM189">
        <f ca="1">ROUNDUP(GK189+GL189,0)</f>
        <v>0</v>
      </c>
    </row>
    <row r="190" spans="1:195" x14ac:dyDescent="0.25">
      <c r="A190">
        <f>_xlfn.AGGREGATE(3,5,$B$2:B190)</f>
        <v>189</v>
      </c>
      <c r="B190" t="s">
        <v>491</v>
      </c>
      <c r="C190" t="s">
        <v>492</v>
      </c>
      <c r="D190" t="s">
        <v>801</v>
      </c>
      <c r="E190" t="s">
        <v>833</v>
      </c>
      <c r="F190" t="s">
        <v>959</v>
      </c>
      <c r="G190" t="s">
        <v>926</v>
      </c>
      <c r="H190">
        <f>IF(_xlfn.DAYS("31-03-2025",G190)&gt;=180,6800,0)</f>
        <v>6800</v>
      </c>
      <c r="I190">
        <f>_xlfn.XLOOKUP(B190,'[1]march-2025'!$A:$A,'[1]march-2025'!$J:$J,0,0)</f>
        <v>0</v>
      </c>
      <c r="J190">
        <f>_xlfn.XLOOKUP(B190,'[1]march-2025'!$A:$A,'[1]march-2025'!$C:$C,0,0)</f>
        <v>33500</v>
      </c>
      <c r="K190">
        <f>J190*0.14</f>
        <v>4690</v>
      </c>
      <c r="L190">
        <f>J190*0.12</f>
        <v>4020</v>
      </c>
      <c r="M190">
        <f>_xlfn.XLOOKUP(B190,'[1]march-2025'!$A:$A,'[1]march-2025'!$D:$D,0,0)</f>
        <v>0</v>
      </c>
      <c r="N190">
        <f>_xlfn.XLOOKUP(B190,'[1]march-2025'!$A:$A,'[1]march-2025'!$G:$G,0,0)</f>
        <v>500</v>
      </c>
      <c r="O190">
        <f>IF(J190&gt;0,SUM(J190:N190),0)</f>
        <v>42710</v>
      </c>
      <c r="P190">
        <f>_xlfn.XLOOKUP(B190,'[1]march-2025'!$A:$A,'[1]march-2025'!$H:$H,0,0)</f>
        <v>3000</v>
      </c>
      <c r="Q190">
        <f>_xlfn.XLOOKUP(B190,'[1]march-2025'!$A:$A,'[1]march-2025'!$I:$I,0,0)</f>
        <v>0</v>
      </c>
      <c r="R190">
        <f>IF($F190="YES",0,IF(O190&gt;40000,200,IF(O190&gt;25000,150,IF(O190&gt;15000,130,IF(O190&gt;10000,110,0)))))</f>
        <v>200</v>
      </c>
      <c r="S190">
        <f>O190-P190-Q190-R190</f>
        <v>39510</v>
      </c>
      <c r="T190">
        <f>_xlfn.XLOOKUP(B190,'[2]april-2025'!$A:$A,'[2]april-2025'!$C:$C,0,0)</f>
        <v>33500</v>
      </c>
      <c r="U190">
        <f>T190*0.18</f>
        <v>6030</v>
      </c>
      <c r="V190">
        <f>T190*0.12</f>
        <v>4020</v>
      </c>
      <c r="W190">
        <f>_xlfn.XLOOKUP(B190,'[2]april-2025'!$A:$A,'[2]april-2025'!$D:$D,0,0)</f>
        <v>0</v>
      </c>
      <c r="X190">
        <f>_xlfn.XLOOKUP(B190,'[2]april-2025'!$A:$A,'[2]april-2025'!$G:$G,0,0)</f>
        <v>500</v>
      </c>
      <c r="Y190">
        <f>IF(T190&gt;0,SUM(T190:X190),0)</f>
        <v>44050</v>
      </c>
      <c r="Z190">
        <f>_xlfn.XLOOKUP(B190,'[2]april-2025'!$A:$A,'[2]april-2025'!$H:$H,0,0)</f>
        <v>3000</v>
      </c>
      <c r="AA190">
        <f>_xlfn.XLOOKUP(B190,'[2]april-2025'!$A:$A,'[2]april-2025'!$I:$I,0,0)</f>
        <v>0</v>
      </c>
      <c r="AB190">
        <f>IF($F190="YES",0,IF(Y190&gt;40000,200,IF(Y190&gt;25000,150,IF(Y190&gt;15000,130,IF(Y190&gt;10000,110,0)))))</f>
        <v>200</v>
      </c>
      <c r="AC190">
        <f>Y190-Z190-AA190-AB190</f>
        <v>40850</v>
      </c>
      <c r="AD190">
        <f>_xlfn.XLOOKUP(B190,'[3]may-2025'!$A:$A,'[3]may-2025'!$C:$C,0,0)</f>
        <v>33500</v>
      </c>
      <c r="AE190">
        <f>AD190*0.18</f>
        <v>6030</v>
      </c>
      <c r="AF190">
        <f>AD190*0.12</f>
        <v>4020</v>
      </c>
      <c r="AG190">
        <f>_xlfn.XLOOKUP(B190,'[3]may-2025'!$A:$A,'[3]may-2025'!$D:$D,0,0)</f>
        <v>0</v>
      </c>
      <c r="AH190">
        <f>_xlfn.XLOOKUP(B190,'[3]may-2025'!$A:$A,'[3]may-2025'!$G:$G,0,0)</f>
        <v>500</v>
      </c>
      <c r="AI190">
        <f>IF(AD190&gt;0,SUM(AD190:AH190),0)</f>
        <v>44050</v>
      </c>
      <c r="AJ190">
        <f>_xlfn.XLOOKUP(B190,'[3]may-2025'!$A:$A,'[3]may-2025'!$H:$H,0,0)</f>
        <v>3000</v>
      </c>
      <c r="AK190">
        <f>_xlfn.XLOOKUP(B190,'[3]may-2025'!$A:$A,'[3]may-2025'!$I:$I,0,0)</f>
        <v>0</v>
      </c>
      <c r="AL190">
        <f>IF($F190="YES",0,IF(AI190&gt;40000,200,IF(AI190&gt;25000,150,IF(AI190&gt;15000,130,IF(AI190&gt;10000,110,0)))))</f>
        <v>200</v>
      </c>
      <c r="AM190">
        <f>AI190-AJ190-AK190-AL190</f>
        <v>40850</v>
      </c>
      <c r="AN190">
        <f>_xlfn.XLOOKUP(B190,'[4]june-2025'!$A:$A,'[4]june-2025'!$C:$C,0,0)</f>
        <v>33500</v>
      </c>
      <c r="AO190">
        <f>AN190*0.18</f>
        <v>6030</v>
      </c>
      <c r="AP190">
        <f>AN190*0.12</f>
        <v>4020</v>
      </c>
      <c r="AQ190">
        <f>_xlfn.XLOOKUP(B190,'[4]june-2025'!$A:$A,'[4]june-2025'!$D:$D,0,0)</f>
        <v>0</v>
      </c>
      <c r="AR190">
        <f>_xlfn.XLOOKUP(B190,'[4]june-2025'!$A:$A,'[4]june-2025'!$G:$G,0,0)</f>
        <v>500</v>
      </c>
      <c r="AS190">
        <f>IF(AN190&gt;0,SUM(AN190:AR190),0)</f>
        <v>44050</v>
      </c>
      <c r="AT190">
        <f>_xlfn.XLOOKUP(B190,'[4]june-2025'!$A:$A,'[4]june-2025'!$H:$H,0,0)</f>
        <v>3000</v>
      </c>
      <c r="AU190">
        <f>_xlfn.XLOOKUP(B190,'[4]june-2025'!$A:$A,'[4]june-2025'!$I:$I,0,0)</f>
        <v>0</v>
      </c>
      <c r="AV190">
        <f>IF($F190="YES",0,IF(AS190&gt;40000,200,IF(AS190&gt;25000,150,IF(AS190&gt;15000,130,IF(AS190&gt;10000,110,0)))))</f>
        <v>200</v>
      </c>
      <c r="AW190">
        <f>AS190-AT190-AU190-AV190</f>
        <v>40850</v>
      </c>
      <c r="AX190">
        <f>_xlfn.XLOOKUP(B190,'[5]july-2025'!$A:$A,'[5]july-2025'!$C:$C,0,0)</f>
        <v>34500</v>
      </c>
      <c r="AY190">
        <f>AX190*0.18</f>
        <v>6210</v>
      </c>
      <c r="AZ190">
        <v>0</v>
      </c>
      <c r="BA190">
        <f>AX190*0.12</f>
        <v>4140</v>
      </c>
      <c r="BB190">
        <f>_xlfn.XLOOKUP(B190,'[5]july-2025'!$A:$A,'[5]july-2025'!$D:$D,0,0)</f>
        <v>0</v>
      </c>
      <c r="BC190">
        <f>_xlfn.XLOOKUP(B190,'[5]july-2025'!$A:$A,'[5]july-2025'!$G:$G,0,0)</f>
        <v>500</v>
      </c>
      <c r="BD190">
        <f>IF(AX190&gt;0,SUM(AX190:BC190),0)</f>
        <v>45350</v>
      </c>
      <c r="BE190">
        <f>_xlfn.XLOOKUP(B190,'[5]july-2025'!$A:$A,'[5]july-2025'!$H:$H,0,0)</f>
        <v>3000</v>
      </c>
      <c r="BF190">
        <f>_xlfn.XLOOKUP(B190,'[5]july-2025'!$A:$A,'[5]july-2025'!$I:$I,0,0)</f>
        <v>0</v>
      </c>
      <c r="BG190">
        <f>IF($F190="YES",0,IF(BD190&gt;40000,200,IF(BD190&gt;25000,150,IF(BD190&gt;15000,130,IF(BD190&gt;10000,110,0)))))</f>
        <v>200</v>
      </c>
      <c r="BH190">
        <f>BD190-BE190-BF190-BG190</f>
        <v>42150</v>
      </c>
      <c r="BI190">
        <f>_xlfn.XLOOKUP(B190,'[6]august-2025'!$A:$A,'[6]august-2025'!$C:$C,0,0)</f>
        <v>34500</v>
      </c>
      <c r="BJ190">
        <f>BI190*0.18</f>
        <v>6210</v>
      </c>
      <c r="BK190">
        <f>BI190*0.12</f>
        <v>4140</v>
      </c>
      <c r="BL190">
        <f>_xlfn.XLOOKUP(B190,'[6]august-2025'!$A:$A,'[6]august-2025'!$D:$D,0,0)</f>
        <v>0</v>
      </c>
      <c r="BM190">
        <f>_xlfn.XLOOKUP(B190,'[6]august-2025'!$A:$A,'[6]august-2025'!$G:$G,0,0)</f>
        <v>500</v>
      </c>
      <c r="BN190">
        <f>IF(BI190&gt;0,SUM(BI190:BM190),0)</f>
        <v>45350</v>
      </c>
      <c r="BO190">
        <f>_xlfn.XLOOKUP(B190,'[6]august-2025'!$A:$A,'[6]august-2025'!$H:$H,0,0)</f>
        <v>3000</v>
      </c>
      <c r="BP190">
        <f>_xlfn.XLOOKUP(B190,'[6]august-2025'!$A:$A,'[6]august-2025'!$I:$I,0,0)</f>
        <v>0</v>
      </c>
      <c r="BQ190">
        <f>IF($F190="YES",0,IF(BN190&gt;40000,200,IF(BN190&gt;25000,150,IF(BN190&gt;15000,130,IF(BN190&gt;10000,110,0)))))</f>
        <v>200</v>
      </c>
      <c r="BR190">
        <f>BN190-BO190-BP190-BQ190</f>
        <v>42150</v>
      </c>
      <c r="BS190">
        <f>_xlfn.XLOOKUP(B190,'[7]september-2025'!$A:$A,'[7]september-2025'!$C:$C,0,0)</f>
        <v>34500</v>
      </c>
      <c r="BT190">
        <f>BS190*0.18</f>
        <v>6210</v>
      </c>
      <c r="BU190">
        <f>BS190*0.12</f>
        <v>4140</v>
      </c>
      <c r="BV190">
        <f>_xlfn.XLOOKUP(B190,'[7]september-2025'!$A:$A,'[7]september-2025'!$D:$D,0,0)</f>
        <v>0</v>
      </c>
      <c r="BW190">
        <f>_xlfn.XLOOKUP(B190,'[7]september-2025'!$A:$A,'[7]september-2025'!$G:$G,0,0)</f>
        <v>500</v>
      </c>
      <c r="BX190">
        <f>IF(BS190&gt;0,SUM(BS190:BW190),0)</f>
        <v>45350</v>
      </c>
      <c r="BY190">
        <f>_xlfn.XLOOKUP(B190,'[7]september-2025'!$A:$A,'[7]september-2025'!$H:$H,0,0)</f>
        <v>3000</v>
      </c>
      <c r="BZ190">
        <f>_xlfn.XLOOKUP(B190,'[7]september-2025'!$A:$A,'[7]september-2025'!$I:$I,0,0)</f>
        <v>0</v>
      </c>
      <c r="CA190">
        <f>IF($F190="YES",0,IF(BX190&gt;40000,200,IF(BX190&gt;25000,150,IF(BX190&gt;15000,130,IF(BX190&gt;10000,110,0)))))</f>
        <v>200</v>
      </c>
      <c r="CB190">
        <f>BX190-BY190-BZ190-CA190</f>
        <v>42150</v>
      </c>
      <c r="CC190">
        <f>_xlfn.XLOOKUP(B190,'[8]october-2025'!$A:$A,'[8]october-2025'!$C:$C,0,0)</f>
        <v>34500</v>
      </c>
      <c r="CD190">
        <f>CC190*0.18</f>
        <v>6210</v>
      </c>
      <c r="CE190">
        <f>CC190*0.12</f>
        <v>4140</v>
      </c>
      <c r="CF190">
        <f>_xlfn.XLOOKUP(B190,'[8]october-2025'!$A:$A,'[8]october-2025'!$D:$D,0,0)</f>
        <v>0</v>
      </c>
      <c r="CG190">
        <f>_xlfn.XLOOKUP(B190,'[8]october-2025'!$A:$A,'[8]october-2025'!$G:$G,0,0)</f>
        <v>500</v>
      </c>
      <c r="CH190">
        <f>IF(CC190&gt;0,SUM(CC190:CG190),0)</f>
        <v>45350</v>
      </c>
      <c r="CI190">
        <f>_xlfn.XLOOKUP(B190,'[8]october-2025'!$A:$A,'[8]october-2025'!$H:$H,0,0)</f>
        <v>3000</v>
      </c>
      <c r="CJ190">
        <f>_xlfn.XLOOKUP(B190,'[8]october-2025'!$A:$A,'[8]october-2025'!$I:$I,0,0)</f>
        <v>0</v>
      </c>
      <c r="CK190">
        <f>IF($F190="YES",0,IF(CH190&gt;40000,200,IF(CH190&gt;25000,150,IF(CH190&gt;15000,130,IF(CH190&gt;10000,110,0)))))</f>
        <v>200</v>
      </c>
      <c r="CL190">
        <f>CH190-CI190-CJ190-CK190</f>
        <v>42150</v>
      </c>
      <c r="CM190">
        <f>_xlfn.XLOOKUP(B190,'[9]november-2025'!$A:$A,'[9]november-2025'!$C:$C,0,0)</f>
        <v>34500</v>
      </c>
      <c r="CN190">
        <f>CM190*0.18</f>
        <v>6210</v>
      </c>
      <c r="CO190">
        <f>CM190*0.12</f>
        <v>4140</v>
      </c>
      <c r="CP190">
        <f>_xlfn.XLOOKUP(B190,'[9]november-2025'!$A:$A,'[9]november-2025'!$D:$D,0,0)</f>
        <v>0</v>
      </c>
      <c r="CQ190">
        <f>_xlfn.XLOOKUP(B190,'[9]november-2025'!$A:$A,'[9]november-2025'!$G:$G,0,0)</f>
        <v>500</v>
      </c>
      <c r="CR190">
        <f>IF(CM190&gt;0,SUM(CM190:CQ190),0)</f>
        <v>45350</v>
      </c>
      <c r="CS190">
        <f>_xlfn.XLOOKUP(B190,'[9]november-2025'!$A:$A,'[9]november-2025'!$H:$H,0,0)</f>
        <v>3000</v>
      </c>
      <c r="CT190">
        <f>_xlfn.XLOOKUP(B190,'[9]november-2025'!$A:$A,'[9]november-2025'!$I:$I,0,0)</f>
        <v>0</v>
      </c>
      <c r="CU190">
        <f>IF($F190="YES",0,IF(CR190&gt;40000,200,IF(CR190&gt;25000,150,IF(CR190&gt;15000,130,IF(CR190&gt;10000,110,0)))))</f>
        <v>200</v>
      </c>
      <c r="CV190">
        <f>CR190-CS190-CT190-CU190</f>
        <v>42150</v>
      </c>
      <c r="CW190">
        <f>_xlfn.XLOOKUP(B190,'[10]december-2025'!$A:$A,'[10]december-2025'!$C:$C,0,0)</f>
        <v>34500</v>
      </c>
      <c r="CX190">
        <f>ROUND(CW190*0.18,0)</f>
        <v>6210</v>
      </c>
      <c r="CY190">
        <f>ROUND(CW190*0.12,0)</f>
        <v>4140</v>
      </c>
      <c r="CZ190">
        <f>_xlfn.XLOOKUP(B190,'[10]december-2025'!$A:$A,'[10]december-2025'!$D:$D,0,0)</f>
        <v>0</v>
      </c>
      <c r="DA190">
        <f>_xlfn.XLOOKUP(B190,'[10]december-2025'!$A:$A,'[10]december-2025'!$G:$G,0,0)</f>
        <v>500</v>
      </c>
      <c r="DB190">
        <f>IF(CW190&gt;0,SUM(CW190:DA190),0)</f>
        <v>45350</v>
      </c>
      <c r="DC190">
        <f>_xlfn.XLOOKUP(B190,'[10]december-2025'!$A:$A,'[10]december-2025'!$H:$H,0,0)</f>
        <v>3000</v>
      </c>
      <c r="DD190">
        <f>_xlfn.XLOOKUP(B190,'[10]december-2025'!$A:$A,'[10]december-2025'!$I:$I,0,0)</f>
        <v>0</v>
      </c>
      <c r="DE190">
        <f>IF($F190="YES",0,IF(DB190&gt;40000,200,IF(DB190&gt;25000,150,IF(DB190&gt;15000,130,IF(DB190&gt;10000,110,0)))))</f>
        <v>200</v>
      </c>
      <c r="DF190">
        <f>DB190-DC190-DD190-DE190</f>
        <v>42150</v>
      </c>
      <c r="DG190">
        <f>_xlfn.XLOOKUP(B190,'[11]january-2026'!$A:$A,'[11]january-2026'!$C:$C,0,0)</f>
        <v>34500</v>
      </c>
      <c r="DH190">
        <f>DG190*0.18</f>
        <v>6210</v>
      </c>
      <c r="DI190">
        <f>DG190*0.12</f>
        <v>4140</v>
      </c>
      <c r="DJ190">
        <f>_xlfn.XLOOKUP(B190,'[11]january-2026'!$A:$A,'[11]january-2026'!$D:$D,0,0)</f>
        <v>0</v>
      </c>
      <c r="DK190">
        <f>_xlfn.XLOOKUP(B190,'[11]january-2026'!$A:$A,'[11]january-2026'!$G:$G,0,0)</f>
        <v>500</v>
      </c>
      <c r="DL190">
        <f>IF(DG190&gt;0,SUM(DG190:DK190),0)</f>
        <v>45350</v>
      </c>
      <c r="DM190">
        <f>_xlfn.XLOOKUP(B190,'[11]january-2026'!$A:$A,'[11]january-2026'!$H:$H,0,0)</f>
        <v>3000</v>
      </c>
      <c r="DN190">
        <f>_xlfn.XLOOKUP(B190,'[11]january-2026'!$A:$A,'[11]january-2026'!$I:$I,0,0)</f>
        <v>0</v>
      </c>
      <c r="DO190">
        <f>IF($F190="YES",0,IF(DL190&gt;40000,200,IF(DL190&gt;25000,150,IF(DL190&gt;15000,130,IF(DL190&gt;10000,110,0)))))</f>
        <v>200</v>
      </c>
      <c r="DP190">
        <f>DL190-DM190-DN190-DO190</f>
        <v>42150</v>
      </c>
      <c r="DQ190">
        <f>_xlfn.XLOOKUP(B190,'[12]february-2026'!$A:$A,'[12]february-2026'!$C:$C,0,0)</f>
        <v>34500</v>
      </c>
      <c r="DR190">
        <f>DQ190*0.18</f>
        <v>6210</v>
      </c>
      <c r="DS190">
        <f>DQ190*0.12</f>
        <v>4140</v>
      </c>
      <c r="DT190">
        <f>_xlfn.XLOOKUP(B190,'[12]february-2026'!$A:$A,'[12]february-2026'!$D:$D,0,0)</f>
        <v>0</v>
      </c>
      <c r="DU190">
        <f>_xlfn.XLOOKUP(B190,'[12]february-2026'!$A:$A,'[12]february-2026'!$G:$G,0,0)</f>
        <v>500</v>
      </c>
      <c r="DV190">
        <f>IF(DQ190&gt;0,SUM(DQ190:DU190),0)</f>
        <v>45350</v>
      </c>
      <c r="DW190">
        <f>_xlfn.XLOOKUP(B190,'[12]february-2026'!$A:$A,'[12]february-2026'!$H:$H,0,0)</f>
        <v>3000</v>
      </c>
      <c r="DX190">
        <f>_xlfn.XLOOKUP(B190,'[12]february-2026'!$A:$A,'[12]february-2026'!$I:$I,0,0)</f>
        <v>0</v>
      </c>
      <c r="DY190">
        <f>IF($F190="YES",0,IF(DV190&gt;40000,200,IF(DV190&gt;25000,150,IF(DV190&gt;15000,130,IF(DV190&gt;10000,110,0)))))</f>
        <v>200</v>
      </c>
      <c r="DZ190">
        <f>DV190-DW190-DX190-DY190</f>
        <v>42150</v>
      </c>
      <c r="EA190">
        <f>DV190+DL190+DB190+CR190+CH190+BX190+BN190+BD190+AS190+AI190+Y190+O190+H190+I190</f>
        <v>544460</v>
      </c>
      <c r="EB190">
        <f>DY190+DO190+DE190+CU190+CK190+CA190+BQ190+BG190+AV190+AL190+AB190+R190</f>
        <v>2400</v>
      </c>
      <c r="EC190">
        <f>IF(EA190&gt;0,50000,0)</f>
        <v>50000</v>
      </c>
      <c r="ED190">
        <v>0</v>
      </c>
      <c r="EE190">
        <f>EA190-EB190-EC190</f>
        <v>492060</v>
      </c>
      <c r="EF190">
        <f>DW190+DM190+DC190+CS190+CI190+BY190+BO190+BE190+AT190+AJ190+Z190+P190</f>
        <v>36000</v>
      </c>
      <c r="EG190">
        <f>DX190+DN190+DD190+CT190+CJ190+BZ190+BP190+BF190+AU190+AK190+AA190+Q190</f>
        <v>0</v>
      </c>
      <c r="EH190">
        <v>0</v>
      </c>
      <c r="EI190">
        <v>0</v>
      </c>
      <c r="EJ190">
        <v>0</v>
      </c>
      <c r="EK190">
        <v>0</v>
      </c>
      <c r="EL190">
        <v>0</v>
      </c>
      <c r="EM190">
        <v>0</v>
      </c>
      <c r="EN190">
        <v>0</v>
      </c>
      <c r="EO190">
        <v>0</v>
      </c>
      <c r="EP190">
        <v>0</v>
      </c>
      <c r="EQ190">
        <v>0</v>
      </c>
      <c r="ER190">
        <f>SUM(EF190:EQ190)</f>
        <v>36000</v>
      </c>
      <c r="ES190">
        <f>IF(ER190&gt;=150000,150000,ER190)</f>
        <v>36000</v>
      </c>
      <c r="ET190">
        <f>EE190-ES190</f>
        <v>456060</v>
      </c>
      <c r="EU190">
        <v>0</v>
      </c>
      <c r="EV190">
        <v>0</v>
      </c>
      <c r="EW190">
        <v>0</v>
      </c>
      <c r="EX190">
        <v>0</v>
      </c>
      <c r="EY190">
        <v>0</v>
      </c>
      <c r="EZ190">
        <v>0</v>
      </c>
      <c r="FA190">
        <v>0</v>
      </c>
      <c r="FB190">
        <f>SUM(EU190:FA190)+(IF(F190="YES",50000,0))</f>
        <v>0</v>
      </c>
      <c r="FC190">
        <f>ET190-FB190</f>
        <v>456060</v>
      </c>
      <c r="FD190">
        <f>ROUND(IF(FC190&gt;0,IF(FC190&gt;500000,12500,(FC190-250000)*0.05),0),0)</f>
        <v>10303</v>
      </c>
      <c r="FE190">
        <f>IF(ROUND(IF(FC190&gt;0,IF(FC190&gt;1000000,25000,(FC190-500000)*0.2),0),0)&lt;0,0,ROUND(IF(FC190&gt;0,IF(FC190&gt;1000000,25000,(FC190-500000)*0.2),0),0))</f>
        <v>0</v>
      </c>
      <c r="FF190">
        <f>FD190+FE190</f>
        <v>10303</v>
      </c>
      <c r="FG190">
        <f>IF(FF190&lt;12500,0,FF190)</f>
        <v>0</v>
      </c>
      <c r="FH190">
        <f>FG190*0.04</f>
        <v>0</v>
      </c>
      <c r="FI190">
        <f>ROUND(FH190+FG190,0)</f>
        <v>0</v>
      </c>
      <c r="FJ190">
        <v>0</v>
      </c>
      <c r="FK190">
        <f>FI190-FJ190</f>
        <v>0</v>
      </c>
      <c r="FL190" t="b">
        <f>IF(EA190&gt;500000,TRUE,FALSE)</f>
        <v>1</v>
      </c>
      <c r="FM190">
        <f ca="1">IF(FL190,RANDBETWEEN(500,1000),RANDBETWEEN(1000,3000))</f>
        <v>522</v>
      </c>
      <c r="FN190">
        <f ca="1">EA190+FM190</f>
        <v>544982</v>
      </c>
      <c r="FO190">
        <f>IF(EA190&gt;0,75000,0)</f>
        <v>75000</v>
      </c>
      <c r="FP190">
        <f ca="1">FN190-FO190</f>
        <v>469982</v>
      </c>
      <c r="FQ190">
        <f ca="1">IF(FP190&gt;2400000,FP190-2400000,0)</f>
        <v>0</v>
      </c>
      <c r="FR190">
        <f ca="1">FQ190*0.3</f>
        <v>0</v>
      </c>
      <c r="FS190">
        <f ca="1">IF(FP190&gt;2000000,FP190-2000000,0)</f>
        <v>0</v>
      </c>
      <c r="FT190">
        <f ca="1">FS190*0.25</f>
        <v>0</v>
      </c>
      <c r="FU190">
        <f ca="1">IF(FP190&gt;1600000,FP190-1600000-FQ190,0)</f>
        <v>0</v>
      </c>
      <c r="FV190">
        <f ca="1">FU190*0.2</f>
        <v>0</v>
      </c>
      <c r="FW190">
        <f ca="1">IF(FP190&gt;1200000,FP190-1200000-IF(F190="YES",50000,0)-FU190,0)</f>
        <v>0</v>
      </c>
      <c r="FX190">
        <f ca="1">FW190*0.15</f>
        <v>0</v>
      </c>
      <c r="FY190">
        <f ca="1">IF(FP190&gt;800000,FP190-800000-FQ190-FU190-FW190,0)</f>
        <v>0</v>
      </c>
      <c r="FZ190">
        <f ca="1">FY190*0.1</f>
        <v>0</v>
      </c>
      <c r="GA190">
        <f ca="1">IF(FP190&gt;400000,FP190-400000-FQ190-FU190-FW190-FY190,0)</f>
        <v>69982</v>
      </c>
      <c r="GB190">
        <f ca="1">GA190*0.05</f>
        <v>3499.1000000000004</v>
      </c>
      <c r="GC190">
        <f ca="1">ROUND(FR190+FT190+FV190+FX190+FZ190+GB190,0)</f>
        <v>3499</v>
      </c>
      <c r="GD190">
        <f ca="1">IF(FP190&gt;1200000,FP190,0)</f>
        <v>0</v>
      </c>
      <c r="GE190">
        <f ca="1">IF(FP190&gt;1200000,GD190-1200000,0)</f>
        <v>0</v>
      </c>
      <c r="GF190">
        <f ca="1">IF(FP190&lt;1200001,MIN(GC190,60000),0)</f>
        <v>3499</v>
      </c>
      <c r="GG190">
        <f ca="1">IF(FP190&gt;1200000,GC190-GE190,0)</f>
        <v>0</v>
      </c>
      <c r="GH190" t="b">
        <f ca="1">IF(GG190&gt;0,TRUE,FALSE)</f>
        <v>0</v>
      </c>
      <c r="GI190">
        <f ca="1">IF(GH190,GG190,0)</f>
        <v>0</v>
      </c>
      <c r="GJ190">
        <f ca="1">GF190+GI190</f>
        <v>3499</v>
      </c>
      <c r="GK190">
        <f ca="1">ROUND(GC190-GJ190,0)</f>
        <v>0</v>
      </c>
      <c r="GL190">
        <f ca="1">GK190*0.04</f>
        <v>0</v>
      </c>
      <c r="GM190">
        <f ca="1">ROUNDUP(GK190+GL190,0)</f>
        <v>0</v>
      </c>
    </row>
    <row r="191" spans="1:195" x14ac:dyDescent="0.25">
      <c r="A191">
        <f>_xlfn.AGGREGATE(3,5,$B$2:B191)</f>
        <v>190</v>
      </c>
      <c r="B191" t="s">
        <v>493</v>
      </c>
      <c r="C191" t="s">
        <v>494</v>
      </c>
      <c r="D191" t="s">
        <v>801</v>
      </c>
      <c r="E191" t="s">
        <v>833</v>
      </c>
      <c r="F191" t="s">
        <v>959</v>
      </c>
      <c r="G191" t="s">
        <v>918</v>
      </c>
      <c r="H191">
        <f>IF(_xlfn.DAYS("31-03-2025",G191)&gt;=180,6800,0)</f>
        <v>6800</v>
      </c>
      <c r="I191">
        <f>_xlfn.XLOOKUP(B191,'[1]march-2025'!$A:$A,'[1]march-2025'!$J:$J,0,0)</f>
        <v>0</v>
      </c>
      <c r="J191">
        <f>_xlfn.XLOOKUP(B191,'[1]march-2025'!$A:$A,'[1]march-2025'!$C:$C,0,0)</f>
        <v>28600</v>
      </c>
      <c r="K191">
        <f>J191*0.14</f>
        <v>4004.0000000000005</v>
      </c>
      <c r="L191">
        <f>J191*0.12</f>
        <v>3432</v>
      </c>
      <c r="M191">
        <f>_xlfn.XLOOKUP(B191,'[1]march-2025'!$A:$A,'[1]march-2025'!$D:$D,0,0)</f>
        <v>0</v>
      </c>
      <c r="N191">
        <f>_xlfn.XLOOKUP(B191,'[1]march-2025'!$A:$A,'[1]march-2025'!$G:$G,0,0)</f>
        <v>0</v>
      </c>
      <c r="O191">
        <f>IF(J191&gt;0,SUM(J191:N191),0)</f>
        <v>36036</v>
      </c>
      <c r="P191">
        <f>_xlfn.XLOOKUP(B191,'[1]march-2025'!$A:$A,'[1]march-2025'!$H:$H,0,0)</f>
        <v>5000</v>
      </c>
      <c r="Q191">
        <f>_xlfn.XLOOKUP(B191,'[1]march-2025'!$A:$A,'[1]march-2025'!$I:$I,0,0)</f>
        <v>0</v>
      </c>
      <c r="R191">
        <f>IF($F191="YES",0,IF(O191&gt;40000,200,IF(O191&gt;25000,150,IF(O191&gt;15000,130,IF(O191&gt;10000,110,0)))))</f>
        <v>150</v>
      </c>
      <c r="S191">
        <f>O191-P191-Q191-R191</f>
        <v>30886</v>
      </c>
      <c r="T191">
        <f>_xlfn.XLOOKUP(B191,'[2]april-2025'!$A:$A,'[2]april-2025'!$C:$C,0,0)</f>
        <v>28600</v>
      </c>
      <c r="U191">
        <f>T191*0.18</f>
        <v>5148</v>
      </c>
      <c r="V191">
        <f>T191*0.12</f>
        <v>3432</v>
      </c>
      <c r="W191">
        <f>_xlfn.XLOOKUP(B191,'[2]april-2025'!$A:$A,'[2]april-2025'!$D:$D,0,0)</f>
        <v>0</v>
      </c>
      <c r="X191">
        <f>_xlfn.XLOOKUP(B191,'[2]april-2025'!$A:$A,'[2]april-2025'!$G:$G,0,0)</f>
        <v>0</v>
      </c>
      <c r="Y191">
        <f>IF(T191&gt;0,SUM(T191:X191),0)</f>
        <v>37180</v>
      </c>
      <c r="Z191">
        <f>_xlfn.XLOOKUP(B191,'[2]april-2025'!$A:$A,'[2]april-2025'!$H:$H,0,0)</f>
        <v>5000</v>
      </c>
      <c r="AA191">
        <f>_xlfn.XLOOKUP(B191,'[2]april-2025'!$A:$A,'[2]april-2025'!$I:$I,0,0)</f>
        <v>0</v>
      </c>
      <c r="AB191">
        <f>IF($F191="YES",0,IF(Y191&gt;40000,200,IF(Y191&gt;25000,150,IF(Y191&gt;15000,130,IF(Y191&gt;10000,110,0)))))</f>
        <v>150</v>
      </c>
      <c r="AC191">
        <f>Y191-Z191-AA191-AB191</f>
        <v>32030</v>
      </c>
      <c r="AD191">
        <f>_xlfn.XLOOKUP(B191,'[3]may-2025'!$A:$A,'[3]may-2025'!$C:$C,0,0)</f>
        <v>28600</v>
      </c>
      <c r="AE191">
        <f>AD191*0.18</f>
        <v>5148</v>
      </c>
      <c r="AF191">
        <f>AD191*0.12</f>
        <v>3432</v>
      </c>
      <c r="AG191">
        <f>_xlfn.XLOOKUP(B191,'[3]may-2025'!$A:$A,'[3]may-2025'!$D:$D,0,0)</f>
        <v>0</v>
      </c>
      <c r="AH191">
        <f>_xlfn.XLOOKUP(B191,'[3]may-2025'!$A:$A,'[3]may-2025'!$G:$G,0,0)</f>
        <v>0</v>
      </c>
      <c r="AI191">
        <f>IF(AD191&gt;0,SUM(AD191:AH191),0)</f>
        <v>37180</v>
      </c>
      <c r="AJ191">
        <f>_xlfn.XLOOKUP(B191,'[3]may-2025'!$A:$A,'[3]may-2025'!$H:$H,0,0)</f>
        <v>5000</v>
      </c>
      <c r="AK191">
        <f>_xlfn.XLOOKUP(B191,'[3]may-2025'!$A:$A,'[3]may-2025'!$I:$I,0,0)</f>
        <v>0</v>
      </c>
      <c r="AL191">
        <f>IF($F191="YES",0,IF(AI191&gt;40000,200,IF(AI191&gt;25000,150,IF(AI191&gt;15000,130,IF(AI191&gt;10000,110,0)))))</f>
        <v>150</v>
      </c>
      <c r="AM191">
        <f>AI191-AJ191-AK191-AL191</f>
        <v>32030</v>
      </c>
      <c r="AN191">
        <f>_xlfn.XLOOKUP(B191,'[4]june-2025'!$A:$A,'[4]june-2025'!$C:$C,0,0)</f>
        <v>28600</v>
      </c>
      <c r="AO191">
        <f>AN191*0.18</f>
        <v>5148</v>
      </c>
      <c r="AP191">
        <f>AN191*0.12</f>
        <v>3432</v>
      </c>
      <c r="AQ191">
        <f>_xlfn.XLOOKUP(B191,'[4]june-2025'!$A:$A,'[4]june-2025'!$D:$D,0,0)</f>
        <v>0</v>
      </c>
      <c r="AR191">
        <f>_xlfn.XLOOKUP(B191,'[4]june-2025'!$A:$A,'[4]june-2025'!$G:$G,0,0)</f>
        <v>0</v>
      </c>
      <c r="AS191">
        <f>IF(AN191&gt;0,SUM(AN191:AR191),0)</f>
        <v>37180</v>
      </c>
      <c r="AT191">
        <f>_xlfn.XLOOKUP(B191,'[4]june-2025'!$A:$A,'[4]june-2025'!$H:$H,0,0)</f>
        <v>5000</v>
      </c>
      <c r="AU191">
        <f>_xlfn.XLOOKUP(B191,'[4]june-2025'!$A:$A,'[4]june-2025'!$I:$I,0,0)</f>
        <v>0</v>
      </c>
      <c r="AV191">
        <f>IF($F191="YES",0,IF(AS191&gt;40000,200,IF(AS191&gt;25000,150,IF(AS191&gt;15000,130,IF(AS191&gt;10000,110,0)))))</f>
        <v>150</v>
      </c>
      <c r="AW191">
        <f>AS191-AT191-AU191-AV191</f>
        <v>32030</v>
      </c>
      <c r="AX191">
        <f>_xlfn.XLOOKUP(B191,'[5]july-2025'!$A:$A,'[5]july-2025'!$C:$C,0,0)</f>
        <v>29500</v>
      </c>
      <c r="AY191">
        <f>AX191*0.18</f>
        <v>5310</v>
      </c>
      <c r="AZ191">
        <v>0</v>
      </c>
      <c r="BA191">
        <f>AX191*0.12</f>
        <v>3540</v>
      </c>
      <c r="BB191">
        <f>_xlfn.XLOOKUP(B191,'[5]july-2025'!$A:$A,'[5]july-2025'!$D:$D,0,0)</f>
        <v>0</v>
      </c>
      <c r="BC191">
        <f>_xlfn.XLOOKUP(B191,'[5]july-2025'!$A:$A,'[5]july-2025'!$G:$G,0,0)</f>
        <v>0</v>
      </c>
      <c r="BD191">
        <f>IF(AX191&gt;0,SUM(AX191:BC191),0)</f>
        <v>38350</v>
      </c>
      <c r="BE191">
        <f>_xlfn.XLOOKUP(B191,'[5]july-2025'!$A:$A,'[5]july-2025'!$H:$H,0,0)</f>
        <v>5000</v>
      </c>
      <c r="BF191">
        <f>_xlfn.XLOOKUP(B191,'[5]july-2025'!$A:$A,'[5]july-2025'!$I:$I,0,0)</f>
        <v>0</v>
      </c>
      <c r="BG191">
        <f>IF($F191="YES",0,IF(BD191&gt;40000,200,IF(BD191&gt;25000,150,IF(BD191&gt;15000,130,IF(BD191&gt;10000,110,0)))))</f>
        <v>150</v>
      </c>
      <c r="BH191">
        <f>BD191-BE191-BF191-BG191</f>
        <v>33200</v>
      </c>
      <c r="BI191">
        <f>_xlfn.XLOOKUP(B191,'[6]august-2025'!$A:$A,'[6]august-2025'!$C:$C,0,0)</f>
        <v>29500</v>
      </c>
      <c r="BJ191">
        <f>BI191*0.18</f>
        <v>5310</v>
      </c>
      <c r="BK191">
        <f>BI191*0.12</f>
        <v>3540</v>
      </c>
      <c r="BL191">
        <f>_xlfn.XLOOKUP(B191,'[6]august-2025'!$A:$A,'[6]august-2025'!$D:$D,0,0)</f>
        <v>0</v>
      </c>
      <c r="BM191">
        <f>_xlfn.XLOOKUP(B191,'[6]august-2025'!$A:$A,'[6]august-2025'!$G:$G,0,0)</f>
        <v>0</v>
      </c>
      <c r="BN191">
        <f>IF(BI191&gt;0,SUM(BI191:BM191),0)</f>
        <v>38350</v>
      </c>
      <c r="BO191">
        <f>_xlfn.XLOOKUP(B191,'[6]august-2025'!$A:$A,'[6]august-2025'!$H:$H,0,0)</f>
        <v>5000</v>
      </c>
      <c r="BP191">
        <f>_xlfn.XLOOKUP(B191,'[6]august-2025'!$A:$A,'[6]august-2025'!$I:$I,0,0)</f>
        <v>0</v>
      </c>
      <c r="BQ191">
        <f>IF($F191="YES",0,IF(BN191&gt;40000,200,IF(BN191&gt;25000,150,IF(BN191&gt;15000,130,IF(BN191&gt;10000,110,0)))))</f>
        <v>150</v>
      </c>
      <c r="BR191">
        <f>BN191-BO191-BP191-BQ191</f>
        <v>33200</v>
      </c>
      <c r="BS191">
        <f>_xlfn.XLOOKUP(B191,'[7]september-2025'!$A:$A,'[7]september-2025'!$C:$C,0,0)</f>
        <v>29500</v>
      </c>
      <c r="BT191">
        <f>BS191*0.18</f>
        <v>5310</v>
      </c>
      <c r="BU191">
        <f>BS191*0.12</f>
        <v>3540</v>
      </c>
      <c r="BV191">
        <f>_xlfn.XLOOKUP(B191,'[7]september-2025'!$A:$A,'[7]september-2025'!$D:$D,0,0)</f>
        <v>0</v>
      </c>
      <c r="BW191">
        <f>_xlfn.XLOOKUP(B191,'[7]september-2025'!$A:$A,'[7]september-2025'!$G:$G,0,0)</f>
        <v>0</v>
      </c>
      <c r="BX191">
        <f>IF(BS191&gt;0,SUM(BS191:BW191),0)</f>
        <v>38350</v>
      </c>
      <c r="BY191">
        <f>_xlfn.XLOOKUP(B191,'[7]september-2025'!$A:$A,'[7]september-2025'!$H:$H,0,0)</f>
        <v>5000</v>
      </c>
      <c r="BZ191">
        <f>_xlfn.XLOOKUP(B191,'[7]september-2025'!$A:$A,'[7]september-2025'!$I:$I,0,0)</f>
        <v>0</v>
      </c>
      <c r="CA191">
        <f>IF($F191="YES",0,IF(BX191&gt;40000,200,IF(BX191&gt;25000,150,IF(BX191&gt;15000,130,IF(BX191&gt;10000,110,0)))))</f>
        <v>150</v>
      </c>
      <c r="CB191">
        <f>BX191-BY191-BZ191-CA191</f>
        <v>33200</v>
      </c>
      <c r="CC191">
        <f>_xlfn.XLOOKUP(B191,'[8]october-2025'!$A:$A,'[8]october-2025'!$C:$C,0,0)</f>
        <v>29500</v>
      </c>
      <c r="CD191">
        <f>CC191*0.18</f>
        <v>5310</v>
      </c>
      <c r="CE191">
        <f>CC191*0.12</f>
        <v>3540</v>
      </c>
      <c r="CF191">
        <f>_xlfn.XLOOKUP(B191,'[8]october-2025'!$A:$A,'[8]october-2025'!$D:$D,0,0)</f>
        <v>0</v>
      </c>
      <c r="CG191">
        <f>_xlfn.XLOOKUP(B191,'[8]october-2025'!$A:$A,'[8]october-2025'!$G:$G,0,0)</f>
        <v>0</v>
      </c>
      <c r="CH191">
        <f>IF(CC191&gt;0,SUM(CC191:CG191),0)</f>
        <v>38350</v>
      </c>
      <c r="CI191">
        <f>_xlfn.XLOOKUP(B191,'[8]october-2025'!$A:$A,'[8]october-2025'!$H:$H,0,0)</f>
        <v>5000</v>
      </c>
      <c r="CJ191">
        <f>_xlfn.XLOOKUP(B191,'[8]october-2025'!$A:$A,'[8]october-2025'!$I:$I,0,0)</f>
        <v>0</v>
      </c>
      <c r="CK191">
        <f>IF($F191="YES",0,IF(CH191&gt;40000,200,IF(CH191&gt;25000,150,IF(CH191&gt;15000,130,IF(CH191&gt;10000,110,0)))))</f>
        <v>150</v>
      </c>
      <c r="CL191">
        <f>CH191-CI191-CJ191-CK191</f>
        <v>33200</v>
      </c>
      <c r="CM191">
        <f>_xlfn.XLOOKUP(B191,'[9]november-2025'!$A:$A,'[9]november-2025'!$C:$C,0,0)</f>
        <v>29500</v>
      </c>
      <c r="CN191">
        <f>CM191*0.18</f>
        <v>5310</v>
      </c>
      <c r="CO191">
        <f>CM191*0.12</f>
        <v>3540</v>
      </c>
      <c r="CP191">
        <f>_xlfn.XLOOKUP(B191,'[9]november-2025'!$A:$A,'[9]november-2025'!$D:$D,0,0)</f>
        <v>0</v>
      </c>
      <c r="CQ191">
        <f>_xlfn.XLOOKUP(B191,'[9]november-2025'!$A:$A,'[9]november-2025'!$G:$G,0,0)</f>
        <v>0</v>
      </c>
      <c r="CR191">
        <f>IF(CM191&gt;0,SUM(CM191:CQ191),0)</f>
        <v>38350</v>
      </c>
      <c r="CS191">
        <f>_xlfn.XLOOKUP(B191,'[9]november-2025'!$A:$A,'[9]november-2025'!$H:$H,0,0)</f>
        <v>5000</v>
      </c>
      <c r="CT191">
        <f>_xlfn.XLOOKUP(B191,'[9]november-2025'!$A:$A,'[9]november-2025'!$I:$I,0,0)</f>
        <v>0</v>
      </c>
      <c r="CU191">
        <f>IF($F191="YES",0,IF(CR191&gt;40000,200,IF(CR191&gt;25000,150,IF(CR191&gt;15000,130,IF(CR191&gt;10000,110,0)))))</f>
        <v>150</v>
      </c>
      <c r="CV191">
        <f>CR191-CS191-CT191-CU191</f>
        <v>33200</v>
      </c>
      <c r="CW191">
        <f>_xlfn.XLOOKUP(B191,'[10]december-2025'!$A:$A,'[10]december-2025'!$C:$C,0,0)</f>
        <v>29500</v>
      </c>
      <c r="CX191">
        <f>ROUND(CW191*0.18,0)</f>
        <v>5310</v>
      </c>
      <c r="CY191">
        <f>ROUND(CW191*0.12,0)</f>
        <v>3540</v>
      </c>
      <c r="CZ191">
        <f>_xlfn.XLOOKUP(B191,'[10]december-2025'!$A:$A,'[10]december-2025'!$D:$D,0,0)</f>
        <v>0</v>
      </c>
      <c r="DA191">
        <f>_xlfn.XLOOKUP(B191,'[10]december-2025'!$A:$A,'[10]december-2025'!$G:$G,0,0)</f>
        <v>0</v>
      </c>
      <c r="DB191">
        <f>IF(CW191&gt;0,SUM(CW191:DA191),0)</f>
        <v>38350</v>
      </c>
      <c r="DC191">
        <f>_xlfn.XLOOKUP(B191,'[10]december-2025'!$A:$A,'[10]december-2025'!$H:$H,0,0)</f>
        <v>5000</v>
      </c>
      <c r="DD191">
        <f>_xlfn.XLOOKUP(B191,'[10]december-2025'!$A:$A,'[10]december-2025'!$I:$I,0,0)</f>
        <v>0</v>
      </c>
      <c r="DE191">
        <f>IF($F191="YES",0,IF(DB191&gt;40000,200,IF(DB191&gt;25000,150,IF(DB191&gt;15000,130,IF(DB191&gt;10000,110,0)))))</f>
        <v>150</v>
      </c>
      <c r="DF191">
        <f>DB191-DC191-DD191-DE191</f>
        <v>33200</v>
      </c>
      <c r="DG191">
        <f>_xlfn.XLOOKUP(B191,'[11]january-2026'!$A:$A,'[11]january-2026'!$C:$C,0,0)</f>
        <v>29500</v>
      </c>
      <c r="DH191">
        <f>DG191*0.18</f>
        <v>5310</v>
      </c>
      <c r="DI191">
        <f>DG191*0.12</f>
        <v>3540</v>
      </c>
      <c r="DJ191">
        <f>_xlfn.XLOOKUP(B191,'[11]january-2026'!$A:$A,'[11]january-2026'!$D:$D,0,0)</f>
        <v>0</v>
      </c>
      <c r="DK191">
        <f>_xlfn.XLOOKUP(B191,'[11]january-2026'!$A:$A,'[11]january-2026'!$G:$G,0,0)</f>
        <v>0</v>
      </c>
      <c r="DL191">
        <f>IF(DG191&gt;0,SUM(DG191:DK191),0)</f>
        <v>38350</v>
      </c>
      <c r="DM191">
        <f>_xlfn.XLOOKUP(B191,'[11]january-2026'!$A:$A,'[11]january-2026'!$H:$H,0,0)</f>
        <v>5000</v>
      </c>
      <c r="DN191">
        <f>_xlfn.XLOOKUP(B191,'[11]january-2026'!$A:$A,'[11]january-2026'!$I:$I,0,0)</f>
        <v>0</v>
      </c>
      <c r="DO191">
        <f>IF($F191="YES",0,IF(DL191&gt;40000,200,IF(DL191&gt;25000,150,IF(DL191&gt;15000,130,IF(DL191&gt;10000,110,0)))))</f>
        <v>150</v>
      </c>
      <c r="DP191">
        <f>DL191-DM191-DN191-DO191</f>
        <v>33200</v>
      </c>
      <c r="DQ191">
        <f>_xlfn.XLOOKUP(B191,'[12]february-2026'!$A:$A,'[12]february-2026'!$C:$C,0,0)</f>
        <v>29500</v>
      </c>
      <c r="DR191">
        <f>DQ191*0.18</f>
        <v>5310</v>
      </c>
      <c r="DS191">
        <f>DQ191*0.12</f>
        <v>3540</v>
      </c>
      <c r="DT191">
        <f>_xlfn.XLOOKUP(B191,'[12]february-2026'!$A:$A,'[12]february-2026'!$D:$D,0,0)</f>
        <v>0</v>
      </c>
      <c r="DU191">
        <f>_xlfn.XLOOKUP(B191,'[12]february-2026'!$A:$A,'[12]february-2026'!$G:$G,0,0)</f>
        <v>0</v>
      </c>
      <c r="DV191">
        <f>IF(DQ191&gt;0,SUM(DQ191:DU191),0)</f>
        <v>38350</v>
      </c>
      <c r="DW191">
        <f>_xlfn.XLOOKUP(B191,'[12]february-2026'!$A:$A,'[12]february-2026'!$H:$H,0,0)</f>
        <v>5000</v>
      </c>
      <c r="DX191">
        <f>_xlfn.XLOOKUP(B191,'[12]february-2026'!$A:$A,'[12]february-2026'!$I:$I,0,0)</f>
        <v>0</v>
      </c>
      <c r="DY191">
        <f>IF($F191="YES",0,IF(DV191&gt;40000,200,IF(DV191&gt;25000,150,IF(DV191&gt;15000,130,IF(DV191&gt;10000,110,0)))))</f>
        <v>150</v>
      </c>
      <c r="DZ191">
        <f>DV191-DW191-DX191-DY191</f>
        <v>33200</v>
      </c>
      <c r="EA191">
        <f>DV191+DL191+DB191+CR191+CH191+BX191+BN191+BD191+AS191+AI191+Y191+O191+H191+I191</f>
        <v>461176</v>
      </c>
      <c r="EB191">
        <f>DY191+DO191+DE191+CU191+CK191+CA191+BQ191+BG191+AV191+AL191+AB191+R191</f>
        <v>1800</v>
      </c>
      <c r="EC191">
        <f>IF(EA191&gt;0,50000,0)</f>
        <v>50000</v>
      </c>
      <c r="ED191">
        <v>0</v>
      </c>
      <c r="EE191">
        <f>EA191-EB191-EC191</f>
        <v>409376</v>
      </c>
      <c r="EF191">
        <f>DW191+DM191+DC191+CS191+CI191+BY191+BO191+BE191+AT191+AJ191+Z191+P191</f>
        <v>60000</v>
      </c>
      <c r="EG191">
        <f>DX191+DN191+DD191+CT191+CJ191+BZ191+BP191+BF191+AU191+AK191+AA191+Q191</f>
        <v>0</v>
      </c>
      <c r="EH191">
        <v>0</v>
      </c>
      <c r="EI191">
        <v>0</v>
      </c>
      <c r="EJ191">
        <v>0</v>
      </c>
      <c r="EK191">
        <v>0</v>
      </c>
      <c r="EL191">
        <v>0</v>
      </c>
      <c r="EM191">
        <v>0</v>
      </c>
      <c r="EN191">
        <v>0</v>
      </c>
      <c r="EO191">
        <v>0</v>
      </c>
      <c r="EP191">
        <v>0</v>
      </c>
      <c r="EQ191">
        <v>0</v>
      </c>
      <c r="ER191">
        <f>SUM(EF191:EQ191)</f>
        <v>60000</v>
      </c>
      <c r="ES191">
        <f>IF(ER191&gt;=150000,150000,ER191)</f>
        <v>60000</v>
      </c>
      <c r="ET191">
        <f>EE191-ES191</f>
        <v>349376</v>
      </c>
      <c r="EU191">
        <v>0</v>
      </c>
      <c r="EV191">
        <v>0</v>
      </c>
      <c r="EW191">
        <v>0</v>
      </c>
      <c r="EX191">
        <v>0</v>
      </c>
      <c r="EY191">
        <v>0</v>
      </c>
      <c r="EZ191">
        <v>0</v>
      </c>
      <c r="FA191">
        <v>0</v>
      </c>
      <c r="FB191">
        <f>SUM(EU191:FA191)+(IF(F191="YES",50000,0))</f>
        <v>0</v>
      </c>
      <c r="FC191">
        <f>ET191-FB191</f>
        <v>349376</v>
      </c>
      <c r="FD191">
        <f>ROUND(IF(FC191&gt;0,IF(FC191&gt;500000,12500,(FC191-250000)*0.05),0),0)</f>
        <v>4969</v>
      </c>
      <c r="FE191">
        <f>IF(ROUND(IF(FC191&gt;0,IF(FC191&gt;1000000,25000,(FC191-500000)*0.2),0),0)&lt;0,0,ROUND(IF(FC191&gt;0,IF(FC191&gt;1000000,25000,(FC191-500000)*0.2),0),0))</f>
        <v>0</v>
      </c>
      <c r="FF191">
        <f>FD191+FE191</f>
        <v>4969</v>
      </c>
      <c r="FG191">
        <f>IF(FF191&lt;12500,0,FF191)</f>
        <v>0</v>
      </c>
      <c r="FH191">
        <f>FG191*0.04</f>
        <v>0</v>
      </c>
      <c r="FI191">
        <f>ROUND(FH191+FG191,0)</f>
        <v>0</v>
      </c>
      <c r="FJ191">
        <v>0</v>
      </c>
      <c r="FK191">
        <f>FI191-FJ191</f>
        <v>0</v>
      </c>
      <c r="FL191" t="b">
        <f>IF(EA191&gt;500000,TRUE,FALSE)</f>
        <v>0</v>
      </c>
      <c r="FM191">
        <f ca="1">IF(FL191,RANDBETWEEN(500,1000),RANDBETWEEN(1000,3000))</f>
        <v>1631</v>
      </c>
      <c r="FN191">
        <f ca="1">EA191+FM191</f>
        <v>462807</v>
      </c>
      <c r="FO191">
        <f>IF(EA191&gt;0,75000,0)</f>
        <v>75000</v>
      </c>
      <c r="FP191">
        <f ca="1">FN191-FO191</f>
        <v>387807</v>
      </c>
      <c r="FQ191">
        <f ca="1">IF(FP191&gt;2400000,FP191-2400000,0)</f>
        <v>0</v>
      </c>
      <c r="FR191">
        <f ca="1">FQ191*0.3</f>
        <v>0</v>
      </c>
      <c r="FS191">
        <f ca="1">IF(FP191&gt;2000000,FP191-2000000,0)</f>
        <v>0</v>
      </c>
      <c r="FT191">
        <f ca="1">FS191*0.25</f>
        <v>0</v>
      </c>
      <c r="FU191">
        <f ca="1">IF(FP191&gt;1600000,FP191-1600000-FQ191,0)</f>
        <v>0</v>
      </c>
      <c r="FV191">
        <f ca="1">FU191*0.2</f>
        <v>0</v>
      </c>
      <c r="FW191">
        <f ca="1">IF(FP191&gt;1200000,FP191-1200000-IF(F191="YES",50000,0)-FU191,0)</f>
        <v>0</v>
      </c>
      <c r="FX191">
        <f ca="1">FW191*0.15</f>
        <v>0</v>
      </c>
      <c r="FY191">
        <f ca="1">IF(FP191&gt;800000,FP191-800000-FQ191-FU191-FW191,0)</f>
        <v>0</v>
      </c>
      <c r="FZ191">
        <f ca="1">FY191*0.1</f>
        <v>0</v>
      </c>
      <c r="GA191">
        <f ca="1">IF(FP191&gt;400000,FP191-400000-FQ191-FU191-FW191-FY191,0)</f>
        <v>0</v>
      </c>
      <c r="GB191">
        <f ca="1">GA191*0.05</f>
        <v>0</v>
      </c>
      <c r="GC191">
        <f ca="1">ROUND(FR191+FT191+FV191+FX191+FZ191+GB191,0)</f>
        <v>0</v>
      </c>
      <c r="GD191">
        <f ca="1">IF(FP191&gt;1200000,FP191,0)</f>
        <v>0</v>
      </c>
      <c r="GE191">
        <f ca="1">IF(FP191&gt;1200000,GD191-1200000,0)</f>
        <v>0</v>
      </c>
      <c r="GF191">
        <f ca="1">IF(FP191&lt;1200001,MIN(GC191,60000),0)</f>
        <v>0</v>
      </c>
      <c r="GG191">
        <f ca="1">IF(FP191&gt;1200000,GC191-GE191,0)</f>
        <v>0</v>
      </c>
      <c r="GH191" t="b">
        <f ca="1">IF(GG191&gt;0,TRUE,FALSE)</f>
        <v>0</v>
      </c>
      <c r="GI191">
        <f ca="1">IF(GH191,GG191,0)</f>
        <v>0</v>
      </c>
      <c r="GJ191">
        <f ca="1">GF191+GI191</f>
        <v>0</v>
      </c>
      <c r="GK191">
        <f ca="1">ROUND(GC191-GJ191,0)</f>
        <v>0</v>
      </c>
      <c r="GL191">
        <f ca="1">GK191*0.04</f>
        <v>0</v>
      </c>
      <c r="GM191">
        <f ca="1">ROUNDUP(GK191+GL191,0)</f>
        <v>0</v>
      </c>
    </row>
    <row r="192" spans="1:195" x14ac:dyDescent="0.25">
      <c r="A192">
        <f>_xlfn.AGGREGATE(3,5,$B$2:B192)</f>
        <v>191</v>
      </c>
      <c r="B192" t="s">
        <v>495</v>
      </c>
      <c r="C192" t="s">
        <v>496</v>
      </c>
      <c r="D192" t="s">
        <v>802</v>
      </c>
      <c r="E192" t="s">
        <v>833</v>
      </c>
      <c r="F192" t="s">
        <v>960</v>
      </c>
      <c r="G192" t="s">
        <v>938</v>
      </c>
      <c r="H192">
        <f>IF(_xlfn.DAYS("31-03-2025",G192)&gt;=180,6800,0)</f>
        <v>6800</v>
      </c>
      <c r="I192">
        <f>_xlfn.XLOOKUP(B192,'[1]march-2025'!$A:$A,'[1]march-2025'!$J:$J,0,0)</f>
        <v>0</v>
      </c>
      <c r="J192">
        <f>_xlfn.XLOOKUP(B192,'[1]march-2025'!$A:$A,'[1]march-2025'!$C:$C,0,0)</f>
        <v>58800</v>
      </c>
      <c r="K192">
        <f>J192*0.14</f>
        <v>8232</v>
      </c>
      <c r="L192">
        <f>J192*0.12</f>
        <v>7056</v>
      </c>
      <c r="M192">
        <f>_xlfn.XLOOKUP(B192,'[1]march-2025'!$A:$A,'[1]march-2025'!$D:$D,0,0)</f>
        <v>400</v>
      </c>
      <c r="N192">
        <f>_xlfn.XLOOKUP(B192,'[1]march-2025'!$A:$A,'[1]march-2025'!$G:$G,0,0)</f>
        <v>500</v>
      </c>
      <c r="O192">
        <f>IF(J192&gt;0,SUM(J192:N192),0)</f>
        <v>74988</v>
      </c>
      <c r="P192">
        <f>_xlfn.XLOOKUP(B192,'[1]march-2025'!$A:$A,'[1]march-2025'!$H:$H,0,0)</f>
        <v>13000</v>
      </c>
      <c r="Q192">
        <f>_xlfn.XLOOKUP(B192,'[1]march-2025'!$A:$A,'[1]march-2025'!$I:$I,0,0)</f>
        <v>0</v>
      </c>
      <c r="R192">
        <f>IF($F192="YES",0,IF(O192&gt;40000,200,IF(O192&gt;25000,150,IF(O192&gt;15000,130,IF(O192&gt;10000,110,0)))))</f>
        <v>0</v>
      </c>
      <c r="S192">
        <f>O192-P192-Q192-R192</f>
        <v>61988</v>
      </c>
      <c r="T192">
        <f>_xlfn.XLOOKUP(B192,'[2]april-2025'!$A:$A,'[2]april-2025'!$C:$C,0,0)</f>
        <v>58800</v>
      </c>
      <c r="U192">
        <f>T192*0.18</f>
        <v>10584</v>
      </c>
      <c r="V192">
        <f>T192*0.12</f>
        <v>7056</v>
      </c>
      <c r="W192">
        <f>_xlfn.XLOOKUP(B192,'[2]april-2025'!$A:$A,'[2]april-2025'!$D:$D,0,0)</f>
        <v>400</v>
      </c>
      <c r="X192">
        <f>_xlfn.XLOOKUP(B192,'[2]april-2025'!$A:$A,'[2]april-2025'!$G:$G,0,0)</f>
        <v>500</v>
      </c>
      <c r="Y192">
        <f>IF(T192&gt;0,SUM(T192:X192),0)</f>
        <v>77340</v>
      </c>
      <c r="Z192">
        <f>_xlfn.XLOOKUP(B192,'[2]april-2025'!$A:$A,'[2]april-2025'!$H:$H,0,0)</f>
        <v>13000</v>
      </c>
      <c r="AA192">
        <f>_xlfn.XLOOKUP(B192,'[2]april-2025'!$A:$A,'[2]april-2025'!$I:$I,0,0)</f>
        <v>0</v>
      </c>
      <c r="AB192">
        <f>IF($F192="YES",0,IF(Y192&gt;40000,200,IF(Y192&gt;25000,150,IF(Y192&gt;15000,130,IF(Y192&gt;10000,110,0)))))</f>
        <v>0</v>
      </c>
      <c r="AC192">
        <f>Y192-Z192-AA192-AB192</f>
        <v>64340</v>
      </c>
      <c r="AD192">
        <f>_xlfn.XLOOKUP(B192,'[3]may-2025'!$A:$A,'[3]may-2025'!$C:$C,0,0)</f>
        <v>58800</v>
      </c>
      <c r="AE192">
        <f>AD192*0.18</f>
        <v>10584</v>
      </c>
      <c r="AF192">
        <f>AD192*0.12</f>
        <v>7056</v>
      </c>
      <c r="AG192">
        <f>_xlfn.XLOOKUP(B192,'[3]may-2025'!$A:$A,'[3]may-2025'!$D:$D,0,0)</f>
        <v>400</v>
      </c>
      <c r="AH192">
        <f>_xlfn.XLOOKUP(B192,'[3]may-2025'!$A:$A,'[3]may-2025'!$G:$G,0,0)</f>
        <v>500</v>
      </c>
      <c r="AI192">
        <f>IF(AD192&gt;0,SUM(AD192:AH192),0)</f>
        <v>77340</v>
      </c>
      <c r="AJ192">
        <f>_xlfn.XLOOKUP(B192,'[3]may-2025'!$A:$A,'[3]may-2025'!$H:$H,0,0)</f>
        <v>13000</v>
      </c>
      <c r="AK192">
        <f>_xlfn.XLOOKUP(B192,'[3]may-2025'!$A:$A,'[3]may-2025'!$I:$I,0,0)</f>
        <v>0</v>
      </c>
      <c r="AL192">
        <f>IF($F192="YES",0,IF(AI192&gt;40000,200,IF(AI192&gt;25000,150,IF(AI192&gt;15000,130,IF(AI192&gt;10000,110,0)))))</f>
        <v>0</v>
      </c>
      <c r="AM192">
        <f>AI192-AJ192-AK192-AL192</f>
        <v>64340</v>
      </c>
      <c r="AN192">
        <f>_xlfn.XLOOKUP(B192,'[4]june-2025'!$A:$A,'[4]june-2025'!$C:$C,0,0)</f>
        <v>58800</v>
      </c>
      <c r="AO192">
        <f>AN192*0.18</f>
        <v>10584</v>
      </c>
      <c r="AP192">
        <f>AN192*0.12</f>
        <v>7056</v>
      </c>
      <c r="AQ192">
        <f>_xlfn.XLOOKUP(B192,'[4]june-2025'!$A:$A,'[4]june-2025'!$D:$D,0,0)</f>
        <v>400</v>
      </c>
      <c r="AR192">
        <f>_xlfn.XLOOKUP(B192,'[4]june-2025'!$A:$A,'[4]june-2025'!$G:$G,0,0)</f>
        <v>500</v>
      </c>
      <c r="AS192">
        <f>IF(AN192&gt;0,SUM(AN192:AR192),0)</f>
        <v>77340</v>
      </c>
      <c r="AT192">
        <f>_xlfn.XLOOKUP(B192,'[4]june-2025'!$A:$A,'[4]june-2025'!$H:$H,0,0)</f>
        <v>13000</v>
      </c>
      <c r="AU192">
        <f>_xlfn.XLOOKUP(B192,'[4]june-2025'!$A:$A,'[4]june-2025'!$I:$I,0,0)</f>
        <v>0</v>
      </c>
      <c r="AV192">
        <f>IF($F192="YES",0,IF(AS192&gt;40000,200,IF(AS192&gt;25000,150,IF(AS192&gt;15000,130,IF(AS192&gt;10000,110,0)))))</f>
        <v>0</v>
      </c>
      <c r="AW192">
        <f>AS192-AT192-AU192-AV192</f>
        <v>64340</v>
      </c>
      <c r="AX192">
        <f>_xlfn.XLOOKUP(B192,'[5]july-2025'!$A:$A,'[5]july-2025'!$C:$C,0,0)</f>
        <v>60600</v>
      </c>
      <c r="AY192">
        <f>AX192*0.18</f>
        <v>10908</v>
      </c>
      <c r="AZ192">
        <v>0</v>
      </c>
      <c r="BA192">
        <f>AX192*0.12</f>
        <v>7272</v>
      </c>
      <c r="BB192">
        <f>_xlfn.XLOOKUP(B192,'[5]july-2025'!$A:$A,'[5]july-2025'!$D:$D,0,0)</f>
        <v>400</v>
      </c>
      <c r="BC192">
        <f>_xlfn.XLOOKUP(B192,'[5]july-2025'!$A:$A,'[5]july-2025'!$G:$G,0,0)</f>
        <v>500</v>
      </c>
      <c r="BD192">
        <f>IF(AX192&gt;0,SUM(AX192:BC192),0)</f>
        <v>79680</v>
      </c>
      <c r="BE192">
        <f>_xlfn.XLOOKUP(B192,'[5]july-2025'!$A:$A,'[5]july-2025'!$H:$H,0,0)</f>
        <v>13000</v>
      </c>
      <c r="BF192">
        <f>_xlfn.XLOOKUP(B192,'[5]july-2025'!$A:$A,'[5]july-2025'!$I:$I,0,0)</f>
        <v>0</v>
      </c>
      <c r="BG192">
        <f>IF($F192="YES",0,IF(BD192&gt;40000,200,IF(BD192&gt;25000,150,IF(BD192&gt;15000,130,IF(BD192&gt;10000,110,0)))))</f>
        <v>0</v>
      </c>
      <c r="BH192">
        <f>BD192-BE192-BF192-BG192</f>
        <v>66680</v>
      </c>
      <c r="BI192">
        <f>_xlfn.XLOOKUP(B192,'[6]august-2025'!$A:$A,'[6]august-2025'!$C:$C,0,0)</f>
        <v>60600</v>
      </c>
      <c r="BJ192">
        <f>BI192*0.18</f>
        <v>10908</v>
      </c>
      <c r="BK192">
        <f>BI192*0.12</f>
        <v>7272</v>
      </c>
      <c r="BL192">
        <f>_xlfn.XLOOKUP(B192,'[6]august-2025'!$A:$A,'[6]august-2025'!$D:$D,0,0)</f>
        <v>400</v>
      </c>
      <c r="BM192">
        <f>_xlfn.XLOOKUP(B192,'[6]august-2025'!$A:$A,'[6]august-2025'!$G:$G,0,0)</f>
        <v>500</v>
      </c>
      <c r="BN192">
        <f>IF(BI192&gt;0,SUM(BI192:BM192),0)</f>
        <v>79680</v>
      </c>
      <c r="BO192">
        <f>_xlfn.XLOOKUP(B192,'[6]august-2025'!$A:$A,'[6]august-2025'!$H:$H,0,0)</f>
        <v>13000</v>
      </c>
      <c r="BP192">
        <f>_xlfn.XLOOKUP(B192,'[6]august-2025'!$A:$A,'[6]august-2025'!$I:$I,0,0)</f>
        <v>0</v>
      </c>
      <c r="BQ192">
        <f>IF($F192="YES",0,IF(BN192&gt;40000,200,IF(BN192&gt;25000,150,IF(BN192&gt;15000,130,IF(BN192&gt;10000,110,0)))))</f>
        <v>0</v>
      </c>
      <c r="BR192">
        <f>BN192-BO192-BP192-BQ192</f>
        <v>66680</v>
      </c>
      <c r="BS192">
        <f>_xlfn.XLOOKUP(B192,'[7]september-2025'!$A:$A,'[7]september-2025'!$C:$C,0,0)</f>
        <v>60600</v>
      </c>
      <c r="BT192">
        <f>BS192*0.18</f>
        <v>10908</v>
      </c>
      <c r="BU192">
        <f>BS192*0.12</f>
        <v>7272</v>
      </c>
      <c r="BV192">
        <f>_xlfn.XLOOKUP(B192,'[7]september-2025'!$A:$A,'[7]september-2025'!$D:$D,0,0)</f>
        <v>400</v>
      </c>
      <c r="BW192">
        <f>_xlfn.XLOOKUP(B192,'[7]september-2025'!$A:$A,'[7]september-2025'!$G:$G,0,0)</f>
        <v>500</v>
      </c>
      <c r="BX192">
        <f>IF(BS192&gt;0,SUM(BS192:BW192),0)</f>
        <v>79680</v>
      </c>
      <c r="BY192">
        <f>_xlfn.XLOOKUP(B192,'[7]september-2025'!$A:$A,'[7]september-2025'!$H:$H,0,0)</f>
        <v>13000</v>
      </c>
      <c r="BZ192">
        <f>_xlfn.XLOOKUP(B192,'[7]september-2025'!$A:$A,'[7]september-2025'!$I:$I,0,0)</f>
        <v>0</v>
      </c>
      <c r="CA192">
        <f>IF($F192="YES",0,IF(BX192&gt;40000,200,IF(BX192&gt;25000,150,IF(BX192&gt;15000,130,IF(BX192&gt;10000,110,0)))))</f>
        <v>0</v>
      </c>
      <c r="CB192">
        <f>BX192-BY192-BZ192-CA192</f>
        <v>66680</v>
      </c>
      <c r="CC192">
        <f>_xlfn.XLOOKUP(B192,'[8]october-2025'!$A:$A,'[8]october-2025'!$C:$C,0,0)</f>
        <v>60600</v>
      </c>
      <c r="CD192">
        <f>CC192*0.18</f>
        <v>10908</v>
      </c>
      <c r="CE192">
        <f>CC192*0.12</f>
        <v>7272</v>
      </c>
      <c r="CF192">
        <f>_xlfn.XLOOKUP(B192,'[8]october-2025'!$A:$A,'[8]october-2025'!$D:$D,0,0)</f>
        <v>400</v>
      </c>
      <c r="CG192">
        <f>_xlfn.XLOOKUP(B192,'[8]october-2025'!$A:$A,'[8]october-2025'!$G:$G,0,0)</f>
        <v>500</v>
      </c>
      <c r="CH192">
        <f>IF(CC192&gt;0,SUM(CC192:CG192),0)</f>
        <v>79680</v>
      </c>
      <c r="CI192">
        <f>_xlfn.XLOOKUP(B192,'[8]october-2025'!$A:$A,'[8]october-2025'!$H:$H,0,0)</f>
        <v>13000</v>
      </c>
      <c r="CJ192">
        <f>_xlfn.XLOOKUP(B192,'[8]october-2025'!$A:$A,'[8]october-2025'!$I:$I,0,0)</f>
        <v>0</v>
      </c>
      <c r="CK192">
        <f>IF($F192="YES",0,IF(CH192&gt;40000,200,IF(CH192&gt;25000,150,IF(CH192&gt;15000,130,IF(CH192&gt;10000,110,0)))))</f>
        <v>0</v>
      </c>
      <c r="CL192">
        <f>CH192-CI192-CJ192-CK192</f>
        <v>66680</v>
      </c>
      <c r="CM192">
        <f>_xlfn.XLOOKUP(B192,'[9]november-2025'!$A:$A,'[9]november-2025'!$C:$C,0,0)</f>
        <v>60600</v>
      </c>
      <c r="CN192">
        <f>CM192*0.18</f>
        <v>10908</v>
      </c>
      <c r="CO192">
        <f>CM192*0.12</f>
        <v>7272</v>
      </c>
      <c r="CP192">
        <f>_xlfn.XLOOKUP(B192,'[9]november-2025'!$A:$A,'[9]november-2025'!$D:$D,0,0)</f>
        <v>400</v>
      </c>
      <c r="CQ192">
        <f>_xlfn.XLOOKUP(B192,'[9]november-2025'!$A:$A,'[9]november-2025'!$G:$G,0,0)</f>
        <v>500</v>
      </c>
      <c r="CR192">
        <f>IF(CM192&gt;0,SUM(CM192:CQ192),0)</f>
        <v>79680</v>
      </c>
      <c r="CS192">
        <f>_xlfn.XLOOKUP(B192,'[9]november-2025'!$A:$A,'[9]november-2025'!$H:$H,0,0)</f>
        <v>13000</v>
      </c>
      <c r="CT192">
        <f>_xlfn.XLOOKUP(B192,'[9]november-2025'!$A:$A,'[9]november-2025'!$I:$I,0,0)</f>
        <v>0</v>
      </c>
      <c r="CU192">
        <f>IF($F192="YES",0,IF(CR192&gt;40000,200,IF(CR192&gt;25000,150,IF(CR192&gt;15000,130,IF(CR192&gt;10000,110,0)))))</f>
        <v>0</v>
      </c>
      <c r="CV192">
        <f>CR192-CS192-CT192-CU192</f>
        <v>66680</v>
      </c>
      <c r="CW192">
        <f>_xlfn.XLOOKUP(B192,'[10]december-2025'!$A:$A,'[10]december-2025'!$C:$C,0,0)</f>
        <v>60600</v>
      </c>
      <c r="CX192">
        <f>ROUND(CW192*0.18,0)</f>
        <v>10908</v>
      </c>
      <c r="CY192">
        <f>ROUND(CW192*0.12,0)</f>
        <v>7272</v>
      </c>
      <c r="CZ192">
        <f>_xlfn.XLOOKUP(B192,'[10]december-2025'!$A:$A,'[10]december-2025'!$D:$D,0,0)</f>
        <v>400</v>
      </c>
      <c r="DA192">
        <f>_xlfn.XLOOKUP(B192,'[10]december-2025'!$A:$A,'[10]december-2025'!$G:$G,0,0)</f>
        <v>500</v>
      </c>
      <c r="DB192">
        <f>IF(CW192&gt;0,SUM(CW192:DA192),0)</f>
        <v>79680</v>
      </c>
      <c r="DC192">
        <f>_xlfn.XLOOKUP(B192,'[10]december-2025'!$A:$A,'[10]december-2025'!$H:$H,0,0)</f>
        <v>13000</v>
      </c>
      <c r="DD192">
        <f>_xlfn.XLOOKUP(B192,'[10]december-2025'!$A:$A,'[10]december-2025'!$I:$I,0,0)</f>
        <v>0</v>
      </c>
      <c r="DE192">
        <f>IF($F192="YES",0,IF(DB192&gt;40000,200,IF(DB192&gt;25000,150,IF(DB192&gt;15000,130,IF(DB192&gt;10000,110,0)))))</f>
        <v>0</v>
      </c>
      <c r="DF192">
        <f>DB192-DC192-DD192-DE192</f>
        <v>66680</v>
      </c>
      <c r="DG192">
        <f>_xlfn.XLOOKUP(B192,'[11]january-2026'!$A:$A,'[11]january-2026'!$C:$C,0,0)</f>
        <v>60600</v>
      </c>
      <c r="DH192">
        <f>DG192*0.18</f>
        <v>10908</v>
      </c>
      <c r="DI192">
        <f>DG192*0.12</f>
        <v>7272</v>
      </c>
      <c r="DJ192">
        <f>_xlfn.XLOOKUP(B192,'[11]january-2026'!$A:$A,'[11]january-2026'!$D:$D,0,0)</f>
        <v>400</v>
      </c>
      <c r="DK192">
        <f>_xlfn.XLOOKUP(B192,'[11]january-2026'!$A:$A,'[11]january-2026'!$G:$G,0,0)</f>
        <v>500</v>
      </c>
      <c r="DL192">
        <f>IF(DG192&gt;0,SUM(DG192:DK192),0)</f>
        <v>79680</v>
      </c>
      <c r="DM192">
        <f>_xlfn.XLOOKUP(B192,'[11]january-2026'!$A:$A,'[11]january-2026'!$H:$H,0,0)</f>
        <v>13000</v>
      </c>
      <c r="DN192">
        <f>_xlfn.XLOOKUP(B192,'[11]january-2026'!$A:$A,'[11]january-2026'!$I:$I,0,0)</f>
        <v>0</v>
      </c>
      <c r="DO192">
        <f>IF($F192="YES",0,IF(DL192&gt;40000,200,IF(DL192&gt;25000,150,IF(DL192&gt;15000,130,IF(DL192&gt;10000,110,0)))))</f>
        <v>0</v>
      </c>
      <c r="DP192">
        <f>DL192-DM192-DN192-DO192</f>
        <v>66680</v>
      </c>
      <c r="DQ192">
        <f>_xlfn.XLOOKUP(B192,'[12]february-2026'!$A:$A,'[12]february-2026'!$C:$C,0,0)</f>
        <v>60600</v>
      </c>
      <c r="DR192">
        <f>DQ192*0.18</f>
        <v>10908</v>
      </c>
      <c r="DS192">
        <f>DQ192*0.12</f>
        <v>7272</v>
      </c>
      <c r="DT192">
        <f>_xlfn.XLOOKUP(B192,'[12]february-2026'!$A:$A,'[12]february-2026'!$D:$D,0,0)</f>
        <v>400</v>
      </c>
      <c r="DU192">
        <f>_xlfn.XLOOKUP(B192,'[12]february-2026'!$A:$A,'[12]february-2026'!$G:$G,0,0)</f>
        <v>500</v>
      </c>
      <c r="DV192">
        <f>IF(DQ192&gt;0,SUM(DQ192:DU192),0)</f>
        <v>79680</v>
      </c>
      <c r="DW192">
        <f>_xlfn.XLOOKUP(B192,'[12]february-2026'!$A:$A,'[12]february-2026'!$H:$H,0,0)</f>
        <v>13000</v>
      </c>
      <c r="DX192">
        <f>_xlfn.XLOOKUP(B192,'[12]february-2026'!$A:$A,'[12]february-2026'!$I:$I,0,0)</f>
        <v>0</v>
      </c>
      <c r="DY192">
        <f>IF($F192="YES",0,IF(DV192&gt;40000,200,IF(DV192&gt;25000,150,IF(DV192&gt;15000,130,IF(DV192&gt;10000,110,0)))))</f>
        <v>0</v>
      </c>
      <c r="DZ192">
        <f>DV192-DW192-DX192-DY192</f>
        <v>66680</v>
      </c>
      <c r="EA192">
        <f>DV192+DL192+DB192+CR192+CH192+BX192+BN192+BD192+AS192+AI192+Y192+O192+H192+I192</f>
        <v>951248</v>
      </c>
      <c r="EB192">
        <f>DY192+DO192+DE192+CU192+CK192+CA192+BQ192+BG192+AV192+AL192+AB192+R192</f>
        <v>0</v>
      </c>
      <c r="EC192">
        <f>IF(EA192&gt;0,50000,0)</f>
        <v>50000</v>
      </c>
      <c r="ED192">
        <v>0</v>
      </c>
      <c r="EE192">
        <f>EA192-EB192-EC192</f>
        <v>901248</v>
      </c>
      <c r="EF192">
        <f>DW192+DM192+DC192+CS192+CI192+BY192+BO192+BE192+AT192+AJ192+Z192+P192</f>
        <v>156000</v>
      </c>
      <c r="EG192">
        <f>DX192+DN192+DD192+CT192+CJ192+BZ192+BP192+BF192+AU192+AK192+AA192+Q192</f>
        <v>0</v>
      </c>
      <c r="EH192">
        <v>0</v>
      </c>
      <c r="EI192">
        <v>0</v>
      </c>
      <c r="EJ192">
        <v>0</v>
      </c>
      <c r="EK192">
        <v>0</v>
      </c>
      <c r="EL192">
        <v>0</v>
      </c>
      <c r="EM192">
        <v>0</v>
      </c>
      <c r="EN192">
        <v>0</v>
      </c>
      <c r="EO192">
        <v>0</v>
      </c>
      <c r="EP192">
        <v>0</v>
      </c>
      <c r="EQ192">
        <v>0</v>
      </c>
      <c r="ER192">
        <f>SUM(EF192:EQ192)</f>
        <v>156000</v>
      </c>
      <c r="ES192">
        <f>IF(ER192&gt;=150000,150000,ER192)</f>
        <v>150000</v>
      </c>
      <c r="ET192">
        <f>EE192-ES192</f>
        <v>751248</v>
      </c>
      <c r="EU192">
        <v>0</v>
      </c>
      <c r="EV192">
        <v>0</v>
      </c>
      <c r="EW192">
        <v>0</v>
      </c>
      <c r="EX192">
        <v>0</v>
      </c>
      <c r="EY192">
        <v>0</v>
      </c>
      <c r="EZ192">
        <v>0</v>
      </c>
      <c r="FA192">
        <v>0</v>
      </c>
      <c r="FB192">
        <f>SUM(EU192:FA192)+(IF(F192="YES",50000,0))</f>
        <v>50000</v>
      </c>
      <c r="FC192">
        <f>ET192-FB192</f>
        <v>701248</v>
      </c>
      <c r="FD192">
        <f>ROUND(IF(FC192&gt;0,IF(FC192&gt;500000,12500,(FC192-250000)*0.05),0),0)</f>
        <v>12500</v>
      </c>
      <c r="FE192">
        <f>IF(ROUND(IF(FC192&gt;0,IF(FC192&gt;1000000,25000,(FC192-500000)*0.2),0),0)&lt;0,0,ROUND(IF(FC192&gt;0,IF(FC192&gt;1000000,25000,(FC192-500000)*0.2),0),0))</f>
        <v>40250</v>
      </c>
      <c r="FF192">
        <f>FD192+FE192</f>
        <v>52750</v>
      </c>
      <c r="FG192">
        <f>IF(FF192&lt;12500,0,FF192)</f>
        <v>52750</v>
      </c>
      <c r="FH192">
        <f>FG192*0.04</f>
        <v>2110</v>
      </c>
      <c r="FI192">
        <f>ROUND(FH192+FG192,0)</f>
        <v>54860</v>
      </c>
      <c r="FJ192">
        <v>0</v>
      </c>
      <c r="FK192">
        <f>FI192-FJ192</f>
        <v>54860</v>
      </c>
      <c r="FL192" t="b">
        <f>IF(EA192&gt;500000,TRUE,FALSE)</f>
        <v>1</v>
      </c>
      <c r="FM192">
        <f ca="1">IF(FL192,RANDBETWEEN(500,1000),RANDBETWEEN(1000,3000))</f>
        <v>626</v>
      </c>
      <c r="FN192">
        <f ca="1">EA192+FM192</f>
        <v>951874</v>
      </c>
      <c r="FO192">
        <f>IF(EA192&gt;0,75000,0)</f>
        <v>75000</v>
      </c>
      <c r="FP192">
        <f ca="1">FN192-FO192</f>
        <v>876874</v>
      </c>
      <c r="FQ192">
        <f ca="1">IF(FP192&gt;2400000,FP192-2400000,0)</f>
        <v>0</v>
      </c>
      <c r="FR192">
        <f ca="1">FQ192*0.3</f>
        <v>0</v>
      </c>
      <c r="FS192">
        <f ca="1">IF(FP192&gt;2000000,FP192-2000000,0)</f>
        <v>0</v>
      </c>
      <c r="FT192">
        <f ca="1">FS192*0.25</f>
        <v>0</v>
      </c>
      <c r="FU192">
        <f ca="1">IF(FP192&gt;1600000,FP192-1600000-FQ192,0)</f>
        <v>0</v>
      </c>
      <c r="FV192">
        <f ca="1">FU192*0.2</f>
        <v>0</v>
      </c>
      <c r="FW192">
        <f ca="1">IF(FP192&gt;1200000,FP192-1200000-IF(F192="YES",50000,0)-FU192,0)</f>
        <v>0</v>
      </c>
      <c r="FX192">
        <f ca="1">FW192*0.15</f>
        <v>0</v>
      </c>
      <c r="FY192">
        <f ca="1">IF(FP192&gt;800000,FP192-800000-FQ192-FU192-FW192,0)</f>
        <v>76874</v>
      </c>
      <c r="FZ192">
        <f ca="1">FY192*0.1</f>
        <v>7687.4000000000005</v>
      </c>
      <c r="GA192">
        <f ca="1">IF(FP192&gt;400000,FP192-400000-FQ192-FU192-FW192-FY192,0)</f>
        <v>400000</v>
      </c>
      <c r="GB192">
        <f ca="1">GA192*0.05</f>
        <v>20000</v>
      </c>
      <c r="GC192">
        <f ca="1">ROUND(FR192+FT192+FV192+FX192+FZ192+GB192,0)</f>
        <v>27687</v>
      </c>
      <c r="GD192">
        <f ca="1">IF(FP192&gt;1200000,FP192,0)</f>
        <v>0</v>
      </c>
      <c r="GE192">
        <f ca="1">IF(FP192&gt;1200000,GD192-1200000,0)</f>
        <v>0</v>
      </c>
      <c r="GF192">
        <f ca="1">IF(FP192&lt;1200001,MIN(GC192,60000),0)</f>
        <v>27687</v>
      </c>
      <c r="GG192">
        <f ca="1">IF(FP192&gt;1200000,GC192-GE192,0)</f>
        <v>0</v>
      </c>
      <c r="GH192" t="b">
        <f ca="1">IF(GG192&gt;0,TRUE,FALSE)</f>
        <v>0</v>
      </c>
      <c r="GI192">
        <f ca="1">IF(GH192,GG192,0)</f>
        <v>0</v>
      </c>
      <c r="GJ192">
        <f ca="1">GF192+GI192</f>
        <v>27687</v>
      </c>
      <c r="GK192">
        <f ca="1">ROUND(GC192-GJ192,0)</f>
        <v>0</v>
      </c>
      <c r="GL192">
        <f ca="1">GK192*0.04</f>
        <v>0</v>
      </c>
      <c r="GM192">
        <f ca="1">ROUNDUP(GK192+GL192,0)</f>
        <v>0</v>
      </c>
    </row>
    <row r="193" spans="1:195" x14ac:dyDescent="0.25">
      <c r="A193">
        <f>_xlfn.AGGREGATE(3,5,$B$2:B193)</f>
        <v>192</v>
      </c>
      <c r="B193" t="s">
        <v>497</v>
      </c>
      <c r="C193" t="s">
        <v>498</v>
      </c>
      <c r="D193" t="s">
        <v>802</v>
      </c>
      <c r="E193" t="s">
        <v>833</v>
      </c>
      <c r="F193" t="s">
        <v>959</v>
      </c>
      <c r="G193" t="s">
        <v>895</v>
      </c>
      <c r="H193">
        <f>IF(_xlfn.DAYS("31-03-2025",G193)&gt;=180,6800,0)</f>
        <v>6800</v>
      </c>
      <c r="I193">
        <f>_xlfn.XLOOKUP(B193,'[1]march-2025'!$A:$A,'[1]march-2025'!$J:$J,0,0)</f>
        <v>0</v>
      </c>
      <c r="J193">
        <f>_xlfn.XLOOKUP(B193,'[1]march-2025'!$A:$A,'[1]march-2025'!$C:$C,0,0)</f>
        <v>34500</v>
      </c>
      <c r="K193">
        <f>J193*0.14</f>
        <v>4830.0000000000009</v>
      </c>
      <c r="L193">
        <f>J193*0.12</f>
        <v>4140</v>
      </c>
      <c r="M193">
        <f>_xlfn.XLOOKUP(B193,'[1]march-2025'!$A:$A,'[1]march-2025'!$D:$D,0,0)</f>
        <v>0</v>
      </c>
      <c r="N193">
        <f>_xlfn.XLOOKUP(B193,'[1]march-2025'!$A:$A,'[1]march-2025'!$G:$G,0,0)</f>
        <v>500</v>
      </c>
      <c r="O193">
        <f>IF(J193&gt;0,SUM(J193:N193),0)</f>
        <v>43970</v>
      </c>
      <c r="P193">
        <f>_xlfn.XLOOKUP(B193,'[1]march-2025'!$A:$A,'[1]march-2025'!$H:$H,0,0)</f>
        <v>5500</v>
      </c>
      <c r="Q193">
        <f>_xlfn.XLOOKUP(B193,'[1]march-2025'!$A:$A,'[1]march-2025'!$I:$I,0,0)</f>
        <v>0</v>
      </c>
      <c r="R193">
        <f>IF($F193="YES",0,IF(O193&gt;40000,200,IF(O193&gt;25000,150,IF(O193&gt;15000,130,IF(O193&gt;10000,110,0)))))</f>
        <v>200</v>
      </c>
      <c r="S193">
        <f>O193-P193-Q193-R193</f>
        <v>38270</v>
      </c>
      <c r="T193">
        <f>_xlfn.XLOOKUP(B193,'[2]april-2025'!$A:$A,'[2]april-2025'!$C:$C,0,0)</f>
        <v>34500</v>
      </c>
      <c r="U193">
        <f>T193*0.18</f>
        <v>6210</v>
      </c>
      <c r="V193">
        <f>T193*0.12</f>
        <v>4140</v>
      </c>
      <c r="W193">
        <f>_xlfn.XLOOKUP(B193,'[2]april-2025'!$A:$A,'[2]april-2025'!$D:$D,0,0)</f>
        <v>0</v>
      </c>
      <c r="X193">
        <f>_xlfn.XLOOKUP(B193,'[2]april-2025'!$A:$A,'[2]april-2025'!$G:$G,0,0)</f>
        <v>500</v>
      </c>
      <c r="Y193">
        <f>IF(T193&gt;0,SUM(T193:X193),0)</f>
        <v>45350</v>
      </c>
      <c r="Z193">
        <f>_xlfn.XLOOKUP(B193,'[2]april-2025'!$A:$A,'[2]april-2025'!$H:$H,0,0)</f>
        <v>5500</v>
      </c>
      <c r="AA193">
        <f>_xlfn.XLOOKUP(B193,'[2]april-2025'!$A:$A,'[2]april-2025'!$I:$I,0,0)</f>
        <v>0</v>
      </c>
      <c r="AB193">
        <f>IF($F193="YES",0,IF(Y193&gt;40000,200,IF(Y193&gt;25000,150,IF(Y193&gt;15000,130,IF(Y193&gt;10000,110,0)))))</f>
        <v>200</v>
      </c>
      <c r="AC193">
        <f>Y193-Z193-AA193-AB193</f>
        <v>39650</v>
      </c>
      <c r="AD193">
        <f>_xlfn.XLOOKUP(B193,'[3]may-2025'!$A:$A,'[3]may-2025'!$C:$C,0,0)</f>
        <v>34500</v>
      </c>
      <c r="AE193">
        <f>AD193*0.18</f>
        <v>6210</v>
      </c>
      <c r="AF193">
        <f>AD193*0.12</f>
        <v>4140</v>
      </c>
      <c r="AG193">
        <f>_xlfn.XLOOKUP(B193,'[3]may-2025'!$A:$A,'[3]may-2025'!$D:$D,0,0)</f>
        <v>0</v>
      </c>
      <c r="AH193">
        <f>_xlfn.XLOOKUP(B193,'[3]may-2025'!$A:$A,'[3]may-2025'!$G:$G,0,0)</f>
        <v>500</v>
      </c>
      <c r="AI193">
        <f>IF(AD193&gt;0,SUM(AD193:AH193),0)</f>
        <v>45350</v>
      </c>
      <c r="AJ193">
        <f>_xlfn.XLOOKUP(B193,'[3]may-2025'!$A:$A,'[3]may-2025'!$H:$H,0,0)</f>
        <v>5500</v>
      </c>
      <c r="AK193">
        <f>_xlfn.XLOOKUP(B193,'[3]may-2025'!$A:$A,'[3]may-2025'!$I:$I,0,0)</f>
        <v>0</v>
      </c>
      <c r="AL193">
        <f>IF($F193="YES",0,IF(AI193&gt;40000,200,IF(AI193&gt;25000,150,IF(AI193&gt;15000,130,IF(AI193&gt;10000,110,0)))))</f>
        <v>200</v>
      </c>
      <c r="AM193">
        <f>AI193-AJ193-AK193-AL193</f>
        <v>39650</v>
      </c>
      <c r="AN193">
        <f>_xlfn.XLOOKUP(B193,'[4]june-2025'!$A:$A,'[4]june-2025'!$C:$C,0,0)</f>
        <v>34500</v>
      </c>
      <c r="AO193">
        <f>AN193*0.18</f>
        <v>6210</v>
      </c>
      <c r="AP193">
        <f>AN193*0.12</f>
        <v>4140</v>
      </c>
      <c r="AQ193">
        <f>_xlfn.XLOOKUP(B193,'[4]june-2025'!$A:$A,'[4]june-2025'!$D:$D,0,0)</f>
        <v>0</v>
      </c>
      <c r="AR193">
        <f>_xlfn.XLOOKUP(B193,'[4]june-2025'!$A:$A,'[4]june-2025'!$G:$G,0,0)</f>
        <v>500</v>
      </c>
      <c r="AS193">
        <f>IF(AN193&gt;0,SUM(AN193:AR193),0)</f>
        <v>45350</v>
      </c>
      <c r="AT193">
        <f>_xlfn.XLOOKUP(B193,'[4]june-2025'!$A:$A,'[4]june-2025'!$H:$H,0,0)</f>
        <v>5500</v>
      </c>
      <c r="AU193">
        <f>_xlfn.XLOOKUP(B193,'[4]june-2025'!$A:$A,'[4]june-2025'!$I:$I,0,0)</f>
        <v>0</v>
      </c>
      <c r="AV193">
        <f>IF($F193="YES",0,IF(AS193&gt;40000,200,IF(AS193&gt;25000,150,IF(AS193&gt;15000,130,IF(AS193&gt;10000,110,0)))))</f>
        <v>200</v>
      </c>
      <c r="AW193">
        <f>AS193-AT193-AU193-AV193</f>
        <v>39650</v>
      </c>
      <c r="AX193">
        <f>_xlfn.XLOOKUP(B193,'[5]july-2025'!$A:$A,'[5]july-2025'!$C:$C,0,0)</f>
        <v>35500</v>
      </c>
      <c r="AY193">
        <f>AX193*0.18</f>
        <v>6390</v>
      </c>
      <c r="AZ193">
        <v>0</v>
      </c>
      <c r="BA193">
        <f>AX193*0.12</f>
        <v>4260</v>
      </c>
      <c r="BB193">
        <f>_xlfn.XLOOKUP(B193,'[5]july-2025'!$A:$A,'[5]july-2025'!$D:$D,0,0)</f>
        <v>0</v>
      </c>
      <c r="BC193">
        <f>_xlfn.XLOOKUP(B193,'[5]july-2025'!$A:$A,'[5]july-2025'!$G:$G,0,0)</f>
        <v>500</v>
      </c>
      <c r="BD193">
        <f>IF(AX193&gt;0,SUM(AX193:BC193),0)</f>
        <v>46650</v>
      </c>
      <c r="BE193">
        <f>_xlfn.XLOOKUP(B193,'[5]july-2025'!$A:$A,'[5]july-2025'!$H:$H,0,0)</f>
        <v>5500</v>
      </c>
      <c r="BF193">
        <f>_xlfn.XLOOKUP(B193,'[5]july-2025'!$A:$A,'[5]july-2025'!$I:$I,0,0)</f>
        <v>0</v>
      </c>
      <c r="BG193">
        <f>IF($F193="YES",0,IF(BD193&gt;40000,200,IF(BD193&gt;25000,150,IF(BD193&gt;15000,130,IF(BD193&gt;10000,110,0)))))</f>
        <v>200</v>
      </c>
      <c r="BH193">
        <f>BD193-BE193-BF193-BG193</f>
        <v>40950</v>
      </c>
      <c r="BI193">
        <f>_xlfn.XLOOKUP(B193,'[6]august-2025'!$A:$A,'[6]august-2025'!$C:$C,0,0)</f>
        <v>35500</v>
      </c>
      <c r="BJ193">
        <f>BI193*0.18</f>
        <v>6390</v>
      </c>
      <c r="BK193">
        <f>BI193*0.12</f>
        <v>4260</v>
      </c>
      <c r="BL193">
        <f>_xlfn.XLOOKUP(B193,'[6]august-2025'!$A:$A,'[6]august-2025'!$D:$D,0,0)</f>
        <v>0</v>
      </c>
      <c r="BM193">
        <f>_xlfn.XLOOKUP(B193,'[6]august-2025'!$A:$A,'[6]august-2025'!$G:$G,0,0)</f>
        <v>500</v>
      </c>
      <c r="BN193">
        <f>IF(BI193&gt;0,SUM(BI193:BM193),0)</f>
        <v>46650</v>
      </c>
      <c r="BO193">
        <f>_xlfn.XLOOKUP(B193,'[6]august-2025'!$A:$A,'[6]august-2025'!$H:$H,0,0)</f>
        <v>5500</v>
      </c>
      <c r="BP193">
        <f>_xlfn.XLOOKUP(B193,'[6]august-2025'!$A:$A,'[6]august-2025'!$I:$I,0,0)</f>
        <v>0</v>
      </c>
      <c r="BQ193">
        <f>IF($F193="YES",0,IF(BN193&gt;40000,200,IF(BN193&gt;25000,150,IF(BN193&gt;15000,130,IF(BN193&gt;10000,110,0)))))</f>
        <v>200</v>
      </c>
      <c r="BR193">
        <f>BN193-BO193-BP193-BQ193</f>
        <v>40950</v>
      </c>
      <c r="BS193">
        <f>_xlfn.XLOOKUP(B193,'[7]september-2025'!$A:$A,'[7]september-2025'!$C:$C,0,0)</f>
        <v>35500</v>
      </c>
      <c r="BT193">
        <f>BS193*0.18</f>
        <v>6390</v>
      </c>
      <c r="BU193">
        <f>BS193*0.12</f>
        <v>4260</v>
      </c>
      <c r="BV193">
        <f>_xlfn.XLOOKUP(B193,'[7]september-2025'!$A:$A,'[7]september-2025'!$D:$D,0,0)</f>
        <v>0</v>
      </c>
      <c r="BW193">
        <f>_xlfn.XLOOKUP(B193,'[7]september-2025'!$A:$A,'[7]september-2025'!$G:$G,0,0)</f>
        <v>500</v>
      </c>
      <c r="BX193">
        <f>IF(BS193&gt;0,SUM(BS193:BW193),0)</f>
        <v>46650</v>
      </c>
      <c r="BY193">
        <f>_xlfn.XLOOKUP(B193,'[7]september-2025'!$A:$A,'[7]september-2025'!$H:$H,0,0)</f>
        <v>5500</v>
      </c>
      <c r="BZ193">
        <f>_xlfn.XLOOKUP(B193,'[7]september-2025'!$A:$A,'[7]september-2025'!$I:$I,0,0)</f>
        <v>0</v>
      </c>
      <c r="CA193">
        <f>IF($F193="YES",0,IF(BX193&gt;40000,200,IF(BX193&gt;25000,150,IF(BX193&gt;15000,130,IF(BX193&gt;10000,110,0)))))</f>
        <v>200</v>
      </c>
      <c r="CB193">
        <f>BX193-BY193-BZ193-CA193</f>
        <v>40950</v>
      </c>
      <c r="CC193">
        <f>_xlfn.XLOOKUP(B193,'[8]october-2025'!$A:$A,'[8]october-2025'!$C:$C,0,0)</f>
        <v>35500</v>
      </c>
      <c r="CD193">
        <f>CC193*0.18</f>
        <v>6390</v>
      </c>
      <c r="CE193">
        <f>CC193*0.12</f>
        <v>4260</v>
      </c>
      <c r="CF193">
        <f>_xlfn.XLOOKUP(B193,'[8]october-2025'!$A:$A,'[8]october-2025'!$D:$D,0,0)</f>
        <v>0</v>
      </c>
      <c r="CG193">
        <f>_xlfn.XLOOKUP(B193,'[8]october-2025'!$A:$A,'[8]october-2025'!$G:$G,0,0)</f>
        <v>500</v>
      </c>
      <c r="CH193">
        <f>IF(CC193&gt;0,SUM(CC193:CG193),0)</f>
        <v>46650</v>
      </c>
      <c r="CI193">
        <f>_xlfn.XLOOKUP(B193,'[8]october-2025'!$A:$A,'[8]october-2025'!$H:$H,0,0)</f>
        <v>5500</v>
      </c>
      <c r="CJ193">
        <f>_xlfn.XLOOKUP(B193,'[8]october-2025'!$A:$A,'[8]october-2025'!$I:$I,0,0)</f>
        <v>0</v>
      </c>
      <c r="CK193">
        <f>IF($F193="YES",0,IF(CH193&gt;40000,200,IF(CH193&gt;25000,150,IF(CH193&gt;15000,130,IF(CH193&gt;10000,110,0)))))</f>
        <v>200</v>
      </c>
      <c r="CL193">
        <f>CH193-CI193-CJ193-CK193</f>
        <v>40950</v>
      </c>
      <c r="CM193">
        <f>_xlfn.XLOOKUP(B193,'[9]november-2025'!$A:$A,'[9]november-2025'!$C:$C,0,0)</f>
        <v>35500</v>
      </c>
      <c r="CN193">
        <f>CM193*0.18</f>
        <v>6390</v>
      </c>
      <c r="CO193">
        <f>CM193*0.12</f>
        <v>4260</v>
      </c>
      <c r="CP193">
        <f>_xlfn.XLOOKUP(B193,'[9]november-2025'!$A:$A,'[9]november-2025'!$D:$D,0,0)</f>
        <v>0</v>
      </c>
      <c r="CQ193">
        <f>_xlfn.XLOOKUP(B193,'[9]november-2025'!$A:$A,'[9]november-2025'!$G:$G,0,0)</f>
        <v>500</v>
      </c>
      <c r="CR193">
        <f>IF(CM193&gt;0,SUM(CM193:CQ193),0)</f>
        <v>46650</v>
      </c>
      <c r="CS193">
        <f>_xlfn.XLOOKUP(B193,'[9]november-2025'!$A:$A,'[9]november-2025'!$H:$H,0,0)</f>
        <v>5500</v>
      </c>
      <c r="CT193">
        <f>_xlfn.XLOOKUP(B193,'[9]november-2025'!$A:$A,'[9]november-2025'!$I:$I,0,0)</f>
        <v>0</v>
      </c>
      <c r="CU193">
        <f>IF($F193="YES",0,IF(CR193&gt;40000,200,IF(CR193&gt;25000,150,IF(CR193&gt;15000,130,IF(CR193&gt;10000,110,0)))))</f>
        <v>200</v>
      </c>
      <c r="CV193">
        <f>CR193-CS193-CT193-CU193</f>
        <v>40950</v>
      </c>
      <c r="CW193">
        <f>_xlfn.XLOOKUP(B193,'[10]december-2025'!$A:$A,'[10]december-2025'!$C:$C,0,0)</f>
        <v>35500</v>
      </c>
      <c r="CX193">
        <f>ROUND(CW193*0.18,0)</f>
        <v>6390</v>
      </c>
      <c r="CY193">
        <f>ROUND(CW193*0.12,0)</f>
        <v>4260</v>
      </c>
      <c r="CZ193">
        <f>_xlfn.XLOOKUP(B193,'[10]december-2025'!$A:$A,'[10]december-2025'!$D:$D,0,0)</f>
        <v>0</v>
      </c>
      <c r="DA193">
        <f>_xlfn.XLOOKUP(B193,'[10]december-2025'!$A:$A,'[10]december-2025'!$G:$G,0,0)</f>
        <v>500</v>
      </c>
      <c r="DB193">
        <f>IF(CW193&gt;0,SUM(CW193:DA193),0)</f>
        <v>46650</v>
      </c>
      <c r="DC193">
        <f>_xlfn.XLOOKUP(B193,'[10]december-2025'!$A:$A,'[10]december-2025'!$H:$H,0,0)</f>
        <v>5500</v>
      </c>
      <c r="DD193">
        <f>_xlfn.XLOOKUP(B193,'[10]december-2025'!$A:$A,'[10]december-2025'!$I:$I,0,0)</f>
        <v>0</v>
      </c>
      <c r="DE193">
        <f>IF($F193="YES",0,IF(DB193&gt;40000,200,IF(DB193&gt;25000,150,IF(DB193&gt;15000,130,IF(DB193&gt;10000,110,0)))))</f>
        <v>200</v>
      </c>
      <c r="DF193">
        <f>DB193-DC193-DD193-DE193</f>
        <v>40950</v>
      </c>
      <c r="DG193">
        <f>_xlfn.XLOOKUP(B193,'[11]january-2026'!$A:$A,'[11]january-2026'!$C:$C,0,0)</f>
        <v>35500</v>
      </c>
      <c r="DH193">
        <f>DG193*0.18</f>
        <v>6390</v>
      </c>
      <c r="DI193">
        <f>DG193*0.12</f>
        <v>4260</v>
      </c>
      <c r="DJ193">
        <f>_xlfn.XLOOKUP(B193,'[11]january-2026'!$A:$A,'[11]january-2026'!$D:$D,0,0)</f>
        <v>0</v>
      </c>
      <c r="DK193">
        <f>_xlfn.XLOOKUP(B193,'[11]january-2026'!$A:$A,'[11]january-2026'!$G:$G,0,0)</f>
        <v>500</v>
      </c>
      <c r="DL193">
        <f>IF(DG193&gt;0,SUM(DG193:DK193),0)</f>
        <v>46650</v>
      </c>
      <c r="DM193">
        <f>_xlfn.XLOOKUP(B193,'[11]january-2026'!$A:$A,'[11]january-2026'!$H:$H,0,0)</f>
        <v>5500</v>
      </c>
      <c r="DN193">
        <f>_xlfn.XLOOKUP(B193,'[11]january-2026'!$A:$A,'[11]january-2026'!$I:$I,0,0)</f>
        <v>0</v>
      </c>
      <c r="DO193">
        <f>IF($F193="YES",0,IF(DL193&gt;40000,200,IF(DL193&gt;25000,150,IF(DL193&gt;15000,130,IF(DL193&gt;10000,110,0)))))</f>
        <v>200</v>
      </c>
      <c r="DP193">
        <f>DL193-DM193-DN193-DO193</f>
        <v>40950</v>
      </c>
      <c r="DQ193">
        <f>_xlfn.XLOOKUP(B193,'[12]february-2026'!$A:$A,'[12]february-2026'!$C:$C,0,0)</f>
        <v>35500</v>
      </c>
      <c r="DR193">
        <f>DQ193*0.18</f>
        <v>6390</v>
      </c>
      <c r="DS193">
        <f>DQ193*0.12</f>
        <v>4260</v>
      </c>
      <c r="DT193">
        <f>_xlfn.XLOOKUP(B193,'[12]february-2026'!$A:$A,'[12]february-2026'!$D:$D,0,0)</f>
        <v>0</v>
      </c>
      <c r="DU193">
        <f>_xlfn.XLOOKUP(B193,'[12]february-2026'!$A:$A,'[12]february-2026'!$G:$G,0,0)</f>
        <v>500</v>
      </c>
      <c r="DV193">
        <f>IF(DQ193&gt;0,SUM(DQ193:DU193),0)</f>
        <v>46650</v>
      </c>
      <c r="DW193">
        <f>_xlfn.XLOOKUP(B193,'[12]february-2026'!$A:$A,'[12]february-2026'!$H:$H,0,0)</f>
        <v>5500</v>
      </c>
      <c r="DX193">
        <f>_xlfn.XLOOKUP(B193,'[12]february-2026'!$A:$A,'[12]february-2026'!$I:$I,0,0)</f>
        <v>0</v>
      </c>
      <c r="DY193">
        <f>IF($F193="YES",0,IF(DV193&gt;40000,200,IF(DV193&gt;25000,150,IF(DV193&gt;15000,130,IF(DV193&gt;10000,110,0)))))</f>
        <v>200</v>
      </c>
      <c r="DZ193">
        <f>DV193-DW193-DX193-DY193</f>
        <v>40950</v>
      </c>
      <c r="EA193">
        <f>DV193+DL193+DB193+CR193+CH193+BX193+BN193+BD193+AS193+AI193+Y193+O193+H193+I193</f>
        <v>560020</v>
      </c>
      <c r="EB193">
        <f>DY193+DO193+DE193+CU193+CK193+CA193+BQ193+BG193+AV193+AL193+AB193+R193</f>
        <v>2400</v>
      </c>
      <c r="EC193">
        <f>IF(EA193&gt;0,50000,0)</f>
        <v>50000</v>
      </c>
      <c r="ED193">
        <v>0</v>
      </c>
      <c r="EE193">
        <f>EA193-EB193-EC193</f>
        <v>507620</v>
      </c>
      <c r="EF193">
        <f>DW193+DM193+DC193+CS193+CI193+BY193+BO193+BE193+AT193+AJ193+Z193+P193</f>
        <v>66000</v>
      </c>
      <c r="EG193">
        <f>DX193+DN193+DD193+CT193+CJ193+BZ193+BP193+BF193+AU193+AK193+AA193+Q193</f>
        <v>0</v>
      </c>
      <c r="EH193">
        <v>0</v>
      </c>
      <c r="EI193">
        <v>0</v>
      </c>
      <c r="EJ193">
        <v>0</v>
      </c>
      <c r="EK193">
        <v>0</v>
      </c>
      <c r="EL193">
        <v>0</v>
      </c>
      <c r="EM193">
        <v>0</v>
      </c>
      <c r="EN193">
        <v>0</v>
      </c>
      <c r="EO193">
        <v>0</v>
      </c>
      <c r="EP193">
        <v>0</v>
      </c>
      <c r="EQ193">
        <v>0</v>
      </c>
      <c r="ER193">
        <f>SUM(EF193:EQ193)</f>
        <v>66000</v>
      </c>
      <c r="ES193">
        <f>IF(ER193&gt;=150000,150000,ER193)</f>
        <v>66000</v>
      </c>
      <c r="ET193">
        <f>EE193-ES193</f>
        <v>441620</v>
      </c>
      <c r="EU193">
        <v>0</v>
      </c>
      <c r="EV193">
        <v>0</v>
      </c>
      <c r="EW193">
        <v>0</v>
      </c>
      <c r="EX193">
        <v>0</v>
      </c>
      <c r="EY193">
        <v>0</v>
      </c>
      <c r="EZ193">
        <v>0</v>
      </c>
      <c r="FA193">
        <v>0</v>
      </c>
      <c r="FB193">
        <f>SUM(EU193:FA193)+(IF(F193="YES",50000,0))</f>
        <v>0</v>
      </c>
      <c r="FC193">
        <f>ET193-FB193</f>
        <v>441620</v>
      </c>
      <c r="FD193">
        <f>ROUND(IF(FC193&gt;0,IF(FC193&gt;500000,12500,(FC193-250000)*0.05),0),0)</f>
        <v>9581</v>
      </c>
      <c r="FE193">
        <f>IF(ROUND(IF(FC193&gt;0,IF(FC193&gt;1000000,25000,(FC193-500000)*0.2),0),0)&lt;0,0,ROUND(IF(FC193&gt;0,IF(FC193&gt;1000000,25000,(FC193-500000)*0.2),0),0))</f>
        <v>0</v>
      </c>
      <c r="FF193">
        <f>FD193+FE193</f>
        <v>9581</v>
      </c>
      <c r="FG193">
        <f>IF(FF193&lt;12500,0,FF193)</f>
        <v>0</v>
      </c>
      <c r="FH193">
        <f>FG193*0.04</f>
        <v>0</v>
      </c>
      <c r="FI193">
        <f>ROUND(FH193+FG193,0)</f>
        <v>0</v>
      </c>
      <c r="FJ193">
        <v>0</v>
      </c>
      <c r="FK193">
        <f>FI193-FJ193</f>
        <v>0</v>
      </c>
      <c r="FL193" t="b">
        <f>IF(EA193&gt;500000,TRUE,FALSE)</f>
        <v>1</v>
      </c>
      <c r="FM193">
        <f ca="1">IF(FL193,RANDBETWEEN(500,1000),RANDBETWEEN(1000,3000))</f>
        <v>755</v>
      </c>
      <c r="FN193">
        <f ca="1">EA193+FM193</f>
        <v>560775</v>
      </c>
      <c r="FO193">
        <f>IF(EA193&gt;0,75000,0)</f>
        <v>75000</v>
      </c>
      <c r="FP193">
        <f ca="1">FN193-FO193</f>
        <v>485775</v>
      </c>
      <c r="FQ193">
        <f ca="1">IF(FP193&gt;2400000,FP193-2400000,0)</f>
        <v>0</v>
      </c>
      <c r="FR193">
        <f ca="1">FQ193*0.3</f>
        <v>0</v>
      </c>
      <c r="FS193">
        <f ca="1">IF(FP193&gt;2000000,FP193-2000000,0)</f>
        <v>0</v>
      </c>
      <c r="FT193">
        <f ca="1">FS193*0.25</f>
        <v>0</v>
      </c>
      <c r="FU193">
        <f ca="1">IF(FP193&gt;1600000,FP193-1600000-FQ193,0)</f>
        <v>0</v>
      </c>
      <c r="FV193">
        <f ca="1">FU193*0.2</f>
        <v>0</v>
      </c>
      <c r="FW193">
        <f ca="1">IF(FP193&gt;1200000,FP193-1200000-IF(F193="YES",50000,0)-FU193,0)</f>
        <v>0</v>
      </c>
      <c r="FX193">
        <f ca="1">FW193*0.15</f>
        <v>0</v>
      </c>
      <c r="FY193">
        <f ca="1">IF(FP193&gt;800000,FP193-800000-FQ193-FU193-FW193,0)</f>
        <v>0</v>
      </c>
      <c r="FZ193">
        <f ca="1">FY193*0.1</f>
        <v>0</v>
      </c>
      <c r="GA193">
        <f ca="1">IF(FP193&gt;400000,FP193-400000-FQ193-FU193-FW193-FY193,0)</f>
        <v>85775</v>
      </c>
      <c r="GB193">
        <f ca="1">GA193*0.05</f>
        <v>4288.75</v>
      </c>
      <c r="GC193">
        <f ca="1">ROUND(FR193+FT193+FV193+FX193+FZ193+GB193,0)</f>
        <v>4289</v>
      </c>
      <c r="GD193">
        <f ca="1">IF(FP193&gt;1200000,FP193,0)</f>
        <v>0</v>
      </c>
      <c r="GE193">
        <f ca="1">IF(FP193&gt;1200000,GD193-1200000,0)</f>
        <v>0</v>
      </c>
      <c r="GF193">
        <f ca="1">IF(FP193&lt;1200001,MIN(GC193,60000),0)</f>
        <v>4289</v>
      </c>
      <c r="GG193">
        <f ca="1">IF(FP193&gt;1200000,GC193-GE193,0)</f>
        <v>0</v>
      </c>
      <c r="GH193" t="b">
        <f ca="1">IF(GG193&gt;0,TRUE,FALSE)</f>
        <v>0</v>
      </c>
      <c r="GI193">
        <f ca="1">IF(GH193,GG193,0)</f>
        <v>0</v>
      </c>
      <c r="GJ193">
        <f ca="1">GF193+GI193</f>
        <v>4289</v>
      </c>
      <c r="GK193">
        <f ca="1">ROUND(GC193-GJ193,0)</f>
        <v>0</v>
      </c>
      <c r="GL193">
        <f ca="1">GK193*0.04</f>
        <v>0</v>
      </c>
      <c r="GM193">
        <f ca="1">ROUNDUP(GK193+GL193,0)</f>
        <v>0</v>
      </c>
    </row>
    <row r="194" spans="1:195" x14ac:dyDescent="0.25">
      <c r="A194">
        <f>_xlfn.AGGREGATE(3,5,$B$2:B194)</f>
        <v>193</v>
      </c>
      <c r="B194" t="s">
        <v>499</v>
      </c>
      <c r="C194" t="s">
        <v>500</v>
      </c>
      <c r="D194" t="s">
        <v>802</v>
      </c>
      <c r="E194" t="s">
        <v>833</v>
      </c>
      <c r="F194" t="s">
        <v>959</v>
      </c>
      <c r="G194" t="s">
        <v>882</v>
      </c>
      <c r="H194">
        <f>IF(_xlfn.DAYS("31-03-2025",G194)&gt;=180,6800,0)</f>
        <v>6800</v>
      </c>
      <c r="I194">
        <f>_xlfn.XLOOKUP(B194,'[1]march-2025'!$A:$A,'[1]march-2025'!$J:$J,0,0)</f>
        <v>0</v>
      </c>
      <c r="J194">
        <f>_xlfn.XLOOKUP(B194,'[1]march-2025'!$A:$A,'[1]march-2025'!$C:$C,0,0)</f>
        <v>50200</v>
      </c>
      <c r="K194">
        <f>J194*0.14</f>
        <v>7028.0000000000009</v>
      </c>
      <c r="L194">
        <f>J194*0.12</f>
        <v>6024</v>
      </c>
      <c r="M194">
        <f>_xlfn.XLOOKUP(B194,'[1]march-2025'!$A:$A,'[1]march-2025'!$D:$D,0,0)</f>
        <v>0</v>
      </c>
      <c r="N194">
        <f>_xlfn.XLOOKUP(B194,'[1]march-2025'!$A:$A,'[1]march-2025'!$G:$G,0,0)</f>
        <v>500</v>
      </c>
      <c r="O194">
        <f>IF(J194&gt;0,SUM(J194:N194),0)</f>
        <v>63752</v>
      </c>
      <c r="P194">
        <f>_xlfn.XLOOKUP(B194,'[1]march-2025'!$A:$A,'[1]march-2025'!$H:$H,0,0)</f>
        <v>5000</v>
      </c>
      <c r="Q194">
        <f>_xlfn.XLOOKUP(B194,'[1]march-2025'!$A:$A,'[1]march-2025'!$I:$I,0,0)</f>
        <v>0</v>
      </c>
      <c r="R194">
        <f>IF($F194="YES",0,IF(O194&gt;40000,200,IF(O194&gt;25000,150,IF(O194&gt;15000,130,IF(O194&gt;10000,110,0)))))</f>
        <v>200</v>
      </c>
      <c r="S194">
        <f>O194-P194-Q194-R194</f>
        <v>58552</v>
      </c>
      <c r="T194">
        <f>_xlfn.XLOOKUP(B194,'[2]april-2025'!$A:$A,'[2]april-2025'!$C:$C,0,0)</f>
        <v>50200</v>
      </c>
      <c r="U194">
        <f>T194*0.18</f>
        <v>9036</v>
      </c>
      <c r="V194">
        <f>T194*0.12</f>
        <v>6024</v>
      </c>
      <c r="W194">
        <f>_xlfn.XLOOKUP(B194,'[2]april-2025'!$A:$A,'[2]april-2025'!$D:$D,0,0)</f>
        <v>0</v>
      </c>
      <c r="X194">
        <f>_xlfn.XLOOKUP(B194,'[2]april-2025'!$A:$A,'[2]april-2025'!$G:$G,0,0)</f>
        <v>500</v>
      </c>
      <c r="Y194">
        <f>IF(T194&gt;0,SUM(T194:X194),0)</f>
        <v>65760</v>
      </c>
      <c r="Z194">
        <f>_xlfn.XLOOKUP(B194,'[2]april-2025'!$A:$A,'[2]april-2025'!$H:$H,0,0)</f>
        <v>5000</v>
      </c>
      <c r="AA194">
        <f>_xlfn.XLOOKUP(B194,'[2]april-2025'!$A:$A,'[2]april-2025'!$I:$I,0,0)</f>
        <v>0</v>
      </c>
      <c r="AB194">
        <f>IF($F194="YES",0,IF(Y194&gt;40000,200,IF(Y194&gt;25000,150,IF(Y194&gt;15000,130,IF(Y194&gt;10000,110,0)))))</f>
        <v>200</v>
      </c>
      <c r="AC194">
        <f>Y194-Z194-AA194-AB194</f>
        <v>60560</v>
      </c>
      <c r="AD194">
        <f>_xlfn.XLOOKUP(B194,'[3]may-2025'!$A:$A,'[3]may-2025'!$C:$C,0,0)</f>
        <v>50200</v>
      </c>
      <c r="AE194">
        <f>AD194*0.18</f>
        <v>9036</v>
      </c>
      <c r="AF194">
        <f>AD194*0.12</f>
        <v>6024</v>
      </c>
      <c r="AG194">
        <f>_xlfn.XLOOKUP(B194,'[3]may-2025'!$A:$A,'[3]may-2025'!$D:$D,0,0)</f>
        <v>0</v>
      </c>
      <c r="AH194">
        <f>_xlfn.XLOOKUP(B194,'[3]may-2025'!$A:$A,'[3]may-2025'!$G:$G,0,0)</f>
        <v>500</v>
      </c>
      <c r="AI194">
        <f>IF(AD194&gt;0,SUM(AD194:AH194),0)</f>
        <v>65760</v>
      </c>
      <c r="AJ194">
        <f>_xlfn.XLOOKUP(B194,'[3]may-2025'!$A:$A,'[3]may-2025'!$H:$H,0,0)</f>
        <v>5000</v>
      </c>
      <c r="AK194">
        <f>_xlfn.XLOOKUP(B194,'[3]may-2025'!$A:$A,'[3]may-2025'!$I:$I,0,0)</f>
        <v>0</v>
      </c>
      <c r="AL194">
        <f>IF($F194="YES",0,IF(AI194&gt;40000,200,IF(AI194&gt;25000,150,IF(AI194&gt;15000,130,IF(AI194&gt;10000,110,0)))))</f>
        <v>200</v>
      </c>
      <c r="AM194">
        <f>AI194-AJ194-AK194-AL194</f>
        <v>60560</v>
      </c>
      <c r="AN194">
        <f>_xlfn.XLOOKUP(B194,'[4]june-2025'!$A:$A,'[4]june-2025'!$C:$C,0,0)</f>
        <v>50200</v>
      </c>
      <c r="AO194">
        <f>AN194*0.18</f>
        <v>9036</v>
      </c>
      <c r="AP194">
        <f>AN194*0.12</f>
        <v>6024</v>
      </c>
      <c r="AQ194">
        <f>_xlfn.XLOOKUP(B194,'[4]june-2025'!$A:$A,'[4]june-2025'!$D:$D,0,0)</f>
        <v>0</v>
      </c>
      <c r="AR194">
        <f>_xlfn.XLOOKUP(B194,'[4]june-2025'!$A:$A,'[4]june-2025'!$G:$G,0,0)</f>
        <v>500</v>
      </c>
      <c r="AS194">
        <f>IF(AN194&gt;0,SUM(AN194:AR194),0)</f>
        <v>65760</v>
      </c>
      <c r="AT194">
        <f>_xlfn.XLOOKUP(B194,'[4]june-2025'!$A:$A,'[4]june-2025'!$H:$H,0,0)</f>
        <v>5000</v>
      </c>
      <c r="AU194">
        <f>_xlfn.XLOOKUP(B194,'[4]june-2025'!$A:$A,'[4]june-2025'!$I:$I,0,0)</f>
        <v>0</v>
      </c>
      <c r="AV194">
        <f>IF($F194="YES",0,IF(AS194&gt;40000,200,IF(AS194&gt;25000,150,IF(AS194&gt;15000,130,IF(AS194&gt;10000,110,0)))))</f>
        <v>200</v>
      </c>
      <c r="AW194">
        <f>AS194-AT194-AU194-AV194</f>
        <v>60560</v>
      </c>
      <c r="AX194">
        <f>_xlfn.XLOOKUP(B194,'[5]july-2025'!$A:$A,'[5]july-2025'!$C:$C,0,0)</f>
        <v>51700</v>
      </c>
      <c r="AY194">
        <f>AX194*0.18</f>
        <v>9306</v>
      </c>
      <c r="AZ194">
        <v>0</v>
      </c>
      <c r="BA194">
        <f>AX194*0.12</f>
        <v>6204</v>
      </c>
      <c r="BB194">
        <f>_xlfn.XLOOKUP(B194,'[5]july-2025'!$A:$A,'[5]july-2025'!$D:$D,0,0)</f>
        <v>0</v>
      </c>
      <c r="BC194">
        <f>_xlfn.XLOOKUP(B194,'[5]july-2025'!$A:$A,'[5]july-2025'!$G:$G,0,0)</f>
        <v>500</v>
      </c>
      <c r="BD194">
        <f>IF(AX194&gt;0,SUM(AX194:BC194),0)</f>
        <v>67710</v>
      </c>
      <c r="BE194">
        <f>_xlfn.XLOOKUP(B194,'[5]july-2025'!$A:$A,'[5]july-2025'!$H:$H,0,0)</f>
        <v>5000</v>
      </c>
      <c r="BF194">
        <f>_xlfn.XLOOKUP(B194,'[5]july-2025'!$A:$A,'[5]july-2025'!$I:$I,0,0)</f>
        <v>0</v>
      </c>
      <c r="BG194">
        <f>IF($F194="YES",0,IF(BD194&gt;40000,200,IF(BD194&gt;25000,150,IF(BD194&gt;15000,130,IF(BD194&gt;10000,110,0)))))</f>
        <v>200</v>
      </c>
      <c r="BH194">
        <f>BD194-BE194-BF194-BG194</f>
        <v>62510</v>
      </c>
      <c r="BI194">
        <f>_xlfn.XLOOKUP(B194,'[6]august-2025'!$A:$A,'[6]august-2025'!$C:$C,0,0)</f>
        <v>51700</v>
      </c>
      <c r="BJ194">
        <f>BI194*0.18</f>
        <v>9306</v>
      </c>
      <c r="BK194">
        <f>BI194*0.12</f>
        <v>6204</v>
      </c>
      <c r="BL194">
        <f>_xlfn.XLOOKUP(B194,'[6]august-2025'!$A:$A,'[6]august-2025'!$D:$D,0,0)</f>
        <v>0</v>
      </c>
      <c r="BM194">
        <f>_xlfn.XLOOKUP(B194,'[6]august-2025'!$A:$A,'[6]august-2025'!$G:$G,0,0)</f>
        <v>500</v>
      </c>
      <c r="BN194">
        <f>IF(BI194&gt;0,SUM(BI194:BM194),0)</f>
        <v>67710</v>
      </c>
      <c r="BO194">
        <f>_xlfn.XLOOKUP(B194,'[6]august-2025'!$A:$A,'[6]august-2025'!$H:$H,0,0)</f>
        <v>5000</v>
      </c>
      <c r="BP194">
        <f>_xlfn.XLOOKUP(B194,'[6]august-2025'!$A:$A,'[6]august-2025'!$I:$I,0,0)</f>
        <v>0</v>
      </c>
      <c r="BQ194">
        <f>IF($F194="YES",0,IF(BN194&gt;40000,200,IF(BN194&gt;25000,150,IF(BN194&gt;15000,130,IF(BN194&gt;10000,110,0)))))</f>
        <v>200</v>
      </c>
      <c r="BR194">
        <f>BN194-BO194-BP194-BQ194</f>
        <v>62510</v>
      </c>
      <c r="BS194">
        <f>_xlfn.XLOOKUP(B194,'[7]september-2025'!$A:$A,'[7]september-2025'!$C:$C,0,0)</f>
        <v>51700</v>
      </c>
      <c r="BT194">
        <f>BS194*0.18</f>
        <v>9306</v>
      </c>
      <c r="BU194">
        <f>BS194*0.12</f>
        <v>6204</v>
      </c>
      <c r="BV194">
        <f>_xlfn.XLOOKUP(B194,'[7]september-2025'!$A:$A,'[7]september-2025'!$D:$D,0,0)</f>
        <v>0</v>
      </c>
      <c r="BW194">
        <f>_xlfn.XLOOKUP(B194,'[7]september-2025'!$A:$A,'[7]september-2025'!$G:$G,0,0)</f>
        <v>500</v>
      </c>
      <c r="BX194">
        <f>IF(BS194&gt;0,SUM(BS194:BW194),0)</f>
        <v>67710</v>
      </c>
      <c r="BY194">
        <f>_xlfn.XLOOKUP(B194,'[7]september-2025'!$A:$A,'[7]september-2025'!$H:$H,0,0)</f>
        <v>5000</v>
      </c>
      <c r="BZ194">
        <f>_xlfn.XLOOKUP(B194,'[7]september-2025'!$A:$A,'[7]september-2025'!$I:$I,0,0)</f>
        <v>0</v>
      </c>
      <c r="CA194">
        <f>IF($F194="YES",0,IF(BX194&gt;40000,200,IF(BX194&gt;25000,150,IF(BX194&gt;15000,130,IF(BX194&gt;10000,110,0)))))</f>
        <v>200</v>
      </c>
      <c r="CB194">
        <f>BX194-BY194-BZ194-CA194</f>
        <v>62510</v>
      </c>
      <c r="CC194">
        <f>_xlfn.XLOOKUP(B194,'[8]october-2025'!$A:$A,'[8]october-2025'!$C:$C,0,0)</f>
        <v>51700</v>
      </c>
      <c r="CD194">
        <f>CC194*0.18</f>
        <v>9306</v>
      </c>
      <c r="CE194">
        <f>CC194*0.12</f>
        <v>6204</v>
      </c>
      <c r="CF194">
        <f>_xlfn.XLOOKUP(B194,'[8]october-2025'!$A:$A,'[8]october-2025'!$D:$D,0,0)</f>
        <v>0</v>
      </c>
      <c r="CG194">
        <f>_xlfn.XLOOKUP(B194,'[8]october-2025'!$A:$A,'[8]october-2025'!$G:$G,0,0)</f>
        <v>500</v>
      </c>
      <c r="CH194">
        <f>IF(CC194&gt;0,SUM(CC194:CG194),0)</f>
        <v>67710</v>
      </c>
      <c r="CI194">
        <f>_xlfn.XLOOKUP(B194,'[8]october-2025'!$A:$A,'[8]october-2025'!$H:$H,0,0)</f>
        <v>5000</v>
      </c>
      <c r="CJ194">
        <f>_xlfn.XLOOKUP(B194,'[8]october-2025'!$A:$A,'[8]october-2025'!$I:$I,0,0)</f>
        <v>0</v>
      </c>
      <c r="CK194">
        <f>IF($F194="YES",0,IF(CH194&gt;40000,200,IF(CH194&gt;25000,150,IF(CH194&gt;15000,130,IF(CH194&gt;10000,110,0)))))</f>
        <v>200</v>
      </c>
      <c r="CL194">
        <f>CH194-CI194-CJ194-CK194</f>
        <v>62510</v>
      </c>
      <c r="CM194">
        <f>_xlfn.XLOOKUP(B194,'[9]november-2025'!$A:$A,'[9]november-2025'!$C:$C,0,0)</f>
        <v>51700</v>
      </c>
      <c r="CN194">
        <f>CM194*0.18</f>
        <v>9306</v>
      </c>
      <c r="CO194">
        <f>CM194*0.12</f>
        <v>6204</v>
      </c>
      <c r="CP194">
        <f>_xlfn.XLOOKUP(B194,'[9]november-2025'!$A:$A,'[9]november-2025'!$D:$D,0,0)</f>
        <v>0</v>
      </c>
      <c r="CQ194">
        <f>_xlfn.XLOOKUP(B194,'[9]november-2025'!$A:$A,'[9]november-2025'!$G:$G,0,0)</f>
        <v>500</v>
      </c>
      <c r="CR194">
        <f>IF(CM194&gt;0,SUM(CM194:CQ194),0)</f>
        <v>67710</v>
      </c>
      <c r="CS194">
        <f>_xlfn.XLOOKUP(B194,'[9]november-2025'!$A:$A,'[9]november-2025'!$H:$H,0,0)</f>
        <v>5000</v>
      </c>
      <c r="CT194">
        <f>_xlfn.XLOOKUP(B194,'[9]november-2025'!$A:$A,'[9]november-2025'!$I:$I,0,0)</f>
        <v>0</v>
      </c>
      <c r="CU194">
        <f>IF($F194="YES",0,IF(CR194&gt;40000,200,IF(CR194&gt;25000,150,IF(CR194&gt;15000,130,IF(CR194&gt;10000,110,0)))))</f>
        <v>200</v>
      </c>
      <c r="CV194">
        <f>CR194-CS194-CT194-CU194</f>
        <v>62510</v>
      </c>
      <c r="CW194">
        <f>_xlfn.XLOOKUP(B194,'[10]december-2025'!$A:$A,'[10]december-2025'!$C:$C,0,0)</f>
        <v>51700</v>
      </c>
      <c r="CX194">
        <f>ROUND(CW194*0.18,0)</f>
        <v>9306</v>
      </c>
      <c r="CY194">
        <f>ROUND(CW194*0.12,0)</f>
        <v>6204</v>
      </c>
      <c r="CZ194">
        <f>_xlfn.XLOOKUP(B194,'[10]december-2025'!$A:$A,'[10]december-2025'!$D:$D,0,0)</f>
        <v>0</v>
      </c>
      <c r="DA194">
        <f>_xlfn.XLOOKUP(B194,'[10]december-2025'!$A:$A,'[10]december-2025'!$G:$G,0,0)</f>
        <v>500</v>
      </c>
      <c r="DB194">
        <f>IF(CW194&gt;0,SUM(CW194:DA194),0)</f>
        <v>67710</v>
      </c>
      <c r="DC194">
        <f>_xlfn.XLOOKUP(B194,'[10]december-2025'!$A:$A,'[10]december-2025'!$H:$H,0,0)</f>
        <v>5000</v>
      </c>
      <c r="DD194">
        <f>_xlfn.XLOOKUP(B194,'[10]december-2025'!$A:$A,'[10]december-2025'!$I:$I,0,0)</f>
        <v>0</v>
      </c>
      <c r="DE194">
        <f>IF($F194="YES",0,IF(DB194&gt;40000,200,IF(DB194&gt;25000,150,IF(DB194&gt;15000,130,IF(DB194&gt;10000,110,0)))))</f>
        <v>200</v>
      </c>
      <c r="DF194">
        <f>DB194-DC194-DD194-DE194</f>
        <v>62510</v>
      </c>
      <c r="DG194">
        <f>_xlfn.XLOOKUP(B194,'[11]january-2026'!$A:$A,'[11]january-2026'!$C:$C,0,0)</f>
        <v>51700</v>
      </c>
      <c r="DH194">
        <f>DG194*0.18</f>
        <v>9306</v>
      </c>
      <c r="DI194">
        <f>DG194*0.12</f>
        <v>6204</v>
      </c>
      <c r="DJ194">
        <f>_xlfn.XLOOKUP(B194,'[11]january-2026'!$A:$A,'[11]january-2026'!$D:$D,0,0)</f>
        <v>0</v>
      </c>
      <c r="DK194">
        <f>_xlfn.XLOOKUP(B194,'[11]january-2026'!$A:$A,'[11]january-2026'!$G:$G,0,0)</f>
        <v>500</v>
      </c>
      <c r="DL194">
        <f>IF(DG194&gt;0,SUM(DG194:DK194),0)</f>
        <v>67710</v>
      </c>
      <c r="DM194">
        <f>_xlfn.XLOOKUP(B194,'[11]january-2026'!$A:$A,'[11]january-2026'!$H:$H,0,0)</f>
        <v>5000</v>
      </c>
      <c r="DN194">
        <f>_xlfn.XLOOKUP(B194,'[11]january-2026'!$A:$A,'[11]january-2026'!$I:$I,0,0)</f>
        <v>0</v>
      </c>
      <c r="DO194">
        <f>IF($F194="YES",0,IF(DL194&gt;40000,200,IF(DL194&gt;25000,150,IF(DL194&gt;15000,130,IF(DL194&gt;10000,110,0)))))</f>
        <v>200</v>
      </c>
      <c r="DP194">
        <f>DL194-DM194-DN194-DO194</f>
        <v>62510</v>
      </c>
      <c r="DQ194">
        <f>_xlfn.XLOOKUP(B194,'[12]february-2026'!$A:$A,'[12]february-2026'!$C:$C,0,0)</f>
        <v>51700</v>
      </c>
      <c r="DR194">
        <f>DQ194*0.18</f>
        <v>9306</v>
      </c>
      <c r="DS194">
        <f>DQ194*0.12</f>
        <v>6204</v>
      </c>
      <c r="DT194">
        <f>_xlfn.XLOOKUP(B194,'[12]february-2026'!$A:$A,'[12]february-2026'!$D:$D,0,0)</f>
        <v>0</v>
      </c>
      <c r="DU194">
        <f>_xlfn.XLOOKUP(B194,'[12]february-2026'!$A:$A,'[12]february-2026'!$G:$G,0,0)</f>
        <v>500</v>
      </c>
      <c r="DV194">
        <f>IF(DQ194&gt;0,SUM(DQ194:DU194),0)</f>
        <v>67710</v>
      </c>
      <c r="DW194">
        <f>_xlfn.XLOOKUP(B194,'[12]february-2026'!$A:$A,'[12]february-2026'!$H:$H,0,0)</f>
        <v>5000</v>
      </c>
      <c r="DX194">
        <f>_xlfn.XLOOKUP(B194,'[12]february-2026'!$A:$A,'[12]february-2026'!$I:$I,0,0)</f>
        <v>0</v>
      </c>
      <c r="DY194">
        <f>IF($F194="YES",0,IF(DV194&gt;40000,200,IF(DV194&gt;25000,150,IF(DV194&gt;15000,130,IF(DV194&gt;10000,110,0)))))</f>
        <v>200</v>
      </c>
      <c r="DZ194">
        <f>DV194-DW194-DX194-DY194</f>
        <v>62510</v>
      </c>
      <c r="EA194">
        <f>DV194+DL194+DB194+CR194+CH194+BX194+BN194+BD194+AS194+AI194+Y194+O194+H194+I194</f>
        <v>809512</v>
      </c>
      <c r="EB194">
        <f>DY194+DO194+DE194+CU194+CK194+CA194+BQ194+BG194+AV194+AL194+AB194+R194</f>
        <v>2400</v>
      </c>
      <c r="EC194">
        <f>IF(EA194&gt;0,50000,0)</f>
        <v>50000</v>
      </c>
      <c r="ED194">
        <v>0</v>
      </c>
      <c r="EE194">
        <f>EA194-EB194-EC194</f>
        <v>757112</v>
      </c>
      <c r="EF194">
        <f>DW194+DM194+DC194+CS194+CI194+BY194+BO194+BE194+AT194+AJ194+Z194+P194</f>
        <v>60000</v>
      </c>
      <c r="EG194">
        <f>DX194+DN194+DD194+CT194+CJ194+BZ194+BP194+BF194+AU194+AK194+AA194+Q194</f>
        <v>0</v>
      </c>
      <c r="EH194">
        <v>0</v>
      </c>
      <c r="EI194">
        <v>0</v>
      </c>
      <c r="EJ194">
        <v>0</v>
      </c>
      <c r="EK194">
        <v>0</v>
      </c>
      <c r="EL194">
        <v>0</v>
      </c>
      <c r="EM194">
        <v>0</v>
      </c>
      <c r="EN194">
        <v>0</v>
      </c>
      <c r="EO194">
        <v>0</v>
      </c>
      <c r="EP194">
        <v>0</v>
      </c>
      <c r="EQ194">
        <v>0</v>
      </c>
      <c r="ER194">
        <f>SUM(EF194:EQ194)</f>
        <v>60000</v>
      </c>
      <c r="ES194">
        <f>IF(ER194&gt;=150000,150000,ER194)</f>
        <v>60000</v>
      </c>
      <c r="ET194">
        <f>EE194-ES194</f>
        <v>697112</v>
      </c>
      <c r="EU194">
        <v>0</v>
      </c>
      <c r="EV194">
        <v>0</v>
      </c>
      <c r="EW194">
        <v>0</v>
      </c>
      <c r="EX194">
        <v>0</v>
      </c>
      <c r="EY194">
        <v>0</v>
      </c>
      <c r="EZ194">
        <v>0</v>
      </c>
      <c r="FA194">
        <v>0</v>
      </c>
      <c r="FB194">
        <f>SUM(EU194:FA194)+(IF(F194="YES",50000,0))</f>
        <v>0</v>
      </c>
      <c r="FC194">
        <f>ET194-FB194</f>
        <v>697112</v>
      </c>
      <c r="FD194">
        <f>ROUND(IF(FC194&gt;0,IF(FC194&gt;500000,12500,(FC194-250000)*0.05),0),0)</f>
        <v>12500</v>
      </c>
      <c r="FE194">
        <f>IF(ROUND(IF(FC194&gt;0,IF(FC194&gt;1000000,25000,(FC194-500000)*0.2),0),0)&lt;0,0,ROUND(IF(FC194&gt;0,IF(FC194&gt;1000000,25000,(FC194-500000)*0.2),0),0))</f>
        <v>39422</v>
      </c>
      <c r="FF194">
        <f>FD194+FE194</f>
        <v>51922</v>
      </c>
      <c r="FG194">
        <f>IF(FF194&lt;12500,0,FF194)</f>
        <v>51922</v>
      </c>
      <c r="FH194">
        <f>FG194*0.04</f>
        <v>2076.88</v>
      </c>
      <c r="FI194">
        <f>ROUND(FH194+FG194,0)</f>
        <v>53999</v>
      </c>
      <c r="FJ194">
        <v>0</v>
      </c>
      <c r="FK194">
        <f>FI194-FJ194</f>
        <v>53999</v>
      </c>
      <c r="FL194" t="b">
        <f>IF(EA194&gt;500000,TRUE,FALSE)</f>
        <v>1</v>
      </c>
      <c r="FM194">
        <f ca="1">IF(FL194,RANDBETWEEN(500,1000),RANDBETWEEN(1000,3000))</f>
        <v>921</v>
      </c>
      <c r="FN194">
        <f ca="1">EA194+FM194</f>
        <v>810433</v>
      </c>
      <c r="FO194">
        <f>IF(EA194&gt;0,75000,0)</f>
        <v>75000</v>
      </c>
      <c r="FP194">
        <f ca="1">FN194-FO194</f>
        <v>735433</v>
      </c>
      <c r="FQ194">
        <f ca="1">IF(FP194&gt;2400000,FP194-2400000,0)</f>
        <v>0</v>
      </c>
      <c r="FR194">
        <f ca="1">FQ194*0.3</f>
        <v>0</v>
      </c>
      <c r="FS194">
        <f ca="1">IF(FP194&gt;2000000,FP194-2000000,0)</f>
        <v>0</v>
      </c>
      <c r="FT194">
        <f ca="1">FS194*0.25</f>
        <v>0</v>
      </c>
      <c r="FU194">
        <f ca="1">IF(FP194&gt;1600000,FP194-1600000-FQ194,0)</f>
        <v>0</v>
      </c>
      <c r="FV194">
        <f ca="1">FU194*0.2</f>
        <v>0</v>
      </c>
      <c r="FW194">
        <f ca="1">IF(FP194&gt;1200000,FP194-1200000-IF(F194="YES",50000,0)-FU194,0)</f>
        <v>0</v>
      </c>
      <c r="FX194">
        <f ca="1">FW194*0.15</f>
        <v>0</v>
      </c>
      <c r="FY194">
        <f ca="1">IF(FP194&gt;800000,FP194-800000-FQ194-FU194-FW194,0)</f>
        <v>0</v>
      </c>
      <c r="FZ194">
        <f ca="1">FY194*0.1</f>
        <v>0</v>
      </c>
      <c r="GA194">
        <f ca="1">IF(FP194&gt;400000,FP194-400000-FQ194-FU194-FW194-FY194,0)</f>
        <v>335433</v>
      </c>
      <c r="GB194">
        <f ca="1">GA194*0.05</f>
        <v>16771.650000000001</v>
      </c>
      <c r="GC194">
        <f ca="1">ROUND(FR194+FT194+FV194+FX194+FZ194+GB194,0)</f>
        <v>16772</v>
      </c>
      <c r="GD194">
        <f ca="1">IF(FP194&gt;1200000,FP194,0)</f>
        <v>0</v>
      </c>
      <c r="GE194">
        <f ca="1">IF(FP194&gt;1200000,GD194-1200000,0)</f>
        <v>0</v>
      </c>
      <c r="GF194">
        <f ca="1">IF(FP194&lt;1200001,MIN(GC194,60000),0)</f>
        <v>16772</v>
      </c>
      <c r="GG194">
        <f ca="1">IF(FP194&gt;1200000,GC194-GE194,0)</f>
        <v>0</v>
      </c>
      <c r="GH194" t="b">
        <f ca="1">IF(GG194&gt;0,TRUE,FALSE)</f>
        <v>0</v>
      </c>
      <c r="GI194">
        <f ca="1">IF(GH194,GG194,0)</f>
        <v>0</v>
      </c>
      <c r="GJ194">
        <f ca="1">GF194+GI194</f>
        <v>16772</v>
      </c>
      <c r="GK194">
        <f ca="1">ROUND(GC194-GJ194,0)</f>
        <v>0</v>
      </c>
      <c r="GL194">
        <f ca="1">GK194*0.04</f>
        <v>0</v>
      </c>
      <c r="GM194">
        <f ca="1">ROUNDUP(GK194+GL194,0)</f>
        <v>0</v>
      </c>
    </row>
    <row r="195" spans="1:195" x14ac:dyDescent="0.25">
      <c r="A195">
        <f>_xlfn.AGGREGATE(3,5,$B$2:B195)</f>
        <v>194</v>
      </c>
      <c r="B195" t="s">
        <v>501</v>
      </c>
      <c r="C195" t="s">
        <v>502</v>
      </c>
      <c r="D195" t="s">
        <v>802</v>
      </c>
      <c r="E195" t="s">
        <v>833</v>
      </c>
      <c r="F195" t="s">
        <v>959</v>
      </c>
      <c r="G195" t="s">
        <v>926</v>
      </c>
      <c r="H195">
        <f>IF(_xlfn.DAYS("31-03-2025",G195)&gt;=180,6800,0)</f>
        <v>6800</v>
      </c>
      <c r="I195">
        <f>_xlfn.XLOOKUP(B195,'[1]march-2025'!$A:$A,'[1]march-2025'!$J:$J,0,0)</f>
        <v>0</v>
      </c>
      <c r="J195">
        <f>_xlfn.XLOOKUP(B195,'[1]march-2025'!$A:$A,'[1]march-2025'!$C:$C,0,0)</f>
        <v>33500</v>
      </c>
      <c r="K195">
        <f>J195*0.14</f>
        <v>4690</v>
      </c>
      <c r="L195">
        <f>J195*0.12</f>
        <v>4020</v>
      </c>
      <c r="M195">
        <f>_xlfn.XLOOKUP(B195,'[1]march-2025'!$A:$A,'[1]march-2025'!$D:$D,0,0)</f>
        <v>0</v>
      </c>
      <c r="N195">
        <f>_xlfn.XLOOKUP(B195,'[1]march-2025'!$A:$A,'[1]march-2025'!$G:$G,0,0)</f>
        <v>500</v>
      </c>
      <c r="O195">
        <f>IF(J195&gt;0,SUM(J195:N195),0)</f>
        <v>42710</v>
      </c>
      <c r="P195">
        <f>_xlfn.XLOOKUP(B195,'[1]march-2025'!$A:$A,'[1]march-2025'!$H:$H,0,0)</f>
        <v>5000</v>
      </c>
      <c r="Q195">
        <f>_xlfn.XLOOKUP(B195,'[1]march-2025'!$A:$A,'[1]march-2025'!$I:$I,0,0)</f>
        <v>0</v>
      </c>
      <c r="R195">
        <f>IF($F195="YES",0,IF(O195&gt;40000,200,IF(O195&gt;25000,150,IF(O195&gt;15000,130,IF(O195&gt;10000,110,0)))))</f>
        <v>200</v>
      </c>
      <c r="S195">
        <f>O195-P195-Q195-R195</f>
        <v>37510</v>
      </c>
      <c r="T195">
        <f>_xlfn.XLOOKUP(B195,'[2]april-2025'!$A:$A,'[2]april-2025'!$C:$C,0,0)</f>
        <v>33500</v>
      </c>
      <c r="U195">
        <f>T195*0.18</f>
        <v>6030</v>
      </c>
      <c r="V195">
        <f>T195*0.12</f>
        <v>4020</v>
      </c>
      <c r="W195">
        <f>_xlfn.XLOOKUP(B195,'[2]april-2025'!$A:$A,'[2]april-2025'!$D:$D,0,0)</f>
        <v>0</v>
      </c>
      <c r="X195">
        <f>_xlfn.XLOOKUP(B195,'[2]april-2025'!$A:$A,'[2]april-2025'!$G:$G,0,0)</f>
        <v>500</v>
      </c>
      <c r="Y195">
        <f>IF(T195&gt;0,SUM(T195:X195),0)</f>
        <v>44050</v>
      </c>
      <c r="Z195">
        <f>_xlfn.XLOOKUP(B195,'[2]april-2025'!$A:$A,'[2]april-2025'!$H:$H,0,0)</f>
        <v>5000</v>
      </c>
      <c r="AA195">
        <f>_xlfn.XLOOKUP(B195,'[2]april-2025'!$A:$A,'[2]april-2025'!$I:$I,0,0)</f>
        <v>0</v>
      </c>
      <c r="AB195">
        <f>IF($F195="YES",0,IF(Y195&gt;40000,200,IF(Y195&gt;25000,150,IF(Y195&gt;15000,130,IF(Y195&gt;10000,110,0)))))</f>
        <v>200</v>
      </c>
      <c r="AC195">
        <f>Y195-Z195-AA195-AB195</f>
        <v>38850</v>
      </c>
      <c r="AD195">
        <f>_xlfn.XLOOKUP(B195,'[3]may-2025'!$A:$A,'[3]may-2025'!$C:$C,0,0)</f>
        <v>33500</v>
      </c>
      <c r="AE195">
        <f>AD195*0.18</f>
        <v>6030</v>
      </c>
      <c r="AF195">
        <f>AD195*0.12</f>
        <v>4020</v>
      </c>
      <c r="AG195">
        <f>_xlfn.XLOOKUP(B195,'[3]may-2025'!$A:$A,'[3]may-2025'!$D:$D,0,0)</f>
        <v>0</v>
      </c>
      <c r="AH195">
        <f>_xlfn.XLOOKUP(B195,'[3]may-2025'!$A:$A,'[3]may-2025'!$G:$G,0,0)</f>
        <v>500</v>
      </c>
      <c r="AI195">
        <f>IF(AD195&gt;0,SUM(AD195:AH195),0)</f>
        <v>44050</v>
      </c>
      <c r="AJ195">
        <f>_xlfn.XLOOKUP(B195,'[3]may-2025'!$A:$A,'[3]may-2025'!$H:$H,0,0)</f>
        <v>5000</v>
      </c>
      <c r="AK195">
        <f>_xlfn.XLOOKUP(B195,'[3]may-2025'!$A:$A,'[3]may-2025'!$I:$I,0,0)</f>
        <v>0</v>
      </c>
      <c r="AL195">
        <f>IF($F195="YES",0,IF(AI195&gt;40000,200,IF(AI195&gt;25000,150,IF(AI195&gt;15000,130,IF(AI195&gt;10000,110,0)))))</f>
        <v>200</v>
      </c>
      <c r="AM195">
        <f>AI195-AJ195-AK195-AL195</f>
        <v>38850</v>
      </c>
      <c r="AN195">
        <f>_xlfn.XLOOKUP(B195,'[4]june-2025'!$A:$A,'[4]june-2025'!$C:$C,0,0)</f>
        <v>33500</v>
      </c>
      <c r="AO195">
        <f>AN195*0.18</f>
        <v>6030</v>
      </c>
      <c r="AP195">
        <f>AN195*0.12</f>
        <v>4020</v>
      </c>
      <c r="AQ195">
        <f>_xlfn.XLOOKUP(B195,'[4]june-2025'!$A:$A,'[4]june-2025'!$D:$D,0,0)</f>
        <v>0</v>
      </c>
      <c r="AR195">
        <f>_xlfn.XLOOKUP(B195,'[4]june-2025'!$A:$A,'[4]june-2025'!$G:$G,0,0)</f>
        <v>500</v>
      </c>
      <c r="AS195">
        <f>IF(AN195&gt;0,SUM(AN195:AR195),0)</f>
        <v>44050</v>
      </c>
      <c r="AT195">
        <f>_xlfn.XLOOKUP(B195,'[4]june-2025'!$A:$A,'[4]june-2025'!$H:$H,0,0)</f>
        <v>5000</v>
      </c>
      <c r="AU195">
        <f>_xlfn.XLOOKUP(B195,'[4]june-2025'!$A:$A,'[4]june-2025'!$I:$I,0,0)</f>
        <v>0</v>
      </c>
      <c r="AV195">
        <f>IF($F195="YES",0,IF(AS195&gt;40000,200,IF(AS195&gt;25000,150,IF(AS195&gt;15000,130,IF(AS195&gt;10000,110,0)))))</f>
        <v>200</v>
      </c>
      <c r="AW195">
        <f>AS195-AT195-AU195-AV195</f>
        <v>38850</v>
      </c>
      <c r="AX195">
        <f>_xlfn.XLOOKUP(B195,'[5]july-2025'!$A:$A,'[5]july-2025'!$C:$C,0,0)</f>
        <v>34500</v>
      </c>
      <c r="AY195">
        <f>AX195*0.18</f>
        <v>6210</v>
      </c>
      <c r="AZ195">
        <v>0</v>
      </c>
      <c r="BA195">
        <f>AX195*0.12</f>
        <v>4140</v>
      </c>
      <c r="BB195">
        <f>_xlfn.XLOOKUP(B195,'[5]july-2025'!$A:$A,'[5]july-2025'!$D:$D,0,0)</f>
        <v>0</v>
      </c>
      <c r="BC195">
        <f>_xlfn.XLOOKUP(B195,'[5]july-2025'!$A:$A,'[5]july-2025'!$G:$G,0,0)</f>
        <v>500</v>
      </c>
      <c r="BD195">
        <f>IF(AX195&gt;0,SUM(AX195:BC195),0)</f>
        <v>45350</v>
      </c>
      <c r="BE195">
        <f>_xlfn.XLOOKUP(B195,'[5]july-2025'!$A:$A,'[5]july-2025'!$H:$H,0,0)</f>
        <v>5000</v>
      </c>
      <c r="BF195">
        <f>_xlfn.XLOOKUP(B195,'[5]july-2025'!$A:$A,'[5]july-2025'!$I:$I,0,0)</f>
        <v>0</v>
      </c>
      <c r="BG195">
        <f>IF($F195="YES",0,IF(BD195&gt;40000,200,IF(BD195&gt;25000,150,IF(BD195&gt;15000,130,IF(BD195&gt;10000,110,0)))))</f>
        <v>200</v>
      </c>
      <c r="BH195">
        <f>BD195-BE195-BF195-BG195</f>
        <v>40150</v>
      </c>
      <c r="BI195">
        <f>_xlfn.XLOOKUP(B195,'[6]august-2025'!$A:$A,'[6]august-2025'!$C:$C,0,0)</f>
        <v>34500</v>
      </c>
      <c r="BJ195">
        <f>BI195*0.18</f>
        <v>6210</v>
      </c>
      <c r="BK195">
        <f>BI195*0.12</f>
        <v>4140</v>
      </c>
      <c r="BL195">
        <f>_xlfn.XLOOKUP(B195,'[6]august-2025'!$A:$A,'[6]august-2025'!$D:$D,0,0)</f>
        <v>0</v>
      </c>
      <c r="BM195">
        <f>_xlfn.XLOOKUP(B195,'[6]august-2025'!$A:$A,'[6]august-2025'!$G:$G,0,0)</f>
        <v>500</v>
      </c>
      <c r="BN195">
        <f>IF(BI195&gt;0,SUM(BI195:BM195),0)</f>
        <v>45350</v>
      </c>
      <c r="BO195">
        <f>_xlfn.XLOOKUP(B195,'[6]august-2025'!$A:$A,'[6]august-2025'!$H:$H,0,0)</f>
        <v>5000</v>
      </c>
      <c r="BP195">
        <f>_xlfn.XLOOKUP(B195,'[6]august-2025'!$A:$A,'[6]august-2025'!$I:$I,0,0)</f>
        <v>0</v>
      </c>
      <c r="BQ195">
        <f>IF($F195="YES",0,IF(BN195&gt;40000,200,IF(BN195&gt;25000,150,IF(BN195&gt;15000,130,IF(BN195&gt;10000,110,0)))))</f>
        <v>200</v>
      </c>
      <c r="BR195">
        <f>BN195-BO195-BP195-BQ195</f>
        <v>40150</v>
      </c>
      <c r="BS195">
        <f>_xlfn.XLOOKUP(B195,'[7]september-2025'!$A:$A,'[7]september-2025'!$C:$C,0,0)</f>
        <v>34500</v>
      </c>
      <c r="BT195">
        <f>BS195*0.18</f>
        <v>6210</v>
      </c>
      <c r="BU195">
        <f>BS195*0.12</f>
        <v>4140</v>
      </c>
      <c r="BV195">
        <f>_xlfn.XLOOKUP(B195,'[7]september-2025'!$A:$A,'[7]september-2025'!$D:$D,0,0)</f>
        <v>0</v>
      </c>
      <c r="BW195">
        <f>_xlfn.XLOOKUP(B195,'[7]september-2025'!$A:$A,'[7]september-2025'!$G:$G,0,0)</f>
        <v>500</v>
      </c>
      <c r="BX195">
        <f>IF(BS195&gt;0,SUM(BS195:BW195),0)</f>
        <v>45350</v>
      </c>
      <c r="BY195">
        <f>_xlfn.XLOOKUP(B195,'[7]september-2025'!$A:$A,'[7]september-2025'!$H:$H,0,0)</f>
        <v>5000</v>
      </c>
      <c r="BZ195">
        <f>_xlfn.XLOOKUP(B195,'[7]september-2025'!$A:$A,'[7]september-2025'!$I:$I,0,0)</f>
        <v>0</v>
      </c>
      <c r="CA195">
        <f>IF($F195="YES",0,IF(BX195&gt;40000,200,IF(BX195&gt;25000,150,IF(BX195&gt;15000,130,IF(BX195&gt;10000,110,0)))))</f>
        <v>200</v>
      </c>
      <c r="CB195">
        <f>BX195-BY195-BZ195-CA195</f>
        <v>40150</v>
      </c>
      <c r="CC195">
        <f>_xlfn.XLOOKUP(B195,'[8]october-2025'!$A:$A,'[8]october-2025'!$C:$C,0,0)</f>
        <v>34500</v>
      </c>
      <c r="CD195">
        <f>CC195*0.18</f>
        <v>6210</v>
      </c>
      <c r="CE195">
        <f>CC195*0.12</f>
        <v>4140</v>
      </c>
      <c r="CF195">
        <f>_xlfn.XLOOKUP(B195,'[8]october-2025'!$A:$A,'[8]october-2025'!$D:$D,0,0)</f>
        <v>0</v>
      </c>
      <c r="CG195">
        <f>_xlfn.XLOOKUP(B195,'[8]october-2025'!$A:$A,'[8]october-2025'!$G:$G,0,0)</f>
        <v>500</v>
      </c>
      <c r="CH195">
        <f>IF(CC195&gt;0,SUM(CC195:CG195),0)</f>
        <v>45350</v>
      </c>
      <c r="CI195">
        <f>_xlfn.XLOOKUP(B195,'[8]october-2025'!$A:$A,'[8]october-2025'!$H:$H,0,0)</f>
        <v>5000</v>
      </c>
      <c r="CJ195">
        <f>_xlfn.XLOOKUP(B195,'[8]october-2025'!$A:$A,'[8]october-2025'!$I:$I,0,0)</f>
        <v>0</v>
      </c>
      <c r="CK195">
        <f>IF($F195="YES",0,IF(CH195&gt;40000,200,IF(CH195&gt;25000,150,IF(CH195&gt;15000,130,IF(CH195&gt;10000,110,0)))))</f>
        <v>200</v>
      </c>
      <c r="CL195">
        <f>CH195-CI195-CJ195-CK195</f>
        <v>40150</v>
      </c>
      <c r="CM195">
        <f>_xlfn.XLOOKUP(B195,'[9]november-2025'!$A:$A,'[9]november-2025'!$C:$C,0,0)</f>
        <v>34500</v>
      </c>
      <c r="CN195">
        <f>CM195*0.18</f>
        <v>6210</v>
      </c>
      <c r="CO195">
        <f>CM195*0.12</f>
        <v>4140</v>
      </c>
      <c r="CP195">
        <f>_xlfn.XLOOKUP(B195,'[9]november-2025'!$A:$A,'[9]november-2025'!$D:$D,0,0)</f>
        <v>0</v>
      </c>
      <c r="CQ195">
        <f>_xlfn.XLOOKUP(B195,'[9]november-2025'!$A:$A,'[9]november-2025'!$G:$G,0,0)</f>
        <v>500</v>
      </c>
      <c r="CR195">
        <f>IF(CM195&gt;0,SUM(CM195:CQ195),0)</f>
        <v>45350</v>
      </c>
      <c r="CS195">
        <f>_xlfn.XLOOKUP(B195,'[9]november-2025'!$A:$A,'[9]november-2025'!$H:$H,0,0)</f>
        <v>5000</v>
      </c>
      <c r="CT195">
        <f>_xlfn.XLOOKUP(B195,'[9]november-2025'!$A:$A,'[9]november-2025'!$I:$I,0,0)</f>
        <v>0</v>
      </c>
      <c r="CU195">
        <f>IF($F195="YES",0,IF(CR195&gt;40000,200,IF(CR195&gt;25000,150,IF(CR195&gt;15000,130,IF(CR195&gt;10000,110,0)))))</f>
        <v>200</v>
      </c>
      <c r="CV195">
        <f>CR195-CS195-CT195-CU195</f>
        <v>40150</v>
      </c>
      <c r="CW195">
        <f>_xlfn.XLOOKUP(B195,'[10]december-2025'!$A:$A,'[10]december-2025'!$C:$C,0,0)</f>
        <v>34500</v>
      </c>
      <c r="CX195">
        <f>ROUND(CW195*0.18,0)</f>
        <v>6210</v>
      </c>
      <c r="CY195">
        <f>ROUND(CW195*0.12,0)</f>
        <v>4140</v>
      </c>
      <c r="CZ195">
        <f>_xlfn.XLOOKUP(B195,'[10]december-2025'!$A:$A,'[10]december-2025'!$D:$D,0,0)</f>
        <v>0</v>
      </c>
      <c r="DA195">
        <f>_xlfn.XLOOKUP(B195,'[10]december-2025'!$A:$A,'[10]december-2025'!$G:$G,0,0)</f>
        <v>500</v>
      </c>
      <c r="DB195">
        <f>IF(CW195&gt;0,SUM(CW195:DA195),0)</f>
        <v>45350</v>
      </c>
      <c r="DC195">
        <f>_xlfn.XLOOKUP(B195,'[10]december-2025'!$A:$A,'[10]december-2025'!$H:$H,0,0)</f>
        <v>5000</v>
      </c>
      <c r="DD195">
        <f>_xlfn.XLOOKUP(B195,'[10]december-2025'!$A:$A,'[10]december-2025'!$I:$I,0,0)</f>
        <v>0</v>
      </c>
      <c r="DE195">
        <f>IF($F195="YES",0,IF(DB195&gt;40000,200,IF(DB195&gt;25000,150,IF(DB195&gt;15000,130,IF(DB195&gt;10000,110,0)))))</f>
        <v>200</v>
      </c>
      <c r="DF195">
        <f>DB195-DC195-DD195-DE195</f>
        <v>40150</v>
      </c>
      <c r="DG195">
        <f>_xlfn.XLOOKUP(B195,'[11]january-2026'!$A:$A,'[11]january-2026'!$C:$C,0,0)</f>
        <v>34500</v>
      </c>
      <c r="DH195">
        <f>DG195*0.18</f>
        <v>6210</v>
      </c>
      <c r="DI195">
        <f>DG195*0.12</f>
        <v>4140</v>
      </c>
      <c r="DJ195">
        <f>_xlfn.XLOOKUP(B195,'[11]january-2026'!$A:$A,'[11]january-2026'!$D:$D,0,0)</f>
        <v>0</v>
      </c>
      <c r="DK195">
        <f>_xlfn.XLOOKUP(B195,'[11]january-2026'!$A:$A,'[11]january-2026'!$G:$G,0,0)</f>
        <v>500</v>
      </c>
      <c r="DL195">
        <f>IF(DG195&gt;0,SUM(DG195:DK195),0)</f>
        <v>45350</v>
      </c>
      <c r="DM195">
        <f>_xlfn.XLOOKUP(B195,'[11]january-2026'!$A:$A,'[11]january-2026'!$H:$H,0,0)</f>
        <v>5000</v>
      </c>
      <c r="DN195">
        <f>_xlfn.XLOOKUP(B195,'[11]january-2026'!$A:$A,'[11]january-2026'!$I:$I,0,0)</f>
        <v>0</v>
      </c>
      <c r="DO195">
        <f>IF($F195="YES",0,IF(DL195&gt;40000,200,IF(DL195&gt;25000,150,IF(DL195&gt;15000,130,IF(DL195&gt;10000,110,0)))))</f>
        <v>200</v>
      </c>
      <c r="DP195">
        <f>DL195-DM195-DN195-DO195</f>
        <v>40150</v>
      </c>
      <c r="DQ195">
        <f>_xlfn.XLOOKUP(B195,'[12]february-2026'!$A:$A,'[12]february-2026'!$C:$C,0,0)</f>
        <v>34500</v>
      </c>
      <c r="DR195">
        <f>DQ195*0.18</f>
        <v>6210</v>
      </c>
      <c r="DS195">
        <f>DQ195*0.12</f>
        <v>4140</v>
      </c>
      <c r="DT195">
        <f>_xlfn.XLOOKUP(B195,'[12]february-2026'!$A:$A,'[12]february-2026'!$D:$D,0,0)</f>
        <v>0</v>
      </c>
      <c r="DU195">
        <f>_xlfn.XLOOKUP(B195,'[12]february-2026'!$A:$A,'[12]february-2026'!$G:$G,0,0)</f>
        <v>500</v>
      </c>
      <c r="DV195">
        <f>IF(DQ195&gt;0,SUM(DQ195:DU195),0)</f>
        <v>45350</v>
      </c>
      <c r="DW195">
        <f>_xlfn.XLOOKUP(B195,'[12]february-2026'!$A:$A,'[12]february-2026'!$H:$H,0,0)</f>
        <v>5000</v>
      </c>
      <c r="DX195">
        <f>_xlfn.XLOOKUP(B195,'[12]february-2026'!$A:$A,'[12]february-2026'!$I:$I,0,0)</f>
        <v>0</v>
      </c>
      <c r="DY195">
        <f>IF($F195="YES",0,IF(DV195&gt;40000,200,IF(DV195&gt;25000,150,IF(DV195&gt;15000,130,IF(DV195&gt;10000,110,0)))))</f>
        <v>200</v>
      </c>
      <c r="DZ195">
        <f>DV195-DW195-DX195-DY195</f>
        <v>40150</v>
      </c>
      <c r="EA195">
        <f>DV195+DL195+DB195+CR195+CH195+BX195+BN195+BD195+AS195+AI195+Y195+O195+H195+I195</f>
        <v>544460</v>
      </c>
      <c r="EB195">
        <f>DY195+DO195+DE195+CU195+CK195+CA195+BQ195+BG195+AV195+AL195+AB195+R195</f>
        <v>2400</v>
      </c>
      <c r="EC195">
        <f>IF(EA195&gt;0,50000,0)</f>
        <v>50000</v>
      </c>
      <c r="ED195">
        <v>0</v>
      </c>
      <c r="EE195">
        <f>EA195-EB195-EC195</f>
        <v>492060</v>
      </c>
      <c r="EF195">
        <f>DW195+DM195+DC195+CS195+CI195+BY195+BO195+BE195+AT195+AJ195+Z195+P195</f>
        <v>60000</v>
      </c>
      <c r="EG195">
        <f>DX195+DN195+DD195+CT195+CJ195+BZ195+BP195+BF195+AU195+AK195+AA195+Q195</f>
        <v>0</v>
      </c>
      <c r="EH195">
        <v>0</v>
      </c>
      <c r="EI195">
        <v>0</v>
      </c>
      <c r="EJ195">
        <v>0</v>
      </c>
      <c r="EK195">
        <v>0</v>
      </c>
      <c r="EL195">
        <v>0</v>
      </c>
      <c r="EM195">
        <v>0</v>
      </c>
      <c r="EN195">
        <v>0</v>
      </c>
      <c r="EO195">
        <v>0</v>
      </c>
      <c r="EP195">
        <v>0</v>
      </c>
      <c r="EQ195">
        <v>0</v>
      </c>
      <c r="ER195">
        <f>SUM(EF195:EQ195)</f>
        <v>60000</v>
      </c>
      <c r="ES195">
        <f>IF(ER195&gt;=150000,150000,ER195)</f>
        <v>60000</v>
      </c>
      <c r="ET195">
        <f>EE195-ES195</f>
        <v>432060</v>
      </c>
      <c r="EU195">
        <v>0</v>
      </c>
      <c r="EV195">
        <v>0</v>
      </c>
      <c r="EW195">
        <v>0</v>
      </c>
      <c r="EX195">
        <v>0</v>
      </c>
      <c r="EY195">
        <v>0</v>
      </c>
      <c r="EZ195">
        <v>0</v>
      </c>
      <c r="FA195">
        <v>0</v>
      </c>
      <c r="FB195">
        <f>SUM(EU195:FA195)+(IF(F195="YES",50000,0))</f>
        <v>0</v>
      </c>
      <c r="FC195">
        <f>ET195-FB195</f>
        <v>432060</v>
      </c>
      <c r="FD195">
        <f>ROUND(IF(FC195&gt;0,IF(FC195&gt;500000,12500,(FC195-250000)*0.05),0),0)</f>
        <v>9103</v>
      </c>
      <c r="FE195">
        <f>IF(ROUND(IF(FC195&gt;0,IF(FC195&gt;1000000,25000,(FC195-500000)*0.2),0),0)&lt;0,0,ROUND(IF(FC195&gt;0,IF(FC195&gt;1000000,25000,(FC195-500000)*0.2),0),0))</f>
        <v>0</v>
      </c>
      <c r="FF195">
        <f>FD195+FE195</f>
        <v>9103</v>
      </c>
      <c r="FG195">
        <f>IF(FF195&lt;12500,0,FF195)</f>
        <v>0</v>
      </c>
      <c r="FH195">
        <f>FG195*0.04</f>
        <v>0</v>
      </c>
      <c r="FI195">
        <f>ROUND(FH195+FG195,0)</f>
        <v>0</v>
      </c>
      <c r="FJ195">
        <v>0</v>
      </c>
      <c r="FK195">
        <f>FI195-FJ195</f>
        <v>0</v>
      </c>
      <c r="FL195" t="b">
        <f>IF(EA195&gt;500000,TRUE,FALSE)</f>
        <v>1</v>
      </c>
      <c r="FM195">
        <f ca="1">IF(FL195,RANDBETWEEN(500,1000),RANDBETWEEN(1000,3000))</f>
        <v>595</v>
      </c>
      <c r="FN195">
        <f ca="1">EA195+FM195</f>
        <v>545055</v>
      </c>
      <c r="FO195">
        <f>IF(EA195&gt;0,75000,0)</f>
        <v>75000</v>
      </c>
      <c r="FP195">
        <f ca="1">FN195-FO195</f>
        <v>470055</v>
      </c>
      <c r="FQ195">
        <f ca="1">IF(FP195&gt;2400000,FP195-2400000,0)</f>
        <v>0</v>
      </c>
      <c r="FR195">
        <f ca="1">FQ195*0.3</f>
        <v>0</v>
      </c>
      <c r="FS195">
        <f ca="1">IF(FP195&gt;2000000,FP195-2000000,0)</f>
        <v>0</v>
      </c>
      <c r="FT195">
        <f ca="1">FS195*0.25</f>
        <v>0</v>
      </c>
      <c r="FU195">
        <f ca="1">IF(FP195&gt;1600000,FP195-1600000-FQ195,0)</f>
        <v>0</v>
      </c>
      <c r="FV195">
        <f ca="1">FU195*0.2</f>
        <v>0</v>
      </c>
      <c r="FW195">
        <f ca="1">IF(FP195&gt;1200000,FP195-1200000-IF(F195="YES",50000,0)-FU195,0)</f>
        <v>0</v>
      </c>
      <c r="FX195">
        <f ca="1">FW195*0.15</f>
        <v>0</v>
      </c>
      <c r="FY195">
        <f ca="1">IF(FP195&gt;800000,FP195-800000-FQ195-FU195-FW195,0)</f>
        <v>0</v>
      </c>
      <c r="FZ195">
        <f ca="1">FY195*0.1</f>
        <v>0</v>
      </c>
      <c r="GA195">
        <f ca="1">IF(FP195&gt;400000,FP195-400000-FQ195-FU195-FW195-FY195,0)</f>
        <v>70055</v>
      </c>
      <c r="GB195">
        <f ca="1">GA195*0.05</f>
        <v>3502.75</v>
      </c>
      <c r="GC195">
        <f ca="1">ROUND(FR195+FT195+FV195+FX195+FZ195+GB195,0)</f>
        <v>3503</v>
      </c>
      <c r="GD195">
        <f ca="1">IF(FP195&gt;1200000,FP195,0)</f>
        <v>0</v>
      </c>
      <c r="GE195">
        <f ca="1">IF(FP195&gt;1200000,GD195-1200000,0)</f>
        <v>0</v>
      </c>
      <c r="GF195">
        <f ca="1">IF(FP195&lt;1200001,MIN(GC195,60000),0)</f>
        <v>3503</v>
      </c>
      <c r="GG195">
        <f ca="1">IF(FP195&gt;1200000,GC195-GE195,0)</f>
        <v>0</v>
      </c>
      <c r="GH195" t="b">
        <f ca="1">IF(GG195&gt;0,TRUE,FALSE)</f>
        <v>0</v>
      </c>
      <c r="GI195">
        <f ca="1">IF(GH195,GG195,0)</f>
        <v>0</v>
      </c>
      <c r="GJ195">
        <f ca="1">GF195+GI195</f>
        <v>3503</v>
      </c>
      <c r="GK195">
        <f ca="1">ROUND(GC195-GJ195,0)</f>
        <v>0</v>
      </c>
      <c r="GL195">
        <f ca="1">GK195*0.04</f>
        <v>0</v>
      </c>
      <c r="GM195">
        <f ca="1">ROUNDUP(GK195+GL195,0)</f>
        <v>0</v>
      </c>
    </row>
    <row r="196" spans="1:195" x14ac:dyDescent="0.25">
      <c r="A196">
        <f>_xlfn.AGGREGATE(3,5,$B$2:B196)</f>
        <v>195</v>
      </c>
      <c r="B196" t="s">
        <v>503</v>
      </c>
      <c r="C196" t="s">
        <v>504</v>
      </c>
      <c r="D196" t="s">
        <v>802</v>
      </c>
      <c r="E196" t="s">
        <v>833</v>
      </c>
      <c r="F196" t="s">
        <v>959</v>
      </c>
      <c r="G196" t="s">
        <v>926</v>
      </c>
      <c r="H196">
        <f>IF(_xlfn.DAYS("31-03-2025",G196)&gt;=180,6800,0)</f>
        <v>6800</v>
      </c>
      <c r="I196">
        <f>_xlfn.XLOOKUP(B196,'[1]march-2025'!$A:$A,'[1]march-2025'!$J:$J,0,0)</f>
        <v>0</v>
      </c>
      <c r="J196">
        <f>_xlfn.XLOOKUP(B196,'[1]march-2025'!$A:$A,'[1]march-2025'!$C:$C,0,0)</f>
        <v>33500</v>
      </c>
      <c r="K196">
        <f>J196*0.14</f>
        <v>4690</v>
      </c>
      <c r="L196">
        <f>J196*0.12</f>
        <v>4020</v>
      </c>
      <c r="M196">
        <f>_xlfn.XLOOKUP(B196,'[1]march-2025'!$A:$A,'[1]march-2025'!$D:$D,0,0)</f>
        <v>0</v>
      </c>
      <c r="N196">
        <f>_xlfn.XLOOKUP(B196,'[1]march-2025'!$A:$A,'[1]march-2025'!$G:$G,0,0)</f>
        <v>500</v>
      </c>
      <c r="O196">
        <f>IF(J196&gt;0,SUM(J196:N196),0)</f>
        <v>42710</v>
      </c>
      <c r="P196">
        <f>_xlfn.XLOOKUP(B196,'[1]march-2025'!$A:$A,'[1]march-2025'!$H:$H,0,0)</f>
        <v>2500</v>
      </c>
      <c r="Q196">
        <f>_xlfn.XLOOKUP(B196,'[1]march-2025'!$A:$A,'[1]march-2025'!$I:$I,0,0)</f>
        <v>0</v>
      </c>
      <c r="R196">
        <f>IF($F196="YES",0,IF(O196&gt;40000,200,IF(O196&gt;25000,150,IF(O196&gt;15000,130,IF(O196&gt;10000,110,0)))))</f>
        <v>200</v>
      </c>
      <c r="S196">
        <f>O196-P196-Q196-R196</f>
        <v>40010</v>
      </c>
      <c r="T196">
        <f>_xlfn.XLOOKUP(B196,'[2]april-2025'!$A:$A,'[2]april-2025'!$C:$C,0,0)</f>
        <v>33500</v>
      </c>
      <c r="U196">
        <f>T196*0.18</f>
        <v>6030</v>
      </c>
      <c r="V196">
        <f>T196*0.12</f>
        <v>4020</v>
      </c>
      <c r="W196">
        <f>_xlfn.XLOOKUP(B196,'[2]april-2025'!$A:$A,'[2]april-2025'!$D:$D,0,0)</f>
        <v>0</v>
      </c>
      <c r="X196">
        <f>_xlfn.XLOOKUP(B196,'[2]april-2025'!$A:$A,'[2]april-2025'!$G:$G,0,0)</f>
        <v>500</v>
      </c>
      <c r="Y196">
        <f>IF(T196&gt;0,SUM(T196:X196),0)</f>
        <v>44050</v>
      </c>
      <c r="Z196">
        <f>_xlfn.XLOOKUP(B196,'[2]april-2025'!$A:$A,'[2]april-2025'!$H:$H,0,0)</f>
        <v>2500</v>
      </c>
      <c r="AA196">
        <f>_xlfn.XLOOKUP(B196,'[2]april-2025'!$A:$A,'[2]april-2025'!$I:$I,0,0)</f>
        <v>0</v>
      </c>
      <c r="AB196">
        <f>IF($F196="YES",0,IF(Y196&gt;40000,200,IF(Y196&gt;25000,150,IF(Y196&gt;15000,130,IF(Y196&gt;10000,110,0)))))</f>
        <v>200</v>
      </c>
      <c r="AC196">
        <f>Y196-Z196-AA196-AB196</f>
        <v>41350</v>
      </c>
      <c r="AD196">
        <f>_xlfn.XLOOKUP(B196,'[3]may-2025'!$A:$A,'[3]may-2025'!$C:$C,0,0)</f>
        <v>33500</v>
      </c>
      <c r="AE196">
        <f>AD196*0.18</f>
        <v>6030</v>
      </c>
      <c r="AF196">
        <f>AD196*0.12</f>
        <v>4020</v>
      </c>
      <c r="AG196">
        <f>_xlfn.XLOOKUP(B196,'[3]may-2025'!$A:$A,'[3]may-2025'!$D:$D,0,0)</f>
        <v>0</v>
      </c>
      <c r="AH196">
        <f>_xlfn.XLOOKUP(B196,'[3]may-2025'!$A:$A,'[3]may-2025'!$G:$G,0,0)</f>
        <v>500</v>
      </c>
      <c r="AI196">
        <f>IF(AD196&gt;0,SUM(AD196:AH196),0)</f>
        <v>44050</v>
      </c>
      <c r="AJ196">
        <f>_xlfn.XLOOKUP(B196,'[3]may-2025'!$A:$A,'[3]may-2025'!$H:$H,0,0)</f>
        <v>2500</v>
      </c>
      <c r="AK196">
        <f>_xlfn.XLOOKUP(B196,'[3]may-2025'!$A:$A,'[3]may-2025'!$I:$I,0,0)</f>
        <v>0</v>
      </c>
      <c r="AL196">
        <f>IF($F196="YES",0,IF(AI196&gt;40000,200,IF(AI196&gt;25000,150,IF(AI196&gt;15000,130,IF(AI196&gt;10000,110,0)))))</f>
        <v>200</v>
      </c>
      <c r="AM196">
        <f>AI196-AJ196-AK196-AL196</f>
        <v>41350</v>
      </c>
      <c r="AN196">
        <f>_xlfn.XLOOKUP(B196,'[4]june-2025'!$A:$A,'[4]june-2025'!$C:$C,0,0)</f>
        <v>33500</v>
      </c>
      <c r="AO196">
        <f>AN196*0.18</f>
        <v>6030</v>
      </c>
      <c r="AP196">
        <f>AN196*0.12</f>
        <v>4020</v>
      </c>
      <c r="AQ196">
        <f>_xlfn.XLOOKUP(B196,'[4]june-2025'!$A:$A,'[4]june-2025'!$D:$D,0,0)</f>
        <v>0</v>
      </c>
      <c r="AR196">
        <f>_xlfn.XLOOKUP(B196,'[4]june-2025'!$A:$A,'[4]june-2025'!$G:$G,0,0)</f>
        <v>500</v>
      </c>
      <c r="AS196">
        <f>IF(AN196&gt;0,SUM(AN196:AR196),0)</f>
        <v>44050</v>
      </c>
      <c r="AT196">
        <f>_xlfn.XLOOKUP(B196,'[4]june-2025'!$A:$A,'[4]june-2025'!$H:$H,0,0)</f>
        <v>2500</v>
      </c>
      <c r="AU196">
        <f>_xlfn.XLOOKUP(B196,'[4]june-2025'!$A:$A,'[4]june-2025'!$I:$I,0,0)</f>
        <v>0</v>
      </c>
      <c r="AV196">
        <f>IF($F196="YES",0,IF(AS196&gt;40000,200,IF(AS196&gt;25000,150,IF(AS196&gt;15000,130,IF(AS196&gt;10000,110,0)))))</f>
        <v>200</v>
      </c>
      <c r="AW196">
        <f>AS196-AT196-AU196-AV196</f>
        <v>41350</v>
      </c>
      <c r="AX196">
        <f>_xlfn.XLOOKUP(B196,'[5]july-2025'!$A:$A,'[5]july-2025'!$C:$C,0,0)</f>
        <v>34500</v>
      </c>
      <c r="AY196">
        <f>AX196*0.18</f>
        <v>6210</v>
      </c>
      <c r="AZ196">
        <v>0</v>
      </c>
      <c r="BA196">
        <f>AX196*0.12</f>
        <v>4140</v>
      </c>
      <c r="BB196">
        <f>_xlfn.XLOOKUP(B196,'[5]july-2025'!$A:$A,'[5]july-2025'!$D:$D,0,0)</f>
        <v>0</v>
      </c>
      <c r="BC196">
        <f>_xlfn.XLOOKUP(B196,'[5]july-2025'!$A:$A,'[5]july-2025'!$G:$G,0,0)</f>
        <v>500</v>
      </c>
      <c r="BD196">
        <f>IF(AX196&gt;0,SUM(AX196:BC196),0)</f>
        <v>45350</v>
      </c>
      <c r="BE196">
        <f>_xlfn.XLOOKUP(B196,'[5]july-2025'!$A:$A,'[5]july-2025'!$H:$H,0,0)</f>
        <v>2500</v>
      </c>
      <c r="BF196">
        <f>_xlfn.XLOOKUP(B196,'[5]july-2025'!$A:$A,'[5]july-2025'!$I:$I,0,0)</f>
        <v>0</v>
      </c>
      <c r="BG196">
        <f>IF($F196="YES",0,IF(BD196&gt;40000,200,IF(BD196&gt;25000,150,IF(BD196&gt;15000,130,IF(BD196&gt;10000,110,0)))))</f>
        <v>200</v>
      </c>
      <c r="BH196">
        <f>BD196-BE196-BF196-BG196</f>
        <v>42650</v>
      </c>
      <c r="BI196">
        <f>_xlfn.XLOOKUP(B196,'[6]august-2025'!$A:$A,'[6]august-2025'!$C:$C,0,0)</f>
        <v>34500</v>
      </c>
      <c r="BJ196">
        <f>BI196*0.18</f>
        <v>6210</v>
      </c>
      <c r="BK196">
        <f>BI196*0.12</f>
        <v>4140</v>
      </c>
      <c r="BL196">
        <f>_xlfn.XLOOKUP(B196,'[6]august-2025'!$A:$A,'[6]august-2025'!$D:$D,0,0)</f>
        <v>0</v>
      </c>
      <c r="BM196">
        <f>_xlfn.XLOOKUP(B196,'[6]august-2025'!$A:$A,'[6]august-2025'!$G:$G,0,0)</f>
        <v>500</v>
      </c>
      <c r="BN196">
        <f>IF(BI196&gt;0,SUM(BI196:BM196),0)</f>
        <v>45350</v>
      </c>
      <c r="BO196">
        <f>_xlfn.XLOOKUP(B196,'[6]august-2025'!$A:$A,'[6]august-2025'!$H:$H,0,0)</f>
        <v>2500</v>
      </c>
      <c r="BP196">
        <f>_xlfn.XLOOKUP(B196,'[6]august-2025'!$A:$A,'[6]august-2025'!$I:$I,0,0)</f>
        <v>0</v>
      </c>
      <c r="BQ196">
        <f>IF($F196="YES",0,IF(BN196&gt;40000,200,IF(BN196&gt;25000,150,IF(BN196&gt;15000,130,IF(BN196&gt;10000,110,0)))))</f>
        <v>200</v>
      </c>
      <c r="BR196">
        <f>BN196-BO196-BP196-BQ196</f>
        <v>42650</v>
      </c>
      <c r="BS196">
        <f>_xlfn.XLOOKUP(B196,'[7]september-2025'!$A:$A,'[7]september-2025'!$C:$C,0,0)</f>
        <v>34500</v>
      </c>
      <c r="BT196">
        <f>BS196*0.18</f>
        <v>6210</v>
      </c>
      <c r="BU196">
        <f>BS196*0.12</f>
        <v>4140</v>
      </c>
      <c r="BV196">
        <f>_xlfn.XLOOKUP(B196,'[7]september-2025'!$A:$A,'[7]september-2025'!$D:$D,0,0)</f>
        <v>0</v>
      </c>
      <c r="BW196">
        <f>_xlfn.XLOOKUP(B196,'[7]september-2025'!$A:$A,'[7]september-2025'!$G:$G,0,0)</f>
        <v>500</v>
      </c>
      <c r="BX196">
        <f>IF(BS196&gt;0,SUM(BS196:BW196),0)</f>
        <v>45350</v>
      </c>
      <c r="BY196">
        <f>_xlfn.XLOOKUP(B196,'[7]september-2025'!$A:$A,'[7]september-2025'!$H:$H,0,0)</f>
        <v>2500</v>
      </c>
      <c r="BZ196">
        <f>_xlfn.XLOOKUP(B196,'[7]september-2025'!$A:$A,'[7]september-2025'!$I:$I,0,0)</f>
        <v>0</v>
      </c>
      <c r="CA196">
        <f>IF($F196="YES",0,IF(BX196&gt;40000,200,IF(BX196&gt;25000,150,IF(BX196&gt;15000,130,IF(BX196&gt;10000,110,0)))))</f>
        <v>200</v>
      </c>
      <c r="CB196">
        <f>BX196-BY196-BZ196-CA196</f>
        <v>42650</v>
      </c>
      <c r="CC196">
        <f>_xlfn.XLOOKUP(B196,'[8]october-2025'!$A:$A,'[8]october-2025'!$C:$C,0,0)</f>
        <v>34500</v>
      </c>
      <c r="CD196">
        <f>CC196*0.18</f>
        <v>6210</v>
      </c>
      <c r="CE196">
        <f>CC196*0.12</f>
        <v>4140</v>
      </c>
      <c r="CF196">
        <f>_xlfn.XLOOKUP(B196,'[8]october-2025'!$A:$A,'[8]october-2025'!$D:$D,0,0)</f>
        <v>0</v>
      </c>
      <c r="CG196">
        <f>_xlfn.XLOOKUP(B196,'[8]october-2025'!$A:$A,'[8]october-2025'!$G:$G,0,0)</f>
        <v>500</v>
      </c>
      <c r="CH196">
        <f>IF(CC196&gt;0,SUM(CC196:CG196),0)</f>
        <v>45350</v>
      </c>
      <c r="CI196">
        <f>_xlfn.XLOOKUP(B196,'[8]october-2025'!$A:$A,'[8]october-2025'!$H:$H,0,0)</f>
        <v>2500</v>
      </c>
      <c r="CJ196">
        <f>_xlfn.XLOOKUP(B196,'[8]october-2025'!$A:$A,'[8]october-2025'!$I:$I,0,0)</f>
        <v>0</v>
      </c>
      <c r="CK196">
        <f>IF($F196="YES",0,IF(CH196&gt;40000,200,IF(CH196&gt;25000,150,IF(CH196&gt;15000,130,IF(CH196&gt;10000,110,0)))))</f>
        <v>200</v>
      </c>
      <c r="CL196">
        <f>CH196-CI196-CJ196-CK196</f>
        <v>42650</v>
      </c>
      <c r="CM196">
        <f>_xlfn.XLOOKUP(B196,'[9]november-2025'!$A:$A,'[9]november-2025'!$C:$C,0,0)</f>
        <v>34500</v>
      </c>
      <c r="CN196">
        <f>CM196*0.18</f>
        <v>6210</v>
      </c>
      <c r="CO196">
        <f>CM196*0.12</f>
        <v>4140</v>
      </c>
      <c r="CP196">
        <f>_xlfn.XLOOKUP(B196,'[9]november-2025'!$A:$A,'[9]november-2025'!$D:$D,0,0)</f>
        <v>0</v>
      </c>
      <c r="CQ196">
        <f>_xlfn.XLOOKUP(B196,'[9]november-2025'!$A:$A,'[9]november-2025'!$G:$G,0,0)</f>
        <v>500</v>
      </c>
      <c r="CR196">
        <f>IF(CM196&gt;0,SUM(CM196:CQ196),0)</f>
        <v>45350</v>
      </c>
      <c r="CS196">
        <f>_xlfn.XLOOKUP(B196,'[9]november-2025'!$A:$A,'[9]november-2025'!$H:$H,0,0)</f>
        <v>2500</v>
      </c>
      <c r="CT196">
        <f>_xlfn.XLOOKUP(B196,'[9]november-2025'!$A:$A,'[9]november-2025'!$I:$I,0,0)</f>
        <v>0</v>
      </c>
      <c r="CU196">
        <f>IF($F196="YES",0,IF(CR196&gt;40000,200,IF(CR196&gt;25000,150,IF(CR196&gt;15000,130,IF(CR196&gt;10000,110,0)))))</f>
        <v>200</v>
      </c>
      <c r="CV196">
        <f>CR196-CS196-CT196-CU196</f>
        <v>42650</v>
      </c>
      <c r="CW196">
        <f>_xlfn.XLOOKUP(B196,'[10]december-2025'!$A:$A,'[10]december-2025'!$C:$C,0,0)</f>
        <v>34500</v>
      </c>
      <c r="CX196">
        <f>ROUND(CW196*0.18,0)</f>
        <v>6210</v>
      </c>
      <c r="CY196">
        <f>ROUND(CW196*0.12,0)</f>
        <v>4140</v>
      </c>
      <c r="CZ196">
        <f>_xlfn.XLOOKUP(B196,'[10]december-2025'!$A:$A,'[10]december-2025'!$D:$D,0,0)</f>
        <v>0</v>
      </c>
      <c r="DA196">
        <f>_xlfn.XLOOKUP(B196,'[10]december-2025'!$A:$A,'[10]december-2025'!$G:$G,0,0)</f>
        <v>500</v>
      </c>
      <c r="DB196">
        <f>IF(CW196&gt;0,SUM(CW196:DA196),0)</f>
        <v>45350</v>
      </c>
      <c r="DC196">
        <f>_xlfn.XLOOKUP(B196,'[10]december-2025'!$A:$A,'[10]december-2025'!$H:$H,0,0)</f>
        <v>2500</v>
      </c>
      <c r="DD196">
        <f>_xlfn.XLOOKUP(B196,'[10]december-2025'!$A:$A,'[10]december-2025'!$I:$I,0,0)</f>
        <v>0</v>
      </c>
      <c r="DE196">
        <f>IF($F196="YES",0,IF(DB196&gt;40000,200,IF(DB196&gt;25000,150,IF(DB196&gt;15000,130,IF(DB196&gt;10000,110,0)))))</f>
        <v>200</v>
      </c>
      <c r="DF196">
        <f>DB196-DC196-DD196-DE196</f>
        <v>42650</v>
      </c>
      <c r="DG196">
        <f>_xlfn.XLOOKUP(B196,'[11]january-2026'!$A:$A,'[11]january-2026'!$C:$C,0,0)</f>
        <v>34500</v>
      </c>
      <c r="DH196">
        <f>DG196*0.18</f>
        <v>6210</v>
      </c>
      <c r="DI196">
        <f>DG196*0.12</f>
        <v>4140</v>
      </c>
      <c r="DJ196">
        <f>_xlfn.XLOOKUP(B196,'[11]january-2026'!$A:$A,'[11]january-2026'!$D:$D,0,0)</f>
        <v>0</v>
      </c>
      <c r="DK196">
        <f>_xlfn.XLOOKUP(B196,'[11]january-2026'!$A:$A,'[11]january-2026'!$G:$G,0,0)</f>
        <v>500</v>
      </c>
      <c r="DL196">
        <f>IF(DG196&gt;0,SUM(DG196:DK196),0)</f>
        <v>45350</v>
      </c>
      <c r="DM196">
        <f>_xlfn.XLOOKUP(B196,'[11]january-2026'!$A:$A,'[11]january-2026'!$H:$H,0,0)</f>
        <v>2500</v>
      </c>
      <c r="DN196">
        <f>_xlfn.XLOOKUP(B196,'[11]january-2026'!$A:$A,'[11]january-2026'!$I:$I,0,0)</f>
        <v>0</v>
      </c>
      <c r="DO196">
        <f>IF($F196="YES",0,IF(DL196&gt;40000,200,IF(DL196&gt;25000,150,IF(DL196&gt;15000,130,IF(DL196&gt;10000,110,0)))))</f>
        <v>200</v>
      </c>
      <c r="DP196">
        <f>DL196-DM196-DN196-DO196</f>
        <v>42650</v>
      </c>
      <c r="DQ196">
        <f>_xlfn.XLOOKUP(B196,'[12]february-2026'!$A:$A,'[12]february-2026'!$C:$C,0,0)</f>
        <v>34500</v>
      </c>
      <c r="DR196">
        <f>DQ196*0.18</f>
        <v>6210</v>
      </c>
      <c r="DS196">
        <f>DQ196*0.12</f>
        <v>4140</v>
      </c>
      <c r="DT196">
        <f>_xlfn.XLOOKUP(B196,'[12]february-2026'!$A:$A,'[12]february-2026'!$D:$D,0,0)</f>
        <v>0</v>
      </c>
      <c r="DU196">
        <f>_xlfn.XLOOKUP(B196,'[12]february-2026'!$A:$A,'[12]february-2026'!$G:$G,0,0)</f>
        <v>500</v>
      </c>
      <c r="DV196">
        <f>IF(DQ196&gt;0,SUM(DQ196:DU196),0)</f>
        <v>45350</v>
      </c>
      <c r="DW196">
        <f>_xlfn.XLOOKUP(B196,'[12]february-2026'!$A:$A,'[12]february-2026'!$H:$H,0,0)</f>
        <v>2500</v>
      </c>
      <c r="DX196">
        <f>_xlfn.XLOOKUP(B196,'[12]february-2026'!$A:$A,'[12]february-2026'!$I:$I,0,0)</f>
        <v>0</v>
      </c>
      <c r="DY196">
        <f>IF($F196="YES",0,IF(DV196&gt;40000,200,IF(DV196&gt;25000,150,IF(DV196&gt;15000,130,IF(DV196&gt;10000,110,0)))))</f>
        <v>200</v>
      </c>
      <c r="DZ196">
        <f>DV196-DW196-DX196-DY196</f>
        <v>42650</v>
      </c>
      <c r="EA196">
        <f>DV196+DL196+DB196+CR196+CH196+BX196+BN196+BD196+AS196+AI196+Y196+O196+H196+I196</f>
        <v>544460</v>
      </c>
      <c r="EB196">
        <f>DY196+DO196+DE196+CU196+CK196+CA196+BQ196+BG196+AV196+AL196+AB196+R196</f>
        <v>2400</v>
      </c>
      <c r="EC196">
        <f>IF(EA196&gt;0,50000,0)</f>
        <v>50000</v>
      </c>
      <c r="ED196">
        <v>0</v>
      </c>
      <c r="EE196">
        <f>EA196-EB196-EC196</f>
        <v>492060</v>
      </c>
      <c r="EF196">
        <f>DW196+DM196+DC196+CS196+CI196+BY196+BO196+BE196+AT196+AJ196+Z196+P196</f>
        <v>30000</v>
      </c>
      <c r="EG196">
        <f>DX196+DN196+DD196+CT196+CJ196+BZ196+BP196+BF196+AU196+AK196+AA196+Q196</f>
        <v>0</v>
      </c>
      <c r="EH196">
        <v>0</v>
      </c>
      <c r="EI196">
        <v>0</v>
      </c>
      <c r="EJ196">
        <v>0</v>
      </c>
      <c r="EK196">
        <v>0</v>
      </c>
      <c r="EL196">
        <v>0</v>
      </c>
      <c r="EM196">
        <v>0</v>
      </c>
      <c r="EN196">
        <v>0</v>
      </c>
      <c r="EO196">
        <v>0</v>
      </c>
      <c r="EP196">
        <v>0</v>
      </c>
      <c r="EQ196">
        <v>0</v>
      </c>
      <c r="ER196">
        <f>SUM(EF196:EQ196)</f>
        <v>30000</v>
      </c>
      <c r="ES196">
        <f>IF(ER196&gt;=150000,150000,ER196)</f>
        <v>30000</v>
      </c>
      <c r="ET196">
        <f>EE196-ES196</f>
        <v>462060</v>
      </c>
      <c r="EU196">
        <v>0</v>
      </c>
      <c r="EV196">
        <v>0</v>
      </c>
      <c r="EW196">
        <v>0</v>
      </c>
      <c r="EX196">
        <v>0</v>
      </c>
      <c r="EY196">
        <v>0</v>
      </c>
      <c r="EZ196">
        <v>0</v>
      </c>
      <c r="FA196">
        <v>0</v>
      </c>
      <c r="FB196">
        <f>SUM(EU196:FA196)+(IF(F196="YES",50000,0))</f>
        <v>0</v>
      </c>
      <c r="FC196">
        <f>ET196-FB196</f>
        <v>462060</v>
      </c>
      <c r="FD196">
        <f>ROUND(IF(FC196&gt;0,IF(FC196&gt;500000,12500,(FC196-250000)*0.05),0),0)</f>
        <v>10603</v>
      </c>
      <c r="FE196">
        <f>IF(ROUND(IF(FC196&gt;0,IF(FC196&gt;1000000,25000,(FC196-500000)*0.2),0),0)&lt;0,0,ROUND(IF(FC196&gt;0,IF(FC196&gt;1000000,25000,(FC196-500000)*0.2),0),0))</f>
        <v>0</v>
      </c>
      <c r="FF196">
        <f>FD196+FE196</f>
        <v>10603</v>
      </c>
      <c r="FG196">
        <f>IF(FF196&lt;12500,0,FF196)</f>
        <v>0</v>
      </c>
      <c r="FH196">
        <f>FG196*0.04</f>
        <v>0</v>
      </c>
      <c r="FI196">
        <f>ROUND(FH196+FG196,0)</f>
        <v>0</v>
      </c>
      <c r="FJ196">
        <v>0</v>
      </c>
      <c r="FK196">
        <f>FI196-FJ196</f>
        <v>0</v>
      </c>
      <c r="FL196" t="b">
        <f>IF(EA196&gt;500000,TRUE,FALSE)</f>
        <v>1</v>
      </c>
      <c r="FM196">
        <f ca="1">IF(FL196,RANDBETWEEN(500,1000),RANDBETWEEN(1000,3000))</f>
        <v>820</v>
      </c>
      <c r="FN196">
        <f ca="1">EA196+FM196</f>
        <v>545280</v>
      </c>
      <c r="FO196">
        <f>IF(EA196&gt;0,75000,0)</f>
        <v>75000</v>
      </c>
      <c r="FP196">
        <f ca="1">FN196-FO196</f>
        <v>470280</v>
      </c>
      <c r="FQ196">
        <f ca="1">IF(FP196&gt;2400000,FP196-2400000,0)</f>
        <v>0</v>
      </c>
      <c r="FR196">
        <f ca="1">FQ196*0.3</f>
        <v>0</v>
      </c>
      <c r="FS196">
        <f ca="1">IF(FP196&gt;2000000,FP196-2000000,0)</f>
        <v>0</v>
      </c>
      <c r="FT196">
        <f ca="1">FS196*0.25</f>
        <v>0</v>
      </c>
      <c r="FU196">
        <f ca="1">IF(FP196&gt;1600000,FP196-1600000-FQ196,0)</f>
        <v>0</v>
      </c>
      <c r="FV196">
        <f ca="1">FU196*0.2</f>
        <v>0</v>
      </c>
      <c r="FW196">
        <f ca="1">IF(FP196&gt;1200000,FP196-1200000-IF(F196="YES",50000,0)-FU196,0)</f>
        <v>0</v>
      </c>
      <c r="FX196">
        <f ca="1">FW196*0.15</f>
        <v>0</v>
      </c>
      <c r="FY196">
        <f ca="1">IF(FP196&gt;800000,FP196-800000-FQ196-FU196-FW196,0)</f>
        <v>0</v>
      </c>
      <c r="FZ196">
        <f ca="1">FY196*0.1</f>
        <v>0</v>
      </c>
      <c r="GA196">
        <f ca="1">IF(FP196&gt;400000,FP196-400000-FQ196-FU196-FW196-FY196,0)</f>
        <v>70280</v>
      </c>
      <c r="GB196">
        <f ca="1">GA196*0.05</f>
        <v>3514</v>
      </c>
      <c r="GC196">
        <f ca="1">ROUND(FR196+FT196+FV196+FX196+FZ196+GB196,0)</f>
        <v>3514</v>
      </c>
      <c r="GD196">
        <f ca="1">IF(FP196&gt;1200000,FP196,0)</f>
        <v>0</v>
      </c>
      <c r="GE196">
        <f ca="1">IF(FP196&gt;1200000,GD196-1200000,0)</f>
        <v>0</v>
      </c>
      <c r="GF196">
        <f ca="1">IF(FP196&lt;1200001,MIN(GC196,60000),0)</f>
        <v>3514</v>
      </c>
      <c r="GG196">
        <f ca="1">IF(FP196&gt;1200000,GC196-GE196,0)</f>
        <v>0</v>
      </c>
      <c r="GH196" t="b">
        <f ca="1">IF(GG196&gt;0,TRUE,FALSE)</f>
        <v>0</v>
      </c>
      <c r="GI196">
        <f ca="1">IF(GH196,GG196,0)</f>
        <v>0</v>
      </c>
      <c r="GJ196">
        <f ca="1">GF196+GI196</f>
        <v>3514</v>
      </c>
      <c r="GK196">
        <f ca="1">ROUND(GC196-GJ196,0)</f>
        <v>0</v>
      </c>
      <c r="GL196">
        <f ca="1">GK196*0.04</f>
        <v>0</v>
      </c>
      <c r="GM196">
        <f ca="1">ROUNDUP(GK196+GL196,0)</f>
        <v>0</v>
      </c>
    </row>
    <row r="197" spans="1:195" x14ac:dyDescent="0.25">
      <c r="A197">
        <f>_xlfn.AGGREGATE(3,5,$B$2:B197)</f>
        <v>196</v>
      </c>
      <c r="B197" t="s">
        <v>505</v>
      </c>
      <c r="C197" t="s">
        <v>506</v>
      </c>
      <c r="D197" t="s">
        <v>802</v>
      </c>
      <c r="E197" t="s">
        <v>833</v>
      </c>
      <c r="F197" t="s">
        <v>959</v>
      </c>
      <c r="G197" t="s">
        <v>926</v>
      </c>
      <c r="H197">
        <f>IF(_xlfn.DAYS("31-03-2025",G197)&gt;=180,6800,0)</f>
        <v>6800</v>
      </c>
      <c r="I197">
        <f>_xlfn.XLOOKUP(B197,'[1]march-2025'!$A:$A,'[1]march-2025'!$J:$J,0,0)</f>
        <v>0</v>
      </c>
      <c r="J197">
        <f>_xlfn.XLOOKUP(B197,'[1]march-2025'!$A:$A,'[1]march-2025'!$C:$C,0,0)</f>
        <v>33500</v>
      </c>
      <c r="K197">
        <f>J197*0.14</f>
        <v>4690</v>
      </c>
      <c r="L197">
        <f>J197*0.12</f>
        <v>4020</v>
      </c>
      <c r="M197">
        <f>_xlfn.XLOOKUP(B197,'[1]march-2025'!$A:$A,'[1]march-2025'!$D:$D,0,0)</f>
        <v>0</v>
      </c>
      <c r="N197">
        <f>_xlfn.XLOOKUP(B197,'[1]march-2025'!$A:$A,'[1]march-2025'!$G:$G,0,0)</f>
        <v>500</v>
      </c>
      <c r="O197">
        <f>IF(J197&gt;0,SUM(J197:N197),0)</f>
        <v>42710</v>
      </c>
      <c r="P197">
        <f>_xlfn.XLOOKUP(B197,'[1]march-2025'!$A:$A,'[1]march-2025'!$H:$H,0,0)</f>
        <v>3000</v>
      </c>
      <c r="Q197">
        <f>_xlfn.XLOOKUP(B197,'[1]march-2025'!$A:$A,'[1]march-2025'!$I:$I,0,0)</f>
        <v>0</v>
      </c>
      <c r="R197">
        <f>IF($F197="YES",0,IF(O197&gt;40000,200,IF(O197&gt;25000,150,IF(O197&gt;15000,130,IF(O197&gt;10000,110,0)))))</f>
        <v>200</v>
      </c>
      <c r="S197">
        <f>O197-P197-Q197-R197</f>
        <v>39510</v>
      </c>
      <c r="T197">
        <f>_xlfn.XLOOKUP(B197,'[2]april-2025'!$A:$A,'[2]april-2025'!$C:$C,0,0)</f>
        <v>33500</v>
      </c>
      <c r="U197">
        <f>T197*0.18</f>
        <v>6030</v>
      </c>
      <c r="V197">
        <f>T197*0.12</f>
        <v>4020</v>
      </c>
      <c r="W197">
        <f>_xlfn.XLOOKUP(B197,'[2]april-2025'!$A:$A,'[2]april-2025'!$D:$D,0,0)</f>
        <v>0</v>
      </c>
      <c r="X197">
        <f>_xlfn.XLOOKUP(B197,'[2]april-2025'!$A:$A,'[2]april-2025'!$G:$G,0,0)</f>
        <v>500</v>
      </c>
      <c r="Y197">
        <f>IF(T197&gt;0,SUM(T197:X197),0)</f>
        <v>44050</v>
      </c>
      <c r="Z197">
        <f>_xlfn.XLOOKUP(B197,'[2]april-2025'!$A:$A,'[2]april-2025'!$H:$H,0,0)</f>
        <v>3000</v>
      </c>
      <c r="AA197">
        <f>_xlfn.XLOOKUP(B197,'[2]april-2025'!$A:$A,'[2]april-2025'!$I:$I,0,0)</f>
        <v>0</v>
      </c>
      <c r="AB197">
        <f>IF($F197="YES",0,IF(Y197&gt;40000,200,IF(Y197&gt;25000,150,IF(Y197&gt;15000,130,IF(Y197&gt;10000,110,0)))))</f>
        <v>200</v>
      </c>
      <c r="AC197">
        <f>Y197-Z197-AA197-AB197</f>
        <v>40850</v>
      </c>
      <c r="AD197">
        <f>_xlfn.XLOOKUP(B197,'[3]may-2025'!$A:$A,'[3]may-2025'!$C:$C,0,0)</f>
        <v>33500</v>
      </c>
      <c r="AE197">
        <f>AD197*0.18</f>
        <v>6030</v>
      </c>
      <c r="AF197">
        <f>AD197*0.12</f>
        <v>4020</v>
      </c>
      <c r="AG197">
        <f>_xlfn.XLOOKUP(B197,'[3]may-2025'!$A:$A,'[3]may-2025'!$D:$D,0,0)</f>
        <v>0</v>
      </c>
      <c r="AH197">
        <f>_xlfn.XLOOKUP(B197,'[3]may-2025'!$A:$A,'[3]may-2025'!$G:$G,0,0)</f>
        <v>500</v>
      </c>
      <c r="AI197">
        <f>IF(AD197&gt;0,SUM(AD197:AH197),0)</f>
        <v>44050</v>
      </c>
      <c r="AJ197">
        <f>_xlfn.XLOOKUP(B197,'[3]may-2025'!$A:$A,'[3]may-2025'!$H:$H,0,0)</f>
        <v>3000</v>
      </c>
      <c r="AK197">
        <f>_xlfn.XLOOKUP(B197,'[3]may-2025'!$A:$A,'[3]may-2025'!$I:$I,0,0)</f>
        <v>0</v>
      </c>
      <c r="AL197">
        <f>IF($F197="YES",0,IF(AI197&gt;40000,200,IF(AI197&gt;25000,150,IF(AI197&gt;15000,130,IF(AI197&gt;10000,110,0)))))</f>
        <v>200</v>
      </c>
      <c r="AM197">
        <f>AI197-AJ197-AK197-AL197</f>
        <v>40850</v>
      </c>
      <c r="AN197">
        <f>_xlfn.XLOOKUP(B197,'[4]june-2025'!$A:$A,'[4]june-2025'!$C:$C,0,0)</f>
        <v>33500</v>
      </c>
      <c r="AO197">
        <f>AN197*0.18</f>
        <v>6030</v>
      </c>
      <c r="AP197">
        <f>AN197*0.12</f>
        <v>4020</v>
      </c>
      <c r="AQ197">
        <f>_xlfn.XLOOKUP(B197,'[4]june-2025'!$A:$A,'[4]june-2025'!$D:$D,0,0)</f>
        <v>0</v>
      </c>
      <c r="AR197">
        <f>_xlfn.XLOOKUP(B197,'[4]june-2025'!$A:$A,'[4]june-2025'!$G:$G,0,0)</f>
        <v>500</v>
      </c>
      <c r="AS197">
        <f>IF(AN197&gt;0,SUM(AN197:AR197),0)</f>
        <v>44050</v>
      </c>
      <c r="AT197">
        <f>_xlfn.XLOOKUP(B197,'[4]june-2025'!$A:$A,'[4]june-2025'!$H:$H,0,0)</f>
        <v>3000</v>
      </c>
      <c r="AU197">
        <f>_xlfn.XLOOKUP(B197,'[4]june-2025'!$A:$A,'[4]june-2025'!$I:$I,0,0)</f>
        <v>0</v>
      </c>
      <c r="AV197">
        <f>IF($F197="YES",0,IF(AS197&gt;40000,200,IF(AS197&gt;25000,150,IF(AS197&gt;15000,130,IF(AS197&gt;10000,110,0)))))</f>
        <v>200</v>
      </c>
      <c r="AW197">
        <f>AS197-AT197-AU197-AV197</f>
        <v>40850</v>
      </c>
      <c r="AX197">
        <f>_xlfn.XLOOKUP(B197,'[5]july-2025'!$A:$A,'[5]july-2025'!$C:$C,0,0)</f>
        <v>34500</v>
      </c>
      <c r="AY197">
        <f>AX197*0.18</f>
        <v>6210</v>
      </c>
      <c r="AZ197">
        <v>0</v>
      </c>
      <c r="BA197">
        <f>AX197*0.12</f>
        <v>4140</v>
      </c>
      <c r="BB197">
        <f>_xlfn.XLOOKUP(B197,'[5]july-2025'!$A:$A,'[5]july-2025'!$D:$D,0,0)</f>
        <v>0</v>
      </c>
      <c r="BC197">
        <f>_xlfn.XLOOKUP(B197,'[5]july-2025'!$A:$A,'[5]july-2025'!$G:$G,0,0)</f>
        <v>500</v>
      </c>
      <c r="BD197">
        <f>IF(AX197&gt;0,SUM(AX197:BC197),0)</f>
        <v>45350</v>
      </c>
      <c r="BE197">
        <f>_xlfn.XLOOKUP(B197,'[5]july-2025'!$A:$A,'[5]july-2025'!$H:$H,0,0)</f>
        <v>3000</v>
      </c>
      <c r="BF197">
        <f>_xlfn.XLOOKUP(B197,'[5]july-2025'!$A:$A,'[5]july-2025'!$I:$I,0,0)</f>
        <v>0</v>
      </c>
      <c r="BG197">
        <f>IF($F197="YES",0,IF(BD197&gt;40000,200,IF(BD197&gt;25000,150,IF(BD197&gt;15000,130,IF(BD197&gt;10000,110,0)))))</f>
        <v>200</v>
      </c>
      <c r="BH197">
        <f>BD197-BE197-BF197-BG197</f>
        <v>42150</v>
      </c>
      <c r="BI197">
        <f>_xlfn.XLOOKUP(B197,'[6]august-2025'!$A:$A,'[6]august-2025'!$C:$C,0,0)</f>
        <v>34500</v>
      </c>
      <c r="BJ197">
        <f>BI197*0.18</f>
        <v>6210</v>
      </c>
      <c r="BK197">
        <f>BI197*0.12</f>
        <v>4140</v>
      </c>
      <c r="BL197">
        <f>_xlfn.XLOOKUP(B197,'[6]august-2025'!$A:$A,'[6]august-2025'!$D:$D,0,0)</f>
        <v>0</v>
      </c>
      <c r="BM197">
        <f>_xlfn.XLOOKUP(B197,'[6]august-2025'!$A:$A,'[6]august-2025'!$G:$G,0,0)</f>
        <v>500</v>
      </c>
      <c r="BN197">
        <f>IF(BI197&gt;0,SUM(BI197:BM197),0)</f>
        <v>45350</v>
      </c>
      <c r="BO197">
        <f>_xlfn.XLOOKUP(B197,'[6]august-2025'!$A:$A,'[6]august-2025'!$H:$H,0,0)</f>
        <v>3000</v>
      </c>
      <c r="BP197">
        <f>_xlfn.XLOOKUP(B197,'[6]august-2025'!$A:$A,'[6]august-2025'!$I:$I,0,0)</f>
        <v>0</v>
      </c>
      <c r="BQ197">
        <f>IF($F197="YES",0,IF(BN197&gt;40000,200,IF(BN197&gt;25000,150,IF(BN197&gt;15000,130,IF(BN197&gt;10000,110,0)))))</f>
        <v>200</v>
      </c>
      <c r="BR197">
        <f>BN197-BO197-BP197-BQ197</f>
        <v>42150</v>
      </c>
      <c r="BS197">
        <f>_xlfn.XLOOKUP(B197,'[7]september-2025'!$A:$A,'[7]september-2025'!$C:$C,0,0)</f>
        <v>34500</v>
      </c>
      <c r="BT197">
        <f>BS197*0.18</f>
        <v>6210</v>
      </c>
      <c r="BU197">
        <f>BS197*0.12</f>
        <v>4140</v>
      </c>
      <c r="BV197">
        <f>_xlfn.XLOOKUP(B197,'[7]september-2025'!$A:$A,'[7]september-2025'!$D:$D,0,0)</f>
        <v>0</v>
      </c>
      <c r="BW197">
        <f>_xlfn.XLOOKUP(B197,'[7]september-2025'!$A:$A,'[7]september-2025'!$G:$G,0,0)</f>
        <v>500</v>
      </c>
      <c r="BX197">
        <f>IF(BS197&gt;0,SUM(BS197:BW197),0)</f>
        <v>45350</v>
      </c>
      <c r="BY197">
        <f>_xlfn.XLOOKUP(B197,'[7]september-2025'!$A:$A,'[7]september-2025'!$H:$H,0,0)</f>
        <v>3000</v>
      </c>
      <c r="BZ197">
        <f>_xlfn.XLOOKUP(B197,'[7]september-2025'!$A:$A,'[7]september-2025'!$I:$I,0,0)</f>
        <v>0</v>
      </c>
      <c r="CA197">
        <f>IF($F197="YES",0,IF(BX197&gt;40000,200,IF(BX197&gt;25000,150,IF(BX197&gt;15000,130,IF(BX197&gt;10000,110,0)))))</f>
        <v>200</v>
      </c>
      <c r="CB197">
        <f>BX197-BY197-BZ197-CA197</f>
        <v>42150</v>
      </c>
      <c r="CC197">
        <f>_xlfn.XLOOKUP(B197,'[8]october-2025'!$A:$A,'[8]october-2025'!$C:$C,0,0)</f>
        <v>34500</v>
      </c>
      <c r="CD197">
        <f>CC197*0.18</f>
        <v>6210</v>
      </c>
      <c r="CE197">
        <f>CC197*0.12</f>
        <v>4140</v>
      </c>
      <c r="CF197">
        <f>_xlfn.XLOOKUP(B197,'[8]october-2025'!$A:$A,'[8]october-2025'!$D:$D,0,0)</f>
        <v>0</v>
      </c>
      <c r="CG197">
        <f>_xlfn.XLOOKUP(B197,'[8]october-2025'!$A:$A,'[8]october-2025'!$G:$G,0,0)</f>
        <v>500</v>
      </c>
      <c r="CH197">
        <f>IF(CC197&gt;0,SUM(CC197:CG197),0)</f>
        <v>45350</v>
      </c>
      <c r="CI197">
        <f>_xlfn.XLOOKUP(B197,'[8]october-2025'!$A:$A,'[8]october-2025'!$H:$H,0,0)</f>
        <v>3000</v>
      </c>
      <c r="CJ197">
        <f>_xlfn.XLOOKUP(B197,'[8]october-2025'!$A:$A,'[8]october-2025'!$I:$I,0,0)</f>
        <v>0</v>
      </c>
      <c r="CK197">
        <f>IF($F197="YES",0,IF(CH197&gt;40000,200,IF(CH197&gt;25000,150,IF(CH197&gt;15000,130,IF(CH197&gt;10000,110,0)))))</f>
        <v>200</v>
      </c>
      <c r="CL197">
        <f>CH197-CI197-CJ197-CK197</f>
        <v>42150</v>
      </c>
      <c r="CM197">
        <f>_xlfn.XLOOKUP(B197,'[9]november-2025'!$A:$A,'[9]november-2025'!$C:$C,0,0)</f>
        <v>34500</v>
      </c>
      <c r="CN197">
        <f>CM197*0.18</f>
        <v>6210</v>
      </c>
      <c r="CO197">
        <f>CM197*0.12</f>
        <v>4140</v>
      </c>
      <c r="CP197">
        <f>_xlfn.XLOOKUP(B197,'[9]november-2025'!$A:$A,'[9]november-2025'!$D:$D,0,0)</f>
        <v>0</v>
      </c>
      <c r="CQ197">
        <f>_xlfn.XLOOKUP(B197,'[9]november-2025'!$A:$A,'[9]november-2025'!$G:$G,0,0)</f>
        <v>500</v>
      </c>
      <c r="CR197">
        <f>IF(CM197&gt;0,SUM(CM197:CQ197),0)</f>
        <v>45350</v>
      </c>
      <c r="CS197">
        <f>_xlfn.XLOOKUP(B197,'[9]november-2025'!$A:$A,'[9]november-2025'!$H:$H,0,0)</f>
        <v>3000</v>
      </c>
      <c r="CT197">
        <f>_xlfn.XLOOKUP(B197,'[9]november-2025'!$A:$A,'[9]november-2025'!$I:$I,0,0)</f>
        <v>0</v>
      </c>
      <c r="CU197">
        <f>IF($F197="YES",0,IF(CR197&gt;40000,200,IF(CR197&gt;25000,150,IF(CR197&gt;15000,130,IF(CR197&gt;10000,110,0)))))</f>
        <v>200</v>
      </c>
      <c r="CV197">
        <f>CR197-CS197-CT197-CU197</f>
        <v>42150</v>
      </c>
      <c r="CW197">
        <f>_xlfn.XLOOKUP(B197,'[10]december-2025'!$A:$A,'[10]december-2025'!$C:$C,0,0)</f>
        <v>34500</v>
      </c>
      <c r="CX197">
        <f>ROUND(CW197*0.18,0)</f>
        <v>6210</v>
      </c>
      <c r="CY197">
        <f>ROUND(CW197*0.12,0)</f>
        <v>4140</v>
      </c>
      <c r="CZ197">
        <f>_xlfn.XLOOKUP(B197,'[10]december-2025'!$A:$A,'[10]december-2025'!$D:$D,0,0)</f>
        <v>0</v>
      </c>
      <c r="DA197">
        <f>_xlfn.XLOOKUP(B197,'[10]december-2025'!$A:$A,'[10]december-2025'!$G:$G,0,0)</f>
        <v>500</v>
      </c>
      <c r="DB197">
        <f>IF(CW197&gt;0,SUM(CW197:DA197),0)</f>
        <v>45350</v>
      </c>
      <c r="DC197">
        <f>_xlfn.XLOOKUP(B197,'[10]december-2025'!$A:$A,'[10]december-2025'!$H:$H,0,0)</f>
        <v>3000</v>
      </c>
      <c r="DD197">
        <f>_xlfn.XLOOKUP(B197,'[10]december-2025'!$A:$A,'[10]december-2025'!$I:$I,0,0)</f>
        <v>0</v>
      </c>
      <c r="DE197">
        <f>IF($F197="YES",0,IF(DB197&gt;40000,200,IF(DB197&gt;25000,150,IF(DB197&gt;15000,130,IF(DB197&gt;10000,110,0)))))</f>
        <v>200</v>
      </c>
      <c r="DF197">
        <f>DB197-DC197-DD197-DE197</f>
        <v>42150</v>
      </c>
      <c r="DG197">
        <f>_xlfn.XLOOKUP(B197,'[11]january-2026'!$A:$A,'[11]january-2026'!$C:$C,0,0)</f>
        <v>34500</v>
      </c>
      <c r="DH197">
        <f>DG197*0.18</f>
        <v>6210</v>
      </c>
      <c r="DI197">
        <f>DG197*0.12</f>
        <v>4140</v>
      </c>
      <c r="DJ197">
        <f>_xlfn.XLOOKUP(B197,'[11]january-2026'!$A:$A,'[11]january-2026'!$D:$D,0,0)</f>
        <v>0</v>
      </c>
      <c r="DK197">
        <f>_xlfn.XLOOKUP(B197,'[11]january-2026'!$A:$A,'[11]january-2026'!$G:$G,0,0)</f>
        <v>500</v>
      </c>
      <c r="DL197">
        <f>IF(DG197&gt;0,SUM(DG197:DK197),0)</f>
        <v>45350</v>
      </c>
      <c r="DM197">
        <f>_xlfn.XLOOKUP(B197,'[11]january-2026'!$A:$A,'[11]january-2026'!$H:$H,0,0)</f>
        <v>3000</v>
      </c>
      <c r="DN197">
        <f>_xlfn.XLOOKUP(B197,'[11]january-2026'!$A:$A,'[11]january-2026'!$I:$I,0,0)</f>
        <v>0</v>
      </c>
      <c r="DO197">
        <f>IF($F197="YES",0,IF(DL197&gt;40000,200,IF(DL197&gt;25000,150,IF(DL197&gt;15000,130,IF(DL197&gt;10000,110,0)))))</f>
        <v>200</v>
      </c>
      <c r="DP197">
        <f>DL197-DM197-DN197-DO197</f>
        <v>42150</v>
      </c>
      <c r="DQ197">
        <f>_xlfn.XLOOKUP(B197,'[12]february-2026'!$A:$A,'[12]february-2026'!$C:$C,0,0)</f>
        <v>34500</v>
      </c>
      <c r="DR197">
        <f>DQ197*0.18</f>
        <v>6210</v>
      </c>
      <c r="DS197">
        <f>DQ197*0.12</f>
        <v>4140</v>
      </c>
      <c r="DT197">
        <f>_xlfn.XLOOKUP(B197,'[12]february-2026'!$A:$A,'[12]february-2026'!$D:$D,0,0)</f>
        <v>0</v>
      </c>
      <c r="DU197">
        <f>_xlfn.XLOOKUP(B197,'[12]february-2026'!$A:$A,'[12]february-2026'!$G:$G,0,0)</f>
        <v>500</v>
      </c>
      <c r="DV197">
        <f>IF(DQ197&gt;0,SUM(DQ197:DU197),0)</f>
        <v>45350</v>
      </c>
      <c r="DW197">
        <f>_xlfn.XLOOKUP(B197,'[12]february-2026'!$A:$A,'[12]february-2026'!$H:$H,0,0)</f>
        <v>3000</v>
      </c>
      <c r="DX197">
        <f>_xlfn.XLOOKUP(B197,'[12]february-2026'!$A:$A,'[12]february-2026'!$I:$I,0,0)</f>
        <v>0</v>
      </c>
      <c r="DY197">
        <f>IF($F197="YES",0,IF(DV197&gt;40000,200,IF(DV197&gt;25000,150,IF(DV197&gt;15000,130,IF(DV197&gt;10000,110,0)))))</f>
        <v>200</v>
      </c>
      <c r="DZ197">
        <f>DV197-DW197-DX197-DY197</f>
        <v>42150</v>
      </c>
      <c r="EA197">
        <f>DV197+DL197+DB197+CR197+CH197+BX197+BN197+BD197+AS197+AI197+Y197+O197+H197+I197</f>
        <v>544460</v>
      </c>
      <c r="EB197">
        <f>DY197+DO197+DE197+CU197+CK197+CA197+BQ197+BG197+AV197+AL197+AB197+R197</f>
        <v>2400</v>
      </c>
      <c r="EC197">
        <f>IF(EA197&gt;0,50000,0)</f>
        <v>50000</v>
      </c>
      <c r="ED197">
        <v>0</v>
      </c>
      <c r="EE197">
        <f>EA197-EB197-EC197</f>
        <v>492060</v>
      </c>
      <c r="EF197">
        <f>DW197+DM197+DC197+CS197+CI197+BY197+BO197+BE197+AT197+AJ197+Z197+P197</f>
        <v>36000</v>
      </c>
      <c r="EG197">
        <f>DX197+DN197+DD197+CT197+CJ197+BZ197+BP197+BF197+AU197+AK197+AA197+Q197</f>
        <v>0</v>
      </c>
      <c r="EH197">
        <v>0</v>
      </c>
      <c r="EI197">
        <v>0</v>
      </c>
      <c r="EJ197">
        <v>0</v>
      </c>
      <c r="EK197">
        <v>0</v>
      </c>
      <c r="EL197">
        <v>0</v>
      </c>
      <c r="EM197">
        <v>0</v>
      </c>
      <c r="EN197">
        <v>0</v>
      </c>
      <c r="EO197">
        <v>0</v>
      </c>
      <c r="EP197">
        <v>0</v>
      </c>
      <c r="EQ197">
        <v>0</v>
      </c>
      <c r="ER197">
        <f>SUM(EF197:EQ197)</f>
        <v>36000</v>
      </c>
      <c r="ES197">
        <f>IF(ER197&gt;=150000,150000,ER197)</f>
        <v>36000</v>
      </c>
      <c r="ET197">
        <f>EE197-ES197</f>
        <v>456060</v>
      </c>
      <c r="EU197">
        <v>0</v>
      </c>
      <c r="EV197">
        <v>0</v>
      </c>
      <c r="EW197">
        <v>0</v>
      </c>
      <c r="EX197">
        <v>0</v>
      </c>
      <c r="EY197">
        <v>0</v>
      </c>
      <c r="EZ197">
        <v>0</v>
      </c>
      <c r="FA197">
        <v>0</v>
      </c>
      <c r="FB197">
        <f>SUM(EU197:FA197)+(IF(F197="YES",50000,0))</f>
        <v>0</v>
      </c>
      <c r="FC197">
        <f>ET197-FB197</f>
        <v>456060</v>
      </c>
      <c r="FD197">
        <f>ROUND(IF(FC197&gt;0,IF(FC197&gt;500000,12500,(FC197-250000)*0.05),0),0)</f>
        <v>10303</v>
      </c>
      <c r="FE197">
        <f>IF(ROUND(IF(FC197&gt;0,IF(FC197&gt;1000000,25000,(FC197-500000)*0.2),0),0)&lt;0,0,ROUND(IF(FC197&gt;0,IF(FC197&gt;1000000,25000,(FC197-500000)*0.2),0),0))</f>
        <v>0</v>
      </c>
      <c r="FF197">
        <f>FD197+FE197</f>
        <v>10303</v>
      </c>
      <c r="FG197">
        <f>IF(FF197&lt;12500,0,FF197)</f>
        <v>0</v>
      </c>
      <c r="FH197">
        <f>FG197*0.04</f>
        <v>0</v>
      </c>
      <c r="FI197">
        <f>ROUND(FH197+FG197,0)</f>
        <v>0</v>
      </c>
      <c r="FJ197">
        <v>0</v>
      </c>
      <c r="FK197">
        <f>FI197-FJ197</f>
        <v>0</v>
      </c>
      <c r="FL197" t="b">
        <f>IF(EA197&gt;500000,TRUE,FALSE)</f>
        <v>1</v>
      </c>
      <c r="FM197">
        <f ca="1">IF(FL197,RANDBETWEEN(500,1000),RANDBETWEEN(1000,3000))</f>
        <v>614</v>
      </c>
      <c r="FN197">
        <f ca="1">EA197+FM197</f>
        <v>545074</v>
      </c>
      <c r="FO197">
        <f>IF(EA197&gt;0,75000,0)</f>
        <v>75000</v>
      </c>
      <c r="FP197">
        <f ca="1">FN197-FO197</f>
        <v>470074</v>
      </c>
      <c r="FQ197">
        <f ca="1">IF(FP197&gt;2400000,FP197-2400000,0)</f>
        <v>0</v>
      </c>
      <c r="FR197">
        <f ca="1">FQ197*0.3</f>
        <v>0</v>
      </c>
      <c r="FS197">
        <f ca="1">IF(FP197&gt;2000000,FP197-2000000,0)</f>
        <v>0</v>
      </c>
      <c r="FT197">
        <f ca="1">FS197*0.25</f>
        <v>0</v>
      </c>
      <c r="FU197">
        <f ca="1">IF(FP197&gt;1600000,FP197-1600000-FQ197,0)</f>
        <v>0</v>
      </c>
      <c r="FV197">
        <f ca="1">FU197*0.2</f>
        <v>0</v>
      </c>
      <c r="FW197">
        <f ca="1">IF(FP197&gt;1200000,FP197-1200000-IF(F197="YES",50000,0)-FU197,0)</f>
        <v>0</v>
      </c>
      <c r="FX197">
        <f ca="1">FW197*0.15</f>
        <v>0</v>
      </c>
      <c r="FY197">
        <f ca="1">IF(FP197&gt;800000,FP197-800000-FQ197-FU197-FW197,0)</f>
        <v>0</v>
      </c>
      <c r="FZ197">
        <f ca="1">FY197*0.1</f>
        <v>0</v>
      </c>
      <c r="GA197">
        <f ca="1">IF(FP197&gt;400000,FP197-400000-FQ197-FU197-FW197-FY197,0)</f>
        <v>70074</v>
      </c>
      <c r="GB197">
        <f ca="1">GA197*0.05</f>
        <v>3503.7000000000003</v>
      </c>
      <c r="GC197">
        <f ca="1">ROUND(FR197+FT197+FV197+FX197+FZ197+GB197,0)</f>
        <v>3504</v>
      </c>
      <c r="GD197">
        <f ca="1">IF(FP197&gt;1200000,FP197,0)</f>
        <v>0</v>
      </c>
      <c r="GE197">
        <f ca="1">IF(FP197&gt;1200000,GD197-1200000,0)</f>
        <v>0</v>
      </c>
      <c r="GF197">
        <f ca="1">IF(FP197&lt;1200001,MIN(GC197,60000),0)</f>
        <v>3504</v>
      </c>
      <c r="GG197">
        <f ca="1">IF(FP197&gt;1200000,GC197-GE197,0)</f>
        <v>0</v>
      </c>
      <c r="GH197" t="b">
        <f ca="1">IF(GG197&gt;0,TRUE,FALSE)</f>
        <v>0</v>
      </c>
      <c r="GI197">
        <f ca="1">IF(GH197,GG197,0)</f>
        <v>0</v>
      </c>
      <c r="GJ197">
        <f ca="1">GF197+GI197</f>
        <v>3504</v>
      </c>
      <c r="GK197">
        <f ca="1">ROUND(GC197-GJ197,0)</f>
        <v>0</v>
      </c>
      <c r="GL197">
        <f ca="1">GK197*0.04</f>
        <v>0</v>
      </c>
      <c r="GM197">
        <f ca="1">ROUNDUP(GK197+GL197,0)</f>
        <v>0</v>
      </c>
    </row>
    <row r="198" spans="1:195" x14ac:dyDescent="0.25">
      <c r="A198">
        <f>_xlfn.AGGREGATE(3,5,$B$2:B198)</f>
        <v>197</v>
      </c>
      <c r="B198" t="s">
        <v>507</v>
      </c>
      <c r="C198" t="s">
        <v>508</v>
      </c>
      <c r="D198" t="s">
        <v>802</v>
      </c>
      <c r="E198" t="s">
        <v>833</v>
      </c>
      <c r="F198" t="s">
        <v>960</v>
      </c>
      <c r="G198" t="s">
        <v>939</v>
      </c>
      <c r="H198">
        <f>IF(_xlfn.DAYS("31-03-2025",G198)&gt;=180,6800,0)</f>
        <v>6800</v>
      </c>
      <c r="I198">
        <f>_xlfn.XLOOKUP(B198,'[1]march-2025'!$A:$A,'[1]march-2025'!$J:$J,0,0)</f>
        <v>0</v>
      </c>
      <c r="J198">
        <f>_xlfn.XLOOKUP(B198,'[1]march-2025'!$A:$A,'[1]march-2025'!$C:$C,0,0)</f>
        <v>37700</v>
      </c>
      <c r="K198">
        <f>J198*0.14</f>
        <v>5278.0000000000009</v>
      </c>
      <c r="L198">
        <f>J198*0.12</f>
        <v>4524</v>
      </c>
      <c r="M198">
        <f>_xlfn.XLOOKUP(B198,'[1]march-2025'!$A:$A,'[1]march-2025'!$D:$D,0,0)</f>
        <v>0</v>
      </c>
      <c r="N198">
        <f>_xlfn.XLOOKUP(B198,'[1]march-2025'!$A:$A,'[1]march-2025'!$G:$G,0,0)</f>
        <v>500</v>
      </c>
      <c r="O198">
        <f>IF(J198&gt;0,SUM(J198:N198),0)</f>
        <v>48002</v>
      </c>
      <c r="P198">
        <f>_xlfn.XLOOKUP(B198,'[1]march-2025'!$A:$A,'[1]march-2025'!$H:$H,0,0)</f>
        <v>5000</v>
      </c>
      <c r="Q198">
        <f>_xlfn.XLOOKUP(B198,'[1]march-2025'!$A:$A,'[1]march-2025'!$I:$I,0,0)</f>
        <v>0</v>
      </c>
      <c r="R198">
        <f>IF($F198="YES",0,IF(O198&gt;40000,200,IF(O198&gt;25000,150,IF(O198&gt;15000,130,IF(O198&gt;10000,110,0)))))</f>
        <v>0</v>
      </c>
      <c r="S198">
        <f>O198-P198-Q198-R198</f>
        <v>43002</v>
      </c>
      <c r="T198">
        <f>_xlfn.XLOOKUP(B198,'[2]april-2025'!$A:$A,'[2]april-2025'!$C:$C,0,0)</f>
        <v>37700</v>
      </c>
      <c r="U198">
        <f>T198*0.18</f>
        <v>6786</v>
      </c>
      <c r="V198">
        <f>T198*0.12</f>
        <v>4524</v>
      </c>
      <c r="W198">
        <f>_xlfn.XLOOKUP(B198,'[2]april-2025'!$A:$A,'[2]april-2025'!$D:$D,0,0)</f>
        <v>0</v>
      </c>
      <c r="X198">
        <f>_xlfn.XLOOKUP(B198,'[2]april-2025'!$A:$A,'[2]april-2025'!$G:$G,0,0)</f>
        <v>500</v>
      </c>
      <c r="Y198">
        <f>IF(T198&gt;0,SUM(T198:X198),0)</f>
        <v>49510</v>
      </c>
      <c r="Z198">
        <f>_xlfn.XLOOKUP(B198,'[2]april-2025'!$A:$A,'[2]april-2025'!$H:$H,0,0)</f>
        <v>5000</v>
      </c>
      <c r="AA198">
        <f>_xlfn.XLOOKUP(B198,'[2]april-2025'!$A:$A,'[2]april-2025'!$I:$I,0,0)</f>
        <v>0</v>
      </c>
      <c r="AB198">
        <f>IF($F198="YES",0,IF(Y198&gt;40000,200,IF(Y198&gt;25000,150,IF(Y198&gt;15000,130,IF(Y198&gt;10000,110,0)))))</f>
        <v>0</v>
      </c>
      <c r="AC198">
        <f>Y198-Z198-AA198-AB198</f>
        <v>44510</v>
      </c>
      <c r="AD198">
        <f>_xlfn.XLOOKUP(B198,'[3]may-2025'!$A:$A,'[3]may-2025'!$C:$C,0,0)</f>
        <v>37700</v>
      </c>
      <c r="AE198">
        <f>AD198*0.18</f>
        <v>6786</v>
      </c>
      <c r="AF198">
        <f>AD198*0.12</f>
        <v>4524</v>
      </c>
      <c r="AG198">
        <f>_xlfn.XLOOKUP(B198,'[3]may-2025'!$A:$A,'[3]may-2025'!$D:$D,0,0)</f>
        <v>0</v>
      </c>
      <c r="AH198">
        <f>_xlfn.XLOOKUP(B198,'[3]may-2025'!$A:$A,'[3]may-2025'!$G:$G,0,0)</f>
        <v>500</v>
      </c>
      <c r="AI198">
        <f>IF(AD198&gt;0,SUM(AD198:AH198),0)</f>
        <v>49510</v>
      </c>
      <c r="AJ198">
        <f>_xlfn.XLOOKUP(B198,'[3]may-2025'!$A:$A,'[3]may-2025'!$H:$H,0,0)</f>
        <v>5000</v>
      </c>
      <c r="AK198">
        <f>_xlfn.XLOOKUP(B198,'[3]may-2025'!$A:$A,'[3]may-2025'!$I:$I,0,0)</f>
        <v>0</v>
      </c>
      <c r="AL198">
        <f>IF($F198="YES",0,IF(AI198&gt;40000,200,IF(AI198&gt;25000,150,IF(AI198&gt;15000,130,IF(AI198&gt;10000,110,0)))))</f>
        <v>0</v>
      </c>
      <c r="AM198">
        <f>AI198-AJ198-AK198-AL198</f>
        <v>44510</v>
      </c>
      <c r="AN198">
        <f>_xlfn.XLOOKUP(B198,'[4]june-2025'!$A:$A,'[4]june-2025'!$C:$C,0,0)</f>
        <v>37700</v>
      </c>
      <c r="AO198">
        <f>AN198*0.18</f>
        <v>6786</v>
      </c>
      <c r="AP198">
        <f>AN198*0.12</f>
        <v>4524</v>
      </c>
      <c r="AQ198">
        <f>_xlfn.XLOOKUP(B198,'[4]june-2025'!$A:$A,'[4]june-2025'!$D:$D,0,0)</f>
        <v>0</v>
      </c>
      <c r="AR198">
        <f>_xlfn.XLOOKUP(B198,'[4]june-2025'!$A:$A,'[4]june-2025'!$G:$G,0,0)</f>
        <v>500</v>
      </c>
      <c r="AS198">
        <f>IF(AN198&gt;0,SUM(AN198:AR198),0)</f>
        <v>49510</v>
      </c>
      <c r="AT198">
        <f>_xlfn.XLOOKUP(B198,'[4]june-2025'!$A:$A,'[4]june-2025'!$H:$H,0,0)</f>
        <v>5000</v>
      </c>
      <c r="AU198">
        <f>_xlfn.XLOOKUP(B198,'[4]june-2025'!$A:$A,'[4]june-2025'!$I:$I,0,0)</f>
        <v>0</v>
      </c>
      <c r="AV198">
        <f>IF($F198="YES",0,IF(AS198&gt;40000,200,IF(AS198&gt;25000,150,IF(AS198&gt;15000,130,IF(AS198&gt;10000,110,0)))))</f>
        <v>0</v>
      </c>
      <c r="AW198">
        <f>AS198-AT198-AU198-AV198</f>
        <v>44510</v>
      </c>
      <c r="AX198">
        <f>_xlfn.XLOOKUP(B198,'[5]july-2025'!$A:$A,'[5]july-2025'!$C:$C,0,0)</f>
        <v>38800</v>
      </c>
      <c r="AY198">
        <f>AX198*0.18</f>
        <v>6984</v>
      </c>
      <c r="AZ198">
        <v>0</v>
      </c>
      <c r="BA198">
        <f>AX198*0.12</f>
        <v>4656</v>
      </c>
      <c r="BB198">
        <f>_xlfn.XLOOKUP(B198,'[5]july-2025'!$A:$A,'[5]july-2025'!$D:$D,0,0)</f>
        <v>0</v>
      </c>
      <c r="BC198">
        <f>_xlfn.XLOOKUP(B198,'[5]july-2025'!$A:$A,'[5]july-2025'!$G:$G,0,0)</f>
        <v>500</v>
      </c>
      <c r="BD198">
        <f>IF(AX198&gt;0,SUM(AX198:BC198),0)</f>
        <v>50940</v>
      </c>
      <c r="BE198">
        <f>_xlfn.XLOOKUP(B198,'[5]july-2025'!$A:$A,'[5]july-2025'!$H:$H,0,0)</f>
        <v>5000</v>
      </c>
      <c r="BF198">
        <f>_xlfn.XLOOKUP(B198,'[5]july-2025'!$A:$A,'[5]july-2025'!$I:$I,0,0)</f>
        <v>0</v>
      </c>
      <c r="BG198">
        <f>IF($F198="YES",0,IF(BD198&gt;40000,200,IF(BD198&gt;25000,150,IF(BD198&gt;15000,130,IF(BD198&gt;10000,110,0)))))</f>
        <v>0</v>
      </c>
      <c r="BH198">
        <f>BD198-BE198-BF198-BG198</f>
        <v>45940</v>
      </c>
      <c r="BI198">
        <f>_xlfn.XLOOKUP(B198,'[6]august-2025'!$A:$A,'[6]august-2025'!$C:$C,0,0)</f>
        <v>38800</v>
      </c>
      <c r="BJ198">
        <f>BI198*0.18</f>
        <v>6984</v>
      </c>
      <c r="BK198">
        <f>BI198*0.12</f>
        <v>4656</v>
      </c>
      <c r="BL198">
        <f>_xlfn.XLOOKUP(B198,'[6]august-2025'!$A:$A,'[6]august-2025'!$D:$D,0,0)</f>
        <v>0</v>
      </c>
      <c r="BM198">
        <f>_xlfn.XLOOKUP(B198,'[6]august-2025'!$A:$A,'[6]august-2025'!$G:$G,0,0)</f>
        <v>500</v>
      </c>
      <c r="BN198">
        <f>IF(BI198&gt;0,SUM(BI198:BM198),0)</f>
        <v>50940</v>
      </c>
      <c r="BO198">
        <f>_xlfn.XLOOKUP(B198,'[6]august-2025'!$A:$A,'[6]august-2025'!$H:$H,0,0)</f>
        <v>5000</v>
      </c>
      <c r="BP198">
        <f>_xlfn.XLOOKUP(B198,'[6]august-2025'!$A:$A,'[6]august-2025'!$I:$I,0,0)</f>
        <v>0</v>
      </c>
      <c r="BQ198">
        <f>IF($F198="YES",0,IF(BN198&gt;40000,200,IF(BN198&gt;25000,150,IF(BN198&gt;15000,130,IF(BN198&gt;10000,110,0)))))</f>
        <v>0</v>
      </c>
      <c r="BR198">
        <f>BN198-BO198-BP198-BQ198</f>
        <v>45940</v>
      </c>
      <c r="BS198">
        <f>_xlfn.XLOOKUP(B198,'[7]september-2025'!$A:$A,'[7]september-2025'!$C:$C,0,0)</f>
        <v>38800</v>
      </c>
      <c r="BT198">
        <f>BS198*0.18</f>
        <v>6984</v>
      </c>
      <c r="BU198">
        <f>BS198*0.12</f>
        <v>4656</v>
      </c>
      <c r="BV198">
        <f>_xlfn.XLOOKUP(B198,'[7]september-2025'!$A:$A,'[7]september-2025'!$D:$D,0,0)</f>
        <v>0</v>
      </c>
      <c r="BW198">
        <f>_xlfn.XLOOKUP(B198,'[7]september-2025'!$A:$A,'[7]september-2025'!$G:$G,0,0)</f>
        <v>500</v>
      </c>
      <c r="BX198">
        <f>IF(BS198&gt;0,SUM(BS198:BW198),0)</f>
        <v>50940</v>
      </c>
      <c r="BY198">
        <f>_xlfn.XLOOKUP(B198,'[7]september-2025'!$A:$A,'[7]september-2025'!$H:$H,0,0)</f>
        <v>5000</v>
      </c>
      <c r="BZ198">
        <f>_xlfn.XLOOKUP(B198,'[7]september-2025'!$A:$A,'[7]september-2025'!$I:$I,0,0)</f>
        <v>0</v>
      </c>
      <c r="CA198">
        <f>IF($F198="YES",0,IF(BX198&gt;40000,200,IF(BX198&gt;25000,150,IF(BX198&gt;15000,130,IF(BX198&gt;10000,110,0)))))</f>
        <v>0</v>
      </c>
      <c r="CB198">
        <f>BX198-BY198-BZ198-CA198</f>
        <v>45940</v>
      </c>
      <c r="CC198">
        <f>_xlfn.XLOOKUP(B198,'[8]october-2025'!$A:$A,'[8]october-2025'!$C:$C,0,0)</f>
        <v>38800</v>
      </c>
      <c r="CD198">
        <f>CC198*0.18</f>
        <v>6984</v>
      </c>
      <c r="CE198">
        <f>CC198*0.12</f>
        <v>4656</v>
      </c>
      <c r="CF198">
        <f>_xlfn.XLOOKUP(B198,'[8]october-2025'!$A:$A,'[8]october-2025'!$D:$D,0,0)</f>
        <v>0</v>
      </c>
      <c r="CG198">
        <f>_xlfn.XLOOKUP(B198,'[8]october-2025'!$A:$A,'[8]october-2025'!$G:$G,0,0)</f>
        <v>500</v>
      </c>
      <c r="CH198">
        <f>IF(CC198&gt;0,SUM(CC198:CG198),0)</f>
        <v>50940</v>
      </c>
      <c r="CI198">
        <f>_xlfn.XLOOKUP(B198,'[8]october-2025'!$A:$A,'[8]october-2025'!$H:$H,0,0)</f>
        <v>5000</v>
      </c>
      <c r="CJ198">
        <f>_xlfn.XLOOKUP(B198,'[8]october-2025'!$A:$A,'[8]october-2025'!$I:$I,0,0)</f>
        <v>0</v>
      </c>
      <c r="CK198">
        <f>IF($F198="YES",0,IF(CH198&gt;40000,200,IF(CH198&gt;25000,150,IF(CH198&gt;15000,130,IF(CH198&gt;10000,110,0)))))</f>
        <v>0</v>
      </c>
      <c r="CL198">
        <f>CH198-CI198-CJ198-CK198</f>
        <v>45940</v>
      </c>
      <c r="CM198">
        <f>_xlfn.XLOOKUP(B198,'[9]november-2025'!$A:$A,'[9]november-2025'!$C:$C,0,0)</f>
        <v>38800</v>
      </c>
      <c r="CN198">
        <f>CM198*0.18</f>
        <v>6984</v>
      </c>
      <c r="CO198">
        <f>CM198*0.12</f>
        <v>4656</v>
      </c>
      <c r="CP198">
        <f>_xlfn.XLOOKUP(B198,'[9]november-2025'!$A:$A,'[9]november-2025'!$D:$D,0,0)</f>
        <v>0</v>
      </c>
      <c r="CQ198">
        <f>_xlfn.XLOOKUP(B198,'[9]november-2025'!$A:$A,'[9]november-2025'!$G:$G,0,0)</f>
        <v>500</v>
      </c>
      <c r="CR198">
        <f>IF(CM198&gt;0,SUM(CM198:CQ198),0)</f>
        <v>50940</v>
      </c>
      <c r="CS198">
        <f>_xlfn.XLOOKUP(B198,'[9]november-2025'!$A:$A,'[9]november-2025'!$H:$H,0,0)</f>
        <v>5000</v>
      </c>
      <c r="CT198">
        <f>_xlfn.XLOOKUP(B198,'[9]november-2025'!$A:$A,'[9]november-2025'!$I:$I,0,0)</f>
        <v>0</v>
      </c>
      <c r="CU198">
        <f>IF($F198="YES",0,IF(CR198&gt;40000,200,IF(CR198&gt;25000,150,IF(CR198&gt;15000,130,IF(CR198&gt;10000,110,0)))))</f>
        <v>0</v>
      </c>
      <c r="CV198">
        <f>CR198-CS198-CT198-CU198</f>
        <v>45940</v>
      </c>
      <c r="CW198">
        <f>_xlfn.XLOOKUP(B198,'[10]december-2025'!$A:$A,'[10]december-2025'!$C:$C,0,0)</f>
        <v>38800</v>
      </c>
      <c r="CX198">
        <f>ROUND(CW198*0.18,0)</f>
        <v>6984</v>
      </c>
      <c r="CY198">
        <f>ROUND(CW198*0.12,0)</f>
        <v>4656</v>
      </c>
      <c r="CZ198">
        <f>_xlfn.XLOOKUP(B198,'[10]december-2025'!$A:$A,'[10]december-2025'!$D:$D,0,0)</f>
        <v>0</v>
      </c>
      <c r="DA198">
        <f>_xlfn.XLOOKUP(B198,'[10]december-2025'!$A:$A,'[10]december-2025'!$G:$G,0,0)</f>
        <v>500</v>
      </c>
      <c r="DB198">
        <f>IF(CW198&gt;0,SUM(CW198:DA198),0)</f>
        <v>50940</v>
      </c>
      <c r="DC198">
        <f>_xlfn.XLOOKUP(B198,'[10]december-2025'!$A:$A,'[10]december-2025'!$H:$H,0,0)</f>
        <v>5000</v>
      </c>
      <c r="DD198">
        <f>_xlfn.XLOOKUP(B198,'[10]december-2025'!$A:$A,'[10]december-2025'!$I:$I,0,0)</f>
        <v>0</v>
      </c>
      <c r="DE198">
        <f>IF($F198="YES",0,IF(DB198&gt;40000,200,IF(DB198&gt;25000,150,IF(DB198&gt;15000,130,IF(DB198&gt;10000,110,0)))))</f>
        <v>0</v>
      </c>
      <c r="DF198">
        <f>DB198-DC198-DD198-DE198</f>
        <v>45940</v>
      </c>
      <c r="DG198">
        <f>_xlfn.XLOOKUP(B198,'[11]january-2026'!$A:$A,'[11]january-2026'!$C:$C,0,0)</f>
        <v>38800</v>
      </c>
      <c r="DH198">
        <f>DG198*0.18</f>
        <v>6984</v>
      </c>
      <c r="DI198">
        <f>DG198*0.12</f>
        <v>4656</v>
      </c>
      <c r="DJ198">
        <f>_xlfn.XLOOKUP(B198,'[11]january-2026'!$A:$A,'[11]january-2026'!$D:$D,0,0)</f>
        <v>0</v>
      </c>
      <c r="DK198">
        <f>_xlfn.XLOOKUP(B198,'[11]january-2026'!$A:$A,'[11]january-2026'!$G:$G,0,0)</f>
        <v>500</v>
      </c>
      <c r="DL198">
        <f>IF(DG198&gt;0,SUM(DG198:DK198),0)</f>
        <v>50940</v>
      </c>
      <c r="DM198">
        <f>_xlfn.XLOOKUP(B198,'[11]january-2026'!$A:$A,'[11]january-2026'!$H:$H,0,0)</f>
        <v>5000</v>
      </c>
      <c r="DN198">
        <f>_xlfn.XLOOKUP(B198,'[11]january-2026'!$A:$A,'[11]january-2026'!$I:$I,0,0)</f>
        <v>0</v>
      </c>
      <c r="DO198">
        <f>IF($F198="YES",0,IF(DL198&gt;40000,200,IF(DL198&gt;25000,150,IF(DL198&gt;15000,130,IF(DL198&gt;10000,110,0)))))</f>
        <v>0</v>
      </c>
      <c r="DP198">
        <f>DL198-DM198-DN198-DO198</f>
        <v>45940</v>
      </c>
      <c r="DQ198">
        <f>_xlfn.XLOOKUP(B198,'[12]february-2026'!$A:$A,'[12]february-2026'!$C:$C,0,0)</f>
        <v>38800</v>
      </c>
      <c r="DR198">
        <f>DQ198*0.18</f>
        <v>6984</v>
      </c>
      <c r="DS198">
        <f>DQ198*0.12</f>
        <v>4656</v>
      </c>
      <c r="DT198">
        <f>_xlfn.XLOOKUP(B198,'[12]february-2026'!$A:$A,'[12]february-2026'!$D:$D,0,0)</f>
        <v>0</v>
      </c>
      <c r="DU198">
        <f>_xlfn.XLOOKUP(B198,'[12]february-2026'!$A:$A,'[12]february-2026'!$G:$G,0,0)</f>
        <v>500</v>
      </c>
      <c r="DV198">
        <f>IF(DQ198&gt;0,SUM(DQ198:DU198),0)</f>
        <v>50940</v>
      </c>
      <c r="DW198">
        <f>_xlfn.XLOOKUP(B198,'[12]february-2026'!$A:$A,'[12]february-2026'!$H:$H,0,0)</f>
        <v>5000</v>
      </c>
      <c r="DX198">
        <f>_xlfn.XLOOKUP(B198,'[12]february-2026'!$A:$A,'[12]february-2026'!$I:$I,0,0)</f>
        <v>0</v>
      </c>
      <c r="DY198">
        <f>IF($F198="YES",0,IF(DV198&gt;40000,200,IF(DV198&gt;25000,150,IF(DV198&gt;15000,130,IF(DV198&gt;10000,110,0)))))</f>
        <v>0</v>
      </c>
      <c r="DZ198">
        <f>DV198-DW198-DX198-DY198</f>
        <v>45940</v>
      </c>
      <c r="EA198">
        <f>DV198+DL198+DB198+CR198+CH198+BX198+BN198+BD198+AS198+AI198+Y198+O198+H198+I198</f>
        <v>610852</v>
      </c>
      <c r="EB198">
        <f>DY198+DO198+DE198+CU198+CK198+CA198+BQ198+BG198+AV198+AL198+AB198+R198</f>
        <v>0</v>
      </c>
      <c r="EC198">
        <f>IF(EA198&gt;0,50000,0)</f>
        <v>50000</v>
      </c>
      <c r="ED198">
        <v>0</v>
      </c>
      <c r="EE198">
        <f>EA198-EB198-EC198</f>
        <v>560852</v>
      </c>
      <c r="EF198">
        <f>DW198+DM198+DC198+CS198+CI198+BY198+BO198+BE198+AT198+AJ198+Z198+P198</f>
        <v>60000</v>
      </c>
      <c r="EG198">
        <f>DX198+DN198+DD198+CT198+CJ198+BZ198+BP198+BF198+AU198+AK198+AA198+Q198</f>
        <v>0</v>
      </c>
      <c r="EH198">
        <v>0</v>
      </c>
      <c r="EI198">
        <v>0</v>
      </c>
      <c r="EJ198">
        <v>0</v>
      </c>
      <c r="EK198">
        <v>0</v>
      </c>
      <c r="EL198">
        <v>0</v>
      </c>
      <c r="EM198">
        <v>0</v>
      </c>
      <c r="EN198">
        <v>0</v>
      </c>
      <c r="EO198">
        <v>0</v>
      </c>
      <c r="EP198">
        <v>0</v>
      </c>
      <c r="EQ198">
        <v>0</v>
      </c>
      <c r="ER198">
        <f>SUM(EF198:EQ198)</f>
        <v>60000</v>
      </c>
      <c r="ES198">
        <f>IF(ER198&gt;=150000,150000,ER198)</f>
        <v>60000</v>
      </c>
      <c r="ET198">
        <f>EE198-ES198</f>
        <v>500852</v>
      </c>
      <c r="EU198">
        <v>0</v>
      </c>
      <c r="EV198">
        <v>0</v>
      </c>
      <c r="EW198">
        <v>0</v>
      </c>
      <c r="EX198">
        <v>0</v>
      </c>
      <c r="EY198">
        <v>0</v>
      </c>
      <c r="EZ198">
        <v>0</v>
      </c>
      <c r="FA198">
        <v>0</v>
      </c>
      <c r="FB198">
        <f>SUM(EU198:FA198)+(IF(F198="YES",50000,0))</f>
        <v>50000</v>
      </c>
      <c r="FC198">
        <f>ET198-FB198</f>
        <v>450852</v>
      </c>
      <c r="FD198">
        <f>ROUND(IF(FC198&gt;0,IF(FC198&gt;500000,12500,(FC198-250000)*0.05),0),0)</f>
        <v>10043</v>
      </c>
      <c r="FE198">
        <f>IF(ROUND(IF(FC198&gt;0,IF(FC198&gt;1000000,25000,(FC198-500000)*0.2),0),0)&lt;0,0,ROUND(IF(FC198&gt;0,IF(FC198&gt;1000000,25000,(FC198-500000)*0.2),0),0))</f>
        <v>0</v>
      </c>
      <c r="FF198">
        <f>FD198+FE198</f>
        <v>10043</v>
      </c>
      <c r="FG198">
        <f>IF(FF198&lt;12500,0,FF198)</f>
        <v>0</v>
      </c>
      <c r="FH198">
        <f>FG198*0.04</f>
        <v>0</v>
      </c>
      <c r="FI198">
        <f>ROUND(FH198+FG198,0)</f>
        <v>0</v>
      </c>
      <c r="FJ198">
        <v>0</v>
      </c>
      <c r="FK198">
        <f>FI198-FJ198</f>
        <v>0</v>
      </c>
      <c r="FL198" t="b">
        <f>IF(EA198&gt;500000,TRUE,FALSE)</f>
        <v>1</v>
      </c>
      <c r="FM198">
        <f ca="1">IF(FL198,RANDBETWEEN(500,1000),RANDBETWEEN(1000,3000))</f>
        <v>941</v>
      </c>
      <c r="FN198">
        <f ca="1">EA198+FM198</f>
        <v>611793</v>
      </c>
      <c r="FO198">
        <f>IF(EA198&gt;0,75000,0)</f>
        <v>75000</v>
      </c>
      <c r="FP198">
        <f ca="1">FN198-FO198</f>
        <v>536793</v>
      </c>
      <c r="FQ198">
        <f ca="1">IF(FP198&gt;2400000,FP198-2400000,0)</f>
        <v>0</v>
      </c>
      <c r="FR198">
        <f ca="1">FQ198*0.3</f>
        <v>0</v>
      </c>
      <c r="FS198">
        <f ca="1">IF(FP198&gt;2000000,FP198-2000000,0)</f>
        <v>0</v>
      </c>
      <c r="FT198">
        <f ca="1">FS198*0.25</f>
        <v>0</v>
      </c>
      <c r="FU198">
        <f ca="1">IF(FP198&gt;1600000,FP198-1600000-FQ198,0)</f>
        <v>0</v>
      </c>
      <c r="FV198">
        <f ca="1">FU198*0.2</f>
        <v>0</v>
      </c>
      <c r="FW198">
        <f ca="1">IF(FP198&gt;1200000,FP198-1200000-IF(F198="YES",50000,0)-FU198,0)</f>
        <v>0</v>
      </c>
      <c r="FX198">
        <f ca="1">FW198*0.15</f>
        <v>0</v>
      </c>
      <c r="FY198">
        <f ca="1">IF(FP198&gt;800000,FP198-800000-FQ198-FU198-FW198,0)</f>
        <v>0</v>
      </c>
      <c r="FZ198">
        <f ca="1">FY198*0.1</f>
        <v>0</v>
      </c>
      <c r="GA198">
        <f ca="1">IF(FP198&gt;400000,FP198-400000-FQ198-FU198-FW198-FY198,0)</f>
        <v>136793</v>
      </c>
      <c r="GB198">
        <f ca="1">GA198*0.05</f>
        <v>6839.6500000000005</v>
      </c>
      <c r="GC198">
        <f ca="1">ROUND(FR198+FT198+FV198+FX198+FZ198+GB198,0)</f>
        <v>6840</v>
      </c>
      <c r="GD198">
        <f ca="1">IF(FP198&gt;1200000,FP198,0)</f>
        <v>0</v>
      </c>
      <c r="GE198">
        <f ca="1">IF(FP198&gt;1200000,GD198-1200000,0)</f>
        <v>0</v>
      </c>
      <c r="GF198">
        <f ca="1">IF(FP198&lt;1200001,MIN(GC198,60000),0)</f>
        <v>6840</v>
      </c>
      <c r="GG198">
        <f ca="1">IF(FP198&gt;1200000,GC198-GE198,0)</f>
        <v>0</v>
      </c>
      <c r="GH198" t="b">
        <f ca="1">IF(GG198&gt;0,TRUE,FALSE)</f>
        <v>0</v>
      </c>
      <c r="GI198">
        <f ca="1">IF(GH198,GG198,0)</f>
        <v>0</v>
      </c>
      <c r="GJ198">
        <f ca="1">GF198+GI198</f>
        <v>6840</v>
      </c>
      <c r="GK198">
        <f ca="1">ROUND(GC198-GJ198,0)</f>
        <v>0</v>
      </c>
      <c r="GL198">
        <f ca="1">GK198*0.04</f>
        <v>0</v>
      </c>
      <c r="GM198">
        <f ca="1">ROUNDUP(GK198+GL198,0)</f>
        <v>0</v>
      </c>
    </row>
    <row r="199" spans="1:195" x14ac:dyDescent="0.25">
      <c r="A199">
        <f>_xlfn.AGGREGATE(3,5,$B$2:B199)</f>
        <v>198</v>
      </c>
      <c r="B199" t="s">
        <v>509</v>
      </c>
      <c r="C199" t="s">
        <v>510</v>
      </c>
      <c r="D199" t="s">
        <v>802</v>
      </c>
      <c r="E199" t="s">
        <v>833</v>
      </c>
      <c r="F199" t="s">
        <v>959</v>
      </c>
      <c r="G199" t="s">
        <v>940</v>
      </c>
      <c r="H199">
        <f>IF(_xlfn.DAYS("31-03-2025",G199)&gt;=180,6800,0)</f>
        <v>6800</v>
      </c>
      <c r="I199">
        <f>_xlfn.XLOOKUP(B199,'[1]march-2025'!$A:$A,'[1]march-2025'!$J:$J,0,0)</f>
        <v>0</v>
      </c>
      <c r="J199">
        <f>_xlfn.XLOOKUP(B199,'[1]march-2025'!$A:$A,'[1]march-2025'!$C:$C,0,0)</f>
        <v>28900</v>
      </c>
      <c r="K199">
        <f>J199*0.14</f>
        <v>4046.0000000000005</v>
      </c>
      <c r="L199">
        <f>J199*0.12</f>
        <v>3468</v>
      </c>
      <c r="M199">
        <f>_xlfn.XLOOKUP(B199,'[1]march-2025'!$A:$A,'[1]march-2025'!$D:$D,0,0)</f>
        <v>0</v>
      </c>
      <c r="N199">
        <f>_xlfn.XLOOKUP(B199,'[1]march-2025'!$A:$A,'[1]march-2025'!$G:$G,0,0)</f>
        <v>500</v>
      </c>
      <c r="O199">
        <f>IF(J199&gt;0,SUM(J199:N199),0)</f>
        <v>36914</v>
      </c>
      <c r="P199">
        <f>_xlfn.XLOOKUP(B199,'[1]march-2025'!$A:$A,'[1]march-2025'!$H:$H,0,0)</f>
        <v>2000</v>
      </c>
      <c r="Q199">
        <f>_xlfn.XLOOKUP(B199,'[1]march-2025'!$A:$A,'[1]march-2025'!$I:$I,0,0)</f>
        <v>0</v>
      </c>
      <c r="R199">
        <f>IF($F199="YES",0,IF(O199&gt;40000,200,IF(O199&gt;25000,150,IF(O199&gt;15000,130,IF(O199&gt;10000,110,0)))))</f>
        <v>150</v>
      </c>
      <c r="S199">
        <f>O199-P199-Q199-R199</f>
        <v>34764</v>
      </c>
      <c r="T199">
        <f>_xlfn.XLOOKUP(B199,'[2]april-2025'!$A:$A,'[2]april-2025'!$C:$C,0,0)</f>
        <v>28900</v>
      </c>
      <c r="U199">
        <f>T199*0.18</f>
        <v>5202</v>
      </c>
      <c r="V199">
        <f>T199*0.12</f>
        <v>3468</v>
      </c>
      <c r="W199">
        <f>_xlfn.XLOOKUP(B199,'[2]april-2025'!$A:$A,'[2]april-2025'!$D:$D,0,0)</f>
        <v>0</v>
      </c>
      <c r="X199">
        <f>_xlfn.XLOOKUP(B199,'[2]april-2025'!$A:$A,'[2]april-2025'!$G:$G,0,0)</f>
        <v>500</v>
      </c>
      <c r="Y199">
        <f>IF(T199&gt;0,SUM(T199:X199),0)</f>
        <v>38070</v>
      </c>
      <c r="Z199">
        <f>_xlfn.XLOOKUP(B199,'[2]april-2025'!$A:$A,'[2]april-2025'!$H:$H,0,0)</f>
        <v>2000</v>
      </c>
      <c r="AA199">
        <f>_xlfn.XLOOKUP(B199,'[2]april-2025'!$A:$A,'[2]april-2025'!$I:$I,0,0)</f>
        <v>0</v>
      </c>
      <c r="AB199">
        <f>IF($F199="YES",0,IF(Y199&gt;40000,200,IF(Y199&gt;25000,150,IF(Y199&gt;15000,130,IF(Y199&gt;10000,110,0)))))</f>
        <v>150</v>
      </c>
      <c r="AC199">
        <f>Y199-Z199-AA199-AB199</f>
        <v>35920</v>
      </c>
      <c r="AD199">
        <f>_xlfn.XLOOKUP(B199,'[3]may-2025'!$A:$A,'[3]may-2025'!$C:$C,0,0)</f>
        <v>28900</v>
      </c>
      <c r="AE199">
        <f>AD199*0.18</f>
        <v>5202</v>
      </c>
      <c r="AF199">
        <f>AD199*0.12</f>
        <v>3468</v>
      </c>
      <c r="AG199">
        <f>_xlfn.XLOOKUP(B199,'[3]may-2025'!$A:$A,'[3]may-2025'!$D:$D,0,0)</f>
        <v>0</v>
      </c>
      <c r="AH199">
        <f>_xlfn.XLOOKUP(B199,'[3]may-2025'!$A:$A,'[3]may-2025'!$G:$G,0,0)</f>
        <v>500</v>
      </c>
      <c r="AI199">
        <f>IF(AD199&gt;0,SUM(AD199:AH199),0)</f>
        <v>38070</v>
      </c>
      <c r="AJ199">
        <f>_xlfn.XLOOKUP(B199,'[3]may-2025'!$A:$A,'[3]may-2025'!$H:$H,0,0)</f>
        <v>2000</v>
      </c>
      <c r="AK199">
        <f>_xlfn.XLOOKUP(B199,'[3]may-2025'!$A:$A,'[3]may-2025'!$I:$I,0,0)</f>
        <v>0</v>
      </c>
      <c r="AL199">
        <f>IF($F199="YES",0,IF(AI199&gt;40000,200,IF(AI199&gt;25000,150,IF(AI199&gt;15000,130,IF(AI199&gt;10000,110,0)))))</f>
        <v>150</v>
      </c>
      <c r="AM199">
        <f>AI199-AJ199-AK199-AL199</f>
        <v>35920</v>
      </c>
      <c r="AN199">
        <f>_xlfn.XLOOKUP(B199,'[4]june-2025'!$A:$A,'[4]june-2025'!$C:$C,0,0)</f>
        <v>28900</v>
      </c>
      <c r="AO199">
        <f>AN199*0.18</f>
        <v>5202</v>
      </c>
      <c r="AP199">
        <f>AN199*0.12</f>
        <v>3468</v>
      </c>
      <c r="AQ199">
        <f>_xlfn.XLOOKUP(B199,'[4]june-2025'!$A:$A,'[4]june-2025'!$D:$D,0,0)</f>
        <v>0</v>
      </c>
      <c r="AR199">
        <f>_xlfn.XLOOKUP(B199,'[4]june-2025'!$A:$A,'[4]june-2025'!$G:$G,0,0)</f>
        <v>500</v>
      </c>
      <c r="AS199">
        <f>IF(AN199&gt;0,SUM(AN199:AR199),0)</f>
        <v>38070</v>
      </c>
      <c r="AT199">
        <f>_xlfn.XLOOKUP(B199,'[4]june-2025'!$A:$A,'[4]june-2025'!$H:$H,0,0)</f>
        <v>2000</v>
      </c>
      <c r="AU199">
        <f>_xlfn.XLOOKUP(B199,'[4]june-2025'!$A:$A,'[4]june-2025'!$I:$I,0,0)</f>
        <v>0</v>
      </c>
      <c r="AV199">
        <f>IF($F199="YES",0,IF(AS199&gt;40000,200,IF(AS199&gt;25000,150,IF(AS199&gt;15000,130,IF(AS199&gt;10000,110,0)))))</f>
        <v>150</v>
      </c>
      <c r="AW199">
        <f>AS199-AT199-AU199-AV199</f>
        <v>35920</v>
      </c>
      <c r="AX199">
        <f>_xlfn.XLOOKUP(B199,'[5]july-2025'!$A:$A,'[5]july-2025'!$C:$C,0,0)</f>
        <v>29800</v>
      </c>
      <c r="AY199">
        <f>AX199*0.18</f>
        <v>5364</v>
      </c>
      <c r="AZ199">
        <v>0</v>
      </c>
      <c r="BA199">
        <f>AX199*0.12</f>
        <v>3576</v>
      </c>
      <c r="BB199">
        <f>_xlfn.XLOOKUP(B199,'[5]july-2025'!$A:$A,'[5]july-2025'!$D:$D,0,0)</f>
        <v>0</v>
      </c>
      <c r="BC199">
        <f>_xlfn.XLOOKUP(B199,'[5]july-2025'!$A:$A,'[5]july-2025'!$G:$G,0,0)</f>
        <v>500</v>
      </c>
      <c r="BD199">
        <f>IF(AX199&gt;0,SUM(AX199:BC199),0)</f>
        <v>39240</v>
      </c>
      <c r="BE199">
        <f>_xlfn.XLOOKUP(B199,'[5]july-2025'!$A:$A,'[5]july-2025'!$H:$H,0,0)</f>
        <v>2000</v>
      </c>
      <c r="BF199">
        <f>_xlfn.XLOOKUP(B199,'[5]july-2025'!$A:$A,'[5]july-2025'!$I:$I,0,0)</f>
        <v>0</v>
      </c>
      <c r="BG199">
        <f>IF($F199="YES",0,IF(BD199&gt;40000,200,IF(BD199&gt;25000,150,IF(BD199&gt;15000,130,IF(BD199&gt;10000,110,0)))))</f>
        <v>150</v>
      </c>
      <c r="BH199">
        <f>BD199-BE199-BF199-BG199</f>
        <v>37090</v>
      </c>
      <c r="BI199">
        <f>_xlfn.XLOOKUP(B199,'[6]august-2025'!$A:$A,'[6]august-2025'!$C:$C,0,0)</f>
        <v>29800</v>
      </c>
      <c r="BJ199">
        <f>BI199*0.18</f>
        <v>5364</v>
      </c>
      <c r="BK199">
        <f>BI199*0.12</f>
        <v>3576</v>
      </c>
      <c r="BL199">
        <f>_xlfn.XLOOKUP(B199,'[6]august-2025'!$A:$A,'[6]august-2025'!$D:$D,0,0)</f>
        <v>0</v>
      </c>
      <c r="BM199">
        <f>_xlfn.XLOOKUP(B199,'[6]august-2025'!$A:$A,'[6]august-2025'!$G:$G,0,0)</f>
        <v>500</v>
      </c>
      <c r="BN199">
        <f>IF(BI199&gt;0,SUM(BI199:BM199),0)</f>
        <v>39240</v>
      </c>
      <c r="BO199">
        <f>_xlfn.XLOOKUP(B199,'[6]august-2025'!$A:$A,'[6]august-2025'!$H:$H,0,0)</f>
        <v>2000</v>
      </c>
      <c r="BP199">
        <f>_xlfn.XLOOKUP(B199,'[6]august-2025'!$A:$A,'[6]august-2025'!$I:$I,0,0)</f>
        <v>0</v>
      </c>
      <c r="BQ199">
        <f>IF($F199="YES",0,IF(BN199&gt;40000,200,IF(BN199&gt;25000,150,IF(BN199&gt;15000,130,IF(BN199&gt;10000,110,0)))))</f>
        <v>150</v>
      </c>
      <c r="BR199">
        <f>BN199-BO199-BP199-BQ199</f>
        <v>37090</v>
      </c>
      <c r="BS199">
        <f>_xlfn.XLOOKUP(B199,'[7]september-2025'!$A:$A,'[7]september-2025'!$C:$C,0,0)</f>
        <v>29800</v>
      </c>
      <c r="BT199">
        <f>BS199*0.18</f>
        <v>5364</v>
      </c>
      <c r="BU199">
        <f>BS199*0.12</f>
        <v>3576</v>
      </c>
      <c r="BV199">
        <f>_xlfn.XLOOKUP(B199,'[7]september-2025'!$A:$A,'[7]september-2025'!$D:$D,0,0)</f>
        <v>0</v>
      </c>
      <c r="BW199">
        <f>_xlfn.XLOOKUP(B199,'[7]september-2025'!$A:$A,'[7]september-2025'!$G:$G,0,0)</f>
        <v>500</v>
      </c>
      <c r="BX199">
        <f>IF(BS199&gt;0,SUM(BS199:BW199),0)</f>
        <v>39240</v>
      </c>
      <c r="BY199">
        <f>_xlfn.XLOOKUP(B199,'[7]september-2025'!$A:$A,'[7]september-2025'!$H:$H,0,0)</f>
        <v>2000</v>
      </c>
      <c r="BZ199">
        <f>_xlfn.XLOOKUP(B199,'[7]september-2025'!$A:$A,'[7]september-2025'!$I:$I,0,0)</f>
        <v>0</v>
      </c>
      <c r="CA199">
        <f>IF($F199="YES",0,IF(BX199&gt;40000,200,IF(BX199&gt;25000,150,IF(BX199&gt;15000,130,IF(BX199&gt;10000,110,0)))))</f>
        <v>150</v>
      </c>
      <c r="CB199">
        <f>BX199-BY199-BZ199-CA199</f>
        <v>37090</v>
      </c>
      <c r="CC199">
        <f>_xlfn.XLOOKUP(B199,'[8]october-2025'!$A:$A,'[8]october-2025'!$C:$C,0,0)</f>
        <v>29800</v>
      </c>
      <c r="CD199">
        <f>CC199*0.18</f>
        <v>5364</v>
      </c>
      <c r="CE199">
        <f>CC199*0.12</f>
        <v>3576</v>
      </c>
      <c r="CF199">
        <f>_xlfn.XLOOKUP(B199,'[8]october-2025'!$A:$A,'[8]october-2025'!$D:$D,0,0)</f>
        <v>0</v>
      </c>
      <c r="CG199">
        <f>_xlfn.XLOOKUP(B199,'[8]october-2025'!$A:$A,'[8]october-2025'!$G:$G,0,0)</f>
        <v>500</v>
      </c>
      <c r="CH199">
        <f>IF(CC199&gt;0,SUM(CC199:CG199),0)</f>
        <v>39240</v>
      </c>
      <c r="CI199">
        <f>_xlfn.XLOOKUP(B199,'[8]october-2025'!$A:$A,'[8]october-2025'!$H:$H,0,0)</f>
        <v>2000</v>
      </c>
      <c r="CJ199">
        <f>_xlfn.XLOOKUP(B199,'[8]october-2025'!$A:$A,'[8]october-2025'!$I:$I,0,0)</f>
        <v>0</v>
      </c>
      <c r="CK199">
        <f>IF($F199="YES",0,IF(CH199&gt;40000,200,IF(CH199&gt;25000,150,IF(CH199&gt;15000,130,IF(CH199&gt;10000,110,0)))))</f>
        <v>150</v>
      </c>
      <c r="CL199">
        <f>CH199-CI199-CJ199-CK199</f>
        <v>37090</v>
      </c>
      <c r="CM199">
        <f>_xlfn.XLOOKUP(B199,'[9]november-2025'!$A:$A,'[9]november-2025'!$C:$C,0,0)</f>
        <v>29800</v>
      </c>
      <c r="CN199">
        <f>CM199*0.18</f>
        <v>5364</v>
      </c>
      <c r="CO199">
        <f>CM199*0.12</f>
        <v>3576</v>
      </c>
      <c r="CP199">
        <f>_xlfn.XLOOKUP(B199,'[9]november-2025'!$A:$A,'[9]november-2025'!$D:$D,0,0)</f>
        <v>0</v>
      </c>
      <c r="CQ199">
        <f>_xlfn.XLOOKUP(B199,'[9]november-2025'!$A:$A,'[9]november-2025'!$G:$G,0,0)</f>
        <v>500</v>
      </c>
      <c r="CR199">
        <f>IF(CM199&gt;0,SUM(CM199:CQ199),0)</f>
        <v>39240</v>
      </c>
      <c r="CS199">
        <f>_xlfn.XLOOKUP(B199,'[9]november-2025'!$A:$A,'[9]november-2025'!$H:$H,0,0)</f>
        <v>2000</v>
      </c>
      <c r="CT199">
        <f>_xlfn.XLOOKUP(B199,'[9]november-2025'!$A:$A,'[9]november-2025'!$I:$I,0,0)</f>
        <v>0</v>
      </c>
      <c r="CU199">
        <f>IF($F199="YES",0,IF(CR199&gt;40000,200,IF(CR199&gt;25000,150,IF(CR199&gt;15000,130,IF(CR199&gt;10000,110,0)))))</f>
        <v>150</v>
      </c>
      <c r="CV199">
        <f>CR199-CS199-CT199-CU199</f>
        <v>37090</v>
      </c>
      <c r="CW199">
        <f>_xlfn.XLOOKUP(B199,'[10]december-2025'!$A:$A,'[10]december-2025'!$C:$C,0,0)</f>
        <v>29800</v>
      </c>
      <c r="CX199">
        <f>ROUND(CW199*0.18,0)</f>
        <v>5364</v>
      </c>
      <c r="CY199">
        <f>ROUND(CW199*0.12,0)</f>
        <v>3576</v>
      </c>
      <c r="CZ199">
        <f>_xlfn.XLOOKUP(B199,'[10]december-2025'!$A:$A,'[10]december-2025'!$D:$D,0,0)</f>
        <v>0</v>
      </c>
      <c r="DA199">
        <f>_xlfn.XLOOKUP(B199,'[10]december-2025'!$A:$A,'[10]december-2025'!$G:$G,0,0)</f>
        <v>500</v>
      </c>
      <c r="DB199">
        <f>IF(CW199&gt;0,SUM(CW199:DA199),0)</f>
        <v>39240</v>
      </c>
      <c r="DC199">
        <f>_xlfn.XLOOKUP(B199,'[10]december-2025'!$A:$A,'[10]december-2025'!$H:$H,0,0)</f>
        <v>2000</v>
      </c>
      <c r="DD199">
        <f>_xlfn.XLOOKUP(B199,'[10]december-2025'!$A:$A,'[10]december-2025'!$I:$I,0,0)</f>
        <v>0</v>
      </c>
      <c r="DE199">
        <f>IF($F199="YES",0,IF(DB199&gt;40000,200,IF(DB199&gt;25000,150,IF(DB199&gt;15000,130,IF(DB199&gt;10000,110,0)))))</f>
        <v>150</v>
      </c>
      <c r="DF199">
        <f>DB199-DC199-DD199-DE199</f>
        <v>37090</v>
      </c>
      <c r="DG199">
        <f>_xlfn.XLOOKUP(B199,'[11]january-2026'!$A:$A,'[11]january-2026'!$C:$C,0,0)</f>
        <v>29800</v>
      </c>
      <c r="DH199">
        <f>DG199*0.18</f>
        <v>5364</v>
      </c>
      <c r="DI199">
        <f>DG199*0.12</f>
        <v>3576</v>
      </c>
      <c r="DJ199">
        <f>_xlfn.XLOOKUP(B199,'[11]january-2026'!$A:$A,'[11]january-2026'!$D:$D,0,0)</f>
        <v>0</v>
      </c>
      <c r="DK199">
        <f>_xlfn.XLOOKUP(B199,'[11]january-2026'!$A:$A,'[11]january-2026'!$G:$G,0,0)</f>
        <v>500</v>
      </c>
      <c r="DL199">
        <f>IF(DG199&gt;0,SUM(DG199:DK199),0)</f>
        <v>39240</v>
      </c>
      <c r="DM199">
        <f>_xlfn.XLOOKUP(B199,'[11]january-2026'!$A:$A,'[11]january-2026'!$H:$H,0,0)</f>
        <v>2000</v>
      </c>
      <c r="DN199">
        <f>_xlfn.XLOOKUP(B199,'[11]january-2026'!$A:$A,'[11]january-2026'!$I:$I,0,0)</f>
        <v>0</v>
      </c>
      <c r="DO199">
        <f>IF($F199="YES",0,IF(DL199&gt;40000,200,IF(DL199&gt;25000,150,IF(DL199&gt;15000,130,IF(DL199&gt;10000,110,0)))))</f>
        <v>150</v>
      </c>
      <c r="DP199">
        <f>DL199-DM199-DN199-DO199</f>
        <v>37090</v>
      </c>
      <c r="DQ199">
        <f>_xlfn.XLOOKUP(B199,'[12]february-2026'!$A:$A,'[12]february-2026'!$C:$C,0,0)</f>
        <v>29800</v>
      </c>
      <c r="DR199">
        <f>DQ199*0.18</f>
        <v>5364</v>
      </c>
      <c r="DS199">
        <f>DQ199*0.12</f>
        <v>3576</v>
      </c>
      <c r="DT199">
        <f>_xlfn.XLOOKUP(B199,'[12]february-2026'!$A:$A,'[12]february-2026'!$D:$D,0,0)</f>
        <v>0</v>
      </c>
      <c r="DU199">
        <f>_xlfn.XLOOKUP(B199,'[12]february-2026'!$A:$A,'[12]february-2026'!$G:$G,0,0)</f>
        <v>500</v>
      </c>
      <c r="DV199">
        <f>IF(DQ199&gt;0,SUM(DQ199:DU199),0)</f>
        <v>39240</v>
      </c>
      <c r="DW199">
        <f>_xlfn.XLOOKUP(B199,'[12]february-2026'!$A:$A,'[12]february-2026'!$H:$H,0,0)</f>
        <v>2000</v>
      </c>
      <c r="DX199">
        <f>_xlfn.XLOOKUP(B199,'[12]february-2026'!$A:$A,'[12]february-2026'!$I:$I,0,0)</f>
        <v>0</v>
      </c>
      <c r="DY199">
        <f>IF($F199="YES",0,IF(DV199&gt;40000,200,IF(DV199&gt;25000,150,IF(DV199&gt;15000,130,IF(DV199&gt;10000,110,0)))))</f>
        <v>150</v>
      </c>
      <c r="DZ199">
        <f>DV199-DW199-DX199-DY199</f>
        <v>37090</v>
      </c>
      <c r="EA199">
        <f>DV199+DL199+DB199+CR199+CH199+BX199+BN199+BD199+AS199+AI199+Y199+O199+H199+I199</f>
        <v>471844</v>
      </c>
      <c r="EB199">
        <f>DY199+DO199+DE199+CU199+CK199+CA199+BQ199+BG199+AV199+AL199+AB199+R199</f>
        <v>1800</v>
      </c>
      <c r="EC199">
        <f>IF(EA199&gt;0,50000,0)</f>
        <v>50000</v>
      </c>
      <c r="ED199">
        <v>0</v>
      </c>
      <c r="EE199">
        <f>EA199-EB199-EC199</f>
        <v>420044</v>
      </c>
      <c r="EF199">
        <f>DW199+DM199+DC199+CS199+CI199+BY199+BO199+BE199+AT199+AJ199+Z199+P199</f>
        <v>24000</v>
      </c>
      <c r="EG199">
        <f>DX199+DN199+DD199+CT199+CJ199+BZ199+BP199+BF199+AU199+AK199+AA199+Q199</f>
        <v>0</v>
      </c>
      <c r="EH199">
        <v>0</v>
      </c>
      <c r="EI199">
        <v>0</v>
      </c>
      <c r="EJ199">
        <v>0</v>
      </c>
      <c r="EK199">
        <v>0</v>
      </c>
      <c r="EL199">
        <v>0</v>
      </c>
      <c r="EM199">
        <v>0</v>
      </c>
      <c r="EN199">
        <v>0</v>
      </c>
      <c r="EO199">
        <v>0</v>
      </c>
      <c r="EP199">
        <v>0</v>
      </c>
      <c r="EQ199">
        <v>0</v>
      </c>
      <c r="ER199">
        <f>SUM(EF199:EQ199)</f>
        <v>24000</v>
      </c>
      <c r="ES199">
        <f>IF(ER199&gt;=150000,150000,ER199)</f>
        <v>24000</v>
      </c>
      <c r="ET199">
        <f>EE199-ES199</f>
        <v>396044</v>
      </c>
      <c r="EU199">
        <v>0</v>
      </c>
      <c r="EV199">
        <v>0</v>
      </c>
      <c r="EW199">
        <v>0</v>
      </c>
      <c r="EX199">
        <v>0</v>
      </c>
      <c r="EY199">
        <v>0</v>
      </c>
      <c r="EZ199">
        <v>0</v>
      </c>
      <c r="FA199">
        <v>0</v>
      </c>
      <c r="FB199">
        <f>SUM(EU199:FA199)+(IF(F199="YES",50000,0))</f>
        <v>0</v>
      </c>
      <c r="FC199">
        <f>ET199-FB199</f>
        <v>396044</v>
      </c>
      <c r="FD199">
        <f>ROUND(IF(FC199&gt;0,IF(FC199&gt;500000,12500,(FC199-250000)*0.05),0),0)</f>
        <v>7302</v>
      </c>
      <c r="FE199">
        <f>IF(ROUND(IF(FC199&gt;0,IF(FC199&gt;1000000,25000,(FC199-500000)*0.2),0),0)&lt;0,0,ROUND(IF(FC199&gt;0,IF(FC199&gt;1000000,25000,(FC199-500000)*0.2),0),0))</f>
        <v>0</v>
      </c>
      <c r="FF199">
        <f>FD199+FE199</f>
        <v>7302</v>
      </c>
      <c r="FG199">
        <f>IF(FF199&lt;12500,0,FF199)</f>
        <v>0</v>
      </c>
      <c r="FH199">
        <f>FG199*0.04</f>
        <v>0</v>
      </c>
      <c r="FI199">
        <f>ROUND(FH199+FG199,0)</f>
        <v>0</v>
      </c>
      <c r="FJ199">
        <v>0</v>
      </c>
      <c r="FK199">
        <f>FI199-FJ199</f>
        <v>0</v>
      </c>
      <c r="FL199" t="b">
        <f>IF(EA199&gt;500000,TRUE,FALSE)</f>
        <v>0</v>
      </c>
      <c r="FM199">
        <f ca="1">IF(FL199,RANDBETWEEN(500,1000),RANDBETWEEN(1000,3000))</f>
        <v>1295</v>
      </c>
      <c r="FN199">
        <f ca="1">EA199+FM199</f>
        <v>473139</v>
      </c>
      <c r="FO199">
        <f>IF(EA199&gt;0,75000,0)</f>
        <v>75000</v>
      </c>
      <c r="FP199">
        <f ca="1">FN199-FO199</f>
        <v>398139</v>
      </c>
      <c r="FQ199">
        <f ca="1">IF(FP199&gt;2400000,FP199-2400000,0)</f>
        <v>0</v>
      </c>
      <c r="FR199">
        <f ca="1">FQ199*0.3</f>
        <v>0</v>
      </c>
      <c r="FS199">
        <f ca="1">IF(FP199&gt;2000000,FP199-2000000,0)</f>
        <v>0</v>
      </c>
      <c r="FT199">
        <f ca="1">FS199*0.25</f>
        <v>0</v>
      </c>
      <c r="FU199">
        <f ca="1">IF(FP199&gt;1600000,FP199-1600000-FQ199,0)</f>
        <v>0</v>
      </c>
      <c r="FV199">
        <f ca="1">FU199*0.2</f>
        <v>0</v>
      </c>
      <c r="FW199">
        <f ca="1">IF(FP199&gt;1200000,FP199-1200000-IF(F199="YES",50000,0)-FU199,0)</f>
        <v>0</v>
      </c>
      <c r="FX199">
        <f ca="1">FW199*0.15</f>
        <v>0</v>
      </c>
      <c r="FY199">
        <f ca="1">IF(FP199&gt;800000,FP199-800000-FQ199-FU199-FW199,0)</f>
        <v>0</v>
      </c>
      <c r="FZ199">
        <f ca="1">FY199*0.1</f>
        <v>0</v>
      </c>
      <c r="GA199">
        <f ca="1">IF(FP199&gt;400000,FP199-400000-FQ199-FU199-FW199-FY199,0)</f>
        <v>0</v>
      </c>
      <c r="GB199">
        <f ca="1">GA199*0.05</f>
        <v>0</v>
      </c>
      <c r="GC199">
        <f ca="1">ROUND(FR199+FT199+FV199+FX199+FZ199+GB199,0)</f>
        <v>0</v>
      </c>
      <c r="GD199">
        <f ca="1">IF(FP199&gt;1200000,FP199,0)</f>
        <v>0</v>
      </c>
      <c r="GE199">
        <f ca="1">IF(FP199&gt;1200000,GD199-1200000,0)</f>
        <v>0</v>
      </c>
      <c r="GF199">
        <f ca="1">IF(FP199&lt;1200001,MIN(GC199,60000),0)</f>
        <v>0</v>
      </c>
      <c r="GG199">
        <f ca="1">IF(FP199&gt;1200000,GC199-GE199,0)</f>
        <v>0</v>
      </c>
      <c r="GH199" t="b">
        <f ca="1">IF(GG199&gt;0,TRUE,FALSE)</f>
        <v>0</v>
      </c>
      <c r="GI199">
        <f ca="1">IF(GH199,GG199,0)</f>
        <v>0</v>
      </c>
      <c r="GJ199">
        <f ca="1">GF199+GI199</f>
        <v>0</v>
      </c>
      <c r="GK199">
        <f ca="1">ROUND(GC199-GJ199,0)</f>
        <v>0</v>
      </c>
      <c r="GL199">
        <f ca="1">GK199*0.04</f>
        <v>0</v>
      </c>
      <c r="GM199">
        <f ca="1">ROUNDUP(GK199+GL199,0)</f>
        <v>0</v>
      </c>
    </row>
    <row r="200" spans="1:195" x14ac:dyDescent="0.25">
      <c r="A200">
        <f>_xlfn.AGGREGATE(3,5,$B$2:B200)</f>
        <v>199</v>
      </c>
      <c r="B200" t="s">
        <v>511</v>
      </c>
      <c r="C200" t="s">
        <v>512</v>
      </c>
      <c r="D200" t="s">
        <v>803</v>
      </c>
      <c r="E200" t="s">
        <v>833</v>
      </c>
      <c r="F200" t="s">
        <v>959</v>
      </c>
      <c r="G200" t="s">
        <v>935</v>
      </c>
      <c r="H200">
        <f>IF(_xlfn.DAYS("31-03-2025",G200)&gt;=180,6800,0)</f>
        <v>6800</v>
      </c>
      <c r="I200">
        <f>_xlfn.XLOOKUP(B200,'[1]march-2025'!$A:$A,'[1]march-2025'!$J:$J,0,0)</f>
        <v>0</v>
      </c>
      <c r="J200">
        <f>_xlfn.XLOOKUP(B200,'[1]march-2025'!$A:$A,'[1]march-2025'!$C:$C,0,0)</f>
        <v>33500</v>
      </c>
      <c r="K200">
        <f>J200*0.14</f>
        <v>4690</v>
      </c>
      <c r="L200">
        <f>J200*0.12</f>
        <v>4020</v>
      </c>
      <c r="M200">
        <f>_xlfn.XLOOKUP(B200,'[1]march-2025'!$A:$A,'[1]march-2025'!$D:$D,0,0)</f>
        <v>400</v>
      </c>
      <c r="N200">
        <f>_xlfn.XLOOKUP(B200,'[1]march-2025'!$A:$A,'[1]march-2025'!$G:$G,0,0)</f>
        <v>500</v>
      </c>
      <c r="O200">
        <f>IF(J200&gt;0,SUM(J200:N200),0)</f>
        <v>43110</v>
      </c>
      <c r="P200">
        <f>_xlfn.XLOOKUP(B200,'[1]march-2025'!$A:$A,'[1]march-2025'!$H:$H,0,0)</f>
        <v>3000</v>
      </c>
      <c r="Q200">
        <f>_xlfn.XLOOKUP(B200,'[1]march-2025'!$A:$A,'[1]march-2025'!$I:$I,0,0)</f>
        <v>0</v>
      </c>
      <c r="R200">
        <f>IF($F200="YES",0,IF(O200&gt;40000,200,IF(O200&gt;25000,150,IF(O200&gt;15000,130,IF(O200&gt;10000,110,0)))))</f>
        <v>200</v>
      </c>
      <c r="S200">
        <f>O200-P200-Q200-R200</f>
        <v>39910</v>
      </c>
      <c r="T200">
        <f>_xlfn.XLOOKUP(B200,'[2]april-2025'!$A:$A,'[2]april-2025'!$C:$C,0,0)</f>
        <v>33500</v>
      </c>
      <c r="U200">
        <f>T200*0.18</f>
        <v>6030</v>
      </c>
      <c r="V200">
        <f>T200*0.12</f>
        <v>4020</v>
      </c>
      <c r="W200">
        <f>_xlfn.XLOOKUP(B200,'[2]april-2025'!$A:$A,'[2]april-2025'!$D:$D,0,0)</f>
        <v>400</v>
      </c>
      <c r="X200">
        <f>_xlfn.XLOOKUP(B200,'[2]april-2025'!$A:$A,'[2]april-2025'!$G:$G,0,0)</f>
        <v>500</v>
      </c>
      <c r="Y200">
        <f>IF(T200&gt;0,SUM(T200:X200),0)</f>
        <v>44450</v>
      </c>
      <c r="Z200">
        <f>_xlfn.XLOOKUP(B200,'[2]april-2025'!$A:$A,'[2]april-2025'!$H:$H,0,0)</f>
        <v>3000</v>
      </c>
      <c r="AA200">
        <f>_xlfn.XLOOKUP(B200,'[2]april-2025'!$A:$A,'[2]april-2025'!$I:$I,0,0)</f>
        <v>0</v>
      </c>
      <c r="AB200">
        <f>IF($F200="YES",0,IF(Y200&gt;40000,200,IF(Y200&gt;25000,150,IF(Y200&gt;15000,130,IF(Y200&gt;10000,110,0)))))</f>
        <v>200</v>
      </c>
      <c r="AC200">
        <f>Y200-Z200-AA200-AB200</f>
        <v>41250</v>
      </c>
      <c r="AD200">
        <f>_xlfn.XLOOKUP(B200,'[3]may-2025'!$A:$A,'[3]may-2025'!$C:$C,0,0)</f>
        <v>33500</v>
      </c>
      <c r="AE200">
        <f>AD200*0.18</f>
        <v>6030</v>
      </c>
      <c r="AF200">
        <f>AD200*0.12</f>
        <v>4020</v>
      </c>
      <c r="AG200">
        <f>_xlfn.XLOOKUP(B200,'[3]may-2025'!$A:$A,'[3]may-2025'!$D:$D,0,0)</f>
        <v>400</v>
      </c>
      <c r="AH200">
        <f>_xlfn.XLOOKUP(B200,'[3]may-2025'!$A:$A,'[3]may-2025'!$G:$G,0,0)</f>
        <v>500</v>
      </c>
      <c r="AI200">
        <f>IF(AD200&gt;0,SUM(AD200:AH200),0)</f>
        <v>44450</v>
      </c>
      <c r="AJ200">
        <f>_xlfn.XLOOKUP(B200,'[3]may-2025'!$A:$A,'[3]may-2025'!$H:$H,0,0)</f>
        <v>3000</v>
      </c>
      <c r="AK200">
        <f>_xlfn.XLOOKUP(B200,'[3]may-2025'!$A:$A,'[3]may-2025'!$I:$I,0,0)</f>
        <v>0</v>
      </c>
      <c r="AL200">
        <f>IF($F200="YES",0,IF(AI200&gt;40000,200,IF(AI200&gt;25000,150,IF(AI200&gt;15000,130,IF(AI200&gt;10000,110,0)))))</f>
        <v>200</v>
      </c>
      <c r="AM200">
        <f>AI200-AJ200-AK200-AL200</f>
        <v>41250</v>
      </c>
      <c r="AN200">
        <f>_xlfn.XLOOKUP(B200,'[4]june-2025'!$A:$A,'[4]june-2025'!$C:$C,0,0)</f>
        <v>33500</v>
      </c>
      <c r="AO200">
        <f>AN200*0.18</f>
        <v>6030</v>
      </c>
      <c r="AP200">
        <f>AN200*0.12</f>
        <v>4020</v>
      </c>
      <c r="AQ200">
        <f>_xlfn.XLOOKUP(B200,'[4]june-2025'!$A:$A,'[4]june-2025'!$D:$D,0,0)</f>
        <v>400</v>
      </c>
      <c r="AR200">
        <f>_xlfn.XLOOKUP(B200,'[4]june-2025'!$A:$A,'[4]june-2025'!$G:$G,0,0)</f>
        <v>500</v>
      </c>
      <c r="AS200">
        <f>IF(AN200&gt;0,SUM(AN200:AR200),0)</f>
        <v>44450</v>
      </c>
      <c r="AT200">
        <f>_xlfn.XLOOKUP(B200,'[4]june-2025'!$A:$A,'[4]june-2025'!$H:$H,0,0)</f>
        <v>3000</v>
      </c>
      <c r="AU200">
        <f>_xlfn.XLOOKUP(B200,'[4]june-2025'!$A:$A,'[4]june-2025'!$I:$I,0,0)</f>
        <v>0</v>
      </c>
      <c r="AV200">
        <f>IF($F200="YES",0,IF(AS200&gt;40000,200,IF(AS200&gt;25000,150,IF(AS200&gt;15000,130,IF(AS200&gt;10000,110,0)))))</f>
        <v>200</v>
      </c>
      <c r="AW200">
        <f>AS200-AT200-AU200-AV200</f>
        <v>41250</v>
      </c>
      <c r="AX200">
        <f>_xlfn.XLOOKUP(B200,'[5]july-2025'!$A:$A,'[5]july-2025'!$C:$C,0,0)</f>
        <v>34500</v>
      </c>
      <c r="AY200">
        <f>AX200*0.18</f>
        <v>6210</v>
      </c>
      <c r="AZ200">
        <v>0</v>
      </c>
      <c r="BA200">
        <f>AX200*0.12</f>
        <v>4140</v>
      </c>
      <c r="BB200">
        <f>_xlfn.XLOOKUP(B200,'[5]july-2025'!$A:$A,'[5]july-2025'!$D:$D,0,0)</f>
        <v>400</v>
      </c>
      <c r="BC200">
        <f>_xlfn.XLOOKUP(B200,'[5]july-2025'!$A:$A,'[5]july-2025'!$G:$G,0,0)</f>
        <v>500</v>
      </c>
      <c r="BD200">
        <f>IF(AX200&gt;0,SUM(AX200:BC200),0)</f>
        <v>45750</v>
      </c>
      <c r="BE200">
        <f>_xlfn.XLOOKUP(B200,'[5]july-2025'!$A:$A,'[5]july-2025'!$H:$H,0,0)</f>
        <v>3000</v>
      </c>
      <c r="BF200">
        <f>_xlfn.XLOOKUP(B200,'[5]july-2025'!$A:$A,'[5]july-2025'!$I:$I,0,0)</f>
        <v>0</v>
      </c>
      <c r="BG200">
        <f>IF($F200="YES",0,IF(BD200&gt;40000,200,IF(BD200&gt;25000,150,IF(BD200&gt;15000,130,IF(BD200&gt;10000,110,0)))))</f>
        <v>200</v>
      </c>
      <c r="BH200">
        <f>BD200-BE200-BF200-BG200</f>
        <v>42550</v>
      </c>
      <c r="BI200">
        <f>_xlfn.XLOOKUP(B200,'[6]august-2025'!$A:$A,'[6]august-2025'!$C:$C,0,0)</f>
        <v>34500</v>
      </c>
      <c r="BJ200">
        <f>BI200*0.18</f>
        <v>6210</v>
      </c>
      <c r="BK200">
        <f>BI200*0.12</f>
        <v>4140</v>
      </c>
      <c r="BL200">
        <f>_xlfn.XLOOKUP(B200,'[6]august-2025'!$A:$A,'[6]august-2025'!$D:$D,0,0)</f>
        <v>400</v>
      </c>
      <c r="BM200">
        <f>_xlfn.XLOOKUP(B200,'[6]august-2025'!$A:$A,'[6]august-2025'!$G:$G,0,0)</f>
        <v>500</v>
      </c>
      <c r="BN200">
        <f>IF(BI200&gt;0,SUM(BI200:BM200),0)</f>
        <v>45750</v>
      </c>
      <c r="BO200">
        <f>_xlfn.XLOOKUP(B200,'[6]august-2025'!$A:$A,'[6]august-2025'!$H:$H,0,0)</f>
        <v>3000</v>
      </c>
      <c r="BP200">
        <f>_xlfn.XLOOKUP(B200,'[6]august-2025'!$A:$A,'[6]august-2025'!$I:$I,0,0)</f>
        <v>0</v>
      </c>
      <c r="BQ200">
        <f>IF($F200="YES",0,IF(BN200&gt;40000,200,IF(BN200&gt;25000,150,IF(BN200&gt;15000,130,IF(BN200&gt;10000,110,0)))))</f>
        <v>200</v>
      </c>
      <c r="BR200">
        <f>BN200-BO200-BP200-BQ200</f>
        <v>42550</v>
      </c>
      <c r="BS200">
        <f>_xlfn.XLOOKUP(B200,'[7]september-2025'!$A:$A,'[7]september-2025'!$C:$C,0,0)</f>
        <v>34500</v>
      </c>
      <c r="BT200">
        <f>BS200*0.18</f>
        <v>6210</v>
      </c>
      <c r="BU200">
        <f>BS200*0.12</f>
        <v>4140</v>
      </c>
      <c r="BV200">
        <f>_xlfn.XLOOKUP(B200,'[7]september-2025'!$A:$A,'[7]september-2025'!$D:$D,0,0)</f>
        <v>400</v>
      </c>
      <c r="BW200">
        <f>_xlfn.XLOOKUP(B200,'[7]september-2025'!$A:$A,'[7]september-2025'!$G:$G,0,0)</f>
        <v>500</v>
      </c>
      <c r="BX200">
        <f>IF(BS200&gt;0,SUM(BS200:BW200),0)</f>
        <v>45750</v>
      </c>
      <c r="BY200">
        <f>_xlfn.XLOOKUP(B200,'[7]september-2025'!$A:$A,'[7]september-2025'!$H:$H,0,0)</f>
        <v>3000</v>
      </c>
      <c r="BZ200">
        <f>_xlfn.XLOOKUP(B200,'[7]september-2025'!$A:$A,'[7]september-2025'!$I:$I,0,0)</f>
        <v>0</v>
      </c>
      <c r="CA200">
        <f>IF($F200="YES",0,IF(BX200&gt;40000,200,IF(BX200&gt;25000,150,IF(BX200&gt;15000,130,IF(BX200&gt;10000,110,0)))))</f>
        <v>200</v>
      </c>
      <c r="CB200">
        <f>BX200-BY200-BZ200-CA200</f>
        <v>42550</v>
      </c>
      <c r="CC200">
        <f>_xlfn.XLOOKUP(B200,'[8]october-2025'!$A:$A,'[8]october-2025'!$C:$C,0,0)</f>
        <v>34500</v>
      </c>
      <c r="CD200">
        <f>CC200*0.18</f>
        <v>6210</v>
      </c>
      <c r="CE200">
        <f>CC200*0.12</f>
        <v>4140</v>
      </c>
      <c r="CF200">
        <f>_xlfn.XLOOKUP(B200,'[8]october-2025'!$A:$A,'[8]october-2025'!$D:$D,0,0)</f>
        <v>400</v>
      </c>
      <c r="CG200">
        <f>_xlfn.XLOOKUP(B200,'[8]october-2025'!$A:$A,'[8]october-2025'!$G:$G,0,0)</f>
        <v>500</v>
      </c>
      <c r="CH200">
        <f>IF(CC200&gt;0,SUM(CC200:CG200),0)</f>
        <v>45750</v>
      </c>
      <c r="CI200">
        <f>_xlfn.XLOOKUP(B200,'[8]october-2025'!$A:$A,'[8]october-2025'!$H:$H,0,0)</f>
        <v>3000</v>
      </c>
      <c r="CJ200">
        <f>_xlfn.XLOOKUP(B200,'[8]october-2025'!$A:$A,'[8]october-2025'!$I:$I,0,0)</f>
        <v>0</v>
      </c>
      <c r="CK200">
        <f>IF($F200="YES",0,IF(CH200&gt;40000,200,IF(CH200&gt;25000,150,IF(CH200&gt;15000,130,IF(CH200&gt;10000,110,0)))))</f>
        <v>200</v>
      </c>
      <c r="CL200">
        <f>CH200-CI200-CJ200-CK200</f>
        <v>42550</v>
      </c>
      <c r="CM200">
        <f>_xlfn.XLOOKUP(B200,'[9]november-2025'!$A:$A,'[9]november-2025'!$C:$C,0,0)</f>
        <v>34500</v>
      </c>
      <c r="CN200">
        <f>CM200*0.18</f>
        <v>6210</v>
      </c>
      <c r="CO200">
        <f>CM200*0.12</f>
        <v>4140</v>
      </c>
      <c r="CP200">
        <f>_xlfn.XLOOKUP(B200,'[9]november-2025'!$A:$A,'[9]november-2025'!$D:$D,0,0)</f>
        <v>400</v>
      </c>
      <c r="CQ200">
        <f>_xlfn.XLOOKUP(B200,'[9]november-2025'!$A:$A,'[9]november-2025'!$G:$G,0,0)</f>
        <v>500</v>
      </c>
      <c r="CR200">
        <f>IF(CM200&gt;0,SUM(CM200:CQ200),0)</f>
        <v>45750</v>
      </c>
      <c r="CS200">
        <f>_xlfn.XLOOKUP(B200,'[9]november-2025'!$A:$A,'[9]november-2025'!$H:$H,0,0)</f>
        <v>3000</v>
      </c>
      <c r="CT200">
        <f>_xlfn.XLOOKUP(B200,'[9]november-2025'!$A:$A,'[9]november-2025'!$I:$I,0,0)</f>
        <v>0</v>
      </c>
      <c r="CU200">
        <f>IF($F200="YES",0,IF(CR200&gt;40000,200,IF(CR200&gt;25000,150,IF(CR200&gt;15000,130,IF(CR200&gt;10000,110,0)))))</f>
        <v>200</v>
      </c>
      <c r="CV200">
        <f>CR200-CS200-CT200-CU200</f>
        <v>42550</v>
      </c>
      <c r="CW200">
        <f>_xlfn.XLOOKUP(B200,'[10]december-2025'!$A:$A,'[10]december-2025'!$C:$C,0,0)</f>
        <v>34500</v>
      </c>
      <c r="CX200">
        <f>ROUND(CW200*0.18,0)</f>
        <v>6210</v>
      </c>
      <c r="CY200">
        <f>ROUND(CW200*0.12,0)</f>
        <v>4140</v>
      </c>
      <c r="CZ200">
        <f>_xlfn.XLOOKUP(B200,'[10]december-2025'!$A:$A,'[10]december-2025'!$D:$D,0,0)</f>
        <v>400</v>
      </c>
      <c r="DA200">
        <f>_xlfn.XLOOKUP(B200,'[10]december-2025'!$A:$A,'[10]december-2025'!$G:$G,0,0)</f>
        <v>500</v>
      </c>
      <c r="DB200">
        <f>IF(CW200&gt;0,SUM(CW200:DA200),0)</f>
        <v>45750</v>
      </c>
      <c r="DC200">
        <f>_xlfn.XLOOKUP(B200,'[10]december-2025'!$A:$A,'[10]december-2025'!$H:$H,0,0)</f>
        <v>3000</v>
      </c>
      <c r="DD200">
        <f>_xlfn.XLOOKUP(B200,'[10]december-2025'!$A:$A,'[10]december-2025'!$I:$I,0,0)</f>
        <v>0</v>
      </c>
      <c r="DE200">
        <f>IF($F200="YES",0,IF(DB200&gt;40000,200,IF(DB200&gt;25000,150,IF(DB200&gt;15000,130,IF(DB200&gt;10000,110,0)))))</f>
        <v>200</v>
      </c>
      <c r="DF200">
        <f>DB200-DC200-DD200-DE200</f>
        <v>42550</v>
      </c>
      <c r="DG200">
        <f>_xlfn.XLOOKUP(B200,'[11]january-2026'!$A:$A,'[11]january-2026'!$C:$C,0,0)</f>
        <v>34500</v>
      </c>
      <c r="DH200">
        <f>DG200*0.18</f>
        <v>6210</v>
      </c>
      <c r="DI200">
        <f>DG200*0.12</f>
        <v>4140</v>
      </c>
      <c r="DJ200">
        <f>_xlfn.XLOOKUP(B200,'[11]january-2026'!$A:$A,'[11]january-2026'!$D:$D,0,0)</f>
        <v>400</v>
      </c>
      <c r="DK200">
        <f>_xlfn.XLOOKUP(B200,'[11]january-2026'!$A:$A,'[11]january-2026'!$G:$G,0,0)</f>
        <v>500</v>
      </c>
      <c r="DL200">
        <f>IF(DG200&gt;0,SUM(DG200:DK200),0)</f>
        <v>45750</v>
      </c>
      <c r="DM200">
        <f>_xlfn.XLOOKUP(B200,'[11]january-2026'!$A:$A,'[11]january-2026'!$H:$H,0,0)</f>
        <v>3000</v>
      </c>
      <c r="DN200">
        <f>_xlfn.XLOOKUP(B200,'[11]january-2026'!$A:$A,'[11]january-2026'!$I:$I,0,0)</f>
        <v>0</v>
      </c>
      <c r="DO200">
        <f>IF($F200="YES",0,IF(DL200&gt;40000,200,IF(DL200&gt;25000,150,IF(DL200&gt;15000,130,IF(DL200&gt;10000,110,0)))))</f>
        <v>200</v>
      </c>
      <c r="DP200">
        <f>DL200-DM200-DN200-DO200</f>
        <v>42550</v>
      </c>
      <c r="DQ200">
        <f>_xlfn.XLOOKUP(B200,'[12]february-2026'!$A:$A,'[12]february-2026'!$C:$C,0,0)</f>
        <v>34500</v>
      </c>
      <c r="DR200">
        <f>DQ200*0.18</f>
        <v>6210</v>
      </c>
      <c r="DS200">
        <f>DQ200*0.12</f>
        <v>4140</v>
      </c>
      <c r="DT200">
        <f>_xlfn.XLOOKUP(B200,'[12]february-2026'!$A:$A,'[12]february-2026'!$D:$D,0,0)</f>
        <v>400</v>
      </c>
      <c r="DU200">
        <f>_xlfn.XLOOKUP(B200,'[12]february-2026'!$A:$A,'[12]february-2026'!$G:$G,0,0)</f>
        <v>500</v>
      </c>
      <c r="DV200">
        <f>IF(DQ200&gt;0,SUM(DQ200:DU200),0)</f>
        <v>45750</v>
      </c>
      <c r="DW200">
        <f>_xlfn.XLOOKUP(B200,'[12]february-2026'!$A:$A,'[12]february-2026'!$H:$H,0,0)</f>
        <v>3000</v>
      </c>
      <c r="DX200">
        <f>_xlfn.XLOOKUP(B200,'[12]february-2026'!$A:$A,'[12]february-2026'!$I:$I,0,0)</f>
        <v>0</v>
      </c>
      <c r="DY200">
        <f>IF($F200="YES",0,IF(DV200&gt;40000,200,IF(DV200&gt;25000,150,IF(DV200&gt;15000,130,IF(DV200&gt;10000,110,0)))))</f>
        <v>200</v>
      </c>
      <c r="DZ200">
        <f>DV200-DW200-DX200-DY200</f>
        <v>42550</v>
      </c>
      <c r="EA200">
        <f>DV200+DL200+DB200+CR200+CH200+BX200+BN200+BD200+AS200+AI200+Y200+O200+H200+I200</f>
        <v>549260</v>
      </c>
      <c r="EB200">
        <f>DY200+DO200+DE200+CU200+CK200+CA200+BQ200+BG200+AV200+AL200+AB200+R200</f>
        <v>2400</v>
      </c>
      <c r="EC200">
        <f>IF(EA200&gt;0,50000,0)</f>
        <v>50000</v>
      </c>
      <c r="ED200">
        <v>0</v>
      </c>
      <c r="EE200">
        <f>EA200-EB200-EC200</f>
        <v>496860</v>
      </c>
      <c r="EF200">
        <f>DW200+DM200+DC200+CS200+CI200+BY200+BO200+BE200+AT200+AJ200+Z200+P200</f>
        <v>36000</v>
      </c>
      <c r="EG200">
        <f>DX200+DN200+DD200+CT200+CJ200+BZ200+BP200+BF200+AU200+AK200+AA200+Q200</f>
        <v>0</v>
      </c>
      <c r="EH200">
        <v>0</v>
      </c>
      <c r="EI200">
        <v>0</v>
      </c>
      <c r="EJ200">
        <v>0</v>
      </c>
      <c r="EK200">
        <v>0</v>
      </c>
      <c r="EL200">
        <v>0</v>
      </c>
      <c r="EM200">
        <v>0</v>
      </c>
      <c r="EN200">
        <v>0</v>
      </c>
      <c r="EO200">
        <v>0</v>
      </c>
      <c r="EP200">
        <v>0</v>
      </c>
      <c r="EQ200">
        <v>0</v>
      </c>
      <c r="ER200">
        <f>SUM(EF200:EQ200)</f>
        <v>36000</v>
      </c>
      <c r="ES200">
        <f>IF(ER200&gt;=150000,150000,ER200)</f>
        <v>36000</v>
      </c>
      <c r="ET200">
        <f>EE200-ES200</f>
        <v>460860</v>
      </c>
      <c r="EU200">
        <v>0</v>
      </c>
      <c r="EV200">
        <v>0</v>
      </c>
      <c r="EW200">
        <v>0</v>
      </c>
      <c r="EX200">
        <v>0</v>
      </c>
      <c r="EY200">
        <v>0</v>
      </c>
      <c r="EZ200">
        <v>0</v>
      </c>
      <c r="FA200">
        <v>0</v>
      </c>
      <c r="FB200">
        <f>SUM(EU200:FA200)+(IF(F200="YES",50000,0))</f>
        <v>0</v>
      </c>
      <c r="FC200">
        <f>ET200-FB200</f>
        <v>460860</v>
      </c>
      <c r="FD200">
        <f>ROUND(IF(FC200&gt;0,IF(FC200&gt;500000,12500,(FC200-250000)*0.05),0),0)</f>
        <v>10543</v>
      </c>
      <c r="FE200">
        <f>IF(ROUND(IF(FC200&gt;0,IF(FC200&gt;1000000,25000,(FC200-500000)*0.2),0),0)&lt;0,0,ROUND(IF(FC200&gt;0,IF(FC200&gt;1000000,25000,(FC200-500000)*0.2),0),0))</f>
        <v>0</v>
      </c>
      <c r="FF200">
        <f>FD200+FE200</f>
        <v>10543</v>
      </c>
      <c r="FG200">
        <f>IF(FF200&lt;12500,0,FF200)</f>
        <v>0</v>
      </c>
      <c r="FH200">
        <f>FG200*0.04</f>
        <v>0</v>
      </c>
      <c r="FI200">
        <f>ROUND(FH200+FG200,0)</f>
        <v>0</v>
      </c>
      <c r="FJ200">
        <v>0</v>
      </c>
      <c r="FK200">
        <f>FI200-FJ200</f>
        <v>0</v>
      </c>
      <c r="FL200" t="b">
        <f>IF(EA200&gt;500000,TRUE,FALSE)</f>
        <v>1</v>
      </c>
      <c r="FM200">
        <f ca="1">IF(FL200,RANDBETWEEN(500,1000),RANDBETWEEN(1000,3000))</f>
        <v>540</v>
      </c>
      <c r="FN200">
        <f ca="1">EA200+FM200</f>
        <v>549800</v>
      </c>
      <c r="FO200">
        <f>IF(EA200&gt;0,75000,0)</f>
        <v>75000</v>
      </c>
      <c r="FP200">
        <f ca="1">FN200-FO200</f>
        <v>474800</v>
      </c>
      <c r="FQ200">
        <f ca="1">IF(FP200&gt;2400000,FP200-2400000,0)</f>
        <v>0</v>
      </c>
      <c r="FR200">
        <f ca="1">FQ200*0.3</f>
        <v>0</v>
      </c>
      <c r="FS200">
        <f ca="1">IF(FP200&gt;2000000,FP200-2000000,0)</f>
        <v>0</v>
      </c>
      <c r="FT200">
        <f ca="1">FS200*0.25</f>
        <v>0</v>
      </c>
      <c r="FU200">
        <f ca="1">IF(FP200&gt;1600000,FP200-1600000-FQ200,0)</f>
        <v>0</v>
      </c>
      <c r="FV200">
        <f ca="1">FU200*0.2</f>
        <v>0</v>
      </c>
      <c r="FW200">
        <f ca="1">IF(FP200&gt;1200000,FP200-1200000-IF(F200="YES",50000,0)-FU200,0)</f>
        <v>0</v>
      </c>
      <c r="FX200">
        <f ca="1">FW200*0.15</f>
        <v>0</v>
      </c>
      <c r="FY200">
        <f ca="1">IF(FP200&gt;800000,FP200-800000-FQ200-FU200-FW200,0)</f>
        <v>0</v>
      </c>
      <c r="FZ200">
        <f ca="1">FY200*0.1</f>
        <v>0</v>
      </c>
      <c r="GA200">
        <f ca="1">IF(FP200&gt;400000,FP200-400000-FQ200-FU200-FW200-FY200,0)</f>
        <v>74800</v>
      </c>
      <c r="GB200">
        <f ca="1">GA200*0.05</f>
        <v>3740</v>
      </c>
      <c r="GC200">
        <f ca="1">ROUND(FR200+FT200+FV200+FX200+FZ200+GB200,0)</f>
        <v>3740</v>
      </c>
      <c r="GD200">
        <f ca="1">IF(FP200&gt;1200000,FP200,0)</f>
        <v>0</v>
      </c>
      <c r="GE200">
        <f ca="1">IF(FP200&gt;1200000,GD200-1200000,0)</f>
        <v>0</v>
      </c>
      <c r="GF200">
        <f ca="1">IF(FP200&lt;1200001,MIN(GC200,60000),0)</f>
        <v>3740</v>
      </c>
      <c r="GG200">
        <f ca="1">IF(FP200&gt;1200000,GC200-GE200,0)</f>
        <v>0</v>
      </c>
      <c r="GH200" t="b">
        <f ca="1">IF(GG200&gt;0,TRUE,FALSE)</f>
        <v>0</v>
      </c>
      <c r="GI200">
        <f ca="1">IF(GH200,GG200,0)</f>
        <v>0</v>
      </c>
      <c r="GJ200">
        <f ca="1">GF200+GI200</f>
        <v>3740</v>
      </c>
      <c r="GK200">
        <f ca="1">ROUND(GC200-GJ200,0)</f>
        <v>0</v>
      </c>
      <c r="GL200">
        <f ca="1">GK200*0.04</f>
        <v>0</v>
      </c>
      <c r="GM200">
        <f ca="1">ROUNDUP(GK200+GL200,0)</f>
        <v>0</v>
      </c>
    </row>
    <row r="201" spans="1:195" x14ac:dyDescent="0.25">
      <c r="A201">
        <f>_xlfn.AGGREGATE(3,5,$B$2:B201)</f>
        <v>200</v>
      </c>
      <c r="B201" t="s">
        <v>513</v>
      </c>
      <c r="C201" t="s">
        <v>514</v>
      </c>
      <c r="D201" t="s">
        <v>803</v>
      </c>
      <c r="E201" t="s">
        <v>833</v>
      </c>
      <c r="F201" t="s">
        <v>959</v>
      </c>
      <c r="G201" t="s">
        <v>881</v>
      </c>
      <c r="H201">
        <f>IF(_xlfn.DAYS("31-03-2025",G201)&gt;=180,6800,0)</f>
        <v>6800</v>
      </c>
      <c r="I201">
        <f>_xlfn.XLOOKUP(B201,'[1]march-2025'!$A:$A,'[1]march-2025'!$J:$J,0,0)</f>
        <v>0</v>
      </c>
      <c r="J201">
        <f>_xlfn.XLOOKUP(B201,'[1]march-2025'!$A:$A,'[1]march-2025'!$C:$C,0,0)</f>
        <v>27000</v>
      </c>
      <c r="K201">
        <f>J201*0.14</f>
        <v>3780.0000000000005</v>
      </c>
      <c r="L201">
        <f>J201*0.12</f>
        <v>3240</v>
      </c>
      <c r="M201">
        <f>_xlfn.XLOOKUP(B201,'[1]march-2025'!$A:$A,'[1]march-2025'!$D:$D,0,0)</f>
        <v>0</v>
      </c>
      <c r="N201">
        <f>_xlfn.XLOOKUP(B201,'[1]march-2025'!$A:$A,'[1]march-2025'!$G:$G,0,0)</f>
        <v>500</v>
      </c>
      <c r="O201">
        <f>IF(J201&gt;0,SUM(J201:N201),0)</f>
        <v>34520</v>
      </c>
      <c r="P201">
        <f>_xlfn.XLOOKUP(B201,'[1]march-2025'!$A:$A,'[1]march-2025'!$H:$H,0,0)</f>
        <v>2000</v>
      </c>
      <c r="Q201">
        <f>_xlfn.XLOOKUP(B201,'[1]march-2025'!$A:$A,'[1]march-2025'!$I:$I,0,0)</f>
        <v>0</v>
      </c>
      <c r="R201">
        <f>IF($F201="YES",0,IF(O201&gt;40000,200,IF(O201&gt;25000,150,IF(O201&gt;15000,130,IF(O201&gt;10000,110,0)))))</f>
        <v>150</v>
      </c>
      <c r="S201">
        <f>O201-P201-Q201-R201</f>
        <v>32370</v>
      </c>
      <c r="T201">
        <f>_xlfn.XLOOKUP(B201,'[2]april-2025'!$A:$A,'[2]april-2025'!$C:$C,0,0)</f>
        <v>27000</v>
      </c>
      <c r="U201">
        <f>T201*0.18</f>
        <v>4860</v>
      </c>
      <c r="V201">
        <f>T201*0.12</f>
        <v>3240</v>
      </c>
      <c r="W201">
        <f>_xlfn.XLOOKUP(B201,'[2]april-2025'!$A:$A,'[2]april-2025'!$D:$D,0,0)</f>
        <v>0</v>
      </c>
      <c r="X201">
        <f>_xlfn.XLOOKUP(B201,'[2]april-2025'!$A:$A,'[2]april-2025'!$G:$G,0,0)</f>
        <v>500</v>
      </c>
      <c r="Y201">
        <f>IF(T201&gt;0,SUM(T201:X201),0)</f>
        <v>35600</v>
      </c>
      <c r="Z201">
        <f>_xlfn.XLOOKUP(B201,'[2]april-2025'!$A:$A,'[2]april-2025'!$H:$H,0,0)</f>
        <v>2000</v>
      </c>
      <c r="AA201">
        <f>_xlfn.XLOOKUP(B201,'[2]april-2025'!$A:$A,'[2]april-2025'!$I:$I,0,0)</f>
        <v>0</v>
      </c>
      <c r="AB201">
        <f>IF($F201="YES",0,IF(Y201&gt;40000,200,IF(Y201&gt;25000,150,IF(Y201&gt;15000,130,IF(Y201&gt;10000,110,0)))))</f>
        <v>150</v>
      </c>
      <c r="AC201">
        <f>Y201-Z201-AA201-AB201</f>
        <v>33450</v>
      </c>
      <c r="AD201">
        <f>_xlfn.XLOOKUP(B201,'[3]may-2025'!$A:$A,'[3]may-2025'!$C:$C,0,0)</f>
        <v>31600</v>
      </c>
      <c r="AE201">
        <f>AD201*0.18</f>
        <v>5688</v>
      </c>
      <c r="AF201">
        <f>AD201*0.12</f>
        <v>3792</v>
      </c>
      <c r="AG201">
        <f>_xlfn.XLOOKUP(B201,'[3]may-2025'!$A:$A,'[3]may-2025'!$D:$D,0,0)</f>
        <v>0</v>
      </c>
      <c r="AH201">
        <f>_xlfn.XLOOKUP(B201,'[3]may-2025'!$A:$A,'[3]may-2025'!$G:$G,0,0)</f>
        <v>500</v>
      </c>
      <c r="AI201">
        <f>IF(AD201&gt;0,SUM(AD201:AH201),0)</f>
        <v>41580</v>
      </c>
      <c r="AJ201">
        <f>_xlfn.XLOOKUP(B201,'[3]may-2025'!$A:$A,'[3]may-2025'!$H:$H,0,0)</f>
        <v>2000</v>
      </c>
      <c r="AK201">
        <f>_xlfn.XLOOKUP(B201,'[3]may-2025'!$A:$A,'[3]may-2025'!$I:$I,0,0)</f>
        <v>0</v>
      </c>
      <c r="AL201">
        <f>IF($F201="YES",0,IF(AI201&gt;40000,200,IF(AI201&gt;25000,150,IF(AI201&gt;15000,130,IF(AI201&gt;10000,110,0)))))</f>
        <v>200</v>
      </c>
      <c r="AM201">
        <f>AI201-AJ201-AK201-AL201</f>
        <v>39380</v>
      </c>
      <c r="AN201">
        <f>_xlfn.XLOOKUP(B201,'[4]june-2025'!$A:$A,'[4]june-2025'!$C:$C,0,0)</f>
        <v>31600</v>
      </c>
      <c r="AO201">
        <f>AN201*0.18</f>
        <v>5688</v>
      </c>
      <c r="AP201">
        <f>AN201*0.12</f>
        <v>3792</v>
      </c>
      <c r="AQ201">
        <f>_xlfn.XLOOKUP(B201,'[4]june-2025'!$A:$A,'[4]june-2025'!$D:$D,0,0)</f>
        <v>0</v>
      </c>
      <c r="AR201">
        <f>_xlfn.XLOOKUP(B201,'[4]june-2025'!$A:$A,'[4]june-2025'!$G:$G,0,0)</f>
        <v>500</v>
      </c>
      <c r="AS201">
        <f>IF(AN201&gt;0,SUM(AN201:AR201),0)</f>
        <v>41580</v>
      </c>
      <c r="AT201">
        <f>_xlfn.XLOOKUP(B201,'[4]june-2025'!$A:$A,'[4]june-2025'!$H:$H,0,0)</f>
        <v>2000</v>
      </c>
      <c r="AU201">
        <f>_xlfn.XLOOKUP(B201,'[4]june-2025'!$A:$A,'[4]june-2025'!$I:$I,0,0)</f>
        <v>0</v>
      </c>
      <c r="AV201">
        <f>IF($F201="YES",0,IF(AS201&gt;40000,200,IF(AS201&gt;25000,150,IF(AS201&gt;15000,130,IF(AS201&gt;10000,110,0)))))</f>
        <v>200</v>
      </c>
      <c r="AW201">
        <f>AS201-AT201-AU201-AV201</f>
        <v>39380</v>
      </c>
      <c r="AX201">
        <f>_xlfn.XLOOKUP(B201,'[5]july-2025'!$A:$A,'[5]july-2025'!$C:$C,0,0)</f>
        <v>32500</v>
      </c>
      <c r="AY201">
        <f>AX201*0.18</f>
        <v>5850</v>
      </c>
      <c r="AZ201">
        <v>0</v>
      </c>
      <c r="BA201">
        <f>AX201*0.12</f>
        <v>3900</v>
      </c>
      <c r="BB201">
        <f>_xlfn.XLOOKUP(B201,'[5]july-2025'!$A:$A,'[5]july-2025'!$D:$D,0,0)</f>
        <v>0</v>
      </c>
      <c r="BC201">
        <f>_xlfn.XLOOKUP(B201,'[5]july-2025'!$A:$A,'[5]july-2025'!$G:$G,0,0)</f>
        <v>500</v>
      </c>
      <c r="BD201">
        <f>IF(AX201&gt;0,SUM(AX201:BC201),0)</f>
        <v>42750</v>
      </c>
      <c r="BE201">
        <f>_xlfn.XLOOKUP(B201,'[5]july-2025'!$A:$A,'[5]july-2025'!$H:$H,0,0)</f>
        <v>2000</v>
      </c>
      <c r="BF201">
        <f>_xlfn.XLOOKUP(B201,'[5]july-2025'!$A:$A,'[5]july-2025'!$I:$I,0,0)</f>
        <v>0</v>
      </c>
      <c r="BG201">
        <f>IF($F201="YES",0,IF(BD201&gt;40000,200,IF(BD201&gt;25000,150,IF(BD201&gt;15000,130,IF(BD201&gt;10000,110,0)))))</f>
        <v>200</v>
      </c>
      <c r="BH201">
        <f>BD201-BE201-BF201-BG201</f>
        <v>40550</v>
      </c>
      <c r="BI201">
        <f>_xlfn.XLOOKUP(B201,'[6]august-2025'!$A:$A,'[6]august-2025'!$C:$C,0,0)</f>
        <v>32500</v>
      </c>
      <c r="BJ201">
        <f>BI201*0.18</f>
        <v>5850</v>
      </c>
      <c r="BK201">
        <f>BI201*0.12</f>
        <v>3900</v>
      </c>
      <c r="BL201">
        <f>_xlfn.XLOOKUP(B201,'[6]august-2025'!$A:$A,'[6]august-2025'!$D:$D,0,0)</f>
        <v>0</v>
      </c>
      <c r="BM201">
        <f>_xlfn.XLOOKUP(B201,'[6]august-2025'!$A:$A,'[6]august-2025'!$G:$G,0,0)</f>
        <v>500</v>
      </c>
      <c r="BN201">
        <f>IF(BI201&gt;0,SUM(BI201:BM201),0)</f>
        <v>42750</v>
      </c>
      <c r="BO201">
        <f>_xlfn.XLOOKUP(B201,'[6]august-2025'!$A:$A,'[6]august-2025'!$H:$H,0,0)</f>
        <v>2000</v>
      </c>
      <c r="BP201">
        <f>_xlfn.XLOOKUP(B201,'[6]august-2025'!$A:$A,'[6]august-2025'!$I:$I,0,0)</f>
        <v>0</v>
      </c>
      <c r="BQ201">
        <f>IF($F201="YES",0,IF(BN201&gt;40000,200,IF(BN201&gt;25000,150,IF(BN201&gt;15000,130,IF(BN201&gt;10000,110,0)))))</f>
        <v>200</v>
      </c>
      <c r="BR201">
        <f>BN201-BO201-BP201-BQ201</f>
        <v>40550</v>
      </c>
      <c r="BS201">
        <f>_xlfn.XLOOKUP(B201,'[7]september-2025'!$A:$A,'[7]september-2025'!$C:$C,0,0)</f>
        <v>32500</v>
      </c>
      <c r="BT201">
        <f>BS201*0.18</f>
        <v>5850</v>
      </c>
      <c r="BU201">
        <f>BS201*0.12</f>
        <v>3900</v>
      </c>
      <c r="BV201">
        <f>_xlfn.XLOOKUP(B201,'[7]september-2025'!$A:$A,'[7]september-2025'!$D:$D,0,0)</f>
        <v>0</v>
      </c>
      <c r="BW201">
        <f>_xlfn.XLOOKUP(B201,'[7]september-2025'!$A:$A,'[7]september-2025'!$G:$G,0,0)</f>
        <v>500</v>
      </c>
      <c r="BX201">
        <f>IF(BS201&gt;0,SUM(BS201:BW201),0)</f>
        <v>42750</v>
      </c>
      <c r="BY201">
        <f>_xlfn.XLOOKUP(B201,'[7]september-2025'!$A:$A,'[7]september-2025'!$H:$H,0,0)</f>
        <v>2000</v>
      </c>
      <c r="BZ201">
        <f>_xlfn.XLOOKUP(B201,'[7]september-2025'!$A:$A,'[7]september-2025'!$I:$I,0,0)</f>
        <v>0</v>
      </c>
      <c r="CA201">
        <f>IF($F201="YES",0,IF(BX201&gt;40000,200,IF(BX201&gt;25000,150,IF(BX201&gt;15000,130,IF(BX201&gt;10000,110,0)))))</f>
        <v>200</v>
      </c>
      <c r="CB201">
        <f>BX201-BY201-BZ201-CA201</f>
        <v>40550</v>
      </c>
      <c r="CC201">
        <f>_xlfn.XLOOKUP(B201,'[8]october-2025'!$A:$A,'[8]october-2025'!$C:$C,0,0)</f>
        <v>32500</v>
      </c>
      <c r="CD201">
        <f>CC201*0.18</f>
        <v>5850</v>
      </c>
      <c r="CE201">
        <f>CC201*0.12</f>
        <v>3900</v>
      </c>
      <c r="CF201">
        <f>_xlfn.XLOOKUP(B201,'[8]october-2025'!$A:$A,'[8]october-2025'!$D:$D,0,0)</f>
        <v>0</v>
      </c>
      <c r="CG201">
        <f>_xlfn.XLOOKUP(B201,'[8]october-2025'!$A:$A,'[8]october-2025'!$G:$G,0,0)</f>
        <v>500</v>
      </c>
      <c r="CH201">
        <f>IF(CC201&gt;0,SUM(CC201:CG201),0)</f>
        <v>42750</v>
      </c>
      <c r="CI201">
        <f>_xlfn.XLOOKUP(B201,'[8]october-2025'!$A:$A,'[8]october-2025'!$H:$H,0,0)</f>
        <v>2000</v>
      </c>
      <c r="CJ201">
        <f>_xlfn.XLOOKUP(B201,'[8]october-2025'!$A:$A,'[8]october-2025'!$I:$I,0,0)</f>
        <v>0</v>
      </c>
      <c r="CK201">
        <f>IF($F201="YES",0,IF(CH201&gt;40000,200,IF(CH201&gt;25000,150,IF(CH201&gt;15000,130,IF(CH201&gt;10000,110,0)))))</f>
        <v>200</v>
      </c>
      <c r="CL201">
        <f>CH201-CI201-CJ201-CK201</f>
        <v>40550</v>
      </c>
      <c r="CM201">
        <f>_xlfn.XLOOKUP(B201,'[9]november-2025'!$A:$A,'[9]november-2025'!$C:$C,0,0)</f>
        <v>32500</v>
      </c>
      <c r="CN201">
        <f>CM201*0.18</f>
        <v>5850</v>
      </c>
      <c r="CO201">
        <f>CM201*0.12</f>
        <v>3900</v>
      </c>
      <c r="CP201">
        <f>_xlfn.XLOOKUP(B201,'[9]november-2025'!$A:$A,'[9]november-2025'!$D:$D,0,0)</f>
        <v>0</v>
      </c>
      <c r="CQ201">
        <f>_xlfn.XLOOKUP(B201,'[9]november-2025'!$A:$A,'[9]november-2025'!$G:$G,0,0)</f>
        <v>500</v>
      </c>
      <c r="CR201">
        <f>IF(CM201&gt;0,SUM(CM201:CQ201),0)</f>
        <v>42750</v>
      </c>
      <c r="CS201">
        <f>_xlfn.XLOOKUP(B201,'[9]november-2025'!$A:$A,'[9]november-2025'!$H:$H,0,0)</f>
        <v>2000</v>
      </c>
      <c r="CT201">
        <f>_xlfn.XLOOKUP(B201,'[9]november-2025'!$A:$A,'[9]november-2025'!$I:$I,0,0)</f>
        <v>0</v>
      </c>
      <c r="CU201">
        <f>IF($F201="YES",0,IF(CR201&gt;40000,200,IF(CR201&gt;25000,150,IF(CR201&gt;15000,130,IF(CR201&gt;10000,110,0)))))</f>
        <v>200</v>
      </c>
      <c r="CV201">
        <f>CR201-CS201-CT201-CU201</f>
        <v>40550</v>
      </c>
      <c r="CW201">
        <f>_xlfn.XLOOKUP(B201,'[10]december-2025'!$A:$A,'[10]december-2025'!$C:$C,0,0)</f>
        <v>32500</v>
      </c>
      <c r="CX201">
        <f>ROUND(CW201*0.18,0)</f>
        <v>5850</v>
      </c>
      <c r="CY201">
        <f>ROUND(CW201*0.12,0)</f>
        <v>3900</v>
      </c>
      <c r="CZ201">
        <f>_xlfn.XLOOKUP(B201,'[10]december-2025'!$A:$A,'[10]december-2025'!$D:$D,0,0)</f>
        <v>0</v>
      </c>
      <c r="DA201">
        <f>_xlfn.XLOOKUP(B201,'[10]december-2025'!$A:$A,'[10]december-2025'!$G:$G,0,0)</f>
        <v>500</v>
      </c>
      <c r="DB201">
        <f>IF(CW201&gt;0,SUM(CW201:DA201),0)</f>
        <v>42750</v>
      </c>
      <c r="DC201">
        <f>_xlfn.XLOOKUP(B201,'[10]december-2025'!$A:$A,'[10]december-2025'!$H:$H,0,0)</f>
        <v>2000</v>
      </c>
      <c r="DD201">
        <f>_xlfn.XLOOKUP(B201,'[10]december-2025'!$A:$A,'[10]december-2025'!$I:$I,0,0)</f>
        <v>0</v>
      </c>
      <c r="DE201">
        <f>IF($F201="YES",0,IF(DB201&gt;40000,200,IF(DB201&gt;25000,150,IF(DB201&gt;15000,130,IF(DB201&gt;10000,110,0)))))</f>
        <v>200</v>
      </c>
      <c r="DF201">
        <f>DB201-DC201-DD201-DE201</f>
        <v>40550</v>
      </c>
      <c r="DG201">
        <f>_xlfn.XLOOKUP(B201,'[11]january-2026'!$A:$A,'[11]january-2026'!$C:$C,0,0)</f>
        <v>32500</v>
      </c>
      <c r="DH201">
        <f>DG201*0.18</f>
        <v>5850</v>
      </c>
      <c r="DI201">
        <f>DG201*0.12</f>
        <v>3900</v>
      </c>
      <c r="DJ201">
        <f>_xlfn.XLOOKUP(B201,'[11]january-2026'!$A:$A,'[11]january-2026'!$D:$D,0,0)</f>
        <v>0</v>
      </c>
      <c r="DK201">
        <f>_xlfn.XLOOKUP(B201,'[11]january-2026'!$A:$A,'[11]january-2026'!$G:$G,0,0)</f>
        <v>500</v>
      </c>
      <c r="DL201">
        <f>IF(DG201&gt;0,SUM(DG201:DK201),0)</f>
        <v>42750</v>
      </c>
      <c r="DM201">
        <f>_xlfn.XLOOKUP(B201,'[11]january-2026'!$A:$A,'[11]january-2026'!$H:$H,0,0)</f>
        <v>2000</v>
      </c>
      <c r="DN201">
        <f>_xlfn.XLOOKUP(B201,'[11]january-2026'!$A:$A,'[11]january-2026'!$I:$I,0,0)</f>
        <v>0</v>
      </c>
      <c r="DO201">
        <f>IF($F201="YES",0,IF(DL201&gt;40000,200,IF(DL201&gt;25000,150,IF(DL201&gt;15000,130,IF(DL201&gt;10000,110,0)))))</f>
        <v>200</v>
      </c>
      <c r="DP201">
        <f>DL201-DM201-DN201-DO201</f>
        <v>40550</v>
      </c>
      <c r="DQ201">
        <f>_xlfn.XLOOKUP(B201,'[12]february-2026'!$A:$A,'[12]february-2026'!$C:$C,0,0)</f>
        <v>32500</v>
      </c>
      <c r="DR201">
        <f>DQ201*0.18</f>
        <v>5850</v>
      </c>
      <c r="DS201">
        <f>DQ201*0.12</f>
        <v>3900</v>
      </c>
      <c r="DT201">
        <f>_xlfn.XLOOKUP(B201,'[12]february-2026'!$A:$A,'[12]february-2026'!$D:$D,0,0)</f>
        <v>0</v>
      </c>
      <c r="DU201">
        <f>_xlfn.XLOOKUP(B201,'[12]february-2026'!$A:$A,'[12]february-2026'!$G:$G,0,0)</f>
        <v>500</v>
      </c>
      <c r="DV201">
        <f>IF(DQ201&gt;0,SUM(DQ201:DU201),0)</f>
        <v>42750</v>
      </c>
      <c r="DW201">
        <f>_xlfn.XLOOKUP(B201,'[12]february-2026'!$A:$A,'[12]february-2026'!$H:$H,0,0)</f>
        <v>2000</v>
      </c>
      <c r="DX201">
        <f>_xlfn.XLOOKUP(B201,'[12]february-2026'!$A:$A,'[12]february-2026'!$I:$I,0,0)</f>
        <v>0</v>
      </c>
      <c r="DY201">
        <f>IF($F201="YES",0,IF(DV201&gt;40000,200,IF(DV201&gt;25000,150,IF(DV201&gt;15000,130,IF(DV201&gt;10000,110,0)))))</f>
        <v>200</v>
      </c>
      <c r="DZ201">
        <f>DV201-DW201-DX201-DY201</f>
        <v>40550</v>
      </c>
      <c r="EA201">
        <f>DV201+DL201+DB201+CR201+CH201+BX201+BN201+BD201+AS201+AI201+Y201+O201+H201+I201</f>
        <v>502080</v>
      </c>
      <c r="EB201">
        <f>DY201+DO201+DE201+CU201+CK201+CA201+BQ201+BG201+AV201+AL201+AB201+R201</f>
        <v>2300</v>
      </c>
      <c r="EC201">
        <f>IF(EA201&gt;0,50000,0)</f>
        <v>50000</v>
      </c>
      <c r="ED201">
        <v>0</v>
      </c>
      <c r="EE201">
        <f>EA201-EB201-EC201</f>
        <v>449780</v>
      </c>
      <c r="EF201">
        <f>DW201+DM201+DC201+CS201+CI201+BY201+BO201+BE201+AT201+AJ201+Z201+P201</f>
        <v>24000</v>
      </c>
      <c r="EG201">
        <f>DX201+DN201+DD201+CT201+CJ201+BZ201+BP201+BF201+AU201+AK201+AA201+Q201</f>
        <v>0</v>
      </c>
      <c r="EH201">
        <v>0</v>
      </c>
      <c r="EI201">
        <v>0</v>
      </c>
      <c r="EJ201">
        <v>0</v>
      </c>
      <c r="EK201">
        <v>0</v>
      </c>
      <c r="EL201">
        <v>0</v>
      </c>
      <c r="EM201">
        <v>0</v>
      </c>
      <c r="EN201">
        <v>0</v>
      </c>
      <c r="EO201">
        <v>0</v>
      </c>
      <c r="EP201">
        <v>0</v>
      </c>
      <c r="EQ201">
        <v>0</v>
      </c>
      <c r="ER201">
        <f>SUM(EF201:EQ201)</f>
        <v>24000</v>
      </c>
      <c r="ES201">
        <f>IF(ER201&gt;=150000,150000,ER201)</f>
        <v>24000</v>
      </c>
      <c r="ET201">
        <f>EE201-ES201</f>
        <v>425780</v>
      </c>
      <c r="EU201">
        <v>0</v>
      </c>
      <c r="EV201">
        <v>0</v>
      </c>
      <c r="EW201">
        <v>0</v>
      </c>
      <c r="EX201">
        <v>0</v>
      </c>
      <c r="EY201">
        <v>0</v>
      </c>
      <c r="EZ201">
        <v>0</v>
      </c>
      <c r="FA201">
        <v>0</v>
      </c>
      <c r="FB201">
        <f>SUM(EU201:FA201)+(IF(F201="YES",50000,0))</f>
        <v>0</v>
      </c>
      <c r="FC201">
        <f>ET201-FB201</f>
        <v>425780</v>
      </c>
      <c r="FD201">
        <f>ROUND(IF(FC201&gt;0,IF(FC201&gt;500000,12500,(FC201-250000)*0.05),0),0)</f>
        <v>8789</v>
      </c>
      <c r="FE201">
        <f>IF(ROUND(IF(FC201&gt;0,IF(FC201&gt;1000000,25000,(FC201-500000)*0.2),0),0)&lt;0,0,ROUND(IF(FC201&gt;0,IF(FC201&gt;1000000,25000,(FC201-500000)*0.2),0),0))</f>
        <v>0</v>
      </c>
      <c r="FF201">
        <f>FD201+FE201</f>
        <v>8789</v>
      </c>
      <c r="FG201">
        <f>IF(FF201&lt;12500,0,FF201)</f>
        <v>0</v>
      </c>
      <c r="FH201">
        <f>FG201*0.04</f>
        <v>0</v>
      </c>
      <c r="FI201">
        <f>ROUND(FH201+FG201,0)</f>
        <v>0</v>
      </c>
      <c r="FJ201">
        <v>0</v>
      </c>
      <c r="FK201">
        <f>FI201-FJ201</f>
        <v>0</v>
      </c>
      <c r="FL201" t="b">
        <f>IF(EA201&gt;500000,TRUE,FALSE)</f>
        <v>1</v>
      </c>
      <c r="FM201">
        <f ca="1">IF(FL201,RANDBETWEEN(500,1000),RANDBETWEEN(1000,3000))</f>
        <v>794</v>
      </c>
      <c r="FN201">
        <f ca="1">EA201+FM201</f>
        <v>502874</v>
      </c>
      <c r="FO201">
        <f>IF(EA201&gt;0,75000,0)</f>
        <v>75000</v>
      </c>
      <c r="FP201">
        <f ca="1">FN201-FO201</f>
        <v>427874</v>
      </c>
      <c r="FQ201">
        <f ca="1">IF(FP201&gt;2400000,FP201-2400000,0)</f>
        <v>0</v>
      </c>
      <c r="FR201">
        <f ca="1">FQ201*0.3</f>
        <v>0</v>
      </c>
      <c r="FS201">
        <f ca="1">IF(FP201&gt;2000000,FP201-2000000,0)</f>
        <v>0</v>
      </c>
      <c r="FT201">
        <f ca="1">FS201*0.25</f>
        <v>0</v>
      </c>
      <c r="FU201">
        <f ca="1">IF(FP201&gt;1600000,FP201-1600000-FQ201,0)</f>
        <v>0</v>
      </c>
      <c r="FV201">
        <f ca="1">FU201*0.2</f>
        <v>0</v>
      </c>
      <c r="FW201">
        <f ca="1">IF(FP201&gt;1200000,FP201-1200000-IF(F201="YES",50000,0)-FU201,0)</f>
        <v>0</v>
      </c>
      <c r="FX201">
        <f ca="1">FW201*0.15</f>
        <v>0</v>
      </c>
      <c r="FY201">
        <f ca="1">IF(FP201&gt;800000,FP201-800000-FQ201-FU201-FW201,0)</f>
        <v>0</v>
      </c>
      <c r="FZ201">
        <f ca="1">FY201*0.1</f>
        <v>0</v>
      </c>
      <c r="GA201">
        <f ca="1">IF(FP201&gt;400000,FP201-400000-FQ201-FU201-FW201-FY201,0)</f>
        <v>27874</v>
      </c>
      <c r="GB201">
        <f ca="1">GA201*0.05</f>
        <v>1393.7</v>
      </c>
      <c r="GC201">
        <f ca="1">ROUND(FR201+FT201+FV201+FX201+FZ201+GB201,0)</f>
        <v>1394</v>
      </c>
      <c r="GD201">
        <f ca="1">IF(FP201&gt;1200000,FP201,0)</f>
        <v>0</v>
      </c>
      <c r="GE201">
        <f ca="1">IF(FP201&gt;1200000,GD201-1200000,0)</f>
        <v>0</v>
      </c>
      <c r="GF201">
        <f ca="1">IF(FP201&lt;1200001,MIN(GC201,60000),0)</f>
        <v>1394</v>
      </c>
      <c r="GG201">
        <f ca="1">IF(FP201&gt;1200000,GC201-GE201,0)</f>
        <v>0</v>
      </c>
      <c r="GH201" t="b">
        <f ca="1">IF(GG201&gt;0,TRUE,FALSE)</f>
        <v>0</v>
      </c>
      <c r="GI201">
        <f ca="1">IF(GH201,GG201,0)</f>
        <v>0</v>
      </c>
      <c r="GJ201">
        <f ca="1">GF201+GI201</f>
        <v>1394</v>
      </c>
      <c r="GK201">
        <f ca="1">ROUND(GC201-GJ201,0)</f>
        <v>0</v>
      </c>
      <c r="GL201">
        <f ca="1">GK201*0.04</f>
        <v>0</v>
      </c>
      <c r="GM201">
        <f ca="1">ROUNDUP(GK201+GL201,0)</f>
        <v>0</v>
      </c>
    </row>
    <row r="202" spans="1:195" x14ac:dyDescent="0.25">
      <c r="A202">
        <f>_xlfn.AGGREGATE(3,5,$B$2:B202)</f>
        <v>201</v>
      </c>
      <c r="B202" t="s">
        <v>869</v>
      </c>
      <c r="C202" t="s">
        <v>870</v>
      </c>
      <c r="D202" t="s">
        <v>803</v>
      </c>
      <c r="E202" t="s">
        <v>833</v>
      </c>
      <c r="F202" t="s">
        <v>960</v>
      </c>
      <c r="G202" t="s">
        <v>941</v>
      </c>
      <c r="H202">
        <f>IF(_xlfn.DAYS("31-03-2025",G202)&gt;=180,6800,0)</f>
        <v>0</v>
      </c>
      <c r="I202">
        <f>_xlfn.XLOOKUP(B202,'[1]march-2025'!$A:$A,'[1]march-2025'!$J:$J,0,0)</f>
        <v>0</v>
      </c>
      <c r="J202">
        <f>_xlfn.XLOOKUP(B202,'[1]march-2025'!$A:$A,'[1]march-2025'!$C:$C,0,0)</f>
        <v>0</v>
      </c>
      <c r="K202">
        <f>J202*0.14</f>
        <v>0</v>
      </c>
      <c r="L202">
        <f>J202*0.12</f>
        <v>0</v>
      </c>
      <c r="M202">
        <f>_xlfn.XLOOKUP(B202,'[1]march-2025'!$A:$A,'[1]march-2025'!$D:$D,0,0)</f>
        <v>0</v>
      </c>
      <c r="N202">
        <f>_xlfn.XLOOKUP(B202,'[1]march-2025'!$A:$A,'[1]march-2025'!$G:$G,0,0)</f>
        <v>0</v>
      </c>
      <c r="O202">
        <f>IF(J202&gt;0,SUM(J202:N202),0)</f>
        <v>0</v>
      </c>
      <c r="P202">
        <f>_xlfn.XLOOKUP(B202,'[1]march-2025'!$A:$A,'[1]march-2025'!$H:$H,0,0)</f>
        <v>0</v>
      </c>
      <c r="Q202">
        <f>_xlfn.XLOOKUP(B202,'[1]march-2025'!$A:$A,'[1]march-2025'!$I:$I,0,0)</f>
        <v>0</v>
      </c>
      <c r="R202">
        <f>IF($F202="YES",0,IF(O202&gt;40000,200,IF(O202&gt;25000,150,IF(O202&gt;15000,130,IF(O202&gt;10000,110,0)))))</f>
        <v>0</v>
      </c>
      <c r="S202">
        <f>O202-P202-Q202-R202</f>
        <v>0</v>
      </c>
      <c r="T202">
        <f>_xlfn.XLOOKUP(B202,'[2]april-2025'!$A:$A,'[2]april-2025'!$C:$C,0,0)</f>
        <v>0</v>
      </c>
      <c r="U202">
        <f>T202*0.18</f>
        <v>0</v>
      </c>
      <c r="V202">
        <f>T202*0.12</f>
        <v>0</v>
      </c>
      <c r="W202">
        <f>_xlfn.XLOOKUP(B202,'[2]april-2025'!$A:$A,'[2]april-2025'!$D:$D,0,0)</f>
        <v>0</v>
      </c>
      <c r="X202">
        <f>_xlfn.XLOOKUP(B202,'[2]april-2025'!$A:$A,'[2]april-2025'!$G:$G,0,0)</f>
        <v>0</v>
      </c>
      <c r="Y202">
        <f>IF(T202&gt;0,SUM(T202:X202),0)</f>
        <v>0</v>
      </c>
      <c r="Z202">
        <f>_xlfn.XLOOKUP(B202,'[2]april-2025'!$A:$A,'[2]april-2025'!$H:$H,0,0)</f>
        <v>0</v>
      </c>
      <c r="AA202">
        <f>_xlfn.XLOOKUP(B202,'[2]april-2025'!$A:$A,'[2]april-2025'!$I:$I,0,0)</f>
        <v>0</v>
      </c>
      <c r="AB202">
        <f>IF($F202="YES",0,IF(Y202&gt;40000,200,IF(Y202&gt;25000,150,IF(Y202&gt;15000,130,IF(Y202&gt;10000,110,0)))))</f>
        <v>0</v>
      </c>
      <c r="AC202">
        <f>Y202-Z202-AA202-AB202</f>
        <v>0</v>
      </c>
      <c r="AD202">
        <f>_xlfn.XLOOKUP(B202,'[3]may-2025'!$A:$A,'[3]may-2025'!$C:$C,0,0)</f>
        <v>24700</v>
      </c>
      <c r="AE202">
        <f>AD202*0.18</f>
        <v>4446</v>
      </c>
      <c r="AF202">
        <f>AD202*0.12</f>
        <v>2964</v>
      </c>
      <c r="AG202">
        <f>_xlfn.XLOOKUP(B202,'[3]may-2025'!$A:$A,'[3]may-2025'!$D:$D,0,0)</f>
        <v>0</v>
      </c>
      <c r="AH202">
        <f>_xlfn.XLOOKUP(B202,'[3]may-2025'!$A:$A,'[3]may-2025'!$G:$G,0,0)</f>
        <v>0</v>
      </c>
      <c r="AI202">
        <f>IF(AD202&gt;0,SUM(AD202:AH202),0)</f>
        <v>32110</v>
      </c>
      <c r="AJ202">
        <f>_xlfn.XLOOKUP(B202,'[3]may-2025'!$A:$A,'[3]may-2025'!$H:$H,0,0)</f>
        <v>0</v>
      </c>
      <c r="AK202">
        <f>_xlfn.XLOOKUP(B202,'[3]may-2025'!$A:$A,'[3]may-2025'!$I:$I,0,0)</f>
        <v>0</v>
      </c>
      <c r="AL202">
        <f>IF($F202="YES",0,IF(AI202&gt;40000,200,IF(AI202&gt;25000,150,IF(AI202&gt;15000,130,IF(AI202&gt;10000,110,0)))))</f>
        <v>0</v>
      </c>
      <c r="AM202">
        <f>AI202-AJ202-AK202-AL202</f>
        <v>32110</v>
      </c>
      <c r="AN202">
        <f>_xlfn.XLOOKUP(B202,'[4]june-2025'!$A:$A,'[4]june-2025'!$C:$C,0,0)</f>
        <v>24700</v>
      </c>
      <c r="AO202">
        <f>AN202*0.18</f>
        <v>4446</v>
      </c>
      <c r="AP202">
        <f>AN202*0.12</f>
        <v>2964</v>
      </c>
      <c r="AQ202">
        <f>_xlfn.XLOOKUP(B202,'[4]june-2025'!$A:$A,'[4]june-2025'!$D:$D,0,0)</f>
        <v>0</v>
      </c>
      <c r="AR202">
        <f>_xlfn.XLOOKUP(B202,'[4]june-2025'!$A:$A,'[4]june-2025'!$G:$G,0,0)</f>
        <v>0</v>
      </c>
      <c r="AS202">
        <f>IF(AN202&gt;0,SUM(AN202:AR202),0)</f>
        <v>32110</v>
      </c>
      <c r="AT202">
        <f>_xlfn.XLOOKUP(B202,'[4]june-2025'!$A:$A,'[4]june-2025'!$H:$H,0,0)</f>
        <v>0</v>
      </c>
      <c r="AU202">
        <f>_xlfn.XLOOKUP(B202,'[4]june-2025'!$A:$A,'[4]june-2025'!$I:$I,0,0)</f>
        <v>0</v>
      </c>
      <c r="AV202">
        <f>IF($F202="YES",0,IF(AS202&gt;40000,200,IF(AS202&gt;25000,150,IF(AS202&gt;15000,130,IF(AS202&gt;10000,110,0)))))</f>
        <v>0</v>
      </c>
      <c r="AW202">
        <f>AS202-AT202-AU202-AV202</f>
        <v>32110</v>
      </c>
      <c r="AX202">
        <f>_xlfn.XLOOKUP(B202,'[5]july-2025'!$A:$A,'[5]july-2025'!$C:$C,0,0)</f>
        <v>24700</v>
      </c>
      <c r="AY202">
        <f>AX202*0.18</f>
        <v>4446</v>
      </c>
      <c r="AZ202">
        <v>0</v>
      </c>
      <c r="BA202">
        <f>AX202*0.12</f>
        <v>2964</v>
      </c>
      <c r="BB202">
        <f>_xlfn.XLOOKUP(B202,'[5]july-2025'!$A:$A,'[5]july-2025'!$D:$D,0,0)</f>
        <v>0</v>
      </c>
      <c r="BC202">
        <f>_xlfn.XLOOKUP(B202,'[5]july-2025'!$A:$A,'[5]july-2025'!$G:$G,0,0)</f>
        <v>0</v>
      </c>
      <c r="BD202">
        <f>IF(AX202&gt;0,SUM(AX202:BC202),0)</f>
        <v>32110</v>
      </c>
      <c r="BE202">
        <f>_xlfn.XLOOKUP(B202,'[5]july-2025'!$A:$A,'[5]july-2025'!$H:$H,0,0)</f>
        <v>0</v>
      </c>
      <c r="BF202">
        <f>_xlfn.XLOOKUP(B202,'[5]july-2025'!$A:$A,'[5]july-2025'!$I:$I,0,0)</f>
        <v>0</v>
      </c>
      <c r="BG202">
        <f>IF($F202="YES",0,IF(BD202&gt;40000,200,IF(BD202&gt;25000,150,IF(BD202&gt;15000,130,IF(BD202&gt;10000,110,0)))))</f>
        <v>0</v>
      </c>
      <c r="BH202">
        <f>BD202-BE202-BF202-BG202</f>
        <v>32110</v>
      </c>
      <c r="BI202">
        <f>_xlfn.XLOOKUP(B202,'[6]august-2025'!$A:$A,'[6]august-2025'!$C:$C,0,0)</f>
        <v>24700</v>
      </c>
      <c r="BJ202">
        <f>BI202*0.18</f>
        <v>4446</v>
      </c>
      <c r="BK202">
        <f>BI202*0.12</f>
        <v>2964</v>
      </c>
      <c r="BL202">
        <f>_xlfn.XLOOKUP(B202,'[6]august-2025'!$A:$A,'[6]august-2025'!$D:$D,0,0)</f>
        <v>0</v>
      </c>
      <c r="BM202">
        <f>_xlfn.XLOOKUP(B202,'[6]august-2025'!$A:$A,'[6]august-2025'!$G:$G,0,0)</f>
        <v>0</v>
      </c>
      <c r="BN202">
        <f>IF(BI202&gt;0,SUM(BI202:BM202),0)</f>
        <v>32110</v>
      </c>
      <c r="BO202">
        <f>_xlfn.XLOOKUP(B202,'[6]august-2025'!$A:$A,'[6]august-2025'!$H:$H,0,0)</f>
        <v>0</v>
      </c>
      <c r="BP202">
        <f>_xlfn.XLOOKUP(B202,'[6]august-2025'!$A:$A,'[6]august-2025'!$I:$I,0,0)</f>
        <v>0</v>
      </c>
      <c r="BQ202">
        <f>IF($F202="YES",0,IF(BN202&gt;40000,200,IF(BN202&gt;25000,150,IF(BN202&gt;15000,130,IF(BN202&gt;10000,110,0)))))</f>
        <v>0</v>
      </c>
      <c r="BR202">
        <f>BN202-BO202-BP202-BQ202</f>
        <v>32110</v>
      </c>
      <c r="BS202">
        <f>_xlfn.XLOOKUP(B202,'[7]september-2025'!$A:$A,'[7]september-2025'!$C:$C,0,0)</f>
        <v>24700</v>
      </c>
      <c r="BT202">
        <f>BS202*0.18</f>
        <v>4446</v>
      </c>
      <c r="BU202">
        <f>BS202*0.12</f>
        <v>2964</v>
      </c>
      <c r="BV202">
        <f>_xlfn.XLOOKUP(B202,'[7]september-2025'!$A:$A,'[7]september-2025'!$D:$D,0,0)</f>
        <v>0</v>
      </c>
      <c r="BW202">
        <f>_xlfn.XLOOKUP(B202,'[7]september-2025'!$A:$A,'[7]september-2025'!$G:$G,0,0)</f>
        <v>0</v>
      </c>
      <c r="BX202">
        <f>IF(BS202&gt;0,SUM(BS202:BW202),0)</f>
        <v>32110</v>
      </c>
      <c r="BY202">
        <f>_xlfn.XLOOKUP(B202,'[7]september-2025'!$A:$A,'[7]september-2025'!$H:$H,0,0)</f>
        <v>0</v>
      </c>
      <c r="BZ202">
        <f>_xlfn.XLOOKUP(B202,'[7]september-2025'!$A:$A,'[7]september-2025'!$I:$I,0,0)</f>
        <v>0</v>
      </c>
      <c r="CA202">
        <f>IF($F202="YES",0,IF(BX202&gt;40000,200,IF(BX202&gt;25000,150,IF(BX202&gt;15000,130,IF(BX202&gt;10000,110,0)))))</f>
        <v>0</v>
      </c>
      <c r="CB202">
        <f>BX202-BY202-BZ202-CA202</f>
        <v>32110</v>
      </c>
      <c r="CC202">
        <f>_xlfn.XLOOKUP(B202,'[8]october-2025'!$A:$A,'[8]october-2025'!$C:$C,0,0)</f>
        <v>24700</v>
      </c>
      <c r="CD202">
        <f>CC202*0.18</f>
        <v>4446</v>
      </c>
      <c r="CE202">
        <f>CC202*0.12</f>
        <v>2964</v>
      </c>
      <c r="CF202">
        <f>_xlfn.XLOOKUP(B202,'[8]october-2025'!$A:$A,'[8]october-2025'!$D:$D,0,0)</f>
        <v>0</v>
      </c>
      <c r="CG202">
        <f>_xlfn.XLOOKUP(B202,'[8]october-2025'!$A:$A,'[8]october-2025'!$G:$G,0,0)</f>
        <v>0</v>
      </c>
      <c r="CH202">
        <f>IF(CC202&gt;0,SUM(CC202:CG202),0)</f>
        <v>32110</v>
      </c>
      <c r="CI202">
        <f>_xlfn.XLOOKUP(B202,'[8]october-2025'!$A:$A,'[8]october-2025'!$H:$H,0,0)</f>
        <v>0</v>
      </c>
      <c r="CJ202">
        <f>_xlfn.XLOOKUP(B202,'[8]october-2025'!$A:$A,'[8]october-2025'!$I:$I,0,0)</f>
        <v>0</v>
      </c>
      <c r="CK202">
        <f>IF($F202="YES",0,IF(CH202&gt;40000,200,IF(CH202&gt;25000,150,IF(CH202&gt;15000,130,IF(CH202&gt;10000,110,0)))))</f>
        <v>0</v>
      </c>
      <c r="CL202">
        <f>CH202-CI202-CJ202-CK202</f>
        <v>32110</v>
      </c>
      <c r="CM202">
        <f>_xlfn.XLOOKUP(B202,'[9]november-2025'!$A:$A,'[9]november-2025'!$C:$C,0,0)</f>
        <v>24700</v>
      </c>
      <c r="CN202">
        <f>CM202*0.18</f>
        <v>4446</v>
      </c>
      <c r="CO202">
        <f>CM202*0.12</f>
        <v>2964</v>
      </c>
      <c r="CP202">
        <f>_xlfn.XLOOKUP(B202,'[9]november-2025'!$A:$A,'[9]november-2025'!$D:$D,0,0)</f>
        <v>0</v>
      </c>
      <c r="CQ202">
        <f>_xlfn.XLOOKUP(B202,'[9]november-2025'!$A:$A,'[9]november-2025'!$G:$G,0,0)</f>
        <v>0</v>
      </c>
      <c r="CR202">
        <f>IF(CM202&gt;0,SUM(CM202:CQ202),0)</f>
        <v>32110</v>
      </c>
      <c r="CS202">
        <f>_xlfn.XLOOKUP(B202,'[9]november-2025'!$A:$A,'[9]november-2025'!$H:$H,0,0)</f>
        <v>0</v>
      </c>
      <c r="CT202">
        <f>_xlfn.XLOOKUP(B202,'[9]november-2025'!$A:$A,'[9]november-2025'!$I:$I,0,0)</f>
        <v>0</v>
      </c>
      <c r="CU202">
        <f>IF($F202="YES",0,IF(CR202&gt;40000,200,IF(CR202&gt;25000,150,IF(CR202&gt;15000,130,IF(CR202&gt;10000,110,0)))))</f>
        <v>0</v>
      </c>
      <c r="CV202">
        <f>CR202-CS202-CT202-CU202</f>
        <v>32110</v>
      </c>
      <c r="CW202">
        <f>_xlfn.XLOOKUP(B202,'[10]december-2025'!$A:$A,'[10]december-2025'!$C:$C,0,0)</f>
        <v>24700</v>
      </c>
      <c r="CX202">
        <f>ROUND(CW202*0.18,0)</f>
        <v>4446</v>
      </c>
      <c r="CY202">
        <f>ROUND(CW202*0.12,0)</f>
        <v>2964</v>
      </c>
      <c r="CZ202">
        <f>_xlfn.XLOOKUP(B202,'[10]december-2025'!$A:$A,'[10]december-2025'!$D:$D,0,0)</f>
        <v>0</v>
      </c>
      <c r="DA202">
        <f>_xlfn.XLOOKUP(B202,'[10]december-2025'!$A:$A,'[10]december-2025'!$G:$G,0,0)</f>
        <v>0</v>
      </c>
      <c r="DB202">
        <f>IF(CW202&gt;0,SUM(CW202:DA202),0)</f>
        <v>32110</v>
      </c>
      <c r="DC202">
        <f>_xlfn.XLOOKUP(B202,'[10]december-2025'!$A:$A,'[10]december-2025'!$H:$H,0,0)</f>
        <v>0</v>
      </c>
      <c r="DD202">
        <f>_xlfn.XLOOKUP(B202,'[10]december-2025'!$A:$A,'[10]december-2025'!$I:$I,0,0)</f>
        <v>0</v>
      </c>
      <c r="DE202">
        <f>IF($F202="YES",0,IF(DB202&gt;40000,200,IF(DB202&gt;25000,150,IF(DB202&gt;15000,130,IF(DB202&gt;10000,110,0)))))</f>
        <v>0</v>
      </c>
      <c r="DF202">
        <f>DB202-DC202-DD202-DE202</f>
        <v>32110</v>
      </c>
      <c r="DG202">
        <f>_xlfn.XLOOKUP(B202,'[11]january-2026'!$A:$A,'[11]january-2026'!$C:$C,0,0)</f>
        <v>24700</v>
      </c>
      <c r="DH202">
        <f>DG202*0.18</f>
        <v>4446</v>
      </c>
      <c r="DI202">
        <f>DG202*0.12</f>
        <v>2964</v>
      </c>
      <c r="DJ202">
        <f>_xlfn.XLOOKUP(B202,'[11]january-2026'!$A:$A,'[11]january-2026'!$D:$D,0,0)</f>
        <v>0</v>
      </c>
      <c r="DK202">
        <f>_xlfn.XLOOKUP(B202,'[11]january-2026'!$A:$A,'[11]january-2026'!$G:$G,0,0)</f>
        <v>0</v>
      </c>
      <c r="DL202">
        <f>IF(DG202&gt;0,SUM(DG202:DK202),0)</f>
        <v>32110</v>
      </c>
      <c r="DM202">
        <f>_xlfn.XLOOKUP(B202,'[11]january-2026'!$A:$A,'[11]january-2026'!$H:$H,0,0)</f>
        <v>2000</v>
      </c>
      <c r="DN202">
        <f>_xlfn.XLOOKUP(B202,'[11]january-2026'!$A:$A,'[11]january-2026'!$I:$I,0,0)</f>
        <v>0</v>
      </c>
      <c r="DO202">
        <f>IF($F202="YES",0,IF(DL202&gt;40000,200,IF(DL202&gt;25000,150,IF(DL202&gt;15000,130,IF(DL202&gt;10000,110,0)))))</f>
        <v>0</v>
      </c>
      <c r="DP202">
        <f>DL202-DM202-DN202-DO202</f>
        <v>30110</v>
      </c>
      <c r="DQ202">
        <f>_xlfn.XLOOKUP(B202,'[12]february-2026'!$A:$A,'[12]february-2026'!$C:$C,0,0)</f>
        <v>24700</v>
      </c>
      <c r="DR202">
        <f>DQ202*0.18</f>
        <v>4446</v>
      </c>
      <c r="DS202">
        <f>DQ202*0.12</f>
        <v>2964</v>
      </c>
      <c r="DT202">
        <f>_xlfn.XLOOKUP(B202,'[12]february-2026'!$A:$A,'[12]february-2026'!$D:$D,0,0)</f>
        <v>0</v>
      </c>
      <c r="DU202">
        <f>_xlfn.XLOOKUP(B202,'[12]february-2026'!$A:$A,'[12]february-2026'!$G:$G,0,0)</f>
        <v>0</v>
      </c>
      <c r="DV202">
        <f>IF(DQ202&gt;0,SUM(DQ202:DU202),0)</f>
        <v>32110</v>
      </c>
      <c r="DW202">
        <f>_xlfn.XLOOKUP(B202,'[12]february-2026'!$A:$A,'[12]february-2026'!$H:$H,0,0)</f>
        <v>2000</v>
      </c>
      <c r="DX202">
        <f>_xlfn.XLOOKUP(B202,'[12]february-2026'!$A:$A,'[12]february-2026'!$I:$I,0,0)</f>
        <v>0</v>
      </c>
      <c r="DY202">
        <f>IF($F202="YES",0,IF(DV202&gt;40000,200,IF(DV202&gt;25000,150,IF(DV202&gt;15000,130,IF(DV202&gt;10000,110,0)))))</f>
        <v>0</v>
      </c>
      <c r="DZ202">
        <f>DV202-DW202-DX202-DY202</f>
        <v>30110</v>
      </c>
      <c r="EA202">
        <f>DV202+DL202+DB202+CR202+CH202+BX202+BN202+BD202+AS202+AI202+Y202+O202+H202+I202</f>
        <v>321100</v>
      </c>
      <c r="EB202">
        <f>DY202+DO202+DE202+CU202+CK202+CA202+BQ202+BG202+AV202+AL202+AB202+R202</f>
        <v>0</v>
      </c>
      <c r="EC202">
        <f>IF(EA202&gt;0,50000,0)</f>
        <v>50000</v>
      </c>
      <c r="ED202">
        <v>0</v>
      </c>
      <c r="EE202">
        <f>EA202-EB202-EC202</f>
        <v>271100</v>
      </c>
      <c r="EF202">
        <f>DW202+DM202+DC202+CS202+CI202+BY202+BO202+BE202+AT202+AJ202+Z202+P202</f>
        <v>4000</v>
      </c>
      <c r="EG202">
        <f>DX202+DN202+DD202+CT202+CJ202+BZ202+BP202+BF202+AU202+AK202+AA202+Q202</f>
        <v>0</v>
      </c>
      <c r="EH202">
        <v>0</v>
      </c>
      <c r="EI202">
        <v>0</v>
      </c>
      <c r="EJ202">
        <v>0</v>
      </c>
      <c r="EK202">
        <v>0</v>
      </c>
      <c r="EL202">
        <v>0</v>
      </c>
      <c r="EM202">
        <v>0</v>
      </c>
      <c r="EN202">
        <v>0</v>
      </c>
      <c r="EO202">
        <v>0</v>
      </c>
      <c r="EP202">
        <v>0</v>
      </c>
      <c r="EQ202">
        <v>0</v>
      </c>
      <c r="ER202">
        <f>SUM(EF202:EQ202)</f>
        <v>4000</v>
      </c>
      <c r="ES202">
        <f>IF(ER202&gt;=150000,150000,ER202)</f>
        <v>4000</v>
      </c>
      <c r="ET202">
        <f>EE202-ES202</f>
        <v>267100</v>
      </c>
      <c r="EU202">
        <v>0</v>
      </c>
      <c r="EV202">
        <v>0</v>
      </c>
      <c r="EW202">
        <v>0</v>
      </c>
      <c r="EX202">
        <v>0</v>
      </c>
      <c r="EY202">
        <v>0</v>
      </c>
      <c r="EZ202">
        <v>0</v>
      </c>
      <c r="FA202">
        <v>0</v>
      </c>
      <c r="FB202">
        <f>SUM(EU202:FA202)+(IF(F202="YES",50000,0))</f>
        <v>50000</v>
      </c>
      <c r="FC202">
        <f>ET202-FB202</f>
        <v>217100</v>
      </c>
      <c r="FD202">
        <f>ROUND(IF(FC202&gt;0,IF(FC202&gt;500000,12500,(FC202-250000)*0.05),0),0)</f>
        <v>-1645</v>
      </c>
      <c r="FE202">
        <f>IF(ROUND(IF(FC202&gt;0,IF(FC202&gt;1000000,25000,(FC202-500000)*0.2),0),0)&lt;0,0,ROUND(IF(FC202&gt;0,IF(FC202&gt;1000000,25000,(FC202-500000)*0.2),0),0))</f>
        <v>0</v>
      </c>
      <c r="FF202">
        <f>FD202+FE202</f>
        <v>-1645</v>
      </c>
      <c r="FG202">
        <f>IF(FF202&lt;12500,0,FF202)</f>
        <v>0</v>
      </c>
      <c r="FH202">
        <f>FG202*0.04</f>
        <v>0</v>
      </c>
      <c r="FI202">
        <f>ROUND(FH202+FG202,0)</f>
        <v>0</v>
      </c>
      <c r="FJ202">
        <v>0</v>
      </c>
      <c r="FK202">
        <f>FI202-FJ202</f>
        <v>0</v>
      </c>
      <c r="FL202" t="b">
        <f>IF(EA202&gt;500000,TRUE,FALSE)</f>
        <v>0</v>
      </c>
      <c r="FM202">
        <f ca="1">IF(FL202,RANDBETWEEN(500,1000),RANDBETWEEN(1000,3000))</f>
        <v>2131</v>
      </c>
      <c r="FN202">
        <f ca="1">EA202+FM202</f>
        <v>323231</v>
      </c>
      <c r="FO202">
        <f>IF(EA202&gt;0,75000,0)</f>
        <v>75000</v>
      </c>
      <c r="FP202">
        <f ca="1">FN202-FO202</f>
        <v>248231</v>
      </c>
      <c r="FQ202">
        <f ca="1">IF(FP202&gt;2400000,FP202-2400000,0)</f>
        <v>0</v>
      </c>
      <c r="FR202">
        <f ca="1">FQ202*0.3</f>
        <v>0</v>
      </c>
      <c r="FS202">
        <f ca="1">IF(FP202&gt;2000000,FP202-2000000,0)</f>
        <v>0</v>
      </c>
      <c r="FT202">
        <f ca="1">FS202*0.25</f>
        <v>0</v>
      </c>
      <c r="FU202">
        <f ca="1">IF(FP202&gt;1600000,FP202-1600000-FQ202,0)</f>
        <v>0</v>
      </c>
      <c r="FV202">
        <f ca="1">FU202*0.2</f>
        <v>0</v>
      </c>
      <c r="FW202">
        <f ca="1">IF(FP202&gt;1200000,FP202-1200000-IF(F202="YES",50000,0)-FU202,0)</f>
        <v>0</v>
      </c>
      <c r="FX202">
        <f ca="1">FW202*0.15</f>
        <v>0</v>
      </c>
      <c r="FY202">
        <f ca="1">IF(FP202&gt;800000,FP202-800000-FQ202-FU202-FW202,0)</f>
        <v>0</v>
      </c>
      <c r="FZ202">
        <f ca="1">FY202*0.1</f>
        <v>0</v>
      </c>
      <c r="GA202">
        <f ca="1">IF(FP202&gt;400000,FP202-400000-FQ202-FU202-FW202-FY202,0)</f>
        <v>0</v>
      </c>
      <c r="GB202">
        <f ca="1">GA202*0.05</f>
        <v>0</v>
      </c>
      <c r="GC202">
        <f ca="1">ROUND(FR202+FT202+FV202+FX202+FZ202+GB202,0)</f>
        <v>0</v>
      </c>
      <c r="GD202">
        <f ca="1">IF(FP202&gt;1200000,FP202,0)</f>
        <v>0</v>
      </c>
      <c r="GE202">
        <f ca="1">IF(FP202&gt;1200000,GD202-1200000,0)</f>
        <v>0</v>
      </c>
      <c r="GF202">
        <f ca="1">IF(FP202&lt;1200001,MIN(GC202,60000),0)</f>
        <v>0</v>
      </c>
      <c r="GG202">
        <f ca="1">IF(FP202&gt;1200000,GC202-GE202,0)</f>
        <v>0</v>
      </c>
      <c r="GH202" t="b">
        <f ca="1">IF(GG202&gt;0,TRUE,FALSE)</f>
        <v>0</v>
      </c>
      <c r="GI202">
        <f ca="1">IF(GH202,GG202,0)</f>
        <v>0</v>
      </c>
      <c r="GJ202">
        <f ca="1">GF202+GI202</f>
        <v>0</v>
      </c>
      <c r="GK202">
        <f ca="1">ROUND(GC202-GJ202,0)</f>
        <v>0</v>
      </c>
      <c r="GL202">
        <f ca="1">GK202*0.04</f>
        <v>0</v>
      </c>
      <c r="GM202">
        <f ca="1">ROUNDUP(GK202+GL202,0)</f>
        <v>0</v>
      </c>
    </row>
    <row r="203" spans="1:195" x14ac:dyDescent="0.25">
      <c r="A203">
        <f>_xlfn.AGGREGATE(3,5,$B$2:B203)</f>
        <v>202</v>
      </c>
      <c r="B203" t="s">
        <v>515</v>
      </c>
      <c r="C203" t="s">
        <v>516</v>
      </c>
      <c r="D203" t="s">
        <v>804</v>
      </c>
      <c r="E203" t="s">
        <v>834</v>
      </c>
      <c r="F203" t="s">
        <v>959</v>
      </c>
      <c r="G203" t="s">
        <v>887</v>
      </c>
      <c r="H203">
        <f>IF(_xlfn.DAYS("31-03-2025",G203)&gt;=180,6800,0)</f>
        <v>6800</v>
      </c>
      <c r="I203">
        <f>_xlfn.XLOOKUP(B203,'[1]march-2025'!$A:$A,'[1]march-2025'!$J:$J,0,0)</f>
        <v>0</v>
      </c>
      <c r="J203">
        <f>_xlfn.XLOOKUP(B203,'[1]march-2025'!$A:$A,'[1]march-2025'!$C:$C,0,0)</f>
        <v>51700</v>
      </c>
      <c r="K203">
        <f>J203*0.14</f>
        <v>7238.0000000000009</v>
      </c>
      <c r="L203">
        <f>J203*0.12</f>
        <v>6204</v>
      </c>
      <c r="M203">
        <f>_xlfn.XLOOKUP(B203,'[1]march-2025'!$A:$A,'[1]march-2025'!$D:$D,0,0)</f>
        <v>400</v>
      </c>
      <c r="N203">
        <f>_xlfn.XLOOKUP(B203,'[1]march-2025'!$A:$A,'[1]march-2025'!$G:$G,0,0)</f>
        <v>500</v>
      </c>
      <c r="O203">
        <f>IF(J203&gt;0,SUM(J203:N203),0)</f>
        <v>66042</v>
      </c>
      <c r="P203">
        <f>_xlfn.XLOOKUP(B203,'[1]march-2025'!$A:$A,'[1]march-2025'!$H:$H,0,0)</f>
        <v>10000</v>
      </c>
      <c r="Q203">
        <f>_xlfn.XLOOKUP(B203,'[1]march-2025'!$A:$A,'[1]march-2025'!$I:$I,0,0)</f>
        <v>0</v>
      </c>
      <c r="R203">
        <f>IF($F203="YES",0,IF(O203&gt;40000,200,IF(O203&gt;25000,150,IF(O203&gt;15000,130,IF(O203&gt;10000,110,0)))))</f>
        <v>200</v>
      </c>
      <c r="S203">
        <f>O203-P203-Q203-R203</f>
        <v>55842</v>
      </c>
      <c r="T203">
        <f>_xlfn.XLOOKUP(B203,'[2]april-2025'!$A:$A,'[2]april-2025'!$C:$C,0,0)</f>
        <v>51700</v>
      </c>
      <c r="U203">
        <f>T203*0.18</f>
        <v>9306</v>
      </c>
      <c r="V203">
        <f>T203*0.12</f>
        <v>6204</v>
      </c>
      <c r="W203">
        <f>_xlfn.XLOOKUP(B203,'[2]april-2025'!$A:$A,'[2]april-2025'!$D:$D,0,0)</f>
        <v>400</v>
      </c>
      <c r="X203">
        <f>_xlfn.XLOOKUP(B203,'[2]april-2025'!$A:$A,'[2]april-2025'!$G:$G,0,0)</f>
        <v>500</v>
      </c>
      <c r="Y203">
        <f>IF(T203&gt;0,SUM(T203:X203),0)</f>
        <v>68110</v>
      </c>
      <c r="Z203">
        <f>_xlfn.XLOOKUP(B203,'[2]april-2025'!$A:$A,'[2]april-2025'!$H:$H,0,0)</f>
        <v>10000</v>
      </c>
      <c r="AA203">
        <f>_xlfn.XLOOKUP(B203,'[2]april-2025'!$A:$A,'[2]april-2025'!$I:$I,0,0)</f>
        <v>0</v>
      </c>
      <c r="AB203">
        <f>IF($F203="YES",0,IF(Y203&gt;40000,200,IF(Y203&gt;25000,150,IF(Y203&gt;15000,130,IF(Y203&gt;10000,110,0)))))</f>
        <v>200</v>
      </c>
      <c r="AC203">
        <f>Y203-Z203-AA203-AB203</f>
        <v>57910</v>
      </c>
      <c r="AD203">
        <f>_xlfn.XLOOKUP(B203,'[3]may-2025'!$A:$A,'[3]may-2025'!$C:$C,0,0)</f>
        <v>51700</v>
      </c>
      <c r="AE203">
        <f>AD203*0.18</f>
        <v>9306</v>
      </c>
      <c r="AF203">
        <f>AD203*0.12</f>
        <v>6204</v>
      </c>
      <c r="AG203">
        <f>_xlfn.XLOOKUP(B203,'[3]may-2025'!$A:$A,'[3]may-2025'!$D:$D,0,0)</f>
        <v>400</v>
      </c>
      <c r="AH203">
        <f>_xlfn.XLOOKUP(B203,'[3]may-2025'!$A:$A,'[3]may-2025'!$G:$G,0,0)</f>
        <v>500</v>
      </c>
      <c r="AI203">
        <f>IF(AD203&gt;0,SUM(AD203:AH203),0)</f>
        <v>68110</v>
      </c>
      <c r="AJ203">
        <f>_xlfn.XLOOKUP(B203,'[3]may-2025'!$A:$A,'[3]may-2025'!$H:$H,0,0)</f>
        <v>10000</v>
      </c>
      <c r="AK203">
        <f>_xlfn.XLOOKUP(B203,'[3]may-2025'!$A:$A,'[3]may-2025'!$I:$I,0,0)</f>
        <v>0</v>
      </c>
      <c r="AL203">
        <f>IF($F203="YES",0,IF(AI203&gt;40000,200,IF(AI203&gt;25000,150,IF(AI203&gt;15000,130,IF(AI203&gt;10000,110,0)))))</f>
        <v>200</v>
      </c>
      <c r="AM203">
        <f>AI203-AJ203-AK203-AL203</f>
        <v>57910</v>
      </c>
      <c r="AN203">
        <f>_xlfn.XLOOKUP(B203,'[4]june-2025'!$A:$A,'[4]june-2025'!$C:$C,0,0)</f>
        <v>51700</v>
      </c>
      <c r="AO203">
        <f>AN203*0.18</f>
        <v>9306</v>
      </c>
      <c r="AP203">
        <f>AN203*0.12</f>
        <v>6204</v>
      </c>
      <c r="AQ203">
        <f>_xlfn.XLOOKUP(B203,'[4]june-2025'!$A:$A,'[4]june-2025'!$D:$D,0,0)</f>
        <v>400</v>
      </c>
      <c r="AR203">
        <f>_xlfn.XLOOKUP(B203,'[4]june-2025'!$A:$A,'[4]june-2025'!$G:$G,0,0)</f>
        <v>500</v>
      </c>
      <c r="AS203">
        <f>IF(AN203&gt;0,SUM(AN203:AR203),0)</f>
        <v>68110</v>
      </c>
      <c r="AT203">
        <f>_xlfn.XLOOKUP(B203,'[4]june-2025'!$A:$A,'[4]june-2025'!$H:$H,0,0)</f>
        <v>10000</v>
      </c>
      <c r="AU203">
        <f>_xlfn.XLOOKUP(B203,'[4]june-2025'!$A:$A,'[4]june-2025'!$I:$I,0,0)</f>
        <v>0</v>
      </c>
      <c r="AV203">
        <f>IF($F203="YES",0,IF(AS203&gt;40000,200,IF(AS203&gt;25000,150,IF(AS203&gt;15000,130,IF(AS203&gt;10000,110,0)))))</f>
        <v>200</v>
      </c>
      <c r="AW203">
        <f>AS203-AT203-AU203-AV203</f>
        <v>57910</v>
      </c>
      <c r="AX203">
        <f>_xlfn.XLOOKUP(B203,'[5]july-2025'!$A:$A,'[5]july-2025'!$C:$C,0,0)</f>
        <v>53300</v>
      </c>
      <c r="AY203">
        <f>AX203*0.18</f>
        <v>9594</v>
      </c>
      <c r="AZ203">
        <v>0</v>
      </c>
      <c r="BA203">
        <f>AX203*0.12</f>
        <v>6396</v>
      </c>
      <c r="BB203">
        <f>_xlfn.XLOOKUP(B203,'[5]july-2025'!$A:$A,'[5]july-2025'!$D:$D,0,0)</f>
        <v>400</v>
      </c>
      <c r="BC203">
        <f>_xlfn.XLOOKUP(B203,'[5]july-2025'!$A:$A,'[5]july-2025'!$G:$G,0,0)</f>
        <v>500</v>
      </c>
      <c r="BD203">
        <f>IF(AX203&gt;0,SUM(AX203:BC203),0)</f>
        <v>70190</v>
      </c>
      <c r="BE203">
        <f>_xlfn.XLOOKUP(B203,'[5]july-2025'!$A:$A,'[5]july-2025'!$H:$H,0,0)</f>
        <v>10000</v>
      </c>
      <c r="BF203">
        <f>_xlfn.XLOOKUP(B203,'[5]july-2025'!$A:$A,'[5]july-2025'!$I:$I,0,0)</f>
        <v>0</v>
      </c>
      <c r="BG203">
        <f>IF($F203="YES",0,IF(BD203&gt;40000,200,IF(BD203&gt;25000,150,IF(BD203&gt;15000,130,IF(BD203&gt;10000,110,0)))))</f>
        <v>200</v>
      </c>
      <c r="BH203">
        <f>BD203-BE203-BF203-BG203</f>
        <v>59990</v>
      </c>
      <c r="BI203">
        <f>_xlfn.XLOOKUP(B203,'[6]august-2025'!$A:$A,'[6]august-2025'!$C:$C,0,0)</f>
        <v>53300</v>
      </c>
      <c r="BJ203">
        <f>BI203*0.18</f>
        <v>9594</v>
      </c>
      <c r="BK203">
        <f>BI203*0.12</f>
        <v>6396</v>
      </c>
      <c r="BL203">
        <f>_xlfn.XLOOKUP(B203,'[6]august-2025'!$A:$A,'[6]august-2025'!$D:$D,0,0)</f>
        <v>400</v>
      </c>
      <c r="BM203">
        <f>_xlfn.XLOOKUP(B203,'[6]august-2025'!$A:$A,'[6]august-2025'!$G:$G,0,0)</f>
        <v>500</v>
      </c>
      <c r="BN203">
        <f>IF(BI203&gt;0,SUM(BI203:BM203),0)</f>
        <v>70190</v>
      </c>
      <c r="BO203">
        <f>_xlfn.XLOOKUP(B203,'[6]august-2025'!$A:$A,'[6]august-2025'!$H:$H,0,0)</f>
        <v>10000</v>
      </c>
      <c r="BP203">
        <f>_xlfn.XLOOKUP(B203,'[6]august-2025'!$A:$A,'[6]august-2025'!$I:$I,0,0)</f>
        <v>0</v>
      </c>
      <c r="BQ203">
        <f>IF($F203="YES",0,IF(BN203&gt;40000,200,IF(BN203&gt;25000,150,IF(BN203&gt;15000,130,IF(BN203&gt;10000,110,0)))))</f>
        <v>200</v>
      </c>
      <c r="BR203">
        <f>BN203-BO203-BP203-BQ203</f>
        <v>59990</v>
      </c>
      <c r="BS203">
        <f>_xlfn.XLOOKUP(B203,'[7]september-2025'!$A:$A,'[7]september-2025'!$C:$C,0,0)</f>
        <v>53300</v>
      </c>
      <c r="BT203">
        <f>BS203*0.18</f>
        <v>9594</v>
      </c>
      <c r="BU203">
        <f>BS203*0.12</f>
        <v>6396</v>
      </c>
      <c r="BV203">
        <f>_xlfn.XLOOKUP(B203,'[7]september-2025'!$A:$A,'[7]september-2025'!$D:$D,0,0)</f>
        <v>400</v>
      </c>
      <c r="BW203">
        <f>_xlfn.XLOOKUP(B203,'[7]september-2025'!$A:$A,'[7]september-2025'!$G:$G,0,0)</f>
        <v>500</v>
      </c>
      <c r="BX203">
        <f>IF(BS203&gt;0,SUM(BS203:BW203),0)</f>
        <v>70190</v>
      </c>
      <c r="BY203">
        <f>_xlfn.XLOOKUP(B203,'[7]september-2025'!$A:$A,'[7]september-2025'!$H:$H,0,0)</f>
        <v>10000</v>
      </c>
      <c r="BZ203">
        <f>_xlfn.XLOOKUP(B203,'[7]september-2025'!$A:$A,'[7]september-2025'!$I:$I,0,0)</f>
        <v>0</v>
      </c>
      <c r="CA203">
        <f>IF($F203="YES",0,IF(BX203&gt;40000,200,IF(BX203&gt;25000,150,IF(BX203&gt;15000,130,IF(BX203&gt;10000,110,0)))))</f>
        <v>200</v>
      </c>
      <c r="CB203">
        <f>BX203-BY203-BZ203-CA203</f>
        <v>59990</v>
      </c>
      <c r="CC203">
        <f>_xlfn.XLOOKUP(B203,'[8]october-2025'!$A:$A,'[8]october-2025'!$C:$C,0,0)</f>
        <v>53300</v>
      </c>
      <c r="CD203">
        <f>CC203*0.18</f>
        <v>9594</v>
      </c>
      <c r="CE203">
        <f>CC203*0.12</f>
        <v>6396</v>
      </c>
      <c r="CF203">
        <f>_xlfn.XLOOKUP(B203,'[8]october-2025'!$A:$A,'[8]october-2025'!$D:$D,0,0)</f>
        <v>400</v>
      </c>
      <c r="CG203">
        <f>_xlfn.XLOOKUP(B203,'[8]october-2025'!$A:$A,'[8]october-2025'!$G:$G,0,0)</f>
        <v>500</v>
      </c>
      <c r="CH203">
        <f>IF(CC203&gt;0,SUM(CC203:CG203),0)</f>
        <v>70190</v>
      </c>
      <c r="CI203">
        <f>_xlfn.XLOOKUP(B203,'[8]october-2025'!$A:$A,'[8]october-2025'!$H:$H,0,0)</f>
        <v>10000</v>
      </c>
      <c r="CJ203">
        <f>_xlfn.XLOOKUP(B203,'[8]october-2025'!$A:$A,'[8]october-2025'!$I:$I,0,0)</f>
        <v>0</v>
      </c>
      <c r="CK203">
        <f>IF($F203="YES",0,IF(CH203&gt;40000,200,IF(CH203&gt;25000,150,IF(CH203&gt;15000,130,IF(CH203&gt;10000,110,0)))))</f>
        <v>200</v>
      </c>
      <c r="CL203">
        <f>CH203-CI203-CJ203-CK203</f>
        <v>59990</v>
      </c>
      <c r="CM203">
        <f>_xlfn.XLOOKUP(B203,'[9]november-2025'!$A:$A,'[9]november-2025'!$C:$C,0,0)</f>
        <v>53300</v>
      </c>
      <c r="CN203">
        <f>CM203*0.18</f>
        <v>9594</v>
      </c>
      <c r="CO203">
        <f>CM203*0.12</f>
        <v>6396</v>
      </c>
      <c r="CP203">
        <f>_xlfn.XLOOKUP(B203,'[9]november-2025'!$A:$A,'[9]november-2025'!$D:$D,0,0)</f>
        <v>400</v>
      </c>
      <c r="CQ203">
        <f>_xlfn.XLOOKUP(B203,'[9]november-2025'!$A:$A,'[9]november-2025'!$G:$G,0,0)</f>
        <v>500</v>
      </c>
      <c r="CR203">
        <f>IF(CM203&gt;0,SUM(CM203:CQ203),0)</f>
        <v>70190</v>
      </c>
      <c r="CS203">
        <f>_xlfn.XLOOKUP(B203,'[9]november-2025'!$A:$A,'[9]november-2025'!$H:$H,0,0)</f>
        <v>10000</v>
      </c>
      <c r="CT203">
        <f>_xlfn.XLOOKUP(B203,'[9]november-2025'!$A:$A,'[9]november-2025'!$I:$I,0,0)</f>
        <v>0</v>
      </c>
      <c r="CU203">
        <f>IF($F203="YES",0,IF(CR203&gt;40000,200,IF(CR203&gt;25000,150,IF(CR203&gt;15000,130,IF(CR203&gt;10000,110,0)))))</f>
        <v>200</v>
      </c>
      <c r="CV203">
        <f>CR203-CS203-CT203-CU203</f>
        <v>59990</v>
      </c>
      <c r="CW203">
        <f>_xlfn.XLOOKUP(B203,'[10]december-2025'!$A:$A,'[10]december-2025'!$C:$C,0,0)</f>
        <v>53300</v>
      </c>
      <c r="CX203">
        <f>ROUND(CW203*0.18,0)</f>
        <v>9594</v>
      </c>
      <c r="CY203">
        <f>ROUND(CW203*0.12,0)</f>
        <v>6396</v>
      </c>
      <c r="CZ203">
        <f>_xlfn.XLOOKUP(B203,'[10]december-2025'!$A:$A,'[10]december-2025'!$D:$D,0,0)</f>
        <v>400</v>
      </c>
      <c r="DA203">
        <f>_xlfn.XLOOKUP(B203,'[10]december-2025'!$A:$A,'[10]december-2025'!$G:$G,0,0)</f>
        <v>500</v>
      </c>
      <c r="DB203">
        <f>IF(CW203&gt;0,SUM(CW203:DA203),0)</f>
        <v>70190</v>
      </c>
      <c r="DC203">
        <f>_xlfn.XLOOKUP(B203,'[10]december-2025'!$A:$A,'[10]december-2025'!$H:$H,0,0)</f>
        <v>10000</v>
      </c>
      <c r="DD203">
        <f>_xlfn.XLOOKUP(B203,'[10]december-2025'!$A:$A,'[10]december-2025'!$I:$I,0,0)</f>
        <v>0</v>
      </c>
      <c r="DE203">
        <f>IF($F203="YES",0,IF(DB203&gt;40000,200,IF(DB203&gt;25000,150,IF(DB203&gt;15000,130,IF(DB203&gt;10000,110,0)))))</f>
        <v>200</v>
      </c>
      <c r="DF203">
        <f>DB203-DC203-DD203-DE203</f>
        <v>59990</v>
      </c>
      <c r="DG203">
        <f>_xlfn.XLOOKUP(B203,'[11]january-2026'!$A:$A,'[11]january-2026'!$C:$C,0,0)</f>
        <v>53300</v>
      </c>
      <c r="DH203">
        <f>DG203*0.18</f>
        <v>9594</v>
      </c>
      <c r="DI203">
        <f>DG203*0.12</f>
        <v>6396</v>
      </c>
      <c r="DJ203">
        <f>_xlfn.XLOOKUP(B203,'[11]january-2026'!$A:$A,'[11]january-2026'!$D:$D,0,0)</f>
        <v>400</v>
      </c>
      <c r="DK203">
        <f>_xlfn.XLOOKUP(B203,'[11]january-2026'!$A:$A,'[11]january-2026'!$G:$G,0,0)</f>
        <v>500</v>
      </c>
      <c r="DL203">
        <f>IF(DG203&gt;0,SUM(DG203:DK203),0)</f>
        <v>70190</v>
      </c>
      <c r="DM203">
        <f>_xlfn.XLOOKUP(B203,'[11]january-2026'!$A:$A,'[11]january-2026'!$H:$H,0,0)</f>
        <v>10000</v>
      </c>
      <c r="DN203">
        <f>_xlfn.XLOOKUP(B203,'[11]january-2026'!$A:$A,'[11]january-2026'!$I:$I,0,0)</f>
        <v>0</v>
      </c>
      <c r="DO203">
        <f>IF($F203="YES",0,IF(DL203&gt;40000,200,IF(DL203&gt;25000,150,IF(DL203&gt;15000,130,IF(DL203&gt;10000,110,0)))))</f>
        <v>200</v>
      </c>
      <c r="DP203">
        <f>DL203-DM203-DN203-DO203</f>
        <v>59990</v>
      </c>
      <c r="DQ203">
        <f>_xlfn.XLOOKUP(B203,'[12]february-2026'!$A:$A,'[12]february-2026'!$C:$C,0,0)</f>
        <v>53300</v>
      </c>
      <c r="DR203">
        <f>DQ203*0.18</f>
        <v>9594</v>
      </c>
      <c r="DS203">
        <f>DQ203*0.12</f>
        <v>6396</v>
      </c>
      <c r="DT203">
        <f>_xlfn.XLOOKUP(B203,'[12]february-2026'!$A:$A,'[12]february-2026'!$D:$D,0,0)</f>
        <v>400</v>
      </c>
      <c r="DU203">
        <f>_xlfn.XLOOKUP(B203,'[12]february-2026'!$A:$A,'[12]february-2026'!$G:$G,0,0)</f>
        <v>500</v>
      </c>
      <c r="DV203">
        <f>IF(DQ203&gt;0,SUM(DQ203:DU203),0)</f>
        <v>70190</v>
      </c>
      <c r="DW203">
        <f>_xlfn.XLOOKUP(B203,'[12]february-2026'!$A:$A,'[12]february-2026'!$H:$H,0,0)</f>
        <v>10000</v>
      </c>
      <c r="DX203">
        <f>_xlfn.XLOOKUP(B203,'[12]february-2026'!$A:$A,'[12]february-2026'!$I:$I,0,0)</f>
        <v>0</v>
      </c>
      <c r="DY203">
        <f>IF($F203="YES",0,IF(DV203&gt;40000,200,IF(DV203&gt;25000,150,IF(DV203&gt;15000,130,IF(DV203&gt;10000,110,0)))))</f>
        <v>200</v>
      </c>
      <c r="DZ203">
        <f>DV203-DW203-DX203-DY203</f>
        <v>59990</v>
      </c>
      <c r="EA203">
        <f>DV203+DL203+DB203+CR203+CH203+BX203+BN203+BD203+AS203+AI203+Y203+O203+H203+I203</f>
        <v>838692</v>
      </c>
      <c r="EB203">
        <f>DY203+DO203+DE203+CU203+CK203+CA203+BQ203+BG203+AV203+AL203+AB203+R203</f>
        <v>2400</v>
      </c>
      <c r="EC203">
        <f>IF(EA203&gt;0,50000,0)</f>
        <v>50000</v>
      </c>
      <c r="ED203">
        <v>0</v>
      </c>
      <c r="EE203">
        <f>EA203-EB203-EC203</f>
        <v>786292</v>
      </c>
      <c r="EF203">
        <f>DW203+DM203+DC203+CS203+CI203+BY203+BO203+BE203+AT203+AJ203+Z203+P203</f>
        <v>120000</v>
      </c>
      <c r="EG203">
        <f>DX203+DN203+DD203+CT203+CJ203+BZ203+BP203+BF203+AU203+AK203+AA203+Q203</f>
        <v>0</v>
      </c>
      <c r="EH203">
        <v>0</v>
      </c>
      <c r="EI203">
        <v>0</v>
      </c>
      <c r="EJ203">
        <v>0</v>
      </c>
      <c r="EK203">
        <v>0</v>
      </c>
      <c r="EL203">
        <v>0</v>
      </c>
      <c r="EM203">
        <v>0</v>
      </c>
      <c r="EN203">
        <v>0</v>
      </c>
      <c r="EO203">
        <v>0</v>
      </c>
      <c r="EP203">
        <v>0</v>
      </c>
      <c r="EQ203">
        <v>0</v>
      </c>
      <c r="ER203">
        <f>SUM(EF203:EQ203)</f>
        <v>120000</v>
      </c>
      <c r="ES203">
        <f>IF(ER203&gt;=150000,150000,ER203)</f>
        <v>120000</v>
      </c>
      <c r="ET203">
        <f>EE203-ES203</f>
        <v>666292</v>
      </c>
      <c r="EU203">
        <v>0</v>
      </c>
      <c r="EV203">
        <v>0</v>
      </c>
      <c r="EW203">
        <v>0</v>
      </c>
      <c r="EX203">
        <v>0</v>
      </c>
      <c r="EY203">
        <v>0</v>
      </c>
      <c r="EZ203">
        <v>0</v>
      </c>
      <c r="FA203">
        <v>0</v>
      </c>
      <c r="FB203">
        <f>SUM(EU203:FA203)+(IF(F203="YES",50000,0))</f>
        <v>0</v>
      </c>
      <c r="FC203">
        <f>ET203-FB203</f>
        <v>666292</v>
      </c>
      <c r="FD203">
        <f>ROUND(IF(FC203&gt;0,IF(FC203&gt;500000,12500,(FC203-250000)*0.05),0),0)</f>
        <v>12500</v>
      </c>
      <c r="FE203">
        <f>IF(ROUND(IF(FC203&gt;0,IF(FC203&gt;1000000,25000,(FC203-500000)*0.2),0),0)&lt;0,0,ROUND(IF(FC203&gt;0,IF(FC203&gt;1000000,25000,(FC203-500000)*0.2),0),0))</f>
        <v>33258</v>
      </c>
      <c r="FF203">
        <f>FD203+FE203</f>
        <v>45758</v>
      </c>
      <c r="FG203">
        <f>IF(FF203&lt;12500,0,FF203)</f>
        <v>45758</v>
      </c>
      <c r="FH203">
        <f>FG203*0.04</f>
        <v>1830.32</v>
      </c>
      <c r="FI203">
        <f>ROUND(FH203+FG203,0)</f>
        <v>47588</v>
      </c>
      <c r="FJ203">
        <v>0</v>
      </c>
      <c r="FK203">
        <f>FI203-FJ203</f>
        <v>47588</v>
      </c>
      <c r="FL203" t="b">
        <f>IF(EA203&gt;500000,TRUE,FALSE)</f>
        <v>1</v>
      </c>
      <c r="FM203">
        <f ca="1">IF(FL203,RANDBETWEEN(500,1000),RANDBETWEEN(1000,3000))</f>
        <v>609</v>
      </c>
      <c r="FN203">
        <f ca="1">EA203+FM203</f>
        <v>839301</v>
      </c>
      <c r="FO203">
        <f>IF(EA203&gt;0,75000,0)</f>
        <v>75000</v>
      </c>
      <c r="FP203">
        <f ca="1">FN203-FO203</f>
        <v>764301</v>
      </c>
      <c r="FQ203">
        <f ca="1">IF(FP203&gt;2400000,FP203-2400000,0)</f>
        <v>0</v>
      </c>
      <c r="FR203">
        <f ca="1">FQ203*0.3</f>
        <v>0</v>
      </c>
      <c r="FS203">
        <f ca="1">IF(FP203&gt;2000000,FP203-2000000,0)</f>
        <v>0</v>
      </c>
      <c r="FT203">
        <f ca="1">FS203*0.25</f>
        <v>0</v>
      </c>
      <c r="FU203">
        <f ca="1">IF(FP203&gt;1600000,FP203-1600000-FQ203,0)</f>
        <v>0</v>
      </c>
      <c r="FV203">
        <f ca="1">FU203*0.2</f>
        <v>0</v>
      </c>
      <c r="FW203">
        <f ca="1">IF(FP203&gt;1200000,FP203-1200000-IF(F203="YES",50000,0)-FU203,0)</f>
        <v>0</v>
      </c>
      <c r="FX203">
        <f ca="1">FW203*0.15</f>
        <v>0</v>
      </c>
      <c r="FY203">
        <f ca="1">IF(FP203&gt;800000,FP203-800000-FQ203-FU203-FW203,0)</f>
        <v>0</v>
      </c>
      <c r="FZ203">
        <f ca="1">FY203*0.1</f>
        <v>0</v>
      </c>
      <c r="GA203">
        <f ca="1">IF(FP203&gt;400000,FP203-400000-FQ203-FU203-FW203-FY203,0)</f>
        <v>364301</v>
      </c>
      <c r="GB203">
        <f ca="1">GA203*0.05</f>
        <v>18215.05</v>
      </c>
      <c r="GC203">
        <f ca="1">ROUND(FR203+FT203+FV203+FX203+FZ203+GB203,0)</f>
        <v>18215</v>
      </c>
      <c r="GD203">
        <f ca="1">IF(FP203&gt;1200000,FP203,0)</f>
        <v>0</v>
      </c>
      <c r="GE203">
        <f ca="1">IF(FP203&gt;1200000,GD203-1200000,0)</f>
        <v>0</v>
      </c>
      <c r="GF203">
        <f ca="1">IF(FP203&lt;1200001,MIN(GC203,60000),0)</f>
        <v>18215</v>
      </c>
      <c r="GG203">
        <f ca="1">IF(FP203&gt;1200000,GC203-GE203,0)</f>
        <v>0</v>
      </c>
      <c r="GH203" t="b">
        <f ca="1">IF(GG203&gt;0,TRUE,FALSE)</f>
        <v>0</v>
      </c>
      <c r="GI203">
        <f ca="1">IF(GH203,GG203,0)</f>
        <v>0</v>
      </c>
      <c r="GJ203">
        <f ca="1">GF203+GI203</f>
        <v>18215</v>
      </c>
      <c r="GK203">
        <f ca="1">ROUND(GC203-GJ203,0)</f>
        <v>0</v>
      </c>
      <c r="GL203">
        <f ca="1">GK203*0.04</f>
        <v>0</v>
      </c>
      <c r="GM203">
        <f ca="1">ROUNDUP(GK203+GL203,0)</f>
        <v>0</v>
      </c>
    </row>
    <row r="204" spans="1:195" x14ac:dyDescent="0.25">
      <c r="A204">
        <f>_xlfn.AGGREGATE(3,5,$B$2:B204)</f>
        <v>203</v>
      </c>
      <c r="B204" t="s">
        <v>517</v>
      </c>
      <c r="C204" t="s">
        <v>518</v>
      </c>
      <c r="D204" t="s">
        <v>804</v>
      </c>
      <c r="E204" t="s">
        <v>833</v>
      </c>
      <c r="F204" t="s">
        <v>959</v>
      </c>
      <c r="G204" t="s">
        <v>942</v>
      </c>
      <c r="H204">
        <f>IF(_xlfn.DAYS("31-03-2025",G204)&gt;=180,6800,0)</f>
        <v>6800</v>
      </c>
      <c r="I204">
        <f>_xlfn.XLOOKUP(B204,'[1]march-2025'!$A:$A,'[1]march-2025'!$J:$J,0,0)</f>
        <v>0</v>
      </c>
      <c r="J204">
        <f>_xlfn.XLOOKUP(B204,'[1]march-2025'!$A:$A,'[1]march-2025'!$C:$C,0,0)</f>
        <v>47300</v>
      </c>
      <c r="K204">
        <f>J204*0.14</f>
        <v>6622.0000000000009</v>
      </c>
      <c r="L204">
        <f>J204*0.12</f>
        <v>5676</v>
      </c>
      <c r="M204">
        <f>_xlfn.XLOOKUP(B204,'[1]march-2025'!$A:$A,'[1]march-2025'!$D:$D,0,0)</f>
        <v>0</v>
      </c>
      <c r="N204">
        <f>_xlfn.XLOOKUP(B204,'[1]march-2025'!$A:$A,'[1]march-2025'!$G:$G,0,0)</f>
        <v>500</v>
      </c>
      <c r="O204">
        <f>IF(J204&gt;0,SUM(J204:N204),0)</f>
        <v>60098</v>
      </c>
      <c r="P204">
        <f>_xlfn.XLOOKUP(B204,'[1]march-2025'!$A:$A,'[1]march-2025'!$H:$H,0,0)</f>
        <v>5000</v>
      </c>
      <c r="Q204">
        <f>_xlfn.XLOOKUP(B204,'[1]march-2025'!$A:$A,'[1]march-2025'!$I:$I,0,0)</f>
        <v>0</v>
      </c>
      <c r="R204">
        <f>IF($F204="YES",0,IF(O204&gt;40000,200,IF(O204&gt;25000,150,IF(O204&gt;15000,130,IF(O204&gt;10000,110,0)))))</f>
        <v>200</v>
      </c>
      <c r="S204">
        <f>O204-P204-Q204-R204</f>
        <v>54898</v>
      </c>
      <c r="T204">
        <f>_xlfn.XLOOKUP(B204,'[2]april-2025'!$A:$A,'[2]april-2025'!$C:$C,0,0)</f>
        <v>47300</v>
      </c>
      <c r="U204">
        <f>T204*0.18</f>
        <v>8514</v>
      </c>
      <c r="V204">
        <f>T204*0.12</f>
        <v>5676</v>
      </c>
      <c r="W204">
        <f>_xlfn.XLOOKUP(B204,'[2]april-2025'!$A:$A,'[2]april-2025'!$D:$D,0,0)</f>
        <v>0</v>
      </c>
      <c r="X204">
        <f>_xlfn.XLOOKUP(B204,'[2]april-2025'!$A:$A,'[2]april-2025'!$G:$G,0,0)</f>
        <v>500</v>
      </c>
      <c r="Y204">
        <f>IF(T204&gt;0,SUM(T204:X204),0)</f>
        <v>61990</v>
      </c>
      <c r="Z204">
        <f>_xlfn.XLOOKUP(B204,'[2]april-2025'!$A:$A,'[2]april-2025'!$H:$H,0,0)</f>
        <v>5000</v>
      </c>
      <c r="AA204">
        <f>_xlfn.XLOOKUP(B204,'[2]april-2025'!$A:$A,'[2]april-2025'!$I:$I,0,0)</f>
        <v>0</v>
      </c>
      <c r="AB204">
        <f>IF($F204="YES",0,IF(Y204&gt;40000,200,IF(Y204&gt;25000,150,IF(Y204&gt;15000,130,IF(Y204&gt;10000,110,0)))))</f>
        <v>200</v>
      </c>
      <c r="AC204">
        <f>Y204-Z204-AA204-AB204</f>
        <v>56790</v>
      </c>
      <c r="AD204">
        <f>_xlfn.XLOOKUP(B204,'[3]may-2025'!$A:$A,'[3]may-2025'!$C:$C,0,0)</f>
        <v>47300</v>
      </c>
      <c r="AE204">
        <f>AD204*0.18</f>
        <v>8514</v>
      </c>
      <c r="AF204">
        <f>AD204*0.12</f>
        <v>5676</v>
      </c>
      <c r="AG204">
        <f>_xlfn.XLOOKUP(B204,'[3]may-2025'!$A:$A,'[3]may-2025'!$D:$D,0,0)</f>
        <v>0</v>
      </c>
      <c r="AH204">
        <f>_xlfn.XLOOKUP(B204,'[3]may-2025'!$A:$A,'[3]may-2025'!$G:$G,0,0)</f>
        <v>500</v>
      </c>
      <c r="AI204">
        <f>IF(AD204&gt;0,SUM(AD204:AH204),0)</f>
        <v>61990</v>
      </c>
      <c r="AJ204">
        <f>_xlfn.XLOOKUP(B204,'[3]may-2025'!$A:$A,'[3]may-2025'!$H:$H,0,0)</f>
        <v>5000</v>
      </c>
      <c r="AK204">
        <f>_xlfn.XLOOKUP(B204,'[3]may-2025'!$A:$A,'[3]may-2025'!$I:$I,0,0)</f>
        <v>0</v>
      </c>
      <c r="AL204">
        <f>IF($F204="YES",0,IF(AI204&gt;40000,200,IF(AI204&gt;25000,150,IF(AI204&gt;15000,130,IF(AI204&gt;10000,110,0)))))</f>
        <v>200</v>
      </c>
      <c r="AM204">
        <f>AI204-AJ204-AK204-AL204</f>
        <v>56790</v>
      </c>
      <c r="AN204">
        <f>_xlfn.XLOOKUP(B204,'[4]june-2025'!$A:$A,'[4]june-2025'!$C:$C,0,0)</f>
        <v>47300</v>
      </c>
      <c r="AO204">
        <f>AN204*0.18</f>
        <v>8514</v>
      </c>
      <c r="AP204">
        <f>AN204*0.12</f>
        <v>5676</v>
      </c>
      <c r="AQ204">
        <f>_xlfn.XLOOKUP(B204,'[4]june-2025'!$A:$A,'[4]june-2025'!$D:$D,0,0)</f>
        <v>0</v>
      </c>
      <c r="AR204">
        <f>_xlfn.XLOOKUP(B204,'[4]june-2025'!$A:$A,'[4]june-2025'!$G:$G,0,0)</f>
        <v>500</v>
      </c>
      <c r="AS204">
        <f>IF(AN204&gt;0,SUM(AN204:AR204),0)</f>
        <v>61990</v>
      </c>
      <c r="AT204">
        <f>_xlfn.XLOOKUP(B204,'[4]june-2025'!$A:$A,'[4]june-2025'!$H:$H,0,0)</f>
        <v>5000</v>
      </c>
      <c r="AU204">
        <f>_xlfn.XLOOKUP(B204,'[4]june-2025'!$A:$A,'[4]june-2025'!$I:$I,0,0)</f>
        <v>0</v>
      </c>
      <c r="AV204">
        <f>IF($F204="YES",0,IF(AS204&gt;40000,200,IF(AS204&gt;25000,150,IF(AS204&gt;15000,130,IF(AS204&gt;10000,110,0)))))</f>
        <v>200</v>
      </c>
      <c r="AW204">
        <f>AS204-AT204-AU204-AV204</f>
        <v>56790</v>
      </c>
      <c r="AX204">
        <f>_xlfn.XLOOKUP(B204,'[5]july-2025'!$A:$A,'[5]july-2025'!$C:$C,0,0)</f>
        <v>48700</v>
      </c>
      <c r="AY204">
        <f>AX204*0.18</f>
        <v>8766</v>
      </c>
      <c r="AZ204">
        <v>0</v>
      </c>
      <c r="BA204">
        <f>AX204*0.12</f>
        <v>5844</v>
      </c>
      <c r="BB204">
        <f>_xlfn.XLOOKUP(B204,'[5]july-2025'!$A:$A,'[5]july-2025'!$D:$D,0,0)</f>
        <v>0</v>
      </c>
      <c r="BC204">
        <f>_xlfn.XLOOKUP(B204,'[5]july-2025'!$A:$A,'[5]july-2025'!$G:$G,0,0)</f>
        <v>500</v>
      </c>
      <c r="BD204">
        <f>IF(AX204&gt;0,SUM(AX204:BC204),0)</f>
        <v>63810</v>
      </c>
      <c r="BE204">
        <f>_xlfn.XLOOKUP(B204,'[5]july-2025'!$A:$A,'[5]july-2025'!$H:$H,0,0)</f>
        <v>5000</v>
      </c>
      <c r="BF204">
        <f>_xlfn.XLOOKUP(B204,'[5]july-2025'!$A:$A,'[5]july-2025'!$I:$I,0,0)</f>
        <v>0</v>
      </c>
      <c r="BG204">
        <f>IF($F204="YES",0,IF(BD204&gt;40000,200,IF(BD204&gt;25000,150,IF(BD204&gt;15000,130,IF(BD204&gt;10000,110,0)))))</f>
        <v>200</v>
      </c>
      <c r="BH204">
        <f>BD204-BE204-BF204-BG204</f>
        <v>58610</v>
      </c>
      <c r="BI204">
        <f>_xlfn.XLOOKUP(B204,'[6]august-2025'!$A:$A,'[6]august-2025'!$C:$C,0,0)</f>
        <v>48700</v>
      </c>
      <c r="BJ204">
        <f>BI204*0.18</f>
        <v>8766</v>
      </c>
      <c r="BK204">
        <f>BI204*0.12</f>
        <v>5844</v>
      </c>
      <c r="BL204">
        <f>_xlfn.XLOOKUP(B204,'[6]august-2025'!$A:$A,'[6]august-2025'!$D:$D,0,0)</f>
        <v>0</v>
      </c>
      <c r="BM204">
        <f>_xlfn.XLOOKUP(B204,'[6]august-2025'!$A:$A,'[6]august-2025'!$G:$G,0,0)</f>
        <v>500</v>
      </c>
      <c r="BN204">
        <f>IF(BI204&gt;0,SUM(BI204:BM204),0)</f>
        <v>63810</v>
      </c>
      <c r="BO204">
        <f>_xlfn.XLOOKUP(B204,'[6]august-2025'!$A:$A,'[6]august-2025'!$H:$H,0,0)</f>
        <v>5000</v>
      </c>
      <c r="BP204">
        <f>_xlfn.XLOOKUP(B204,'[6]august-2025'!$A:$A,'[6]august-2025'!$I:$I,0,0)</f>
        <v>0</v>
      </c>
      <c r="BQ204">
        <f>IF($F204="YES",0,IF(BN204&gt;40000,200,IF(BN204&gt;25000,150,IF(BN204&gt;15000,130,IF(BN204&gt;10000,110,0)))))</f>
        <v>200</v>
      </c>
      <c r="BR204">
        <f>BN204-BO204-BP204-BQ204</f>
        <v>58610</v>
      </c>
      <c r="BS204">
        <f>_xlfn.XLOOKUP(B204,'[7]september-2025'!$A:$A,'[7]september-2025'!$C:$C,0,0)</f>
        <v>48700</v>
      </c>
      <c r="BT204">
        <f>BS204*0.18</f>
        <v>8766</v>
      </c>
      <c r="BU204">
        <f>BS204*0.12</f>
        <v>5844</v>
      </c>
      <c r="BV204">
        <f>_xlfn.XLOOKUP(B204,'[7]september-2025'!$A:$A,'[7]september-2025'!$D:$D,0,0)</f>
        <v>0</v>
      </c>
      <c r="BW204">
        <f>_xlfn.XLOOKUP(B204,'[7]september-2025'!$A:$A,'[7]september-2025'!$G:$G,0,0)</f>
        <v>500</v>
      </c>
      <c r="BX204">
        <f>IF(BS204&gt;0,SUM(BS204:BW204),0)</f>
        <v>63810</v>
      </c>
      <c r="BY204">
        <f>_xlfn.XLOOKUP(B204,'[7]september-2025'!$A:$A,'[7]september-2025'!$H:$H,0,0)</f>
        <v>5000</v>
      </c>
      <c r="BZ204">
        <f>_xlfn.XLOOKUP(B204,'[7]september-2025'!$A:$A,'[7]september-2025'!$I:$I,0,0)</f>
        <v>0</v>
      </c>
      <c r="CA204">
        <f>IF($F204="YES",0,IF(BX204&gt;40000,200,IF(BX204&gt;25000,150,IF(BX204&gt;15000,130,IF(BX204&gt;10000,110,0)))))</f>
        <v>200</v>
      </c>
      <c r="CB204">
        <f>BX204-BY204-BZ204-CA204</f>
        <v>58610</v>
      </c>
      <c r="CC204">
        <f>_xlfn.XLOOKUP(B204,'[8]october-2025'!$A:$A,'[8]october-2025'!$C:$C,0,0)</f>
        <v>48700</v>
      </c>
      <c r="CD204">
        <f>CC204*0.18</f>
        <v>8766</v>
      </c>
      <c r="CE204">
        <f>CC204*0.12</f>
        <v>5844</v>
      </c>
      <c r="CF204">
        <f>_xlfn.XLOOKUP(B204,'[8]october-2025'!$A:$A,'[8]october-2025'!$D:$D,0,0)</f>
        <v>0</v>
      </c>
      <c r="CG204">
        <f>_xlfn.XLOOKUP(B204,'[8]october-2025'!$A:$A,'[8]october-2025'!$G:$G,0,0)</f>
        <v>500</v>
      </c>
      <c r="CH204">
        <f>IF(CC204&gt;0,SUM(CC204:CG204),0)</f>
        <v>63810</v>
      </c>
      <c r="CI204">
        <f>_xlfn.XLOOKUP(B204,'[8]october-2025'!$A:$A,'[8]october-2025'!$H:$H,0,0)</f>
        <v>5000</v>
      </c>
      <c r="CJ204">
        <f>_xlfn.XLOOKUP(B204,'[8]october-2025'!$A:$A,'[8]october-2025'!$I:$I,0,0)</f>
        <v>0</v>
      </c>
      <c r="CK204">
        <f>IF($F204="YES",0,IF(CH204&gt;40000,200,IF(CH204&gt;25000,150,IF(CH204&gt;15000,130,IF(CH204&gt;10000,110,0)))))</f>
        <v>200</v>
      </c>
      <c r="CL204">
        <f>CH204-CI204-CJ204-CK204</f>
        <v>58610</v>
      </c>
      <c r="CM204">
        <f>_xlfn.XLOOKUP(B204,'[9]november-2025'!$A:$A,'[9]november-2025'!$C:$C,0,0)</f>
        <v>48700</v>
      </c>
      <c r="CN204">
        <f>CM204*0.18</f>
        <v>8766</v>
      </c>
      <c r="CO204">
        <f>CM204*0.12</f>
        <v>5844</v>
      </c>
      <c r="CP204">
        <f>_xlfn.XLOOKUP(B204,'[9]november-2025'!$A:$A,'[9]november-2025'!$D:$D,0,0)</f>
        <v>0</v>
      </c>
      <c r="CQ204">
        <f>_xlfn.XLOOKUP(B204,'[9]november-2025'!$A:$A,'[9]november-2025'!$G:$G,0,0)</f>
        <v>500</v>
      </c>
      <c r="CR204">
        <f>IF(CM204&gt;0,SUM(CM204:CQ204),0)</f>
        <v>63810</v>
      </c>
      <c r="CS204">
        <f>_xlfn.XLOOKUP(B204,'[9]november-2025'!$A:$A,'[9]november-2025'!$H:$H,0,0)</f>
        <v>5000</v>
      </c>
      <c r="CT204">
        <f>_xlfn.XLOOKUP(B204,'[9]november-2025'!$A:$A,'[9]november-2025'!$I:$I,0,0)</f>
        <v>0</v>
      </c>
      <c r="CU204">
        <f>IF($F204="YES",0,IF(CR204&gt;40000,200,IF(CR204&gt;25000,150,IF(CR204&gt;15000,130,IF(CR204&gt;10000,110,0)))))</f>
        <v>200</v>
      </c>
      <c r="CV204">
        <f>CR204-CS204-CT204-CU204</f>
        <v>58610</v>
      </c>
      <c r="CW204">
        <f>_xlfn.XLOOKUP(B204,'[10]december-2025'!$A:$A,'[10]december-2025'!$C:$C,0,0)</f>
        <v>48700</v>
      </c>
      <c r="CX204">
        <f>ROUND(CW204*0.18,0)</f>
        <v>8766</v>
      </c>
      <c r="CY204">
        <f>ROUND(CW204*0.12,0)</f>
        <v>5844</v>
      </c>
      <c r="CZ204">
        <f>_xlfn.XLOOKUP(B204,'[10]december-2025'!$A:$A,'[10]december-2025'!$D:$D,0,0)</f>
        <v>0</v>
      </c>
      <c r="DA204">
        <f>_xlfn.XLOOKUP(B204,'[10]december-2025'!$A:$A,'[10]december-2025'!$G:$G,0,0)</f>
        <v>500</v>
      </c>
      <c r="DB204">
        <f>IF(CW204&gt;0,SUM(CW204:DA204),0)</f>
        <v>63810</v>
      </c>
      <c r="DC204">
        <f>_xlfn.XLOOKUP(B204,'[10]december-2025'!$A:$A,'[10]december-2025'!$H:$H,0,0)</f>
        <v>5000</v>
      </c>
      <c r="DD204">
        <f>_xlfn.XLOOKUP(B204,'[10]december-2025'!$A:$A,'[10]december-2025'!$I:$I,0,0)</f>
        <v>0</v>
      </c>
      <c r="DE204">
        <f>IF($F204="YES",0,IF(DB204&gt;40000,200,IF(DB204&gt;25000,150,IF(DB204&gt;15000,130,IF(DB204&gt;10000,110,0)))))</f>
        <v>200</v>
      </c>
      <c r="DF204">
        <f>DB204-DC204-DD204-DE204</f>
        <v>58610</v>
      </c>
      <c r="DG204">
        <f>_xlfn.XLOOKUP(B204,'[11]january-2026'!$A:$A,'[11]january-2026'!$C:$C,0,0)</f>
        <v>48700</v>
      </c>
      <c r="DH204">
        <f>DG204*0.18</f>
        <v>8766</v>
      </c>
      <c r="DI204">
        <f>DG204*0.12</f>
        <v>5844</v>
      </c>
      <c r="DJ204">
        <f>_xlfn.XLOOKUP(B204,'[11]january-2026'!$A:$A,'[11]january-2026'!$D:$D,0,0)</f>
        <v>0</v>
      </c>
      <c r="DK204">
        <f>_xlfn.XLOOKUP(B204,'[11]january-2026'!$A:$A,'[11]january-2026'!$G:$G,0,0)</f>
        <v>500</v>
      </c>
      <c r="DL204">
        <f>IF(DG204&gt;0,SUM(DG204:DK204),0)</f>
        <v>63810</v>
      </c>
      <c r="DM204">
        <f>_xlfn.XLOOKUP(B204,'[11]january-2026'!$A:$A,'[11]january-2026'!$H:$H,0,0)</f>
        <v>5000</v>
      </c>
      <c r="DN204">
        <f>_xlfn.XLOOKUP(B204,'[11]january-2026'!$A:$A,'[11]january-2026'!$I:$I,0,0)</f>
        <v>0</v>
      </c>
      <c r="DO204">
        <f>IF($F204="YES",0,IF(DL204&gt;40000,200,IF(DL204&gt;25000,150,IF(DL204&gt;15000,130,IF(DL204&gt;10000,110,0)))))</f>
        <v>200</v>
      </c>
      <c r="DP204">
        <f>DL204-DM204-DN204-DO204</f>
        <v>58610</v>
      </c>
      <c r="DQ204">
        <f>_xlfn.XLOOKUP(B204,'[12]february-2026'!$A:$A,'[12]february-2026'!$C:$C,0,0)</f>
        <v>48700</v>
      </c>
      <c r="DR204">
        <f>DQ204*0.18</f>
        <v>8766</v>
      </c>
      <c r="DS204">
        <f>DQ204*0.12</f>
        <v>5844</v>
      </c>
      <c r="DT204">
        <f>_xlfn.XLOOKUP(B204,'[12]february-2026'!$A:$A,'[12]february-2026'!$D:$D,0,0)</f>
        <v>0</v>
      </c>
      <c r="DU204">
        <f>_xlfn.XLOOKUP(B204,'[12]february-2026'!$A:$A,'[12]february-2026'!$G:$G,0,0)</f>
        <v>500</v>
      </c>
      <c r="DV204">
        <f>IF(DQ204&gt;0,SUM(DQ204:DU204),0)</f>
        <v>63810</v>
      </c>
      <c r="DW204">
        <f>_xlfn.XLOOKUP(B204,'[12]february-2026'!$A:$A,'[12]february-2026'!$H:$H,0,0)</f>
        <v>5000</v>
      </c>
      <c r="DX204">
        <f>_xlfn.XLOOKUP(B204,'[12]february-2026'!$A:$A,'[12]february-2026'!$I:$I,0,0)</f>
        <v>0</v>
      </c>
      <c r="DY204">
        <f>IF($F204="YES",0,IF(DV204&gt;40000,200,IF(DV204&gt;25000,150,IF(DV204&gt;15000,130,IF(DV204&gt;10000,110,0)))))</f>
        <v>200</v>
      </c>
      <c r="DZ204">
        <f>DV204-DW204-DX204-DY204</f>
        <v>58610</v>
      </c>
      <c r="EA204">
        <f>DV204+DL204+DB204+CR204+CH204+BX204+BN204+BD204+AS204+AI204+Y204+O204+H204+I204</f>
        <v>763348</v>
      </c>
      <c r="EB204">
        <f>DY204+DO204+DE204+CU204+CK204+CA204+BQ204+BG204+AV204+AL204+AB204+R204</f>
        <v>2400</v>
      </c>
      <c r="EC204">
        <f>IF(EA204&gt;0,50000,0)</f>
        <v>50000</v>
      </c>
      <c r="ED204">
        <v>0</v>
      </c>
      <c r="EE204">
        <f>EA204-EB204-EC204</f>
        <v>710948</v>
      </c>
      <c r="EF204">
        <f>DW204+DM204+DC204+CS204+CI204+BY204+BO204+BE204+AT204+AJ204+Z204+P204</f>
        <v>60000</v>
      </c>
      <c r="EG204">
        <f>DX204+DN204+DD204+CT204+CJ204+BZ204+BP204+BF204+AU204+AK204+AA204+Q204</f>
        <v>0</v>
      </c>
      <c r="EH204">
        <v>0</v>
      </c>
      <c r="EI204">
        <v>0</v>
      </c>
      <c r="EJ204">
        <v>0</v>
      </c>
      <c r="EK204">
        <v>0</v>
      </c>
      <c r="EL204">
        <v>0</v>
      </c>
      <c r="EM204">
        <v>0</v>
      </c>
      <c r="EN204">
        <v>0</v>
      </c>
      <c r="EO204">
        <v>0</v>
      </c>
      <c r="EP204">
        <v>0</v>
      </c>
      <c r="EQ204">
        <v>0</v>
      </c>
      <c r="ER204">
        <f>SUM(EF204:EQ204)</f>
        <v>60000</v>
      </c>
      <c r="ES204">
        <f>IF(ER204&gt;=150000,150000,ER204)</f>
        <v>60000</v>
      </c>
      <c r="ET204">
        <f>EE204-ES204</f>
        <v>650948</v>
      </c>
      <c r="EU204">
        <v>0</v>
      </c>
      <c r="EV204">
        <v>0</v>
      </c>
      <c r="EW204">
        <v>0</v>
      </c>
      <c r="EX204">
        <v>0</v>
      </c>
      <c r="EY204">
        <v>0</v>
      </c>
      <c r="EZ204">
        <v>0</v>
      </c>
      <c r="FA204">
        <v>0</v>
      </c>
      <c r="FB204">
        <f>SUM(EU204:FA204)+(IF(F204="YES",50000,0))</f>
        <v>0</v>
      </c>
      <c r="FC204">
        <f>ET204-FB204</f>
        <v>650948</v>
      </c>
      <c r="FD204">
        <f>ROUND(IF(FC204&gt;0,IF(FC204&gt;500000,12500,(FC204-250000)*0.05),0),0)</f>
        <v>12500</v>
      </c>
      <c r="FE204">
        <f>IF(ROUND(IF(FC204&gt;0,IF(FC204&gt;1000000,25000,(FC204-500000)*0.2),0),0)&lt;0,0,ROUND(IF(FC204&gt;0,IF(FC204&gt;1000000,25000,(FC204-500000)*0.2),0),0))</f>
        <v>30190</v>
      </c>
      <c r="FF204">
        <f>FD204+FE204</f>
        <v>42690</v>
      </c>
      <c r="FG204">
        <f>IF(FF204&lt;12500,0,FF204)</f>
        <v>42690</v>
      </c>
      <c r="FH204">
        <f>FG204*0.04</f>
        <v>1707.6000000000001</v>
      </c>
      <c r="FI204">
        <f>ROUND(FH204+FG204,0)</f>
        <v>44398</v>
      </c>
      <c r="FJ204">
        <v>0</v>
      </c>
      <c r="FK204">
        <f>FI204-FJ204</f>
        <v>44398</v>
      </c>
      <c r="FL204" t="b">
        <f>IF(EA204&gt;500000,TRUE,FALSE)</f>
        <v>1</v>
      </c>
      <c r="FM204">
        <f ca="1">IF(FL204,RANDBETWEEN(500,1000),RANDBETWEEN(1000,3000))</f>
        <v>853</v>
      </c>
      <c r="FN204">
        <f ca="1">EA204+FM204</f>
        <v>764201</v>
      </c>
      <c r="FO204">
        <f>IF(EA204&gt;0,75000,0)</f>
        <v>75000</v>
      </c>
      <c r="FP204">
        <f ca="1">FN204-FO204</f>
        <v>689201</v>
      </c>
      <c r="FQ204">
        <f ca="1">IF(FP204&gt;2400000,FP204-2400000,0)</f>
        <v>0</v>
      </c>
      <c r="FR204">
        <f ca="1">FQ204*0.3</f>
        <v>0</v>
      </c>
      <c r="FS204">
        <f ca="1">IF(FP204&gt;2000000,FP204-2000000,0)</f>
        <v>0</v>
      </c>
      <c r="FT204">
        <f ca="1">FS204*0.25</f>
        <v>0</v>
      </c>
      <c r="FU204">
        <f ca="1">IF(FP204&gt;1600000,FP204-1600000-FQ204,0)</f>
        <v>0</v>
      </c>
      <c r="FV204">
        <f ca="1">FU204*0.2</f>
        <v>0</v>
      </c>
      <c r="FW204">
        <f ca="1">IF(FP204&gt;1200000,FP204-1200000-IF(F204="YES",50000,0)-FU204,0)</f>
        <v>0</v>
      </c>
      <c r="FX204">
        <f ca="1">FW204*0.15</f>
        <v>0</v>
      </c>
      <c r="FY204">
        <f ca="1">IF(FP204&gt;800000,FP204-800000-FQ204-FU204-FW204,0)</f>
        <v>0</v>
      </c>
      <c r="FZ204">
        <f ca="1">FY204*0.1</f>
        <v>0</v>
      </c>
      <c r="GA204">
        <f ca="1">IF(FP204&gt;400000,FP204-400000-FQ204-FU204-FW204-FY204,0)</f>
        <v>289201</v>
      </c>
      <c r="GB204">
        <f ca="1">GA204*0.05</f>
        <v>14460.050000000001</v>
      </c>
      <c r="GC204">
        <f ca="1">ROUND(FR204+FT204+FV204+FX204+FZ204+GB204,0)</f>
        <v>14460</v>
      </c>
      <c r="GD204">
        <f ca="1">IF(FP204&gt;1200000,FP204,0)</f>
        <v>0</v>
      </c>
      <c r="GE204">
        <f ca="1">IF(FP204&gt;1200000,GD204-1200000,0)</f>
        <v>0</v>
      </c>
      <c r="GF204">
        <f ca="1">IF(FP204&lt;1200001,MIN(GC204,60000),0)</f>
        <v>14460</v>
      </c>
      <c r="GG204">
        <f ca="1">IF(FP204&gt;1200000,GC204-GE204,0)</f>
        <v>0</v>
      </c>
      <c r="GH204" t="b">
        <f ca="1">IF(GG204&gt;0,TRUE,FALSE)</f>
        <v>0</v>
      </c>
      <c r="GI204">
        <f ca="1">IF(GH204,GG204,0)</f>
        <v>0</v>
      </c>
      <c r="GJ204">
        <f ca="1">GF204+GI204</f>
        <v>14460</v>
      </c>
      <c r="GK204">
        <f ca="1">ROUND(GC204-GJ204,0)</f>
        <v>0</v>
      </c>
      <c r="GL204">
        <f ca="1">GK204*0.04</f>
        <v>0</v>
      </c>
      <c r="GM204">
        <f ca="1">ROUNDUP(GK204+GL204,0)</f>
        <v>0</v>
      </c>
    </row>
    <row r="205" spans="1:195" x14ac:dyDescent="0.25">
      <c r="A205">
        <f>_xlfn.AGGREGATE(3,5,$B$2:B205)</f>
        <v>204</v>
      </c>
      <c r="B205" t="s">
        <v>519</v>
      </c>
      <c r="C205" t="s">
        <v>520</v>
      </c>
      <c r="D205" t="s">
        <v>804</v>
      </c>
      <c r="E205" t="s">
        <v>833</v>
      </c>
      <c r="F205" t="s">
        <v>959</v>
      </c>
      <c r="G205" t="s">
        <v>943</v>
      </c>
      <c r="H205">
        <f>IF(_xlfn.DAYS("31-03-2025",G205)&gt;=180,6800,0)</f>
        <v>6800</v>
      </c>
      <c r="I205">
        <f>_xlfn.XLOOKUP(B205,'[1]march-2025'!$A:$A,'[1]march-2025'!$J:$J,0,0)</f>
        <v>0</v>
      </c>
      <c r="J205">
        <f>_xlfn.XLOOKUP(B205,'[1]march-2025'!$A:$A,'[1]march-2025'!$C:$C,0,0)</f>
        <v>33500</v>
      </c>
      <c r="K205">
        <f>J205*0.14</f>
        <v>4690</v>
      </c>
      <c r="L205">
        <f>J205*0.12</f>
        <v>4020</v>
      </c>
      <c r="M205">
        <f>_xlfn.XLOOKUP(B205,'[1]march-2025'!$A:$A,'[1]march-2025'!$D:$D,0,0)</f>
        <v>0</v>
      </c>
      <c r="N205">
        <f>_xlfn.XLOOKUP(B205,'[1]march-2025'!$A:$A,'[1]march-2025'!$G:$G,0,0)</f>
        <v>500</v>
      </c>
      <c r="O205">
        <f>IF(J205&gt;0,SUM(J205:N205),0)</f>
        <v>42710</v>
      </c>
      <c r="P205">
        <f>_xlfn.XLOOKUP(B205,'[1]march-2025'!$A:$A,'[1]march-2025'!$H:$H,0,0)</f>
        <v>3000</v>
      </c>
      <c r="Q205">
        <f>_xlfn.XLOOKUP(B205,'[1]march-2025'!$A:$A,'[1]march-2025'!$I:$I,0,0)</f>
        <v>0</v>
      </c>
      <c r="R205">
        <f>IF($F205="YES",0,IF(O205&gt;40000,200,IF(O205&gt;25000,150,IF(O205&gt;15000,130,IF(O205&gt;10000,110,0)))))</f>
        <v>200</v>
      </c>
      <c r="S205">
        <f>O205-P205-Q205-R205</f>
        <v>39510</v>
      </c>
      <c r="T205">
        <f>_xlfn.XLOOKUP(B205,'[2]april-2025'!$A:$A,'[2]april-2025'!$C:$C,0,0)</f>
        <v>33500</v>
      </c>
      <c r="U205">
        <f>T205*0.18</f>
        <v>6030</v>
      </c>
      <c r="V205">
        <f>T205*0.12</f>
        <v>4020</v>
      </c>
      <c r="W205">
        <f>_xlfn.XLOOKUP(B205,'[2]april-2025'!$A:$A,'[2]april-2025'!$D:$D,0,0)</f>
        <v>0</v>
      </c>
      <c r="X205">
        <f>_xlfn.XLOOKUP(B205,'[2]april-2025'!$A:$A,'[2]april-2025'!$G:$G,0,0)</f>
        <v>500</v>
      </c>
      <c r="Y205">
        <f>IF(T205&gt;0,SUM(T205:X205),0)</f>
        <v>44050</v>
      </c>
      <c r="Z205">
        <f>_xlfn.XLOOKUP(B205,'[2]april-2025'!$A:$A,'[2]april-2025'!$H:$H,0,0)</f>
        <v>3000</v>
      </c>
      <c r="AA205">
        <f>_xlfn.XLOOKUP(B205,'[2]april-2025'!$A:$A,'[2]april-2025'!$I:$I,0,0)</f>
        <v>0</v>
      </c>
      <c r="AB205">
        <f>IF($F205="YES",0,IF(Y205&gt;40000,200,IF(Y205&gt;25000,150,IF(Y205&gt;15000,130,IF(Y205&gt;10000,110,0)))))</f>
        <v>200</v>
      </c>
      <c r="AC205">
        <f>Y205-Z205-AA205-AB205</f>
        <v>40850</v>
      </c>
      <c r="AD205">
        <f>_xlfn.XLOOKUP(B205,'[3]may-2025'!$A:$A,'[3]may-2025'!$C:$C,0,0)</f>
        <v>33500</v>
      </c>
      <c r="AE205">
        <f>AD205*0.18</f>
        <v>6030</v>
      </c>
      <c r="AF205">
        <f>AD205*0.12</f>
        <v>4020</v>
      </c>
      <c r="AG205">
        <f>_xlfn.XLOOKUP(B205,'[3]may-2025'!$A:$A,'[3]may-2025'!$D:$D,0,0)</f>
        <v>0</v>
      </c>
      <c r="AH205">
        <f>_xlfn.XLOOKUP(B205,'[3]may-2025'!$A:$A,'[3]may-2025'!$G:$G,0,0)</f>
        <v>500</v>
      </c>
      <c r="AI205">
        <f>IF(AD205&gt;0,SUM(AD205:AH205),0)</f>
        <v>44050</v>
      </c>
      <c r="AJ205">
        <f>_xlfn.XLOOKUP(B205,'[3]may-2025'!$A:$A,'[3]may-2025'!$H:$H,0,0)</f>
        <v>3000</v>
      </c>
      <c r="AK205">
        <f>_xlfn.XLOOKUP(B205,'[3]may-2025'!$A:$A,'[3]may-2025'!$I:$I,0,0)</f>
        <v>0</v>
      </c>
      <c r="AL205">
        <f>IF($F205="YES",0,IF(AI205&gt;40000,200,IF(AI205&gt;25000,150,IF(AI205&gt;15000,130,IF(AI205&gt;10000,110,0)))))</f>
        <v>200</v>
      </c>
      <c r="AM205">
        <f>AI205-AJ205-AK205-AL205</f>
        <v>40850</v>
      </c>
      <c r="AN205">
        <f>_xlfn.XLOOKUP(B205,'[4]june-2025'!$A:$A,'[4]june-2025'!$C:$C,0,0)</f>
        <v>33500</v>
      </c>
      <c r="AO205">
        <f>AN205*0.18</f>
        <v>6030</v>
      </c>
      <c r="AP205">
        <f>AN205*0.12</f>
        <v>4020</v>
      </c>
      <c r="AQ205">
        <f>_xlfn.XLOOKUP(B205,'[4]june-2025'!$A:$A,'[4]june-2025'!$D:$D,0,0)</f>
        <v>0</v>
      </c>
      <c r="AR205">
        <f>_xlfn.XLOOKUP(B205,'[4]june-2025'!$A:$A,'[4]june-2025'!$G:$G,0,0)</f>
        <v>500</v>
      </c>
      <c r="AS205">
        <f>IF(AN205&gt;0,SUM(AN205:AR205),0)</f>
        <v>44050</v>
      </c>
      <c r="AT205">
        <f>_xlfn.XLOOKUP(B205,'[4]june-2025'!$A:$A,'[4]june-2025'!$H:$H,0,0)</f>
        <v>3000</v>
      </c>
      <c r="AU205">
        <f>_xlfn.XLOOKUP(B205,'[4]june-2025'!$A:$A,'[4]june-2025'!$I:$I,0,0)</f>
        <v>0</v>
      </c>
      <c r="AV205">
        <f>IF($F205="YES",0,IF(AS205&gt;40000,200,IF(AS205&gt;25000,150,IF(AS205&gt;15000,130,IF(AS205&gt;10000,110,0)))))</f>
        <v>200</v>
      </c>
      <c r="AW205">
        <f>AS205-AT205-AU205-AV205</f>
        <v>40850</v>
      </c>
      <c r="AX205">
        <f>_xlfn.XLOOKUP(B205,'[5]july-2025'!$A:$A,'[5]july-2025'!$C:$C,0,0)</f>
        <v>34500</v>
      </c>
      <c r="AY205">
        <f>AX205*0.18</f>
        <v>6210</v>
      </c>
      <c r="AZ205">
        <v>0</v>
      </c>
      <c r="BA205">
        <f>AX205*0.12</f>
        <v>4140</v>
      </c>
      <c r="BB205">
        <f>_xlfn.XLOOKUP(B205,'[5]july-2025'!$A:$A,'[5]july-2025'!$D:$D,0,0)</f>
        <v>0</v>
      </c>
      <c r="BC205">
        <f>_xlfn.XLOOKUP(B205,'[5]july-2025'!$A:$A,'[5]july-2025'!$G:$G,0,0)</f>
        <v>500</v>
      </c>
      <c r="BD205">
        <f>IF(AX205&gt;0,SUM(AX205:BC205),0)</f>
        <v>45350</v>
      </c>
      <c r="BE205">
        <f>_xlfn.XLOOKUP(B205,'[5]july-2025'!$A:$A,'[5]july-2025'!$H:$H,0,0)</f>
        <v>3000</v>
      </c>
      <c r="BF205">
        <f>_xlfn.XLOOKUP(B205,'[5]july-2025'!$A:$A,'[5]july-2025'!$I:$I,0,0)</f>
        <v>0</v>
      </c>
      <c r="BG205">
        <f>IF($F205="YES",0,IF(BD205&gt;40000,200,IF(BD205&gt;25000,150,IF(BD205&gt;15000,130,IF(BD205&gt;10000,110,0)))))</f>
        <v>200</v>
      </c>
      <c r="BH205">
        <f>BD205-BE205-BF205-BG205</f>
        <v>42150</v>
      </c>
      <c r="BI205">
        <f>_xlfn.XLOOKUP(B205,'[6]august-2025'!$A:$A,'[6]august-2025'!$C:$C,0,0)</f>
        <v>34500</v>
      </c>
      <c r="BJ205">
        <f>BI205*0.18</f>
        <v>6210</v>
      </c>
      <c r="BK205">
        <f>BI205*0.12</f>
        <v>4140</v>
      </c>
      <c r="BL205">
        <f>_xlfn.XLOOKUP(B205,'[6]august-2025'!$A:$A,'[6]august-2025'!$D:$D,0,0)</f>
        <v>0</v>
      </c>
      <c r="BM205">
        <f>_xlfn.XLOOKUP(B205,'[6]august-2025'!$A:$A,'[6]august-2025'!$G:$G,0,0)</f>
        <v>500</v>
      </c>
      <c r="BN205">
        <f>IF(BI205&gt;0,SUM(BI205:BM205),0)</f>
        <v>45350</v>
      </c>
      <c r="BO205">
        <f>_xlfn.XLOOKUP(B205,'[6]august-2025'!$A:$A,'[6]august-2025'!$H:$H,0,0)</f>
        <v>3000</v>
      </c>
      <c r="BP205">
        <f>_xlfn.XLOOKUP(B205,'[6]august-2025'!$A:$A,'[6]august-2025'!$I:$I,0,0)</f>
        <v>0</v>
      </c>
      <c r="BQ205">
        <f>IF($F205="YES",0,IF(BN205&gt;40000,200,IF(BN205&gt;25000,150,IF(BN205&gt;15000,130,IF(BN205&gt;10000,110,0)))))</f>
        <v>200</v>
      </c>
      <c r="BR205">
        <f>BN205-BO205-BP205-BQ205</f>
        <v>42150</v>
      </c>
      <c r="BS205">
        <f>_xlfn.XLOOKUP(B205,'[7]september-2025'!$A:$A,'[7]september-2025'!$C:$C,0,0)</f>
        <v>34500</v>
      </c>
      <c r="BT205">
        <f>BS205*0.18</f>
        <v>6210</v>
      </c>
      <c r="BU205">
        <f>BS205*0.12</f>
        <v>4140</v>
      </c>
      <c r="BV205">
        <f>_xlfn.XLOOKUP(B205,'[7]september-2025'!$A:$A,'[7]september-2025'!$D:$D,0,0)</f>
        <v>0</v>
      </c>
      <c r="BW205">
        <f>_xlfn.XLOOKUP(B205,'[7]september-2025'!$A:$A,'[7]september-2025'!$G:$G,0,0)</f>
        <v>500</v>
      </c>
      <c r="BX205">
        <f>IF(BS205&gt;0,SUM(BS205:BW205),0)</f>
        <v>45350</v>
      </c>
      <c r="BY205">
        <f>_xlfn.XLOOKUP(B205,'[7]september-2025'!$A:$A,'[7]september-2025'!$H:$H,0,0)</f>
        <v>3000</v>
      </c>
      <c r="BZ205">
        <f>_xlfn.XLOOKUP(B205,'[7]september-2025'!$A:$A,'[7]september-2025'!$I:$I,0,0)</f>
        <v>0</v>
      </c>
      <c r="CA205">
        <f>IF($F205="YES",0,IF(BX205&gt;40000,200,IF(BX205&gt;25000,150,IF(BX205&gt;15000,130,IF(BX205&gt;10000,110,0)))))</f>
        <v>200</v>
      </c>
      <c r="CB205">
        <f>BX205-BY205-BZ205-CA205</f>
        <v>42150</v>
      </c>
      <c r="CC205">
        <f>_xlfn.XLOOKUP(B205,'[8]october-2025'!$A:$A,'[8]october-2025'!$C:$C,0,0)</f>
        <v>34500</v>
      </c>
      <c r="CD205">
        <f>CC205*0.18</f>
        <v>6210</v>
      </c>
      <c r="CE205">
        <f>CC205*0.12</f>
        <v>4140</v>
      </c>
      <c r="CF205">
        <f>_xlfn.XLOOKUP(B205,'[8]october-2025'!$A:$A,'[8]october-2025'!$D:$D,0,0)</f>
        <v>0</v>
      </c>
      <c r="CG205">
        <f>_xlfn.XLOOKUP(B205,'[8]october-2025'!$A:$A,'[8]october-2025'!$G:$G,0,0)</f>
        <v>500</v>
      </c>
      <c r="CH205">
        <f>IF(CC205&gt;0,SUM(CC205:CG205),0)</f>
        <v>45350</v>
      </c>
      <c r="CI205">
        <f>_xlfn.XLOOKUP(B205,'[8]october-2025'!$A:$A,'[8]october-2025'!$H:$H,0,0)</f>
        <v>3000</v>
      </c>
      <c r="CJ205">
        <f>_xlfn.XLOOKUP(B205,'[8]october-2025'!$A:$A,'[8]october-2025'!$I:$I,0,0)</f>
        <v>0</v>
      </c>
      <c r="CK205">
        <f>IF($F205="YES",0,IF(CH205&gt;40000,200,IF(CH205&gt;25000,150,IF(CH205&gt;15000,130,IF(CH205&gt;10000,110,0)))))</f>
        <v>200</v>
      </c>
      <c r="CL205">
        <f>CH205-CI205-CJ205-CK205</f>
        <v>42150</v>
      </c>
      <c r="CM205">
        <f>_xlfn.XLOOKUP(B205,'[9]november-2025'!$A:$A,'[9]november-2025'!$C:$C,0,0)</f>
        <v>34500</v>
      </c>
      <c r="CN205">
        <f>CM205*0.18</f>
        <v>6210</v>
      </c>
      <c r="CO205">
        <f>CM205*0.12</f>
        <v>4140</v>
      </c>
      <c r="CP205">
        <f>_xlfn.XLOOKUP(B205,'[9]november-2025'!$A:$A,'[9]november-2025'!$D:$D,0,0)</f>
        <v>0</v>
      </c>
      <c r="CQ205">
        <f>_xlfn.XLOOKUP(B205,'[9]november-2025'!$A:$A,'[9]november-2025'!$G:$G,0,0)</f>
        <v>500</v>
      </c>
      <c r="CR205">
        <f>IF(CM205&gt;0,SUM(CM205:CQ205),0)</f>
        <v>45350</v>
      </c>
      <c r="CS205">
        <f>_xlfn.XLOOKUP(B205,'[9]november-2025'!$A:$A,'[9]november-2025'!$H:$H,0,0)</f>
        <v>3000</v>
      </c>
      <c r="CT205">
        <f>_xlfn.XLOOKUP(B205,'[9]november-2025'!$A:$A,'[9]november-2025'!$I:$I,0,0)</f>
        <v>0</v>
      </c>
      <c r="CU205">
        <f>IF($F205="YES",0,IF(CR205&gt;40000,200,IF(CR205&gt;25000,150,IF(CR205&gt;15000,130,IF(CR205&gt;10000,110,0)))))</f>
        <v>200</v>
      </c>
      <c r="CV205">
        <f>CR205-CS205-CT205-CU205</f>
        <v>42150</v>
      </c>
      <c r="CW205">
        <f>_xlfn.XLOOKUP(B205,'[10]december-2025'!$A:$A,'[10]december-2025'!$C:$C,0,0)</f>
        <v>34500</v>
      </c>
      <c r="CX205">
        <f>ROUND(CW205*0.18,0)</f>
        <v>6210</v>
      </c>
      <c r="CY205">
        <f>ROUND(CW205*0.12,0)</f>
        <v>4140</v>
      </c>
      <c r="CZ205">
        <f>_xlfn.XLOOKUP(B205,'[10]december-2025'!$A:$A,'[10]december-2025'!$D:$D,0,0)</f>
        <v>0</v>
      </c>
      <c r="DA205">
        <f>_xlfn.XLOOKUP(B205,'[10]december-2025'!$A:$A,'[10]december-2025'!$G:$G,0,0)</f>
        <v>500</v>
      </c>
      <c r="DB205">
        <f>IF(CW205&gt;0,SUM(CW205:DA205),0)</f>
        <v>45350</v>
      </c>
      <c r="DC205">
        <f>_xlfn.XLOOKUP(B205,'[10]december-2025'!$A:$A,'[10]december-2025'!$H:$H,0,0)</f>
        <v>3000</v>
      </c>
      <c r="DD205">
        <f>_xlfn.XLOOKUP(B205,'[10]december-2025'!$A:$A,'[10]december-2025'!$I:$I,0,0)</f>
        <v>0</v>
      </c>
      <c r="DE205">
        <f>IF($F205="YES",0,IF(DB205&gt;40000,200,IF(DB205&gt;25000,150,IF(DB205&gt;15000,130,IF(DB205&gt;10000,110,0)))))</f>
        <v>200</v>
      </c>
      <c r="DF205">
        <f>DB205-DC205-DD205-DE205</f>
        <v>42150</v>
      </c>
      <c r="DG205">
        <f>_xlfn.XLOOKUP(B205,'[11]january-2026'!$A:$A,'[11]january-2026'!$C:$C,0,0)</f>
        <v>34500</v>
      </c>
      <c r="DH205">
        <f>DG205*0.18</f>
        <v>6210</v>
      </c>
      <c r="DI205">
        <f>DG205*0.12</f>
        <v>4140</v>
      </c>
      <c r="DJ205">
        <f>_xlfn.XLOOKUP(B205,'[11]january-2026'!$A:$A,'[11]january-2026'!$D:$D,0,0)</f>
        <v>0</v>
      </c>
      <c r="DK205">
        <f>_xlfn.XLOOKUP(B205,'[11]january-2026'!$A:$A,'[11]january-2026'!$G:$G,0,0)</f>
        <v>500</v>
      </c>
      <c r="DL205">
        <f>IF(DG205&gt;0,SUM(DG205:DK205),0)</f>
        <v>45350</v>
      </c>
      <c r="DM205">
        <f>_xlfn.XLOOKUP(B205,'[11]january-2026'!$A:$A,'[11]january-2026'!$H:$H,0,0)</f>
        <v>3000</v>
      </c>
      <c r="DN205">
        <f>_xlfn.XLOOKUP(B205,'[11]january-2026'!$A:$A,'[11]january-2026'!$I:$I,0,0)</f>
        <v>0</v>
      </c>
      <c r="DO205">
        <f>IF($F205="YES",0,IF(DL205&gt;40000,200,IF(DL205&gt;25000,150,IF(DL205&gt;15000,130,IF(DL205&gt;10000,110,0)))))</f>
        <v>200</v>
      </c>
      <c r="DP205">
        <f>DL205-DM205-DN205-DO205</f>
        <v>42150</v>
      </c>
      <c r="DQ205">
        <f>_xlfn.XLOOKUP(B205,'[12]february-2026'!$A:$A,'[12]february-2026'!$C:$C,0,0)</f>
        <v>34500</v>
      </c>
      <c r="DR205">
        <f>DQ205*0.18</f>
        <v>6210</v>
      </c>
      <c r="DS205">
        <f>DQ205*0.12</f>
        <v>4140</v>
      </c>
      <c r="DT205">
        <f>_xlfn.XLOOKUP(B205,'[12]february-2026'!$A:$A,'[12]february-2026'!$D:$D,0,0)</f>
        <v>0</v>
      </c>
      <c r="DU205">
        <f>_xlfn.XLOOKUP(B205,'[12]february-2026'!$A:$A,'[12]february-2026'!$G:$G,0,0)</f>
        <v>500</v>
      </c>
      <c r="DV205">
        <f>IF(DQ205&gt;0,SUM(DQ205:DU205),0)</f>
        <v>45350</v>
      </c>
      <c r="DW205">
        <f>_xlfn.XLOOKUP(B205,'[12]february-2026'!$A:$A,'[12]february-2026'!$H:$H,0,0)</f>
        <v>3000</v>
      </c>
      <c r="DX205">
        <f>_xlfn.XLOOKUP(B205,'[12]february-2026'!$A:$A,'[12]february-2026'!$I:$I,0,0)</f>
        <v>0</v>
      </c>
      <c r="DY205">
        <f>IF($F205="YES",0,IF(DV205&gt;40000,200,IF(DV205&gt;25000,150,IF(DV205&gt;15000,130,IF(DV205&gt;10000,110,0)))))</f>
        <v>200</v>
      </c>
      <c r="DZ205">
        <f>DV205-DW205-DX205-DY205</f>
        <v>42150</v>
      </c>
      <c r="EA205">
        <f>DV205+DL205+DB205+CR205+CH205+BX205+BN205+BD205+AS205+AI205+Y205+O205+H205+I205</f>
        <v>544460</v>
      </c>
      <c r="EB205">
        <f>DY205+DO205+DE205+CU205+CK205+CA205+BQ205+BG205+AV205+AL205+AB205+R205</f>
        <v>2400</v>
      </c>
      <c r="EC205">
        <f>IF(EA205&gt;0,50000,0)</f>
        <v>50000</v>
      </c>
      <c r="ED205">
        <v>0</v>
      </c>
      <c r="EE205">
        <f>EA205-EB205-EC205</f>
        <v>492060</v>
      </c>
      <c r="EF205">
        <f>DW205+DM205+DC205+CS205+CI205+BY205+BO205+BE205+AT205+AJ205+Z205+P205</f>
        <v>36000</v>
      </c>
      <c r="EG205">
        <f>DX205+DN205+DD205+CT205+CJ205+BZ205+BP205+BF205+AU205+AK205+AA205+Q205</f>
        <v>0</v>
      </c>
      <c r="EH205">
        <v>0</v>
      </c>
      <c r="EI205">
        <v>0</v>
      </c>
      <c r="EJ205">
        <v>0</v>
      </c>
      <c r="EK205">
        <v>0</v>
      </c>
      <c r="EL205">
        <v>0</v>
      </c>
      <c r="EM205">
        <v>0</v>
      </c>
      <c r="EN205">
        <v>0</v>
      </c>
      <c r="EO205">
        <v>0</v>
      </c>
      <c r="EP205">
        <v>0</v>
      </c>
      <c r="EQ205">
        <v>0</v>
      </c>
      <c r="ER205">
        <f>SUM(EF205:EQ205)</f>
        <v>36000</v>
      </c>
      <c r="ES205">
        <f>IF(ER205&gt;=150000,150000,ER205)</f>
        <v>36000</v>
      </c>
      <c r="ET205">
        <f>EE205-ES205</f>
        <v>456060</v>
      </c>
      <c r="EU205">
        <v>0</v>
      </c>
      <c r="EV205">
        <v>0</v>
      </c>
      <c r="EW205">
        <v>0</v>
      </c>
      <c r="EX205">
        <v>0</v>
      </c>
      <c r="EY205">
        <v>0</v>
      </c>
      <c r="EZ205">
        <v>0</v>
      </c>
      <c r="FA205">
        <v>0</v>
      </c>
      <c r="FB205">
        <f>SUM(EU205:FA205)+(IF(F205="YES",50000,0))</f>
        <v>0</v>
      </c>
      <c r="FC205">
        <f>ET205-FB205</f>
        <v>456060</v>
      </c>
      <c r="FD205">
        <f>ROUND(IF(FC205&gt;0,IF(FC205&gt;500000,12500,(FC205-250000)*0.05),0),0)</f>
        <v>10303</v>
      </c>
      <c r="FE205">
        <f>IF(ROUND(IF(FC205&gt;0,IF(FC205&gt;1000000,25000,(FC205-500000)*0.2),0),0)&lt;0,0,ROUND(IF(FC205&gt;0,IF(FC205&gt;1000000,25000,(FC205-500000)*0.2),0),0))</f>
        <v>0</v>
      </c>
      <c r="FF205">
        <f>FD205+FE205</f>
        <v>10303</v>
      </c>
      <c r="FG205">
        <f>IF(FF205&lt;12500,0,FF205)</f>
        <v>0</v>
      </c>
      <c r="FH205">
        <f>FG205*0.04</f>
        <v>0</v>
      </c>
      <c r="FI205">
        <f>ROUND(FH205+FG205,0)</f>
        <v>0</v>
      </c>
      <c r="FJ205">
        <v>0</v>
      </c>
      <c r="FK205">
        <f>FI205-FJ205</f>
        <v>0</v>
      </c>
      <c r="FL205" t="b">
        <f>IF(EA205&gt;500000,TRUE,FALSE)</f>
        <v>1</v>
      </c>
      <c r="FM205">
        <f ca="1">IF(FL205,RANDBETWEEN(500,1000),RANDBETWEEN(1000,3000))</f>
        <v>828</v>
      </c>
      <c r="FN205">
        <f ca="1">EA205+FM205</f>
        <v>545288</v>
      </c>
      <c r="FO205">
        <f>IF(EA205&gt;0,75000,0)</f>
        <v>75000</v>
      </c>
      <c r="FP205">
        <f ca="1">FN205-FO205</f>
        <v>470288</v>
      </c>
      <c r="FQ205">
        <f ca="1">IF(FP205&gt;2400000,FP205-2400000,0)</f>
        <v>0</v>
      </c>
      <c r="FR205">
        <f ca="1">FQ205*0.3</f>
        <v>0</v>
      </c>
      <c r="FS205">
        <f ca="1">IF(FP205&gt;2000000,FP205-2000000,0)</f>
        <v>0</v>
      </c>
      <c r="FT205">
        <f ca="1">FS205*0.25</f>
        <v>0</v>
      </c>
      <c r="FU205">
        <f ca="1">IF(FP205&gt;1600000,FP205-1600000-FQ205,0)</f>
        <v>0</v>
      </c>
      <c r="FV205">
        <f ca="1">FU205*0.2</f>
        <v>0</v>
      </c>
      <c r="FW205">
        <f ca="1">IF(FP205&gt;1200000,FP205-1200000-IF(F205="YES",50000,0)-FU205,0)</f>
        <v>0</v>
      </c>
      <c r="FX205">
        <f ca="1">FW205*0.15</f>
        <v>0</v>
      </c>
      <c r="FY205">
        <f ca="1">IF(FP205&gt;800000,FP205-800000-FQ205-FU205-FW205,0)</f>
        <v>0</v>
      </c>
      <c r="FZ205">
        <f ca="1">FY205*0.1</f>
        <v>0</v>
      </c>
      <c r="GA205">
        <f ca="1">IF(FP205&gt;400000,FP205-400000-FQ205-FU205-FW205-FY205,0)</f>
        <v>70288</v>
      </c>
      <c r="GB205">
        <f ca="1">GA205*0.05</f>
        <v>3514.4</v>
      </c>
      <c r="GC205">
        <f ca="1">ROUND(FR205+FT205+FV205+FX205+FZ205+GB205,0)</f>
        <v>3514</v>
      </c>
      <c r="GD205">
        <f ca="1">IF(FP205&gt;1200000,FP205,0)</f>
        <v>0</v>
      </c>
      <c r="GE205">
        <f ca="1">IF(FP205&gt;1200000,GD205-1200000,0)</f>
        <v>0</v>
      </c>
      <c r="GF205">
        <f ca="1">IF(FP205&lt;1200001,MIN(GC205,60000),0)</f>
        <v>3514</v>
      </c>
      <c r="GG205">
        <f ca="1">IF(FP205&gt;1200000,GC205-GE205,0)</f>
        <v>0</v>
      </c>
      <c r="GH205" t="b">
        <f ca="1">IF(GG205&gt;0,TRUE,FALSE)</f>
        <v>0</v>
      </c>
      <c r="GI205">
        <f ca="1">IF(GH205,GG205,0)</f>
        <v>0</v>
      </c>
      <c r="GJ205">
        <f ca="1">GF205+GI205</f>
        <v>3514</v>
      </c>
      <c r="GK205">
        <f ca="1">ROUND(GC205-GJ205,0)</f>
        <v>0</v>
      </c>
      <c r="GL205">
        <f ca="1">GK205*0.04</f>
        <v>0</v>
      </c>
      <c r="GM205">
        <f ca="1">ROUNDUP(GK205+GL205,0)</f>
        <v>0</v>
      </c>
    </row>
    <row r="206" spans="1:195" x14ac:dyDescent="0.25">
      <c r="A206">
        <f>_xlfn.AGGREGATE(3,5,$B$2:B206)</f>
        <v>205</v>
      </c>
      <c r="B206" t="s">
        <v>521</v>
      </c>
      <c r="C206" t="s">
        <v>522</v>
      </c>
      <c r="D206" t="s">
        <v>804</v>
      </c>
      <c r="E206" t="s">
        <v>833</v>
      </c>
      <c r="F206" t="s">
        <v>959</v>
      </c>
      <c r="G206" t="s">
        <v>881</v>
      </c>
      <c r="H206">
        <f>IF(_xlfn.DAYS("31-03-2025",G206)&gt;=180,6800,0)</f>
        <v>6800</v>
      </c>
      <c r="I206">
        <f>_xlfn.XLOOKUP(B206,'[1]march-2025'!$A:$A,'[1]march-2025'!$J:$J,0,0)</f>
        <v>0</v>
      </c>
      <c r="J206">
        <f>_xlfn.XLOOKUP(B206,'[1]march-2025'!$A:$A,'[1]march-2025'!$C:$C,0,0)</f>
        <v>31600</v>
      </c>
      <c r="K206">
        <f>J206*0.14</f>
        <v>4424</v>
      </c>
      <c r="L206">
        <f>J206*0.12</f>
        <v>3792</v>
      </c>
      <c r="M206">
        <f>_xlfn.XLOOKUP(B206,'[1]march-2025'!$A:$A,'[1]march-2025'!$D:$D,0,0)</f>
        <v>0</v>
      </c>
      <c r="N206">
        <f>_xlfn.XLOOKUP(B206,'[1]march-2025'!$A:$A,'[1]march-2025'!$G:$G,0,0)</f>
        <v>500</v>
      </c>
      <c r="O206">
        <f>IF(J206&gt;0,SUM(J206:N206),0)</f>
        <v>40316</v>
      </c>
      <c r="P206">
        <f>_xlfn.XLOOKUP(B206,'[1]march-2025'!$A:$A,'[1]march-2025'!$H:$H,0,0)</f>
        <v>2000</v>
      </c>
      <c r="Q206">
        <f>_xlfn.XLOOKUP(B206,'[1]march-2025'!$A:$A,'[1]march-2025'!$I:$I,0,0)</f>
        <v>0</v>
      </c>
      <c r="R206">
        <f>IF($F206="YES",0,IF(O206&gt;40000,200,IF(O206&gt;25000,150,IF(O206&gt;15000,130,IF(O206&gt;10000,110,0)))))</f>
        <v>200</v>
      </c>
      <c r="S206">
        <f>O206-P206-Q206-R206</f>
        <v>38116</v>
      </c>
      <c r="T206">
        <f>_xlfn.XLOOKUP(B206,'[2]april-2025'!$A:$A,'[2]april-2025'!$C:$C,0,0)</f>
        <v>31600</v>
      </c>
      <c r="U206">
        <f>T206*0.18</f>
        <v>5688</v>
      </c>
      <c r="V206">
        <f>T206*0.12</f>
        <v>3792</v>
      </c>
      <c r="W206">
        <f>_xlfn.XLOOKUP(B206,'[2]april-2025'!$A:$A,'[2]april-2025'!$D:$D,0,0)</f>
        <v>0</v>
      </c>
      <c r="X206">
        <f>_xlfn.XLOOKUP(B206,'[2]april-2025'!$A:$A,'[2]april-2025'!$G:$G,0,0)</f>
        <v>500</v>
      </c>
      <c r="Y206">
        <f>IF(T206&gt;0,SUM(T206:X206),0)</f>
        <v>41580</v>
      </c>
      <c r="Z206">
        <f>_xlfn.XLOOKUP(B206,'[2]april-2025'!$A:$A,'[2]april-2025'!$H:$H,0,0)</f>
        <v>2000</v>
      </c>
      <c r="AA206">
        <f>_xlfn.XLOOKUP(B206,'[2]april-2025'!$A:$A,'[2]april-2025'!$I:$I,0,0)</f>
        <v>0</v>
      </c>
      <c r="AB206">
        <f>IF($F206="YES",0,IF(Y206&gt;40000,200,IF(Y206&gt;25000,150,IF(Y206&gt;15000,130,IF(Y206&gt;10000,110,0)))))</f>
        <v>200</v>
      </c>
      <c r="AC206">
        <f>Y206-Z206-AA206-AB206</f>
        <v>39380</v>
      </c>
      <c r="AD206">
        <f>_xlfn.XLOOKUP(B206,'[3]may-2025'!$A:$A,'[3]may-2025'!$C:$C,0,0)</f>
        <v>31600</v>
      </c>
      <c r="AE206">
        <f>AD206*0.18</f>
        <v>5688</v>
      </c>
      <c r="AF206">
        <f>AD206*0.12</f>
        <v>3792</v>
      </c>
      <c r="AG206">
        <f>_xlfn.XLOOKUP(B206,'[3]may-2025'!$A:$A,'[3]may-2025'!$D:$D,0,0)</f>
        <v>0</v>
      </c>
      <c r="AH206">
        <f>_xlfn.XLOOKUP(B206,'[3]may-2025'!$A:$A,'[3]may-2025'!$G:$G,0,0)</f>
        <v>500</v>
      </c>
      <c r="AI206">
        <f>IF(AD206&gt;0,SUM(AD206:AH206),0)</f>
        <v>41580</v>
      </c>
      <c r="AJ206">
        <f>_xlfn.XLOOKUP(B206,'[3]may-2025'!$A:$A,'[3]may-2025'!$H:$H,0,0)</f>
        <v>2000</v>
      </c>
      <c r="AK206">
        <f>_xlfn.XLOOKUP(B206,'[3]may-2025'!$A:$A,'[3]may-2025'!$I:$I,0,0)</f>
        <v>0</v>
      </c>
      <c r="AL206">
        <f>IF($F206="YES",0,IF(AI206&gt;40000,200,IF(AI206&gt;25000,150,IF(AI206&gt;15000,130,IF(AI206&gt;10000,110,0)))))</f>
        <v>200</v>
      </c>
      <c r="AM206">
        <f>AI206-AJ206-AK206-AL206</f>
        <v>39380</v>
      </c>
      <c r="AN206">
        <f>_xlfn.XLOOKUP(B206,'[4]june-2025'!$A:$A,'[4]june-2025'!$C:$C,0,0)</f>
        <v>31600</v>
      </c>
      <c r="AO206">
        <f>AN206*0.18</f>
        <v>5688</v>
      </c>
      <c r="AP206">
        <f>AN206*0.12</f>
        <v>3792</v>
      </c>
      <c r="AQ206">
        <f>_xlfn.XLOOKUP(B206,'[4]june-2025'!$A:$A,'[4]june-2025'!$D:$D,0,0)</f>
        <v>0</v>
      </c>
      <c r="AR206">
        <f>_xlfn.XLOOKUP(B206,'[4]june-2025'!$A:$A,'[4]june-2025'!$G:$G,0,0)</f>
        <v>500</v>
      </c>
      <c r="AS206">
        <f>IF(AN206&gt;0,SUM(AN206:AR206),0)</f>
        <v>41580</v>
      </c>
      <c r="AT206">
        <f>_xlfn.XLOOKUP(B206,'[4]june-2025'!$A:$A,'[4]june-2025'!$H:$H,0,0)</f>
        <v>2000</v>
      </c>
      <c r="AU206">
        <f>_xlfn.XLOOKUP(B206,'[4]june-2025'!$A:$A,'[4]june-2025'!$I:$I,0,0)</f>
        <v>0</v>
      </c>
      <c r="AV206">
        <f>IF($F206="YES",0,IF(AS206&gt;40000,200,IF(AS206&gt;25000,150,IF(AS206&gt;15000,130,IF(AS206&gt;10000,110,0)))))</f>
        <v>200</v>
      </c>
      <c r="AW206">
        <f>AS206-AT206-AU206-AV206</f>
        <v>39380</v>
      </c>
      <c r="AX206">
        <f>_xlfn.XLOOKUP(B206,'[5]july-2025'!$A:$A,'[5]july-2025'!$C:$C,0,0)</f>
        <v>32500</v>
      </c>
      <c r="AY206">
        <f>AX206*0.18</f>
        <v>5850</v>
      </c>
      <c r="AZ206">
        <v>0</v>
      </c>
      <c r="BA206">
        <f>AX206*0.12</f>
        <v>3900</v>
      </c>
      <c r="BB206">
        <f>_xlfn.XLOOKUP(B206,'[5]july-2025'!$A:$A,'[5]july-2025'!$D:$D,0,0)</f>
        <v>0</v>
      </c>
      <c r="BC206">
        <f>_xlfn.XLOOKUP(B206,'[5]july-2025'!$A:$A,'[5]july-2025'!$G:$G,0,0)</f>
        <v>500</v>
      </c>
      <c r="BD206">
        <f>IF(AX206&gt;0,SUM(AX206:BC206),0)</f>
        <v>42750</v>
      </c>
      <c r="BE206">
        <f>_xlfn.XLOOKUP(B206,'[5]july-2025'!$A:$A,'[5]july-2025'!$H:$H,0,0)</f>
        <v>2000</v>
      </c>
      <c r="BF206">
        <f>_xlfn.XLOOKUP(B206,'[5]july-2025'!$A:$A,'[5]july-2025'!$I:$I,0,0)</f>
        <v>0</v>
      </c>
      <c r="BG206">
        <f>IF($F206="YES",0,IF(BD206&gt;40000,200,IF(BD206&gt;25000,150,IF(BD206&gt;15000,130,IF(BD206&gt;10000,110,0)))))</f>
        <v>200</v>
      </c>
      <c r="BH206">
        <f>BD206-BE206-BF206-BG206</f>
        <v>40550</v>
      </c>
      <c r="BI206">
        <f>_xlfn.XLOOKUP(B206,'[6]august-2025'!$A:$A,'[6]august-2025'!$C:$C,0,0)</f>
        <v>32500</v>
      </c>
      <c r="BJ206">
        <f>BI206*0.18</f>
        <v>5850</v>
      </c>
      <c r="BK206">
        <f>BI206*0.12</f>
        <v>3900</v>
      </c>
      <c r="BL206">
        <f>_xlfn.XLOOKUP(B206,'[6]august-2025'!$A:$A,'[6]august-2025'!$D:$D,0,0)</f>
        <v>0</v>
      </c>
      <c r="BM206">
        <f>_xlfn.XLOOKUP(B206,'[6]august-2025'!$A:$A,'[6]august-2025'!$G:$G,0,0)</f>
        <v>500</v>
      </c>
      <c r="BN206">
        <f>IF(BI206&gt;0,SUM(BI206:BM206),0)</f>
        <v>42750</v>
      </c>
      <c r="BO206">
        <f>_xlfn.XLOOKUP(B206,'[6]august-2025'!$A:$A,'[6]august-2025'!$H:$H,0,0)</f>
        <v>2000</v>
      </c>
      <c r="BP206">
        <f>_xlfn.XLOOKUP(B206,'[6]august-2025'!$A:$A,'[6]august-2025'!$I:$I,0,0)</f>
        <v>0</v>
      </c>
      <c r="BQ206">
        <f>IF($F206="YES",0,IF(BN206&gt;40000,200,IF(BN206&gt;25000,150,IF(BN206&gt;15000,130,IF(BN206&gt;10000,110,0)))))</f>
        <v>200</v>
      </c>
      <c r="BR206">
        <f>BN206-BO206-BP206-BQ206</f>
        <v>40550</v>
      </c>
      <c r="BS206">
        <f>_xlfn.XLOOKUP(B206,'[7]september-2025'!$A:$A,'[7]september-2025'!$C:$C,0,0)</f>
        <v>32500</v>
      </c>
      <c r="BT206">
        <f>BS206*0.18</f>
        <v>5850</v>
      </c>
      <c r="BU206">
        <f>BS206*0.12</f>
        <v>3900</v>
      </c>
      <c r="BV206">
        <f>_xlfn.XLOOKUP(B206,'[7]september-2025'!$A:$A,'[7]september-2025'!$D:$D,0,0)</f>
        <v>0</v>
      </c>
      <c r="BW206">
        <f>_xlfn.XLOOKUP(B206,'[7]september-2025'!$A:$A,'[7]september-2025'!$G:$G,0,0)</f>
        <v>500</v>
      </c>
      <c r="BX206">
        <f>IF(BS206&gt;0,SUM(BS206:BW206),0)</f>
        <v>42750</v>
      </c>
      <c r="BY206">
        <f>_xlfn.XLOOKUP(B206,'[7]september-2025'!$A:$A,'[7]september-2025'!$H:$H,0,0)</f>
        <v>2000</v>
      </c>
      <c r="BZ206">
        <f>_xlfn.XLOOKUP(B206,'[7]september-2025'!$A:$A,'[7]september-2025'!$I:$I,0,0)</f>
        <v>0</v>
      </c>
      <c r="CA206">
        <f>IF($F206="YES",0,IF(BX206&gt;40000,200,IF(BX206&gt;25000,150,IF(BX206&gt;15000,130,IF(BX206&gt;10000,110,0)))))</f>
        <v>200</v>
      </c>
      <c r="CB206">
        <f>BX206-BY206-BZ206-CA206</f>
        <v>40550</v>
      </c>
      <c r="CC206">
        <f>_xlfn.XLOOKUP(B206,'[8]october-2025'!$A:$A,'[8]october-2025'!$C:$C,0,0)</f>
        <v>32500</v>
      </c>
      <c r="CD206">
        <f>CC206*0.18</f>
        <v>5850</v>
      </c>
      <c r="CE206">
        <f>CC206*0.12</f>
        <v>3900</v>
      </c>
      <c r="CF206">
        <f>_xlfn.XLOOKUP(B206,'[8]october-2025'!$A:$A,'[8]october-2025'!$D:$D,0,0)</f>
        <v>0</v>
      </c>
      <c r="CG206">
        <f>_xlfn.XLOOKUP(B206,'[8]october-2025'!$A:$A,'[8]october-2025'!$G:$G,0,0)</f>
        <v>500</v>
      </c>
      <c r="CH206">
        <f>IF(CC206&gt;0,SUM(CC206:CG206),0)</f>
        <v>42750</v>
      </c>
      <c r="CI206">
        <f>_xlfn.XLOOKUP(B206,'[8]october-2025'!$A:$A,'[8]october-2025'!$H:$H,0,0)</f>
        <v>2000</v>
      </c>
      <c r="CJ206">
        <f>_xlfn.XLOOKUP(B206,'[8]october-2025'!$A:$A,'[8]october-2025'!$I:$I,0,0)</f>
        <v>0</v>
      </c>
      <c r="CK206">
        <f>IF($F206="YES",0,IF(CH206&gt;40000,200,IF(CH206&gt;25000,150,IF(CH206&gt;15000,130,IF(CH206&gt;10000,110,0)))))</f>
        <v>200</v>
      </c>
      <c r="CL206">
        <f>CH206-CI206-CJ206-CK206</f>
        <v>40550</v>
      </c>
      <c r="CM206">
        <f>_xlfn.XLOOKUP(B206,'[9]november-2025'!$A:$A,'[9]november-2025'!$C:$C,0,0)</f>
        <v>32500</v>
      </c>
      <c r="CN206">
        <f>CM206*0.18</f>
        <v>5850</v>
      </c>
      <c r="CO206">
        <f>CM206*0.12</f>
        <v>3900</v>
      </c>
      <c r="CP206">
        <f>_xlfn.XLOOKUP(B206,'[9]november-2025'!$A:$A,'[9]november-2025'!$D:$D,0,0)</f>
        <v>0</v>
      </c>
      <c r="CQ206">
        <f>_xlfn.XLOOKUP(B206,'[9]november-2025'!$A:$A,'[9]november-2025'!$G:$G,0,0)</f>
        <v>500</v>
      </c>
      <c r="CR206">
        <f>IF(CM206&gt;0,SUM(CM206:CQ206),0)</f>
        <v>42750</v>
      </c>
      <c r="CS206">
        <f>_xlfn.XLOOKUP(B206,'[9]november-2025'!$A:$A,'[9]november-2025'!$H:$H,0,0)</f>
        <v>2000</v>
      </c>
      <c r="CT206">
        <f>_xlfn.XLOOKUP(B206,'[9]november-2025'!$A:$A,'[9]november-2025'!$I:$I,0,0)</f>
        <v>0</v>
      </c>
      <c r="CU206">
        <f>IF($F206="YES",0,IF(CR206&gt;40000,200,IF(CR206&gt;25000,150,IF(CR206&gt;15000,130,IF(CR206&gt;10000,110,0)))))</f>
        <v>200</v>
      </c>
      <c r="CV206">
        <f>CR206-CS206-CT206-CU206</f>
        <v>40550</v>
      </c>
      <c r="CW206">
        <f>_xlfn.XLOOKUP(B206,'[10]december-2025'!$A:$A,'[10]december-2025'!$C:$C,0,0)</f>
        <v>32500</v>
      </c>
      <c r="CX206">
        <f>ROUND(CW206*0.18,0)</f>
        <v>5850</v>
      </c>
      <c r="CY206">
        <f>ROUND(CW206*0.12,0)</f>
        <v>3900</v>
      </c>
      <c r="CZ206">
        <f>_xlfn.XLOOKUP(B206,'[10]december-2025'!$A:$A,'[10]december-2025'!$D:$D,0,0)</f>
        <v>0</v>
      </c>
      <c r="DA206">
        <f>_xlfn.XLOOKUP(B206,'[10]december-2025'!$A:$A,'[10]december-2025'!$G:$G,0,0)</f>
        <v>500</v>
      </c>
      <c r="DB206">
        <f>IF(CW206&gt;0,SUM(CW206:DA206),0)</f>
        <v>42750</v>
      </c>
      <c r="DC206">
        <f>_xlfn.XLOOKUP(B206,'[10]december-2025'!$A:$A,'[10]december-2025'!$H:$H,0,0)</f>
        <v>2000</v>
      </c>
      <c r="DD206">
        <f>_xlfn.XLOOKUP(B206,'[10]december-2025'!$A:$A,'[10]december-2025'!$I:$I,0,0)</f>
        <v>0</v>
      </c>
      <c r="DE206">
        <f>IF($F206="YES",0,IF(DB206&gt;40000,200,IF(DB206&gt;25000,150,IF(DB206&gt;15000,130,IF(DB206&gt;10000,110,0)))))</f>
        <v>200</v>
      </c>
      <c r="DF206">
        <f>DB206-DC206-DD206-DE206</f>
        <v>40550</v>
      </c>
      <c r="DG206">
        <f>_xlfn.XLOOKUP(B206,'[11]january-2026'!$A:$A,'[11]january-2026'!$C:$C,0,0)</f>
        <v>32500</v>
      </c>
      <c r="DH206">
        <f>DG206*0.18</f>
        <v>5850</v>
      </c>
      <c r="DI206">
        <f>DG206*0.12</f>
        <v>3900</v>
      </c>
      <c r="DJ206">
        <f>_xlfn.XLOOKUP(B206,'[11]january-2026'!$A:$A,'[11]january-2026'!$D:$D,0,0)</f>
        <v>0</v>
      </c>
      <c r="DK206">
        <f>_xlfn.XLOOKUP(B206,'[11]january-2026'!$A:$A,'[11]january-2026'!$G:$G,0,0)</f>
        <v>500</v>
      </c>
      <c r="DL206">
        <f>IF(DG206&gt;0,SUM(DG206:DK206),0)</f>
        <v>42750</v>
      </c>
      <c r="DM206">
        <f>_xlfn.XLOOKUP(B206,'[11]january-2026'!$A:$A,'[11]january-2026'!$H:$H,0,0)</f>
        <v>2000</v>
      </c>
      <c r="DN206">
        <f>_xlfn.XLOOKUP(B206,'[11]january-2026'!$A:$A,'[11]january-2026'!$I:$I,0,0)</f>
        <v>0</v>
      </c>
      <c r="DO206">
        <f>IF($F206="YES",0,IF(DL206&gt;40000,200,IF(DL206&gt;25000,150,IF(DL206&gt;15000,130,IF(DL206&gt;10000,110,0)))))</f>
        <v>200</v>
      </c>
      <c r="DP206">
        <f>DL206-DM206-DN206-DO206</f>
        <v>40550</v>
      </c>
      <c r="DQ206">
        <f>_xlfn.XLOOKUP(B206,'[12]february-2026'!$A:$A,'[12]february-2026'!$C:$C,0,0)</f>
        <v>32500</v>
      </c>
      <c r="DR206">
        <f>DQ206*0.18</f>
        <v>5850</v>
      </c>
      <c r="DS206">
        <f>DQ206*0.12</f>
        <v>3900</v>
      </c>
      <c r="DT206">
        <f>_xlfn.XLOOKUP(B206,'[12]february-2026'!$A:$A,'[12]february-2026'!$D:$D,0,0)</f>
        <v>0</v>
      </c>
      <c r="DU206">
        <f>_xlfn.XLOOKUP(B206,'[12]february-2026'!$A:$A,'[12]february-2026'!$G:$G,0,0)</f>
        <v>500</v>
      </c>
      <c r="DV206">
        <f>IF(DQ206&gt;0,SUM(DQ206:DU206),0)</f>
        <v>42750</v>
      </c>
      <c r="DW206">
        <f>_xlfn.XLOOKUP(B206,'[12]february-2026'!$A:$A,'[12]february-2026'!$H:$H,0,0)</f>
        <v>2000</v>
      </c>
      <c r="DX206">
        <f>_xlfn.XLOOKUP(B206,'[12]february-2026'!$A:$A,'[12]february-2026'!$I:$I,0,0)</f>
        <v>0</v>
      </c>
      <c r="DY206">
        <f>IF($F206="YES",0,IF(DV206&gt;40000,200,IF(DV206&gt;25000,150,IF(DV206&gt;15000,130,IF(DV206&gt;10000,110,0)))))</f>
        <v>200</v>
      </c>
      <c r="DZ206">
        <f>DV206-DW206-DX206-DY206</f>
        <v>40550</v>
      </c>
      <c r="EA206">
        <f>DV206+DL206+DB206+CR206+CH206+BX206+BN206+BD206+AS206+AI206+Y206+O206+H206+I206</f>
        <v>513856</v>
      </c>
      <c r="EB206">
        <f>DY206+DO206+DE206+CU206+CK206+CA206+BQ206+BG206+AV206+AL206+AB206+R206</f>
        <v>2400</v>
      </c>
      <c r="EC206">
        <f>IF(EA206&gt;0,50000,0)</f>
        <v>50000</v>
      </c>
      <c r="ED206">
        <v>0</v>
      </c>
      <c r="EE206">
        <f>EA206-EB206-EC206</f>
        <v>461456</v>
      </c>
      <c r="EF206">
        <f>DW206+DM206+DC206+CS206+CI206+BY206+BO206+BE206+AT206+AJ206+Z206+P206</f>
        <v>24000</v>
      </c>
      <c r="EG206">
        <f>DX206+DN206+DD206+CT206+CJ206+BZ206+BP206+BF206+AU206+AK206+AA206+Q206</f>
        <v>0</v>
      </c>
      <c r="EH206">
        <v>0</v>
      </c>
      <c r="EI206">
        <v>0</v>
      </c>
      <c r="EJ206">
        <v>0</v>
      </c>
      <c r="EK206">
        <v>0</v>
      </c>
      <c r="EL206">
        <v>0</v>
      </c>
      <c r="EM206">
        <v>0</v>
      </c>
      <c r="EN206">
        <v>0</v>
      </c>
      <c r="EO206">
        <v>0</v>
      </c>
      <c r="EP206">
        <v>0</v>
      </c>
      <c r="EQ206">
        <v>0</v>
      </c>
      <c r="ER206">
        <f>SUM(EF206:EQ206)</f>
        <v>24000</v>
      </c>
      <c r="ES206">
        <f>IF(ER206&gt;=150000,150000,ER206)</f>
        <v>24000</v>
      </c>
      <c r="ET206">
        <f>EE206-ES206</f>
        <v>437456</v>
      </c>
      <c r="EU206">
        <v>0</v>
      </c>
      <c r="EV206">
        <v>0</v>
      </c>
      <c r="EW206">
        <v>0</v>
      </c>
      <c r="EX206">
        <v>0</v>
      </c>
      <c r="EY206">
        <v>0</v>
      </c>
      <c r="EZ206">
        <v>0</v>
      </c>
      <c r="FA206">
        <v>0</v>
      </c>
      <c r="FB206">
        <f>SUM(EU206:FA206)+(IF(F206="YES",50000,0))</f>
        <v>0</v>
      </c>
      <c r="FC206">
        <f>ET206-FB206</f>
        <v>437456</v>
      </c>
      <c r="FD206">
        <f>ROUND(IF(FC206&gt;0,IF(FC206&gt;500000,12500,(FC206-250000)*0.05),0),0)</f>
        <v>9373</v>
      </c>
      <c r="FE206">
        <f>IF(ROUND(IF(FC206&gt;0,IF(FC206&gt;1000000,25000,(FC206-500000)*0.2),0),0)&lt;0,0,ROUND(IF(FC206&gt;0,IF(FC206&gt;1000000,25000,(FC206-500000)*0.2),0),0))</f>
        <v>0</v>
      </c>
      <c r="FF206">
        <f>FD206+FE206</f>
        <v>9373</v>
      </c>
      <c r="FG206">
        <f>IF(FF206&lt;12500,0,FF206)</f>
        <v>0</v>
      </c>
      <c r="FH206">
        <f>FG206*0.04</f>
        <v>0</v>
      </c>
      <c r="FI206">
        <f>ROUND(FH206+FG206,0)</f>
        <v>0</v>
      </c>
      <c r="FJ206">
        <v>0</v>
      </c>
      <c r="FK206">
        <f>FI206-FJ206</f>
        <v>0</v>
      </c>
      <c r="FL206" t="b">
        <f>IF(EA206&gt;500000,TRUE,FALSE)</f>
        <v>1</v>
      </c>
      <c r="FM206">
        <f ca="1">IF(FL206,RANDBETWEEN(500,1000),RANDBETWEEN(1000,3000))</f>
        <v>976</v>
      </c>
      <c r="FN206">
        <f ca="1">EA206+FM206</f>
        <v>514832</v>
      </c>
      <c r="FO206">
        <f>IF(EA206&gt;0,75000,0)</f>
        <v>75000</v>
      </c>
      <c r="FP206">
        <f ca="1">FN206-FO206</f>
        <v>439832</v>
      </c>
      <c r="FQ206">
        <f ca="1">IF(FP206&gt;2400000,FP206-2400000,0)</f>
        <v>0</v>
      </c>
      <c r="FR206">
        <f ca="1">FQ206*0.3</f>
        <v>0</v>
      </c>
      <c r="FS206">
        <f ca="1">IF(FP206&gt;2000000,FP206-2000000,0)</f>
        <v>0</v>
      </c>
      <c r="FT206">
        <f ca="1">FS206*0.25</f>
        <v>0</v>
      </c>
      <c r="FU206">
        <f ca="1">IF(FP206&gt;1600000,FP206-1600000-FQ206,0)</f>
        <v>0</v>
      </c>
      <c r="FV206">
        <f ca="1">FU206*0.2</f>
        <v>0</v>
      </c>
      <c r="FW206">
        <f ca="1">IF(FP206&gt;1200000,FP206-1200000-IF(F206="YES",50000,0)-FU206,0)</f>
        <v>0</v>
      </c>
      <c r="FX206">
        <f ca="1">FW206*0.15</f>
        <v>0</v>
      </c>
      <c r="FY206">
        <f ca="1">IF(FP206&gt;800000,FP206-800000-FQ206-FU206-FW206,0)</f>
        <v>0</v>
      </c>
      <c r="FZ206">
        <f ca="1">FY206*0.1</f>
        <v>0</v>
      </c>
      <c r="GA206">
        <f ca="1">IF(FP206&gt;400000,FP206-400000-FQ206-FU206-FW206-FY206,0)</f>
        <v>39832</v>
      </c>
      <c r="GB206">
        <f ca="1">GA206*0.05</f>
        <v>1991.6000000000001</v>
      </c>
      <c r="GC206">
        <f ca="1">ROUND(FR206+FT206+FV206+FX206+FZ206+GB206,0)</f>
        <v>1992</v>
      </c>
      <c r="GD206">
        <f ca="1">IF(FP206&gt;1200000,FP206,0)</f>
        <v>0</v>
      </c>
      <c r="GE206">
        <f ca="1">IF(FP206&gt;1200000,GD206-1200000,0)</f>
        <v>0</v>
      </c>
      <c r="GF206">
        <f ca="1">IF(FP206&lt;1200001,MIN(GC206,60000),0)</f>
        <v>1992</v>
      </c>
      <c r="GG206">
        <f ca="1">IF(FP206&gt;1200000,GC206-GE206,0)</f>
        <v>0</v>
      </c>
      <c r="GH206" t="b">
        <f ca="1">IF(GG206&gt;0,TRUE,FALSE)</f>
        <v>0</v>
      </c>
      <c r="GI206">
        <f ca="1">IF(GH206,GG206,0)</f>
        <v>0</v>
      </c>
      <c r="GJ206">
        <f ca="1">GF206+GI206</f>
        <v>1992</v>
      </c>
      <c r="GK206">
        <f ca="1">ROUND(GC206-GJ206,0)</f>
        <v>0</v>
      </c>
      <c r="GL206">
        <f ca="1">GK206*0.04</f>
        <v>0</v>
      </c>
      <c r="GM206">
        <f ca="1">ROUNDUP(GK206+GL206,0)</f>
        <v>0</v>
      </c>
    </row>
    <row r="207" spans="1:195" x14ac:dyDescent="0.25">
      <c r="A207">
        <f>_xlfn.AGGREGATE(3,5,$B$2:B207)</f>
        <v>206</v>
      </c>
      <c r="B207" t="s">
        <v>523</v>
      </c>
      <c r="C207" t="s">
        <v>524</v>
      </c>
      <c r="D207" t="s">
        <v>805</v>
      </c>
      <c r="E207" t="s">
        <v>835</v>
      </c>
      <c r="F207" t="s">
        <v>959</v>
      </c>
      <c r="G207" t="s">
        <v>878</v>
      </c>
      <c r="H207">
        <f>IF(_xlfn.DAYS("31-03-2025",G207)&gt;=180,6800,0)</f>
        <v>6800</v>
      </c>
      <c r="I207">
        <f>_xlfn.XLOOKUP(B207,'[1]march-2025'!$A:$A,'[1]march-2025'!$J:$J,0,0)</f>
        <v>0</v>
      </c>
      <c r="J207">
        <f>_xlfn.XLOOKUP(B207,'[1]march-2025'!$A:$A,'[1]march-2025'!$C:$C,0,0)</f>
        <v>47300</v>
      </c>
      <c r="K207">
        <f>J207*0.14</f>
        <v>6622.0000000000009</v>
      </c>
      <c r="L207">
        <f>J207*0.12</f>
        <v>5676</v>
      </c>
      <c r="M207">
        <f>_xlfn.XLOOKUP(B207,'[1]march-2025'!$A:$A,'[1]march-2025'!$D:$D,0,0)</f>
        <v>400</v>
      </c>
      <c r="N207">
        <f>_xlfn.XLOOKUP(B207,'[1]march-2025'!$A:$A,'[1]march-2025'!$G:$G,0,0)</f>
        <v>500</v>
      </c>
      <c r="O207">
        <f>IF(J207&gt;0,SUM(J207:N207),0)</f>
        <v>60498</v>
      </c>
      <c r="P207">
        <f>_xlfn.XLOOKUP(B207,'[1]march-2025'!$A:$A,'[1]march-2025'!$H:$H,0,0)</f>
        <v>5000</v>
      </c>
      <c r="Q207">
        <f>_xlfn.XLOOKUP(B207,'[1]march-2025'!$A:$A,'[1]march-2025'!$I:$I,0,0)</f>
        <v>0</v>
      </c>
      <c r="R207">
        <f>IF($F207="YES",0,IF(O207&gt;40000,200,IF(O207&gt;25000,150,IF(O207&gt;15000,130,IF(O207&gt;10000,110,0)))))</f>
        <v>200</v>
      </c>
      <c r="S207">
        <f>O207-P207-Q207-R207</f>
        <v>55298</v>
      </c>
      <c r="T207">
        <f>_xlfn.XLOOKUP(B207,'[2]april-2025'!$A:$A,'[2]april-2025'!$C:$C,0,0)</f>
        <v>47300</v>
      </c>
      <c r="U207">
        <f>T207*0.18</f>
        <v>8514</v>
      </c>
      <c r="V207">
        <f>T207*0.12</f>
        <v>5676</v>
      </c>
      <c r="W207">
        <f>_xlfn.XLOOKUP(B207,'[2]april-2025'!$A:$A,'[2]april-2025'!$D:$D,0,0)</f>
        <v>400</v>
      </c>
      <c r="X207">
        <f>_xlfn.XLOOKUP(B207,'[2]april-2025'!$A:$A,'[2]april-2025'!$G:$G,0,0)</f>
        <v>500</v>
      </c>
      <c r="Y207">
        <f>IF(T207&gt;0,SUM(T207:X207),0)</f>
        <v>62390</v>
      </c>
      <c r="Z207">
        <f>_xlfn.XLOOKUP(B207,'[2]april-2025'!$A:$A,'[2]april-2025'!$H:$H,0,0)</f>
        <v>5000</v>
      </c>
      <c r="AA207">
        <f>_xlfn.XLOOKUP(B207,'[2]april-2025'!$A:$A,'[2]april-2025'!$I:$I,0,0)</f>
        <v>0</v>
      </c>
      <c r="AB207">
        <f>IF($F207="YES",0,IF(Y207&gt;40000,200,IF(Y207&gt;25000,150,IF(Y207&gt;15000,130,IF(Y207&gt;10000,110,0)))))</f>
        <v>200</v>
      </c>
      <c r="AC207">
        <f>Y207-Z207-AA207-AB207</f>
        <v>57190</v>
      </c>
      <c r="AD207">
        <f>_xlfn.XLOOKUP(B207,'[3]may-2025'!$A:$A,'[3]may-2025'!$C:$C,0,0)</f>
        <v>47300</v>
      </c>
      <c r="AE207">
        <f>AD207*0.18</f>
        <v>8514</v>
      </c>
      <c r="AF207">
        <f>AD207*0.12</f>
        <v>5676</v>
      </c>
      <c r="AG207">
        <f>_xlfn.XLOOKUP(B207,'[3]may-2025'!$A:$A,'[3]may-2025'!$D:$D,0,0)</f>
        <v>400</v>
      </c>
      <c r="AH207">
        <f>_xlfn.XLOOKUP(B207,'[3]may-2025'!$A:$A,'[3]may-2025'!$G:$G,0,0)</f>
        <v>500</v>
      </c>
      <c r="AI207">
        <f>IF(AD207&gt;0,SUM(AD207:AH207),0)</f>
        <v>62390</v>
      </c>
      <c r="AJ207">
        <f>_xlfn.XLOOKUP(B207,'[3]may-2025'!$A:$A,'[3]may-2025'!$H:$H,0,0)</f>
        <v>5000</v>
      </c>
      <c r="AK207">
        <f>_xlfn.XLOOKUP(B207,'[3]may-2025'!$A:$A,'[3]may-2025'!$I:$I,0,0)</f>
        <v>0</v>
      </c>
      <c r="AL207">
        <f>IF($F207="YES",0,IF(AI207&gt;40000,200,IF(AI207&gt;25000,150,IF(AI207&gt;15000,130,IF(AI207&gt;10000,110,0)))))</f>
        <v>200</v>
      </c>
      <c r="AM207">
        <f>AI207-AJ207-AK207-AL207</f>
        <v>57190</v>
      </c>
      <c r="AN207">
        <f>_xlfn.XLOOKUP(B207,'[4]june-2025'!$A:$A,'[4]june-2025'!$C:$C,0,0)</f>
        <v>47300</v>
      </c>
      <c r="AO207">
        <f>AN207*0.18</f>
        <v>8514</v>
      </c>
      <c r="AP207">
        <f>AN207*0.12</f>
        <v>5676</v>
      </c>
      <c r="AQ207">
        <f>_xlfn.XLOOKUP(B207,'[4]june-2025'!$A:$A,'[4]june-2025'!$D:$D,0,0)</f>
        <v>400</v>
      </c>
      <c r="AR207">
        <f>_xlfn.XLOOKUP(B207,'[4]june-2025'!$A:$A,'[4]june-2025'!$G:$G,0,0)</f>
        <v>500</v>
      </c>
      <c r="AS207">
        <f>IF(AN207&gt;0,SUM(AN207:AR207),0)</f>
        <v>62390</v>
      </c>
      <c r="AT207">
        <f>_xlfn.XLOOKUP(B207,'[4]june-2025'!$A:$A,'[4]june-2025'!$H:$H,0,0)</f>
        <v>5000</v>
      </c>
      <c r="AU207">
        <f>_xlfn.XLOOKUP(B207,'[4]june-2025'!$A:$A,'[4]june-2025'!$I:$I,0,0)</f>
        <v>0</v>
      </c>
      <c r="AV207">
        <f>IF($F207="YES",0,IF(AS207&gt;40000,200,IF(AS207&gt;25000,150,IF(AS207&gt;15000,130,IF(AS207&gt;10000,110,0)))))</f>
        <v>200</v>
      </c>
      <c r="AW207">
        <f>AS207-AT207-AU207-AV207</f>
        <v>57190</v>
      </c>
      <c r="AX207">
        <f>_xlfn.XLOOKUP(B207,'[5]july-2025'!$A:$A,'[5]july-2025'!$C:$C,0,0)</f>
        <v>48700</v>
      </c>
      <c r="AY207">
        <f>AX207*0.18</f>
        <v>8766</v>
      </c>
      <c r="AZ207">
        <v>0</v>
      </c>
      <c r="BA207">
        <f>AX207*0.12</f>
        <v>5844</v>
      </c>
      <c r="BB207">
        <f>_xlfn.XLOOKUP(B207,'[5]july-2025'!$A:$A,'[5]july-2025'!$D:$D,0,0)</f>
        <v>400</v>
      </c>
      <c r="BC207">
        <f>_xlfn.XLOOKUP(B207,'[5]july-2025'!$A:$A,'[5]july-2025'!$G:$G,0,0)</f>
        <v>500</v>
      </c>
      <c r="BD207">
        <f>IF(AX207&gt;0,SUM(AX207:BC207),0)</f>
        <v>64210</v>
      </c>
      <c r="BE207">
        <f>_xlfn.XLOOKUP(B207,'[5]july-2025'!$A:$A,'[5]july-2025'!$H:$H,0,0)</f>
        <v>5000</v>
      </c>
      <c r="BF207">
        <f>_xlfn.XLOOKUP(B207,'[5]july-2025'!$A:$A,'[5]july-2025'!$I:$I,0,0)</f>
        <v>0</v>
      </c>
      <c r="BG207">
        <f>IF($F207="YES",0,IF(BD207&gt;40000,200,IF(BD207&gt;25000,150,IF(BD207&gt;15000,130,IF(BD207&gt;10000,110,0)))))</f>
        <v>200</v>
      </c>
      <c r="BH207">
        <f>BD207-BE207-BF207-BG207</f>
        <v>59010</v>
      </c>
      <c r="BI207">
        <f>_xlfn.XLOOKUP(B207,'[6]august-2025'!$A:$A,'[6]august-2025'!$C:$C,0,0)</f>
        <v>48700</v>
      </c>
      <c r="BJ207">
        <f>BI207*0.18</f>
        <v>8766</v>
      </c>
      <c r="BK207">
        <f>BI207*0.12</f>
        <v>5844</v>
      </c>
      <c r="BL207">
        <f>_xlfn.XLOOKUP(B207,'[6]august-2025'!$A:$A,'[6]august-2025'!$D:$D,0,0)</f>
        <v>400</v>
      </c>
      <c r="BM207">
        <f>_xlfn.XLOOKUP(B207,'[6]august-2025'!$A:$A,'[6]august-2025'!$G:$G,0,0)</f>
        <v>500</v>
      </c>
      <c r="BN207">
        <f>IF(BI207&gt;0,SUM(BI207:BM207),0)</f>
        <v>64210</v>
      </c>
      <c r="BO207">
        <f>_xlfn.XLOOKUP(B207,'[6]august-2025'!$A:$A,'[6]august-2025'!$H:$H,0,0)</f>
        <v>5000</v>
      </c>
      <c r="BP207">
        <f>_xlfn.XLOOKUP(B207,'[6]august-2025'!$A:$A,'[6]august-2025'!$I:$I,0,0)</f>
        <v>0</v>
      </c>
      <c r="BQ207">
        <f>IF($F207="YES",0,IF(BN207&gt;40000,200,IF(BN207&gt;25000,150,IF(BN207&gt;15000,130,IF(BN207&gt;10000,110,0)))))</f>
        <v>200</v>
      </c>
      <c r="BR207">
        <f>BN207-BO207-BP207-BQ207</f>
        <v>59010</v>
      </c>
      <c r="BS207">
        <f>_xlfn.XLOOKUP(B207,'[7]september-2025'!$A:$A,'[7]september-2025'!$C:$C,0,0)</f>
        <v>48700</v>
      </c>
      <c r="BT207">
        <f>BS207*0.18</f>
        <v>8766</v>
      </c>
      <c r="BU207">
        <f>BS207*0.12</f>
        <v>5844</v>
      </c>
      <c r="BV207">
        <f>_xlfn.XLOOKUP(B207,'[7]september-2025'!$A:$A,'[7]september-2025'!$D:$D,0,0)</f>
        <v>400</v>
      </c>
      <c r="BW207">
        <f>_xlfn.XLOOKUP(B207,'[7]september-2025'!$A:$A,'[7]september-2025'!$G:$G,0,0)</f>
        <v>500</v>
      </c>
      <c r="BX207">
        <f>IF(BS207&gt;0,SUM(BS207:BW207),0)</f>
        <v>64210</v>
      </c>
      <c r="BY207">
        <f>_xlfn.XLOOKUP(B207,'[7]september-2025'!$A:$A,'[7]september-2025'!$H:$H,0,0)</f>
        <v>5000</v>
      </c>
      <c r="BZ207">
        <f>_xlfn.XLOOKUP(B207,'[7]september-2025'!$A:$A,'[7]september-2025'!$I:$I,0,0)</f>
        <v>0</v>
      </c>
      <c r="CA207">
        <f>IF($F207="YES",0,IF(BX207&gt;40000,200,IF(BX207&gt;25000,150,IF(BX207&gt;15000,130,IF(BX207&gt;10000,110,0)))))</f>
        <v>200</v>
      </c>
      <c r="CB207">
        <f>BX207-BY207-BZ207-CA207</f>
        <v>59010</v>
      </c>
      <c r="CC207">
        <f>_xlfn.XLOOKUP(B207,'[8]october-2025'!$A:$A,'[8]october-2025'!$C:$C,0,0)</f>
        <v>48700</v>
      </c>
      <c r="CD207">
        <f>CC207*0.18</f>
        <v>8766</v>
      </c>
      <c r="CE207">
        <f>CC207*0.12</f>
        <v>5844</v>
      </c>
      <c r="CF207">
        <f>_xlfn.XLOOKUP(B207,'[8]october-2025'!$A:$A,'[8]october-2025'!$D:$D,0,0)</f>
        <v>400</v>
      </c>
      <c r="CG207">
        <f>_xlfn.XLOOKUP(B207,'[8]october-2025'!$A:$A,'[8]october-2025'!$G:$G,0,0)</f>
        <v>500</v>
      </c>
      <c r="CH207">
        <f>IF(CC207&gt;0,SUM(CC207:CG207),0)</f>
        <v>64210</v>
      </c>
      <c r="CI207">
        <f>_xlfn.XLOOKUP(B207,'[8]october-2025'!$A:$A,'[8]october-2025'!$H:$H,0,0)</f>
        <v>5000</v>
      </c>
      <c r="CJ207">
        <f>_xlfn.XLOOKUP(B207,'[8]october-2025'!$A:$A,'[8]october-2025'!$I:$I,0,0)</f>
        <v>0</v>
      </c>
      <c r="CK207">
        <f>IF($F207="YES",0,IF(CH207&gt;40000,200,IF(CH207&gt;25000,150,IF(CH207&gt;15000,130,IF(CH207&gt;10000,110,0)))))</f>
        <v>200</v>
      </c>
      <c r="CL207">
        <f>CH207-CI207-CJ207-CK207</f>
        <v>59010</v>
      </c>
      <c r="CM207">
        <f>_xlfn.XLOOKUP(B207,'[9]november-2025'!$A:$A,'[9]november-2025'!$C:$C,0,0)</f>
        <v>48700</v>
      </c>
      <c r="CN207">
        <f>CM207*0.18</f>
        <v>8766</v>
      </c>
      <c r="CO207">
        <f>CM207*0.12</f>
        <v>5844</v>
      </c>
      <c r="CP207">
        <f>_xlfn.XLOOKUP(B207,'[9]november-2025'!$A:$A,'[9]november-2025'!$D:$D,0,0)</f>
        <v>400</v>
      </c>
      <c r="CQ207">
        <f>_xlfn.XLOOKUP(B207,'[9]november-2025'!$A:$A,'[9]november-2025'!$G:$G,0,0)</f>
        <v>500</v>
      </c>
      <c r="CR207">
        <f>IF(CM207&gt;0,SUM(CM207:CQ207),0)</f>
        <v>64210</v>
      </c>
      <c r="CS207">
        <f>_xlfn.XLOOKUP(B207,'[9]november-2025'!$A:$A,'[9]november-2025'!$H:$H,0,0)</f>
        <v>5000</v>
      </c>
      <c r="CT207">
        <f>_xlfn.XLOOKUP(B207,'[9]november-2025'!$A:$A,'[9]november-2025'!$I:$I,0,0)</f>
        <v>0</v>
      </c>
      <c r="CU207">
        <f>IF($F207="YES",0,IF(CR207&gt;40000,200,IF(CR207&gt;25000,150,IF(CR207&gt;15000,130,IF(CR207&gt;10000,110,0)))))</f>
        <v>200</v>
      </c>
      <c r="CV207">
        <f>CR207-CS207-CT207-CU207</f>
        <v>59010</v>
      </c>
      <c r="CW207">
        <f>_xlfn.XLOOKUP(B207,'[10]december-2025'!$A:$A,'[10]december-2025'!$C:$C,0,0)</f>
        <v>48700</v>
      </c>
      <c r="CX207">
        <f>ROUND(CW207*0.18,0)</f>
        <v>8766</v>
      </c>
      <c r="CY207">
        <f>ROUND(CW207*0.12,0)</f>
        <v>5844</v>
      </c>
      <c r="CZ207">
        <f>_xlfn.XLOOKUP(B207,'[10]december-2025'!$A:$A,'[10]december-2025'!$D:$D,0,0)</f>
        <v>400</v>
      </c>
      <c r="DA207">
        <f>_xlfn.XLOOKUP(B207,'[10]december-2025'!$A:$A,'[10]december-2025'!$G:$G,0,0)</f>
        <v>500</v>
      </c>
      <c r="DB207">
        <f>IF(CW207&gt;0,SUM(CW207:DA207),0)</f>
        <v>64210</v>
      </c>
      <c r="DC207">
        <f>_xlfn.XLOOKUP(B207,'[10]december-2025'!$A:$A,'[10]december-2025'!$H:$H,0,0)</f>
        <v>5000</v>
      </c>
      <c r="DD207">
        <f>_xlfn.XLOOKUP(B207,'[10]december-2025'!$A:$A,'[10]december-2025'!$I:$I,0,0)</f>
        <v>0</v>
      </c>
      <c r="DE207">
        <f>IF($F207="YES",0,IF(DB207&gt;40000,200,IF(DB207&gt;25000,150,IF(DB207&gt;15000,130,IF(DB207&gt;10000,110,0)))))</f>
        <v>200</v>
      </c>
      <c r="DF207">
        <f>DB207-DC207-DD207-DE207</f>
        <v>59010</v>
      </c>
      <c r="DG207">
        <f>_xlfn.XLOOKUP(B207,'[11]january-2026'!$A:$A,'[11]january-2026'!$C:$C,0,0)</f>
        <v>48700</v>
      </c>
      <c r="DH207">
        <f>DG207*0.18</f>
        <v>8766</v>
      </c>
      <c r="DI207">
        <f>DG207*0.12</f>
        <v>5844</v>
      </c>
      <c r="DJ207">
        <f>_xlfn.XLOOKUP(B207,'[11]january-2026'!$A:$A,'[11]january-2026'!$D:$D,0,0)</f>
        <v>400</v>
      </c>
      <c r="DK207">
        <f>_xlfn.XLOOKUP(B207,'[11]january-2026'!$A:$A,'[11]january-2026'!$G:$G,0,0)</f>
        <v>500</v>
      </c>
      <c r="DL207">
        <f>IF(DG207&gt;0,SUM(DG207:DK207),0)</f>
        <v>64210</v>
      </c>
      <c r="DM207">
        <f>_xlfn.XLOOKUP(B207,'[11]january-2026'!$A:$A,'[11]january-2026'!$H:$H,0,0)</f>
        <v>5000</v>
      </c>
      <c r="DN207">
        <f>_xlfn.XLOOKUP(B207,'[11]january-2026'!$A:$A,'[11]january-2026'!$I:$I,0,0)</f>
        <v>0</v>
      </c>
      <c r="DO207">
        <f>IF($F207="YES",0,IF(DL207&gt;40000,200,IF(DL207&gt;25000,150,IF(DL207&gt;15000,130,IF(DL207&gt;10000,110,0)))))</f>
        <v>200</v>
      </c>
      <c r="DP207">
        <f>DL207-DM207-DN207-DO207</f>
        <v>59010</v>
      </c>
      <c r="DQ207">
        <f>_xlfn.XLOOKUP(B207,'[12]february-2026'!$A:$A,'[12]february-2026'!$C:$C,0,0)</f>
        <v>48700</v>
      </c>
      <c r="DR207">
        <f>DQ207*0.18</f>
        <v>8766</v>
      </c>
      <c r="DS207">
        <f>DQ207*0.12</f>
        <v>5844</v>
      </c>
      <c r="DT207">
        <f>_xlfn.XLOOKUP(B207,'[12]february-2026'!$A:$A,'[12]february-2026'!$D:$D,0,0)</f>
        <v>400</v>
      </c>
      <c r="DU207">
        <f>_xlfn.XLOOKUP(B207,'[12]february-2026'!$A:$A,'[12]february-2026'!$G:$G,0,0)</f>
        <v>500</v>
      </c>
      <c r="DV207">
        <f>IF(DQ207&gt;0,SUM(DQ207:DU207),0)</f>
        <v>64210</v>
      </c>
      <c r="DW207">
        <f>_xlfn.XLOOKUP(B207,'[12]february-2026'!$A:$A,'[12]february-2026'!$H:$H,0,0)</f>
        <v>5000</v>
      </c>
      <c r="DX207">
        <f>_xlfn.XLOOKUP(B207,'[12]february-2026'!$A:$A,'[12]february-2026'!$I:$I,0,0)</f>
        <v>0</v>
      </c>
      <c r="DY207">
        <f>IF($F207="YES",0,IF(DV207&gt;40000,200,IF(DV207&gt;25000,150,IF(DV207&gt;15000,130,IF(DV207&gt;10000,110,0)))))</f>
        <v>200</v>
      </c>
      <c r="DZ207">
        <f>DV207-DW207-DX207-DY207</f>
        <v>59010</v>
      </c>
      <c r="EA207">
        <f>DV207+DL207+DB207+CR207+CH207+BX207+BN207+BD207+AS207+AI207+Y207+O207+H207+I207</f>
        <v>768148</v>
      </c>
      <c r="EB207">
        <f>DY207+DO207+DE207+CU207+CK207+CA207+BQ207+BG207+AV207+AL207+AB207+R207</f>
        <v>2400</v>
      </c>
      <c r="EC207">
        <f>IF(EA207&gt;0,50000,0)</f>
        <v>50000</v>
      </c>
      <c r="ED207">
        <v>0</v>
      </c>
      <c r="EE207">
        <f>EA207-EB207-EC207</f>
        <v>715748</v>
      </c>
      <c r="EF207">
        <f>DW207+DM207+DC207+CS207+CI207+BY207+BO207+BE207+AT207+AJ207+Z207+P207</f>
        <v>60000</v>
      </c>
      <c r="EG207">
        <f>DX207+DN207+DD207+CT207+CJ207+BZ207+BP207+BF207+AU207+AK207+AA207+Q207</f>
        <v>0</v>
      </c>
      <c r="EH207">
        <v>0</v>
      </c>
      <c r="EI207">
        <v>0</v>
      </c>
      <c r="EJ207">
        <v>0</v>
      </c>
      <c r="EK207">
        <v>0</v>
      </c>
      <c r="EL207">
        <v>0</v>
      </c>
      <c r="EM207">
        <v>0</v>
      </c>
      <c r="EN207">
        <v>0</v>
      </c>
      <c r="EO207">
        <v>0</v>
      </c>
      <c r="EP207">
        <v>0</v>
      </c>
      <c r="EQ207">
        <v>0</v>
      </c>
      <c r="ER207">
        <f>SUM(EF207:EQ207)</f>
        <v>60000</v>
      </c>
      <c r="ES207">
        <f>IF(ER207&gt;=150000,150000,ER207)</f>
        <v>60000</v>
      </c>
      <c r="ET207">
        <f>EE207-ES207</f>
        <v>655748</v>
      </c>
      <c r="EU207">
        <v>0</v>
      </c>
      <c r="EV207">
        <v>0</v>
      </c>
      <c r="EW207">
        <v>0</v>
      </c>
      <c r="EX207">
        <v>0</v>
      </c>
      <c r="EY207">
        <v>0</v>
      </c>
      <c r="EZ207">
        <v>0</v>
      </c>
      <c r="FA207">
        <v>0</v>
      </c>
      <c r="FB207">
        <f>SUM(EU207:FA207)+(IF(F207="YES",50000,0))</f>
        <v>0</v>
      </c>
      <c r="FC207">
        <f>ET207-FB207</f>
        <v>655748</v>
      </c>
      <c r="FD207">
        <f>ROUND(IF(FC207&gt;0,IF(FC207&gt;500000,12500,(FC207-250000)*0.05),0),0)</f>
        <v>12500</v>
      </c>
      <c r="FE207">
        <f>IF(ROUND(IF(FC207&gt;0,IF(FC207&gt;1000000,25000,(FC207-500000)*0.2),0),0)&lt;0,0,ROUND(IF(FC207&gt;0,IF(FC207&gt;1000000,25000,(FC207-500000)*0.2),0),0))</f>
        <v>31150</v>
      </c>
      <c r="FF207">
        <f>FD207+FE207</f>
        <v>43650</v>
      </c>
      <c r="FG207">
        <f>IF(FF207&lt;12500,0,FF207)</f>
        <v>43650</v>
      </c>
      <c r="FH207">
        <f>FG207*0.04</f>
        <v>1746</v>
      </c>
      <c r="FI207">
        <f>ROUND(FH207+FG207,0)</f>
        <v>45396</v>
      </c>
      <c r="FJ207">
        <v>0</v>
      </c>
      <c r="FK207">
        <f>FI207-FJ207</f>
        <v>45396</v>
      </c>
      <c r="FL207" t="b">
        <f>IF(EA207&gt;500000,TRUE,FALSE)</f>
        <v>1</v>
      </c>
      <c r="FM207">
        <f ca="1">IF(FL207,RANDBETWEEN(500,1000),RANDBETWEEN(1000,3000))</f>
        <v>711</v>
      </c>
      <c r="FN207">
        <f ca="1">EA207+FM207</f>
        <v>768859</v>
      </c>
      <c r="FO207">
        <f>IF(EA207&gt;0,75000,0)</f>
        <v>75000</v>
      </c>
      <c r="FP207">
        <f ca="1">FN207-FO207</f>
        <v>693859</v>
      </c>
      <c r="FQ207">
        <f ca="1">IF(FP207&gt;2400000,FP207-2400000,0)</f>
        <v>0</v>
      </c>
      <c r="FR207">
        <f ca="1">FQ207*0.3</f>
        <v>0</v>
      </c>
      <c r="FS207">
        <f ca="1">IF(FP207&gt;2000000,FP207-2000000,0)</f>
        <v>0</v>
      </c>
      <c r="FT207">
        <f ca="1">FS207*0.25</f>
        <v>0</v>
      </c>
      <c r="FU207">
        <f ca="1">IF(FP207&gt;1600000,FP207-1600000-FQ207,0)</f>
        <v>0</v>
      </c>
      <c r="FV207">
        <f ca="1">FU207*0.2</f>
        <v>0</v>
      </c>
      <c r="FW207">
        <f ca="1">IF(FP207&gt;1200000,FP207-1200000-IF(F207="YES",50000,0)-FU207,0)</f>
        <v>0</v>
      </c>
      <c r="FX207">
        <f ca="1">FW207*0.15</f>
        <v>0</v>
      </c>
      <c r="FY207">
        <f ca="1">IF(FP207&gt;800000,FP207-800000-FQ207-FU207-FW207,0)</f>
        <v>0</v>
      </c>
      <c r="FZ207">
        <f ca="1">FY207*0.1</f>
        <v>0</v>
      </c>
      <c r="GA207">
        <f ca="1">IF(FP207&gt;400000,FP207-400000-FQ207-FU207-FW207-FY207,0)</f>
        <v>293859</v>
      </c>
      <c r="GB207">
        <f ca="1">GA207*0.05</f>
        <v>14692.95</v>
      </c>
      <c r="GC207">
        <f ca="1">ROUND(FR207+FT207+FV207+FX207+FZ207+GB207,0)</f>
        <v>14693</v>
      </c>
      <c r="GD207">
        <f ca="1">IF(FP207&gt;1200000,FP207,0)</f>
        <v>0</v>
      </c>
      <c r="GE207">
        <f ca="1">IF(FP207&gt;1200000,GD207-1200000,0)</f>
        <v>0</v>
      </c>
      <c r="GF207">
        <f ca="1">IF(FP207&lt;1200001,MIN(GC207,60000),0)</f>
        <v>14693</v>
      </c>
      <c r="GG207">
        <f ca="1">IF(FP207&gt;1200000,GC207-GE207,0)</f>
        <v>0</v>
      </c>
      <c r="GH207" t="b">
        <f ca="1">IF(GG207&gt;0,TRUE,FALSE)</f>
        <v>0</v>
      </c>
      <c r="GI207">
        <f ca="1">IF(GH207,GG207,0)</f>
        <v>0</v>
      </c>
      <c r="GJ207">
        <f ca="1">GF207+GI207</f>
        <v>14693</v>
      </c>
      <c r="GK207">
        <f ca="1">ROUND(GC207-GJ207,0)</f>
        <v>0</v>
      </c>
      <c r="GL207">
        <f ca="1">GK207*0.04</f>
        <v>0</v>
      </c>
      <c r="GM207">
        <f ca="1">ROUNDUP(GK207+GL207,0)</f>
        <v>0</v>
      </c>
    </row>
    <row r="208" spans="1:195" x14ac:dyDescent="0.25">
      <c r="A208">
        <f>_xlfn.AGGREGATE(3,5,$B$2:B208)</f>
        <v>207</v>
      </c>
      <c r="B208" t="s">
        <v>525</v>
      </c>
      <c r="C208" t="s">
        <v>526</v>
      </c>
      <c r="D208" t="s">
        <v>805</v>
      </c>
      <c r="E208" t="s">
        <v>833</v>
      </c>
      <c r="F208" t="s">
        <v>959</v>
      </c>
      <c r="G208" t="s">
        <v>878</v>
      </c>
      <c r="H208">
        <f>IF(_xlfn.DAYS("31-03-2025",G208)&gt;=180,6800,0)</f>
        <v>6800</v>
      </c>
      <c r="I208">
        <f>_xlfn.XLOOKUP(B208,'[1]march-2025'!$A:$A,'[1]march-2025'!$J:$J,0,0)</f>
        <v>0</v>
      </c>
      <c r="J208">
        <f>_xlfn.XLOOKUP(B208,'[1]march-2025'!$A:$A,'[1]march-2025'!$C:$C,0,0)</f>
        <v>47300</v>
      </c>
      <c r="K208">
        <f>J208*0.14</f>
        <v>6622.0000000000009</v>
      </c>
      <c r="L208">
        <f>J208*0.12</f>
        <v>5676</v>
      </c>
      <c r="M208">
        <f>_xlfn.XLOOKUP(B208,'[1]march-2025'!$A:$A,'[1]march-2025'!$D:$D,0,0)</f>
        <v>0</v>
      </c>
      <c r="N208">
        <f>_xlfn.XLOOKUP(B208,'[1]march-2025'!$A:$A,'[1]march-2025'!$G:$G,0,0)</f>
        <v>500</v>
      </c>
      <c r="O208">
        <f>IF(J208&gt;0,SUM(J208:N208),0)</f>
        <v>60098</v>
      </c>
      <c r="P208">
        <f>_xlfn.XLOOKUP(B208,'[1]march-2025'!$A:$A,'[1]march-2025'!$H:$H,0,0)</f>
        <v>6000</v>
      </c>
      <c r="Q208">
        <f>_xlfn.XLOOKUP(B208,'[1]march-2025'!$A:$A,'[1]march-2025'!$I:$I,0,0)</f>
        <v>0</v>
      </c>
      <c r="R208">
        <f>IF($F208="YES",0,IF(O208&gt;40000,200,IF(O208&gt;25000,150,IF(O208&gt;15000,130,IF(O208&gt;10000,110,0)))))</f>
        <v>200</v>
      </c>
      <c r="S208">
        <f>O208-P208-Q208-R208</f>
        <v>53898</v>
      </c>
      <c r="T208">
        <f>_xlfn.XLOOKUP(B208,'[2]april-2025'!$A:$A,'[2]april-2025'!$C:$C,0,0)</f>
        <v>47300</v>
      </c>
      <c r="U208">
        <f>T208*0.18</f>
        <v>8514</v>
      </c>
      <c r="V208">
        <f>T208*0.12</f>
        <v>5676</v>
      </c>
      <c r="W208">
        <f>_xlfn.XLOOKUP(B208,'[2]april-2025'!$A:$A,'[2]april-2025'!$D:$D,0,0)</f>
        <v>0</v>
      </c>
      <c r="X208">
        <f>_xlfn.XLOOKUP(B208,'[2]april-2025'!$A:$A,'[2]april-2025'!$G:$G,0,0)</f>
        <v>500</v>
      </c>
      <c r="Y208">
        <f>IF(T208&gt;0,SUM(T208:X208),0)</f>
        <v>61990</v>
      </c>
      <c r="Z208">
        <f>_xlfn.XLOOKUP(B208,'[2]april-2025'!$A:$A,'[2]april-2025'!$H:$H,0,0)</f>
        <v>6000</v>
      </c>
      <c r="AA208">
        <f>_xlfn.XLOOKUP(B208,'[2]april-2025'!$A:$A,'[2]april-2025'!$I:$I,0,0)</f>
        <v>0</v>
      </c>
      <c r="AB208">
        <f>IF($F208="YES",0,IF(Y208&gt;40000,200,IF(Y208&gt;25000,150,IF(Y208&gt;15000,130,IF(Y208&gt;10000,110,0)))))</f>
        <v>200</v>
      </c>
      <c r="AC208">
        <f>Y208-Z208-AA208-AB208</f>
        <v>55790</v>
      </c>
      <c r="AD208">
        <f>_xlfn.XLOOKUP(B208,'[3]may-2025'!$A:$A,'[3]may-2025'!$C:$C,0,0)</f>
        <v>47300</v>
      </c>
      <c r="AE208">
        <f>AD208*0.18</f>
        <v>8514</v>
      </c>
      <c r="AF208">
        <f>AD208*0.12</f>
        <v>5676</v>
      </c>
      <c r="AG208">
        <f>_xlfn.XLOOKUP(B208,'[3]may-2025'!$A:$A,'[3]may-2025'!$D:$D,0,0)</f>
        <v>0</v>
      </c>
      <c r="AH208">
        <f>_xlfn.XLOOKUP(B208,'[3]may-2025'!$A:$A,'[3]may-2025'!$G:$G,0,0)</f>
        <v>500</v>
      </c>
      <c r="AI208">
        <f>IF(AD208&gt;0,SUM(AD208:AH208),0)</f>
        <v>61990</v>
      </c>
      <c r="AJ208">
        <f>_xlfn.XLOOKUP(B208,'[3]may-2025'!$A:$A,'[3]may-2025'!$H:$H,0,0)</f>
        <v>6000</v>
      </c>
      <c r="AK208">
        <f>_xlfn.XLOOKUP(B208,'[3]may-2025'!$A:$A,'[3]may-2025'!$I:$I,0,0)</f>
        <v>0</v>
      </c>
      <c r="AL208">
        <f>IF($F208="YES",0,IF(AI208&gt;40000,200,IF(AI208&gt;25000,150,IF(AI208&gt;15000,130,IF(AI208&gt;10000,110,0)))))</f>
        <v>200</v>
      </c>
      <c r="AM208">
        <f>AI208-AJ208-AK208-AL208</f>
        <v>55790</v>
      </c>
      <c r="AN208">
        <f>_xlfn.XLOOKUP(B208,'[4]june-2025'!$A:$A,'[4]june-2025'!$C:$C,0,0)</f>
        <v>47300</v>
      </c>
      <c r="AO208">
        <f>AN208*0.18</f>
        <v>8514</v>
      </c>
      <c r="AP208">
        <f>AN208*0.12</f>
        <v>5676</v>
      </c>
      <c r="AQ208">
        <f>_xlfn.XLOOKUP(B208,'[4]june-2025'!$A:$A,'[4]june-2025'!$D:$D,0,0)</f>
        <v>0</v>
      </c>
      <c r="AR208">
        <f>_xlfn.XLOOKUP(B208,'[4]june-2025'!$A:$A,'[4]june-2025'!$G:$G,0,0)</f>
        <v>500</v>
      </c>
      <c r="AS208">
        <f>IF(AN208&gt;0,SUM(AN208:AR208),0)</f>
        <v>61990</v>
      </c>
      <c r="AT208">
        <f>_xlfn.XLOOKUP(B208,'[4]june-2025'!$A:$A,'[4]june-2025'!$H:$H,0,0)</f>
        <v>6000</v>
      </c>
      <c r="AU208">
        <f>_xlfn.XLOOKUP(B208,'[4]june-2025'!$A:$A,'[4]june-2025'!$I:$I,0,0)</f>
        <v>0</v>
      </c>
      <c r="AV208">
        <f>IF($F208="YES",0,IF(AS208&gt;40000,200,IF(AS208&gt;25000,150,IF(AS208&gt;15000,130,IF(AS208&gt;10000,110,0)))))</f>
        <v>200</v>
      </c>
      <c r="AW208">
        <f>AS208-AT208-AU208-AV208</f>
        <v>55790</v>
      </c>
      <c r="AX208">
        <f>_xlfn.XLOOKUP(B208,'[5]july-2025'!$A:$A,'[5]july-2025'!$C:$C,0,0)</f>
        <v>48700</v>
      </c>
      <c r="AY208">
        <f>AX208*0.18</f>
        <v>8766</v>
      </c>
      <c r="AZ208">
        <v>0</v>
      </c>
      <c r="BA208">
        <f>AX208*0.12</f>
        <v>5844</v>
      </c>
      <c r="BB208">
        <f>_xlfn.XLOOKUP(B208,'[5]july-2025'!$A:$A,'[5]july-2025'!$D:$D,0,0)</f>
        <v>0</v>
      </c>
      <c r="BC208">
        <f>_xlfn.XLOOKUP(B208,'[5]july-2025'!$A:$A,'[5]july-2025'!$G:$G,0,0)</f>
        <v>500</v>
      </c>
      <c r="BD208">
        <f>IF(AX208&gt;0,SUM(AX208:BC208),0)</f>
        <v>63810</v>
      </c>
      <c r="BE208">
        <f>_xlfn.XLOOKUP(B208,'[5]july-2025'!$A:$A,'[5]july-2025'!$H:$H,0,0)</f>
        <v>6000</v>
      </c>
      <c r="BF208">
        <f>_xlfn.XLOOKUP(B208,'[5]july-2025'!$A:$A,'[5]july-2025'!$I:$I,0,0)</f>
        <v>0</v>
      </c>
      <c r="BG208">
        <f>IF($F208="YES",0,IF(BD208&gt;40000,200,IF(BD208&gt;25000,150,IF(BD208&gt;15000,130,IF(BD208&gt;10000,110,0)))))</f>
        <v>200</v>
      </c>
      <c r="BH208">
        <f>BD208-BE208-BF208-BG208</f>
        <v>57610</v>
      </c>
      <c r="BI208">
        <f>_xlfn.XLOOKUP(B208,'[6]august-2025'!$A:$A,'[6]august-2025'!$C:$C,0,0)</f>
        <v>48700</v>
      </c>
      <c r="BJ208">
        <f>BI208*0.18</f>
        <v>8766</v>
      </c>
      <c r="BK208">
        <f>BI208*0.12</f>
        <v>5844</v>
      </c>
      <c r="BL208">
        <f>_xlfn.XLOOKUP(B208,'[6]august-2025'!$A:$A,'[6]august-2025'!$D:$D,0,0)</f>
        <v>0</v>
      </c>
      <c r="BM208">
        <f>_xlfn.XLOOKUP(B208,'[6]august-2025'!$A:$A,'[6]august-2025'!$G:$G,0,0)</f>
        <v>500</v>
      </c>
      <c r="BN208">
        <f>IF(BI208&gt;0,SUM(BI208:BM208),0)</f>
        <v>63810</v>
      </c>
      <c r="BO208">
        <f>_xlfn.XLOOKUP(B208,'[6]august-2025'!$A:$A,'[6]august-2025'!$H:$H,0,0)</f>
        <v>6000</v>
      </c>
      <c r="BP208">
        <f>_xlfn.XLOOKUP(B208,'[6]august-2025'!$A:$A,'[6]august-2025'!$I:$I,0,0)</f>
        <v>0</v>
      </c>
      <c r="BQ208">
        <f>IF($F208="YES",0,IF(BN208&gt;40000,200,IF(BN208&gt;25000,150,IF(BN208&gt;15000,130,IF(BN208&gt;10000,110,0)))))</f>
        <v>200</v>
      </c>
      <c r="BR208">
        <f>BN208-BO208-BP208-BQ208</f>
        <v>57610</v>
      </c>
      <c r="BS208">
        <f>_xlfn.XLOOKUP(B208,'[7]september-2025'!$A:$A,'[7]september-2025'!$C:$C,0,0)</f>
        <v>48700</v>
      </c>
      <c r="BT208">
        <f>BS208*0.18</f>
        <v>8766</v>
      </c>
      <c r="BU208">
        <f>BS208*0.12</f>
        <v>5844</v>
      </c>
      <c r="BV208">
        <f>_xlfn.XLOOKUP(B208,'[7]september-2025'!$A:$A,'[7]september-2025'!$D:$D,0,0)</f>
        <v>0</v>
      </c>
      <c r="BW208">
        <f>_xlfn.XLOOKUP(B208,'[7]september-2025'!$A:$A,'[7]september-2025'!$G:$G,0,0)</f>
        <v>500</v>
      </c>
      <c r="BX208">
        <f>IF(BS208&gt;0,SUM(BS208:BW208),0)</f>
        <v>63810</v>
      </c>
      <c r="BY208">
        <f>_xlfn.XLOOKUP(B208,'[7]september-2025'!$A:$A,'[7]september-2025'!$H:$H,0,0)</f>
        <v>6000</v>
      </c>
      <c r="BZ208">
        <f>_xlfn.XLOOKUP(B208,'[7]september-2025'!$A:$A,'[7]september-2025'!$I:$I,0,0)</f>
        <v>0</v>
      </c>
      <c r="CA208">
        <f>IF($F208="YES",0,IF(BX208&gt;40000,200,IF(BX208&gt;25000,150,IF(BX208&gt;15000,130,IF(BX208&gt;10000,110,0)))))</f>
        <v>200</v>
      </c>
      <c r="CB208">
        <f>BX208-BY208-BZ208-CA208</f>
        <v>57610</v>
      </c>
      <c r="CC208">
        <f>_xlfn.XLOOKUP(B208,'[8]october-2025'!$A:$A,'[8]october-2025'!$C:$C,0,0)</f>
        <v>48700</v>
      </c>
      <c r="CD208">
        <f>CC208*0.18</f>
        <v>8766</v>
      </c>
      <c r="CE208">
        <f>CC208*0.12</f>
        <v>5844</v>
      </c>
      <c r="CF208">
        <f>_xlfn.XLOOKUP(B208,'[8]october-2025'!$A:$A,'[8]october-2025'!$D:$D,0,0)</f>
        <v>0</v>
      </c>
      <c r="CG208">
        <f>_xlfn.XLOOKUP(B208,'[8]october-2025'!$A:$A,'[8]october-2025'!$G:$G,0,0)</f>
        <v>500</v>
      </c>
      <c r="CH208">
        <f>IF(CC208&gt;0,SUM(CC208:CG208),0)</f>
        <v>63810</v>
      </c>
      <c r="CI208">
        <f>_xlfn.XLOOKUP(B208,'[8]october-2025'!$A:$A,'[8]october-2025'!$H:$H,0,0)</f>
        <v>6000</v>
      </c>
      <c r="CJ208">
        <f>_xlfn.XLOOKUP(B208,'[8]october-2025'!$A:$A,'[8]october-2025'!$I:$I,0,0)</f>
        <v>0</v>
      </c>
      <c r="CK208">
        <f>IF($F208="YES",0,IF(CH208&gt;40000,200,IF(CH208&gt;25000,150,IF(CH208&gt;15000,130,IF(CH208&gt;10000,110,0)))))</f>
        <v>200</v>
      </c>
      <c r="CL208">
        <f>CH208-CI208-CJ208-CK208</f>
        <v>57610</v>
      </c>
      <c r="CM208">
        <f>_xlfn.XLOOKUP(B208,'[9]november-2025'!$A:$A,'[9]november-2025'!$C:$C,0,0)</f>
        <v>48700</v>
      </c>
      <c r="CN208">
        <f>CM208*0.18</f>
        <v>8766</v>
      </c>
      <c r="CO208">
        <f>CM208*0.12</f>
        <v>5844</v>
      </c>
      <c r="CP208">
        <f>_xlfn.XLOOKUP(B208,'[9]november-2025'!$A:$A,'[9]november-2025'!$D:$D,0,0)</f>
        <v>0</v>
      </c>
      <c r="CQ208">
        <f>_xlfn.XLOOKUP(B208,'[9]november-2025'!$A:$A,'[9]november-2025'!$G:$G,0,0)</f>
        <v>500</v>
      </c>
      <c r="CR208">
        <f>IF(CM208&gt;0,SUM(CM208:CQ208),0)</f>
        <v>63810</v>
      </c>
      <c r="CS208">
        <f>_xlfn.XLOOKUP(B208,'[9]november-2025'!$A:$A,'[9]november-2025'!$H:$H,0,0)</f>
        <v>6000</v>
      </c>
      <c r="CT208">
        <f>_xlfn.XLOOKUP(B208,'[9]november-2025'!$A:$A,'[9]november-2025'!$I:$I,0,0)</f>
        <v>0</v>
      </c>
      <c r="CU208">
        <f>IF($F208="YES",0,IF(CR208&gt;40000,200,IF(CR208&gt;25000,150,IF(CR208&gt;15000,130,IF(CR208&gt;10000,110,0)))))</f>
        <v>200</v>
      </c>
      <c r="CV208">
        <f>CR208-CS208-CT208-CU208</f>
        <v>57610</v>
      </c>
      <c r="CW208">
        <f>_xlfn.XLOOKUP(B208,'[10]december-2025'!$A:$A,'[10]december-2025'!$C:$C,0,0)</f>
        <v>48700</v>
      </c>
      <c r="CX208">
        <f>ROUND(CW208*0.18,0)</f>
        <v>8766</v>
      </c>
      <c r="CY208">
        <f>ROUND(CW208*0.12,0)</f>
        <v>5844</v>
      </c>
      <c r="CZ208">
        <f>_xlfn.XLOOKUP(B208,'[10]december-2025'!$A:$A,'[10]december-2025'!$D:$D,0,0)</f>
        <v>0</v>
      </c>
      <c r="DA208">
        <f>_xlfn.XLOOKUP(B208,'[10]december-2025'!$A:$A,'[10]december-2025'!$G:$G,0,0)</f>
        <v>500</v>
      </c>
      <c r="DB208">
        <f>IF(CW208&gt;0,SUM(CW208:DA208),0)</f>
        <v>63810</v>
      </c>
      <c r="DC208">
        <f>_xlfn.XLOOKUP(B208,'[10]december-2025'!$A:$A,'[10]december-2025'!$H:$H,0,0)</f>
        <v>6000</v>
      </c>
      <c r="DD208">
        <f>_xlfn.XLOOKUP(B208,'[10]december-2025'!$A:$A,'[10]december-2025'!$I:$I,0,0)</f>
        <v>0</v>
      </c>
      <c r="DE208">
        <f>IF($F208="YES",0,IF(DB208&gt;40000,200,IF(DB208&gt;25000,150,IF(DB208&gt;15000,130,IF(DB208&gt;10000,110,0)))))</f>
        <v>200</v>
      </c>
      <c r="DF208">
        <f>DB208-DC208-DD208-DE208</f>
        <v>57610</v>
      </c>
      <c r="DG208">
        <f>_xlfn.XLOOKUP(B208,'[11]january-2026'!$A:$A,'[11]january-2026'!$C:$C,0,0)</f>
        <v>48700</v>
      </c>
      <c r="DH208">
        <f>DG208*0.18</f>
        <v>8766</v>
      </c>
      <c r="DI208">
        <f>DG208*0.12</f>
        <v>5844</v>
      </c>
      <c r="DJ208">
        <f>_xlfn.XLOOKUP(B208,'[11]january-2026'!$A:$A,'[11]january-2026'!$D:$D,0,0)</f>
        <v>0</v>
      </c>
      <c r="DK208">
        <f>_xlfn.XLOOKUP(B208,'[11]january-2026'!$A:$A,'[11]january-2026'!$G:$G,0,0)</f>
        <v>500</v>
      </c>
      <c r="DL208">
        <f>IF(DG208&gt;0,SUM(DG208:DK208),0)</f>
        <v>63810</v>
      </c>
      <c r="DM208">
        <f>_xlfn.XLOOKUP(B208,'[11]january-2026'!$A:$A,'[11]january-2026'!$H:$H,0,0)</f>
        <v>6000</v>
      </c>
      <c r="DN208">
        <f>_xlfn.XLOOKUP(B208,'[11]january-2026'!$A:$A,'[11]january-2026'!$I:$I,0,0)</f>
        <v>0</v>
      </c>
      <c r="DO208">
        <f>IF($F208="YES",0,IF(DL208&gt;40000,200,IF(DL208&gt;25000,150,IF(DL208&gt;15000,130,IF(DL208&gt;10000,110,0)))))</f>
        <v>200</v>
      </c>
      <c r="DP208">
        <f>DL208-DM208-DN208-DO208</f>
        <v>57610</v>
      </c>
      <c r="DQ208">
        <f>_xlfn.XLOOKUP(B208,'[12]february-2026'!$A:$A,'[12]february-2026'!$C:$C,0,0)</f>
        <v>48700</v>
      </c>
      <c r="DR208">
        <f>DQ208*0.18</f>
        <v>8766</v>
      </c>
      <c r="DS208">
        <f>DQ208*0.12</f>
        <v>5844</v>
      </c>
      <c r="DT208">
        <f>_xlfn.XLOOKUP(B208,'[12]february-2026'!$A:$A,'[12]february-2026'!$D:$D,0,0)</f>
        <v>0</v>
      </c>
      <c r="DU208">
        <f>_xlfn.XLOOKUP(B208,'[12]february-2026'!$A:$A,'[12]february-2026'!$G:$G,0,0)</f>
        <v>500</v>
      </c>
      <c r="DV208">
        <f>IF(DQ208&gt;0,SUM(DQ208:DU208),0)</f>
        <v>63810</v>
      </c>
      <c r="DW208">
        <f>_xlfn.XLOOKUP(B208,'[12]february-2026'!$A:$A,'[12]february-2026'!$H:$H,0,0)</f>
        <v>6000</v>
      </c>
      <c r="DX208">
        <f>_xlfn.XLOOKUP(B208,'[12]february-2026'!$A:$A,'[12]february-2026'!$I:$I,0,0)</f>
        <v>0</v>
      </c>
      <c r="DY208">
        <f>IF($F208="YES",0,IF(DV208&gt;40000,200,IF(DV208&gt;25000,150,IF(DV208&gt;15000,130,IF(DV208&gt;10000,110,0)))))</f>
        <v>200</v>
      </c>
      <c r="DZ208">
        <f>DV208-DW208-DX208-DY208</f>
        <v>57610</v>
      </c>
      <c r="EA208">
        <f>DV208+DL208+DB208+CR208+CH208+BX208+BN208+BD208+AS208+AI208+Y208+O208+H208+I208</f>
        <v>763348</v>
      </c>
      <c r="EB208">
        <f>DY208+DO208+DE208+CU208+CK208+CA208+BQ208+BG208+AV208+AL208+AB208+R208</f>
        <v>2400</v>
      </c>
      <c r="EC208">
        <f>IF(EA208&gt;0,50000,0)</f>
        <v>50000</v>
      </c>
      <c r="ED208">
        <v>0</v>
      </c>
      <c r="EE208">
        <f>EA208-EB208-EC208</f>
        <v>710948</v>
      </c>
      <c r="EF208">
        <f>DW208+DM208+DC208+CS208+CI208+BY208+BO208+BE208+AT208+AJ208+Z208+P208</f>
        <v>72000</v>
      </c>
      <c r="EG208">
        <f>DX208+DN208+DD208+CT208+CJ208+BZ208+BP208+BF208+AU208+AK208+AA208+Q208</f>
        <v>0</v>
      </c>
      <c r="EH208">
        <v>0</v>
      </c>
      <c r="EI208">
        <v>0</v>
      </c>
      <c r="EJ208">
        <v>0</v>
      </c>
      <c r="EK208">
        <v>0</v>
      </c>
      <c r="EL208">
        <v>0</v>
      </c>
      <c r="EM208">
        <v>0</v>
      </c>
      <c r="EN208">
        <v>0</v>
      </c>
      <c r="EO208">
        <v>0</v>
      </c>
      <c r="EP208">
        <v>0</v>
      </c>
      <c r="EQ208">
        <v>0</v>
      </c>
      <c r="ER208">
        <f>SUM(EF208:EQ208)</f>
        <v>72000</v>
      </c>
      <c r="ES208">
        <f>IF(ER208&gt;=150000,150000,ER208)</f>
        <v>72000</v>
      </c>
      <c r="ET208">
        <f>EE208-ES208</f>
        <v>638948</v>
      </c>
      <c r="EU208">
        <v>0</v>
      </c>
      <c r="EV208">
        <v>0</v>
      </c>
      <c r="EW208">
        <v>0</v>
      </c>
      <c r="EX208">
        <v>0</v>
      </c>
      <c r="EY208">
        <v>0</v>
      </c>
      <c r="EZ208">
        <v>0</v>
      </c>
      <c r="FA208">
        <v>0</v>
      </c>
      <c r="FB208">
        <f>SUM(EU208:FA208)+(IF(F208="YES",50000,0))</f>
        <v>0</v>
      </c>
      <c r="FC208">
        <f>ET208-FB208</f>
        <v>638948</v>
      </c>
      <c r="FD208">
        <f>ROUND(IF(FC208&gt;0,IF(FC208&gt;500000,12500,(FC208-250000)*0.05),0),0)</f>
        <v>12500</v>
      </c>
      <c r="FE208">
        <f>IF(ROUND(IF(FC208&gt;0,IF(FC208&gt;1000000,25000,(FC208-500000)*0.2),0),0)&lt;0,0,ROUND(IF(FC208&gt;0,IF(FC208&gt;1000000,25000,(FC208-500000)*0.2),0),0))</f>
        <v>27790</v>
      </c>
      <c r="FF208">
        <f>FD208+FE208</f>
        <v>40290</v>
      </c>
      <c r="FG208">
        <f>IF(FF208&lt;12500,0,FF208)</f>
        <v>40290</v>
      </c>
      <c r="FH208">
        <f>FG208*0.04</f>
        <v>1611.6000000000001</v>
      </c>
      <c r="FI208">
        <f>ROUND(FH208+FG208,0)</f>
        <v>41902</v>
      </c>
      <c r="FJ208">
        <v>0</v>
      </c>
      <c r="FK208">
        <f>FI208-FJ208</f>
        <v>41902</v>
      </c>
      <c r="FL208" t="b">
        <f>IF(EA208&gt;500000,TRUE,FALSE)</f>
        <v>1</v>
      </c>
      <c r="FM208">
        <f ca="1">IF(FL208,RANDBETWEEN(500,1000),RANDBETWEEN(1000,3000))</f>
        <v>607</v>
      </c>
      <c r="FN208">
        <f ca="1">EA208+FM208</f>
        <v>763955</v>
      </c>
      <c r="FO208">
        <f>IF(EA208&gt;0,75000,0)</f>
        <v>75000</v>
      </c>
      <c r="FP208">
        <f ca="1">FN208-FO208</f>
        <v>688955</v>
      </c>
      <c r="FQ208">
        <f ca="1">IF(FP208&gt;2400000,FP208-2400000,0)</f>
        <v>0</v>
      </c>
      <c r="FR208">
        <f ca="1">FQ208*0.3</f>
        <v>0</v>
      </c>
      <c r="FS208">
        <f ca="1">IF(FP208&gt;2000000,FP208-2000000,0)</f>
        <v>0</v>
      </c>
      <c r="FT208">
        <f ca="1">FS208*0.25</f>
        <v>0</v>
      </c>
      <c r="FU208">
        <f ca="1">IF(FP208&gt;1600000,FP208-1600000-FQ208,0)</f>
        <v>0</v>
      </c>
      <c r="FV208">
        <f ca="1">FU208*0.2</f>
        <v>0</v>
      </c>
      <c r="FW208">
        <f ca="1">IF(FP208&gt;1200000,FP208-1200000-IF(F208="YES",50000,0)-FU208,0)</f>
        <v>0</v>
      </c>
      <c r="FX208">
        <f ca="1">FW208*0.15</f>
        <v>0</v>
      </c>
      <c r="FY208">
        <f ca="1">IF(FP208&gt;800000,FP208-800000-FQ208-FU208-FW208,0)</f>
        <v>0</v>
      </c>
      <c r="FZ208">
        <f ca="1">FY208*0.1</f>
        <v>0</v>
      </c>
      <c r="GA208">
        <f ca="1">IF(FP208&gt;400000,FP208-400000-FQ208-FU208-FW208-FY208,0)</f>
        <v>288955</v>
      </c>
      <c r="GB208">
        <f ca="1">GA208*0.05</f>
        <v>14447.75</v>
      </c>
      <c r="GC208">
        <f ca="1">ROUND(FR208+FT208+FV208+FX208+FZ208+GB208,0)</f>
        <v>14448</v>
      </c>
      <c r="GD208">
        <f ca="1">IF(FP208&gt;1200000,FP208,0)</f>
        <v>0</v>
      </c>
      <c r="GE208">
        <f ca="1">IF(FP208&gt;1200000,GD208-1200000,0)</f>
        <v>0</v>
      </c>
      <c r="GF208">
        <f ca="1">IF(FP208&lt;1200001,MIN(GC208,60000),0)</f>
        <v>14448</v>
      </c>
      <c r="GG208">
        <f ca="1">IF(FP208&gt;1200000,GC208-GE208,0)</f>
        <v>0</v>
      </c>
      <c r="GH208" t="b">
        <f ca="1">IF(GG208&gt;0,TRUE,FALSE)</f>
        <v>0</v>
      </c>
      <c r="GI208">
        <f ca="1">IF(GH208,GG208,0)</f>
        <v>0</v>
      </c>
      <c r="GJ208">
        <f ca="1">GF208+GI208</f>
        <v>14448</v>
      </c>
      <c r="GK208">
        <f ca="1">ROUND(GC208-GJ208,0)</f>
        <v>0</v>
      </c>
      <c r="GL208">
        <f ca="1">GK208*0.04</f>
        <v>0</v>
      </c>
      <c r="GM208">
        <f ca="1">ROUNDUP(GK208+GL208,0)</f>
        <v>0</v>
      </c>
    </row>
    <row r="209" spans="1:195" x14ac:dyDescent="0.25">
      <c r="A209">
        <f>_xlfn.AGGREGATE(3,5,$B$2:B209)</f>
        <v>208</v>
      </c>
      <c r="B209" t="s">
        <v>527</v>
      </c>
      <c r="C209" t="s">
        <v>528</v>
      </c>
      <c r="D209" t="s">
        <v>805</v>
      </c>
      <c r="E209" t="s">
        <v>833</v>
      </c>
      <c r="F209" t="s">
        <v>959</v>
      </c>
      <c r="G209" t="s">
        <v>881</v>
      </c>
      <c r="H209">
        <f>IF(_xlfn.DAYS("31-03-2025",G209)&gt;=180,6800,0)</f>
        <v>6800</v>
      </c>
      <c r="I209">
        <f>_xlfn.XLOOKUP(B209,'[1]march-2025'!$A:$A,'[1]march-2025'!$J:$J,0,0)</f>
        <v>0</v>
      </c>
      <c r="J209">
        <f>_xlfn.XLOOKUP(B209,'[1]march-2025'!$A:$A,'[1]march-2025'!$C:$C,0,0)</f>
        <v>31600</v>
      </c>
      <c r="K209">
        <f>J209*0.14</f>
        <v>4424</v>
      </c>
      <c r="L209">
        <f>J209*0.12</f>
        <v>3792</v>
      </c>
      <c r="M209">
        <f>_xlfn.XLOOKUP(B209,'[1]march-2025'!$A:$A,'[1]march-2025'!$D:$D,0,0)</f>
        <v>0</v>
      </c>
      <c r="N209">
        <f>_xlfn.XLOOKUP(B209,'[1]march-2025'!$A:$A,'[1]march-2025'!$G:$G,0,0)</f>
        <v>500</v>
      </c>
      <c r="O209">
        <f>IF(J209&gt;0,SUM(J209:N209),0)</f>
        <v>40316</v>
      </c>
      <c r="P209">
        <f>_xlfn.XLOOKUP(B209,'[1]march-2025'!$A:$A,'[1]march-2025'!$H:$H,0,0)</f>
        <v>2000</v>
      </c>
      <c r="Q209">
        <f>_xlfn.XLOOKUP(B209,'[1]march-2025'!$A:$A,'[1]march-2025'!$I:$I,0,0)</f>
        <v>0</v>
      </c>
      <c r="R209">
        <f>IF($F209="YES",0,IF(O209&gt;40000,200,IF(O209&gt;25000,150,IF(O209&gt;15000,130,IF(O209&gt;10000,110,0)))))</f>
        <v>200</v>
      </c>
      <c r="S209">
        <f>O209-P209-Q209-R209</f>
        <v>38116</v>
      </c>
      <c r="T209">
        <f>_xlfn.XLOOKUP(B209,'[2]april-2025'!$A:$A,'[2]april-2025'!$C:$C,0,0)</f>
        <v>31600</v>
      </c>
      <c r="U209">
        <f>T209*0.18</f>
        <v>5688</v>
      </c>
      <c r="V209">
        <f>T209*0.12</f>
        <v>3792</v>
      </c>
      <c r="W209">
        <f>_xlfn.XLOOKUP(B209,'[2]april-2025'!$A:$A,'[2]april-2025'!$D:$D,0,0)</f>
        <v>0</v>
      </c>
      <c r="X209">
        <f>_xlfn.XLOOKUP(B209,'[2]april-2025'!$A:$A,'[2]april-2025'!$G:$G,0,0)</f>
        <v>500</v>
      </c>
      <c r="Y209">
        <f>IF(T209&gt;0,SUM(T209:X209),0)</f>
        <v>41580</v>
      </c>
      <c r="Z209">
        <f>_xlfn.XLOOKUP(B209,'[2]april-2025'!$A:$A,'[2]april-2025'!$H:$H,0,0)</f>
        <v>2000</v>
      </c>
      <c r="AA209">
        <f>_xlfn.XLOOKUP(B209,'[2]april-2025'!$A:$A,'[2]april-2025'!$I:$I,0,0)</f>
        <v>0</v>
      </c>
      <c r="AB209">
        <f>IF($F209="YES",0,IF(Y209&gt;40000,200,IF(Y209&gt;25000,150,IF(Y209&gt;15000,130,IF(Y209&gt;10000,110,0)))))</f>
        <v>200</v>
      </c>
      <c r="AC209">
        <f>Y209-Z209-AA209-AB209</f>
        <v>39380</v>
      </c>
      <c r="AD209">
        <f>_xlfn.XLOOKUP(B209,'[3]may-2025'!$A:$A,'[3]may-2025'!$C:$C,0,0)</f>
        <v>31600</v>
      </c>
      <c r="AE209">
        <f>AD209*0.18</f>
        <v>5688</v>
      </c>
      <c r="AF209">
        <f>AD209*0.12</f>
        <v>3792</v>
      </c>
      <c r="AG209">
        <f>_xlfn.XLOOKUP(B209,'[3]may-2025'!$A:$A,'[3]may-2025'!$D:$D,0,0)</f>
        <v>0</v>
      </c>
      <c r="AH209">
        <f>_xlfn.XLOOKUP(B209,'[3]may-2025'!$A:$A,'[3]may-2025'!$G:$G,0,0)</f>
        <v>500</v>
      </c>
      <c r="AI209">
        <f>IF(AD209&gt;0,SUM(AD209:AH209),0)</f>
        <v>41580</v>
      </c>
      <c r="AJ209">
        <f>_xlfn.XLOOKUP(B209,'[3]may-2025'!$A:$A,'[3]may-2025'!$H:$H,0,0)</f>
        <v>2000</v>
      </c>
      <c r="AK209">
        <f>_xlfn.XLOOKUP(B209,'[3]may-2025'!$A:$A,'[3]may-2025'!$I:$I,0,0)</f>
        <v>0</v>
      </c>
      <c r="AL209">
        <f>IF($F209="YES",0,IF(AI209&gt;40000,200,IF(AI209&gt;25000,150,IF(AI209&gt;15000,130,IF(AI209&gt;10000,110,0)))))</f>
        <v>200</v>
      </c>
      <c r="AM209">
        <f>AI209-AJ209-AK209-AL209</f>
        <v>39380</v>
      </c>
      <c r="AN209">
        <f>_xlfn.XLOOKUP(B209,'[4]june-2025'!$A:$A,'[4]june-2025'!$C:$C,0,0)</f>
        <v>31600</v>
      </c>
      <c r="AO209">
        <f>AN209*0.18</f>
        <v>5688</v>
      </c>
      <c r="AP209">
        <f>AN209*0.12</f>
        <v>3792</v>
      </c>
      <c r="AQ209">
        <f>_xlfn.XLOOKUP(B209,'[4]june-2025'!$A:$A,'[4]june-2025'!$D:$D,0,0)</f>
        <v>0</v>
      </c>
      <c r="AR209">
        <f>_xlfn.XLOOKUP(B209,'[4]june-2025'!$A:$A,'[4]june-2025'!$G:$G,0,0)</f>
        <v>500</v>
      </c>
      <c r="AS209">
        <f>IF(AN209&gt;0,SUM(AN209:AR209),0)</f>
        <v>41580</v>
      </c>
      <c r="AT209">
        <f>_xlfn.XLOOKUP(B209,'[4]june-2025'!$A:$A,'[4]june-2025'!$H:$H,0,0)</f>
        <v>2000</v>
      </c>
      <c r="AU209">
        <f>_xlfn.XLOOKUP(B209,'[4]june-2025'!$A:$A,'[4]june-2025'!$I:$I,0,0)</f>
        <v>0</v>
      </c>
      <c r="AV209">
        <f>IF($F209="YES",0,IF(AS209&gt;40000,200,IF(AS209&gt;25000,150,IF(AS209&gt;15000,130,IF(AS209&gt;10000,110,0)))))</f>
        <v>200</v>
      </c>
      <c r="AW209">
        <f>AS209-AT209-AU209-AV209</f>
        <v>39380</v>
      </c>
      <c r="AX209">
        <f>_xlfn.XLOOKUP(B209,'[5]july-2025'!$A:$A,'[5]july-2025'!$C:$C,0,0)</f>
        <v>32500</v>
      </c>
      <c r="AY209">
        <f>AX209*0.18</f>
        <v>5850</v>
      </c>
      <c r="AZ209">
        <v>0</v>
      </c>
      <c r="BA209">
        <f>AX209*0.12</f>
        <v>3900</v>
      </c>
      <c r="BB209">
        <f>_xlfn.XLOOKUP(B209,'[5]july-2025'!$A:$A,'[5]july-2025'!$D:$D,0,0)</f>
        <v>0</v>
      </c>
      <c r="BC209">
        <f>_xlfn.XLOOKUP(B209,'[5]july-2025'!$A:$A,'[5]july-2025'!$G:$G,0,0)</f>
        <v>500</v>
      </c>
      <c r="BD209">
        <f>IF(AX209&gt;0,SUM(AX209:BC209),0)</f>
        <v>42750</v>
      </c>
      <c r="BE209">
        <f>_xlfn.XLOOKUP(B209,'[5]july-2025'!$A:$A,'[5]july-2025'!$H:$H,0,0)</f>
        <v>2000</v>
      </c>
      <c r="BF209">
        <f>_xlfn.XLOOKUP(B209,'[5]july-2025'!$A:$A,'[5]july-2025'!$I:$I,0,0)</f>
        <v>0</v>
      </c>
      <c r="BG209">
        <f>IF($F209="YES",0,IF(BD209&gt;40000,200,IF(BD209&gt;25000,150,IF(BD209&gt;15000,130,IF(BD209&gt;10000,110,0)))))</f>
        <v>200</v>
      </c>
      <c r="BH209">
        <f>BD209-BE209-BF209-BG209</f>
        <v>40550</v>
      </c>
      <c r="BI209">
        <f>_xlfn.XLOOKUP(B209,'[6]august-2025'!$A:$A,'[6]august-2025'!$C:$C,0,0)</f>
        <v>32500</v>
      </c>
      <c r="BJ209">
        <f>BI209*0.18</f>
        <v>5850</v>
      </c>
      <c r="BK209">
        <f>BI209*0.12</f>
        <v>3900</v>
      </c>
      <c r="BL209">
        <f>_xlfn.XLOOKUP(B209,'[6]august-2025'!$A:$A,'[6]august-2025'!$D:$D,0,0)</f>
        <v>0</v>
      </c>
      <c r="BM209">
        <f>_xlfn.XLOOKUP(B209,'[6]august-2025'!$A:$A,'[6]august-2025'!$G:$G,0,0)</f>
        <v>500</v>
      </c>
      <c r="BN209">
        <f>IF(BI209&gt;0,SUM(BI209:BM209),0)</f>
        <v>42750</v>
      </c>
      <c r="BO209">
        <f>_xlfn.XLOOKUP(B209,'[6]august-2025'!$A:$A,'[6]august-2025'!$H:$H,0,0)</f>
        <v>2000</v>
      </c>
      <c r="BP209">
        <f>_xlfn.XLOOKUP(B209,'[6]august-2025'!$A:$A,'[6]august-2025'!$I:$I,0,0)</f>
        <v>0</v>
      </c>
      <c r="BQ209">
        <f>IF($F209="YES",0,IF(BN209&gt;40000,200,IF(BN209&gt;25000,150,IF(BN209&gt;15000,130,IF(BN209&gt;10000,110,0)))))</f>
        <v>200</v>
      </c>
      <c r="BR209">
        <f>BN209-BO209-BP209-BQ209</f>
        <v>40550</v>
      </c>
      <c r="BS209">
        <f>_xlfn.XLOOKUP(B209,'[7]september-2025'!$A:$A,'[7]september-2025'!$C:$C,0,0)</f>
        <v>32500</v>
      </c>
      <c r="BT209">
        <f>BS209*0.18</f>
        <v>5850</v>
      </c>
      <c r="BU209">
        <f>BS209*0.12</f>
        <v>3900</v>
      </c>
      <c r="BV209">
        <f>_xlfn.XLOOKUP(B209,'[7]september-2025'!$A:$A,'[7]september-2025'!$D:$D,0,0)</f>
        <v>0</v>
      </c>
      <c r="BW209">
        <f>_xlfn.XLOOKUP(B209,'[7]september-2025'!$A:$A,'[7]september-2025'!$G:$G,0,0)</f>
        <v>500</v>
      </c>
      <c r="BX209">
        <f>IF(BS209&gt;0,SUM(BS209:BW209),0)</f>
        <v>42750</v>
      </c>
      <c r="BY209">
        <f>_xlfn.XLOOKUP(B209,'[7]september-2025'!$A:$A,'[7]september-2025'!$H:$H,0,0)</f>
        <v>2000</v>
      </c>
      <c r="BZ209">
        <f>_xlfn.XLOOKUP(B209,'[7]september-2025'!$A:$A,'[7]september-2025'!$I:$I,0,0)</f>
        <v>0</v>
      </c>
      <c r="CA209">
        <f>IF($F209="YES",0,IF(BX209&gt;40000,200,IF(BX209&gt;25000,150,IF(BX209&gt;15000,130,IF(BX209&gt;10000,110,0)))))</f>
        <v>200</v>
      </c>
      <c r="CB209">
        <f>BX209-BY209-BZ209-CA209</f>
        <v>40550</v>
      </c>
      <c r="CC209">
        <f>_xlfn.XLOOKUP(B209,'[8]october-2025'!$A:$A,'[8]october-2025'!$C:$C,0,0)</f>
        <v>32500</v>
      </c>
      <c r="CD209">
        <f>CC209*0.18</f>
        <v>5850</v>
      </c>
      <c r="CE209">
        <f>CC209*0.12</f>
        <v>3900</v>
      </c>
      <c r="CF209">
        <f>_xlfn.XLOOKUP(B209,'[8]october-2025'!$A:$A,'[8]october-2025'!$D:$D,0,0)</f>
        <v>0</v>
      </c>
      <c r="CG209">
        <f>_xlfn.XLOOKUP(B209,'[8]october-2025'!$A:$A,'[8]october-2025'!$G:$G,0,0)</f>
        <v>500</v>
      </c>
      <c r="CH209">
        <f>IF(CC209&gt;0,SUM(CC209:CG209),0)</f>
        <v>42750</v>
      </c>
      <c r="CI209">
        <f>_xlfn.XLOOKUP(B209,'[8]october-2025'!$A:$A,'[8]october-2025'!$H:$H,0,0)</f>
        <v>2000</v>
      </c>
      <c r="CJ209">
        <f>_xlfn.XLOOKUP(B209,'[8]october-2025'!$A:$A,'[8]october-2025'!$I:$I,0,0)</f>
        <v>0</v>
      </c>
      <c r="CK209">
        <f>IF($F209="YES",0,IF(CH209&gt;40000,200,IF(CH209&gt;25000,150,IF(CH209&gt;15000,130,IF(CH209&gt;10000,110,0)))))</f>
        <v>200</v>
      </c>
      <c r="CL209">
        <f>CH209-CI209-CJ209-CK209</f>
        <v>40550</v>
      </c>
      <c r="CM209">
        <f>_xlfn.XLOOKUP(B209,'[9]november-2025'!$A:$A,'[9]november-2025'!$C:$C,0,0)</f>
        <v>32500</v>
      </c>
      <c r="CN209">
        <f>CM209*0.18</f>
        <v>5850</v>
      </c>
      <c r="CO209">
        <f>CM209*0.12</f>
        <v>3900</v>
      </c>
      <c r="CP209">
        <f>_xlfn.XLOOKUP(B209,'[9]november-2025'!$A:$A,'[9]november-2025'!$D:$D,0,0)</f>
        <v>0</v>
      </c>
      <c r="CQ209">
        <f>_xlfn.XLOOKUP(B209,'[9]november-2025'!$A:$A,'[9]november-2025'!$G:$G,0,0)</f>
        <v>500</v>
      </c>
      <c r="CR209">
        <f>IF(CM209&gt;0,SUM(CM209:CQ209),0)</f>
        <v>42750</v>
      </c>
      <c r="CS209">
        <f>_xlfn.XLOOKUP(B209,'[9]november-2025'!$A:$A,'[9]november-2025'!$H:$H,0,0)</f>
        <v>2000</v>
      </c>
      <c r="CT209">
        <f>_xlfn.XLOOKUP(B209,'[9]november-2025'!$A:$A,'[9]november-2025'!$I:$I,0,0)</f>
        <v>0</v>
      </c>
      <c r="CU209">
        <f>IF($F209="YES",0,IF(CR209&gt;40000,200,IF(CR209&gt;25000,150,IF(CR209&gt;15000,130,IF(CR209&gt;10000,110,0)))))</f>
        <v>200</v>
      </c>
      <c r="CV209">
        <f>CR209-CS209-CT209-CU209</f>
        <v>40550</v>
      </c>
      <c r="CW209">
        <f>_xlfn.XLOOKUP(B209,'[10]december-2025'!$A:$A,'[10]december-2025'!$C:$C,0,0)</f>
        <v>32500</v>
      </c>
      <c r="CX209">
        <f>ROUND(CW209*0.18,0)</f>
        <v>5850</v>
      </c>
      <c r="CY209">
        <f>ROUND(CW209*0.12,0)</f>
        <v>3900</v>
      </c>
      <c r="CZ209">
        <f>_xlfn.XLOOKUP(B209,'[10]december-2025'!$A:$A,'[10]december-2025'!$D:$D,0,0)</f>
        <v>0</v>
      </c>
      <c r="DA209">
        <f>_xlfn.XLOOKUP(B209,'[10]december-2025'!$A:$A,'[10]december-2025'!$G:$G,0,0)</f>
        <v>500</v>
      </c>
      <c r="DB209">
        <f>IF(CW209&gt;0,SUM(CW209:DA209),0)</f>
        <v>42750</v>
      </c>
      <c r="DC209">
        <f>_xlfn.XLOOKUP(B209,'[10]december-2025'!$A:$A,'[10]december-2025'!$H:$H,0,0)</f>
        <v>2000</v>
      </c>
      <c r="DD209">
        <f>_xlfn.XLOOKUP(B209,'[10]december-2025'!$A:$A,'[10]december-2025'!$I:$I,0,0)</f>
        <v>0</v>
      </c>
      <c r="DE209">
        <f>IF($F209="YES",0,IF(DB209&gt;40000,200,IF(DB209&gt;25000,150,IF(DB209&gt;15000,130,IF(DB209&gt;10000,110,0)))))</f>
        <v>200</v>
      </c>
      <c r="DF209">
        <f>DB209-DC209-DD209-DE209</f>
        <v>40550</v>
      </c>
      <c r="DG209">
        <f>_xlfn.XLOOKUP(B209,'[11]january-2026'!$A:$A,'[11]january-2026'!$C:$C,0,0)</f>
        <v>32500</v>
      </c>
      <c r="DH209">
        <f>DG209*0.18</f>
        <v>5850</v>
      </c>
      <c r="DI209">
        <f>DG209*0.12</f>
        <v>3900</v>
      </c>
      <c r="DJ209">
        <f>_xlfn.XLOOKUP(B209,'[11]january-2026'!$A:$A,'[11]january-2026'!$D:$D,0,0)</f>
        <v>0</v>
      </c>
      <c r="DK209">
        <f>_xlfn.XLOOKUP(B209,'[11]january-2026'!$A:$A,'[11]january-2026'!$G:$G,0,0)</f>
        <v>500</v>
      </c>
      <c r="DL209">
        <f>IF(DG209&gt;0,SUM(DG209:DK209),0)</f>
        <v>42750</v>
      </c>
      <c r="DM209">
        <f>_xlfn.XLOOKUP(B209,'[11]january-2026'!$A:$A,'[11]january-2026'!$H:$H,0,0)</f>
        <v>2000</v>
      </c>
      <c r="DN209">
        <f>_xlfn.XLOOKUP(B209,'[11]january-2026'!$A:$A,'[11]january-2026'!$I:$I,0,0)</f>
        <v>0</v>
      </c>
      <c r="DO209">
        <f>IF($F209="YES",0,IF(DL209&gt;40000,200,IF(DL209&gt;25000,150,IF(DL209&gt;15000,130,IF(DL209&gt;10000,110,0)))))</f>
        <v>200</v>
      </c>
      <c r="DP209">
        <f>DL209-DM209-DN209-DO209</f>
        <v>40550</v>
      </c>
      <c r="DQ209">
        <f>_xlfn.XLOOKUP(B209,'[12]february-2026'!$A:$A,'[12]february-2026'!$C:$C,0,0)</f>
        <v>32500</v>
      </c>
      <c r="DR209">
        <f>DQ209*0.18</f>
        <v>5850</v>
      </c>
      <c r="DS209">
        <f>DQ209*0.12</f>
        <v>3900</v>
      </c>
      <c r="DT209">
        <f>_xlfn.XLOOKUP(B209,'[12]february-2026'!$A:$A,'[12]february-2026'!$D:$D,0,0)</f>
        <v>0</v>
      </c>
      <c r="DU209">
        <f>_xlfn.XLOOKUP(B209,'[12]february-2026'!$A:$A,'[12]february-2026'!$G:$G,0,0)</f>
        <v>500</v>
      </c>
      <c r="DV209">
        <f>IF(DQ209&gt;0,SUM(DQ209:DU209),0)</f>
        <v>42750</v>
      </c>
      <c r="DW209">
        <f>_xlfn.XLOOKUP(B209,'[12]february-2026'!$A:$A,'[12]february-2026'!$H:$H,0,0)</f>
        <v>2000</v>
      </c>
      <c r="DX209">
        <f>_xlfn.XLOOKUP(B209,'[12]february-2026'!$A:$A,'[12]february-2026'!$I:$I,0,0)</f>
        <v>0</v>
      </c>
      <c r="DY209">
        <f>IF($F209="YES",0,IF(DV209&gt;40000,200,IF(DV209&gt;25000,150,IF(DV209&gt;15000,130,IF(DV209&gt;10000,110,0)))))</f>
        <v>200</v>
      </c>
      <c r="DZ209">
        <f>DV209-DW209-DX209-DY209</f>
        <v>40550</v>
      </c>
      <c r="EA209">
        <f>DV209+DL209+DB209+CR209+CH209+BX209+BN209+BD209+AS209+AI209+Y209+O209+H209+I209</f>
        <v>513856</v>
      </c>
      <c r="EB209">
        <f>DY209+DO209+DE209+CU209+CK209+CA209+BQ209+BG209+AV209+AL209+AB209+R209</f>
        <v>2400</v>
      </c>
      <c r="EC209">
        <f>IF(EA209&gt;0,50000,0)</f>
        <v>50000</v>
      </c>
      <c r="ED209">
        <v>0</v>
      </c>
      <c r="EE209">
        <f>EA209-EB209-EC209</f>
        <v>461456</v>
      </c>
      <c r="EF209">
        <f>DW209+DM209+DC209+CS209+CI209+BY209+BO209+BE209+AT209+AJ209+Z209+P209</f>
        <v>24000</v>
      </c>
      <c r="EG209">
        <f>DX209+DN209+DD209+CT209+CJ209+BZ209+BP209+BF209+AU209+AK209+AA209+Q209</f>
        <v>0</v>
      </c>
      <c r="EH209">
        <v>0</v>
      </c>
      <c r="EI209">
        <v>0</v>
      </c>
      <c r="EJ209">
        <v>0</v>
      </c>
      <c r="EK209">
        <v>0</v>
      </c>
      <c r="EL209">
        <v>0</v>
      </c>
      <c r="EM209">
        <v>0</v>
      </c>
      <c r="EN209">
        <v>0</v>
      </c>
      <c r="EO209">
        <v>0</v>
      </c>
      <c r="EP209">
        <v>0</v>
      </c>
      <c r="EQ209">
        <v>0</v>
      </c>
      <c r="ER209">
        <f>SUM(EF209:EQ209)</f>
        <v>24000</v>
      </c>
      <c r="ES209">
        <f>IF(ER209&gt;=150000,150000,ER209)</f>
        <v>24000</v>
      </c>
      <c r="ET209">
        <f>EE209-ES209</f>
        <v>437456</v>
      </c>
      <c r="EU209">
        <v>0</v>
      </c>
      <c r="EV209">
        <v>0</v>
      </c>
      <c r="EW209">
        <v>0</v>
      </c>
      <c r="EX209">
        <v>0</v>
      </c>
      <c r="EY209">
        <v>0</v>
      </c>
      <c r="EZ209">
        <v>0</v>
      </c>
      <c r="FA209">
        <v>0</v>
      </c>
      <c r="FB209">
        <f>SUM(EU209:FA209)+(IF(F209="YES",50000,0))</f>
        <v>0</v>
      </c>
      <c r="FC209">
        <f>ET209-FB209</f>
        <v>437456</v>
      </c>
      <c r="FD209">
        <f>ROUND(IF(FC209&gt;0,IF(FC209&gt;500000,12500,(FC209-250000)*0.05),0),0)</f>
        <v>9373</v>
      </c>
      <c r="FE209">
        <f>IF(ROUND(IF(FC209&gt;0,IF(FC209&gt;1000000,25000,(FC209-500000)*0.2),0),0)&lt;0,0,ROUND(IF(FC209&gt;0,IF(FC209&gt;1000000,25000,(FC209-500000)*0.2),0),0))</f>
        <v>0</v>
      </c>
      <c r="FF209">
        <f>FD209+FE209</f>
        <v>9373</v>
      </c>
      <c r="FG209">
        <f>IF(FF209&lt;12500,0,FF209)</f>
        <v>0</v>
      </c>
      <c r="FH209">
        <f>FG209*0.04</f>
        <v>0</v>
      </c>
      <c r="FI209">
        <f>ROUND(FH209+FG209,0)</f>
        <v>0</v>
      </c>
      <c r="FJ209">
        <v>0</v>
      </c>
      <c r="FK209">
        <f>FI209-FJ209</f>
        <v>0</v>
      </c>
      <c r="FL209" t="b">
        <f>IF(EA209&gt;500000,TRUE,FALSE)</f>
        <v>1</v>
      </c>
      <c r="FM209">
        <f ca="1">IF(FL209,RANDBETWEEN(500,1000),RANDBETWEEN(1000,3000))</f>
        <v>655</v>
      </c>
      <c r="FN209">
        <f ca="1">EA209+FM209</f>
        <v>514511</v>
      </c>
      <c r="FO209">
        <f>IF(EA209&gt;0,75000,0)</f>
        <v>75000</v>
      </c>
      <c r="FP209">
        <f ca="1">FN209-FO209</f>
        <v>439511</v>
      </c>
      <c r="FQ209">
        <f ca="1">IF(FP209&gt;2400000,FP209-2400000,0)</f>
        <v>0</v>
      </c>
      <c r="FR209">
        <f ca="1">FQ209*0.3</f>
        <v>0</v>
      </c>
      <c r="FS209">
        <f ca="1">IF(FP209&gt;2000000,FP209-2000000,0)</f>
        <v>0</v>
      </c>
      <c r="FT209">
        <f ca="1">FS209*0.25</f>
        <v>0</v>
      </c>
      <c r="FU209">
        <f ca="1">IF(FP209&gt;1600000,FP209-1600000-FQ209,0)</f>
        <v>0</v>
      </c>
      <c r="FV209">
        <f ca="1">FU209*0.2</f>
        <v>0</v>
      </c>
      <c r="FW209">
        <f ca="1">IF(FP209&gt;1200000,FP209-1200000-IF(F209="YES",50000,0)-FU209,0)</f>
        <v>0</v>
      </c>
      <c r="FX209">
        <f ca="1">FW209*0.15</f>
        <v>0</v>
      </c>
      <c r="FY209">
        <f ca="1">IF(FP209&gt;800000,FP209-800000-FQ209-FU209-FW209,0)</f>
        <v>0</v>
      </c>
      <c r="FZ209">
        <f ca="1">FY209*0.1</f>
        <v>0</v>
      </c>
      <c r="GA209">
        <f ca="1">IF(FP209&gt;400000,FP209-400000-FQ209-FU209-FW209-FY209,0)</f>
        <v>39511</v>
      </c>
      <c r="GB209">
        <f ca="1">GA209*0.05</f>
        <v>1975.5500000000002</v>
      </c>
      <c r="GC209">
        <f ca="1">ROUND(FR209+FT209+FV209+FX209+FZ209+GB209,0)</f>
        <v>1976</v>
      </c>
      <c r="GD209">
        <f ca="1">IF(FP209&gt;1200000,FP209,0)</f>
        <v>0</v>
      </c>
      <c r="GE209">
        <f ca="1">IF(FP209&gt;1200000,GD209-1200000,0)</f>
        <v>0</v>
      </c>
      <c r="GF209">
        <f ca="1">IF(FP209&lt;1200001,MIN(GC209,60000),0)</f>
        <v>1976</v>
      </c>
      <c r="GG209">
        <f ca="1">IF(FP209&gt;1200000,GC209-GE209,0)</f>
        <v>0</v>
      </c>
      <c r="GH209" t="b">
        <f ca="1">IF(GG209&gt;0,TRUE,FALSE)</f>
        <v>0</v>
      </c>
      <c r="GI209">
        <f ca="1">IF(GH209,GG209,0)</f>
        <v>0</v>
      </c>
      <c r="GJ209">
        <f ca="1">GF209+GI209</f>
        <v>1976</v>
      </c>
      <c r="GK209">
        <f ca="1">ROUND(GC209-GJ209,0)</f>
        <v>0</v>
      </c>
      <c r="GL209">
        <f ca="1">GK209*0.04</f>
        <v>0</v>
      </c>
      <c r="GM209">
        <f ca="1">ROUNDUP(GK209+GL209,0)</f>
        <v>0</v>
      </c>
    </row>
    <row r="210" spans="1:195" x14ac:dyDescent="0.25">
      <c r="A210">
        <f>_xlfn.AGGREGATE(3,5,$B$2:B210)</f>
        <v>209</v>
      </c>
      <c r="B210" t="s">
        <v>529</v>
      </c>
      <c r="C210" t="s">
        <v>530</v>
      </c>
      <c r="D210" t="s">
        <v>806</v>
      </c>
      <c r="E210" t="s">
        <v>834</v>
      </c>
      <c r="F210" t="s">
        <v>959</v>
      </c>
      <c r="G210" t="s">
        <v>887</v>
      </c>
      <c r="H210">
        <f>IF(_xlfn.DAYS("31-03-2025",G210)&gt;=180,6800,0)</f>
        <v>6800</v>
      </c>
      <c r="I210">
        <f>_xlfn.XLOOKUP(B210,'[1]march-2025'!$A:$A,'[1]march-2025'!$J:$J,0,0)</f>
        <v>0</v>
      </c>
      <c r="J210">
        <f>_xlfn.XLOOKUP(B210,'[1]march-2025'!$A:$A,'[1]march-2025'!$C:$C,0,0)</f>
        <v>48700</v>
      </c>
      <c r="K210">
        <f>J210*0.14</f>
        <v>6818.0000000000009</v>
      </c>
      <c r="L210">
        <f>J210*0.12</f>
        <v>5844</v>
      </c>
      <c r="M210">
        <f>_xlfn.XLOOKUP(B210,'[1]march-2025'!$A:$A,'[1]march-2025'!$D:$D,0,0)</f>
        <v>400</v>
      </c>
      <c r="N210">
        <f>_xlfn.XLOOKUP(B210,'[1]march-2025'!$A:$A,'[1]march-2025'!$G:$G,0,0)</f>
        <v>500</v>
      </c>
      <c r="O210">
        <f>IF(J210&gt;0,SUM(J210:N210),0)</f>
        <v>62262</v>
      </c>
      <c r="P210">
        <f>_xlfn.XLOOKUP(B210,'[1]march-2025'!$A:$A,'[1]march-2025'!$H:$H,0,0)</f>
        <v>4000</v>
      </c>
      <c r="Q210">
        <f>_xlfn.XLOOKUP(B210,'[1]march-2025'!$A:$A,'[1]march-2025'!$I:$I,0,0)</f>
        <v>60</v>
      </c>
      <c r="R210">
        <f>IF($F210="YES",0,IF(O210&gt;40000,200,IF(O210&gt;25000,150,IF(O210&gt;15000,130,IF(O210&gt;10000,110,0)))))</f>
        <v>200</v>
      </c>
      <c r="S210">
        <f>O210-P210-Q210-R210</f>
        <v>58002</v>
      </c>
      <c r="T210">
        <f>_xlfn.XLOOKUP(B210,'[2]april-2025'!$A:$A,'[2]april-2025'!$C:$C,0,0)</f>
        <v>48700</v>
      </c>
      <c r="U210">
        <f>T210*0.18</f>
        <v>8766</v>
      </c>
      <c r="V210">
        <f>T210*0.12</f>
        <v>5844</v>
      </c>
      <c r="W210">
        <f>_xlfn.XLOOKUP(B210,'[2]april-2025'!$A:$A,'[2]april-2025'!$D:$D,0,0)</f>
        <v>400</v>
      </c>
      <c r="X210">
        <f>_xlfn.XLOOKUP(B210,'[2]april-2025'!$A:$A,'[2]april-2025'!$G:$G,0,0)</f>
        <v>500</v>
      </c>
      <c r="Y210">
        <f>IF(T210&gt;0,SUM(T210:X210),0)</f>
        <v>64210</v>
      </c>
      <c r="Z210">
        <f>_xlfn.XLOOKUP(B210,'[2]april-2025'!$A:$A,'[2]april-2025'!$H:$H,0,0)</f>
        <v>4000</v>
      </c>
      <c r="AA210">
        <f>_xlfn.XLOOKUP(B210,'[2]april-2025'!$A:$A,'[2]april-2025'!$I:$I,0,0)</f>
        <v>60</v>
      </c>
      <c r="AB210">
        <f>IF($F210="YES",0,IF(Y210&gt;40000,200,IF(Y210&gt;25000,150,IF(Y210&gt;15000,130,IF(Y210&gt;10000,110,0)))))</f>
        <v>200</v>
      </c>
      <c r="AC210">
        <f>Y210-Z210-AA210-AB210</f>
        <v>59950</v>
      </c>
      <c r="AD210">
        <f>_xlfn.XLOOKUP(B210,'[3]may-2025'!$A:$A,'[3]may-2025'!$C:$C,0,0)</f>
        <v>48700</v>
      </c>
      <c r="AE210">
        <f>AD210*0.18</f>
        <v>8766</v>
      </c>
      <c r="AF210">
        <f>AD210*0.12</f>
        <v>5844</v>
      </c>
      <c r="AG210">
        <f>_xlfn.XLOOKUP(B210,'[3]may-2025'!$A:$A,'[3]may-2025'!$D:$D,0,0)</f>
        <v>400</v>
      </c>
      <c r="AH210">
        <f>_xlfn.XLOOKUP(B210,'[3]may-2025'!$A:$A,'[3]may-2025'!$G:$G,0,0)</f>
        <v>500</v>
      </c>
      <c r="AI210">
        <f>IF(AD210&gt;0,SUM(AD210:AH210),0)</f>
        <v>64210</v>
      </c>
      <c r="AJ210">
        <f>_xlfn.XLOOKUP(B210,'[3]may-2025'!$A:$A,'[3]may-2025'!$H:$H,0,0)</f>
        <v>4000</v>
      </c>
      <c r="AK210">
        <f>_xlfn.XLOOKUP(B210,'[3]may-2025'!$A:$A,'[3]may-2025'!$I:$I,0,0)</f>
        <v>60</v>
      </c>
      <c r="AL210">
        <f>IF($F210="YES",0,IF(AI210&gt;40000,200,IF(AI210&gt;25000,150,IF(AI210&gt;15000,130,IF(AI210&gt;10000,110,0)))))</f>
        <v>200</v>
      </c>
      <c r="AM210">
        <f>AI210-AJ210-AK210-AL210</f>
        <v>59950</v>
      </c>
      <c r="AN210">
        <f>_xlfn.XLOOKUP(B210,'[4]june-2025'!$A:$A,'[4]june-2025'!$C:$C,0,0)</f>
        <v>48700</v>
      </c>
      <c r="AO210">
        <f>AN210*0.18</f>
        <v>8766</v>
      </c>
      <c r="AP210">
        <f>AN210*0.12</f>
        <v>5844</v>
      </c>
      <c r="AQ210">
        <f>_xlfn.XLOOKUP(B210,'[4]june-2025'!$A:$A,'[4]june-2025'!$D:$D,0,0)</f>
        <v>400</v>
      </c>
      <c r="AR210">
        <f>_xlfn.XLOOKUP(B210,'[4]june-2025'!$A:$A,'[4]june-2025'!$G:$G,0,0)</f>
        <v>500</v>
      </c>
      <c r="AS210">
        <f>IF(AN210&gt;0,SUM(AN210:AR210),0)</f>
        <v>64210</v>
      </c>
      <c r="AT210">
        <f>_xlfn.XLOOKUP(B210,'[4]june-2025'!$A:$A,'[4]june-2025'!$H:$H,0,0)</f>
        <v>4000</v>
      </c>
      <c r="AU210">
        <f>_xlfn.XLOOKUP(B210,'[4]june-2025'!$A:$A,'[4]june-2025'!$I:$I,0,0)</f>
        <v>60</v>
      </c>
      <c r="AV210">
        <f>IF($F210="YES",0,IF(AS210&gt;40000,200,IF(AS210&gt;25000,150,IF(AS210&gt;15000,130,IF(AS210&gt;10000,110,0)))))</f>
        <v>200</v>
      </c>
      <c r="AW210">
        <f>AS210-AT210-AU210-AV210</f>
        <v>59950</v>
      </c>
      <c r="AX210">
        <f>_xlfn.XLOOKUP(B210,'[5]july-2025'!$A:$A,'[5]july-2025'!$C:$C,0,0)</f>
        <v>50200</v>
      </c>
      <c r="AY210">
        <f>AX210*0.18</f>
        <v>9036</v>
      </c>
      <c r="AZ210">
        <v>0</v>
      </c>
      <c r="BA210">
        <f>AX210*0.12</f>
        <v>6024</v>
      </c>
      <c r="BB210">
        <f>_xlfn.XLOOKUP(B210,'[5]july-2025'!$A:$A,'[5]july-2025'!$D:$D,0,0)</f>
        <v>400</v>
      </c>
      <c r="BC210">
        <f>_xlfn.XLOOKUP(B210,'[5]july-2025'!$A:$A,'[5]july-2025'!$G:$G,0,0)</f>
        <v>500</v>
      </c>
      <c r="BD210">
        <f>IF(AX210&gt;0,SUM(AX210:BC210),0)</f>
        <v>66160</v>
      </c>
      <c r="BE210">
        <f>_xlfn.XLOOKUP(B210,'[5]july-2025'!$A:$A,'[5]july-2025'!$H:$H,0,0)</f>
        <v>4000</v>
      </c>
      <c r="BF210">
        <f>_xlfn.XLOOKUP(B210,'[5]july-2025'!$A:$A,'[5]july-2025'!$I:$I,0,0)</f>
        <v>60</v>
      </c>
      <c r="BG210">
        <f>IF($F210="YES",0,IF(BD210&gt;40000,200,IF(BD210&gt;25000,150,IF(BD210&gt;15000,130,IF(BD210&gt;10000,110,0)))))</f>
        <v>200</v>
      </c>
      <c r="BH210">
        <f>BD210-BE210-BF210-BG210</f>
        <v>61900</v>
      </c>
      <c r="BI210">
        <f>_xlfn.XLOOKUP(B210,'[6]august-2025'!$A:$A,'[6]august-2025'!$C:$C,0,0)</f>
        <v>50200</v>
      </c>
      <c r="BJ210">
        <f>BI210*0.18</f>
        <v>9036</v>
      </c>
      <c r="BK210">
        <f>BI210*0.12</f>
        <v>6024</v>
      </c>
      <c r="BL210">
        <f>_xlfn.XLOOKUP(B210,'[6]august-2025'!$A:$A,'[6]august-2025'!$D:$D,0,0)</f>
        <v>400</v>
      </c>
      <c r="BM210">
        <f>_xlfn.XLOOKUP(B210,'[6]august-2025'!$A:$A,'[6]august-2025'!$G:$G,0,0)</f>
        <v>500</v>
      </c>
      <c r="BN210">
        <f>IF(BI210&gt;0,SUM(BI210:BM210),0)</f>
        <v>66160</v>
      </c>
      <c r="BO210">
        <f>_xlfn.XLOOKUP(B210,'[6]august-2025'!$A:$A,'[6]august-2025'!$H:$H,0,0)</f>
        <v>4000</v>
      </c>
      <c r="BP210">
        <f>_xlfn.XLOOKUP(B210,'[6]august-2025'!$A:$A,'[6]august-2025'!$I:$I,0,0)</f>
        <v>60</v>
      </c>
      <c r="BQ210">
        <f>IF($F210="YES",0,IF(BN210&gt;40000,200,IF(BN210&gt;25000,150,IF(BN210&gt;15000,130,IF(BN210&gt;10000,110,0)))))</f>
        <v>200</v>
      </c>
      <c r="BR210">
        <f>BN210-BO210-BP210-BQ210</f>
        <v>61900</v>
      </c>
      <c r="BS210">
        <f>_xlfn.XLOOKUP(B210,'[7]september-2025'!$A:$A,'[7]september-2025'!$C:$C,0,0)</f>
        <v>50200</v>
      </c>
      <c r="BT210">
        <f>BS210*0.18</f>
        <v>9036</v>
      </c>
      <c r="BU210">
        <f>BS210*0.12</f>
        <v>6024</v>
      </c>
      <c r="BV210">
        <f>_xlfn.XLOOKUP(B210,'[7]september-2025'!$A:$A,'[7]september-2025'!$D:$D,0,0)</f>
        <v>400</v>
      </c>
      <c r="BW210">
        <f>_xlfn.XLOOKUP(B210,'[7]september-2025'!$A:$A,'[7]september-2025'!$G:$G,0,0)</f>
        <v>500</v>
      </c>
      <c r="BX210">
        <f>IF(BS210&gt;0,SUM(BS210:BW210),0)</f>
        <v>66160</v>
      </c>
      <c r="BY210">
        <f>_xlfn.XLOOKUP(B210,'[7]september-2025'!$A:$A,'[7]september-2025'!$H:$H,0,0)</f>
        <v>4000</v>
      </c>
      <c r="BZ210">
        <f>_xlfn.XLOOKUP(B210,'[7]september-2025'!$A:$A,'[7]september-2025'!$I:$I,0,0)</f>
        <v>60</v>
      </c>
      <c r="CA210">
        <f>IF($F210="YES",0,IF(BX210&gt;40000,200,IF(BX210&gt;25000,150,IF(BX210&gt;15000,130,IF(BX210&gt;10000,110,0)))))</f>
        <v>200</v>
      </c>
      <c r="CB210">
        <f>BX210-BY210-BZ210-CA210</f>
        <v>61900</v>
      </c>
      <c r="CC210">
        <f>_xlfn.XLOOKUP(B210,'[8]october-2025'!$A:$A,'[8]october-2025'!$C:$C,0,0)</f>
        <v>50200</v>
      </c>
      <c r="CD210">
        <f>CC210*0.18</f>
        <v>9036</v>
      </c>
      <c r="CE210">
        <f>CC210*0.12</f>
        <v>6024</v>
      </c>
      <c r="CF210">
        <f>_xlfn.XLOOKUP(B210,'[8]october-2025'!$A:$A,'[8]october-2025'!$D:$D,0,0)</f>
        <v>400</v>
      </c>
      <c r="CG210">
        <f>_xlfn.XLOOKUP(B210,'[8]october-2025'!$A:$A,'[8]october-2025'!$G:$G,0,0)</f>
        <v>500</v>
      </c>
      <c r="CH210">
        <f>IF(CC210&gt;0,SUM(CC210:CG210),0)</f>
        <v>66160</v>
      </c>
      <c r="CI210">
        <f>_xlfn.XLOOKUP(B210,'[8]october-2025'!$A:$A,'[8]october-2025'!$H:$H,0,0)</f>
        <v>4000</v>
      </c>
      <c r="CJ210">
        <f>_xlfn.XLOOKUP(B210,'[8]october-2025'!$A:$A,'[8]october-2025'!$I:$I,0,0)</f>
        <v>60</v>
      </c>
      <c r="CK210">
        <f>IF($F210="YES",0,IF(CH210&gt;40000,200,IF(CH210&gt;25000,150,IF(CH210&gt;15000,130,IF(CH210&gt;10000,110,0)))))</f>
        <v>200</v>
      </c>
      <c r="CL210">
        <f>CH210-CI210-CJ210-CK210</f>
        <v>61900</v>
      </c>
      <c r="CM210">
        <f>_xlfn.XLOOKUP(B210,'[9]november-2025'!$A:$A,'[9]november-2025'!$C:$C,0,0)</f>
        <v>50200</v>
      </c>
      <c r="CN210">
        <f>CM210*0.18</f>
        <v>9036</v>
      </c>
      <c r="CO210">
        <f>CM210*0.12</f>
        <v>6024</v>
      </c>
      <c r="CP210">
        <f>_xlfn.XLOOKUP(B210,'[9]november-2025'!$A:$A,'[9]november-2025'!$D:$D,0,0)</f>
        <v>400</v>
      </c>
      <c r="CQ210">
        <f>_xlfn.XLOOKUP(B210,'[9]november-2025'!$A:$A,'[9]november-2025'!$G:$G,0,0)</f>
        <v>500</v>
      </c>
      <c r="CR210">
        <f>IF(CM210&gt;0,SUM(CM210:CQ210),0)</f>
        <v>66160</v>
      </c>
      <c r="CS210">
        <f>_xlfn.XLOOKUP(B210,'[9]november-2025'!$A:$A,'[9]november-2025'!$H:$H,0,0)</f>
        <v>4000</v>
      </c>
      <c r="CT210">
        <f>_xlfn.XLOOKUP(B210,'[9]november-2025'!$A:$A,'[9]november-2025'!$I:$I,0,0)</f>
        <v>60</v>
      </c>
      <c r="CU210">
        <f>IF($F210="YES",0,IF(CR210&gt;40000,200,IF(CR210&gt;25000,150,IF(CR210&gt;15000,130,IF(CR210&gt;10000,110,0)))))</f>
        <v>200</v>
      </c>
      <c r="CV210">
        <f>CR210-CS210-CT210-CU210</f>
        <v>61900</v>
      </c>
      <c r="CW210">
        <f>_xlfn.XLOOKUP(B210,'[10]december-2025'!$A:$A,'[10]december-2025'!$C:$C,0,0)</f>
        <v>50200</v>
      </c>
      <c r="CX210">
        <f>ROUND(CW210*0.18,0)</f>
        <v>9036</v>
      </c>
      <c r="CY210">
        <f>ROUND(CW210*0.12,0)</f>
        <v>6024</v>
      </c>
      <c r="CZ210">
        <f>_xlfn.XLOOKUP(B210,'[10]december-2025'!$A:$A,'[10]december-2025'!$D:$D,0,0)</f>
        <v>400</v>
      </c>
      <c r="DA210">
        <f>_xlfn.XLOOKUP(B210,'[10]december-2025'!$A:$A,'[10]december-2025'!$G:$G,0,0)</f>
        <v>500</v>
      </c>
      <c r="DB210">
        <f>IF(CW210&gt;0,SUM(CW210:DA210),0)</f>
        <v>66160</v>
      </c>
      <c r="DC210">
        <f>_xlfn.XLOOKUP(B210,'[10]december-2025'!$A:$A,'[10]december-2025'!$H:$H,0,0)</f>
        <v>4000</v>
      </c>
      <c r="DD210">
        <f>_xlfn.XLOOKUP(B210,'[10]december-2025'!$A:$A,'[10]december-2025'!$I:$I,0,0)</f>
        <v>60</v>
      </c>
      <c r="DE210">
        <f>IF($F210="YES",0,IF(DB210&gt;40000,200,IF(DB210&gt;25000,150,IF(DB210&gt;15000,130,IF(DB210&gt;10000,110,0)))))</f>
        <v>200</v>
      </c>
      <c r="DF210">
        <f>DB210-DC210-DD210-DE210</f>
        <v>61900</v>
      </c>
      <c r="DG210">
        <f>_xlfn.XLOOKUP(B210,'[11]january-2026'!$A:$A,'[11]january-2026'!$C:$C,0,0)</f>
        <v>50200</v>
      </c>
      <c r="DH210">
        <f>DG210*0.18</f>
        <v>9036</v>
      </c>
      <c r="DI210">
        <f>DG210*0.12</f>
        <v>6024</v>
      </c>
      <c r="DJ210">
        <f>_xlfn.XLOOKUP(B210,'[11]january-2026'!$A:$A,'[11]january-2026'!$D:$D,0,0)</f>
        <v>400</v>
      </c>
      <c r="DK210">
        <f>_xlfn.XLOOKUP(B210,'[11]january-2026'!$A:$A,'[11]january-2026'!$G:$G,0,0)</f>
        <v>500</v>
      </c>
      <c r="DL210">
        <f>IF(DG210&gt;0,SUM(DG210:DK210),0)</f>
        <v>66160</v>
      </c>
      <c r="DM210">
        <f>_xlfn.XLOOKUP(B210,'[11]january-2026'!$A:$A,'[11]january-2026'!$H:$H,0,0)</f>
        <v>4000</v>
      </c>
      <c r="DN210">
        <f>_xlfn.XLOOKUP(B210,'[11]january-2026'!$A:$A,'[11]january-2026'!$I:$I,0,0)</f>
        <v>60</v>
      </c>
      <c r="DO210">
        <f>IF($F210="YES",0,IF(DL210&gt;40000,200,IF(DL210&gt;25000,150,IF(DL210&gt;15000,130,IF(DL210&gt;10000,110,0)))))</f>
        <v>200</v>
      </c>
      <c r="DP210">
        <f>DL210-DM210-DN210-DO210</f>
        <v>61900</v>
      </c>
      <c r="DQ210">
        <f>_xlfn.XLOOKUP(B210,'[12]february-2026'!$A:$A,'[12]february-2026'!$C:$C,0,0)</f>
        <v>50200</v>
      </c>
      <c r="DR210">
        <f>DQ210*0.18</f>
        <v>9036</v>
      </c>
      <c r="DS210">
        <f>DQ210*0.12</f>
        <v>6024</v>
      </c>
      <c r="DT210">
        <f>_xlfn.XLOOKUP(B210,'[12]february-2026'!$A:$A,'[12]february-2026'!$D:$D,0,0)</f>
        <v>400</v>
      </c>
      <c r="DU210">
        <f>_xlfn.XLOOKUP(B210,'[12]february-2026'!$A:$A,'[12]february-2026'!$G:$G,0,0)</f>
        <v>500</v>
      </c>
      <c r="DV210">
        <f>IF(DQ210&gt;0,SUM(DQ210:DU210),0)</f>
        <v>66160</v>
      </c>
      <c r="DW210">
        <f>_xlfn.XLOOKUP(B210,'[12]february-2026'!$A:$A,'[12]february-2026'!$H:$H,0,0)</f>
        <v>4000</v>
      </c>
      <c r="DX210">
        <f>_xlfn.XLOOKUP(B210,'[12]february-2026'!$A:$A,'[12]february-2026'!$I:$I,0,0)</f>
        <v>60</v>
      </c>
      <c r="DY210">
        <f>IF($F210="YES",0,IF(DV210&gt;40000,200,IF(DV210&gt;25000,150,IF(DV210&gt;15000,130,IF(DV210&gt;10000,110,0)))))</f>
        <v>200</v>
      </c>
      <c r="DZ210">
        <f>DV210-DW210-DX210-DY210</f>
        <v>61900</v>
      </c>
      <c r="EA210">
        <f>DV210+DL210+DB210+CR210+CH210+BX210+BN210+BD210+AS210+AI210+Y210+O210+H210+I210</f>
        <v>790972</v>
      </c>
      <c r="EB210">
        <f>DY210+DO210+DE210+CU210+CK210+CA210+BQ210+BG210+AV210+AL210+AB210+R210</f>
        <v>2400</v>
      </c>
      <c r="EC210">
        <f>IF(EA210&gt;0,50000,0)</f>
        <v>50000</v>
      </c>
      <c r="ED210">
        <v>0</v>
      </c>
      <c r="EE210">
        <f>EA210-EB210-EC210</f>
        <v>738572</v>
      </c>
      <c r="EF210">
        <f>DW210+DM210+DC210+CS210+CI210+BY210+BO210+BE210+AT210+AJ210+Z210+P210</f>
        <v>48000</v>
      </c>
      <c r="EG210">
        <f>DX210+DN210+DD210+CT210+CJ210+BZ210+BP210+BF210+AU210+AK210+AA210+Q210</f>
        <v>720</v>
      </c>
      <c r="EH210">
        <v>0</v>
      </c>
      <c r="EI210">
        <v>0</v>
      </c>
      <c r="EJ210">
        <v>0</v>
      </c>
      <c r="EK210">
        <v>0</v>
      </c>
      <c r="EL210">
        <v>0</v>
      </c>
      <c r="EM210">
        <v>0</v>
      </c>
      <c r="EN210">
        <v>0</v>
      </c>
      <c r="EO210">
        <v>0</v>
      </c>
      <c r="EP210">
        <v>0</v>
      </c>
      <c r="EQ210">
        <v>0</v>
      </c>
      <c r="ER210">
        <f>SUM(EF210:EQ210)</f>
        <v>48720</v>
      </c>
      <c r="ES210">
        <f>IF(ER210&gt;=150000,150000,ER210)</f>
        <v>48720</v>
      </c>
      <c r="ET210">
        <f>EE210-ES210</f>
        <v>689852</v>
      </c>
      <c r="EU210">
        <v>0</v>
      </c>
      <c r="EV210">
        <v>0</v>
      </c>
      <c r="EW210">
        <v>0</v>
      </c>
      <c r="EX210">
        <v>0</v>
      </c>
      <c r="EY210">
        <v>0</v>
      </c>
      <c r="EZ210">
        <v>0</v>
      </c>
      <c r="FA210">
        <v>0</v>
      </c>
      <c r="FB210">
        <f>SUM(EU210:FA210)+(IF(F210="YES",50000,0))</f>
        <v>0</v>
      </c>
      <c r="FC210">
        <f>ET210-FB210</f>
        <v>689852</v>
      </c>
      <c r="FD210">
        <f>ROUND(IF(FC210&gt;0,IF(FC210&gt;500000,12500,(FC210-250000)*0.05),0),0)</f>
        <v>12500</v>
      </c>
      <c r="FE210">
        <f>IF(ROUND(IF(FC210&gt;0,IF(FC210&gt;1000000,25000,(FC210-500000)*0.2),0),0)&lt;0,0,ROUND(IF(FC210&gt;0,IF(FC210&gt;1000000,25000,(FC210-500000)*0.2),0),0))</f>
        <v>37970</v>
      </c>
      <c r="FF210">
        <f>FD210+FE210</f>
        <v>50470</v>
      </c>
      <c r="FG210">
        <f>IF(FF210&lt;12500,0,FF210)</f>
        <v>50470</v>
      </c>
      <c r="FH210">
        <f>FG210*0.04</f>
        <v>2018.8</v>
      </c>
      <c r="FI210">
        <f>ROUND(FH210+FG210,0)</f>
        <v>52489</v>
      </c>
      <c r="FJ210">
        <v>0</v>
      </c>
      <c r="FK210">
        <f>FI210-FJ210</f>
        <v>52489</v>
      </c>
      <c r="FL210" t="b">
        <f>IF(EA210&gt;500000,TRUE,FALSE)</f>
        <v>1</v>
      </c>
      <c r="FM210">
        <f ca="1">IF(FL210,RANDBETWEEN(500,1000),RANDBETWEEN(1000,3000))</f>
        <v>840</v>
      </c>
      <c r="FN210">
        <f ca="1">EA210+FM210</f>
        <v>791812</v>
      </c>
      <c r="FO210">
        <f>IF(EA210&gt;0,75000,0)</f>
        <v>75000</v>
      </c>
      <c r="FP210">
        <f ca="1">FN210-FO210</f>
        <v>716812</v>
      </c>
      <c r="FQ210">
        <f ca="1">IF(FP210&gt;2400000,FP210-2400000,0)</f>
        <v>0</v>
      </c>
      <c r="FR210">
        <f ca="1">FQ210*0.3</f>
        <v>0</v>
      </c>
      <c r="FS210">
        <f ca="1">IF(FP210&gt;2000000,FP210-2000000,0)</f>
        <v>0</v>
      </c>
      <c r="FT210">
        <f ca="1">FS210*0.25</f>
        <v>0</v>
      </c>
      <c r="FU210">
        <f ca="1">IF(FP210&gt;1600000,FP210-1600000-FQ210,0)</f>
        <v>0</v>
      </c>
      <c r="FV210">
        <f ca="1">FU210*0.2</f>
        <v>0</v>
      </c>
      <c r="FW210">
        <f ca="1">IF(FP210&gt;1200000,FP210-1200000-IF(F210="YES",50000,0)-FU210,0)</f>
        <v>0</v>
      </c>
      <c r="FX210">
        <f ca="1">FW210*0.15</f>
        <v>0</v>
      </c>
      <c r="FY210">
        <f ca="1">IF(FP210&gt;800000,FP210-800000-FQ210-FU210-FW210,0)</f>
        <v>0</v>
      </c>
      <c r="FZ210">
        <f ca="1">FY210*0.1</f>
        <v>0</v>
      </c>
      <c r="GA210">
        <f ca="1">IF(FP210&gt;400000,FP210-400000-FQ210-FU210-FW210-FY210,0)</f>
        <v>316812</v>
      </c>
      <c r="GB210">
        <f ca="1">GA210*0.05</f>
        <v>15840.6</v>
      </c>
      <c r="GC210">
        <f ca="1">ROUND(FR210+FT210+FV210+FX210+FZ210+GB210,0)</f>
        <v>15841</v>
      </c>
      <c r="GD210">
        <f ca="1">IF(FP210&gt;1200000,FP210,0)</f>
        <v>0</v>
      </c>
      <c r="GE210">
        <f ca="1">IF(FP210&gt;1200000,GD210-1200000,0)</f>
        <v>0</v>
      </c>
      <c r="GF210">
        <f ca="1">IF(FP210&lt;1200001,MIN(GC210,60000),0)</f>
        <v>15841</v>
      </c>
      <c r="GG210">
        <f ca="1">IF(FP210&gt;1200000,GC210-GE210,0)</f>
        <v>0</v>
      </c>
      <c r="GH210" t="b">
        <f ca="1">IF(GG210&gt;0,TRUE,FALSE)</f>
        <v>0</v>
      </c>
      <c r="GI210">
        <f ca="1">IF(GH210,GG210,0)</f>
        <v>0</v>
      </c>
      <c r="GJ210">
        <f ca="1">GF210+GI210</f>
        <v>15841</v>
      </c>
      <c r="GK210">
        <f ca="1">ROUND(GC210-GJ210,0)</f>
        <v>0</v>
      </c>
      <c r="GL210">
        <f ca="1">GK210*0.04</f>
        <v>0</v>
      </c>
      <c r="GM210">
        <f ca="1">ROUNDUP(GK210+GL210,0)</f>
        <v>0</v>
      </c>
    </row>
    <row r="211" spans="1:195" x14ac:dyDescent="0.25">
      <c r="A211">
        <f>_xlfn.AGGREGATE(3,5,$B$2:B211)</f>
        <v>210</v>
      </c>
      <c r="B211" t="s">
        <v>531</v>
      </c>
      <c r="C211" t="s">
        <v>532</v>
      </c>
      <c r="D211" t="s">
        <v>806</v>
      </c>
      <c r="E211" t="s">
        <v>833</v>
      </c>
      <c r="F211" t="s">
        <v>959</v>
      </c>
      <c r="G211" t="s">
        <v>893</v>
      </c>
      <c r="H211">
        <f>IF(_xlfn.DAYS("31-03-2025",G211)&gt;=180,6800,0)</f>
        <v>6800</v>
      </c>
      <c r="I211">
        <f>_xlfn.XLOOKUP(B211,'[1]march-2025'!$A:$A,'[1]march-2025'!$J:$J,0,0)</f>
        <v>0</v>
      </c>
      <c r="J211">
        <f>_xlfn.XLOOKUP(B211,'[1]march-2025'!$A:$A,'[1]march-2025'!$C:$C,0,0)</f>
        <v>34500</v>
      </c>
      <c r="K211">
        <f>J211*0.14</f>
        <v>4830.0000000000009</v>
      </c>
      <c r="L211">
        <f>J211*0.12</f>
        <v>4140</v>
      </c>
      <c r="M211">
        <f>_xlfn.XLOOKUP(B211,'[1]march-2025'!$A:$A,'[1]march-2025'!$D:$D,0,0)</f>
        <v>0</v>
      </c>
      <c r="N211">
        <f>_xlfn.XLOOKUP(B211,'[1]march-2025'!$A:$A,'[1]march-2025'!$G:$G,0,0)</f>
        <v>500</v>
      </c>
      <c r="O211">
        <f>IF(J211&gt;0,SUM(J211:N211),0)</f>
        <v>43970</v>
      </c>
      <c r="P211">
        <f>_xlfn.XLOOKUP(B211,'[1]march-2025'!$A:$A,'[1]march-2025'!$H:$H,0,0)</f>
        <v>2500</v>
      </c>
      <c r="Q211">
        <f>_xlfn.XLOOKUP(B211,'[1]march-2025'!$A:$A,'[1]march-2025'!$I:$I,0,0)</f>
        <v>0</v>
      </c>
      <c r="R211">
        <f>IF($F211="YES",0,IF(O211&gt;40000,200,IF(O211&gt;25000,150,IF(O211&gt;15000,130,IF(O211&gt;10000,110,0)))))</f>
        <v>200</v>
      </c>
      <c r="S211">
        <f>O211-P211-Q211-R211</f>
        <v>41270</v>
      </c>
      <c r="T211">
        <f>_xlfn.XLOOKUP(B211,'[2]april-2025'!$A:$A,'[2]april-2025'!$C:$C,0,0)</f>
        <v>34500</v>
      </c>
      <c r="U211">
        <f>T211*0.18</f>
        <v>6210</v>
      </c>
      <c r="V211">
        <f>T211*0.12</f>
        <v>4140</v>
      </c>
      <c r="W211">
        <f>_xlfn.XLOOKUP(B211,'[2]april-2025'!$A:$A,'[2]april-2025'!$D:$D,0,0)</f>
        <v>0</v>
      </c>
      <c r="X211">
        <f>_xlfn.XLOOKUP(B211,'[2]april-2025'!$A:$A,'[2]april-2025'!$G:$G,0,0)</f>
        <v>500</v>
      </c>
      <c r="Y211">
        <f>IF(T211&gt;0,SUM(T211:X211),0)</f>
        <v>45350</v>
      </c>
      <c r="Z211">
        <f>_xlfn.XLOOKUP(B211,'[2]april-2025'!$A:$A,'[2]april-2025'!$H:$H,0,0)</f>
        <v>2500</v>
      </c>
      <c r="AA211">
        <f>_xlfn.XLOOKUP(B211,'[2]april-2025'!$A:$A,'[2]april-2025'!$I:$I,0,0)</f>
        <v>0</v>
      </c>
      <c r="AB211">
        <f>IF($F211="YES",0,IF(Y211&gt;40000,200,IF(Y211&gt;25000,150,IF(Y211&gt;15000,130,IF(Y211&gt;10000,110,0)))))</f>
        <v>200</v>
      </c>
      <c r="AC211">
        <f>Y211-Z211-AA211-AB211</f>
        <v>42650</v>
      </c>
      <c r="AD211">
        <f>_xlfn.XLOOKUP(B211,'[3]may-2025'!$A:$A,'[3]may-2025'!$C:$C,0,0)</f>
        <v>34500</v>
      </c>
      <c r="AE211">
        <f>AD211*0.18</f>
        <v>6210</v>
      </c>
      <c r="AF211">
        <f>AD211*0.12</f>
        <v>4140</v>
      </c>
      <c r="AG211">
        <f>_xlfn.XLOOKUP(B211,'[3]may-2025'!$A:$A,'[3]may-2025'!$D:$D,0,0)</f>
        <v>0</v>
      </c>
      <c r="AH211">
        <f>_xlfn.XLOOKUP(B211,'[3]may-2025'!$A:$A,'[3]may-2025'!$G:$G,0,0)</f>
        <v>500</v>
      </c>
      <c r="AI211">
        <f>IF(AD211&gt;0,SUM(AD211:AH211),0)</f>
        <v>45350</v>
      </c>
      <c r="AJ211">
        <f>_xlfn.XLOOKUP(B211,'[3]may-2025'!$A:$A,'[3]may-2025'!$H:$H,0,0)</f>
        <v>2500</v>
      </c>
      <c r="AK211">
        <f>_xlfn.XLOOKUP(B211,'[3]may-2025'!$A:$A,'[3]may-2025'!$I:$I,0,0)</f>
        <v>0</v>
      </c>
      <c r="AL211">
        <f>IF($F211="YES",0,IF(AI211&gt;40000,200,IF(AI211&gt;25000,150,IF(AI211&gt;15000,130,IF(AI211&gt;10000,110,0)))))</f>
        <v>200</v>
      </c>
      <c r="AM211">
        <f>AI211-AJ211-AK211-AL211</f>
        <v>42650</v>
      </c>
      <c r="AN211">
        <f>_xlfn.XLOOKUP(B211,'[4]june-2025'!$A:$A,'[4]june-2025'!$C:$C,0,0)</f>
        <v>34500</v>
      </c>
      <c r="AO211">
        <f>AN211*0.18</f>
        <v>6210</v>
      </c>
      <c r="AP211">
        <f>AN211*0.12</f>
        <v>4140</v>
      </c>
      <c r="AQ211">
        <f>_xlfn.XLOOKUP(B211,'[4]june-2025'!$A:$A,'[4]june-2025'!$D:$D,0,0)</f>
        <v>0</v>
      </c>
      <c r="AR211">
        <f>_xlfn.XLOOKUP(B211,'[4]june-2025'!$A:$A,'[4]june-2025'!$G:$G,0,0)</f>
        <v>500</v>
      </c>
      <c r="AS211">
        <f>IF(AN211&gt;0,SUM(AN211:AR211),0)</f>
        <v>45350</v>
      </c>
      <c r="AT211">
        <f>_xlfn.XLOOKUP(B211,'[4]june-2025'!$A:$A,'[4]june-2025'!$H:$H,0,0)</f>
        <v>2500</v>
      </c>
      <c r="AU211">
        <f>_xlfn.XLOOKUP(B211,'[4]june-2025'!$A:$A,'[4]june-2025'!$I:$I,0,0)</f>
        <v>0</v>
      </c>
      <c r="AV211">
        <f>IF($F211="YES",0,IF(AS211&gt;40000,200,IF(AS211&gt;25000,150,IF(AS211&gt;15000,130,IF(AS211&gt;10000,110,0)))))</f>
        <v>200</v>
      </c>
      <c r="AW211">
        <f>AS211-AT211-AU211-AV211</f>
        <v>42650</v>
      </c>
      <c r="AX211">
        <f>_xlfn.XLOOKUP(B211,'[5]july-2025'!$A:$A,'[5]july-2025'!$C:$C,0,0)</f>
        <v>35500</v>
      </c>
      <c r="AY211">
        <f>AX211*0.18</f>
        <v>6390</v>
      </c>
      <c r="AZ211">
        <v>0</v>
      </c>
      <c r="BA211">
        <f>AX211*0.12</f>
        <v>4260</v>
      </c>
      <c r="BB211">
        <f>_xlfn.XLOOKUP(B211,'[5]july-2025'!$A:$A,'[5]july-2025'!$D:$D,0,0)</f>
        <v>0</v>
      </c>
      <c r="BC211">
        <f>_xlfn.XLOOKUP(B211,'[5]july-2025'!$A:$A,'[5]july-2025'!$G:$G,0,0)</f>
        <v>500</v>
      </c>
      <c r="BD211">
        <f>IF(AX211&gt;0,SUM(AX211:BC211),0)</f>
        <v>46650</v>
      </c>
      <c r="BE211">
        <f>_xlfn.XLOOKUP(B211,'[5]july-2025'!$A:$A,'[5]july-2025'!$H:$H,0,0)</f>
        <v>2500</v>
      </c>
      <c r="BF211">
        <f>_xlfn.XLOOKUP(B211,'[5]july-2025'!$A:$A,'[5]july-2025'!$I:$I,0,0)</f>
        <v>0</v>
      </c>
      <c r="BG211">
        <f>IF($F211="YES",0,IF(BD211&gt;40000,200,IF(BD211&gt;25000,150,IF(BD211&gt;15000,130,IF(BD211&gt;10000,110,0)))))</f>
        <v>200</v>
      </c>
      <c r="BH211">
        <f>BD211-BE211-BF211-BG211</f>
        <v>43950</v>
      </c>
      <c r="BI211">
        <f>_xlfn.XLOOKUP(B211,'[6]august-2025'!$A:$A,'[6]august-2025'!$C:$C,0,0)</f>
        <v>35500</v>
      </c>
      <c r="BJ211">
        <f>BI211*0.18</f>
        <v>6390</v>
      </c>
      <c r="BK211">
        <f>BI211*0.12</f>
        <v>4260</v>
      </c>
      <c r="BL211">
        <f>_xlfn.XLOOKUP(B211,'[6]august-2025'!$A:$A,'[6]august-2025'!$D:$D,0,0)</f>
        <v>0</v>
      </c>
      <c r="BM211">
        <f>_xlfn.XLOOKUP(B211,'[6]august-2025'!$A:$A,'[6]august-2025'!$G:$G,0,0)</f>
        <v>500</v>
      </c>
      <c r="BN211">
        <f>IF(BI211&gt;0,SUM(BI211:BM211),0)</f>
        <v>46650</v>
      </c>
      <c r="BO211">
        <f>_xlfn.XLOOKUP(B211,'[6]august-2025'!$A:$A,'[6]august-2025'!$H:$H,0,0)</f>
        <v>2500</v>
      </c>
      <c r="BP211">
        <f>_xlfn.XLOOKUP(B211,'[6]august-2025'!$A:$A,'[6]august-2025'!$I:$I,0,0)</f>
        <v>0</v>
      </c>
      <c r="BQ211">
        <f>IF($F211="YES",0,IF(BN211&gt;40000,200,IF(BN211&gt;25000,150,IF(BN211&gt;15000,130,IF(BN211&gt;10000,110,0)))))</f>
        <v>200</v>
      </c>
      <c r="BR211">
        <f>BN211-BO211-BP211-BQ211</f>
        <v>43950</v>
      </c>
      <c r="BS211">
        <f>_xlfn.XLOOKUP(B211,'[7]september-2025'!$A:$A,'[7]september-2025'!$C:$C,0,0)</f>
        <v>35500</v>
      </c>
      <c r="BT211">
        <f>BS211*0.18</f>
        <v>6390</v>
      </c>
      <c r="BU211">
        <f>BS211*0.12</f>
        <v>4260</v>
      </c>
      <c r="BV211">
        <f>_xlfn.XLOOKUP(B211,'[7]september-2025'!$A:$A,'[7]september-2025'!$D:$D,0,0)</f>
        <v>0</v>
      </c>
      <c r="BW211">
        <f>_xlfn.XLOOKUP(B211,'[7]september-2025'!$A:$A,'[7]september-2025'!$G:$G,0,0)</f>
        <v>500</v>
      </c>
      <c r="BX211">
        <f>IF(BS211&gt;0,SUM(BS211:BW211),0)</f>
        <v>46650</v>
      </c>
      <c r="BY211">
        <f>_xlfn.XLOOKUP(B211,'[7]september-2025'!$A:$A,'[7]september-2025'!$H:$H,0,0)</f>
        <v>2500</v>
      </c>
      <c r="BZ211">
        <f>_xlfn.XLOOKUP(B211,'[7]september-2025'!$A:$A,'[7]september-2025'!$I:$I,0,0)</f>
        <v>0</v>
      </c>
      <c r="CA211">
        <f>IF($F211="YES",0,IF(BX211&gt;40000,200,IF(BX211&gt;25000,150,IF(BX211&gt;15000,130,IF(BX211&gt;10000,110,0)))))</f>
        <v>200</v>
      </c>
      <c r="CB211">
        <f>BX211-BY211-BZ211-CA211</f>
        <v>43950</v>
      </c>
      <c r="CC211">
        <f>_xlfn.XLOOKUP(B211,'[8]october-2025'!$A:$A,'[8]october-2025'!$C:$C,0,0)</f>
        <v>35500</v>
      </c>
      <c r="CD211">
        <f>CC211*0.18</f>
        <v>6390</v>
      </c>
      <c r="CE211">
        <f>CC211*0.12</f>
        <v>4260</v>
      </c>
      <c r="CF211">
        <f>_xlfn.XLOOKUP(B211,'[8]october-2025'!$A:$A,'[8]october-2025'!$D:$D,0,0)</f>
        <v>0</v>
      </c>
      <c r="CG211">
        <f>_xlfn.XLOOKUP(B211,'[8]october-2025'!$A:$A,'[8]october-2025'!$G:$G,0,0)</f>
        <v>500</v>
      </c>
      <c r="CH211">
        <f>IF(CC211&gt;0,SUM(CC211:CG211),0)</f>
        <v>46650</v>
      </c>
      <c r="CI211">
        <f>_xlfn.XLOOKUP(B211,'[8]october-2025'!$A:$A,'[8]october-2025'!$H:$H,0,0)</f>
        <v>2500</v>
      </c>
      <c r="CJ211">
        <f>_xlfn.XLOOKUP(B211,'[8]october-2025'!$A:$A,'[8]october-2025'!$I:$I,0,0)</f>
        <v>0</v>
      </c>
      <c r="CK211">
        <f>IF($F211="YES",0,IF(CH211&gt;40000,200,IF(CH211&gt;25000,150,IF(CH211&gt;15000,130,IF(CH211&gt;10000,110,0)))))</f>
        <v>200</v>
      </c>
      <c r="CL211">
        <f>CH211-CI211-CJ211-CK211</f>
        <v>43950</v>
      </c>
      <c r="CM211">
        <f>_xlfn.XLOOKUP(B211,'[9]november-2025'!$A:$A,'[9]november-2025'!$C:$C,0,0)</f>
        <v>35500</v>
      </c>
      <c r="CN211">
        <f>CM211*0.18</f>
        <v>6390</v>
      </c>
      <c r="CO211">
        <f>CM211*0.12</f>
        <v>4260</v>
      </c>
      <c r="CP211">
        <f>_xlfn.XLOOKUP(B211,'[9]november-2025'!$A:$A,'[9]november-2025'!$D:$D,0,0)</f>
        <v>0</v>
      </c>
      <c r="CQ211">
        <f>_xlfn.XLOOKUP(B211,'[9]november-2025'!$A:$A,'[9]november-2025'!$G:$G,0,0)</f>
        <v>500</v>
      </c>
      <c r="CR211">
        <f>IF(CM211&gt;0,SUM(CM211:CQ211),0)</f>
        <v>46650</v>
      </c>
      <c r="CS211">
        <f>_xlfn.XLOOKUP(B211,'[9]november-2025'!$A:$A,'[9]november-2025'!$H:$H,0,0)</f>
        <v>2500</v>
      </c>
      <c r="CT211">
        <f>_xlfn.XLOOKUP(B211,'[9]november-2025'!$A:$A,'[9]november-2025'!$I:$I,0,0)</f>
        <v>0</v>
      </c>
      <c r="CU211">
        <f>IF($F211="YES",0,IF(CR211&gt;40000,200,IF(CR211&gt;25000,150,IF(CR211&gt;15000,130,IF(CR211&gt;10000,110,0)))))</f>
        <v>200</v>
      </c>
      <c r="CV211">
        <f>CR211-CS211-CT211-CU211</f>
        <v>43950</v>
      </c>
      <c r="CW211">
        <f>_xlfn.XLOOKUP(B211,'[10]december-2025'!$A:$A,'[10]december-2025'!$C:$C,0,0)</f>
        <v>35500</v>
      </c>
      <c r="CX211">
        <f>ROUND(CW211*0.18,0)</f>
        <v>6390</v>
      </c>
      <c r="CY211">
        <f>ROUND(CW211*0.12,0)</f>
        <v>4260</v>
      </c>
      <c r="CZ211">
        <f>_xlfn.XLOOKUP(B211,'[10]december-2025'!$A:$A,'[10]december-2025'!$D:$D,0,0)</f>
        <v>0</v>
      </c>
      <c r="DA211">
        <f>_xlfn.XLOOKUP(B211,'[10]december-2025'!$A:$A,'[10]december-2025'!$G:$G,0,0)</f>
        <v>500</v>
      </c>
      <c r="DB211">
        <f>IF(CW211&gt;0,SUM(CW211:DA211),0)</f>
        <v>46650</v>
      </c>
      <c r="DC211">
        <f>_xlfn.XLOOKUP(B211,'[10]december-2025'!$A:$A,'[10]december-2025'!$H:$H,0,0)</f>
        <v>2500</v>
      </c>
      <c r="DD211">
        <f>_xlfn.XLOOKUP(B211,'[10]december-2025'!$A:$A,'[10]december-2025'!$I:$I,0,0)</f>
        <v>0</v>
      </c>
      <c r="DE211">
        <f>IF($F211="YES",0,IF(DB211&gt;40000,200,IF(DB211&gt;25000,150,IF(DB211&gt;15000,130,IF(DB211&gt;10000,110,0)))))</f>
        <v>200</v>
      </c>
      <c r="DF211">
        <f>DB211-DC211-DD211-DE211</f>
        <v>43950</v>
      </c>
      <c r="DG211">
        <f>_xlfn.XLOOKUP(B211,'[11]january-2026'!$A:$A,'[11]january-2026'!$C:$C,0,0)</f>
        <v>35500</v>
      </c>
      <c r="DH211">
        <f>DG211*0.18</f>
        <v>6390</v>
      </c>
      <c r="DI211">
        <f>DG211*0.12</f>
        <v>4260</v>
      </c>
      <c r="DJ211">
        <f>_xlfn.XLOOKUP(B211,'[11]january-2026'!$A:$A,'[11]january-2026'!$D:$D,0,0)</f>
        <v>0</v>
      </c>
      <c r="DK211">
        <f>_xlfn.XLOOKUP(B211,'[11]january-2026'!$A:$A,'[11]january-2026'!$G:$G,0,0)</f>
        <v>500</v>
      </c>
      <c r="DL211">
        <f>IF(DG211&gt;0,SUM(DG211:DK211),0)</f>
        <v>46650</v>
      </c>
      <c r="DM211">
        <f>_xlfn.XLOOKUP(B211,'[11]january-2026'!$A:$A,'[11]january-2026'!$H:$H,0,0)</f>
        <v>2500</v>
      </c>
      <c r="DN211">
        <f>_xlfn.XLOOKUP(B211,'[11]january-2026'!$A:$A,'[11]january-2026'!$I:$I,0,0)</f>
        <v>0</v>
      </c>
      <c r="DO211">
        <f>IF($F211="YES",0,IF(DL211&gt;40000,200,IF(DL211&gt;25000,150,IF(DL211&gt;15000,130,IF(DL211&gt;10000,110,0)))))</f>
        <v>200</v>
      </c>
      <c r="DP211">
        <f>DL211-DM211-DN211-DO211</f>
        <v>43950</v>
      </c>
      <c r="DQ211">
        <f>_xlfn.XLOOKUP(B211,'[12]february-2026'!$A:$A,'[12]february-2026'!$C:$C,0,0)</f>
        <v>35500</v>
      </c>
      <c r="DR211">
        <f>DQ211*0.18</f>
        <v>6390</v>
      </c>
      <c r="DS211">
        <f>DQ211*0.12</f>
        <v>4260</v>
      </c>
      <c r="DT211">
        <f>_xlfn.XLOOKUP(B211,'[12]february-2026'!$A:$A,'[12]february-2026'!$D:$D,0,0)</f>
        <v>0</v>
      </c>
      <c r="DU211">
        <f>_xlfn.XLOOKUP(B211,'[12]february-2026'!$A:$A,'[12]february-2026'!$G:$G,0,0)</f>
        <v>500</v>
      </c>
      <c r="DV211">
        <f>IF(DQ211&gt;0,SUM(DQ211:DU211),0)</f>
        <v>46650</v>
      </c>
      <c r="DW211">
        <f>_xlfn.XLOOKUP(B211,'[12]february-2026'!$A:$A,'[12]february-2026'!$H:$H,0,0)</f>
        <v>2500</v>
      </c>
      <c r="DX211">
        <f>_xlfn.XLOOKUP(B211,'[12]february-2026'!$A:$A,'[12]february-2026'!$I:$I,0,0)</f>
        <v>0</v>
      </c>
      <c r="DY211">
        <f>IF($F211="YES",0,IF(DV211&gt;40000,200,IF(DV211&gt;25000,150,IF(DV211&gt;15000,130,IF(DV211&gt;10000,110,0)))))</f>
        <v>200</v>
      </c>
      <c r="DZ211">
        <f>DV211-DW211-DX211-DY211</f>
        <v>43950</v>
      </c>
      <c r="EA211">
        <f>DV211+DL211+DB211+CR211+CH211+BX211+BN211+BD211+AS211+AI211+Y211+O211+H211+I211</f>
        <v>560020</v>
      </c>
      <c r="EB211">
        <f>DY211+DO211+DE211+CU211+CK211+CA211+BQ211+BG211+AV211+AL211+AB211+R211</f>
        <v>2400</v>
      </c>
      <c r="EC211">
        <f>IF(EA211&gt;0,50000,0)</f>
        <v>50000</v>
      </c>
      <c r="ED211">
        <v>0</v>
      </c>
      <c r="EE211">
        <f>EA211-EB211-EC211</f>
        <v>507620</v>
      </c>
      <c r="EF211">
        <f>DW211+DM211+DC211+CS211+CI211+BY211+BO211+BE211+AT211+AJ211+Z211+P211</f>
        <v>30000</v>
      </c>
      <c r="EG211">
        <f>DX211+DN211+DD211+CT211+CJ211+BZ211+BP211+BF211+AU211+AK211+AA211+Q211</f>
        <v>0</v>
      </c>
      <c r="EH211">
        <v>0</v>
      </c>
      <c r="EI211">
        <v>0</v>
      </c>
      <c r="EJ211">
        <v>0</v>
      </c>
      <c r="EK211">
        <v>0</v>
      </c>
      <c r="EL211">
        <v>0</v>
      </c>
      <c r="EM211">
        <v>0</v>
      </c>
      <c r="EN211">
        <v>0</v>
      </c>
      <c r="EO211">
        <v>0</v>
      </c>
      <c r="EP211">
        <v>0</v>
      </c>
      <c r="EQ211">
        <v>0</v>
      </c>
      <c r="ER211">
        <f>SUM(EF211:EQ211)</f>
        <v>30000</v>
      </c>
      <c r="ES211">
        <f>IF(ER211&gt;=150000,150000,ER211)</f>
        <v>30000</v>
      </c>
      <c r="ET211">
        <f>EE211-ES211</f>
        <v>477620</v>
      </c>
      <c r="EU211">
        <v>0</v>
      </c>
      <c r="EV211">
        <v>0</v>
      </c>
      <c r="EW211">
        <v>0</v>
      </c>
      <c r="EX211">
        <v>0</v>
      </c>
      <c r="EY211">
        <v>0</v>
      </c>
      <c r="EZ211">
        <v>0</v>
      </c>
      <c r="FA211">
        <v>0</v>
      </c>
      <c r="FB211">
        <f>SUM(EU211:FA211)+(IF(F211="YES",50000,0))</f>
        <v>0</v>
      </c>
      <c r="FC211">
        <f>ET211-FB211</f>
        <v>477620</v>
      </c>
      <c r="FD211">
        <f>ROUND(IF(FC211&gt;0,IF(FC211&gt;500000,12500,(FC211-250000)*0.05),0),0)</f>
        <v>11381</v>
      </c>
      <c r="FE211">
        <f>IF(ROUND(IF(FC211&gt;0,IF(FC211&gt;1000000,25000,(FC211-500000)*0.2),0),0)&lt;0,0,ROUND(IF(FC211&gt;0,IF(FC211&gt;1000000,25000,(FC211-500000)*0.2),0),0))</f>
        <v>0</v>
      </c>
      <c r="FF211">
        <f>FD211+FE211</f>
        <v>11381</v>
      </c>
      <c r="FG211">
        <f>IF(FF211&lt;12500,0,FF211)</f>
        <v>0</v>
      </c>
      <c r="FH211">
        <f>FG211*0.04</f>
        <v>0</v>
      </c>
      <c r="FI211">
        <f>ROUND(FH211+FG211,0)</f>
        <v>0</v>
      </c>
      <c r="FJ211">
        <v>0</v>
      </c>
      <c r="FK211">
        <f>FI211-FJ211</f>
        <v>0</v>
      </c>
      <c r="FL211" t="b">
        <f>IF(EA211&gt;500000,TRUE,FALSE)</f>
        <v>1</v>
      </c>
      <c r="FM211">
        <f ca="1">IF(FL211,RANDBETWEEN(500,1000),RANDBETWEEN(1000,3000))</f>
        <v>960</v>
      </c>
      <c r="FN211">
        <f ca="1">EA211+FM211</f>
        <v>560980</v>
      </c>
      <c r="FO211">
        <f>IF(EA211&gt;0,75000,0)</f>
        <v>75000</v>
      </c>
      <c r="FP211">
        <f ca="1">FN211-FO211</f>
        <v>485980</v>
      </c>
      <c r="FQ211">
        <f ca="1">IF(FP211&gt;2400000,FP211-2400000,0)</f>
        <v>0</v>
      </c>
      <c r="FR211">
        <f ca="1">FQ211*0.3</f>
        <v>0</v>
      </c>
      <c r="FS211">
        <f ca="1">IF(FP211&gt;2000000,FP211-2000000,0)</f>
        <v>0</v>
      </c>
      <c r="FT211">
        <f ca="1">FS211*0.25</f>
        <v>0</v>
      </c>
      <c r="FU211">
        <f ca="1">IF(FP211&gt;1600000,FP211-1600000-FQ211,0)</f>
        <v>0</v>
      </c>
      <c r="FV211">
        <f ca="1">FU211*0.2</f>
        <v>0</v>
      </c>
      <c r="FW211">
        <f ca="1">IF(FP211&gt;1200000,FP211-1200000-IF(F211="YES",50000,0)-FU211,0)</f>
        <v>0</v>
      </c>
      <c r="FX211">
        <f ca="1">FW211*0.15</f>
        <v>0</v>
      </c>
      <c r="FY211">
        <f ca="1">IF(FP211&gt;800000,FP211-800000-FQ211-FU211-FW211,0)</f>
        <v>0</v>
      </c>
      <c r="FZ211">
        <f ca="1">FY211*0.1</f>
        <v>0</v>
      </c>
      <c r="GA211">
        <f ca="1">IF(FP211&gt;400000,FP211-400000-FQ211-FU211-FW211-FY211,0)</f>
        <v>85980</v>
      </c>
      <c r="GB211">
        <f ca="1">GA211*0.05</f>
        <v>4299</v>
      </c>
      <c r="GC211">
        <f ca="1">ROUND(FR211+FT211+FV211+FX211+FZ211+GB211,0)</f>
        <v>4299</v>
      </c>
      <c r="GD211">
        <f ca="1">IF(FP211&gt;1200000,FP211,0)</f>
        <v>0</v>
      </c>
      <c r="GE211">
        <f ca="1">IF(FP211&gt;1200000,GD211-1200000,0)</f>
        <v>0</v>
      </c>
      <c r="GF211">
        <f ca="1">IF(FP211&lt;1200001,MIN(GC211,60000),0)</f>
        <v>4299</v>
      </c>
      <c r="GG211">
        <f ca="1">IF(FP211&gt;1200000,GC211-GE211,0)</f>
        <v>0</v>
      </c>
      <c r="GH211" t="b">
        <f ca="1">IF(GG211&gt;0,TRUE,FALSE)</f>
        <v>0</v>
      </c>
      <c r="GI211">
        <f ca="1">IF(GH211,GG211,0)</f>
        <v>0</v>
      </c>
      <c r="GJ211">
        <f ca="1">GF211+GI211</f>
        <v>4299</v>
      </c>
      <c r="GK211">
        <f ca="1">ROUND(GC211-GJ211,0)</f>
        <v>0</v>
      </c>
      <c r="GL211">
        <f ca="1">GK211*0.04</f>
        <v>0</v>
      </c>
      <c r="GM211">
        <f ca="1">ROUNDUP(GK211+GL211,0)</f>
        <v>0</v>
      </c>
    </row>
    <row r="212" spans="1:195" x14ac:dyDescent="0.25">
      <c r="A212">
        <f>_xlfn.AGGREGATE(3,5,$B$2:B212)</f>
        <v>211</v>
      </c>
      <c r="B212" t="s">
        <v>533</v>
      </c>
      <c r="C212" t="s">
        <v>534</v>
      </c>
      <c r="D212" t="s">
        <v>806</v>
      </c>
      <c r="E212" t="s">
        <v>833</v>
      </c>
      <c r="F212" t="s">
        <v>959</v>
      </c>
      <c r="G212" t="s">
        <v>893</v>
      </c>
      <c r="H212">
        <f>IF(_xlfn.DAYS("31-03-2025",G212)&gt;=180,6800,0)</f>
        <v>6800</v>
      </c>
      <c r="I212">
        <f>_xlfn.XLOOKUP(B212,'[1]march-2025'!$A:$A,'[1]march-2025'!$J:$J,0,0)</f>
        <v>0</v>
      </c>
      <c r="J212">
        <f>_xlfn.XLOOKUP(B212,'[1]march-2025'!$A:$A,'[1]march-2025'!$C:$C,0,0)</f>
        <v>34500</v>
      </c>
      <c r="K212">
        <f>J212*0.14</f>
        <v>4830.0000000000009</v>
      </c>
      <c r="L212">
        <f>J212*0.12</f>
        <v>4140</v>
      </c>
      <c r="M212">
        <f>_xlfn.XLOOKUP(B212,'[1]march-2025'!$A:$A,'[1]march-2025'!$D:$D,0,0)</f>
        <v>0</v>
      </c>
      <c r="N212">
        <f>_xlfn.XLOOKUP(B212,'[1]march-2025'!$A:$A,'[1]march-2025'!$G:$G,0,0)</f>
        <v>500</v>
      </c>
      <c r="O212">
        <f>IF(J212&gt;0,SUM(J212:N212),0)</f>
        <v>43970</v>
      </c>
      <c r="P212">
        <f>_xlfn.XLOOKUP(B212,'[1]march-2025'!$A:$A,'[1]march-2025'!$H:$H,0,0)</f>
        <v>2500</v>
      </c>
      <c r="Q212">
        <f>_xlfn.XLOOKUP(B212,'[1]march-2025'!$A:$A,'[1]march-2025'!$I:$I,0,0)</f>
        <v>0</v>
      </c>
      <c r="R212">
        <f>IF($F212="YES",0,IF(O212&gt;40000,200,IF(O212&gt;25000,150,IF(O212&gt;15000,130,IF(O212&gt;10000,110,0)))))</f>
        <v>200</v>
      </c>
      <c r="S212">
        <f>O212-P212-Q212-R212</f>
        <v>41270</v>
      </c>
      <c r="T212">
        <f>_xlfn.XLOOKUP(B212,'[2]april-2025'!$A:$A,'[2]april-2025'!$C:$C,0,0)</f>
        <v>34500</v>
      </c>
      <c r="U212">
        <f>T212*0.18</f>
        <v>6210</v>
      </c>
      <c r="V212">
        <f>T212*0.12</f>
        <v>4140</v>
      </c>
      <c r="W212">
        <f>_xlfn.XLOOKUP(B212,'[2]april-2025'!$A:$A,'[2]april-2025'!$D:$D,0,0)</f>
        <v>0</v>
      </c>
      <c r="X212">
        <f>_xlfn.XLOOKUP(B212,'[2]april-2025'!$A:$A,'[2]april-2025'!$G:$G,0,0)</f>
        <v>500</v>
      </c>
      <c r="Y212">
        <f>IF(T212&gt;0,SUM(T212:X212),0)</f>
        <v>45350</v>
      </c>
      <c r="Z212">
        <f>_xlfn.XLOOKUP(B212,'[2]april-2025'!$A:$A,'[2]april-2025'!$H:$H,0,0)</f>
        <v>2500</v>
      </c>
      <c r="AA212">
        <f>_xlfn.XLOOKUP(B212,'[2]april-2025'!$A:$A,'[2]april-2025'!$I:$I,0,0)</f>
        <v>0</v>
      </c>
      <c r="AB212">
        <f>IF($F212="YES",0,IF(Y212&gt;40000,200,IF(Y212&gt;25000,150,IF(Y212&gt;15000,130,IF(Y212&gt;10000,110,0)))))</f>
        <v>200</v>
      </c>
      <c r="AC212">
        <f>Y212-Z212-AA212-AB212</f>
        <v>42650</v>
      </c>
      <c r="AD212">
        <f>_xlfn.XLOOKUP(B212,'[3]may-2025'!$A:$A,'[3]may-2025'!$C:$C,0,0)</f>
        <v>34500</v>
      </c>
      <c r="AE212">
        <f>AD212*0.18</f>
        <v>6210</v>
      </c>
      <c r="AF212">
        <f>AD212*0.12</f>
        <v>4140</v>
      </c>
      <c r="AG212">
        <f>_xlfn.XLOOKUP(B212,'[3]may-2025'!$A:$A,'[3]may-2025'!$D:$D,0,0)</f>
        <v>0</v>
      </c>
      <c r="AH212">
        <f>_xlfn.XLOOKUP(B212,'[3]may-2025'!$A:$A,'[3]may-2025'!$G:$G,0,0)</f>
        <v>500</v>
      </c>
      <c r="AI212">
        <f>IF(AD212&gt;0,SUM(AD212:AH212),0)</f>
        <v>45350</v>
      </c>
      <c r="AJ212">
        <f>_xlfn.XLOOKUP(B212,'[3]may-2025'!$A:$A,'[3]may-2025'!$H:$H,0,0)</f>
        <v>2500</v>
      </c>
      <c r="AK212">
        <f>_xlfn.XLOOKUP(B212,'[3]may-2025'!$A:$A,'[3]may-2025'!$I:$I,0,0)</f>
        <v>0</v>
      </c>
      <c r="AL212">
        <f>IF($F212="YES",0,IF(AI212&gt;40000,200,IF(AI212&gt;25000,150,IF(AI212&gt;15000,130,IF(AI212&gt;10000,110,0)))))</f>
        <v>200</v>
      </c>
      <c r="AM212">
        <f>AI212-AJ212-AK212-AL212</f>
        <v>42650</v>
      </c>
      <c r="AN212">
        <f>_xlfn.XLOOKUP(B212,'[4]june-2025'!$A:$A,'[4]june-2025'!$C:$C,0,0)</f>
        <v>34500</v>
      </c>
      <c r="AO212">
        <f>AN212*0.18</f>
        <v>6210</v>
      </c>
      <c r="AP212">
        <f>AN212*0.12</f>
        <v>4140</v>
      </c>
      <c r="AQ212">
        <f>_xlfn.XLOOKUP(B212,'[4]june-2025'!$A:$A,'[4]june-2025'!$D:$D,0,0)</f>
        <v>0</v>
      </c>
      <c r="AR212">
        <f>_xlfn.XLOOKUP(B212,'[4]june-2025'!$A:$A,'[4]june-2025'!$G:$G,0,0)</f>
        <v>500</v>
      </c>
      <c r="AS212">
        <f>IF(AN212&gt;0,SUM(AN212:AR212),0)</f>
        <v>45350</v>
      </c>
      <c r="AT212">
        <f>_xlfn.XLOOKUP(B212,'[4]june-2025'!$A:$A,'[4]june-2025'!$H:$H,0,0)</f>
        <v>2500</v>
      </c>
      <c r="AU212">
        <f>_xlfn.XLOOKUP(B212,'[4]june-2025'!$A:$A,'[4]june-2025'!$I:$I,0,0)</f>
        <v>0</v>
      </c>
      <c r="AV212">
        <f>IF($F212="YES",0,IF(AS212&gt;40000,200,IF(AS212&gt;25000,150,IF(AS212&gt;15000,130,IF(AS212&gt;10000,110,0)))))</f>
        <v>200</v>
      </c>
      <c r="AW212">
        <f>AS212-AT212-AU212-AV212</f>
        <v>42650</v>
      </c>
      <c r="AX212">
        <f>_xlfn.XLOOKUP(B212,'[5]july-2025'!$A:$A,'[5]july-2025'!$C:$C,0,0)</f>
        <v>35500</v>
      </c>
      <c r="AY212">
        <f>AX212*0.18</f>
        <v>6390</v>
      </c>
      <c r="AZ212">
        <v>0</v>
      </c>
      <c r="BA212">
        <f>AX212*0.12</f>
        <v>4260</v>
      </c>
      <c r="BB212">
        <f>_xlfn.XLOOKUP(B212,'[5]july-2025'!$A:$A,'[5]july-2025'!$D:$D,0,0)</f>
        <v>0</v>
      </c>
      <c r="BC212">
        <f>_xlfn.XLOOKUP(B212,'[5]july-2025'!$A:$A,'[5]july-2025'!$G:$G,0,0)</f>
        <v>500</v>
      </c>
      <c r="BD212">
        <f>IF(AX212&gt;0,SUM(AX212:BC212),0)</f>
        <v>46650</v>
      </c>
      <c r="BE212">
        <f>_xlfn.XLOOKUP(B212,'[5]july-2025'!$A:$A,'[5]july-2025'!$H:$H,0,0)</f>
        <v>2500</v>
      </c>
      <c r="BF212">
        <f>_xlfn.XLOOKUP(B212,'[5]july-2025'!$A:$A,'[5]july-2025'!$I:$I,0,0)</f>
        <v>0</v>
      </c>
      <c r="BG212">
        <f>IF($F212="YES",0,IF(BD212&gt;40000,200,IF(BD212&gt;25000,150,IF(BD212&gt;15000,130,IF(BD212&gt;10000,110,0)))))</f>
        <v>200</v>
      </c>
      <c r="BH212">
        <f>BD212-BE212-BF212-BG212</f>
        <v>43950</v>
      </c>
      <c r="BI212">
        <f>_xlfn.XLOOKUP(B212,'[6]august-2025'!$A:$A,'[6]august-2025'!$C:$C,0,0)</f>
        <v>35500</v>
      </c>
      <c r="BJ212">
        <f>BI212*0.18</f>
        <v>6390</v>
      </c>
      <c r="BK212">
        <f>BI212*0.12</f>
        <v>4260</v>
      </c>
      <c r="BL212">
        <f>_xlfn.XLOOKUP(B212,'[6]august-2025'!$A:$A,'[6]august-2025'!$D:$D,0,0)</f>
        <v>0</v>
      </c>
      <c r="BM212">
        <f>_xlfn.XLOOKUP(B212,'[6]august-2025'!$A:$A,'[6]august-2025'!$G:$G,0,0)</f>
        <v>500</v>
      </c>
      <c r="BN212">
        <f>IF(BI212&gt;0,SUM(BI212:BM212),0)</f>
        <v>46650</v>
      </c>
      <c r="BO212">
        <f>_xlfn.XLOOKUP(B212,'[6]august-2025'!$A:$A,'[6]august-2025'!$H:$H,0,0)</f>
        <v>2500</v>
      </c>
      <c r="BP212">
        <f>_xlfn.XLOOKUP(B212,'[6]august-2025'!$A:$A,'[6]august-2025'!$I:$I,0,0)</f>
        <v>0</v>
      </c>
      <c r="BQ212">
        <f>IF($F212="YES",0,IF(BN212&gt;40000,200,IF(BN212&gt;25000,150,IF(BN212&gt;15000,130,IF(BN212&gt;10000,110,0)))))</f>
        <v>200</v>
      </c>
      <c r="BR212">
        <f>BN212-BO212-BP212-BQ212</f>
        <v>43950</v>
      </c>
      <c r="BS212">
        <f>_xlfn.XLOOKUP(B212,'[7]september-2025'!$A:$A,'[7]september-2025'!$C:$C,0,0)</f>
        <v>35500</v>
      </c>
      <c r="BT212">
        <f>BS212*0.18</f>
        <v>6390</v>
      </c>
      <c r="BU212">
        <f>BS212*0.12</f>
        <v>4260</v>
      </c>
      <c r="BV212">
        <f>_xlfn.XLOOKUP(B212,'[7]september-2025'!$A:$A,'[7]september-2025'!$D:$D,0,0)</f>
        <v>0</v>
      </c>
      <c r="BW212">
        <f>_xlfn.XLOOKUP(B212,'[7]september-2025'!$A:$A,'[7]september-2025'!$G:$G,0,0)</f>
        <v>500</v>
      </c>
      <c r="BX212">
        <f>IF(BS212&gt;0,SUM(BS212:BW212),0)</f>
        <v>46650</v>
      </c>
      <c r="BY212">
        <f>_xlfn.XLOOKUP(B212,'[7]september-2025'!$A:$A,'[7]september-2025'!$H:$H,0,0)</f>
        <v>2500</v>
      </c>
      <c r="BZ212">
        <f>_xlfn.XLOOKUP(B212,'[7]september-2025'!$A:$A,'[7]september-2025'!$I:$I,0,0)</f>
        <v>0</v>
      </c>
      <c r="CA212">
        <f>IF($F212="YES",0,IF(BX212&gt;40000,200,IF(BX212&gt;25000,150,IF(BX212&gt;15000,130,IF(BX212&gt;10000,110,0)))))</f>
        <v>200</v>
      </c>
      <c r="CB212">
        <f>BX212-BY212-BZ212-CA212</f>
        <v>43950</v>
      </c>
      <c r="CC212">
        <f>_xlfn.XLOOKUP(B212,'[8]october-2025'!$A:$A,'[8]october-2025'!$C:$C,0,0)</f>
        <v>35500</v>
      </c>
      <c r="CD212">
        <f>CC212*0.18</f>
        <v>6390</v>
      </c>
      <c r="CE212">
        <f>CC212*0.12</f>
        <v>4260</v>
      </c>
      <c r="CF212">
        <f>_xlfn.XLOOKUP(B212,'[8]october-2025'!$A:$A,'[8]october-2025'!$D:$D,0,0)</f>
        <v>0</v>
      </c>
      <c r="CG212">
        <f>_xlfn.XLOOKUP(B212,'[8]october-2025'!$A:$A,'[8]october-2025'!$G:$G,0,0)</f>
        <v>500</v>
      </c>
      <c r="CH212">
        <f>IF(CC212&gt;0,SUM(CC212:CG212),0)</f>
        <v>46650</v>
      </c>
      <c r="CI212">
        <f>_xlfn.XLOOKUP(B212,'[8]october-2025'!$A:$A,'[8]october-2025'!$H:$H,0,0)</f>
        <v>2500</v>
      </c>
      <c r="CJ212">
        <f>_xlfn.XLOOKUP(B212,'[8]october-2025'!$A:$A,'[8]october-2025'!$I:$I,0,0)</f>
        <v>0</v>
      </c>
      <c r="CK212">
        <f>IF($F212="YES",0,IF(CH212&gt;40000,200,IF(CH212&gt;25000,150,IF(CH212&gt;15000,130,IF(CH212&gt;10000,110,0)))))</f>
        <v>200</v>
      </c>
      <c r="CL212">
        <f>CH212-CI212-CJ212-CK212</f>
        <v>43950</v>
      </c>
      <c r="CM212">
        <f>_xlfn.XLOOKUP(B212,'[9]november-2025'!$A:$A,'[9]november-2025'!$C:$C,0,0)</f>
        <v>35500</v>
      </c>
      <c r="CN212">
        <f>CM212*0.18</f>
        <v>6390</v>
      </c>
      <c r="CO212">
        <f>CM212*0.12</f>
        <v>4260</v>
      </c>
      <c r="CP212">
        <f>_xlfn.XLOOKUP(B212,'[9]november-2025'!$A:$A,'[9]november-2025'!$D:$D,0,0)</f>
        <v>0</v>
      </c>
      <c r="CQ212">
        <f>_xlfn.XLOOKUP(B212,'[9]november-2025'!$A:$A,'[9]november-2025'!$G:$G,0,0)</f>
        <v>500</v>
      </c>
      <c r="CR212">
        <f>IF(CM212&gt;0,SUM(CM212:CQ212),0)</f>
        <v>46650</v>
      </c>
      <c r="CS212">
        <f>_xlfn.XLOOKUP(B212,'[9]november-2025'!$A:$A,'[9]november-2025'!$H:$H,0,0)</f>
        <v>2500</v>
      </c>
      <c r="CT212">
        <f>_xlfn.XLOOKUP(B212,'[9]november-2025'!$A:$A,'[9]november-2025'!$I:$I,0,0)</f>
        <v>0</v>
      </c>
      <c r="CU212">
        <f>IF($F212="YES",0,IF(CR212&gt;40000,200,IF(CR212&gt;25000,150,IF(CR212&gt;15000,130,IF(CR212&gt;10000,110,0)))))</f>
        <v>200</v>
      </c>
      <c r="CV212">
        <f>CR212-CS212-CT212-CU212</f>
        <v>43950</v>
      </c>
      <c r="CW212">
        <f>_xlfn.XLOOKUP(B212,'[10]december-2025'!$A:$A,'[10]december-2025'!$C:$C,0,0)</f>
        <v>35500</v>
      </c>
      <c r="CX212">
        <f>ROUND(CW212*0.18,0)</f>
        <v>6390</v>
      </c>
      <c r="CY212">
        <f>ROUND(CW212*0.12,0)</f>
        <v>4260</v>
      </c>
      <c r="CZ212">
        <f>_xlfn.XLOOKUP(B212,'[10]december-2025'!$A:$A,'[10]december-2025'!$D:$D,0,0)</f>
        <v>0</v>
      </c>
      <c r="DA212">
        <f>_xlfn.XLOOKUP(B212,'[10]december-2025'!$A:$A,'[10]december-2025'!$G:$G,0,0)</f>
        <v>500</v>
      </c>
      <c r="DB212">
        <f>IF(CW212&gt;0,SUM(CW212:DA212),0)</f>
        <v>46650</v>
      </c>
      <c r="DC212">
        <f>_xlfn.XLOOKUP(B212,'[10]december-2025'!$A:$A,'[10]december-2025'!$H:$H,0,0)</f>
        <v>2500</v>
      </c>
      <c r="DD212">
        <f>_xlfn.XLOOKUP(B212,'[10]december-2025'!$A:$A,'[10]december-2025'!$I:$I,0,0)</f>
        <v>0</v>
      </c>
      <c r="DE212">
        <f>IF($F212="YES",0,IF(DB212&gt;40000,200,IF(DB212&gt;25000,150,IF(DB212&gt;15000,130,IF(DB212&gt;10000,110,0)))))</f>
        <v>200</v>
      </c>
      <c r="DF212">
        <f>DB212-DC212-DD212-DE212</f>
        <v>43950</v>
      </c>
      <c r="DG212">
        <f>_xlfn.XLOOKUP(B212,'[11]january-2026'!$A:$A,'[11]january-2026'!$C:$C,0,0)</f>
        <v>35500</v>
      </c>
      <c r="DH212">
        <f>DG212*0.18</f>
        <v>6390</v>
      </c>
      <c r="DI212">
        <f>DG212*0.12</f>
        <v>4260</v>
      </c>
      <c r="DJ212">
        <f>_xlfn.XLOOKUP(B212,'[11]january-2026'!$A:$A,'[11]january-2026'!$D:$D,0,0)</f>
        <v>0</v>
      </c>
      <c r="DK212">
        <f>_xlfn.XLOOKUP(B212,'[11]january-2026'!$A:$A,'[11]january-2026'!$G:$G,0,0)</f>
        <v>500</v>
      </c>
      <c r="DL212">
        <f>IF(DG212&gt;0,SUM(DG212:DK212),0)</f>
        <v>46650</v>
      </c>
      <c r="DM212">
        <f>_xlfn.XLOOKUP(B212,'[11]january-2026'!$A:$A,'[11]january-2026'!$H:$H,0,0)</f>
        <v>2500</v>
      </c>
      <c r="DN212">
        <f>_xlfn.XLOOKUP(B212,'[11]january-2026'!$A:$A,'[11]january-2026'!$I:$I,0,0)</f>
        <v>0</v>
      </c>
      <c r="DO212">
        <f>IF($F212="YES",0,IF(DL212&gt;40000,200,IF(DL212&gt;25000,150,IF(DL212&gt;15000,130,IF(DL212&gt;10000,110,0)))))</f>
        <v>200</v>
      </c>
      <c r="DP212">
        <f>DL212-DM212-DN212-DO212</f>
        <v>43950</v>
      </c>
      <c r="DQ212">
        <f>_xlfn.XLOOKUP(B212,'[12]february-2026'!$A:$A,'[12]february-2026'!$C:$C,0,0)</f>
        <v>35500</v>
      </c>
      <c r="DR212">
        <f>DQ212*0.18</f>
        <v>6390</v>
      </c>
      <c r="DS212">
        <f>DQ212*0.12</f>
        <v>4260</v>
      </c>
      <c r="DT212">
        <f>_xlfn.XLOOKUP(B212,'[12]february-2026'!$A:$A,'[12]february-2026'!$D:$D,0,0)</f>
        <v>0</v>
      </c>
      <c r="DU212">
        <f>_xlfn.XLOOKUP(B212,'[12]february-2026'!$A:$A,'[12]february-2026'!$G:$G,0,0)</f>
        <v>500</v>
      </c>
      <c r="DV212">
        <f>IF(DQ212&gt;0,SUM(DQ212:DU212),0)</f>
        <v>46650</v>
      </c>
      <c r="DW212">
        <f>_xlfn.XLOOKUP(B212,'[12]february-2026'!$A:$A,'[12]february-2026'!$H:$H,0,0)</f>
        <v>2500</v>
      </c>
      <c r="DX212">
        <f>_xlfn.XLOOKUP(B212,'[12]february-2026'!$A:$A,'[12]february-2026'!$I:$I,0,0)</f>
        <v>0</v>
      </c>
      <c r="DY212">
        <f>IF($F212="YES",0,IF(DV212&gt;40000,200,IF(DV212&gt;25000,150,IF(DV212&gt;15000,130,IF(DV212&gt;10000,110,0)))))</f>
        <v>200</v>
      </c>
      <c r="DZ212">
        <f>DV212-DW212-DX212-DY212</f>
        <v>43950</v>
      </c>
      <c r="EA212">
        <f>DV212+DL212+DB212+CR212+CH212+BX212+BN212+BD212+AS212+AI212+Y212+O212+H212+I212</f>
        <v>560020</v>
      </c>
      <c r="EB212">
        <f>DY212+DO212+DE212+CU212+CK212+CA212+BQ212+BG212+AV212+AL212+AB212+R212</f>
        <v>2400</v>
      </c>
      <c r="EC212">
        <f>IF(EA212&gt;0,50000,0)</f>
        <v>50000</v>
      </c>
      <c r="ED212">
        <v>0</v>
      </c>
      <c r="EE212">
        <f>EA212-EB212-EC212</f>
        <v>507620</v>
      </c>
      <c r="EF212">
        <f>DW212+DM212+DC212+CS212+CI212+BY212+BO212+BE212+AT212+AJ212+Z212+P212</f>
        <v>30000</v>
      </c>
      <c r="EG212">
        <f>DX212+DN212+DD212+CT212+CJ212+BZ212+BP212+BF212+AU212+AK212+AA212+Q212</f>
        <v>0</v>
      </c>
      <c r="EH212">
        <v>0</v>
      </c>
      <c r="EI212">
        <v>0</v>
      </c>
      <c r="EJ212">
        <v>0</v>
      </c>
      <c r="EK212">
        <v>0</v>
      </c>
      <c r="EL212">
        <v>0</v>
      </c>
      <c r="EM212">
        <v>0</v>
      </c>
      <c r="EN212">
        <v>0</v>
      </c>
      <c r="EO212">
        <v>0</v>
      </c>
      <c r="EP212">
        <v>0</v>
      </c>
      <c r="EQ212">
        <v>0</v>
      </c>
      <c r="ER212">
        <f>SUM(EF212:EQ212)</f>
        <v>30000</v>
      </c>
      <c r="ES212">
        <f>IF(ER212&gt;=150000,150000,ER212)</f>
        <v>30000</v>
      </c>
      <c r="ET212">
        <f>EE212-ES212</f>
        <v>477620</v>
      </c>
      <c r="EU212">
        <v>0</v>
      </c>
      <c r="EV212">
        <v>0</v>
      </c>
      <c r="EW212">
        <v>0</v>
      </c>
      <c r="EX212">
        <v>0</v>
      </c>
      <c r="EY212">
        <v>0</v>
      </c>
      <c r="EZ212">
        <v>0</v>
      </c>
      <c r="FA212">
        <v>0</v>
      </c>
      <c r="FB212">
        <f>SUM(EU212:FA212)+(IF(F212="YES",50000,0))</f>
        <v>0</v>
      </c>
      <c r="FC212">
        <f>ET212-FB212</f>
        <v>477620</v>
      </c>
      <c r="FD212">
        <f>ROUND(IF(FC212&gt;0,IF(FC212&gt;500000,12500,(FC212-250000)*0.05),0),0)</f>
        <v>11381</v>
      </c>
      <c r="FE212">
        <f>IF(ROUND(IF(FC212&gt;0,IF(FC212&gt;1000000,25000,(FC212-500000)*0.2),0),0)&lt;0,0,ROUND(IF(FC212&gt;0,IF(FC212&gt;1000000,25000,(FC212-500000)*0.2),0),0))</f>
        <v>0</v>
      </c>
      <c r="FF212">
        <f>FD212+FE212</f>
        <v>11381</v>
      </c>
      <c r="FG212">
        <f>IF(FF212&lt;12500,0,FF212)</f>
        <v>0</v>
      </c>
      <c r="FH212">
        <f>FG212*0.04</f>
        <v>0</v>
      </c>
      <c r="FI212">
        <f>ROUND(FH212+FG212,0)</f>
        <v>0</v>
      </c>
      <c r="FJ212">
        <v>0</v>
      </c>
      <c r="FK212">
        <f>FI212-FJ212</f>
        <v>0</v>
      </c>
      <c r="FL212" t="b">
        <f>IF(EA212&gt;500000,TRUE,FALSE)</f>
        <v>1</v>
      </c>
      <c r="FM212">
        <f ca="1">IF(FL212,RANDBETWEEN(500,1000),RANDBETWEEN(1000,3000))</f>
        <v>774</v>
      </c>
      <c r="FN212">
        <f ca="1">EA212+FM212</f>
        <v>560794</v>
      </c>
      <c r="FO212">
        <f>IF(EA212&gt;0,75000,0)</f>
        <v>75000</v>
      </c>
      <c r="FP212">
        <f ca="1">FN212-FO212</f>
        <v>485794</v>
      </c>
      <c r="FQ212">
        <f ca="1">IF(FP212&gt;2400000,FP212-2400000,0)</f>
        <v>0</v>
      </c>
      <c r="FR212">
        <f ca="1">FQ212*0.3</f>
        <v>0</v>
      </c>
      <c r="FS212">
        <f ca="1">IF(FP212&gt;2000000,FP212-2000000,0)</f>
        <v>0</v>
      </c>
      <c r="FT212">
        <f ca="1">FS212*0.25</f>
        <v>0</v>
      </c>
      <c r="FU212">
        <f ca="1">IF(FP212&gt;1600000,FP212-1600000-FQ212,0)</f>
        <v>0</v>
      </c>
      <c r="FV212">
        <f ca="1">FU212*0.2</f>
        <v>0</v>
      </c>
      <c r="FW212">
        <f ca="1">IF(FP212&gt;1200000,FP212-1200000-IF(F212="YES",50000,0)-FU212,0)</f>
        <v>0</v>
      </c>
      <c r="FX212">
        <f ca="1">FW212*0.15</f>
        <v>0</v>
      </c>
      <c r="FY212">
        <f ca="1">IF(FP212&gt;800000,FP212-800000-FQ212-FU212-FW212,0)</f>
        <v>0</v>
      </c>
      <c r="FZ212">
        <f ca="1">FY212*0.1</f>
        <v>0</v>
      </c>
      <c r="GA212">
        <f ca="1">IF(FP212&gt;400000,FP212-400000-FQ212-FU212-FW212-FY212,0)</f>
        <v>85794</v>
      </c>
      <c r="GB212">
        <f ca="1">GA212*0.05</f>
        <v>4289.7</v>
      </c>
      <c r="GC212">
        <f ca="1">ROUND(FR212+FT212+FV212+FX212+FZ212+GB212,0)</f>
        <v>4290</v>
      </c>
      <c r="GD212">
        <f ca="1">IF(FP212&gt;1200000,FP212,0)</f>
        <v>0</v>
      </c>
      <c r="GE212">
        <f ca="1">IF(FP212&gt;1200000,GD212-1200000,0)</f>
        <v>0</v>
      </c>
      <c r="GF212">
        <f ca="1">IF(FP212&lt;1200001,MIN(GC212,60000),0)</f>
        <v>4290</v>
      </c>
      <c r="GG212">
        <f ca="1">IF(FP212&gt;1200000,GC212-GE212,0)</f>
        <v>0</v>
      </c>
      <c r="GH212" t="b">
        <f ca="1">IF(GG212&gt;0,TRUE,FALSE)</f>
        <v>0</v>
      </c>
      <c r="GI212">
        <f ca="1">IF(GH212,GG212,0)</f>
        <v>0</v>
      </c>
      <c r="GJ212">
        <f ca="1">GF212+GI212</f>
        <v>4290</v>
      </c>
      <c r="GK212">
        <f ca="1">ROUND(GC212-GJ212,0)</f>
        <v>0</v>
      </c>
      <c r="GL212">
        <f ca="1">GK212*0.04</f>
        <v>0</v>
      </c>
      <c r="GM212">
        <f ca="1">ROUNDUP(GK212+GL212,0)</f>
        <v>0</v>
      </c>
    </row>
    <row r="213" spans="1:195" x14ac:dyDescent="0.25">
      <c r="A213">
        <f>_xlfn.AGGREGATE(3,5,$B$2:B213)</f>
        <v>212</v>
      </c>
      <c r="B213" t="s">
        <v>535</v>
      </c>
      <c r="C213" t="s">
        <v>536</v>
      </c>
      <c r="D213" t="s">
        <v>806</v>
      </c>
      <c r="E213" t="s">
        <v>833</v>
      </c>
      <c r="F213" t="s">
        <v>959</v>
      </c>
      <c r="G213" t="s">
        <v>899</v>
      </c>
      <c r="H213">
        <f>IF(_xlfn.DAYS("31-03-2025",G213)&gt;=180,6800,0)</f>
        <v>6800</v>
      </c>
      <c r="I213">
        <f>_xlfn.XLOOKUP(B213,'[1]march-2025'!$A:$A,'[1]march-2025'!$J:$J,0,0)</f>
        <v>0</v>
      </c>
      <c r="J213">
        <f>_xlfn.XLOOKUP(B213,'[1]march-2025'!$A:$A,'[1]march-2025'!$C:$C,0,0)</f>
        <v>33500</v>
      </c>
      <c r="K213">
        <f>J213*0.14</f>
        <v>4690</v>
      </c>
      <c r="L213">
        <f>J213*0.12</f>
        <v>4020</v>
      </c>
      <c r="M213">
        <f>_xlfn.XLOOKUP(B213,'[1]march-2025'!$A:$A,'[1]march-2025'!$D:$D,0,0)</f>
        <v>0</v>
      </c>
      <c r="N213">
        <f>_xlfn.XLOOKUP(B213,'[1]march-2025'!$A:$A,'[1]march-2025'!$G:$G,0,0)</f>
        <v>0</v>
      </c>
      <c r="O213">
        <f>IF(J213&gt;0,SUM(J213:N213),0)</f>
        <v>42210</v>
      </c>
      <c r="P213">
        <f>_xlfn.XLOOKUP(B213,'[1]march-2025'!$A:$A,'[1]march-2025'!$H:$H,0,0)</f>
        <v>2500</v>
      </c>
      <c r="Q213">
        <f>_xlfn.XLOOKUP(B213,'[1]march-2025'!$A:$A,'[1]march-2025'!$I:$I,0,0)</f>
        <v>0</v>
      </c>
      <c r="R213">
        <f>IF($F213="YES",0,IF(O213&gt;40000,200,IF(O213&gt;25000,150,IF(O213&gt;15000,130,IF(O213&gt;10000,110,0)))))</f>
        <v>200</v>
      </c>
      <c r="S213">
        <f>O213-P213-Q213-R213</f>
        <v>39510</v>
      </c>
      <c r="T213">
        <f>_xlfn.XLOOKUP(B213,'[2]april-2025'!$A:$A,'[2]april-2025'!$C:$C,0,0)</f>
        <v>33500</v>
      </c>
      <c r="U213">
        <f>T213*0.18</f>
        <v>6030</v>
      </c>
      <c r="V213">
        <f>T213*0.12</f>
        <v>4020</v>
      </c>
      <c r="W213">
        <f>_xlfn.XLOOKUP(B213,'[2]april-2025'!$A:$A,'[2]april-2025'!$D:$D,0,0)</f>
        <v>0</v>
      </c>
      <c r="X213">
        <f>_xlfn.XLOOKUP(B213,'[2]april-2025'!$A:$A,'[2]april-2025'!$G:$G,0,0)</f>
        <v>0</v>
      </c>
      <c r="Y213">
        <f>IF(T213&gt;0,SUM(T213:X213),0)</f>
        <v>43550</v>
      </c>
      <c r="Z213">
        <f>_xlfn.XLOOKUP(B213,'[2]april-2025'!$A:$A,'[2]april-2025'!$H:$H,0,0)</f>
        <v>2500</v>
      </c>
      <c r="AA213">
        <f>_xlfn.XLOOKUP(B213,'[2]april-2025'!$A:$A,'[2]april-2025'!$I:$I,0,0)</f>
        <v>0</v>
      </c>
      <c r="AB213">
        <f>IF($F213="YES",0,IF(Y213&gt;40000,200,IF(Y213&gt;25000,150,IF(Y213&gt;15000,130,IF(Y213&gt;10000,110,0)))))</f>
        <v>200</v>
      </c>
      <c r="AC213">
        <f>Y213-Z213-AA213-AB213</f>
        <v>40850</v>
      </c>
      <c r="AD213">
        <f>_xlfn.XLOOKUP(B213,'[3]may-2025'!$A:$A,'[3]may-2025'!$C:$C,0,0)</f>
        <v>33500</v>
      </c>
      <c r="AE213">
        <f>AD213*0.18</f>
        <v>6030</v>
      </c>
      <c r="AF213">
        <f>AD213*0.12</f>
        <v>4020</v>
      </c>
      <c r="AG213">
        <f>_xlfn.XLOOKUP(B213,'[3]may-2025'!$A:$A,'[3]may-2025'!$D:$D,0,0)</f>
        <v>0</v>
      </c>
      <c r="AH213">
        <f>_xlfn.XLOOKUP(B213,'[3]may-2025'!$A:$A,'[3]may-2025'!$G:$G,0,0)</f>
        <v>0</v>
      </c>
      <c r="AI213">
        <f>IF(AD213&gt;0,SUM(AD213:AH213),0)</f>
        <v>43550</v>
      </c>
      <c r="AJ213">
        <f>_xlfn.XLOOKUP(B213,'[3]may-2025'!$A:$A,'[3]may-2025'!$H:$H,0,0)</f>
        <v>2500</v>
      </c>
      <c r="AK213">
        <f>_xlfn.XLOOKUP(B213,'[3]may-2025'!$A:$A,'[3]may-2025'!$I:$I,0,0)</f>
        <v>0</v>
      </c>
      <c r="AL213">
        <f>IF($F213="YES",0,IF(AI213&gt;40000,200,IF(AI213&gt;25000,150,IF(AI213&gt;15000,130,IF(AI213&gt;10000,110,0)))))</f>
        <v>200</v>
      </c>
      <c r="AM213">
        <f>AI213-AJ213-AK213-AL213</f>
        <v>40850</v>
      </c>
      <c r="AN213">
        <f>_xlfn.XLOOKUP(B213,'[4]june-2025'!$A:$A,'[4]june-2025'!$C:$C,0,0)</f>
        <v>33500</v>
      </c>
      <c r="AO213">
        <f>AN213*0.18</f>
        <v>6030</v>
      </c>
      <c r="AP213">
        <f>AN213*0.12</f>
        <v>4020</v>
      </c>
      <c r="AQ213">
        <f>_xlfn.XLOOKUP(B213,'[4]june-2025'!$A:$A,'[4]june-2025'!$D:$D,0,0)</f>
        <v>0</v>
      </c>
      <c r="AR213">
        <f>_xlfn.XLOOKUP(B213,'[4]june-2025'!$A:$A,'[4]june-2025'!$G:$G,0,0)</f>
        <v>0</v>
      </c>
      <c r="AS213">
        <f>IF(AN213&gt;0,SUM(AN213:AR213),0)</f>
        <v>43550</v>
      </c>
      <c r="AT213">
        <f>_xlfn.XLOOKUP(B213,'[4]june-2025'!$A:$A,'[4]june-2025'!$H:$H,0,0)</f>
        <v>2500</v>
      </c>
      <c r="AU213">
        <f>_xlfn.XLOOKUP(B213,'[4]june-2025'!$A:$A,'[4]june-2025'!$I:$I,0,0)</f>
        <v>0</v>
      </c>
      <c r="AV213">
        <f>IF($F213="YES",0,IF(AS213&gt;40000,200,IF(AS213&gt;25000,150,IF(AS213&gt;15000,130,IF(AS213&gt;10000,110,0)))))</f>
        <v>200</v>
      </c>
      <c r="AW213">
        <f>AS213-AT213-AU213-AV213</f>
        <v>40850</v>
      </c>
      <c r="AX213">
        <f>_xlfn.XLOOKUP(B213,'[5]july-2025'!$A:$A,'[5]july-2025'!$C:$C,0,0)</f>
        <v>34500</v>
      </c>
      <c r="AY213">
        <f>AX213*0.18</f>
        <v>6210</v>
      </c>
      <c r="AZ213">
        <v>0</v>
      </c>
      <c r="BA213">
        <f>AX213*0.12</f>
        <v>4140</v>
      </c>
      <c r="BB213">
        <f>_xlfn.XLOOKUP(B213,'[5]july-2025'!$A:$A,'[5]july-2025'!$D:$D,0,0)</f>
        <v>0</v>
      </c>
      <c r="BC213">
        <f>_xlfn.XLOOKUP(B213,'[5]july-2025'!$A:$A,'[5]july-2025'!$G:$G,0,0)</f>
        <v>0</v>
      </c>
      <c r="BD213">
        <f>IF(AX213&gt;0,SUM(AX213:BC213),0)</f>
        <v>44850</v>
      </c>
      <c r="BE213">
        <f>_xlfn.XLOOKUP(B213,'[5]july-2025'!$A:$A,'[5]july-2025'!$H:$H,0,0)</f>
        <v>2500</v>
      </c>
      <c r="BF213">
        <f>_xlfn.XLOOKUP(B213,'[5]july-2025'!$A:$A,'[5]july-2025'!$I:$I,0,0)</f>
        <v>0</v>
      </c>
      <c r="BG213">
        <f>IF($F213="YES",0,IF(BD213&gt;40000,200,IF(BD213&gt;25000,150,IF(BD213&gt;15000,130,IF(BD213&gt;10000,110,0)))))</f>
        <v>200</v>
      </c>
      <c r="BH213">
        <f>BD213-BE213-BF213-BG213</f>
        <v>42150</v>
      </c>
      <c r="BI213">
        <f>_xlfn.XLOOKUP(B213,'[6]august-2025'!$A:$A,'[6]august-2025'!$C:$C,0,0)</f>
        <v>34500</v>
      </c>
      <c r="BJ213">
        <f>BI213*0.18</f>
        <v>6210</v>
      </c>
      <c r="BK213">
        <f>BI213*0.12</f>
        <v>4140</v>
      </c>
      <c r="BL213">
        <f>_xlfn.XLOOKUP(B213,'[6]august-2025'!$A:$A,'[6]august-2025'!$D:$D,0,0)</f>
        <v>0</v>
      </c>
      <c r="BM213">
        <f>_xlfn.XLOOKUP(B213,'[6]august-2025'!$A:$A,'[6]august-2025'!$G:$G,0,0)</f>
        <v>0</v>
      </c>
      <c r="BN213">
        <f>IF(BI213&gt;0,SUM(BI213:BM213),0)</f>
        <v>44850</v>
      </c>
      <c r="BO213">
        <f>_xlfn.XLOOKUP(B213,'[6]august-2025'!$A:$A,'[6]august-2025'!$H:$H,0,0)</f>
        <v>2500</v>
      </c>
      <c r="BP213">
        <f>_xlfn.XLOOKUP(B213,'[6]august-2025'!$A:$A,'[6]august-2025'!$I:$I,0,0)</f>
        <v>0</v>
      </c>
      <c r="BQ213">
        <f>IF($F213="YES",0,IF(BN213&gt;40000,200,IF(BN213&gt;25000,150,IF(BN213&gt;15000,130,IF(BN213&gt;10000,110,0)))))</f>
        <v>200</v>
      </c>
      <c r="BR213">
        <f>BN213-BO213-BP213-BQ213</f>
        <v>42150</v>
      </c>
      <c r="BS213">
        <f>_xlfn.XLOOKUP(B213,'[7]september-2025'!$A:$A,'[7]september-2025'!$C:$C,0,0)</f>
        <v>34500</v>
      </c>
      <c r="BT213">
        <f>BS213*0.18</f>
        <v>6210</v>
      </c>
      <c r="BU213">
        <f>BS213*0.12</f>
        <v>4140</v>
      </c>
      <c r="BV213">
        <f>_xlfn.XLOOKUP(B213,'[7]september-2025'!$A:$A,'[7]september-2025'!$D:$D,0,0)</f>
        <v>0</v>
      </c>
      <c r="BW213">
        <f>_xlfn.XLOOKUP(B213,'[7]september-2025'!$A:$A,'[7]september-2025'!$G:$G,0,0)</f>
        <v>0</v>
      </c>
      <c r="BX213">
        <f>IF(BS213&gt;0,SUM(BS213:BW213),0)</f>
        <v>44850</v>
      </c>
      <c r="BY213">
        <f>_xlfn.XLOOKUP(B213,'[7]september-2025'!$A:$A,'[7]september-2025'!$H:$H,0,0)</f>
        <v>2500</v>
      </c>
      <c r="BZ213">
        <f>_xlfn.XLOOKUP(B213,'[7]september-2025'!$A:$A,'[7]september-2025'!$I:$I,0,0)</f>
        <v>0</v>
      </c>
      <c r="CA213">
        <f>IF($F213="YES",0,IF(BX213&gt;40000,200,IF(BX213&gt;25000,150,IF(BX213&gt;15000,130,IF(BX213&gt;10000,110,0)))))</f>
        <v>200</v>
      </c>
      <c r="CB213">
        <f>BX213-BY213-BZ213-CA213</f>
        <v>42150</v>
      </c>
      <c r="CC213">
        <f>_xlfn.XLOOKUP(B213,'[8]october-2025'!$A:$A,'[8]october-2025'!$C:$C,0,0)</f>
        <v>34500</v>
      </c>
      <c r="CD213">
        <f>CC213*0.18</f>
        <v>6210</v>
      </c>
      <c r="CE213">
        <f>CC213*0.12</f>
        <v>4140</v>
      </c>
      <c r="CF213">
        <f>_xlfn.XLOOKUP(B213,'[8]october-2025'!$A:$A,'[8]october-2025'!$D:$D,0,0)</f>
        <v>0</v>
      </c>
      <c r="CG213">
        <f>_xlfn.XLOOKUP(B213,'[8]october-2025'!$A:$A,'[8]october-2025'!$G:$G,0,0)</f>
        <v>0</v>
      </c>
      <c r="CH213">
        <f>IF(CC213&gt;0,SUM(CC213:CG213),0)</f>
        <v>44850</v>
      </c>
      <c r="CI213">
        <f>_xlfn.XLOOKUP(B213,'[8]october-2025'!$A:$A,'[8]october-2025'!$H:$H,0,0)</f>
        <v>2500</v>
      </c>
      <c r="CJ213">
        <f>_xlfn.XLOOKUP(B213,'[8]october-2025'!$A:$A,'[8]october-2025'!$I:$I,0,0)</f>
        <v>0</v>
      </c>
      <c r="CK213">
        <f>IF($F213="YES",0,IF(CH213&gt;40000,200,IF(CH213&gt;25000,150,IF(CH213&gt;15000,130,IF(CH213&gt;10000,110,0)))))</f>
        <v>200</v>
      </c>
      <c r="CL213">
        <f>CH213-CI213-CJ213-CK213</f>
        <v>42150</v>
      </c>
      <c r="CM213">
        <f>_xlfn.XLOOKUP(B213,'[9]november-2025'!$A:$A,'[9]november-2025'!$C:$C,0,0)</f>
        <v>34500</v>
      </c>
      <c r="CN213">
        <f>CM213*0.18</f>
        <v>6210</v>
      </c>
      <c r="CO213">
        <f>CM213*0.12</f>
        <v>4140</v>
      </c>
      <c r="CP213">
        <f>_xlfn.XLOOKUP(B213,'[9]november-2025'!$A:$A,'[9]november-2025'!$D:$D,0,0)</f>
        <v>0</v>
      </c>
      <c r="CQ213">
        <f>_xlfn.XLOOKUP(B213,'[9]november-2025'!$A:$A,'[9]november-2025'!$G:$G,0,0)</f>
        <v>0</v>
      </c>
      <c r="CR213">
        <f>IF(CM213&gt;0,SUM(CM213:CQ213),0)</f>
        <v>44850</v>
      </c>
      <c r="CS213">
        <f>_xlfn.XLOOKUP(B213,'[9]november-2025'!$A:$A,'[9]november-2025'!$H:$H,0,0)</f>
        <v>2500</v>
      </c>
      <c r="CT213">
        <f>_xlfn.XLOOKUP(B213,'[9]november-2025'!$A:$A,'[9]november-2025'!$I:$I,0,0)</f>
        <v>0</v>
      </c>
      <c r="CU213">
        <f>IF($F213="YES",0,IF(CR213&gt;40000,200,IF(CR213&gt;25000,150,IF(CR213&gt;15000,130,IF(CR213&gt;10000,110,0)))))</f>
        <v>200</v>
      </c>
      <c r="CV213">
        <f>CR213-CS213-CT213-CU213</f>
        <v>42150</v>
      </c>
      <c r="CW213">
        <f>_xlfn.XLOOKUP(B213,'[10]december-2025'!$A:$A,'[10]december-2025'!$C:$C,0,0)</f>
        <v>34500</v>
      </c>
      <c r="CX213">
        <f>ROUND(CW213*0.18,0)</f>
        <v>6210</v>
      </c>
      <c r="CY213">
        <f>ROUND(CW213*0.12,0)</f>
        <v>4140</v>
      </c>
      <c r="CZ213">
        <f>_xlfn.XLOOKUP(B213,'[10]december-2025'!$A:$A,'[10]december-2025'!$D:$D,0,0)</f>
        <v>0</v>
      </c>
      <c r="DA213">
        <f>_xlfn.XLOOKUP(B213,'[10]december-2025'!$A:$A,'[10]december-2025'!$G:$G,0,0)</f>
        <v>0</v>
      </c>
      <c r="DB213">
        <f>IF(CW213&gt;0,SUM(CW213:DA213),0)</f>
        <v>44850</v>
      </c>
      <c r="DC213">
        <f>_xlfn.XLOOKUP(B213,'[10]december-2025'!$A:$A,'[10]december-2025'!$H:$H,0,0)</f>
        <v>2500</v>
      </c>
      <c r="DD213">
        <f>_xlfn.XLOOKUP(B213,'[10]december-2025'!$A:$A,'[10]december-2025'!$I:$I,0,0)</f>
        <v>0</v>
      </c>
      <c r="DE213">
        <f>IF($F213="YES",0,IF(DB213&gt;40000,200,IF(DB213&gt;25000,150,IF(DB213&gt;15000,130,IF(DB213&gt;10000,110,0)))))</f>
        <v>200</v>
      </c>
      <c r="DF213">
        <f>DB213-DC213-DD213-DE213</f>
        <v>42150</v>
      </c>
      <c r="DG213">
        <f>_xlfn.XLOOKUP(B213,'[11]january-2026'!$A:$A,'[11]january-2026'!$C:$C,0,0)</f>
        <v>34500</v>
      </c>
      <c r="DH213">
        <f>DG213*0.18</f>
        <v>6210</v>
      </c>
      <c r="DI213">
        <f>DG213*0.12</f>
        <v>4140</v>
      </c>
      <c r="DJ213">
        <f>_xlfn.XLOOKUP(B213,'[11]january-2026'!$A:$A,'[11]january-2026'!$D:$D,0,0)</f>
        <v>0</v>
      </c>
      <c r="DK213">
        <f>_xlfn.XLOOKUP(B213,'[11]january-2026'!$A:$A,'[11]january-2026'!$G:$G,0,0)</f>
        <v>0</v>
      </c>
      <c r="DL213">
        <f>IF(DG213&gt;0,SUM(DG213:DK213),0)</f>
        <v>44850</v>
      </c>
      <c r="DM213">
        <f>_xlfn.XLOOKUP(B213,'[11]january-2026'!$A:$A,'[11]january-2026'!$H:$H,0,0)</f>
        <v>2500</v>
      </c>
      <c r="DN213">
        <f>_xlfn.XLOOKUP(B213,'[11]january-2026'!$A:$A,'[11]january-2026'!$I:$I,0,0)</f>
        <v>0</v>
      </c>
      <c r="DO213">
        <f>IF($F213="YES",0,IF(DL213&gt;40000,200,IF(DL213&gt;25000,150,IF(DL213&gt;15000,130,IF(DL213&gt;10000,110,0)))))</f>
        <v>200</v>
      </c>
      <c r="DP213">
        <f>DL213-DM213-DN213-DO213</f>
        <v>42150</v>
      </c>
      <c r="DQ213">
        <f>_xlfn.XLOOKUP(B213,'[12]february-2026'!$A:$A,'[12]february-2026'!$C:$C,0,0)</f>
        <v>34500</v>
      </c>
      <c r="DR213">
        <f>DQ213*0.18</f>
        <v>6210</v>
      </c>
      <c r="DS213">
        <f>DQ213*0.12</f>
        <v>4140</v>
      </c>
      <c r="DT213">
        <f>_xlfn.XLOOKUP(B213,'[12]february-2026'!$A:$A,'[12]february-2026'!$D:$D,0,0)</f>
        <v>0</v>
      </c>
      <c r="DU213">
        <f>_xlfn.XLOOKUP(B213,'[12]february-2026'!$A:$A,'[12]february-2026'!$G:$G,0,0)</f>
        <v>0</v>
      </c>
      <c r="DV213">
        <f>IF(DQ213&gt;0,SUM(DQ213:DU213),0)</f>
        <v>44850</v>
      </c>
      <c r="DW213">
        <f>_xlfn.XLOOKUP(B213,'[12]february-2026'!$A:$A,'[12]february-2026'!$H:$H,0,0)</f>
        <v>2500</v>
      </c>
      <c r="DX213">
        <f>_xlfn.XLOOKUP(B213,'[12]february-2026'!$A:$A,'[12]february-2026'!$I:$I,0,0)</f>
        <v>0</v>
      </c>
      <c r="DY213">
        <f>IF($F213="YES",0,IF(DV213&gt;40000,200,IF(DV213&gt;25000,150,IF(DV213&gt;15000,130,IF(DV213&gt;10000,110,0)))))</f>
        <v>200</v>
      </c>
      <c r="DZ213">
        <f>DV213-DW213-DX213-DY213</f>
        <v>42150</v>
      </c>
      <c r="EA213">
        <f>DV213+DL213+DB213+CR213+CH213+BX213+BN213+BD213+AS213+AI213+Y213+O213+H213+I213</f>
        <v>538460</v>
      </c>
      <c r="EB213">
        <f>DY213+DO213+DE213+CU213+CK213+CA213+BQ213+BG213+AV213+AL213+AB213+R213</f>
        <v>2400</v>
      </c>
      <c r="EC213">
        <f>IF(EA213&gt;0,50000,0)</f>
        <v>50000</v>
      </c>
      <c r="ED213">
        <v>0</v>
      </c>
      <c r="EE213">
        <f>EA213-EB213-EC213</f>
        <v>486060</v>
      </c>
      <c r="EF213">
        <f>DW213+DM213+DC213+CS213+CI213+BY213+BO213+BE213+AT213+AJ213+Z213+P213</f>
        <v>30000</v>
      </c>
      <c r="EG213">
        <f>DX213+DN213+DD213+CT213+CJ213+BZ213+BP213+BF213+AU213+AK213+AA213+Q213</f>
        <v>0</v>
      </c>
      <c r="EH213">
        <v>0</v>
      </c>
      <c r="EI213">
        <v>0</v>
      </c>
      <c r="EJ213">
        <v>0</v>
      </c>
      <c r="EK213">
        <v>0</v>
      </c>
      <c r="EL213">
        <v>0</v>
      </c>
      <c r="EM213">
        <v>0</v>
      </c>
      <c r="EN213">
        <v>0</v>
      </c>
      <c r="EO213">
        <v>0</v>
      </c>
      <c r="EP213">
        <v>0</v>
      </c>
      <c r="EQ213">
        <v>0</v>
      </c>
      <c r="ER213">
        <f>SUM(EF213:EQ213)</f>
        <v>30000</v>
      </c>
      <c r="ES213">
        <f>IF(ER213&gt;=150000,150000,ER213)</f>
        <v>30000</v>
      </c>
      <c r="ET213">
        <f>EE213-ES213</f>
        <v>456060</v>
      </c>
      <c r="EU213">
        <v>0</v>
      </c>
      <c r="EV213">
        <v>0</v>
      </c>
      <c r="EW213">
        <v>0</v>
      </c>
      <c r="EX213">
        <v>0</v>
      </c>
      <c r="EY213">
        <v>0</v>
      </c>
      <c r="EZ213">
        <v>0</v>
      </c>
      <c r="FA213">
        <v>0</v>
      </c>
      <c r="FB213">
        <f>SUM(EU213:FA213)+(IF(F213="YES",50000,0))</f>
        <v>0</v>
      </c>
      <c r="FC213">
        <f>ET213-FB213</f>
        <v>456060</v>
      </c>
      <c r="FD213">
        <f>ROUND(IF(FC213&gt;0,IF(FC213&gt;500000,12500,(FC213-250000)*0.05),0),0)</f>
        <v>10303</v>
      </c>
      <c r="FE213">
        <f>IF(ROUND(IF(FC213&gt;0,IF(FC213&gt;1000000,25000,(FC213-500000)*0.2),0),0)&lt;0,0,ROUND(IF(FC213&gt;0,IF(FC213&gt;1000000,25000,(FC213-500000)*0.2),0),0))</f>
        <v>0</v>
      </c>
      <c r="FF213">
        <f>FD213+FE213</f>
        <v>10303</v>
      </c>
      <c r="FG213">
        <f>IF(FF213&lt;12500,0,FF213)</f>
        <v>0</v>
      </c>
      <c r="FH213">
        <f>FG213*0.04</f>
        <v>0</v>
      </c>
      <c r="FI213">
        <f>ROUND(FH213+FG213,0)</f>
        <v>0</v>
      </c>
      <c r="FJ213">
        <v>0</v>
      </c>
      <c r="FK213">
        <f>FI213-FJ213</f>
        <v>0</v>
      </c>
      <c r="FL213" t="b">
        <f>IF(EA213&gt;500000,TRUE,FALSE)</f>
        <v>1</v>
      </c>
      <c r="FM213">
        <f ca="1">IF(FL213,RANDBETWEEN(500,1000),RANDBETWEEN(1000,3000))</f>
        <v>908</v>
      </c>
      <c r="FN213">
        <f ca="1">EA213+FM213</f>
        <v>539368</v>
      </c>
      <c r="FO213">
        <f>IF(EA213&gt;0,75000,0)</f>
        <v>75000</v>
      </c>
      <c r="FP213">
        <f ca="1">FN213-FO213</f>
        <v>464368</v>
      </c>
      <c r="FQ213">
        <f ca="1">IF(FP213&gt;2400000,FP213-2400000,0)</f>
        <v>0</v>
      </c>
      <c r="FR213">
        <f ca="1">FQ213*0.3</f>
        <v>0</v>
      </c>
      <c r="FS213">
        <f ca="1">IF(FP213&gt;2000000,FP213-2000000,0)</f>
        <v>0</v>
      </c>
      <c r="FT213">
        <f ca="1">FS213*0.25</f>
        <v>0</v>
      </c>
      <c r="FU213">
        <f ca="1">IF(FP213&gt;1600000,FP213-1600000-FQ213,0)</f>
        <v>0</v>
      </c>
      <c r="FV213">
        <f ca="1">FU213*0.2</f>
        <v>0</v>
      </c>
      <c r="FW213">
        <f ca="1">IF(FP213&gt;1200000,FP213-1200000-IF(F213="YES",50000,0)-FU213,0)</f>
        <v>0</v>
      </c>
      <c r="FX213">
        <f ca="1">FW213*0.15</f>
        <v>0</v>
      </c>
      <c r="FY213">
        <f ca="1">IF(FP213&gt;800000,FP213-800000-FQ213-FU213-FW213,0)</f>
        <v>0</v>
      </c>
      <c r="FZ213">
        <f ca="1">FY213*0.1</f>
        <v>0</v>
      </c>
      <c r="GA213">
        <f ca="1">IF(FP213&gt;400000,FP213-400000-FQ213-FU213-FW213-FY213,0)</f>
        <v>64368</v>
      </c>
      <c r="GB213">
        <f ca="1">GA213*0.05</f>
        <v>3218.4</v>
      </c>
      <c r="GC213">
        <f ca="1">ROUND(FR213+FT213+FV213+FX213+FZ213+GB213,0)</f>
        <v>3218</v>
      </c>
      <c r="GD213">
        <f ca="1">IF(FP213&gt;1200000,FP213,0)</f>
        <v>0</v>
      </c>
      <c r="GE213">
        <f ca="1">IF(FP213&gt;1200000,GD213-1200000,0)</f>
        <v>0</v>
      </c>
      <c r="GF213">
        <f ca="1">IF(FP213&lt;1200001,MIN(GC213,60000),0)</f>
        <v>3218</v>
      </c>
      <c r="GG213">
        <f ca="1">IF(FP213&gt;1200000,GC213-GE213,0)</f>
        <v>0</v>
      </c>
      <c r="GH213" t="b">
        <f ca="1">IF(GG213&gt;0,TRUE,FALSE)</f>
        <v>0</v>
      </c>
      <c r="GI213">
        <f ca="1">IF(GH213,GG213,0)</f>
        <v>0</v>
      </c>
      <c r="GJ213">
        <f ca="1">GF213+GI213</f>
        <v>3218</v>
      </c>
      <c r="GK213">
        <f ca="1">ROUND(GC213-GJ213,0)</f>
        <v>0</v>
      </c>
      <c r="GL213">
        <f ca="1">GK213*0.04</f>
        <v>0</v>
      </c>
      <c r="GM213">
        <f ca="1">ROUNDUP(GK213+GL213,0)</f>
        <v>0</v>
      </c>
    </row>
    <row r="214" spans="1:195" x14ac:dyDescent="0.25">
      <c r="A214">
        <f>_xlfn.AGGREGATE(3,5,$B$2:B214)</f>
        <v>213</v>
      </c>
      <c r="B214" t="s">
        <v>537</v>
      </c>
      <c r="C214" t="s">
        <v>538</v>
      </c>
      <c r="D214" t="s">
        <v>806</v>
      </c>
      <c r="E214" t="s">
        <v>833</v>
      </c>
      <c r="F214" t="s">
        <v>959</v>
      </c>
      <c r="G214" t="s">
        <v>926</v>
      </c>
      <c r="H214">
        <f>IF(_xlfn.DAYS("31-03-2025",G214)&gt;=180,6800,0)</f>
        <v>6800</v>
      </c>
      <c r="I214">
        <f>_xlfn.XLOOKUP(B214,'[1]march-2025'!$A:$A,'[1]march-2025'!$J:$J,0,0)</f>
        <v>0</v>
      </c>
      <c r="J214">
        <f>_xlfn.XLOOKUP(B214,'[1]march-2025'!$A:$A,'[1]march-2025'!$C:$C,0,0)</f>
        <v>33500</v>
      </c>
      <c r="K214">
        <f>J214*0.14</f>
        <v>4690</v>
      </c>
      <c r="L214">
        <f>J214*0.12</f>
        <v>4020</v>
      </c>
      <c r="M214">
        <f>_xlfn.XLOOKUP(B214,'[1]march-2025'!$A:$A,'[1]march-2025'!$D:$D,0,0)</f>
        <v>0</v>
      </c>
      <c r="N214">
        <f>_xlfn.XLOOKUP(B214,'[1]march-2025'!$A:$A,'[1]march-2025'!$G:$G,0,0)</f>
        <v>500</v>
      </c>
      <c r="O214">
        <f>IF(J214&gt;0,SUM(J214:N214),0)</f>
        <v>42710</v>
      </c>
      <c r="P214">
        <f>_xlfn.XLOOKUP(B214,'[1]march-2025'!$A:$A,'[1]march-2025'!$H:$H,0,0)</f>
        <v>4000</v>
      </c>
      <c r="Q214">
        <f>_xlfn.XLOOKUP(B214,'[1]march-2025'!$A:$A,'[1]march-2025'!$I:$I,0,0)</f>
        <v>0</v>
      </c>
      <c r="R214">
        <f>IF($F214="YES",0,IF(O214&gt;40000,200,IF(O214&gt;25000,150,IF(O214&gt;15000,130,IF(O214&gt;10000,110,0)))))</f>
        <v>200</v>
      </c>
      <c r="S214">
        <f>O214-P214-Q214-R214</f>
        <v>38510</v>
      </c>
      <c r="T214">
        <f>_xlfn.XLOOKUP(B214,'[2]april-2025'!$A:$A,'[2]april-2025'!$C:$C,0,0)</f>
        <v>33500</v>
      </c>
      <c r="U214">
        <f>T214*0.18</f>
        <v>6030</v>
      </c>
      <c r="V214">
        <f>T214*0.12</f>
        <v>4020</v>
      </c>
      <c r="W214">
        <f>_xlfn.XLOOKUP(B214,'[2]april-2025'!$A:$A,'[2]april-2025'!$D:$D,0,0)</f>
        <v>0</v>
      </c>
      <c r="X214">
        <f>_xlfn.XLOOKUP(B214,'[2]april-2025'!$A:$A,'[2]april-2025'!$G:$G,0,0)</f>
        <v>500</v>
      </c>
      <c r="Y214">
        <f>IF(T214&gt;0,SUM(T214:X214),0)</f>
        <v>44050</v>
      </c>
      <c r="Z214">
        <f>_xlfn.XLOOKUP(B214,'[2]april-2025'!$A:$A,'[2]april-2025'!$H:$H,0,0)</f>
        <v>4000</v>
      </c>
      <c r="AA214">
        <f>_xlfn.XLOOKUP(B214,'[2]april-2025'!$A:$A,'[2]april-2025'!$I:$I,0,0)</f>
        <v>0</v>
      </c>
      <c r="AB214">
        <f>IF($F214="YES",0,IF(Y214&gt;40000,200,IF(Y214&gt;25000,150,IF(Y214&gt;15000,130,IF(Y214&gt;10000,110,0)))))</f>
        <v>200</v>
      </c>
      <c r="AC214">
        <f>Y214-Z214-AA214-AB214</f>
        <v>39850</v>
      </c>
      <c r="AD214">
        <f>_xlfn.XLOOKUP(B214,'[3]may-2025'!$A:$A,'[3]may-2025'!$C:$C,0,0)</f>
        <v>33500</v>
      </c>
      <c r="AE214">
        <f>AD214*0.18</f>
        <v>6030</v>
      </c>
      <c r="AF214">
        <f>AD214*0.12</f>
        <v>4020</v>
      </c>
      <c r="AG214">
        <f>_xlfn.XLOOKUP(B214,'[3]may-2025'!$A:$A,'[3]may-2025'!$D:$D,0,0)</f>
        <v>0</v>
      </c>
      <c r="AH214">
        <f>_xlfn.XLOOKUP(B214,'[3]may-2025'!$A:$A,'[3]may-2025'!$G:$G,0,0)</f>
        <v>500</v>
      </c>
      <c r="AI214">
        <f>IF(AD214&gt;0,SUM(AD214:AH214),0)</f>
        <v>44050</v>
      </c>
      <c r="AJ214">
        <f>_xlfn.XLOOKUP(B214,'[3]may-2025'!$A:$A,'[3]may-2025'!$H:$H,0,0)</f>
        <v>4000</v>
      </c>
      <c r="AK214">
        <f>_xlfn.XLOOKUP(B214,'[3]may-2025'!$A:$A,'[3]may-2025'!$I:$I,0,0)</f>
        <v>0</v>
      </c>
      <c r="AL214">
        <f>IF($F214="YES",0,IF(AI214&gt;40000,200,IF(AI214&gt;25000,150,IF(AI214&gt;15000,130,IF(AI214&gt;10000,110,0)))))</f>
        <v>200</v>
      </c>
      <c r="AM214">
        <f>AI214-AJ214-AK214-AL214</f>
        <v>39850</v>
      </c>
      <c r="AN214">
        <f>_xlfn.XLOOKUP(B214,'[4]june-2025'!$A:$A,'[4]june-2025'!$C:$C,0,0)</f>
        <v>33500</v>
      </c>
      <c r="AO214">
        <f>AN214*0.18</f>
        <v>6030</v>
      </c>
      <c r="AP214">
        <f>AN214*0.12</f>
        <v>4020</v>
      </c>
      <c r="AQ214">
        <f>_xlfn.XLOOKUP(B214,'[4]june-2025'!$A:$A,'[4]june-2025'!$D:$D,0,0)</f>
        <v>0</v>
      </c>
      <c r="AR214">
        <f>_xlfn.XLOOKUP(B214,'[4]june-2025'!$A:$A,'[4]june-2025'!$G:$G,0,0)</f>
        <v>500</v>
      </c>
      <c r="AS214">
        <f>IF(AN214&gt;0,SUM(AN214:AR214),0)</f>
        <v>44050</v>
      </c>
      <c r="AT214">
        <f>_xlfn.XLOOKUP(B214,'[4]june-2025'!$A:$A,'[4]june-2025'!$H:$H,0,0)</f>
        <v>4000</v>
      </c>
      <c r="AU214">
        <f>_xlfn.XLOOKUP(B214,'[4]june-2025'!$A:$A,'[4]june-2025'!$I:$I,0,0)</f>
        <v>0</v>
      </c>
      <c r="AV214">
        <f>IF($F214="YES",0,IF(AS214&gt;40000,200,IF(AS214&gt;25000,150,IF(AS214&gt;15000,130,IF(AS214&gt;10000,110,0)))))</f>
        <v>200</v>
      </c>
      <c r="AW214">
        <f>AS214-AT214-AU214-AV214</f>
        <v>39850</v>
      </c>
      <c r="AX214">
        <f>_xlfn.XLOOKUP(B214,'[5]july-2025'!$A:$A,'[5]july-2025'!$C:$C,0,0)</f>
        <v>34500</v>
      </c>
      <c r="AY214">
        <f>AX214*0.18</f>
        <v>6210</v>
      </c>
      <c r="AZ214">
        <v>0</v>
      </c>
      <c r="BA214">
        <f>AX214*0.12</f>
        <v>4140</v>
      </c>
      <c r="BB214">
        <f>_xlfn.XLOOKUP(B214,'[5]july-2025'!$A:$A,'[5]july-2025'!$D:$D,0,0)</f>
        <v>0</v>
      </c>
      <c r="BC214">
        <f>_xlfn.XLOOKUP(B214,'[5]july-2025'!$A:$A,'[5]july-2025'!$G:$G,0,0)</f>
        <v>500</v>
      </c>
      <c r="BD214">
        <f>IF(AX214&gt;0,SUM(AX214:BC214),0)</f>
        <v>45350</v>
      </c>
      <c r="BE214">
        <f>_xlfn.XLOOKUP(B214,'[5]july-2025'!$A:$A,'[5]july-2025'!$H:$H,0,0)</f>
        <v>4000</v>
      </c>
      <c r="BF214">
        <f>_xlfn.XLOOKUP(B214,'[5]july-2025'!$A:$A,'[5]july-2025'!$I:$I,0,0)</f>
        <v>0</v>
      </c>
      <c r="BG214">
        <f>IF($F214="YES",0,IF(BD214&gt;40000,200,IF(BD214&gt;25000,150,IF(BD214&gt;15000,130,IF(BD214&gt;10000,110,0)))))</f>
        <v>200</v>
      </c>
      <c r="BH214">
        <f>BD214-BE214-BF214-BG214</f>
        <v>41150</v>
      </c>
      <c r="BI214">
        <f>_xlfn.XLOOKUP(B214,'[6]august-2025'!$A:$A,'[6]august-2025'!$C:$C,0,0)</f>
        <v>34500</v>
      </c>
      <c r="BJ214">
        <f>BI214*0.18</f>
        <v>6210</v>
      </c>
      <c r="BK214">
        <f>BI214*0.12</f>
        <v>4140</v>
      </c>
      <c r="BL214">
        <f>_xlfn.XLOOKUP(B214,'[6]august-2025'!$A:$A,'[6]august-2025'!$D:$D,0,0)</f>
        <v>0</v>
      </c>
      <c r="BM214">
        <f>_xlfn.XLOOKUP(B214,'[6]august-2025'!$A:$A,'[6]august-2025'!$G:$G,0,0)</f>
        <v>500</v>
      </c>
      <c r="BN214">
        <f>IF(BI214&gt;0,SUM(BI214:BM214),0)</f>
        <v>45350</v>
      </c>
      <c r="BO214">
        <f>_xlfn.XLOOKUP(B214,'[6]august-2025'!$A:$A,'[6]august-2025'!$H:$H,0,0)</f>
        <v>4000</v>
      </c>
      <c r="BP214">
        <f>_xlfn.XLOOKUP(B214,'[6]august-2025'!$A:$A,'[6]august-2025'!$I:$I,0,0)</f>
        <v>0</v>
      </c>
      <c r="BQ214">
        <f>IF($F214="YES",0,IF(BN214&gt;40000,200,IF(BN214&gt;25000,150,IF(BN214&gt;15000,130,IF(BN214&gt;10000,110,0)))))</f>
        <v>200</v>
      </c>
      <c r="BR214">
        <f>BN214-BO214-BP214-BQ214</f>
        <v>41150</v>
      </c>
      <c r="BS214">
        <f>_xlfn.XLOOKUP(B214,'[7]september-2025'!$A:$A,'[7]september-2025'!$C:$C,0,0)</f>
        <v>34500</v>
      </c>
      <c r="BT214">
        <f>BS214*0.18</f>
        <v>6210</v>
      </c>
      <c r="BU214">
        <f>BS214*0.12</f>
        <v>4140</v>
      </c>
      <c r="BV214">
        <f>_xlfn.XLOOKUP(B214,'[7]september-2025'!$A:$A,'[7]september-2025'!$D:$D,0,0)</f>
        <v>0</v>
      </c>
      <c r="BW214">
        <f>_xlfn.XLOOKUP(B214,'[7]september-2025'!$A:$A,'[7]september-2025'!$G:$G,0,0)</f>
        <v>500</v>
      </c>
      <c r="BX214">
        <f>IF(BS214&gt;0,SUM(BS214:BW214),0)</f>
        <v>45350</v>
      </c>
      <c r="BY214">
        <f>_xlfn.XLOOKUP(B214,'[7]september-2025'!$A:$A,'[7]september-2025'!$H:$H,0,0)</f>
        <v>4000</v>
      </c>
      <c r="BZ214">
        <f>_xlfn.XLOOKUP(B214,'[7]september-2025'!$A:$A,'[7]september-2025'!$I:$I,0,0)</f>
        <v>0</v>
      </c>
      <c r="CA214">
        <f>IF($F214="YES",0,IF(BX214&gt;40000,200,IF(BX214&gt;25000,150,IF(BX214&gt;15000,130,IF(BX214&gt;10000,110,0)))))</f>
        <v>200</v>
      </c>
      <c r="CB214">
        <f>BX214-BY214-BZ214-CA214</f>
        <v>41150</v>
      </c>
      <c r="CC214">
        <f>_xlfn.XLOOKUP(B214,'[8]october-2025'!$A:$A,'[8]october-2025'!$C:$C,0,0)</f>
        <v>34500</v>
      </c>
      <c r="CD214">
        <f>CC214*0.18</f>
        <v>6210</v>
      </c>
      <c r="CE214">
        <f>CC214*0.12</f>
        <v>4140</v>
      </c>
      <c r="CF214">
        <f>_xlfn.XLOOKUP(B214,'[8]october-2025'!$A:$A,'[8]october-2025'!$D:$D,0,0)</f>
        <v>0</v>
      </c>
      <c r="CG214">
        <f>_xlfn.XLOOKUP(B214,'[8]october-2025'!$A:$A,'[8]october-2025'!$G:$G,0,0)</f>
        <v>500</v>
      </c>
      <c r="CH214">
        <f>IF(CC214&gt;0,SUM(CC214:CG214),0)</f>
        <v>45350</v>
      </c>
      <c r="CI214">
        <f>_xlfn.XLOOKUP(B214,'[8]october-2025'!$A:$A,'[8]october-2025'!$H:$H,0,0)</f>
        <v>4000</v>
      </c>
      <c r="CJ214">
        <f>_xlfn.XLOOKUP(B214,'[8]october-2025'!$A:$A,'[8]october-2025'!$I:$I,0,0)</f>
        <v>0</v>
      </c>
      <c r="CK214">
        <f>IF($F214="YES",0,IF(CH214&gt;40000,200,IF(CH214&gt;25000,150,IF(CH214&gt;15000,130,IF(CH214&gt;10000,110,0)))))</f>
        <v>200</v>
      </c>
      <c r="CL214">
        <f>CH214-CI214-CJ214-CK214</f>
        <v>41150</v>
      </c>
      <c r="CM214">
        <f>_xlfn.XLOOKUP(B214,'[9]november-2025'!$A:$A,'[9]november-2025'!$C:$C,0,0)</f>
        <v>34500</v>
      </c>
      <c r="CN214">
        <f>CM214*0.18</f>
        <v>6210</v>
      </c>
      <c r="CO214">
        <f>CM214*0.12</f>
        <v>4140</v>
      </c>
      <c r="CP214">
        <f>_xlfn.XLOOKUP(B214,'[9]november-2025'!$A:$A,'[9]november-2025'!$D:$D,0,0)</f>
        <v>0</v>
      </c>
      <c r="CQ214">
        <f>_xlfn.XLOOKUP(B214,'[9]november-2025'!$A:$A,'[9]november-2025'!$G:$G,0,0)</f>
        <v>500</v>
      </c>
      <c r="CR214">
        <f>IF(CM214&gt;0,SUM(CM214:CQ214),0)</f>
        <v>45350</v>
      </c>
      <c r="CS214">
        <f>_xlfn.XLOOKUP(B214,'[9]november-2025'!$A:$A,'[9]november-2025'!$H:$H,0,0)</f>
        <v>4000</v>
      </c>
      <c r="CT214">
        <f>_xlfn.XLOOKUP(B214,'[9]november-2025'!$A:$A,'[9]november-2025'!$I:$I,0,0)</f>
        <v>0</v>
      </c>
      <c r="CU214">
        <f>IF($F214="YES",0,IF(CR214&gt;40000,200,IF(CR214&gt;25000,150,IF(CR214&gt;15000,130,IF(CR214&gt;10000,110,0)))))</f>
        <v>200</v>
      </c>
      <c r="CV214">
        <f>CR214-CS214-CT214-CU214</f>
        <v>41150</v>
      </c>
      <c r="CW214">
        <f>_xlfn.XLOOKUP(B214,'[10]december-2025'!$A:$A,'[10]december-2025'!$C:$C,0,0)</f>
        <v>34500</v>
      </c>
      <c r="CX214">
        <f>ROUND(CW214*0.18,0)</f>
        <v>6210</v>
      </c>
      <c r="CY214">
        <f>ROUND(CW214*0.12,0)</f>
        <v>4140</v>
      </c>
      <c r="CZ214">
        <f>_xlfn.XLOOKUP(B214,'[10]december-2025'!$A:$A,'[10]december-2025'!$D:$D,0,0)</f>
        <v>0</v>
      </c>
      <c r="DA214">
        <f>_xlfn.XLOOKUP(B214,'[10]december-2025'!$A:$A,'[10]december-2025'!$G:$G,0,0)</f>
        <v>500</v>
      </c>
      <c r="DB214">
        <f>IF(CW214&gt;0,SUM(CW214:DA214),0)</f>
        <v>45350</v>
      </c>
      <c r="DC214">
        <f>_xlfn.XLOOKUP(B214,'[10]december-2025'!$A:$A,'[10]december-2025'!$H:$H,0,0)</f>
        <v>4000</v>
      </c>
      <c r="DD214">
        <f>_xlfn.XLOOKUP(B214,'[10]december-2025'!$A:$A,'[10]december-2025'!$I:$I,0,0)</f>
        <v>0</v>
      </c>
      <c r="DE214">
        <f>IF($F214="YES",0,IF(DB214&gt;40000,200,IF(DB214&gt;25000,150,IF(DB214&gt;15000,130,IF(DB214&gt;10000,110,0)))))</f>
        <v>200</v>
      </c>
      <c r="DF214">
        <f>DB214-DC214-DD214-DE214</f>
        <v>41150</v>
      </c>
      <c r="DG214">
        <f>_xlfn.XLOOKUP(B214,'[11]january-2026'!$A:$A,'[11]january-2026'!$C:$C,0,0)</f>
        <v>34500</v>
      </c>
      <c r="DH214">
        <f>DG214*0.18</f>
        <v>6210</v>
      </c>
      <c r="DI214">
        <f>DG214*0.12</f>
        <v>4140</v>
      </c>
      <c r="DJ214">
        <f>_xlfn.XLOOKUP(B214,'[11]january-2026'!$A:$A,'[11]january-2026'!$D:$D,0,0)</f>
        <v>0</v>
      </c>
      <c r="DK214">
        <f>_xlfn.XLOOKUP(B214,'[11]january-2026'!$A:$A,'[11]january-2026'!$G:$G,0,0)</f>
        <v>500</v>
      </c>
      <c r="DL214">
        <f>IF(DG214&gt;0,SUM(DG214:DK214),0)</f>
        <v>45350</v>
      </c>
      <c r="DM214">
        <f>_xlfn.XLOOKUP(B214,'[11]january-2026'!$A:$A,'[11]january-2026'!$H:$H,0,0)</f>
        <v>4000</v>
      </c>
      <c r="DN214">
        <f>_xlfn.XLOOKUP(B214,'[11]january-2026'!$A:$A,'[11]january-2026'!$I:$I,0,0)</f>
        <v>0</v>
      </c>
      <c r="DO214">
        <f>IF($F214="YES",0,IF(DL214&gt;40000,200,IF(DL214&gt;25000,150,IF(DL214&gt;15000,130,IF(DL214&gt;10000,110,0)))))</f>
        <v>200</v>
      </c>
      <c r="DP214">
        <f>DL214-DM214-DN214-DO214</f>
        <v>41150</v>
      </c>
      <c r="DQ214">
        <f>_xlfn.XLOOKUP(B214,'[12]february-2026'!$A:$A,'[12]february-2026'!$C:$C,0,0)</f>
        <v>34500</v>
      </c>
      <c r="DR214">
        <f>DQ214*0.18</f>
        <v>6210</v>
      </c>
      <c r="DS214">
        <f>DQ214*0.12</f>
        <v>4140</v>
      </c>
      <c r="DT214">
        <f>_xlfn.XLOOKUP(B214,'[12]february-2026'!$A:$A,'[12]february-2026'!$D:$D,0,0)</f>
        <v>0</v>
      </c>
      <c r="DU214">
        <f>_xlfn.XLOOKUP(B214,'[12]february-2026'!$A:$A,'[12]february-2026'!$G:$G,0,0)</f>
        <v>500</v>
      </c>
      <c r="DV214">
        <f>IF(DQ214&gt;0,SUM(DQ214:DU214),0)</f>
        <v>45350</v>
      </c>
      <c r="DW214">
        <f>_xlfn.XLOOKUP(B214,'[12]february-2026'!$A:$A,'[12]february-2026'!$H:$H,0,0)</f>
        <v>4000</v>
      </c>
      <c r="DX214">
        <f>_xlfn.XLOOKUP(B214,'[12]february-2026'!$A:$A,'[12]february-2026'!$I:$I,0,0)</f>
        <v>0</v>
      </c>
      <c r="DY214">
        <f>IF($F214="YES",0,IF(DV214&gt;40000,200,IF(DV214&gt;25000,150,IF(DV214&gt;15000,130,IF(DV214&gt;10000,110,0)))))</f>
        <v>200</v>
      </c>
      <c r="DZ214">
        <f>DV214-DW214-DX214-DY214</f>
        <v>41150</v>
      </c>
      <c r="EA214">
        <f>DV214+DL214+DB214+CR214+CH214+BX214+BN214+BD214+AS214+AI214+Y214+O214+H214+I214</f>
        <v>544460</v>
      </c>
      <c r="EB214">
        <f>DY214+DO214+DE214+CU214+CK214+CA214+BQ214+BG214+AV214+AL214+AB214+R214</f>
        <v>2400</v>
      </c>
      <c r="EC214">
        <f>IF(EA214&gt;0,50000,0)</f>
        <v>50000</v>
      </c>
      <c r="ED214">
        <v>0</v>
      </c>
      <c r="EE214">
        <f>EA214-EB214-EC214</f>
        <v>492060</v>
      </c>
      <c r="EF214">
        <f>DW214+DM214+DC214+CS214+CI214+BY214+BO214+BE214+AT214+AJ214+Z214+P214</f>
        <v>48000</v>
      </c>
      <c r="EG214">
        <f>DX214+DN214+DD214+CT214+CJ214+BZ214+BP214+BF214+AU214+AK214+AA214+Q214</f>
        <v>0</v>
      </c>
      <c r="EH214">
        <v>0</v>
      </c>
      <c r="EI214">
        <v>0</v>
      </c>
      <c r="EJ214">
        <v>0</v>
      </c>
      <c r="EK214">
        <v>0</v>
      </c>
      <c r="EL214">
        <v>0</v>
      </c>
      <c r="EM214">
        <v>0</v>
      </c>
      <c r="EN214">
        <v>0</v>
      </c>
      <c r="EO214">
        <v>0</v>
      </c>
      <c r="EP214">
        <v>0</v>
      </c>
      <c r="EQ214">
        <v>0</v>
      </c>
      <c r="ER214">
        <f>SUM(EF214:EQ214)</f>
        <v>48000</v>
      </c>
      <c r="ES214">
        <f>IF(ER214&gt;=150000,150000,ER214)</f>
        <v>48000</v>
      </c>
      <c r="ET214">
        <f>EE214-ES214</f>
        <v>444060</v>
      </c>
      <c r="EU214">
        <v>0</v>
      </c>
      <c r="EV214">
        <v>0</v>
      </c>
      <c r="EW214">
        <v>0</v>
      </c>
      <c r="EX214">
        <v>0</v>
      </c>
      <c r="EY214">
        <v>0</v>
      </c>
      <c r="EZ214">
        <v>0</v>
      </c>
      <c r="FA214">
        <v>0</v>
      </c>
      <c r="FB214">
        <f>SUM(EU214:FA214)+(IF(F214="YES",50000,0))</f>
        <v>0</v>
      </c>
      <c r="FC214">
        <f>ET214-FB214</f>
        <v>444060</v>
      </c>
      <c r="FD214">
        <f>ROUND(IF(FC214&gt;0,IF(FC214&gt;500000,12500,(FC214-250000)*0.05),0),0)</f>
        <v>9703</v>
      </c>
      <c r="FE214">
        <f>IF(ROUND(IF(FC214&gt;0,IF(FC214&gt;1000000,25000,(FC214-500000)*0.2),0),0)&lt;0,0,ROUND(IF(FC214&gt;0,IF(FC214&gt;1000000,25000,(FC214-500000)*0.2),0),0))</f>
        <v>0</v>
      </c>
      <c r="FF214">
        <f>FD214+FE214</f>
        <v>9703</v>
      </c>
      <c r="FG214">
        <f>IF(FF214&lt;12500,0,FF214)</f>
        <v>0</v>
      </c>
      <c r="FH214">
        <f>FG214*0.04</f>
        <v>0</v>
      </c>
      <c r="FI214">
        <f>ROUND(FH214+FG214,0)</f>
        <v>0</v>
      </c>
      <c r="FJ214">
        <v>0</v>
      </c>
      <c r="FK214">
        <f>FI214-FJ214</f>
        <v>0</v>
      </c>
      <c r="FL214" t="b">
        <f>IF(EA214&gt;500000,TRUE,FALSE)</f>
        <v>1</v>
      </c>
      <c r="FM214">
        <f ca="1">IF(FL214,RANDBETWEEN(500,1000),RANDBETWEEN(1000,3000))</f>
        <v>975</v>
      </c>
      <c r="FN214">
        <f ca="1">EA214+FM214</f>
        <v>545435</v>
      </c>
      <c r="FO214">
        <f>IF(EA214&gt;0,75000,0)</f>
        <v>75000</v>
      </c>
      <c r="FP214">
        <f ca="1">FN214-FO214</f>
        <v>470435</v>
      </c>
      <c r="FQ214">
        <f ca="1">IF(FP214&gt;2400000,FP214-2400000,0)</f>
        <v>0</v>
      </c>
      <c r="FR214">
        <f ca="1">FQ214*0.3</f>
        <v>0</v>
      </c>
      <c r="FS214">
        <f ca="1">IF(FP214&gt;2000000,FP214-2000000,0)</f>
        <v>0</v>
      </c>
      <c r="FT214">
        <f ca="1">FS214*0.25</f>
        <v>0</v>
      </c>
      <c r="FU214">
        <f ca="1">IF(FP214&gt;1600000,FP214-1600000-FQ214,0)</f>
        <v>0</v>
      </c>
      <c r="FV214">
        <f ca="1">FU214*0.2</f>
        <v>0</v>
      </c>
      <c r="FW214">
        <f ca="1">IF(FP214&gt;1200000,FP214-1200000-IF(F214="YES",50000,0)-FU214,0)</f>
        <v>0</v>
      </c>
      <c r="FX214">
        <f ca="1">FW214*0.15</f>
        <v>0</v>
      </c>
      <c r="FY214">
        <f ca="1">IF(FP214&gt;800000,FP214-800000-FQ214-FU214-FW214,0)</f>
        <v>0</v>
      </c>
      <c r="FZ214">
        <f ca="1">FY214*0.1</f>
        <v>0</v>
      </c>
      <c r="GA214">
        <f ca="1">IF(FP214&gt;400000,FP214-400000-FQ214-FU214-FW214-FY214,0)</f>
        <v>70435</v>
      </c>
      <c r="GB214">
        <f ca="1">GA214*0.05</f>
        <v>3521.75</v>
      </c>
      <c r="GC214">
        <f ca="1">ROUND(FR214+FT214+FV214+FX214+FZ214+GB214,0)</f>
        <v>3522</v>
      </c>
      <c r="GD214">
        <f ca="1">IF(FP214&gt;1200000,FP214,0)</f>
        <v>0</v>
      </c>
      <c r="GE214">
        <f ca="1">IF(FP214&gt;1200000,GD214-1200000,0)</f>
        <v>0</v>
      </c>
      <c r="GF214">
        <f ca="1">IF(FP214&lt;1200001,MIN(GC214,60000),0)</f>
        <v>3522</v>
      </c>
      <c r="GG214">
        <f ca="1">IF(FP214&gt;1200000,GC214-GE214,0)</f>
        <v>0</v>
      </c>
      <c r="GH214" t="b">
        <f ca="1">IF(GG214&gt;0,TRUE,FALSE)</f>
        <v>0</v>
      </c>
      <c r="GI214">
        <f ca="1">IF(GH214,GG214,0)</f>
        <v>0</v>
      </c>
      <c r="GJ214">
        <f ca="1">GF214+GI214</f>
        <v>3522</v>
      </c>
      <c r="GK214">
        <f ca="1">ROUND(GC214-GJ214,0)</f>
        <v>0</v>
      </c>
      <c r="GL214">
        <f ca="1">GK214*0.04</f>
        <v>0</v>
      </c>
      <c r="GM214">
        <f ca="1">ROUNDUP(GK214+GL214,0)</f>
        <v>0</v>
      </c>
    </row>
    <row r="215" spans="1:195" x14ac:dyDescent="0.25">
      <c r="A215">
        <f>_xlfn.AGGREGATE(3,5,$B$2:B215)</f>
        <v>214</v>
      </c>
      <c r="B215" t="s">
        <v>539</v>
      </c>
      <c r="C215" t="s">
        <v>540</v>
      </c>
      <c r="D215" t="s">
        <v>806</v>
      </c>
      <c r="E215" t="s">
        <v>833</v>
      </c>
      <c r="F215" t="s">
        <v>959</v>
      </c>
      <c r="G215" t="s">
        <v>944</v>
      </c>
      <c r="H215">
        <f>IF(_xlfn.DAYS("31-03-2025",G215)&gt;=180,6800,0)</f>
        <v>6800</v>
      </c>
      <c r="I215">
        <f>_xlfn.XLOOKUP(B215,'[1]march-2025'!$A:$A,'[1]march-2025'!$J:$J,0,0)</f>
        <v>0</v>
      </c>
      <c r="J215">
        <f>_xlfn.XLOOKUP(B215,'[1]march-2025'!$A:$A,'[1]march-2025'!$C:$C,0,0)</f>
        <v>24700</v>
      </c>
      <c r="K215">
        <f>J215*0.14</f>
        <v>3458.0000000000005</v>
      </c>
      <c r="L215">
        <f>J215*0.12</f>
        <v>2964</v>
      </c>
      <c r="M215">
        <f>_xlfn.XLOOKUP(B215,'[1]march-2025'!$A:$A,'[1]march-2025'!$D:$D,0,0)</f>
        <v>0</v>
      </c>
      <c r="N215">
        <f>_xlfn.XLOOKUP(B215,'[1]march-2025'!$A:$A,'[1]march-2025'!$G:$G,0,0)</f>
        <v>500</v>
      </c>
      <c r="O215">
        <f>IF(J215&gt;0,SUM(J215:N215),0)</f>
        <v>31622</v>
      </c>
      <c r="P215">
        <f>_xlfn.XLOOKUP(B215,'[1]march-2025'!$A:$A,'[1]march-2025'!$H:$H,0,0)</f>
        <v>0</v>
      </c>
      <c r="Q215">
        <f>_xlfn.XLOOKUP(B215,'[1]march-2025'!$A:$A,'[1]march-2025'!$I:$I,0,0)</f>
        <v>0</v>
      </c>
      <c r="R215">
        <f>IF($F215="YES",0,IF(O215&gt;40000,200,IF(O215&gt;25000,150,IF(O215&gt;15000,130,IF(O215&gt;10000,110,0)))))</f>
        <v>150</v>
      </c>
      <c r="S215">
        <f>O215-P215-Q215-R215</f>
        <v>31472</v>
      </c>
      <c r="T215">
        <f>_xlfn.XLOOKUP(B215,'[2]april-2025'!$A:$A,'[2]april-2025'!$C:$C,0,0)</f>
        <v>24700</v>
      </c>
      <c r="U215">
        <f>T215*0.18</f>
        <v>4446</v>
      </c>
      <c r="V215">
        <f>T215*0.12</f>
        <v>2964</v>
      </c>
      <c r="W215">
        <f>_xlfn.XLOOKUP(B215,'[2]april-2025'!$A:$A,'[2]april-2025'!$D:$D,0,0)</f>
        <v>0</v>
      </c>
      <c r="X215">
        <f>_xlfn.XLOOKUP(B215,'[2]april-2025'!$A:$A,'[2]april-2025'!$G:$G,0,0)</f>
        <v>500</v>
      </c>
      <c r="Y215">
        <f>IF(T215&gt;0,SUM(T215:X215),0)</f>
        <v>32610</v>
      </c>
      <c r="Z215">
        <f>_xlfn.XLOOKUP(B215,'[2]april-2025'!$A:$A,'[2]april-2025'!$H:$H,0,0)</f>
        <v>0</v>
      </c>
      <c r="AA215">
        <f>_xlfn.XLOOKUP(B215,'[2]april-2025'!$A:$A,'[2]april-2025'!$I:$I,0,0)</f>
        <v>0</v>
      </c>
      <c r="AB215">
        <f>IF($F215="YES",0,IF(Y215&gt;40000,200,IF(Y215&gt;25000,150,IF(Y215&gt;15000,130,IF(Y215&gt;10000,110,0)))))</f>
        <v>150</v>
      </c>
      <c r="AC215">
        <f>Y215-Z215-AA215-AB215</f>
        <v>32460</v>
      </c>
      <c r="AD215">
        <f>_xlfn.XLOOKUP(B215,'[3]may-2025'!$A:$A,'[3]may-2025'!$C:$C,0,0)</f>
        <v>24700</v>
      </c>
      <c r="AE215">
        <f>AD215*0.18</f>
        <v>4446</v>
      </c>
      <c r="AF215">
        <f>AD215*0.12</f>
        <v>2964</v>
      </c>
      <c r="AG215">
        <f>_xlfn.XLOOKUP(B215,'[3]may-2025'!$A:$A,'[3]may-2025'!$D:$D,0,0)</f>
        <v>0</v>
      </c>
      <c r="AH215">
        <f>_xlfn.XLOOKUP(B215,'[3]may-2025'!$A:$A,'[3]may-2025'!$G:$G,0,0)</f>
        <v>500</v>
      </c>
      <c r="AI215">
        <f>IF(AD215&gt;0,SUM(AD215:AH215),0)</f>
        <v>32610</v>
      </c>
      <c r="AJ215">
        <f>_xlfn.XLOOKUP(B215,'[3]may-2025'!$A:$A,'[3]may-2025'!$H:$H,0,0)</f>
        <v>0</v>
      </c>
      <c r="AK215">
        <f>_xlfn.XLOOKUP(B215,'[3]may-2025'!$A:$A,'[3]may-2025'!$I:$I,0,0)</f>
        <v>0</v>
      </c>
      <c r="AL215">
        <f>IF($F215="YES",0,IF(AI215&gt;40000,200,IF(AI215&gt;25000,150,IF(AI215&gt;15000,130,IF(AI215&gt;10000,110,0)))))</f>
        <v>150</v>
      </c>
      <c r="AM215">
        <f>AI215-AJ215-AK215-AL215</f>
        <v>32460</v>
      </c>
      <c r="AN215">
        <f>_xlfn.XLOOKUP(B215,'[4]june-2025'!$A:$A,'[4]june-2025'!$C:$C,0,0)</f>
        <v>24700</v>
      </c>
      <c r="AO215">
        <f>AN215*0.18</f>
        <v>4446</v>
      </c>
      <c r="AP215">
        <f>AN215*0.12</f>
        <v>2964</v>
      </c>
      <c r="AQ215">
        <f>_xlfn.XLOOKUP(B215,'[4]june-2025'!$A:$A,'[4]june-2025'!$D:$D,0,0)</f>
        <v>0</v>
      </c>
      <c r="AR215">
        <f>_xlfn.XLOOKUP(B215,'[4]june-2025'!$A:$A,'[4]june-2025'!$G:$G,0,0)</f>
        <v>500</v>
      </c>
      <c r="AS215">
        <f>IF(AN215&gt;0,SUM(AN215:AR215),0)</f>
        <v>32610</v>
      </c>
      <c r="AT215">
        <f>_xlfn.XLOOKUP(B215,'[4]june-2025'!$A:$A,'[4]june-2025'!$H:$H,0,0)</f>
        <v>0</v>
      </c>
      <c r="AU215">
        <f>_xlfn.XLOOKUP(B215,'[4]june-2025'!$A:$A,'[4]june-2025'!$I:$I,0,0)</f>
        <v>0</v>
      </c>
      <c r="AV215">
        <f>IF($F215="YES",0,IF(AS215&gt;40000,200,IF(AS215&gt;25000,150,IF(AS215&gt;15000,130,IF(AS215&gt;10000,110,0)))))</f>
        <v>150</v>
      </c>
      <c r="AW215">
        <f>AS215-AT215-AU215-AV215</f>
        <v>32460</v>
      </c>
      <c r="AX215">
        <f>_xlfn.XLOOKUP(B215,'[5]july-2025'!$A:$A,'[5]july-2025'!$C:$C,0,0)</f>
        <v>25400</v>
      </c>
      <c r="AY215">
        <f>AX215*0.18</f>
        <v>4572</v>
      </c>
      <c r="AZ215">
        <v>0</v>
      </c>
      <c r="BA215">
        <f>AX215*0.12</f>
        <v>3048</v>
      </c>
      <c r="BB215">
        <f>_xlfn.XLOOKUP(B215,'[5]july-2025'!$A:$A,'[5]july-2025'!$D:$D,0,0)</f>
        <v>0</v>
      </c>
      <c r="BC215">
        <f>_xlfn.XLOOKUP(B215,'[5]july-2025'!$A:$A,'[5]july-2025'!$G:$G,0,0)</f>
        <v>500</v>
      </c>
      <c r="BD215">
        <f>IF(AX215&gt;0,SUM(AX215:BC215),0)</f>
        <v>33520</v>
      </c>
      <c r="BE215">
        <f>_xlfn.XLOOKUP(B215,'[5]july-2025'!$A:$A,'[5]july-2025'!$H:$H,0,0)</f>
        <v>0</v>
      </c>
      <c r="BF215">
        <f>_xlfn.XLOOKUP(B215,'[5]july-2025'!$A:$A,'[5]july-2025'!$I:$I,0,0)</f>
        <v>0</v>
      </c>
      <c r="BG215">
        <f>IF($F215="YES",0,IF(BD215&gt;40000,200,IF(BD215&gt;25000,150,IF(BD215&gt;15000,130,IF(BD215&gt;10000,110,0)))))</f>
        <v>150</v>
      </c>
      <c r="BH215">
        <f>BD215-BE215-BF215-BG215</f>
        <v>33370</v>
      </c>
      <c r="BI215">
        <f>_xlfn.XLOOKUP(B215,'[6]august-2025'!$A:$A,'[6]august-2025'!$C:$C,0,0)</f>
        <v>25400</v>
      </c>
      <c r="BJ215">
        <f>BI215*0.18</f>
        <v>4572</v>
      </c>
      <c r="BK215">
        <f>BI215*0.12</f>
        <v>3048</v>
      </c>
      <c r="BL215">
        <f>_xlfn.XLOOKUP(B215,'[6]august-2025'!$A:$A,'[6]august-2025'!$D:$D,0,0)</f>
        <v>0</v>
      </c>
      <c r="BM215">
        <f>_xlfn.XLOOKUP(B215,'[6]august-2025'!$A:$A,'[6]august-2025'!$G:$G,0,0)</f>
        <v>500</v>
      </c>
      <c r="BN215">
        <f>IF(BI215&gt;0,SUM(BI215:BM215),0)</f>
        <v>33520</v>
      </c>
      <c r="BO215">
        <f>_xlfn.XLOOKUP(B215,'[6]august-2025'!$A:$A,'[6]august-2025'!$H:$H,0,0)</f>
        <v>2000</v>
      </c>
      <c r="BP215">
        <f>_xlfn.XLOOKUP(B215,'[6]august-2025'!$A:$A,'[6]august-2025'!$I:$I,0,0)</f>
        <v>0</v>
      </c>
      <c r="BQ215">
        <f>IF($F215="YES",0,IF(BN215&gt;40000,200,IF(BN215&gt;25000,150,IF(BN215&gt;15000,130,IF(BN215&gt;10000,110,0)))))</f>
        <v>150</v>
      </c>
      <c r="BR215">
        <f>BN215-BO215-BP215-BQ215</f>
        <v>31370</v>
      </c>
      <c r="BS215">
        <f>_xlfn.XLOOKUP(B215,'[7]september-2025'!$A:$A,'[7]september-2025'!$C:$C,0,0)</f>
        <v>25400</v>
      </c>
      <c r="BT215">
        <f>BS215*0.18</f>
        <v>4572</v>
      </c>
      <c r="BU215">
        <f>BS215*0.12</f>
        <v>3048</v>
      </c>
      <c r="BV215">
        <f>_xlfn.XLOOKUP(B215,'[7]september-2025'!$A:$A,'[7]september-2025'!$D:$D,0,0)</f>
        <v>0</v>
      </c>
      <c r="BW215">
        <f>_xlfn.XLOOKUP(B215,'[7]september-2025'!$A:$A,'[7]september-2025'!$G:$G,0,0)</f>
        <v>500</v>
      </c>
      <c r="BX215">
        <f>IF(BS215&gt;0,SUM(BS215:BW215),0)</f>
        <v>33520</v>
      </c>
      <c r="BY215">
        <f>_xlfn.XLOOKUP(B215,'[7]september-2025'!$A:$A,'[7]september-2025'!$H:$H,0,0)</f>
        <v>2000</v>
      </c>
      <c r="BZ215">
        <f>_xlfn.XLOOKUP(B215,'[7]september-2025'!$A:$A,'[7]september-2025'!$I:$I,0,0)</f>
        <v>0</v>
      </c>
      <c r="CA215">
        <f>IF($F215="YES",0,IF(BX215&gt;40000,200,IF(BX215&gt;25000,150,IF(BX215&gt;15000,130,IF(BX215&gt;10000,110,0)))))</f>
        <v>150</v>
      </c>
      <c r="CB215">
        <f>BX215-BY215-BZ215-CA215</f>
        <v>31370</v>
      </c>
      <c r="CC215">
        <f>_xlfn.XLOOKUP(B215,'[8]october-2025'!$A:$A,'[8]october-2025'!$C:$C,0,0)</f>
        <v>25400</v>
      </c>
      <c r="CD215">
        <f>CC215*0.18</f>
        <v>4572</v>
      </c>
      <c r="CE215">
        <f>CC215*0.12</f>
        <v>3048</v>
      </c>
      <c r="CF215">
        <f>_xlfn.XLOOKUP(B215,'[8]october-2025'!$A:$A,'[8]october-2025'!$D:$D,0,0)</f>
        <v>0</v>
      </c>
      <c r="CG215">
        <f>_xlfn.XLOOKUP(B215,'[8]october-2025'!$A:$A,'[8]october-2025'!$G:$G,0,0)</f>
        <v>500</v>
      </c>
      <c r="CH215">
        <f>IF(CC215&gt;0,SUM(CC215:CG215),0)</f>
        <v>33520</v>
      </c>
      <c r="CI215">
        <f>_xlfn.XLOOKUP(B215,'[8]october-2025'!$A:$A,'[8]october-2025'!$H:$H,0,0)</f>
        <v>2000</v>
      </c>
      <c r="CJ215">
        <f>_xlfn.XLOOKUP(B215,'[8]october-2025'!$A:$A,'[8]october-2025'!$I:$I,0,0)</f>
        <v>0</v>
      </c>
      <c r="CK215">
        <f>IF($F215="YES",0,IF(CH215&gt;40000,200,IF(CH215&gt;25000,150,IF(CH215&gt;15000,130,IF(CH215&gt;10000,110,0)))))</f>
        <v>150</v>
      </c>
      <c r="CL215">
        <f>CH215-CI215-CJ215-CK215</f>
        <v>31370</v>
      </c>
      <c r="CM215">
        <f>_xlfn.XLOOKUP(B215,'[9]november-2025'!$A:$A,'[9]november-2025'!$C:$C,0,0)</f>
        <v>25400</v>
      </c>
      <c r="CN215">
        <f>CM215*0.18</f>
        <v>4572</v>
      </c>
      <c r="CO215">
        <f>CM215*0.12</f>
        <v>3048</v>
      </c>
      <c r="CP215">
        <f>_xlfn.XLOOKUP(B215,'[9]november-2025'!$A:$A,'[9]november-2025'!$D:$D,0,0)</f>
        <v>0</v>
      </c>
      <c r="CQ215">
        <f>_xlfn.XLOOKUP(B215,'[9]november-2025'!$A:$A,'[9]november-2025'!$G:$G,0,0)</f>
        <v>500</v>
      </c>
      <c r="CR215">
        <f>IF(CM215&gt;0,SUM(CM215:CQ215),0)</f>
        <v>33520</v>
      </c>
      <c r="CS215">
        <f>_xlfn.XLOOKUP(B215,'[9]november-2025'!$A:$A,'[9]november-2025'!$H:$H,0,0)</f>
        <v>2000</v>
      </c>
      <c r="CT215">
        <f>_xlfn.XLOOKUP(B215,'[9]november-2025'!$A:$A,'[9]november-2025'!$I:$I,0,0)</f>
        <v>0</v>
      </c>
      <c r="CU215">
        <f>IF($F215="YES",0,IF(CR215&gt;40000,200,IF(CR215&gt;25000,150,IF(CR215&gt;15000,130,IF(CR215&gt;10000,110,0)))))</f>
        <v>150</v>
      </c>
      <c r="CV215">
        <f>CR215-CS215-CT215-CU215</f>
        <v>31370</v>
      </c>
      <c r="CW215">
        <f>_xlfn.XLOOKUP(B215,'[10]december-2025'!$A:$A,'[10]december-2025'!$C:$C,0,0)</f>
        <v>25400</v>
      </c>
      <c r="CX215">
        <f>ROUND(CW215*0.18,0)</f>
        <v>4572</v>
      </c>
      <c r="CY215">
        <f>ROUND(CW215*0.12,0)</f>
        <v>3048</v>
      </c>
      <c r="CZ215">
        <f>_xlfn.XLOOKUP(B215,'[10]december-2025'!$A:$A,'[10]december-2025'!$D:$D,0,0)</f>
        <v>0</v>
      </c>
      <c r="DA215">
        <f>_xlfn.XLOOKUP(B215,'[10]december-2025'!$A:$A,'[10]december-2025'!$G:$G,0,0)</f>
        <v>500</v>
      </c>
      <c r="DB215">
        <f>IF(CW215&gt;0,SUM(CW215:DA215),0)</f>
        <v>33520</v>
      </c>
      <c r="DC215">
        <f>_xlfn.XLOOKUP(B215,'[10]december-2025'!$A:$A,'[10]december-2025'!$H:$H,0,0)</f>
        <v>2000</v>
      </c>
      <c r="DD215">
        <f>_xlfn.XLOOKUP(B215,'[10]december-2025'!$A:$A,'[10]december-2025'!$I:$I,0,0)</f>
        <v>0</v>
      </c>
      <c r="DE215">
        <f>IF($F215="YES",0,IF(DB215&gt;40000,200,IF(DB215&gt;25000,150,IF(DB215&gt;15000,130,IF(DB215&gt;10000,110,0)))))</f>
        <v>150</v>
      </c>
      <c r="DF215">
        <f>DB215-DC215-DD215-DE215</f>
        <v>31370</v>
      </c>
      <c r="DG215">
        <f>_xlfn.XLOOKUP(B215,'[11]january-2026'!$A:$A,'[11]january-2026'!$C:$C,0,0)</f>
        <v>25400</v>
      </c>
      <c r="DH215">
        <f>DG215*0.18</f>
        <v>4572</v>
      </c>
      <c r="DI215">
        <f>DG215*0.12</f>
        <v>3048</v>
      </c>
      <c r="DJ215">
        <f>_xlfn.XLOOKUP(B215,'[11]january-2026'!$A:$A,'[11]january-2026'!$D:$D,0,0)</f>
        <v>0</v>
      </c>
      <c r="DK215">
        <f>_xlfn.XLOOKUP(B215,'[11]january-2026'!$A:$A,'[11]january-2026'!$G:$G,0,0)</f>
        <v>500</v>
      </c>
      <c r="DL215">
        <f>IF(DG215&gt;0,SUM(DG215:DK215),0)</f>
        <v>33520</v>
      </c>
      <c r="DM215">
        <f>_xlfn.XLOOKUP(B215,'[11]january-2026'!$A:$A,'[11]january-2026'!$H:$H,0,0)</f>
        <v>2000</v>
      </c>
      <c r="DN215">
        <f>_xlfn.XLOOKUP(B215,'[11]january-2026'!$A:$A,'[11]january-2026'!$I:$I,0,0)</f>
        <v>0</v>
      </c>
      <c r="DO215">
        <f>IF($F215="YES",0,IF(DL215&gt;40000,200,IF(DL215&gt;25000,150,IF(DL215&gt;15000,130,IF(DL215&gt;10000,110,0)))))</f>
        <v>150</v>
      </c>
      <c r="DP215">
        <f>DL215-DM215-DN215-DO215</f>
        <v>31370</v>
      </c>
      <c r="DQ215">
        <f>_xlfn.XLOOKUP(B215,'[12]february-2026'!$A:$A,'[12]february-2026'!$C:$C,0,0)</f>
        <v>25400</v>
      </c>
      <c r="DR215">
        <f>DQ215*0.18</f>
        <v>4572</v>
      </c>
      <c r="DS215">
        <f>DQ215*0.12</f>
        <v>3048</v>
      </c>
      <c r="DT215">
        <f>_xlfn.XLOOKUP(B215,'[12]february-2026'!$A:$A,'[12]february-2026'!$D:$D,0,0)</f>
        <v>0</v>
      </c>
      <c r="DU215">
        <f>_xlfn.XLOOKUP(B215,'[12]february-2026'!$A:$A,'[12]february-2026'!$G:$G,0,0)</f>
        <v>500</v>
      </c>
      <c r="DV215">
        <f>IF(DQ215&gt;0,SUM(DQ215:DU215),0)</f>
        <v>33520</v>
      </c>
      <c r="DW215">
        <f>_xlfn.XLOOKUP(B215,'[12]february-2026'!$A:$A,'[12]february-2026'!$H:$H,0,0)</f>
        <v>2000</v>
      </c>
      <c r="DX215">
        <f>_xlfn.XLOOKUP(B215,'[12]february-2026'!$A:$A,'[12]february-2026'!$I:$I,0,0)</f>
        <v>0</v>
      </c>
      <c r="DY215">
        <f>IF($F215="YES",0,IF(DV215&gt;40000,200,IF(DV215&gt;25000,150,IF(DV215&gt;15000,130,IF(DV215&gt;10000,110,0)))))</f>
        <v>150</v>
      </c>
      <c r="DZ215">
        <f>DV215-DW215-DX215-DY215</f>
        <v>31370</v>
      </c>
      <c r="EA215">
        <f>DV215+DL215+DB215+CR215+CH215+BX215+BN215+BD215+AS215+AI215+Y215+O215+H215+I215</f>
        <v>404412</v>
      </c>
      <c r="EB215">
        <f>DY215+DO215+DE215+CU215+CK215+CA215+BQ215+BG215+AV215+AL215+AB215+R215</f>
        <v>1800</v>
      </c>
      <c r="EC215">
        <f>IF(EA215&gt;0,50000,0)</f>
        <v>50000</v>
      </c>
      <c r="ED215">
        <v>0</v>
      </c>
      <c r="EE215">
        <f>EA215-EB215-EC215</f>
        <v>352612</v>
      </c>
      <c r="EF215">
        <f>DW215+DM215+DC215+CS215+CI215+BY215+BO215+BE215+AT215+AJ215+Z215+P215</f>
        <v>14000</v>
      </c>
      <c r="EG215">
        <f>DX215+DN215+DD215+CT215+CJ215+BZ215+BP215+BF215+AU215+AK215+AA215+Q215</f>
        <v>0</v>
      </c>
      <c r="EH215">
        <v>0</v>
      </c>
      <c r="EI215">
        <v>0</v>
      </c>
      <c r="EJ215">
        <v>0</v>
      </c>
      <c r="EK215">
        <v>0</v>
      </c>
      <c r="EL215">
        <v>0</v>
      </c>
      <c r="EM215">
        <v>0</v>
      </c>
      <c r="EN215">
        <v>0</v>
      </c>
      <c r="EO215">
        <v>0</v>
      </c>
      <c r="EP215">
        <v>0</v>
      </c>
      <c r="EQ215">
        <v>0</v>
      </c>
      <c r="ER215">
        <f>SUM(EF215:EQ215)</f>
        <v>14000</v>
      </c>
      <c r="ES215">
        <f>IF(ER215&gt;=150000,150000,ER215)</f>
        <v>14000</v>
      </c>
      <c r="ET215">
        <f>EE215-ES215</f>
        <v>338612</v>
      </c>
      <c r="EU215">
        <v>0</v>
      </c>
      <c r="EV215">
        <v>0</v>
      </c>
      <c r="EW215">
        <v>0</v>
      </c>
      <c r="EX215">
        <v>0</v>
      </c>
      <c r="EY215">
        <v>0</v>
      </c>
      <c r="EZ215">
        <v>0</v>
      </c>
      <c r="FA215">
        <v>0</v>
      </c>
      <c r="FB215">
        <f>SUM(EU215:FA215)+(IF(F215="YES",50000,0))</f>
        <v>0</v>
      </c>
      <c r="FC215">
        <f>ET215-FB215</f>
        <v>338612</v>
      </c>
      <c r="FD215">
        <f>ROUND(IF(FC215&gt;0,IF(FC215&gt;500000,12500,(FC215-250000)*0.05),0),0)</f>
        <v>4431</v>
      </c>
      <c r="FE215">
        <f>IF(ROUND(IF(FC215&gt;0,IF(FC215&gt;1000000,25000,(FC215-500000)*0.2),0),0)&lt;0,0,ROUND(IF(FC215&gt;0,IF(FC215&gt;1000000,25000,(FC215-500000)*0.2),0),0))</f>
        <v>0</v>
      </c>
      <c r="FF215">
        <f>FD215+FE215</f>
        <v>4431</v>
      </c>
      <c r="FG215">
        <f>IF(FF215&lt;12500,0,FF215)</f>
        <v>0</v>
      </c>
      <c r="FH215">
        <f>FG215*0.04</f>
        <v>0</v>
      </c>
      <c r="FI215">
        <f>ROUND(FH215+FG215,0)</f>
        <v>0</v>
      </c>
      <c r="FJ215">
        <v>0</v>
      </c>
      <c r="FK215">
        <f>FI215-FJ215</f>
        <v>0</v>
      </c>
      <c r="FL215" t="b">
        <f>IF(EA215&gt;500000,TRUE,FALSE)</f>
        <v>0</v>
      </c>
      <c r="FM215">
        <f ca="1">IF(FL215,RANDBETWEEN(500,1000),RANDBETWEEN(1000,3000))</f>
        <v>2701</v>
      </c>
      <c r="FN215">
        <f ca="1">EA215+FM215</f>
        <v>407113</v>
      </c>
      <c r="FO215">
        <f>IF(EA215&gt;0,75000,0)</f>
        <v>75000</v>
      </c>
      <c r="FP215">
        <f ca="1">FN215-FO215</f>
        <v>332113</v>
      </c>
      <c r="FQ215">
        <f ca="1">IF(FP215&gt;2400000,FP215-2400000,0)</f>
        <v>0</v>
      </c>
      <c r="FR215">
        <f ca="1">FQ215*0.3</f>
        <v>0</v>
      </c>
      <c r="FS215">
        <f ca="1">IF(FP215&gt;2000000,FP215-2000000,0)</f>
        <v>0</v>
      </c>
      <c r="FT215">
        <f ca="1">FS215*0.25</f>
        <v>0</v>
      </c>
      <c r="FU215">
        <f ca="1">IF(FP215&gt;1600000,FP215-1600000-FQ215,0)</f>
        <v>0</v>
      </c>
      <c r="FV215">
        <f ca="1">FU215*0.2</f>
        <v>0</v>
      </c>
      <c r="FW215">
        <f ca="1">IF(FP215&gt;1200000,FP215-1200000-IF(F215="YES",50000,0)-FU215,0)</f>
        <v>0</v>
      </c>
      <c r="FX215">
        <f ca="1">FW215*0.15</f>
        <v>0</v>
      </c>
      <c r="FY215">
        <f ca="1">IF(FP215&gt;800000,FP215-800000-FQ215-FU215-FW215,0)</f>
        <v>0</v>
      </c>
      <c r="FZ215">
        <f ca="1">FY215*0.1</f>
        <v>0</v>
      </c>
      <c r="GA215">
        <f ca="1">IF(FP215&gt;400000,FP215-400000-FQ215-FU215-FW215-FY215,0)</f>
        <v>0</v>
      </c>
      <c r="GB215">
        <f ca="1">GA215*0.05</f>
        <v>0</v>
      </c>
      <c r="GC215">
        <f ca="1">ROUND(FR215+FT215+FV215+FX215+FZ215+GB215,0)</f>
        <v>0</v>
      </c>
      <c r="GD215">
        <f ca="1">IF(FP215&gt;1200000,FP215,0)</f>
        <v>0</v>
      </c>
      <c r="GE215">
        <f ca="1">IF(FP215&gt;1200000,GD215-1200000,0)</f>
        <v>0</v>
      </c>
      <c r="GF215">
        <f ca="1">IF(FP215&lt;1200001,MIN(GC215,60000),0)</f>
        <v>0</v>
      </c>
      <c r="GG215">
        <f ca="1">IF(FP215&gt;1200000,GC215-GE215,0)</f>
        <v>0</v>
      </c>
      <c r="GH215" t="b">
        <f ca="1">IF(GG215&gt;0,TRUE,FALSE)</f>
        <v>0</v>
      </c>
      <c r="GI215">
        <f ca="1">IF(GH215,GG215,0)</f>
        <v>0</v>
      </c>
      <c r="GJ215">
        <f ca="1">GF215+GI215</f>
        <v>0</v>
      </c>
      <c r="GK215">
        <f ca="1">ROUND(GC215-GJ215,0)</f>
        <v>0</v>
      </c>
      <c r="GL215">
        <f ca="1">GK215*0.04</f>
        <v>0</v>
      </c>
      <c r="GM215">
        <f ca="1">ROUNDUP(GK215+GL215,0)</f>
        <v>0</v>
      </c>
    </row>
    <row r="216" spans="1:195" x14ac:dyDescent="0.25">
      <c r="A216">
        <f>_xlfn.AGGREGATE(3,5,$B$2:B216)</f>
        <v>215</v>
      </c>
      <c r="B216" t="s">
        <v>541</v>
      </c>
      <c r="C216" t="s">
        <v>542</v>
      </c>
      <c r="D216" t="s">
        <v>807</v>
      </c>
      <c r="E216" t="s">
        <v>834</v>
      </c>
      <c r="F216" t="s">
        <v>959</v>
      </c>
      <c r="G216" t="s">
        <v>887</v>
      </c>
      <c r="H216">
        <f>IF(_xlfn.DAYS("31-03-2025",G216)&gt;=180,6800,0)</f>
        <v>6800</v>
      </c>
      <c r="I216">
        <f>_xlfn.XLOOKUP(B216,'[1]march-2025'!$A:$A,'[1]march-2025'!$J:$J,0,0)</f>
        <v>0</v>
      </c>
      <c r="J216">
        <f>_xlfn.XLOOKUP(B216,'[1]march-2025'!$A:$A,'[1]march-2025'!$C:$C,0,0)</f>
        <v>51700</v>
      </c>
      <c r="K216">
        <f>J216*0.14</f>
        <v>7238.0000000000009</v>
      </c>
      <c r="L216">
        <f>J216*0.12</f>
        <v>6204</v>
      </c>
      <c r="M216">
        <f>_xlfn.XLOOKUP(B216,'[1]march-2025'!$A:$A,'[1]march-2025'!$D:$D,0,0)</f>
        <v>400</v>
      </c>
      <c r="N216">
        <f>_xlfn.XLOOKUP(B216,'[1]march-2025'!$A:$A,'[1]march-2025'!$G:$G,0,0)</f>
        <v>500</v>
      </c>
      <c r="O216">
        <f>IF(J216&gt;0,SUM(J216:N216),0)</f>
        <v>66042</v>
      </c>
      <c r="P216">
        <f>_xlfn.XLOOKUP(B216,'[1]march-2025'!$A:$A,'[1]march-2025'!$H:$H,0,0)</f>
        <v>10000</v>
      </c>
      <c r="Q216">
        <f>_xlfn.XLOOKUP(B216,'[1]march-2025'!$A:$A,'[1]march-2025'!$I:$I,0,0)</f>
        <v>0</v>
      </c>
      <c r="R216">
        <f>IF($F216="YES",0,IF(O216&gt;40000,200,IF(O216&gt;25000,150,IF(O216&gt;15000,130,IF(O216&gt;10000,110,0)))))</f>
        <v>200</v>
      </c>
      <c r="S216">
        <f>O216-P216-Q216-R216</f>
        <v>55842</v>
      </c>
      <c r="T216">
        <f>_xlfn.XLOOKUP(B216,'[2]april-2025'!$A:$A,'[2]april-2025'!$C:$C,0,0)</f>
        <v>51700</v>
      </c>
      <c r="U216">
        <f>T216*0.18</f>
        <v>9306</v>
      </c>
      <c r="V216">
        <f>T216*0.12</f>
        <v>6204</v>
      </c>
      <c r="W216">
        <f>_xlfn.XLOOKUP(B216,'[2]april-2025'!$A:$A,'[2]april-2025'!$D:$D,0,0)</f>
        <v>400</v>
      </c>
      <c r="X216">
        <f>_xlfn.XLOOKUP(B216,'[2]april-2025'!$A:$A,'[2]april-2025'!$G:$G,0,0)</f>
        <v>500</v>
      </c>
      <c r="Y216">
        <f>IF(T216&gt;0,SUM(T216:X216),0)</f>
        <v>68110</v>
      </c>
      <c r="Z216">
        <f>_xlfn.XLOOKUP(B216,'[2]april-2025'!$A:$A,'[2]april-2025'!$H:$H,0,0)</f>
        <v>10000</v>
      </c>
      <c r="AA216">
        <f>_xlfn.XLOOKUP(B216,'[2]april-2025'!$A:$A,'[2]april-2025'!$I:$I,0,0)</f>
        <v>0</v>
      </c>
      <c r="AB216">
        <f>IF($F216="YES",0,IF(Y216&gt;40000,200,IF(Y216&gt;25000,150,IF(Y216&gt;15000,130,IF(Y216&gt;10000,110,0)))))</f>
        <v>200</v>
      </c>
      <c r="AC216">
        <f>Y216-Z216-AA216-AB216</f>
        <v>57910</v>
      </c>
      <c r="AD216">
        <f>_xlfn.XLOOKUP(B216,'[3]may-2025'!$A:$A,'[3]may-2025'!$C:$C,0,0)</f>
        <v>51700</v>
      </c>
      <c r="AE216">
        <f>AD216*0.18</f>
        <v>9306</v>
      </c>
      <c r="AF216">
        <f>AD216*0.12</f>
        <v>6204</v>
      </c>
      <c r="AG216">
        <f>_xlfn.XLOOKUP(B216,'[3]may-2025'!$A:$A,'[3]may-2025'!$D:$D,0,0)</f>
        <v>400</v>
      </c>
      <c r="AH216">
        <f>_xlfn.XLOOKUP(B216,'[3]may-2025'!$A:$A,'[3]may-2025'!$G:$G,0,0)</f>
        <v>500</v>
      </c>
      <c r="AI216">
        <f>IF(AD216&gt;0,SUM(AD216:AH216),0)</f>
        <v>68110</v>
      </c>
      <c r="AJ216">
        <f>_xlfn.XLOOKUP(B216,'[3]may-2025'!$A:$A,'[3]may-2025'!$H:$H,0,0)</f>
        <v>10000</v>
      </c>
      <c r="AK216">
        <f>_xlfn.XLOOKUP(B216,'[3]may-2025'!$A:$A,'[3]may-2025'!$I:$I,0,0)</f>
        <v>0</v>
      </c>
      <c r="AL216">
        <f>IF($F216="YES",0,IF(AI216&gt;40000,200,IF(AI216&gt;25000,150,IF(AI216&gt;15000,130,IF(AI216&gt;10000,110,0)))))</f>
        <v>200</v>
      </c>
      <c r="AM216">
        <f>AI216-AJ216-AK216-AL216</f>
        <v>57910</v>
      </c>
      <c r="AN216">
        <f>_xlfn.XLOOKUP(B216,'[4]june-2025'!$A:$A,'[4]june-2025'!$C:$C,0,0)</f>
        <v>51700</v>
      </c>
      <c r="AO216">
        <f>AN216*0.18</f>
        <v>9306</v>
      </c>
      <c r="AP216">
        <f>AN216*0.12</f>
        <v>6204</v>
      </c>
      <c r="AQ216">
        <f>_xlfn.XLOOKUP(B216,'[4]june-2025'!$A:$A,'[4]june-2025'!$D:$D,0,0)</f>
        <v>400</v>
      </c>
      <c r="AR216">
        <f>_xlfn.XLOOKUP(B216,'[4]june-2025'!$A:$A,'[4]june-2025'!$G:$G,0,0)</f>
        <v>500</v>
      </c>
      <c r="AS216">
        <f>IF(AN216&gt;0,SUM(AN216:AR216),0)</f>
        <v>68110</v>
      </c>
      <c r="AT216">
        <f>_xlfn.XLOOKUP(B216,'[4]june-2025'!$A:$A,'[4]june-2025'!$H:$H,0,0)</f>
        <v>10000</v>
      </c>
      <c r="AU216">
        <f>_xlfn.XLOOKUP(B216,'[4]june-2025'!$A:$A,'[4]june-2025'!$I:$I,0,0)</f>
        <v>0</v>
      </c>
      <c r="AV216">
        <f>IF($F216="YES",0,IF(AS216&gt;40000,200,IF(AS216&gt;25000,150,IF(AS216&gt;15000,130,IF(AS216&gt;10000,110,0)))))</f>
        <v>200</v>
      </c>
      <c r="AW216">
        <f>AS216-AT216-AU216-AV216</f>
        <v>57910</v>
      </c>
      <c r="AX216">
        <f>_xlfn.XLOOKUP(B216,'[5]july-2025'!$A:$A,'[5]july-2025'!$C:$C,0,0)</f>
        <v>53300</v>
      </c>
      <c r="AY216">
        <f>AX216*0.18</f>
        <v>9594</v>
      </c>
      <c r="AZ216">
        <v>0</v>
      </c>
      <c r="BA216">
        <f>AX216*0.12</f>
        <v>6396</v>
      </c>
      <c r="BB216">
        <f>_xlfn.XLOOKUP(B216,'[5]july-2025'!$A:$A,'[5]july-2025'!$D:$D,0,0)</f>
        <v>400</v>
      </c>
      <c r="BC216">
        <f>_xlfn.XLOOKUP(B216,'[5]july-2025'!$A:$A,'[5]july-2025'!$G:$G,0,0)</f>
        <v>500</v>
      </c>
      <c r="BD216">
        <f>IF(AX216&gt;0,SUM(AX216:BC216),0)</f>
        <v>70190</v>
      </c>
      <c r="BE216">
        <f>_xlfn.XLOOKUP(B216,'[5]july-2025'!$A:$A,'[5]july-2025'!$H:$H,0,0)</f>
        <v>10000</v>
      </c>
      <c r="BF216">
        <f>_xlfn.XLOOKUP(B216,'[5]july-2025'!$A:$A,'[5]july-2025'!$I:$I,0,0)</f>
        <v>0</v>
      </c>
      <c r="BG216">
        <f>IF($F216="YES",0,IF(BD216&gt;40000,200,IF(BD216&gt;25000,150,IF(BD216&gt;15000,130,IF(BD216&gt;10000,110,0)))))</f>
        <v>200</v>
      </c>
      <c r="BH216">
        <f>BD216-BE216-BF216-BG216</f>
        <v>59990</v>
      </c>
      <c r="BI216">
        <f>_xlfn.XLOOKUP(B216,'[6]august-2025'!$A:$A,'[6]august-2025'!$C:$C,0,0)</f>
        <v>53300</v>
      </c>
      <c r="BJ216">
        <f>BI216*0.18</f>
        <v>9594</v>
      </c>
      <c r="BK216">
        <f>BI216*0.12</f>
        <v>6396</v>
      </c>
      <c r="BL216">
        <f>_xlfn.XLOOKUP(B216,'[6]august-2025'!$A:$A,'[6]august-2025'!$D:$D,0,0)</f>
        <v>400</v>
      </c>
      <c r="BM216">
        <f>_xlfn.XLOOKUP(B216,'[6]august-2025'!$A:$A,'[6]august-2025'!$G:$G,0,0)</f>
        <v>500</v>
      </c>
      <c r="BN216">
        <f>IF(BI216&gt;0,SUM(BI216:BM216),0)</f>
        <v>70190</v>
      </c>
      <c r="BO216">
        <f>_xlfn.XLOOKUP(B216,'[6]august-2025'!$A:$A,'[6]august-2025'!$H:$H,0,0)</f>
        <v>10000</v>
      </c>
      <c r="BP216">
        <f>_xlfn.XLOOKUP(B216,'[6]august-2025'!$A:$A,'[6]august-2025'!$I:$I,0,0)</f>
        <v>0</v>
      </c>
      <c r="BQ216">
        <f>IF($F216="YES",0,IF(BN216&gt;40000,200,IF(BN216&gt;25000,150,IF(BN216&gt;15000,130,IF(BN216&gt;10000,110,0)))))</f>
        <v>200</v>
      </c>
      <c r="BR216">
        <f>BN216-BO216-BP216-BQ216</f>
        <v>59990</v>
      </c>
      <c r="BS216">
        <f>_xlfn.XLOOKUP(B216,'[7]september-2025'!$A:$A,'[7]september-2025'!$C:$C,0,0)</f>
        <v>53300</v>
      </c>
      <c r="BT216">
        <f>BS216*0.18</f>
        <v>9594</v>
      </c>
      <c r="BU216">
        <f>BS216*0.12</f>
        <v>6396</v>
      </c>
      <c r="BV216">
        <f>_xlfn.XLOOKUP(B216,'[7]september-2025'!$A:$A,'[7]september-2025'!$D:$D,0,0)</f>
        <v>400</v>
      </c>
      <c r="BW216">
        <f>_xlfn.XLOOKUP(B216,'[7]september-2025'!$A:$A,'[7]september-2025'!$G:$G,0,0)</f>
        <v>500</v>
      </c>
      <c r="BX216">
        <f>IF(BS216&gt;0,SUM(BS216:BW216),0)</f>
        <v>70190</v>
      </c>
      <c r="BY216">
        <f>_xlfn.XLOOKUP(B216,'[7]september-2025'!$A:$A,'[7]september-2025'!$H:$H,0,0)</f>
        <v>10000</v>
      </c>
      <c r="BZ216">
        <f>_xlfn.XLOOKUP(B216,'[7]september-2025'!$A:$A,'[7]september-2025'!$I:$I,0,0)</f>
        <v>0</v>
      </c>
      <c r="CA216">
        <f>IF($F216="YES",0,IF(BX216&gt;40000,200,IF(BX216&gt;25000,150,IF(BX216&gt;15000,130,IF(BX216&gt;10000,110,0)))))</f>
        <v>200</v>
      </c>
      <c r="CB216">
        <f>BX216-BY216-BZ216-CA216</f>
        <v>59990</v>
      </c>
      <c r="CC216">
        <f>_xlfn.XLOOKUP(B216,'[8]october-2025'!$A:$A,'[8]october-2025'!$C:$C,0,0)</f>
        <v>53300</v>
      </c>
      <c r="CD216">
        <f>CC216*0.18</f>
        <v>9594</v>
      </c>
      <c r="CE216">
        <f>CC216*0.12</f>
        <v>6396</v>
      </c>
      <c r="CF216">
        <f>_xlfn.XLOOKUP(B216,'[8]october-2025'!$A:$A,'[8]october-2025'!$D:$D,0,0)</f>
        <v>400</v>
      </c>
      <c r="CG216">
        <f>_xlfn.XLOOKUP(B216,'[8]october-2025'!$A:$A,'[8]october-2025'!$G:$G,0,0)</f>
        <v>500</v>
      </c>
      <c r="CH216">
        <f>IF(CC216&gt;0,SUM(CC216:CG216),0)</f>
        <v>70190</v>
      </c>
      <c r="CI216">
        <f>_xlfn.XLOOKUP(B216,'[8]october-2025'!$A:$A,'[8]october-2025'!$H:$H,0,0)</f>
        <v>10000</v>
      </c>
      <c r="CJ216">
        <f>_xlfn.XLOOKUP(B216,'[8]october-2025'!$A:$A,'[8]october-2025'!$I:$I,0,0)</f>
        <v>0</v>
      </c>
      <c r="CK216">
        <f>IF($F216="YES",0,IF(CH216&gt;40000,200,IF(CH216&gt;25000,150,IF(CH216&gt;15000,130,IF(CH216&gt;10000,110,0)))))</f>
        <v>200</v>
      </c>
      <c r="CL216">
        <f>CH216-CI216-CJ216-CK216</f>
        <v>59990</v>
      </c>
      <c r="CM216">
        <f>_xlfn.XLOOKUP(B216,'[9]november-2025'!$A:$A,'[9]november-2025'!$C:$C,0,0)</f>
        <v>53300</v>
      </c>
      <c r="CN216">
        <f>CM216*0.18</f>
        <v>9594</v>
      </c>
      <c r="CO216">
        <f>CM216*0.12</f>
        <v>6396</v>
      </c>
      <c r="CP216">
        <f>_xlfn.XLOOKUP(B216,'[9]november-2025'!$A:$A,'[9]november-2025'!$D:$D,0,0)</f>
        <v>400</v>
      </c>
      <c r="CQ216">
        <f>_xlfn.XLOOKUP(B216,'[9]november-2025'!$A:$A,'[9]november-2025'!$G:$G,0,0)</f>
        <v>500</v>
      </c>
      <c r="CR216">
        <f>IF(CM216&gt;0,SUM(CM216:CQ216),0)</f>
        <v>70190</v>
      </c>
      <c r="CS216">
        <f>_xlfn.XLOOKUP(B216,'[9]november-2025'!$A:$A,'[9]november-2025'!$H:$H,0,0)</f>
        <v>10000</v>
      </c>
      <c r="CT216">
        <f>_xlfn.XLOOKUP(B216,'[9]november-2025'!$A:$A,'[9]november-2025'!$I:$I,0,0)</f>
        <v>0</v>
      </c>
      <c r="CU216">
        <f>IF($F216="YES",0,IF(CR216&gt;40000,200,IF(CR216&gt;25000,150,IF(CR216&gt;15000,130,IF(CR216&gt;10000,110,0)))))</f>
        <v>200</v>
      </c>
      <c r="CV216">
        <f>CR216-CS216-CT216-CU216</f>
        <v>59990</v>
      </c>
      <c r="CW216">
        <f>_xlfn.XLOOKUP(B216,'[10]december-2025'!$A:$A,'[10]december-2025'!$C:$C,0,0)</f>
        <v>53300</v>
      </c>
      <c r="CX216">
        <f>ROUND(CW216*0.18,0)</f>
        <v>9594</v>
      </c>
      <c r="CY216">
        <f>ROUND(CW216*0.12,0)</f>
        <v>6396</v>
      </c>
      <c r="CZ216">
        <f>_xlfn.XLOOKUP(B216,'[10]december-2025'!$A:$A,'[10]december-2025'!$D:$D,0,0)</f>
        <v>400</v>
      </c>
      <c r="DA216">
        <f>_xlfn.XLOOKUP(B216,'[10]december-2025'!$A:$A,'[10]december-2025'!$G:$G,0,0)</f>
        <v>500</v>
      </c>
      <c r="DB216">
        <f>IF(CW216&gt;0,SUM(CW216:DA216),0)</f>
        <v>70190</v>
      </c>
      <c r="DC216">
        <f>_xlfn.XLOOKUP(B216,'[10]december-2025'!$A:$A,'[10]december-2025'!$H:$H,0,0)</f>
        <v>10000</v>
      </c>
      <c r="DD216">
        <f>_xlfn.XLOOKUP(B216,'[10]december-2025'!$A:$A,'[10]december-2025'!$I:$I,0,0)</f>
        <v>0</v>
      </c>
      <c r="DE216">
        <f>IF($F216="YES",0,IF(DB216&gt;40000,200,IF(DB216&gt;25000,150,IF(DB216&gt;15000,130,IF(DB216&gt;10000,110,0)))))</f>
        <v>200</v>
      </c>
      <c r="DF216">
        <f>DB216-DC216-DD216-DE216</f>
        <v>59990</v>
      </c>
      <c r="DG216">
        <f>_xlfn.XLOOKUP(B216,'[11]january-2026'!$A:$A,'[11]january-2026'!$C:$C,0,0)</f>
        <v>53300</v>
      </c>
      <c r="DH216">
        <f>DG216*0.18</f>
        <v>9594</v>
      </c>
      <c r="DI216">
        <f>DG216*0.12</f>
        <v>6396</v>
      </c>
      <c r="DJ216">
        <f>_xlfn.XLOOKUP(B216,'[11]january-2026'!$A:$A,'[11]january-2026'!$D:$D,0,0)</f>
        <v>400</v>
      </c>
      <c r="DK216">
        <f>_xlfn.XLOOKUP(B216,'[11]january-2026'!$A:$A,'[11]january-2026'!$G:$G,0,0)</f>
        <v>500</v>
      </c>
      <c r="DL216">
        <f>IF(DG216&gt;0,SUM(DG216:DK216),0)</f>
        <v>70190</v>
      </c>
      <c r="DM216">
        <f>_xlfn.XLOOKUP(B216,'[11]january-2026'!$A:$A,'[11]january-2026'!$H:$H,0,0)</f>
        <v>10000</v>
      </c>
      <c r="DN216">
        <f>_xlfn.XLOOKUP(B216,'[11]january-2026'!$A:$A,'[11]january-2026'!$I:$I,0,0)</f>
        <v>0</v>
      </c>
      <c r="DO216">
        <f>IF($F216="YES",0,IF(DL216&gt;40000,200,IF(DL216&gt;25000,150,IF(DL216&gt;15000,130,IF(DL216&gt;10000,110,0)))))</f>
        <v>200</v>
      </c>
      <c r="DP216">
        <f>DL216-DM216-DN216-DO216</f>
        <v>59990</v>
      </c>
      <c r="DQ216">
        <f>_xlfn.XLOOKUP(B216,'[12]february-2026'!$A:$A,'[12]february-2026'!$C:$C,0,0)</f>
        <v>53300</v>
      </c>
      <c r="DR216">
        <f>DQ216*0.18</f>
        <v>9594</v>
      </c>
      <c r="DS216">
        <f>DQ216*0.12</f>
        <v>6396</v>
      </c>
      <c r="DT216">
        <f>_xlfn.XLOOKUP(B216,'[12]february-2026'!$A:$A,'[12]february-2026'!$D:$D,0,0)</f>
        <v>400</v>
      </c>
      <c r="DU216">
        <f>_xlfn.XLOOKUP(B216,'[12]february-2026'!$A:$A,'[12]february-2026'!$G:$G,0,0)</f>
        <v>500</v>
      </c>
      <c r="DV216">
        <f>IF(DQ216&gt;0,SUM(DQ216:DU216),0)</f>
        <v>70190</v>
      </c>
      <c r="DW216">
        <f>_xlfn.XLOOKUP(B216,'[12]february-2026'!$A:$A,'[12]february-2026'!$H:$H,0,0)</f>
        <v>10000</v>
      </c>
      <c r="DX216">
        <f>_xlfn.XLOOKUP(B216,'[12]february-2026'!$A:$A,'[12]february-2026'!$I:$I,0,0)</f>
        <v>0</v>
      </c>
      <c r="DY216">
        <f>IF($F216="YES",0,IF(DV216&gt;40000,200,IF(DV216&gt;25000,150,IF(DV216&gt;15000,130,IF(DV216&gt;10000,110,0)))))</f>
        <v>200</v>
      </c>
      <c r="DZ216">
        <f>DV216-DW216-DX216-DY216</f>
        <v>59990</v>
      </c>
      <c r="EA216">
        <f>DV216+DL216+DB216+CR216+CH216+BX216+BN216+BD216+AS216+AI216+Y216+O216+H216+I216</f>
        <v>838692</v>
      </c>
      <c r="EB216">
        <f>DY216+DO216+DE216+CU216+CK216+CA216+BQ216+BG216+AV216+AL216+AB216+R216</f>
        <v>2400</v>
      </c>
      <c r="EC216">
        <f>IF(EA216&gt;0,50000,0)</f>
        <v>50000</v>
      </c>
      <c r="ED216">
        <v>0</v>
      </c>
      <c r="EE216">
        <f>EA216-EB216-EC216</f>
        <v>786292</v>
      </c>
      <c r="EF216">
        <f>DW216+DM216+DC216+CS216+CI216+BY216+BO216+BE216+AT216+AJ216+Z216+P216</f>
        <v>120000</v>
      </c>
      <c r="EG216">
        <f>DX216+DN216+DD216+CT216+CJ216+BZ216+BP216+BF216+AU216+AK216+AA216+Q216</f>
        <v>0</v>
      </c>
      <c r="EH216">
        <v>0</v>
      </c>
      <c r="EI216">
        <v>0</v>
      </c>
      <c r="EJ216">
        <v>0</v>
      </c>
      <c r="EK216">
        <v>0</v>
      </c>
      <c r="EL216">
        <v>0</v>
      </c>
      <c r="EM216">
        <v>0</v>
      </c>
      <c r="EN216">
        <v>0</v>
      </c>
      <c r="EO216">
        <v>0</v>
      </c>
      <c r="EP216">
        <v>0</v>
      </c>
      <c r="EQ216">
        <v>0</v>
      </c>
      <c r="ER216">
        <f>SUM(EF216:EQ216)</f>
        <v>120000</v>
      </c>
      <c r="ES216">
        <f>IF(ER216&gt;=150000,150000,ER216)</f>
        <v>120000</v>
      </c>
      <c r="ET216">
        <f>EE216-ES216</f>
        <v>666292</v>
      </c>
      <c r="EU216">
        <v>0</v>
      </c>
      <c r="EV216">
        <v>0</v>
      </c>
      <c r="EW216">
        <v>0</v>
      </c>
      <c r="EX216">
        <v>0</v>
      </c>
      <c r="EY216">
        <v>0</v>
      </c>
      <c r="EZ216">
        <v>0</v>
      </c>
      <c r="FA216">
        <v>0</v>
      </c>
      <c r="FB216">
        <f>SUM(EU216:FA216)+(IF(F216="YES",50000,0))</f>
        <v>0</v>
      </c>
      <c r="FC216">
        <f>ET216-FB216</f>
        <v>666292</v>
      </c>
      <c r="FD216">
        <f>ROUND(IF(FC216&gt;0,IF(FC216&gt;500000,12500,(FC216-250000)*0.05),0),0)</f>
        <v>12500</v>
      </c>
      <c r="FE216">
        <f>IF(ROUND(IF(FC216&gt;0,IF(FC216&gt;1000000,25000,(FC216-500000)*0.2),0),0)&lt;0,0,ROUND(IF(FC216&gt;0,IF(FC216&gt;1000000,25000,(FC216-500000)*0.2),0),0))</f>
        <v>33258</v>
      </c>
      <c r="FF216">
        <f>FD216+FE216</f>
        <v>45758</v>
      </c>
      <c r="FG216">
        <f>IF(FF216&lt;12500,0,FF216)</f>
        <v>45758</v>
      </c>
      <c r="FH216">
        <f>FG216*0.04</f>
        <v>1830.32</v>
      </c>
      <c r="FI216">
        <f>ROUND(FH216+FG216,0)</f>
        <v>47588</v>
      </c>
      <c r="FJ216">
        <v>0</v>
      </c>
      <c r="FK216">
        <f>FI216-FJ216</f>
        <v>47588</v>
      </c>
      <c r="FL216" t="b">
        <f>IF(EA216&gt;500000,TRUE,FALSE)</f>
        <v>1</v>
      </c>
      <c r="FM216">
        <f ca="1">IF(FL216,RANDBETWEEN(500,1000),RANDBETWEEN(1000,3000))</f>
        <v>674</v>
      </c>
      <c r="FN216">
        <f ca="1">EA216+FM216</f>
        <v>839366</v>
      </c>
      <c r="FO216">
        <f>IF(EA216&gt;0,75000,0)</f>
        <v>75000</v>
      </c>
      <c r="FP216">
        <f ca="1">FN216-FO216</f>
        <v>764366</v>
      </c>
      <c r="FQ216">
        <f ca="1">IF(FP216&gt;2400000,FP216-2400000,0)</f>
        <v>0</v>
      </c>
      <c r="FR216">
        <f ca="1">FQ216*0.3</f>
        <v>0</v>
      </c>
      <c r="FS216">
        <f ca="1">IF(FP216&gt;2000000,FP216-2000000,0)</f>
        <v>0</v>
      </c>
      <c r="FT216">
        <f ca="1">FS216*0.25</f>
        <v>0</v>
      </c>
      <c r="FU216">
        <f ca="1">IF(FP216&gt;1600000,FP216-1600000-FQ216,0)</f>
        <v>0</v>
      </c>
      <c r="FV216">
        <f ca="1">FU216*0.2</f>
        <v>0</v>
      </c>
      <c r="FW216">
        <f ca="1">IF(FP216&gt;1200000,FP216-1200000-IF(F216="YES",50000,0)-FU216,0)</f>
        <v>0</v>
      </c>
      <c r="FX216">
        <f ca="1">FW216*0.15</f>
        <v>0</v>
      </c>
      <c r="FY216">
        <f ca="1">IF(FP216&gt;800000,FP216-800000-FQ216-FU216-FW216,0)</f>
        <v>0</v>
      </c>
      <c r="FZ216">
        <f ca="1">FY216*0.1</f>
        <v>0</v>
      </c>
      <c r="GA216">
        <f ca="1">IF(FP216&gt;400000,FP216-400000-FQ216-FU216-FW216-FY216,0)</f>
        <v>364366</v>
      </c>
      <c r="GB216">
        <f ca="1">GA216*0.05</f>
        <v>18218.3</v>
      </c>
      <c r="GC216">
        <f ca="1">ROUND(FR216+FT216+FV216+FX216+FZ216+GB216,0)</f>
        <v>18218</v>
      </c>
      <c r="GD216">
        <f ca="1">IF(FP216&gt;1200000,FP216,0)</f>
        <v>0</v>
      </c>
      <c r="GE216">
        <f ca="1">IF(FP216&gt;1200000,GD216-1200000,0)</f>
        <v>0</v>
      </c>
      <c r="GF216">
        <f ca="1">IF(FP216&lt;1200001,MIN(GC216,60000),0)</f>
        <v>18218</v>
      </c>
      <c r="GG216">
        <f ca="1">IF(FP216&gt;1200000,GC216-GE216,0)</f>
        <v>0</v>
      </c>
      <c r="GH216" t="b">
        <f ca="1">IF(GG216&gt;0,TRUE,FALSE)</f>
        <v>0</v>
      </c>
      <c r="GI216">
        <f ca="1">IF(GH216,GG216,0)</f>
        <v>0</v>
      </c>
      <c r="GJ216">
        <f ca="1">GF216+GI216</f>
        <v>18218</v>
      </c>
      <c r="GK216">
        <f ca="1">ROUND(GC216-GJ216,0)</f>
        <v>0</v>
      </c>
      <c r="GL216">
        <f ca="1">GK216*0.04</f>
        <v>0</v>
      </c>
      <c r="GM216">
        <f ca="1">ROUNDUP(GK216+GL216,0)</f>
        <v>0</v>
      </c>
    </row>
    <row r="217" spans="1:195" x14ac:dyDescent="0.25">
      <c r="A217">
        <f>_xlfn.AGGREGATE(3,5,$B$2:B217)</f>
        <v>216</v>
      </c>
      <c r="B217" t="s">
        <v>543</v>
      </c>
      <c r="C217" t="s">
        <v>544</v>
      </c>
      <c r="D217" t="s">
        <v>807</v>
      </c>
      <c r="E217" t="s">
        <v>834</v>
      </c>
      <c r="F217" t="s">
        <v>959</v>
      </c>
      <c r="G217" t="s">
        <v>910</v>
      </c>
      <c r="H217">
        <f>IF(_xlfn.DAYS("31-03-2025",G217)&gt;=180,6800,0)</f>
        <v>6800</v>
      </c>
      <c r="I217">
        <f>_xlfn.XLOOKUP(B217,'[1]march-2025'!$A:$A,'[1]march-2025'!$J:$J,0,0)</f>
        <v>0</v>
      </c>
      <c r="J217">
        <f>_xlfn.XLOOKUP(B217,'[1]march-2025'!$A:$A,'[1]march-2025'!$C:$C,0,0)</f>
        <v>47300</v>
      </c>
      <c r="K217">
        <f>J217*0.14</f>
        <v>6622.0000000000009</v>
      </c>
      <c r="L217">
        <f>J217*0.12</f>
        <v>5676</v>
      </c>
      <c r="M217">
        <f>_xlfn.XLOOKUP(B217,'[1]march-2025'!$A:$A,'[1]march-2025'!$D:$D,0,0)</f>
        <v>0</v>
      </c>
      <c r="N217">
        <f>_xlfn.XLOOKUP(B217,'[1]march-2025'!$A:$A,'[1]march-2025'!$G:$G,0,0)</f>
        <v>0</v>
      </c>
      <c r="O217">
        <f>IF(J217&gt;0,SUM(J217:N217),0)</f>
        <v>59598</v>
      </c>
      <c r="P217">
        <f>_xlfn.XLOOKUP(B217,'[1]march-2025'!$A:$A,'[1]march-2025'!$H:$H,0,0)</f>
        <v>5000</v>
      </c>
      <c r="Q217">
        <f>_xlfn.XLOOKUP(B217,'[1]march-2025'!$A:$A,'[1]march-2025'!$I:$I,0,0)</f>
        <v>0</v>
      </c>
      <c r="R217">
        <f>IF($F217="YES",0,IF(O217&gt;40000,200,IF(O217&gt;25000,150,IF(O217&gt;15000,130,IF(O217&gt;10000,110,0)))))</f>
        <v>200</v>
      </c>
      <c r="S217">
        <f>O217-P217-Q217-R217</f>
        <v>54398</v>
      </c>
      <c r="T217">
        <f>_xlfn.XLOOKUP(B217,'[2]april-2025'!$A:$A,'[2]april-2025'!$C:$C,0,0)</f>
        <v>47300</v>
      </c>
      <c r="U217">
        <f>T217*0.18</f>
        <v>8514</v>
      </c>
      <c r="V217">
        <f>T217*0.12</f>
        <v>5676</v>
      </c>
      <c r="W217">
        <f>_xlfn.XLOOKUP(B217,'[2]april-2025'!$A:$A,'[2]april-2025'!$D:$D,0,0)</f>
        <v>0</v>
      </c>
      <c r="X217">
        <f>_xlfn.XLOOKUP(B217,'[2]april-2025'!$A:$A,'[2]april-2025'!$G:$G,0,0)</f>
        <v>0</v>
      </c>
      <c r="Y217">
        <f>IF(T217&gt;0,SUM(T217:X217),0)</f>
        <v>61490</v>
      </c>
      <c r="Z217">
        <f>_xlfn.XLOOKUP(B217,'[2]april-2025'!$A:$A,'[2]april-2025'!$H:$H,0,0)</f>
        <v>5000</v>
      </c>
      <c r="AA217">
        <f>_xlfn.XLOOKUP(B217,'[2]april-2025'!$A:$A,'[2]april-2025'!$I:$I,0,0)</f>
        <v>0</v>
      </c>
      <c r="AB217">
        <f>IF($F217="YES",0,IF(Y217&gt;40000,200,IF(Y217&gt;25000,150,IF(Y217&gt;15000,130,IF(Y217&gt;10000,110,0)))))</f>
        <v>200</v>
      </c>
      <c r="AC217">
        <f>Y217-Z217-AA217-AB217</f>
        <v>56290</v>
      </c>
      <c r="AD217">
        <f>_xlfn.XLOOKUP(B217,'[3]may-2025'!$A:$A,'[3]may-2025'!$C:$C,0,0)</f>
        <v>47300</v>
      </c>
      <c r="AE217">
        <f>AD217*0.18</f>
        <v>8514</v>
      </c>
      <c r="AF217">
        <f>AD217*0.12</f>
        <v>5676</v>
      </c>
      <c r="AG217">
        <f>_xlfn.XLOOKUP(B217,'[3]may-2025'!$A:$A,'[3]may-2025'!$D:$D,0,0)</f>
        <v>0</v>
      </c>
      <c r="AH217">
        <f>_xlfn.XLOOKUP(B217,'[3]may-2025'!$A:$A,'[3]may-2025'!$G:$G,0,0)</f>
        <v>0</v>
      </c>
      <c r="AI217">
        <f>IF(AD217&gt;0,SUM(AD217:AH217),0)</f>
        <v>61490</v>
      </c>
      <c r="AJ217">
        <f>_xlfn.XLOOKUP(B217,'[3]may-2025'!$A:$A,'[3]may-2025'!$H:$H,0,0)</f>
        <v>5000</v>
      </c>
      <c r="AK217">
        <f>_xlfn.XLOOKUP(B217,'[3]may-2025'!$A:$A,'[3]may-2025'!$I:$I,0,0)</f>
        <v>0</v>
      </c>
      <c r="AL217">
        <f>IF($F217="YES",0,IF(AI217&gt;40000,200,IF(AI217&gt;25000,150,IF(AI217&gt;15000,130,IF(AI217&gt;10000,110,0)))))</f>
        <v>200</v>
      </c>
      <c r="AM217">
        <f>AI217-AJ217-AK217-AL217</f>
        <v>56290</v>
      </c>
      <c r="AN217">
        <f>_xlfn.XLOOKUP(B217,'[4]june-2025'!$A:$A,'[4]june-2025'!$C:$C,0,0)</f>
        <v>47300</v>
      </c>
      <c r="AO217">
        <f>AN217*0.18</f>
        <v>8514</v>
      </c>
      <c r="AP217">
        <f>AN217*0.12</f>
        <v>5676</v>
      </c>
      <c r="AQ217">
        <f>_xlfn.XLOOKUP(B217,'[4]june-2025'!$A:$A,'[4]june-2025'!$D:$D,0,0)</f>
        <v>0</v>
      </c>
      <c r="AR217">
        <f>_xlfn.XLOOKUP(B217,'[4]june-2025'!$A:$A,'[4]june-2025'!$G:$G,0,0)</f>
        <v>0</v>
      </c>
      <c r="AS217">
        <f>IF(AN217&gt;0,SUM(AN217:AR217),0)</f>
        <v>61490</v>
      </c>
      <c r="AT217">
        <f>_xlfn.XLOOKUP(B217,'[4]june-2025'!$A:$A,'[4]june-2025'!$H:$H,0,0)</f>
        <v>5000</v>
      </c>
      <c r="AU217">
        <f>_xlfn.XLOOKUP(B217,'[4]june-2025'!$A:$A,'[4]june-2025'!$I:$I,0,0)</f>
        <v>0</v>
      </c>
      <c r="AV217">
        <f>IF($F217="YES",0,IF(AS217&gt;40000,200,IF(AS217&gt;25000,150,IF(AS217&gt;15000,130,IF(AS217&gt;10000,110,0)))))</f>
        <v>200</v>
      </c>
      <c r="AW217">
        <f>AS217-AT217-AU217-AV217</f>
        <v>56290</v>
      </c>
      <c r="AX217">
        <f>_xlfn.XLOOKUP(B217,'[5]july-2025'!$A:$A,'[5]july-2025'!$C:$C,0,0)</f>
        <v>48700</v>
      </c>
      <c r="AY217">
        <f>AX217*0.18</f>
        <v>8766</v>
      </c>
      <c r="AZ217">
        <v>0</v>
      </c>
      <c r="BA217">
        <f>AX217*0.12</f>
        <v>5844</v>
      </c>
      <c r="BB217">
        <f>_xlfn.XLOOKUP(B217,'[5]july-2025'!$A:$A,'[5]july-2025'!$D:$D,0,0)</f>
        <v>0</v>
      </c>
      <c r="BC217">
        <f>_xlfn.XLOOKUP(B217,'[5]july-2025'!$A:$A,'[5]july-2025'!$G:$G,0,0)</f>
        <v>0</v>
      </c>
      <c r="BD217">
        <f>IF(AX217&gt;0,SUM(AX217:BC217),0)</f>
        <v>63310</v>
      </c>
      <c r="BE217">
        <f>_xlfn.XLOOKUP(B217,'[5]july-2025'!$A:$A,'[5]july-2025'!$H:$H,0,0)</f>
        <v>5000</v>
      </c>
      <c r="BF217">
        <f>_xlfn.XLOOKUP(B217,'[5]july-2025'!$A:$A,'[5]july-2025'!$I:$I,0,0)</f>
        <v>0</v>
      </c>
      <c r="BG217">
        <f>IF($F217="YES",0,IF(BD217&gt;40000,200,IF(BD217&gt;25000,150,IF(BD217&gt;15000,130,IF(BD217&gt;10000,110,0)))))</f>
        <v>200</v>
      </c>
      <c r="BH217">
        <f>BD217-BE217-BF217-BG217</f>
        <v>58110</v>
      </c>
      <c r="BI217">
        <f>_xlfn.XLOOKUP(B217,'[6]august-2025'!$A:$A,'[6]august-2025'!$C:$C,0,0)</f>
        <v>48700</v>
      </c>
      <c r="BJ217">
        <f>BI217*0.18</f>
        <v>8766</v>
      </c>
      <c r="BK217">
        <f>BI217*0.12</f>
        <v>5844</v>
      </c>
      <c r="BL217">
        <f>_xlfn.XLOOKUP(B217,'[6]august-2025'!$A:$A,'[6]august-2025'!$D:$D,0,0)</f>
        <v>0</v>
      </c>
      <c r="BM217">
        <f>_xlfn.XLOOKUP(B217,'[6]august-2025'!$A:$A,'[6]august-2025'!$G:$G,0,0)</f>
        <v>0</v>
      </c>
      <c r="BN217">
        <f>IF(BI217&gt;0,SUM(BI217:BM217),0)</f>
        <v>63310</v>
      </c>
      <c r="BO217">
        <f>_xlfn.XLOOKUP(B217,'[6]august-2025'!$A:$A,'[6]august-2025'!$H:$H,0,0)</f>
        <v>5000</v>
      </c>
      <c r="BP217">
        <f>_xlfn.XLOOKUP(B217,'[6]august-2025'!$A:$A,'[6]august-2025'!$I:$I,0,0)</f>
        <v>0</v>
      </c>
      <c r="BQ217">
        <f>IF($F217="YES",0,IF(BN217&gt;40000,200,IF(BN217&gt;25000,150,IF(BN217&gt;15000,130,IF(BN217&gt;10000,110,0)))))</f>
        <v>200</v>
      </c>
      <c r="BR217">
        <f>BN217-BO217-BP217-BQ217</f>
        <v>58110</v>
      </c>
      <c r="BS217">
        <f>_xlfn.XLOOKUP(B217,'[7]september-2025'!$A:$A,'[7]september-2025'!$C:$C,0,0)</f>
        <v>48700</v>
      </c>
      <c r="BT217">
        <f>BS217*0.18</f>
        <v>8766</v>
      </c>
      <c r="BU217">
        <f>BS217*0.12</f>
        <v>5844</v>
      </c>
      <c r="BV217">
        <f>_xlfn.XLOOKUP(B217,'[7]september-2025'!$A:$A,'[7]september-2025'!$D:$D,0,0)</f>
        <v>0</v>
      </c>
      <c r="BW217">
        <f>_xlfn.XLOOKUP(B217,'[7]september-2025'!$A:$A,'[7]september-2025'!$G:$G,0,0)</f>
        <v>0</v>
      </c>
      <c r="BX217">
        <f>IF(BS217&gt;0,SUM(BS217:BW217),0)</f>
        <v>63310</v>
      </c>
      <c r="BY217">
        <f>_xlfn.XLOOKUP(B217,'[7]september-2025'!$A:$A,'[7]september-2025'!$H:$H,0,0)</f>
        <v>5000</v>
      </c>
      <c r="BZ217">
        <f>_xlfn.XLOOKUP(B217,'[7]september-2025'!$A:$A,'[7]september-2025'!$I:$I,0,0)</f>
        <v>0</v>
      </c>
      <c r="CA217">
        <f>IF($F217="YES",0,IF(BX217&gt;40000,200,IF(BX217&gt;25000,150,IF(BX217&gt;15000,130,IF(BX217&gt;10000,110,0)))))</f>
        <v>200</v>
      </c>
      <c r="CB217">
        <f>BX217-BY217-BZ217-CA217</f>
        <v>58110</v>
      </c>
      <c r="CC217">
        <f>_xlfn.XLOOKUP(B217,'[8]october-2025'!$A:$A,'[8]october-2025'!$C:$C,0,0)</f>
        <v>48700</v>
      </c>
      <c r="CD217">
        <f>CC217*0.18</f>
        <v>8766</v>
      </c>
      <c r="CE217">
        <f>CC217*0.12</f>
        <v>5844</v>
      </c>
      <c r="CF217">
        <f>_xlfn.XLOOKUP(B217,'[8]october-2025'!$A:$A,'[8]october-2025'!$D:$D,0,0)</f>
        <v>0</v>
      </c>
      <c r="CG217">
        <f>_xlfn.XLOOKUP(B217,'[8]october-2025'!$A:$A,'[8]october-2025'!$G:$G,0,0)</f>
        <v>0</v>
      </c>
      <c r="CH217">
        <f>IF(CC217&gt;0,SUM(CC217:CG217),0)</f>
        <v>63310</v>
      </c>
      <c r="CI217">
        <f>_xlfn.XLOOKUP(B217,'[8]october-2025'!$A:$A,'[8]october-2025'!$H:$H,0,0)</f>
        <v>5000</v>
      </c>
      <c r="CJ217">
        <f>_xlfn.XLOOKUP(B217,'[8]october-2025'!$A:$A,'[8]october-2025'!$I:$I,0,0)</f>
        <v>0</v>
      </c>
      <c r="CK217">
        <f>IF($F217="YES",0,IF(CH217&gt;40000,200,IF(CH217&gt;25000,150,IF(CH217&gt;15000,130,IF(CH217&gt;10000,110,0)))))</f>
        <v>200</v>
      </c>
      <c r="CL217">
        <f>CH217-CI217-CJ217-CK217</f>
        <v>58110</v>
      </c>
      <c r="CM217">
        <f>_xlfn.XLOOKUP(B217,'[9]november-2025'!$A:$A,'[9]november-2025'!$C:$C,0,0)</f>
        <v>48700</v>
      </c>
      <c r="CN217">
        <f>CM217*0.18</f>
        <v>8766</v>
      </c>
      <c r="CO217">
        <f>CM217*0.12</f>
        <v>5844</v>
      </c>
      <c r="CP217">
        <f>_xlfn.XLOOKUP(B217,'[9]november-2025'!$A:$A,'[9]november-2025'!$D:$D,0,0)</f>
        <v>0</v>
      </c>
      <c r="CQ217">
        <f>_xlfn.XLOOKUP(B217,'[9]november-2025'!$A:$A,'[9]november-2025'!$G:$G,0,0)</f>
        <v>0</v>
      </c>
      <c r="CR217">
        <f>IF(CM217&gt;0,SUM(CM217:CQ217),0)</f>
        <v>63310</v>
      </c>
      <c r="CS217">
        <f>_xlfn.XLOOKUP(B217,'[9]november-2025'!$A:$A,'[9]november-2025'!$H:$H,0,0)</f>
        <v>5000</v>
      </c>
      <c r="CT217">
        <f>_xlfn.XLOOKUP(B217,'[9]november-2025'!$A:$A,'[9]november-2025'!$I:$I,0,0)</f>
        <v>0</v>
      </c>
      <c r="CU217">
        <f>IF($F217="YES",0,IF(CR217&gt;40000,200,IF(CR217&gt;25000,150,IF(CR217&gt;15000,130,IF(CR217&gt;10000,110,0)))))</f>
        <v>200</v>
      </c>
      <c r="CV217">
        <f>CR217-CS217-CT217-CU217</f>
        <v>58110</v>
      </c>
      <c r="CW217">
        <f>_xlfn.XLOOKUP(B217,'[10]december-2025'!$A:$A,'[10]december-2025'!$C:$C,0,0)</f>
        <v>48700</v>
      </c>
      <c r="CX217">
        <f>ROUND(CW217*0.18,0)</f>
        <v>8766</v>
      </c>
      <c r="CY217">
        <f>ROUND(CW217*0.12,0)</f>
        <v>5844</v>
      </c>
      <c r="CZ217">
        <f>_xlfn.XLOOKUP(B217,'[10]december-2025'!$A:$A,'[10]december-2025'!$D:$D,0,0)</f>
        <v>0</v>
      </c>
      <c r="DA217">
        <f>_xlfn.XLOOKUP(B217,'[10]december-2025'!$A:$A,'[10]december-2025'!$G:$G,0,0)</f>
        <v>0</v>
      </c>
      <c r="DB217">
        <f>IF(CW217&gt;0,SUM(CW217:DA217),0)</f>
        <v>63310</v>
      </c>
      <c r="DC217">
        <f>_xlfn.XLOOKUP(B217,'[10]december-2025'!$A:$A,'[10]december-2025'!$H:$H,0,0)</f>
        <v>5000</v>
      </c>
      <c r="DD217">
        <f>_xlfn.XLOOKUP(B217,'[10]december-2025'!$A:$A,'[10]december-2025'!$I:$I,0,0)</f>
        <v>0</v>
      </c>
      <c r="DE217">
        <f>IF($F217="YES",0,IF(DB217&gt;40000,200,IF(DB217&gt;25000,150,IF(DB217&gt;15000,130,IF(DB217&gt;10000,110,0)))))</f>
        <v>200</v>
      </c>
      <c r="DF217">
        <f>DB217-DC217-DD217-DE217</f>
        <v>58110</v>
      </c>
      <c r="DG217">
        <f>_xlfn.XLOOKUP(B217,'[11]january-2026'!$A:$A,'[11]january-2026'!$C:$C,0,0)</f>
        <v>48700</v>
      </c>
      <c r="DH217">
        <f>DG217*0.18</f>
        <v>8766</v>
      </c>
      <c r="DI217">
        <f>DG217*0.12</f>
        <v>5844</v>
      </c>
      <c r="DJ217">
        <f>_xlfn.XLOOKUP(B217,'[11]january-2026'!$A:$A,'[11]january-2026'!$D:$D,0,0)</f>
        <v>0</v>
      </c>
      <c r="DK217">
        <f>_xlfn.XLOOKUP(B217,'[11]january-2026'!$A:$A,'[11]january-2026'!$G:$G,0,0)</f>
        <v>0</v>
      </c>
      <c r="DL217">
        <f>IF(DG217&gt;0,SUM(DG217:DK217),0)</f>
        <v>63310</v>
      </c>
      <c r="DM217">
        <f>_xlfn.XLOOKUP(B217,'[11]january-2026'!$A:$A,'[11]january-2026'!$H:$H,0,0)</f>
        <v>5000</v>
      </c>
      <c r="DN217">
        <f>_xlfn.XLOOKUP(B217,'[11]january-2026'!$A:$A,'[11]january-2026'!$I:$I,0,0)</f>
        <v>0</v>
      </c>
      <c r="DO217">
        <f>IF($F217="YES",0,IF(DL217&gt;40000,200,IF(DL217&gt;25000,150,IF(DL217&gt;15000,130,IF(DL217&gt;10000,110,0)))))</f>
        <v>200</v>
      </c>
      <c r="DP217">
        <f>DL217-DM217-DN217-DO217</f>
        <v>58110</v>
      </c>
      <c r="DQ217">
        <f>_xlfn.XLOOKUP(B217,'[12]february-2026'!$A:$A,'[12]february-2026'!$C:$C,0,0)</f>
        <v>48700</v>
      </c>
      <c r="DR217">
        <f>DQ217*0.18</f>
        <v>8766</v>
      </c>
      <c r="DS217">
        <f>DQ217*0.12</f>
        <v>5844</v>
      </c>
      <c r="DT217">
        <f>_xlfn.XLOOKUP(B217,'[12]february-2026'!$A:$A,'[12]february-2026'!$D:$D,0,0)</f>
        <v>0</v>
      </c>
      <c r="DU217">
        <f>_xlfn.XLOOKUP(B217,'[12]february-2026'!$A:$A,'[12]february-2026'!$G:$G,0,0)</f>
        <v>0</v>
      </c>
      <c r="DV217">
        <f>IF(DQ217&gt;0,SUM(DQ217:DU217),0)</f>
        <v>63310</v>
      </c>
      <c r="DW217">
        <f>_xlfn.XLOOKUP(B217,'[12]february-2026'!$A:$A,'[12]february-2026'!$H:$H,0,0)</f>
        <v>5000</v>
      </c>
      <c r="DX217">
        <f>_xlfn.XLOOKUP(B217,'[12]february-2026'!$A:$A,'[12]february-2026'!$I:$I,0,0)</f>
        <v>0</v>
      </c>
      <c r="DY217">
        <f>IF($F217="YES",0,IF(DV217&gt;40000,200,IF(DV217&gt;25000,150,IF(DV217&gt;15000,130,IF(DV217&gt;10000,110,0)))))</f>
        <v>200</v>
      </c>
      <c r="DZ217">
        <f>DV217-DW217-DX217-DY217</f>
        <v>58110</v>
      </c>
      <c r="EA217">
        <f>DV217+DL217+DB217+CR217+CH217+BX217+BN217+BD217+AS217+AI217+Y217+O217+H217+I217</f>
        <v>757348</v>
      </c>
      <c r="EB217">
        <f>DY217+DO217+DE217+CU217+CK217+CA217+BQ217+BG217+AV217+AL217+AB217+R217</f>
        <v>2400</v>
      </c>
      <c r="EC217">
        <f>IF(EA217&gt;0,50000,0)</f>
        <v>50000</v>
      </c>
      <c r="ED217">
        <v>0</v>
      </c>
      <c r="EE217">
        <f>EA217-EB217-EC217</f>
        <v>704948</v>
      </c>
      <c r="EF217">
        <f>DW217+DM217+DC217+CS217+CI217+BY217+BO217+BE217+AT217+AJ217+Z217+P217</f>
        <v>60000</v>
      </c>
      <c r="EG217">
        <f>DX217+DN217+DD217+CT217+CJ217+BZ217+BP217+BF217+AU217+AK217+AA217+Q217</f>
        <v>0</v>
      </c>
      <c r="EH217">
        <v>0</v>
      </c>
      <c r="EI217">
        <v>0</v>
      </c>
      <c r="EJ217">
        <v>0</v>
      </c>
      <c r="EK217">
        <v>0</v>
      </c>
      <c r="EL217">
        <v>0</v>
      </c>
      <c r="EM217">
        <v>0</v>
      </c>
      <c r="EN217">
        <v>0</v>
      </c>
      <c r="EO217">
        <v>0</v>
      </c>
      <c r="EP217">
        <v>0</v>
      </c>
      <c r="EQ217">
        <v>0</v>
      </c>
      <c r="ER217">
        <f>SUM(EF217:EQ217)</f>
        <v>60000</v>
      </c>
      <c r="ES217">
        <f>IF(ER217&gt;=150000,150000,ER217)</f>
        <v>60000</v>
      </c>
      <c r="ET217">
        <f>EE217-ES217</f>
        <v>644948</v>
      </c>
      <c r="EU217">
        <v>0</v>
      </c>
      <c r="EV217">
        <v>0</v>
      </c>
      <c r="EW217">
        <v>0</v>
      </c>
      <c r="EX217">
        <v>0</v>
      </c>
      <c r="EY217">
        <v>0</v>
      </c>
      <c r="EZ217">
        <v>0</v>
      </c>
      <c r="FA217">
        <v>0</v>
      </c>
      <c r="FB217">
        <f>SUM(EU217:FA217)+(IF(F217="YES",50000,0))</f>
        <v>0</v>
      </c>
      <c r="FC217">
        <f>ET217-FB217</f>
        <v>644948</v>
      </c>
      <c r="FD217">
        <f>ROUND(IF(FC217&gt;0,IF(FC217&gt;500000,12500,(FC217-250000)*0.05),0),0)</f>
        <v>12500</v>
      </c>
      <c r="FE217">
        <f>IF(ROUND(IF(FC217&gt;0,IF(FC217&gt;1000000,25000,(FC217-500000)*0.2),0),0)&lt;0,0,ROUND(IF(FC217&gt;0,IF(FC217&gt;1000000,25000,(FC217-500000)*0.2),0),0))</f>
        <v>28990</v>
      </c>
      <c r="FF217">
        <f>FD217+FE217</f>
        <v>41490</v>
      </c>
      <c r="FG217">
        <f>IF(FF217&lt;12500,0,FF217)</f>
        <v>41490</v>
      </c>
      <c r="FH217">
        <f>FG217*0.04</f>
        <v>1659.6000000000001</v>
      </c>
      <c r="FI217">
        <f>ROUND(FH217+FG217,0)</f>
        <v>43150</v>
      </c>
      <c r="FJ217">
        <v>0</v>
      </c>
      <c r="FK217">
        <f>FI217-FJ217</f>
        <v>43150</v>
      </c>
      <c r="FL217" t="b">
        <f>IF(EA217&gt;500000,TRUE,FALSE)</f>
        <v>1</v>
      </c>
      <c r="FM217">
        <f ca="1">IF(FL217,RANDBETWEEN(500,1000),RANDBETWEEN(1000,3000))</f>
        <v>796</v>
      </c>
      <c r="FN217">
        <f ca="1">EA217+FM217</f>
        <v>758144</v>
      </c>
      <c r="FO217">
        <f>IF(EA217&gt;0,75000,0)</f>
        <v>75000</v>
      </c>
      <c r="FP217">
        <f ca="1">FN217-FO217</f>
        <v>683144</v>
      </c>
      <c r="FQ217">
        <f ca="1">IF(FP217&gt;2400000,FP217-2400000,0)</f>
        <v>0</v>
      </c>
      <c r="FR217">
        <f ca="1">FQ217*0.3</f>
        <v>0</v>
      </c>
      <c r="FS217">
        <f ca="1">IF(FP217&gt;2000000,FP217-2000000,0)</f>
        <v>0</v>
      </c>
      <c r="FT217">
        <f ca="1">FS217*0.25</f>
        <v>0</v>
      </c>
      <c r="FU217">
        <f ca="1">IF(FP217&gt;1600000,FP217-1600000-FQ217,0)</f>
        <v>0</v>
      </c>
      <c r="FV217">
        <f ca="1">FU217*0.2</f>
        <v>0</v>
      </c>
      <c r="FW217">
        <f ca="1">IF(FP217&gt;1200000,FP217-1200000-IF(F217="YES",50000,0)-FU217,0)</f>
        <v>0</v>
      </c>
      <c r="FX217">
        <f ca="1">FW217*0.15</f>
        <v>0</v>
      </c>
      <c r="FY217">
        <f ca="1">IF(FP217&gt;800000,FP217-800000-FQ217-FU217-FW217,0)</f>
        <v>0</v>
      </c>
      <c r="FZ217">
        <f ca="1">FY217*0.1</f>
        <v>0</v>
      </c>
      <c r="GA217">
        <f ca="1">IF(FP217&gt;400000,FP217-400000-FQ217-FU217-FW217-FY217,0)</f>
        <v>283144</v>
      </c>
      <c r="GB217">
        <f ca="1">GA217*0.05</f>
        <v>14157.2</v>
      </c>
      <c r="GC217">
        <f ca="1">ROUND(FR217+FT217+FV217+FX217+FZ217+GB217,0)</f>
        <v>14157</v>
      </c>
      <c r="GD217">
        <f ca="1">IF(FP217&gt;1200000,FP217,0)</f>
        <v>0</v>
      </c>
      <c r="GE217">
        <f ca="1">IF(FP217&gt;1200000,GD217-1200000,0)</f>
        <v>0</v>
      </c>
      <c r="GF217">
        <f ca="1">IF(FP217&lt;1200001,MIN(GC217,60000),0)</f>
        <v>14157</v>
      </c>
      <c r="GG217">
        <f ca="1">IF(FP217&gt;1200000,GC217-GE217,0)</f>
        <v>0</v>
      </c>
      <c r="GH217" t="b">
        <f ca="1">IF(GG217&gt;0,TRUE,FALSE)</f>
        <v>0</v>
      </c>
      <c r="GI217">
        <f ca="1">IF(GH217,GG217,0)</f>
        <v>0</v>
      </c>
      <c r="GJ217">
        <f ca="1">GF217+GI217</f>
        <v>14157</v>
      </c>
      <c r="GK217">
        <f ca="1">ROUND(GC217-GJ217,0)</f>
        <v>0</v>
      </c>
      <c r="GL217">
        <f ca="1">GK217*0.04</f>
        <v>0</v>
      </c>
      <c r="GM217">
        <f ca="1">ROUNDUP(GK217+GL217,0)</f>
        <v>0</v>
      </c>
    </row>
    <row r="218" spans="1:195" x14ac:dyDescent="0.25">
      <c r="A218">
        <f>_xlfn.AGGREGATE(3,5,$B$2:B218)</f>
        <v>217</v>
      </c>
      <c r="B218" t="s">
        <v>545</v>
      </c>
      <c r="C218" t="s">
        <v>546</v>
      </c>
      <c r="D218" t="s">
        <v>807</v>
      </c>
      <c r="E218" t="s">
        <v>834</v>
      </c>
      <c r="F218" t="s">
        <v>959</v>
      </c>
      <c r="G218" t="s">
        <v>887</v>
      </c>
      <c r="H218">
        <f>IF(_xlfn.DAYS("31-03-2025",G218)&gt;=180,6800,0)</f>
        <v>6800</v>
      </c>
      <c r="I218">
        <f>_xlfn.XLOOKUP(B218,'[1]march-2025'!$A:$A,'[1]march-2025'!$J:$J,0,0)</f>
        <v>0</v>
      </c>
      <c r="J218">
        <f>_xlfn.XLOOKUP(B218,'[1]march-2025'!$A:$A,'[1]march-2025'!$C:$C,0,0)</f>
        <v>50200</v>
      </c>
      <c r="K218">
        <f>J218*0.14</f>
        <v>7028.0000000000009</v>
      </c>
      <c r="L218">
        <f>J218*0.12</f>
        <v>6024</v>
      </c>
      <c r="M218">
        <f>_xlfn.XLOOKUP(B218,'[1]march-2025'!$A:$A,'[1]march-2025'!$D:$D,0,0)</f>
        <v>0</v>
      </c>
      <c r="N218">
        <f>_xlfn.XLOOKUP(B218,'[1]march-2025'!$A:$A,'[1]march-2025'!$G:$G,0,0)</f>
        <v>0</v>
      </c>
      <c r="O218">
        <f>IF(J218&gt;0,SUM(J218:N218),0)</f>
        <v>63252</v>
      </c>
      <c r="P218">
        <f>_xlfn.XLOOKUP(B218,'[1]march-2025'!$A:$A,'[1]march-2025'!$H:$H,0,0)</f>
        <v>4000</v>
      </c>
      <c r="Q218">
        <f>_xlfn.XLOOKUP(B218,'[1]march-2025'!$A:$A,'[1]march-2025'!$I:$I,0,0)</f>
        <v>60</v>
      </c>
      <c r="R218">
        <f>IF($F218="YES",0,IF(O218&gt;40000,200,IF(O218&gt;25000,150,IF(O218&gt;15000,130,IF(O218&gt;10000,110,0)))))</f>
        <v>200</v>
      </c>
      <c r="S218">
        <f>O218-P218-Q218-R218</f>
        <v>58992</v>
      </c>
      <c r="T218">
        <f>_xlfn.XLOOKUP(B218,'[2]april-2025'!$A:$A,'[2]april-2025'!$C:$C,0,0)</f>
        <v>50200</v>
      </c>
      <c r="U218">
        <f>T218*0.18</f>
        <v>9036</v>
      </c>
      <c r="V218">
        <f>T218*0.12</f>
        <v>6024</v>
      </c>
      <c r="W218">
        <f>_xlfn.XLOOKUP(B218,'[2]april-2025'!$A:$A,'[2]april-2025'!$D:$D,0,0)</f>
        <v>0</v>
      </c>
      <c r="X218">
        <f>_xlfn.XLOOKUP(B218,'[2]april-2025'!$A:$A,'[2]april-2025'!$G:$G,0,0)</f>
        <v>0</v>
      </c>
      <c r="Y218">
        <f>IF(T218&gt;0,SUM(T218:X218),0)</f>
        <v>65260</v>
      </c>
      <c r="Z218">
        <f>_xlfn.XLOOKUP(B218,'[2]april-2025'!$A:$A,'[2]april-2025'!$H:$H,0,0)</f>
        <v>4000</v>
      </c>
      <c r="AA218">
        <f>_xlfn.XLOOKUP(B218,'[2]april-2025'!$A:$A,'[2]april-2025'!$I:$I,0,0)</f>
        <v>60</v>
      </c>
      <c r="AB218">
        <f>IF($F218="YES",0,IF(Y218&gt;40000,200,IF(Y218&gt;25000,150,IF(Y218&gt;15000,130,IF(Y218&gt;10000,110,0)))))</f>
        <v>200</v>
      </c>
      <c r="AC218">
        <f>Y218-Z218-AA218-AB218</f>
        <v>61000</v>
      </c>
      <c r="AD218">
        <f>_xlfn.XLOOKUP(B218,'[3]may-2025'!$A:$A,'[3]may-2025'!$C:$C,0,0)</f>
        <v>50200</v>
      </c>
      <c r="AE218">
        <f>AD218*0.18</f>
        <v>9036</v>
      </c>
      <c r="AF218">
        <f>AD218*0.12</f>
        <v>6024</v>
      </c>
      <c r="AG218">
        <f>_xlfn.XLOOKUP(B218,'[3]may-2025'!$A:$A,'[3]may-2025'!$D:$D,0,0)</f>
        <v>0</v>
      </c>
      <c r="AH218">
        <f>_xlfn.XLOOKUP(B218,'[3]may-2025'!$A:$A,'[3]may-2025'!$G:$G,0,0)</f>
        <v>0</v>
      </c>
      <c r="AI218">
        <f>IF(AD218&gt;0,SUM(AD218:AH218),0)</f>
        <v>65260</v>
      </c>
      <c r="AJ218">
        <f>_xlfn.XLOOKUP(B218,'[3]may-2025'!$A:$A,'[3]may-2025'!$H:$H,0,0)</f>
        <v>4000</v>
      </c>
      <c r="AK218">
        <f>_xlfn.XLOOKUP(B218,'[3]may-2025'!$A:$A,'[3]may-2025'!$I:$I,0,0)</f>
        <v>60</v>
      </c>
      <c r="AL218">
        <f>IF($F218="YES",0,IF(AI218&gt;40000,200,IF(AI218&gt;25000,150,IF(AI218&gt;15000,130,IF(AI218&gt;10000,110,0)))))</f>
        <v>200</v>
      </c>
      <c r="AM218">
        <f>AI218-AJ218-AK218-AL218</f>
        <v>61000</v>
      </c>
      <c r="AN218">
        <f>_xlfn.XLOOKUP(B218,'[4]june-2025'!$A:$A,'[4]june-2025'!$C:$C,0,0)</f>
        <v>50200</v>
      </c>
      <c r="AO218">
        <f>AN218*0.18</f>
        <v>9036</v>
      </c>
      <c r="AP218">
        <f>AN218*0.12</f>
        <v>6024</v>
      </c>
      <c r="AQ218">
        <f>_xlfn.XLOOKUP(B218,'[4]june-2025'!$A:$A,'[4]june-2025'!$D:$D,0,0)</f>
        <v>0</v>
      </c>
      <c r="AR218">
        <f>_xlfn.XLOOKUP(B218,'[4]june-2025'!$A:$A,'[4]june-2025'!$G:$G,0,0)</f>
        <v>0</v>
      </c>
      <c r="AS218">
        <f>IF(AN218&gt;0,SUM(AN218:AR218),0)</f>
        <v>65260</v>
      </c>
      <c r="AT218">
        <f>_xlfn.XLOOKUP(B218,'[4]june-2025'!$A:$A,'[4]june-2025'!$H:$H,0,0)</f>
        <v>4000</v>
      </c>
      <c r="AU218">
        <f>_xlfn.XLOOKUP(B218,'[4]june-2025'!$A:$A,'[4]june-2025'!$I:$I,0,0)</f>
        <v>60</v>
      </c>
      <c r="AV218">
        <f>IF($F218="YES",0,IF(AS218&gt;40000,200,IF(AS218&gt;25000,150,IF(AS218&gt;15000,130,IF(AS218&gt;10000,110,0)))))</f>
        <v>200</v>
      </c>
      <c r="AW218">
        <f>AS218-AT218-AU218-AV218</f>
        <v>61000</v>
      </c>
      <c r="AX218">
        <f>_xlfn.XLOOKUP(B218,'[5]july-2025'!$A:$A,'[5]july-2025'!$C:$C,0,0)</f>
        <v>51700</v>
      </c>
      <c r="AY218">
        <f>AX218*0.18</f>
        <v>9306</v>
      </c>
      <c r="AZ218">
        <v>0</v>
      </c>
      <c r="BA218">
        <f>AX218*0.12</f>
        <v>6204</v>
      </c>
      <c r="BB218">
        <f>_xlfn.XLOOKUP(B218,'[5]july-2025'!$A:$A,'[5]july-2025'!$D:$D,0,0)</f>
        <v>0</v>
      </c>
      <c r="BC218">
        <f>_xlfn.XLOOKUP(B218,'[5]july-2025'!$A:$A,'[5]july-2025'!$G:$G,0,0)</f>
        <v>0</v>
      </c>
      <c r="BD218">
        <f>IF(AX218&gt;0,SUM(AX218:BC218),0)</f>
        <v>67210</v>
      </c>
      <c r="BE218">
        <f>_xlfn.XLOOKUP(B218,'[5]july-2025'!$A:$A,'[5]july-2025'!$H:$H,0,0)</f>
        <v>4000</v>
      </c>
      <c r="BF218">
        <f>_xlfn.XLOOKUP(B218,'[5]july-2025'!$A:$A,'[5]july-2025'!$I:$I,0,0)</f>
        <v>60</v>
      </c>
      <c r="BG218">
        <f>IF($F218="YES",0,IF(BD218&gt;40000,200,IF(BD218&gt;25000,150,IF(BD218&gt;15000,130,IF(BD218&gt;10000,110,0)))))</f>
        <v>200</v>
      </c>
      <c r="BH218">
        <f>BD218-BE218-BF218-BG218</f>
        <v>62950</v>
      </c>
      <c r="BI218">
        <f>_xlfn.XLOOKUP(B218,'[6]august-2025'!$A:$A,'[6]august-2025'!$C:$C,0,0)</f>
        <v>51700</v>
      </c>
      <c r="BJ218">
        <f>BI218*0.18</f>
        <v>9306</v>
      </c>
      <c r="BK218">
        <f>BI218*0.12</f>
        <v>6204</v>
      </c>
      <c r="BL218">
        <f>_xlfn.XLOOKUP(B218,'[6]august-2025'!$A:$A,'[6]august-2025'!$D:$D,0,0)</f>
        <v>0</v>
      </c>
      <c r="BM218">
        <f>_xlfn.XLOOKUP(B218,'[6]august-2025'!$A:$A,'[6]august-2025'!$G:$G,0,0)</f>
        <v>0</v>
      </c>
      <c r="BN218">
        <f>IF(BI218&gt;0,SUM(BI218:BM218),0)</f>
        <v>67210</v>
      </c>
      <c r="BO218">
        <f>_xlfn.XLOOKUP(B218,'[6]august-2025'!$A:$A,'[6]august-2025'!$H:$H,0,0)</f>
        <v>4000</v>
      </c>
      <c r="BP218">
        <f>_xlfn.XLOOKUP(B218,'[6]august-2025'!$A:$A,'[6]august-2025'!$I:$I,0,0)</f>
        <v>60</v>
      </c>
      <c r="BQ218">
        <f>IF($F218="YES",0,IF(BN218&gt;40000,200,IF(BN218&gt;25000,150,IF(BN218&gt;15000,130,IF(BN218&gt;10000,110,0)))))</f>
        <v>200</v>
      </c>
      <c r="BR218">
        <f>BN218-BO218-BP218-BQ218</f>
        <v>62950</v>
      </c>
      <c r="BS218">
        <f>_xlfn.XLOOKUP(B218,'[7]september-2025'!$A:$A,'[7]september-2025'!$C:$C,0,0)</f>
        <v>51700</v>
      </c>
      <c r="BT218">
        <f>BS218*0.18</f>
        <v>9306</v>
      </c>
      <c r="BU218">
        <f>BS218*0.12</f>
        <v>6204</v>
      </c>
      <c r="BV218">
        <f>_xlfn.XLOOKUP(B218,'[7]september-2025'!$A:$A,'[7]september-2025'!$D:$D,0,0)</f>
        <v>0</v>
      </c>
      <c r="BW218">
        <f>_xlfn.XLOOKUP(B218,'[7]september-2025'!$A:$A,'[7]september-2025'!$G:$G,0,0)</f>
        <v>0</v>
      </c>
      <c r="BX218">
        <f>IF(BS218&gt;0,SUM(BS218:BW218),0)</f>
        <v>67210</v>
      </c>
      <c r="BY218">
        <f>_xlfn.XLOOKUP(B218,'[7]september-2025'!$A:$A,'[7]september-2025'!$H:$H,0,0)</f>
        <v>4000</v>
      </c>
      <c r="BZ218">
        <f>_xlfn.XLOOKUP(B218,'[7]september-2025'!$A:$A,'[7]september-2025'!$I:$I,0,0)</f>
        <v>60</v>
      </c>
      <c r="CA218">
        <f>IF($F218="YES",0,IF(BX218&gt;40000,200,IF(BX218&gt;25000,150,IF(BX218&gt;15000,130,IF(BX218&gt;10000,110,0)))))</f>
        <v>200</v>
      </c>
      <c r="CB218">
        <f>BX218-BY218-BZ218-CA218</f>
        <v>62950</v>
      </c>
      <c r="CC218">
        <f>_xlfn.XLOOKUP(B218,'[8]october-2025'!$A:$A,'[8]october-2025'!$C:$C,0,0)</f>
        <v>51700</v>
      </c>
      <c r="CD218">
        <f>CC218*0.18</f>
        <v>9306</v>
      </c>
      <c r="CE218">
        <f>CC218*0.12</f>
        <v>6204</v>
      </c>
      <c r="CF218">
        <f>_xlfn.XLOOKUP(B218,'[8]october-2025'!$A:$A,'[8]october-2025'!$D:$D,0,0)</f>
        <v>0</v>
      </c>
      <c r="CG218">
        <f>_xlfn.XLOOKUP(B218,'[8]october-2025'!$A:$A,'[8]october-2025'!$G:$G,0,0)</f>
        <v>0</v>
      </c>
      <c r="CH218">
        <f>IF(CC218&gt;0,SUM(CC218:CG218),0)</f>
        <v>67210</v>
      </c>
      <c r="CI218">
        <f>_xlfn.XLOOKUP(B218,'[8]october-2025'!$A:$A,'[8]october-2025'!$H:$H,0,0)</f>
        <v>4000</v>
      </c>
      <c r="CJ218">
        <f>_xlfn.XLOOKUP(B218,'[8]october-2025'!$A:$A,'[8]october-2025'!$I:$I,0,0)</f>
        <v>60</v>
      </c>
      <c r="CK218">
        <f>IF($F218="YES",0,IF(CH218&gt;40000,200,IF(CH218&gt;25000,150,IF(CH218&gt;15000,130,IF(CH218&gt;10000,110,0)))))</f>
        <v>200</v>
      </c>
      <c r="CL218">
        <f>CH218-CI218-CJ218-CK218</f>
        <v>62950</v>
      </c>
      <c r="CM218">
        <f>_xlfn.XLOOKUP(B218,'[9]november-2025'!$A:$A,'[9]november-2025'!$C:$C,0,0)</f>
        <v>51700</v>
      </c>
      <c r="CN218">
        <f>CM218*0.18</f>
        <v>9306</v>
      </c>
      <c r="CO218">
        <f>CM218*0.12</f>
        <v>6204</v>
      </c>
      <c r="CP218">
        <f>_xlfn.XLOOKUP(B218,'[9]november-2025'!$A:$A,'[9]november-2025'!$D:$D,0,0)</f>
        <v>0</v>
      </c>
      <c r="CQ218">
        <f>_xlfn.XLOOKUP(B218,'[9]november-2025'!$A:$A,'[9]november-2025'!$G:$G,0,0)</f>
        <v>0</v>
      </c>
      <c r="CR218">
        <f>IF(CM218&gt;0,SUM(CM218:CQ218),0)</f>
        <v>67210</v>
      </c>
      <c r="CS218">
        <f>_xlfn.XLOOKUP(B218,'[9]november-2025'!$A:$A,'[9]november-2025'!$H:$H,0,0)</f>
        <v>4000</v>
      </c>
      <c r="CT218">
        <f>_xlfn.XLOOKUP(B218,'[9]november-2025'!$A:$A,'[9]november-2025'!$I:$I,0,0)</f>
        <v>60</v>
      </c>
      <c r="CU218">
        <f>IF($F218="YES",0,IF(CR218&gt;40000,200,IF(CR218&gt;25000,150,IF(CR218&gt;15000,130,IF(CR218&gt;10000,110,0)))))</f>
        <v>200</v>
      </c>
      <c r="CV218">
        <f>CR218-CS218-CT218-CU218</f>
        <v>62950</v>
      </c>
      <c r="CW218">
        <f>_xlfn.XLOOKUP(B218,'[10]december-2025'!$A:$A,'[10]december-2025'!$C:$C,0,0)</f>
        <v>51700</v>
      </c>
      <c r="CX218">
        <f>ROUND(CW218*0.18,0)</f>
        <v>9306</v>
      </c>
      <c r="CY218">
        <f>ROUND(CW218*0.12,0)</f>
        <v>6204</v>
      </c>
      <c r="CZ218">
        <f>_xlfn.XLOOKUP(B218,'[10]december-2025'!$A:$A,'[10]december-2025'!$D:$D,0,0)</f>
        <v>0</v>
      </c>
      <c r="DA218">
        <f>_xlfn.XLOOKUP(B218,'[10]december-2025'!$A:$A,'[10]december-2025'!$G:$G,0,0)</f>
        <v>0</v>
      </c>
      <c r="DB218">
        <f>IF(CW218&gt;0,SUM(CW218:DA218),0)</f>
        <v>67210</v>
      </c>
      <c r="DC218">
        <f>_xlfn.XLOOKUP(B218,'[10]december-2025'!$A:$A,'[10]december-2025'!$H:$H,0,0)</f>
        <v>4000</v>
      </c>
      <c r="DD218">
        <f>_xlfn.XLOOKUP(B218,'[10]december-2025'!$A:$A,'[10]december-2025'!$I:$I,0,0)</f>
        <v>60</v>
      </c>
      <c r="DE218">
        <f>IF($F218="YES",0,IF(DB218&gt;40000,200,IF(DB218&gt;25000,150,IF(DB218&gt;15000,130,IF(DB218&gt;10000,110,0)))))</f>
        <v>200</v>
      </c>
      <c r="DF218">
        <f>DB218-DC218-DD218-DE218</f>
        <v>62950</v>
      </c>
      <c r="DG218">
        <f>_xlfn.XLOOKUP(B218,'[11]january-2026'!$A:$A,'[11]january-2026'!$C:$C,0,0)</f>
        <v>51700</v>
      </c>
      <c r="DH218">
        <f>DG218*0.18</f>
        <v>9306</v>
      </c>
      <c r="DI218">
        <f>DG218*0.12</f>
        <v>6204</v>
      </c>
      <c r="DJ218">
        <f>_xlfn.XLOOKUP(B218,'[11]january-2026'!$A:$A,'[11]january-2026'!$D:$D,0,0)</f>
        <v>0</v>
      </c>
      <c r="DK218">
        <f>_xlfn.XLOOKUP(B218,'[11]january-2026'!$A:$A,'[11]january-2026'!$G:$G,0,0)</f>
        <v>0</v>
      </c>
      <c r="DL218">
        <f>IF(DG218&gt;0,SUM(DG218:DK218),0)</f>
        <v>67210</v>
      </c>
      <c r="DM218">
        <f>_xlfn.XLOOKUP(B218,'[11]january-2026'!$A:$A,'[11]january-2026'!$H:$H,0,0)</f>
        <v>4000</v>
      </c>
      <c r="DN218">
        <f>_xlfn.XLOOKUP(B218,'[11]january-2026'!$A:$A,'[11]january-2026'!$I:$I,0,0)</f>
        <v>60</v>
      </c>
      <c r="DO218">
        <f>IF($F218="YES",0,IF(DL218&gt;40000,200,IF(DL218&gt;25000,150,IF(DL218&gt;15000,130,IF(DL218&gt;10000,110,0)))))</f>
        <v>200</v>
      </c>
      <c r="DP218">
        <f>DL218-DM218-DN218-DO218</f>
        <v>62950</v>
      </c>
      <c r="DQ218">
        <f>_xlfn.XLOOKUP(B218,'[12]february-2026'!$A:$A,'[12]february-2026'!$C:$C,0,0)</f>
        <v>51700</v>
      </c>
      <c r="DR218">
        <f>DQ218*0.18</f>
        <v>9306</v>
      </c>
      <c r="DS218">
        <f>DQ218*0.12</f>
        <v>6204</v>
      </c>
      <c r="DT218">
        <f>_xlfn.XLOOKUP(B218,'[12]february-2026'!$A:$A,'[12]february-2026'!$D:$D,0,0)</f>
        <v>0</v>
      </c>
      <c r="DU218">
        <f>_xlfn.XLOOKUP(B218,'[12]february-2026'!$A:$A,'[12]february-2026'!$G:$G,0,0)</f>
        <v>0</v>
      </c>
      <c r="DV218">
        <f>IF(DQ218&gt;0,SUM(DQ218:DU218),0)</f>
        <v>67210</v>
      </c>
      <c r="DW218">
        <f>_xlfn.XLOOKUP(B218,'[12]february-2026'!$A:$A,'[12]february-2026'!$H:$H,0,0)</f>
        <v>4000</v>
      </c>
      <c r="DX218">
        <f>_xlfn.XLOOKUP(B218,'[12]february-2026'!$A:$A,'[12]february-2026'!$I:$I,0,0)</f>
        <v>60</v>
      </c>
      <c r="DY218">
        <f>IF($F218="YES",0,IF(DV218&gt;40000,200,IF(DV218&gt;25000,150,IF(DV218&gt;15000,130,IF(DV218&gt;10000,110,0)))))</f>
        <v>200</v>
      </c>
      <c r="DZ218">
        <f>DV218-DW218-DX218-DY218</f>
        <v>62950</v>
      </c>
      <c r="EA218">
        <f>DV218+DL218+DB218+CR218+CH218+BX218+BN218+BD218+AS218+AI218+Y218+O218+H218+I218</f>
        <v>803512</v>
      </c>
      <c r="EB218">
        <f>DY218+DO218+DE218+CU218+CK218+CA218+BQ218+BG218+AV218+AL218+AB218+R218</f>
        <v>2400</v>
      </c>
      <c r="EC218">
        <f>IF(EA218&gt;0,50000,0)</f>
        <v>50000</v>
      </c>
      <c r="ED218">
        <v>0</v>
      </c>
      <c r="EE218">
        <f>EA218-EB218-EC218</f>
        <v>751112</v>
      </c>
      <c r="EF218">
        <f>DW218+DM218+DC218+CS218+CI218+BY218+BO218+BE218+AT218+AJ218+Z218+P218</f>
        <v>48000</v>
      </c>
      <c r="EG218">
        <f>DX218+DN218+DD218+CT218+CJ218+BZ218+BP218+BF218+AU218+AK218+AA218+Q218</f>
        <v>720</v>
      </c>
      <c r="EH218">
        <v>0</v>
      </c>
      <c r="EI218">
        <v>0</v>
      </c>
      <c r="EJ218">
        <v>0</v>
      </c>
      <c r="EK218">
        <v>0</v>
      </c>
      <c r="EL218">
        <v>0</v>
      </c>
      <c r="EM218">
        <v>0</v>
      </c>
      <c r="EN218">
        <v>0</v>
      </c>
      <c r="EO218">
        <v>0</v>
      </c>
      <c r="EP218">
        <v>0</v>
      </c>
      <c r="EQ218">
        <v>0</v>
      </c>
      <c r="ER218">
        <f>SUM(EF218:EQ218)</f>
        <v>48720</v>
      </c>
      <c r="ES218">
        <f>IF(ER218&gt;=150000,150000,ER218)</f>
        <v>48720</v>
      </c>
      <c r="ET218">
        <f>EE218-ES218</f>
        <v>702392</v>
      </c>
      <c r="EU218">
        <v>0</v>
      </c>
      <c r="EV218">
        <v>0</v>
      </c>
      <c r="EW218">
        <v>0</v>
      </c>
      <c r="EX218">
        <v>0</v>
      </c>
      <c r="EY218">
        <v>0</v>
      </c>
      <c r="EZ218">
        <v>0</v>
      </c>
      <c r="FA218">
        <v>0</v>
      </c>
      <c r="FB218">
        <f>SUM(EU218:FA218)+(IF(F218="YES",50000,0))</f>
        <v>0</v>
      </c>
      <c r="FC218">
        <f>ET218-FB218</f>
        <v>702392</v>
      </c>
      <c r="FD218">
        <f>ROUND(IF(FC218&gt;0,IF(FC218&gt;500000,12500,(FC218-250000)*0.05),0),0)</f>
        <v>12500</v>
      </c>
      <c r="FE218">
        <f>IF(ROUND(IF(FC218&gt;0,IF(FC218&gt;1000000,25000,(FC218-500000)*0.2),0),0)&lt;0,0,ROUND(IF(FC218&gt;0,IF(FC218&gt;1000000,25000,(FC218-500000)*0.2),0),0))</f>
        <v>40478</v>
      </c>
      <c r="FF218">
        <f>FD218+FE218</f>
        <v>52978</v>
      </c>
      <c r="FG218">
        <f>IF(FF218&lt;12500,0,FF218)</f>
        <v>52978</v>
      </c>
      <c r="FH218">
        <f>FG218*0.04</f>
        <v>2119.12</v>
      </c>
      <c r="FI218">
        <f>ROUND(FH218+FG218,0)</f>
        <v>55097</v>
      </c>
      <c r="FJ218">
        <v>0</v>
      </c>
      <c r="FK218">
        <f>FI218-FJ218</f>
        <v>55097</v>
      </c>
      <c r="FL218" t="b">
        <f>IF(EA218&gt;500000,TRUE,FALSE)</f>
        <v>1</v>
      </c>
      <c r="FM218">
        <f ca="1">IF(FL218,RANDBETWEEN(500,1000),RANDBETWEEN(1000,3000))</f>
        <v>910</v>
      </c>
      <c r="FN218">
        <f ca="1">EA218+FM218</f>
        <v>804422</v>
      </c>
      <c r="FO218">
        <f>IF(EA218&gt;0,75000,0)</f>
        <v>75000</v>
      </c>
      <c r="FP218">
        <f ca="1">FN218-FO218</f>
        <v>729422</v>
      </c>
      <c r="FQ218">
        <f ca="1">IF(FP218&gt;2400000,FP218-2400000,0)</f>
        <v>0</v>
      </c>
      <c r="FR218">
        <f ca="1">FQ218*0.3</f>
        <v>0</v>
      </c>
      <c r="FS218">
        <f ca="1">IF(FP218&gt;2000000,FP218-2000000,0)</f>
        <v>0</v>
      </c>
      <c r="FT218">
        <f ca="1">FS218*0.25</f>
        <v>0</v>
      </c>
      <c r="FU218">
        <f ca="1">IF(FP218&gt;1600000,FP218-1600000-FQ218,0)</f>
        <v>0</v>
      </c>
      <c r="FV218">
        <f ca="1">FU218*0.2</f>
        <v>0</v>
      </c>
      <c r="FW218">
        <f ca="1">IF(FP218&gt;1200000,FP218-1200000-IF(F218="YES",50000,0)-FU218,0)</f>
        <v>0</v>
      </c>
      <c r="FX218">
        <f ca="1">FW218*0.15</f>
        <v>0</v>
      </c>
      <c r="FY218">
        <f ca="1">IF(FP218&gt;800000,FP218-800000-FQ218-FU218-FW218,0)</f>
        <v>0</v>
      </c>
      <c r="FZ218">
        <f ca="1">FY218*0.1</f>
        <v>0</v>
      </c>
      <c r="GA218">
        <f ca="1">IF(FP218&gt;400000,FP218-400000-FQ218-FU218-FW218-FY218,0)</f>
        <v>329422</v>
      </c>
      <c r="GB218">
        <f ca="1">GA218*0.05</f>
        <v>16471.100000000002</v>
      </c>
      <c r="GC218">
        <f ca="1">ROUND(FR218+FT218+FV218+FX218+FZ218+GB218,0)</f>
        <v>16471</v>
      </c>
      <c r="GD218">
        <f ca="1">IF(FP218&gt;1200000,FP218,0)</f>
        <v>0</v>
      </c>
      <c r="GE218">
        <f ca="1">IF(FP218&gt;1200000,GD218-1200000,0)</f>
        <v>0</v>
      </c>
      <c r="GF218">
        <f ca="1">IF(FP218&lt;1200001,MIN(GC218,60000),0)</f>
        <v>16471</v>
      </c>
      <c r="GG218">
        <f ca="1">IF(FP218&gt;1200000,GC218-GE218,0)</f>
        <v>0</v>
      </c>
      <c r="GH218" t="b">
        <f ca="1">IF(GG218&gt;0,TRUE,FALSE)</f>
        <v>0</v>
      </c>
      <c r="GI218">
        <f ca="1">IF(GH218,GG218,0)</f>
        <v>0</v>
      </c>
      <c r="GJ218">
        <f ca="1">GF218+GI218</f>
        <v>16471</v>
      </c>
      <c r="GK218">
        <f ca="1">ROUND(GC218-GJ218,0)</f>
        <v>0</v>
      </c>
      <c r="GL218">
        <f ca="1">GK218*0.04</f>
        <v>0</v>
      </c>
      <c r="GM218">
        <f ca="1">ROUNDUP(GK218+GL218,0)</f>
        <v>0</v>
      </c>
    </row>
    <row r="219" spans="1:195" x14ac:dyDescent="0.25">
      <c r="A219">
        <f>_xlfn.AGGREGATE(3,5,$B$2:B219)</f>
        <v>218</v>
      </c>
      <c r="B219" t="s">
        <v>547</v>
      </c>
      <c r="C219" t="s">
        <v>548</v>
      </c>
      <c r="D219" t="s">
        <v>807</v>
      </c>
      <c r="E219" t="s">
        <v>833</v>
      </c>
      <c r="F219" t="s">
        <v>959</v>
      </c>
      <c r="G219" t="s">
        <v>926</v>
      </c>
      <c r="H219">
        <f>IF(_xlfn.DAYS("31-03-2025",G219)&gt;=180,6800,0)</f>
        <v>6800</v>
      </c>
      <c r="I219">
        <f>_xlfn.XLOOKUP(B219,'[1]march-2025'!$A:$A,'[1]march-2025'!$J:$J,0,0)</f>
        <v>0</v>
      </c>
      <c r="J219">
        <f>_xlfn.XLOOKUP(B219,'[1]march-2025'!$A:$A,'[1]march-2025'!$C:$C,0,0)</f>
        <v>33500</v>
      </c>
      <c r="K219">
        <f>J219*0.14</f>
        <v>4690</v>
      </c>
      <c r="L219">
        <f>J219*0.12</f>
        <v>4020</v>
      </c>
      <c r="M219">
        <f>_xlfn.XLOOKUP(B219,'[1]march-2025'!$A:$A,'[1]march-2025'!$D:$D,0,0)</f>
        <v>0</v>
      </c>
      <c r="N219">
        <f>_xlfn.XLOOKUP(B219,'[1]march-2025'!$A:$A,'[1]march-2025'!$G:$G,0,0)</f>
        <v>0</v>
      </c>
      <c r="O219">
        <f>IF(J219&gt;0,SUM(J219:N219),0)</f>
        <v>42210</v>
      </c>
      <c r="P219">
        <f>_xlfn.XLOOKUP(B219,'[1]march-2025'!$A:$A,'[1]march-2025'!$H:$H,0,0)</f>
        <v>5000</v>
      </c>
      <c r="Q219">
        <f>_xlfn.XLOOKUP(B219,'[1]march-2025'!$A:$A,'[1]march-2025'!$I:$I,0,0)</f>
        <v>0</v>
      </c>
      <c r="R219">
        <f>IF($F219="YES",0,IF(O219&gt;40000,200,IF(O219&gt;25000,150,IF(O219&gt;15000,130,IF(O219&gt;10000,110,0)))))</f>
        <v>200</v>
      </c>
      <c r="S219">
        <f>O219-P219-Q219-R219</f>
        <v>37010</v>
      </c>
      <c r="T219">
        <f>_xlfn.XLOOKUP(B219,'[2]april-2025'!$A:$A,'[2]april-2025'!$C:$C,0,0)</f>
        <v>33500</v>
      </c>
      <c r="U219">
        <f>T219*0.18</f>
        <v>6030</v>
      </c>
      <c r="V219">
        <f>T219*0.12</f>
        <v>4020</v>
      </c>
      <c r="W219">
        <f>_xlfn.XLOOKUP(B219,'[2]april-2025'!$A:$A,'[2]april-2025'!$D:$D,0,0)</f>
        <v>0</v>
      </c>
      <c r="X219">
        <f>_xlfn.XLOOKUP(B219,'[2]april-2025'!$A:$A,'[2]april-2025'!$G:$G,0,0)</f>
        <v>0</v>
      </c>
      <c r="Y219">
        <f>IF(T219&gt;0,SUM(T219:X219),0)</f>
        <v>43550</v>
      </c>
      <c r="Z219">
        <f>_xlfn.XLOOKUP(B219,'[2]april-2025'!$A:$A,'[2]april-2025'!$H:$H,0,0)</f>
        <v>5000</v>
      </c>
      <c r="AA219">
        <f>_xlfn.XLOOKUP(B219,'[2]april-2025'!$A:$A,'[2]april-2025'!$I:$I,0,0)</f>
        <v>0</v>
      </c>
      <c r="AB219">
        <f>IF($F219="YES",0,IF(Y219&gt;40000,200,IF(Y219&gt;25000,150,IF(Y219&gt;15000,130,IF(Y219&gt;10000,110,0)))))</f>
        <v>200</v>
      </c>
      <c r="AC219">
        <f>Y219-Z219-AA219-AB219</f>
        <v>38350</v>
      </c>
      <c r="AD219">
        <f>_xlfn.XLOOKUP(B219,'[3]may-2025'!$A:$A,'[3]may-2025'!$C:$C,0,0)</f>
        <v>33500</v>
      </c>
      <c r="AE219">
        <f>AD219*0.18</f>
        <v>6030</v>
      </c>
      <c r="AF219">
        <f>AD219*0.12</f>
        <v>4020</v>
      </c>
      <c r="AG219">
        <f>_xlfn.XLOOKUP(B219,'[3]may-2025'!$A:$A,'[3]may-2025'!$D:$D,0,0)</f>
        <v>0</v>
      </c>
      <c r="AH219">
        <f>_xlfn.XLOOKUP(B219,'[3]may-2025'!$A:$A,'[3]may-2025'!$G:$G,0,0)</f>
        <v>0</v>
      </c>
      <c r="AI219">
        <f>IF(AD219&gt;0,SUM(AD219:AH219),0)</f>
        <v>43550</v>
      </c>
      <c r="AJ219">
        <f>_xlfn.XLOOKUP(B219,'[3]may-2025'!$A:$A,'[3]may-2025'!$H:$H,0,0)</f>
        <v>5000</v>
      </c>
      <c r="AK219">
        <f>_xlfn.XLOOKUP(B219,'[3]may-2025'!$A:$A,'[3]may-2025'!$I:$I,0,0)</f>
        <v>0</v>
      </c>
      <c r="AL219">
        <f>IF($F219="YES",0,IF(AI219&gt;40000,200,IF(AI219&gt;25000,150,IF(AI219&gt;15000,130,IF(AI219&gt;10000,110,0)))))</f>
        <v>200</v>
      </c>
      <c r="AM219">
        <f>AI219-AJ219-AK219-AL219</f>
        <v>38350</v>
      </c>
      <c r="AN219">
        <f>_xlfn.XLOOKUP(B219,'[4]june-2025'!$A:$A,'[4]june-2025'!$C:$C,0,0)</f>
        <v>33500</v>
      </c>
      <c r="AO219">
        <f>AN219*0.18</f>
        <v>6030</v>
      </c>
      <c r="AP219">
        <f>AN219*0.12</f>
        <v>4020</v>
      </c>
      <c r="AQ219">
        <f>_xlfn.XLOOKUP(B219,'[4]june-2025'!$A:$A,'[4]june-2025'!$D:$D,0,0)</f>
        <v>0</v>
      </c>
      <c r="AR219">
        <f>_xlfn.XLOOKUP(B219,'[4]june-2025'!$A:$A,'[4]june-2025'!$G:$G,0,0)</f>
        <v>0</v>
      </c>
      <c r="AS219">
        <f>IF(AN219&gt;0,SUM(AN219:AR219),0)</f>
        <v>43550</v>
      </c>
      <c r="AT219">
        <f>_xlfn.XLOOKUP(B219,'[4]june-2025'!$A:$A,'[4]june-2025'!$H:$H,0,0)</f>
        <v>5000</v>
      </c>
      <c r="AU219">
        <f>_xlfn.XLOOKUP(B219,'[4]june-2025'!$A:$A,'[4]june-2025'!$I:$I,0,0)</f>
        <v>0</v>
      </c>
      <c r="AV219">
        <f>IF($F219="YES",0,IF(AS219&gt;40000,200,IF(AS219&gt;25000,150,IF(AS219&gt;15000,130,IF(AS219&gt;10000,110,0)))))</f>
        <v>200</v>
      </c>
      <c r="AW219">
        <f>AS219-AT219-AU219-AV219</f>
        <v>38350</v>
      </c>
      <c r="AX219">
        <f>_xlfn.XLOOKUP(B219,'[5]july-2025'!$A:$A,'[5]july-2025'!$C:$C,0,0)</f>
        <v>34500</v>
      </c>
      <c r="AY219">
        <f>AX219*0.18</f>
        <v>6210</v>
      </c>
      <c r="AZ219">
        <v>0</v>
      </c>
      <c r="BA219">
        <f>AX219*0.12</f>
        <v>4140</v>
      </c>
      <c r="BB219">
        <f>_xlfn.XLOOKUP(B219,'[5]july-2025'!$A:$A,'[5]july-2025'!$D:$D,0,0)</f>
        <v>0</v>
      </c>
      <c r="BC219">
        <f>_xlfn.XLOOKUP(B219,'[5]july-2025'!$A:$A,'[5]july-2025'!$G:$G,0,0)</f>
        <v>0</v>
      </c>
      <c r="BD219">
        <f>IF(AX219&gt;0,SUM(AX219:BC219),0)</f>
        <v>44850</v>
      </c>
      <c r="BE219">
        <f>_xlfn.XLOOKUP(B219,'[5]july-2025'!$A:$A,'[5]july-2025'!$H:$H,0,0)</f>
        <v>5000</v>
      </c>
      <c r="BF219">
        <f>_xlfn.XLOOKUP(B219,'[5]july-2025'!$A:$A,'[5]july-2025'!$I:$I,0,0)</f>
        <v>0</v>
      </c>
      <c r="BG219">
        <f>IF($F219="YES",0,IF(BD219&gt;40000,200,IF(BD219&gt;25000,150,IF(BD219&gt;15000,130,IF(BD219&gt;10000,110,0)))))</f>
        <v>200</v>
      </c>
      <c r="BH219">
        <f>BD219-BE219-BF219-BG219</f>
        <v>39650</v>
      </c>
      <c r="BI219">
        <f>_xlfn.XLOOKUP(B219,'[6]august-2025'!$A:$A,'[6]august-2025'!$C:$C,0,0)</f>
        <v>34500</v>
      </c>
      <c r="BJ219">
        <f>BI219*0.18</f>
        <v>6210</v>
      </c>
      <c r="BK219">
        <f>BI219*0.12</f>
        <v>4140</v>
      </c>
      <c r="BL219">
        <f>_xlfn.XLOOKUP(B219,'[6]august-2025'!$A:$A,'[6]august-2025'!$D:$D,0,0)</f>
        <v>0</v>
      </c>
      <c r="BM219">
        <f>_xlfn.XLOOKUP(B219,'[6]august-2025'!$A:$A,'[6]august-2025'!$G:$G,0,0)</f>
        <v>0</v>
      </c>
      <c r="BN219">
        <f>IF(BI219&gt;0,SUM(BI219:BM219),0)</f>
        <v>44850</v>
      </c>
      <c r="BO219">
        <f>_xlfn.XLOOKUP(B219,'[6]august-2025'!$A:$A,'[6]august-2025'!$H:$H,0,0)</f>
        <v>5000</v>
      </c>
      <c r="BP219">
        <f>_xlfn.XLOOKUP(B219,'[6]august-2025'!$A:$A,'[6]august-2025'!$I:$I,0,0)</f>
        <v>0</v>
      </c>
      <c r="BQ219">
        <f>IF($F219="YES",0,IF(BN219&gt;40000,200,IF(BN219&gt;25000,150,IF(BN219&gt;15000,130,IF(BN219&gt;10000,110,0)))))</f>
        <v>200</v>
      </c>
      <c r="BR219">
        <f>BN219-BO219-BP219-BQ219</f>
        <v>39650</v>
      </c>
      <c r="BS219">
        <f>_xlfn.XLOOKUP(B219,'[7]september-2025'!$A:$A,'[7]september-2025'!$C:$C,0,0)</f>
        <v>34500</v>
      </c>
      <c r="BT219">
        <f>BS219*0.18</f>
        <v>6210</v>
      </c>
      <c r="BU219">
        <f>BS219*0.12</f>
        <v>4140</v>
      </c>
      <c r="BV219">
        <f>_xlfn.XLOOKUP(B219,'[7]september-2025'!$A:$A,'[7]september-2025'!$D:$D,0,0)</f>
        <v>0</v>
      </c>
      <c r="BW219">
        <f>_xlfn.XLOOKUP(B219,'[7]september-2025'!$A:$A,'[7]september-2025'!$G:$G,0,0)</f>
        <v>0</v>
      </c>
      <c r="BX219">
        <f>IF(BS219&gt;0,SUM(BS219:BW219),0)</f>
        <v>44850</v>
      </c>
      <c r="BY219">
        <f>_xlfn.XLOOKUP(B219,'[7]september-2025'!$A:$A,'[7]september-2025'!$H:$H,0,0)</f>
        <v>5000</v>
      </c>
      <c r="BZ219">
        <f>_xlfn.XLOOKUP(B219,'[7]september-2025'!$A:$A,'[7]september-2025'!$I:$I,0,0)</f>
        <v>0</v>
      </c>
      <c r="CA219">
        <f>IF($F219="YES",0,IF(BX219&gt;40000,200,IF(BX219&gt;25000,150,IF(BX219&gt;15000,130,IF(BX219&gt;10000,110,0)))))</f>
        <v>200</v>
      </c>
      <c r="CB219">
        <f>BX219-BY219-BZ219-CA219</f>
        <v>39650</v>
      </c>
      <c r="CC219">
        <f>_xlfn.XLOOKUP(B219,'[8]october-2025'!$A:$A,'[8]october-2025'!$C:$C,0,0)</f>
        <v>34500</v>
      </c>
      <c r="CD219">
        <f>CC219*0.18</f>
        <v>6210</v>
      </c>
      <c r="CE219">
        <f>CC219*0.12</f>
        <v>4140</v>
      </c>
      <c r="CF219">
        <f>_xlfn.XLOOKUP(B219,'[8]october-2025'!$A:$A,'[8]october-2025'!$D:$D,0,0)</f>
        <v>0</v>
      </c>
      <c r="CG219">
        <f>_xlfn.XLOOKUP(B219,'[8]october-2025'!$A:$A,'[8]october-2025'!$G:$G,0,0)</f>
        <v>0</v>
      </c>
      <c r="CH219">
        <f>IF(CC219&gt;0,SUM(CC219:CG219),0)</f>
        <v>44850</v>
      </c>
      <c r="CI219">
        <f>_xlfn.XLOOKUP(B219,'[8]october-2025'!$A:$A,'[8]october-2025'!$H:$H,0,0)</f>
        <v>5000</v>
      </c>
      <c r="CJ219">
        <f>_xlfn.XLOOKUP(B219,'[8]october-2025'!$A:$A,'[8]october-2025'!$I:$I,0,0)</f>
        <v>0</v>
      </c>
      <c r="CK219">
        <f>IF($F219="YES",0,IF(CH219&gt;40000,200,IF(CH219&gt;25000,150,IF(CH219&gt;15000,130,IF(CH219&gt;10000,110,0)))))</f>
        <v>200</v>
      </c>
      <c r="CL219">
        <f>CH219-CI219-CJ219-CK219</f>
        <v>39650</v>
      </c>
      <c r="CM219">
        <f>_xlfn.XLOOKUP(B219,'[9]november-2025'!$A:$A,'[9]november-2025'!$C:$C,0,0)</f>
        <v>34500</v>
      </c>
      <c r="CN219">
        <f>CM219*0.18</f>
        <v>6210</v>
      </c>
      <c r="CO219">
        <f>CM219*0.12</f>
        <v>4140</v>
      </c>
      <c r="CP219">
        <f>_xlfn.XLOOKUP(B219,'[9]november-2025'!$A:$A,'[9]november-2025'!$D:$D,0,0)</f>
        <v>0</v>
      </c>
      <c r="CQ219">
        <f>_xlfn.XLOOKUP(B219,'[9]november-2025'!$A:$A,'[9]november-2025'!$G:$G,0,0)</f>
        <v>0</v>
      </c>
      <c r="CR219">
        <f>IF(CM219&gt;0,SUM(CM219:CQ219),0)</f>
        <v>44850</v>
      </c>
      <c r="CS219">
        <f>_xlfn.XLOOKUP(B219,'[9]november-2025'!$A:$A,'[9]november-2025'!$H:$H,0,0)</f>
        <v>5000</v>
      </c>
      <c r="CT219">
        <f>_xlfn.XLOOKUP(B219,'[9]november-2025'!$A:$A,'[9]november-2025'!$I:$I,0,0)</f>
        <v>0</v>
      </c>
      <c r="CU219">
        <f>IF($F219="YES",0,IF(CR219&gt;40000,200,IF(CR219&gt;25000,150,IF(CR219&gt;15000,130,IF(CR219&gt;10000,110,0)))))</f>
        <v>200</v>
      </c>
      <c r="CV219">
        <f>CR219-CS219-CT219-CU219</f>
        <v>39650</v>
      </c>
      <c r="CW219">
        <f>_xlfn.XLOOKUP(B219,'[10]december-2025'!$A:$A,'[10]december-2025'!$C:$C,0,0)</f>
        <v>34500</v>
      </c>
      <c r="CX219">
        <f>ROUND(CW219*0.18,0)</f>
        <v>6210</v>
      </c>
      <c r="CY219">
        <f>ROUND(CW219*0.12,0)</f>
        <v>4140</v>
      </c>
      <c r="CZ219">
        <f>_xlfn.XLOOKUP(B219,'[10]december-2025'!$A:$A,'[10]december-2025'!$D:$D,0,0)</f>
        <v>0</v>
      </c>
      <c r="DA219">
        <f>_xlfn.XLOOKUP(B219,'[10]december-2025'!$A:$A,'[10]december-2025'!$G:$G,0,0)</f>
        <v>0</v>
      </c>
      <c r="DB219">
        <f>IF(CW219&gt;0,SUM(CW219:DA219),0)</f>
        <v>44850</v>
      </c>
      <c r="DC219">
        <f>_xlfn.XLOOKUP(B219,'[10]december-2025'!$A:$A,'[10]december-2025'!$H:$H,0,0)</f>
        <v>5000</v>
      </c>
      <c r="DD219">
        <f>_xlfn.XLOOKUP(B219,'[10]december-2025'!$A:$A,'[10]december-2025'!$I:$I,0,0)</f>
        <v>0</v>
      </c>
      <c r="DE219">
        <f>IF($F219="YES",0,IF(DB219&gt;40000,200,IF(DB219&gt;25000,150,IF(DB219&gt;15000,130,IF(DB219&gt;10000,110,0)))))</f>
        <v>200</v>
      </c>
      <c r="DF219">
        <f>DB219-DC219-DD219-DE219</f>
        <v>39650</v>
      </c>
      <c r="DG219">
        <f>_xlfn.XLOOKUP(B219,'[11]january-2026'!$A:$A,'[11]january-2026'!$C:$C,0,0)</f>
        <v>34500</v>
      </c>
      <c r="DH219">
        <f>DG219*0.18</f>
        <v>6210</v>
      </c>
      <c r="DI219">
        <f>DG219*0.12</f>
        <v>4140</v>
      </c>
      <c r="DJ219">
        <f>_xlfn.XLOOKUP(B219,'[11]january-2026'!$A:$A,'[11]january-2026'!$D:$D,0,0)</f>
        <v>0</v>
      </c>
      <c r="DK219">
        <f>_xlfn.XLOOKUP(B219,'[11]january-2026'!$A:$A,'[11]january-2026'!$G:$G,0,0)</f>
        <v>0</v>
      </c>
      <c r="DL219">
        <f>IF(DG219&gt;0,SUM(DG219:DK219),0)</f>
        <v>44850</v>
      </c>
      <c r="DM219">
        <f>_xlfn.XLOOKUP(B219,'[11]january-2026'!$A:$A,'[11]january-2026'!$H:$H,0,0)</f>
        <v>5000</v>
      </c>
      <c r="DN219">
        <f>_xlfn.XLOOKUP(B219,'[11]january-2026'!$A:$A,'[11]january-2026'!$I:$I,0,0)</f>
        <v>0</v>
      </c>
      <c r="DO219">
        <f>IF($F219="YES",0,IF(DL219&gt;40000,200,IF(DL219&gt;25000,150,IF(DL219&gt;15000,130,IF(DL219&gt;10000,110,0)))))</f>
        <v>200</v>
      </c>
      <c r="DP219">
        <f>DL219-DM219-DN219-DO219</f>
        <v>39650</v>
      </c>
      <c r="DQ219">
        <f>_xlfn.XLOOKUP(B219,'[12]february-2026'!$A:$A,'[12]february-2026'!$C:$C,0,0)</f>
        <v>34500</v>
      </c>
      <c r="DR219">
        <f>DQ219*0.18</f>
        <v>6210</v>
      </c>
      <c r="DS219">
        <f>DQ219*0.12</f>
        <v>4140</v>
      </c>
      <c r="DT219">
        <f>_xlfn.XLOOKUP(B219,'[12]february-2026'!$A:$A,'[12]february-2026'!$D:$D,0,0)</f>
        <v>0</v>
      </c>
      <c r="DU219">
        <f>_xlfn.XLOOKUP(B219,'[12]february-2026'!$A:$A,'[12]february-2026'!$G:$G,0,0)</f>
        <v>0</v>
      </c>
      <c r="DV219">
        <f>IF(DQ219&gt;0,SUM(DQ219:DU219),0)</f>
        <v>44850</v>
      </c>
      <c r="DW219">
        <f>_xlfn.XLOOKUP(B219,'[12]february-2026'!$A:$A,'[12]february-2026'!$H:$H,0,0)</f>
        <v>5000</v>
      </c>
      <c r="DX219">
        <f>_xlfn.XLOOKUP(B219,'[12]february-2026'!$A:$A,'[12]february-2026'!$I:$I,0,0)</f>
        <v>0</v>
      </c>
      <c r="DY219">
        <f>IF($F219="YES",0,IF(DV219&gt;40000,200,IF(DV219&gt;25000,150,IF(DV219&gt;15000,130,IF(DV219&gt;10000,110,0)))))</f>
        <v>200</v>
      </c>
      <c r="DZ219">
        <f>DV219-DW219-DX219-DY219</f>
        <v>39650</v>
      </c>
      <c r="EA219">
        <f>DV219+DL219+DB219+CR219+CH219+BX219+BN219+BD219+AS219+AI219+Y219+O219+H219+I219</f>
        <v>538460</v>
      </c>
      <c r="EB219">
        <f>DY219+DO219+DE219+CU219+CK219+CA219+BQ219+BG219+AV219+AL219+AB219+R219</f>
        <v>2400</v>
      </c>
      <c r="EC219">
        <f>IF(EA219&gt;0,50000,0)</f>
        <v>50000</v>
      </c>
      <c r="ED219">
        <v>0</v>
      </c>
      <c r="EE219">
        <f>EA219-EB219-EC219</f>
        <v>486060</v>
      </c>
      <c r="EF219">
        <f>DW219+DM219+DC219+CS219+CI219+BY219+BO219+BE219+AT219+AJ219+Z219+P219</f>
        <v>60000</v>
      </c>
      <c r="EG219">
        <f>DX219+DN219+DD219+CT219+CJ219+BZ219+BP219+BF219+AU219+AK219+AA219+Q219</f>
        <v>0</v>
      </c>
      <c r="EH219">
        <v>0</v>
      </c>
      <c r="EI219">
        <v>0</v>
      </c>
      <c r="EJ219">
        <v>0</v>
      </c>
      <c r="EK219">
        <v>0</v>
      </c>
      <c r="EL219">
        <v>0</v>
      </c>
      <c r="EM219">
        <v>0</v>
      </c>
      <c r="EN219">
        <v>0</v>
      </c>
      <c r="EO219">
        <v>0</v>
      </c>
      <c r="EP219">
        <v>0</v>
      </c>
      <c r="EQ219">
        <v>0</v>
      </c>
      <c r="ER219">
        <f>SUM(EF219:EQ219)</f>
        <v>60000</v>
      </c>
      <c r="ES219">
        <f>IF(ER219&gt;=150000,150000,ER219)</f>
        <v>60000</v>
      </c>
      <c r="ET219">
        <f>EE219-ES219</f>
        <v>426060</v>
      </c>
      <c r="EU219">
        <v>0</v>
      </c>
      <c r="EV219">
        <v>0</v>
      </c>
      <c r="EW219">
        <v>0</v>
      </c>
      <c r="EX219">
        <v>0</v>
      </c>
      <c r="EY219">
        <v>0</v>
      </c>
      <c r="EZ219">
        <v>0</v>
      </c>
      <c r="FA219">
        <v>0</v>
      </c>
      <c r="FB219">
        <f>SUM(EU219:FA219)+(IF(F219="YES",50000,0))</f>
        <v>0</v>
      </c>
      <c r="FC219">
        <f>ET219-FB219</f>
        <v>426060</v>
      </c>
      <c r="FD219">
        <f>ROUND(IF(FC219&gt;0,IF(FC219&gt;500000,12500,(FC219-250000)*0.05),0),0)</f>
        <v>8803</v>
      </c>
      <c r="FE219">
        <f>IF(ROUND(IF(FC219&gt;0,IF(FC219&gt;1000000,25000,(FC219-500000)*0.2),0),0)&lt;0,0,ROUND(IF(FC219&gt;0,IF(FC219&gt;1000000,25000,(FC219-500000)*0.2),0),0))</f>
        <v>0</v>
      </c>
      <c r="FF219">
        <f>FD219+FE219</f>
        <v>8803</v>
      </c>
      <c r="FG219">
        <f>IF(FF219&lt;12500,0,FF219)</f>
        <v>0</v>
      </c>
      <c r="FH219">
        <f>FG219*0.04</f>
        <v>0</v>
      </c>
      <c r="FI219">
        <f>ROUND(FH219+FG219,0)</f>
        <v>0</v>
      </c>
      <c r="FJ219">
        <v>0</v>
      </c>
      <c r="FK219">
        <f>FI219-FJ219</f>
        <v>0</v>
      </c>
      <c r="FL219" t="b">
        <f>IF(EA219&gt;500000,TRUE,FALSE)</f>
        <v>1</v>
      </c>
      <c r="FM219">
        <f ca="1">IF(FL219,RANDBETWEEN(500,1000),RANDBETWEEN(1000,3000))</f>
        <v>500</v>
      </c>
      <c r="FN219">
        <f ca="1">EA219+FM219</f>
        <v>538960</v>
      </c>
      <c r="FO219">
        <f>IF(EA219&gt;0,75000,0)</f>
        <v>75000</v>
      </c>
      <c r="FP219">
        <f ca="1">FN219-FO219</f>
        <v>463960</v>
      </c>
      <c r="FQ219">
        <f ca="1">IF(FP219&gt;2400000,FP219-2400000,0)</f>
        <v>0</v>
      </c>
      <c r="FR219">
        <f ca="1">FQ219*0.3</f>
        <v>0</v>
      </c>
      <c r="FS219">
        <f ca="1">IF(FP219&gt;2000000,FP219-2000000,0)</f>
        <v>0</v>
      </c>
      <c r="FT219">
        <f ca="1">FS219*0.25</f>
        <v>0</v>
      </c>
      <c r="FU219">
        <f ca="1">IF(FP219&gt;1600000,FP219-1600000-FQ219,0)</f>
        <v>0</v>
      </c>
      <c r="FV219">
        <f ca="1">FU219*0.2</f>
        <v>0</v>
      </c>
      <c r="FW219">
        <f ca="1">IF(FP219&gt;1200000,FP219-1200000-IF(F219="YES",50000,0)-FU219,0)</f>
        <v>0</v>
      </c>
      <c r="FX219">
        <f ca="1">FW219*0.15</f>
        <v>0</v>
      </c>
      <c r="FY219">
        <f ca="1">IF(FP219&gt;800000,FP219-800000-FQ219-FU219-FW219,0)</f>
        <v>0</v>
      </c>
      <c r="FZ219">
        <f ca="1">FY219*0.1</f>
        <v>0</v>
      </c>
      <c r="GA219">
        <f ca="1">IF(FP219&gt;400000,FP219-400000-FQ219-FU219-FW219-FY219,0)</f>
        <v>63960</v>
      </c>
      <c r="GB219">
        <f ca="1">GA219*0.05</f>
        <v>3198</v>
      </c>
      <c r="GC219">
        <f ca="1">ROUND(FR219+FT219+FV219+FX219+FZ219+GB219,0)</f>
        <v>3198</v>
      </c>
      <c r="GD219">
        <f ca="1">IF(FP219&gt;1200000,FP219,0)</f>
        <v>0</v>
      </c>
      <c r="GE219">
        <f ca="1">IF(FP219&gt;1200000,GD219-1200000,0)</f>
        <v>0</v>
      </c>
      <c r="GF219">
        <f ca="1">IF(FP219&lt;1200001,MIN(GC219,60000),0)</f>
        <v>3198</v>
      </c>
      <c r="GG219">
        <f ca="1">IF(FP219&gt;1200000,GC219-GE219,0)</f>
        <v>0</v>
      </c>
      <c r="GH219" t="b">
        <f ca="1">IF(GG219&gt;0,TRUE,FALSE)</f>
        <v>0</v>
      </c>
      <c r="GI219">
        <f ca="1">IF(GH219,GG219,0)</f>
        <v>0</v>
      </c>
      <c r="GJ219">
        <f ca="1">GF219+GI219</f>
        <v>3198</v>
      </c>
      <c r="GK219">
        <f ca="1">ROUND(GC219-GJ219,0)</f>
        <v>0</v>
      </c>
      <c r="GL219">
        <f ca="1">GK219*0.04</f>
        <v>0</v>
      </c>
      <c r="GM219">
        <f ca="1">ROUNDUP(GK219+GL219,0)</f>
        <v>0</v>
      </c>
    </row>
    <row r="220" spans="1:195" x14ac:dyDescent="0.25">
      <c r="A220">
        <f>_xlfn.AGGREGATE(3,5,$B$2:B220)</f>
        <v>219</v>
      </c>
      <c r="B220" t="s">
        <v>549</v>
      </c>
      <c r="C220" t="s">
        <v>550</v>
      </c>
      <c r="D220" t="s">
        <v>807</v>
      </c>
      <c r="E220" t="s">
        <v>833</v>
      </c>
      <c r="F220" t="s">
        <v>959</v>
      </c>
      <c r="G220" t="s">
        <v>945</v>
      </c>
      <c r="H220">
        <f>IF(_xlfn.DAYS("31-03-2025",G220)&gt;=180,6800,0)</f>
        <v>6800</v>
      </c>
      <c r="I220">
        <f>_xlfn.XLOOKUP(B220,'[1]march-2025'!$A:$A,'[1]march-2025'!$J:$J,0,0)</f>
        <v>0</v>
      </c>
      <c r="J220">
        <f>_xlfn.XLOOKUP(B220,'[1]march-2025'!$A:$A,'[1]march-2025'!$C:$C,0,0)</f>
        <v>49200</v>
      </c>
      <c r="K220">
        <f>J220*0.14</f>
        <v>6888.0000000000009</v>
      </c>
      <c r="L220">
        <f>J220*0.12</f>
        <v>5904</v>
      </c>
      <c r="M220">
        <f>_xlfn.XLOOKUP(B220,'[1]march-2025'!$A:$A,'[1]march-2025'!$D:$D,0,0)</f>
        <v>0</v>
      </c>
      <c r="N220">
        <f>_xlfn.XLOOKUP(B220,'[1]march-2025'!$A:$A,'[1]march-2025'!$G:$G,0,0)</f>
        <v>500</v>
      </c>
      <c r="O220">
        <f>IF(J220&gt;0,SUM(J220:N220),0)</f>
        <v>62492</v>
      </c>
      <c r="P220">
        <f>_xlfn.XLOOKUP(B220,'[1]march-2025'!$A:$A,'[1]march-2025'!$H:$H,0,0)</f>
        <v>10000</v>
      </c>
      <c r="Q220">
        <f>_xlfn.XLOOKUP(B220,'[1]march-2025'!$A:$A,'[1]march-2025'!$I:$I,0,0)</f>
        <v>0</v>
      </c>
      <c r="R220">
        <f>IF($F220="YES",0,IF(O220&gt;40000,200,IF(O220&gt;25000,150,IF(O220&gt;15000,130,IF(O220&gt;10000,110,0)))))</f>
        <v>200</v>
      </c>
      <c r="S220">
        <f>O220-P220-Q220-R220</f>
        <v>52292</v>
      </c>
      <c r="T220">
        <f>_xlfn.XLOOKUP(B220,'[2]april-2025'!$A:$A,'[2]april-2025'!$C:$C,0,0)</f>
        <v>49200</v>
      </c>
      <c r="U220">
        <f>T220*0.18</f>
        <v>8856</v>
      </c>
      <c r="V220">
        <f>T220*0.12</f>
        <v>5904</v>
      </c>
      <c r="W220">
        <f>_xlfn.XLOOKUP(B220,'[2]april-2025'!$A:$A,'[2]april-2025'!$D:$D,0,0)</f>
        <v>0</v>
      </c>
      <c r="X220">
        <f>_xlfn.XLOOKUP(B220,'[2]april-2025'!$A:$A,'[2]april-2025'!$G:$G,0,0)</f>
        <v>500</v>
      </c>
      <c r="Y220">
        <f>IF(T220&gt;0,SUM(T220:X220),0)</f>
        <v>64460</v>
      </c>
      <c r="Z220">
        <f>_xlfn.XLOOKUP(B220,'[2]april-2025'!$A:$A,'[2]april-2025'!$H:$H,0,0)</f>
        <v>10000</v>
      </c>
      <c r="AA220">
        <f>_xlfn.XLOOKUP(B220,'[2]april-2025'!$A:$A,'[2]april-2025'!$I:$I,0,0)</f>
        <v>0</v>
      </c>
      <c r="AB220">
        <f>IF($F220="YES",0,IF(Y220&gt;40000,200,IF(Y220&gt;25000,150,IF(Y220&gt;15000,130,IF(Y220&gt;10000,110,0)))))</f>
        <v>200</v>
      </c>
      <c r="AC220">
        <f>Y220-Z220-AA220-AB220</f>
        <v>54260</v>
      </c>
      <c r="AD220">
        <f>_xlfn.XLOOKUP(B220,'[3]may-2025'!$A:$A,'[3]may-2025'!$C:$C,0,0)</f>
        <v>49200</v>
      </c>
      <c r="AE220">
        <f>AD220*0.18</f>
        <v>8856</v>
      </c>
      <c r="AF220">
        <f>AD220*0.12</f>
        <v>5904</v>
      </c>
      <c r="AG220">
        <f>_xlfn.XLOOKUP(B220,'[3]may-2025'!$A:$A,'[3]may-2025'!$D:$D,0,0)</f>
        <v>0</v>
      </c>
      <c r="AH220">
        <f>_xlfn.XLOOKUP(B220,'[3]may-2025'!$A:$A,'[3]may-2025'!$G:$G,0,0)</f>
        <v>500</v>
      </c>
      <c r="AI220">
        <f>IF(AD220&gt;0,SUM(AD220:AH220),0)</f>
        <v>64460</v>
      </c>
      <c r="AJ220">
        <f>_xlfn.XLOOKUP(B220,'[3]may-2025'!$A:$A,'[3]may-2025'!$H:$H,0,0)</f>
        <v>10000</v>
      </c>
      <c r="AK220">
        <f>_xlfn.XLOOKUP(B220,'[3]may-2025'!$A:$A,'[3]may-2025'!$I:$I,0,0)</f>
        <v>0</v>
      </c>
      <c r="AL220">
        <f>IF($F220="YES",0,IF(AI220&gt;40000,200,IF(AI220&gt;25000,150,IF(AI220&gt;15000,130,IF(AI220&gt;10000,110,0)))))</f>
        <v>200</v>
      </c>
      <c r="AM220">
        <f>AI220-AJ220-AK220-AL220</f>
        <v>54260</v>
      </c>
      <c r="AN220">
        <f>_xlfn.XLOOKUP(B220,'[4]june-2025'!$A:$A,'[4]june-2025'!$C:$C,0,0)</f>
        <v>49200</v>
      </c>
      <c r="AO220">
        <f>AN220*0.18</f>
        <v>8856</v>
      </c>
      <c r="AP220">
        <f>AN220*0.12</f>
        <v>5904</v>
      </c>
      <c r="AQ220">
        <f>_xlfn.XLOOKUP(B220,'[4]june-2025'!$A:$A,'[4]june-2025'!$D:$D,0,0)</f>
        <v>0</v>
      </c>
      <c r="AR220">
        <f>_xlfn.XLOOKUP(B220,'[4]june-2025'!$A:$A,'[4]june-2025'!$G:$G,0,0)</f>
        <v>500</v>
      </c>
      <c r="AS220">
        <f>IF(AN220&gt;0,SUM(AN220:AR220),0)</f>
        <v>64460</v>
      </c>
      <c r="AT220">
        <f>_xlfn.XLOOKUP(B220,'[4]june-2025'!$A:$A,'[4]june-2025'!$H:$H,0,0)</f>
        <v>10000</v>
      </c>
      <c r="AU220">
        <f>_xlfn.XLOOKUP(B220,'[4]june-2025'!$A:$A,'[4]june-2025'!$I:$I,0,0)</f>
        <v>0</v>
      </c>
      <c r="AV220">
        <f>IF($F220="YES",0,IF(AS220&gt;40000,200,IF(AS220&gt;25000,150,IF(AS220&gt;15000,130,IF(AS220&gt;10000,110,0)))))</f>
        <v>200</v>
      </c>
      <c r="AW220">
        <f>AS220-AT220-AU220-AV220</f>
        <v>54260</v>
      </c>
      <c r="AX220">
        <f>_xlfn.XLOOKUP(B220,'[5]july-2025'!$A:$A,'[5]july-2025'!$C:$C,0,0)</f>
        <v>50700</v>
      </c>
      <c r="AY220">
        <f>AX220*0.18</f>
        <v>9126</v>
      </c>
      <c r="AZ220">
        <v>0</v>
      </c>
      <c r="BA220">
        <f>AX220*0.12</f>
        <v>6084</v>
      </c>
      <c r="BB220">
        <f>_xlfn.XLOOKUP(B220,'[5]july-2025'!$A:$A,'[5]july-2025'!$D:$D,0,0)</f>
        <v>0</v>
      </c>
      <c r="BC220">
        <f>_xlfn.XLOOKUP(B220,'[5]july-2025'!$A:$A,'[5]july-2025'!$G:$G,0,0)</f>
        <v>500</v>
      </c>
      <c r="BD220">
        <f>IF(AX220&gt;0,SUM(AX220:BC220),0)</f>
        <v>66410</v>
      </c>
      <c r="BE220">
        <f>_xlfn.XLOOKUP(B220,'[5]july-2025'!$A:$A,'[5]july-2025'!$H:$H,0,0)</f>
        <v>10000</v>
      </c>
      <c r="BF220">
        <f>_xlfn.XLOOKUP(B220,'[5]july-2025'!$A:$A,'[5]july-2025'!$I:$I,0,0)</f>
        <v>0</v>
      </c>
      <c r="BG220">
        <f>IF($F220="YES",0,IF(BD220&gt;40000,200,IF(BD220&gt;25000,150,IF(BD220&gt;15000,130,IF(BD220&gt;10000,110,0)))))</f>
        <v>200</v>
      </c>
      <c r="BH220">
        <f>BD220-BE220-BF220-BG220</f>
        <v>56210</v>
      </c>
      <c r="BI220">
        <f>_xlfn.XLOOKUP(B220,'[6]august-2025'!$A:$A,'[6]august-2025'!$C:$C,0,0)</f>
        <v>50700</v>
      </c>
      <c r="BJ220">
        <f>BI220*0.18</f>
        <v>9126</v>
      </c>
      <c r="BK220">
        <f>BI220*0.12</f>
        <v>6084</v>
      </c>
      <c r="BL220">
        <f>_xlfn.XLOOKUP(B220,'[6]august-2025'!$A:$A,'[6]august-2025'!$D:$D,0,0)</f>
        <v>0</v>
      </c>
      <c r="BM220">
        <f>_xlfn.XLOOKUP(B220,'[6]august-2025'!$A:$A,'[6]august-2025'!$G:$G,0,0)</f>
        <v>500</v>
      </c>
      <c r="BN220">
        <f>IF(BI220&gt;0,SUM(BI220:BM220),0)</f>
        <v>66410</v>
      </c>
      <c r="BO220">
        <f>_xlfn.XLOOKUP(B220,'[6]august-2025'!$A:$A,'[6]august-2025'!$H:$H,0,0)</f>
        <v>10000</v>
      </c>
      <c r="BP220">
        <f>_xlfn.XLOOKUP(B220,'[6]august-2025'!$A:$A,'[6]august-2025'!$I:$I,0,0)</f>
        <v>0</v>
      </c>
      <c r="BQ220">
        <f>IF($F220="YES",0,IF(BN220&gt;40000,200,IF(BN220&gt;25000,150,IF(BN220&gt;15000,130,IF(BN220&gt;10000,110,0)))))</f>
        <v>200</v>
      </c>
      <c r="BR220">
        <f>BN220-BO220-BP220-BQ220</f>
        <v>56210</v>
      </c>
      <c r="BS220">
        <f>_xlfn.XLOOKUP(B220,'[7]september-2025'!$A:$A,'[7]september-2025'!$C:$C,0,0)</f>
        <v>50700</v>
      </c>
      <c r="BT220">
        <f>BS220*0.18</f>
        <v>9126</v>
      </c>
      <c r="BU220">
        <f>BS220*0.12</f>
        <v>6084</v>
      </c>
      <c r="BV220">
        <f>_xlfn.XLOOKUP(B220,'[7]september-2025'!$A:$A,'[7]september-2025'!$D:$D,0,0)</f>
        <v>0</v>
      </c>
      <c r="BW220">
        <f>_xlfn.XLOOKUP(B220,'[7]september-2025'!$A:$A,'[7]september-2025'!$G:$G,0,0)</f>
        <v>500</v>
      </c>
      <c r="BX220">
        <f>IF(BS220&gt;0,SUM(BS220:BW220),0)</f>
        <v>66410</v>
      </c>
      <c r="BY220">
        <f>_xlfn.XLOOKUP(B220,'[7]september-2025'!$A:$A,'[7]september-2025'!$H:$H,0,0)</f>
        <v>10000</v>
      </c>
      <c r="BZ220">
        <f>_xlfn.XLOOKUP(B220,'[7]september-2025'!$A:$A,'[7]september-2025'!$I:$I,0,0)</f>
        <v>0</v>
      </c>
      <c r="CA220">
        <f>IF($F220="YES",0,IF(BX220&gt;40000,200,IF(BX220&gt;25000,150,IF(BX220&gt;15000,130,IF(BX220&gt;10000,110,0)))))</f>
        <v>200</v>
      </c>
      <c r="CB220">
        <f>BX220-BY220-BZ220-CA220</f>
        <v>56210</v>
      </c>
      <c r="CC220">
        <f>_xlfn.XLOOKUP(B220,'[8]october-2025'!$A:$A,'[8]october-2025'!$C:$C,0,0)</f>
        <v>50700</v>
      </c>
      <c r="CD220">
        <f>CC220*0.18</f>
        <v>9126</v>
      </c>
      <c r="CE220">
        <f>CC220*0.12</f>
        <v>6084</v>
      </c>
      <c r="CF220">
        <f>_xlfn.XLOOKUP(B220,'[8]october-2025'!$A:$A,'[8]october-2025'!$D:$D,0,0)</f>
        <v>0</v>
      </c>
      <c r="CG220">
        <f>_xlfn.XLOOKUP(B220,'[8]october-2025'!$A:$A,'[8]october-2025'!$G:$G,0,0)</f>
        <v>500</v>
      </c>
      <c r="CH220">
        <f>IF(CC220&gt;0,SUM(CC220:CG220),0)</f>
        <v>66410</v>
      </c>
      <c r="CI220">
        <f>_xlfn.XLOOKUP(B220,'[8]october-2025'!$A:$A,'[8]october-2025'!$H:$H,0,0)</f>
        <v>10000</v>
      </c>
      <c r="CJ220">
        <f>_xlfn.XLOOKUP(B220,'[8]october-2025'!$A:$A,'[8]october-2025'!$I:$I,0,0)</f>
        <v>0</v>
      </c>
      <c r="CK220">
        <f>IF($F220="YES",0,IF(CH220&gt;40000,200,IF(CH220&gt;25000,150,IF(CH220&gt;15000,130,IF(CH220&gt;10000,110,0)))))</f>
        <v>200</v>
      </c>
      <c r="CL220">
        <f>CH220-CI220-CJ220-CK220</f>
        <v>56210</v>
      </c>
      <c r="CM220">
        <f>_xlfn.XLOOKUP(B220,'[9]november-2025'!$A:$A,'[9]november-2025'!$C:$C,0,0)</f>
        <v>50700</v>
      </c>
      <c r="CN220">
        <f>CM220*0.18</f>
        <v>9126</v>
      </c>
      <c r="CO220">
        <f>CM220*0.12</f>
        <v>6084</v>
      </c>
      <c r="CP220">
        <f>_xlfn.XLOOKUP(B220,'[9]november-2025'!$A:$A,'[9]november-2025'!$D:$D,0,0)</f>
        <v>0</v>
      </c>
      <c r="CQ220">
        <f>_xlfn.XLOOKUP(B220,'[9]november-2025'!$A:$A,'[9]november-2025'!$G:$G,0,0)</f>
        <v>500</v>
      </c>
      <c r="CR220">
        <f>IF(CM220&gt;0,SUM(CM220:CQ220),0)</f>
        <v>66410</v>
      </c>
      <c r="CS220">
        <f>_xlfn.XLOOKUP(B220,'[9]november-2025'!$A:$A,'[9]november-2025'!$H:$H,0,0)</f>
        <v>10000</v>
      </c>
      <c r="CT220">
        <f>_xlfn.XLOOKUP(B220,'[9]november-2025'!$A:$A,'[9]november-2025'!$I:$I,0,0)</f>
        <v>0</v>
      </c>
      <c r="CU220">
        <f>IF($F220="YES",0,IF(CR220&gt;40000,200,IF(CR220&gt;25000,150,IF(CR220&gt;15000,130,IF(CR220&gt;10000,110,0)))))</f>
        <v>200</v>
      </c>
      <c r="CV220">
        <f>CR220-CS220-CT220-CU220</f>
        <v>56210</v>
      </c>
      <c r="CW220">
        <f>_xlfn.XLOOKUP(B220,'[10]december-2025'!$A:$A,'[10]december-2025'!$C:$C,0,0)</f>
        <v>50700</v>
      </c>
      <c r="CX220">
        <f>ROUND(CW220*0.18,0)</f>
        <v>9126</v>
      </c>
      <c r="CY220">
        <f>ROUND(CW220*0.12,0)</f>
        <v>6084</v>
      </c>
      <c r="CZ220">
        <f>_xlfn.XLOOKUP(B220,'[10]december-2025'!$A:$A,'[10]december-2025'!$D:$D,0,0)</f>
        <v>0</v>
      </c>
      <c r="DA220">
        <f>_xlfn.XLOOKUP(B220,'[10]december-2025'!$A:$A,'[10]december-2025'!$G:$G,0,0)</f>
        <v>500</v>
      </c>
      <c r="DB220">
        <f>IF(CW220&gt;0,SUM(CW220:DA220),0)</f>
        <v>66410</v>
      </c>
      <c r="DC220">
        <f>_xlfn.XLOOKUP(B220,'[10]december-2025'!$A:$A,'[10]december-2025'!$H:$H,0,0)</f>
        <v>10000</v>
      </c>
      <c r="DD220">
        <f>_xlfn.XLOOKUP(B220,'[10]december-2025'!$A:$A,'[10]december-2025'!$I:$I,0,0)</f>
        <v>0</v>
      </c>
      <c r="DE220">
        <f>IF($F220="YES",0,IF(DB220&gt;40000,200,IF(DB220&gt;25000,150,IF(DB220&gt;15000,130,IF(DB220&gt;10000,110,0)))))</f>
        <v>200</v>
      </c>
      <c r="DF220">
        <f>DB220-DC220-DD220-DE220</f>
        <v>56210</v>
      </c>
      <c r="DG220">
        <f>_xlfn.XLOOKUP(B220,'[11]january-2026'!$A:$A,'[11]january-2026'!$C:$C,0,0)</f>
        <v>50700</v>
      </c>
      <c r="DH220">
        <f>DG220*0.18</f>
        <v>9126</v>
      </c>
      <c r="DI220">
        <f>DG220*0.12</f>
        <v>6084</v>
      </c>
      <c r="DJ220">
        <f>_xlfn.XLOOKUP(B220,'[11]january-2026'!$A:$A,'[11]january-2026'!$D:$D,0,0)</f>
        <v>0</v>
      </c>
      <c r="DK220">
        <f>_xlfn.XLOOKUP(B220,'[11]january-2026'!$A:$A,'[11]january-2026'!$G:$G,0,0)</f>
        <v>500</v>
      </c>
      <c r="DL220">
        <f>IF(DG220&gt;0,SUM(DG220:DK220),0)</f>
        <v>66410</v>
      </c>
      <c r="DM220">
        <f>_xlfn.XLOOKUP(B220,'[11]january-2026'!$A:$A,'[11]january-2026'!$H:$H,0,0)</f>
        <v>10000</v>
      </c>
      <c r="DN220">
        <f>_xlfn.XLOOKUP(B220,'[11]january-2026'!$A:$A,'[11]january-2026'!$I:$I,0,0)</f>
        <v>0</v>
      </c>
      <c r="DO220">
        <f>IF($F220="YES",0,IF(DL220&gt;40000,200,IF(DL220&gt;25000,150,IF(DL220&gt;15000,130,IF(DL220&gt;10000,110,0)))))</f>
        <v>200</v>
      </c>
      <c r="DP220">
        <f>DL220-DM220-DN220-DO220</f>
        <v>56210</v>
      </c>
      <c r="DQ220">
        <f>_xlfn.XLOOKUP(B220,'[12]february-2026'!$A:$A,'[12]february-2026'!$C:$C,0,0)</f>
        <v>50700</v>
      </c>
      <c r="DR220">
        <f>DQ220*0.18</f>
        <v>9126</v>
      </c>
      <c r="DS220">
        <f>DQ220*0.12</f>
        <v>6084</v>
      </c>
      <c r="DT220">
        <f>_xlfn.XLOOKUP(B220,'[12]february-2026'!$A:$A,'[12]february-2026'!$D:$D,0,0)</f>
        <v>0</v>
      </c>
      <c r="DU220">
        <f>_xlfn.XLOOKUP(B220,'[12]february-2026'!$A:$A,'[12]february-2026'!$G:$G,0,0)</f>
        <v>500</v>
      </c>
      <c r="DV220">
        <f>IF(DQ220&gt;0,SUM(DQ220:DU220),0)</f>
        <v>66410</v>
      </c>
      <c r="DW220">
        <f>_xlfn.XLOOKUP(B220,'[12]february-2026'!$A:$A,'[12]february-2026'!$H:$H,0,0)</f>
        <v>10000</v>
      </c>
      <c r="DX220">
        <f>_xlfn.XLOOKUP(B220,'[12]february-2026'!$A:$A,'[12]february-2026'!$I:$I,0,0)</f>
        <v>0</v>
      </c>
      <c r="DY220">
        <f>IF($F220="YES",0,IF(DV220&gt;40000,200,IF(DV220&gt;25000,150,IF(DV220&gt;15000,130,IF(DV220&gt;10000,110,0)))))</f>
        <v>200</v>
      </c>
      <c r="DZ220">
        <f>DV220-DW220-DX220-DY220</f>
        <v>56210</v>
      </c>
      <c r="EA220">
        <f>DV220+DL220+DB220+CR220+CH220+BX220+BN220+BD220+AS220+AI220+Y220+O220+H220+I220</f>
        <v>793952</v>
      </c>
      <c r="EB220">
        <f>DY220+DO220+DE220+CU220+CK220+CA220+BQ220+BG220+AV220+AL220+AB220+R220</f>
        <v>2400</v>
      </c>
      <c r="EC220">
        <f>IF(EA220&gt;0,50000,0)</f>
        <v>50000</v>
      </c>
      <c r="ED220">
        <v>0</v>
      </c>
      <c r="EE220">
        <f>EA220-EB220-EC220</f>
        <v>741552</v>
      </c>
      <c r="EF220">
        <f>DW220+DM220+DC220+CS220+CI220+BY220+BO220+BE220+AT220+AJ220+Z220+P220</f>
        <v>120000</v>
      </c>
      <c r="EG220">
        <f>DX220+DN220+DD220+CT220+CJ220+BZ220+BP220+BF220+AU220+AK220+AA220+Q220</f>
        <v>0</v>
      </c>
      <c r="EH220">
        <v>0</v>
      </c>
      <c r="EI220">
        <v>0</v>
      </c>
      <c r="EJ220">
        <v>0</v>
      </c>
      <c r="EK220">
        <v>0</v>
      </c>
      <c r="EL220">
        <v>0</v>
      </c>
      <c r="EM220">
        <v>0</v>
      </c>
      <c r="EN220">
        <v>0</v>
      </c>
      <c r="EO220">
        <v>0</v>
      </c>
      <c r="EP220">
        <v>0</v>
      </c>
      <c r="EQ220">
        <v>0</v>
      </c>
      <c r="ER220">
        <f>SUM(EF220:EQ220)</f>
        <v>120000</v>
      </c>
      <c r="ES220">
        <f>IF(ER220&gt;=150000,150000,ER220)</f>
        <v>120000</v>
      </c>
      <c r="ET220">
        <f>EE220-ES220</f>
        <v>621552</v>
      </c>
      <c r="EU220">
        <v>0</v>
      </c>
      <c r="EV220">
        <v>0</v>
      </c>
      <c r="EW220">
        <v>0</v>
      </c>
      <c r="EX220">
        <v>0</v>
      </c>
      <c r="EY220">
        <v>0</v>
      </c>
      <c r="EZ220">
        <v>0</v>
      </c>
      <c r="FA220">
        <v>0</v>
      </c>
      <c r="FB220">
        <f>SUM(EU220:FA220)+(IF(F220="YES",50000,0))</f>
        <v>0</v>
      </c>
      <c r="FC220">
        <f>ET220-FB220</f>
        <v>621552</v>
      </c>
      <c r="FD220">
        <f>ROUND(IF(FC220&gt;0,IF(FC220&gt;500000,12500,(FC220-250000)*0.05),0),0)</f>
        <v>12500</v>
      </c>
      <c r="FE220">
        <f>IF(ROUND(IF(FC220&gt;0,IF(FC220&gt;1000000,25000,(FC220-500000)*0.2),0),0)&lt;0,0,ROUND(IF(FC220&gt;0,IF(FC220&gt;1000000,25000,(FC220-500000)*0.2),0),0))</f>
        <v>24310</v>
      </c>
      <c r="FF220">
        <f>FD220+FE220</f>
        <v>36810</v>
      </c>
      <c r="FG220">
        <f>IF(FF220&lt;12500,0,FF220)</f>
        <v>36810</v>
      </c>
      <c r="FH220">
        <f>FG220*0.04</f>
        <v>1472.4</v>
      </c>
      <c r="FI220">
        <f>ROUND(FH220+FG220,0)</f>
        <v>38282</v>
      </c>
      <c r="FJ220">
        <v>0</v>
      </c>
      <c r="FK220">
        <f>FI220-FJ220</f>
        <v>38282</v>
      </c>
      <c r="FL220" t="b">
        <f>IF(EA220&gt;500000,TRUE,FALSE)</f>
        <v>1</v>
      </c>
      <c r="FM220">
        <f ca="1">IF(FL220,RANDBETWEEN(500,1000),RANDBETWEEN(1000,3000))</f>
        <v>782</v>
      </c>
      <c r="FN220">
        <f ca="1">EA220+FM220</f>
        <v>794734</v>
      </c>
      <c r="FO220">
        <f>IF(EA220&gt;0,75000,0)</f>
        <v>75000</v>
      </c>
      <c r="FP220">
        <f ca="1">FN220-FO220</f>
        <v>719734</v>
      </c>
      <c r="FQ220">
        <f ca="1">IF(FP220&gt;2400000,FP220-2400000,0)</f>
        <v>0</v>
      </c>
      <c r="FR220">
        <f ca="1">FQ220*0.3</f>
        <v>0</v>
      </c>
      <c r="FS220">
        <f ca="1">IF(FP220&gt;2000000,FP220-2000000,0)</f>
        <v>0</v>
      </c>
      <c r="FT220">
        <f ca="1">FS220*0.25</f>
        <v>0</v>
      </c>
      <c r="FU220">
        <f ca="1">IF(FP220&gt;1600000,FP220-1600000-FQ220,0)</f>
        <v>0</v>
      </c>
      <c r="FV220">
        <f ca="1">FU220*0.2</f>
        <v>0</v>
      </c>
      <c r="FW220">
        <f ca="1">IF(FP220&gt;1200000,FP220-1200000-IF(F220="YES",50000,0)-FU220,0)</f>
        <v>0</v>
      </c>
      <c r="FX220">
        <f ca="1">FW220*0.15</f>
        <v>0</v>
      </c>
      <c r="FY220">
        <f ca="1">IF(FP220&gt;800000,FP220-800000-FQ220-FU220-FW220,0)</f>
        <v>0</v>
      </c>
      <c r="FZ220">
        <f ca="1">FY220*0.1</f>
        <v>0</v>
      </c>
      <c r="GA220">
        <f ca="1">IF(FP220&gt;400000,FP220-400000-FQ220-FU220-FW220-FY220,0)</f>
        <v>319734</v>
      </c>
      <c r="GB220">
        <f ca="1">GA220*0.05</f>
        <v>15986.7</v>
      </c>
      <c r="GC220">
        <f ca="1">ROUND(FR220+FT220+FV220+FX220+FZ220+GB220,0)</f>
        <v>15987</v>
      </c>
      <c r="GD220">
        <f ca="1">IF(FP220&gt;1200000,FP220,0)</f>
        <v>0</v>
      </c>
      <c r="GE220">
        <f ca="1">IF(FP220&gt;1200000,GD220-1200000,0)</f>
        <v>0</v>
      </c>
      <c r="GF220">
        <f ca="1">IF(FP220&lt;1200001,MIN(GC220,60000),0)</f>
        <v>15987</v>
      </c>
      <c r="GG220">
        <f ca="1">IF(FP220&gt;1200000,GC220-GE220,0)</f>
        <v>0</v>
      </c>
      <c r="GH220" t="b">
        <f ca="1">IF(GG220&gt;0,TRUE,FALSE)</f>
        <v>0</v>
      </c>
      <c r="GI220">
        <f ca="1">IF(GH220,GG220,0)</f>
        <v>0</v>
      </c>
      <c r="GJ220">
        <f ca="1">GF220+GI220</f>
        <v>15987</v>
      </c>
      <c r="GK220">
        <f ca="1">ROUND(GC220-GJ220,0)</f>
        <v>0</v>
      </c>
      <c r="GL220">
        <f ca="1">GK220*0.04</f>
        <v>0</v>
      </c>
      <c r="GM220">
        <f ca="1">ROUNDUP(GK220+GL220,0)</f>
        <v>0</v>
      </c>
    </row>
    <row r="221" spans="1:195" x14ac:dyDescent="0.25">
      <c r="A221">
        <f>_xlfn.AGGREGATE(3,5,$B$2:B221)</f>
        <v>220</v>
      </c>
      <c r="B221" t="s">
        <v>551</v>
      </c>
      <c r="C221" t="s">
        <v>552</v>
      </c>
      <c r="D221" t="s">
        <v>808</v>
      </c>
      <c r="E221" t="s">
        <v>833</v>
      </c>
      <c r="F221" t="s">
        <v>959</v>
      </c>
      <c r="G221" t="s">
        <v>946</v>
      </c>
      <c r="H221">
        <f>IF(_xlfn.DAYS("31-03-2025",G221)&gt;=180,6800,0)</f>
        <v>6800</v>
      </c>
      <c r="I221">
        <f>_xlfn.XLOOKUP(B221,'[1]march-2025'!$A:$A,'[1]march-2025'!$J:$J,0,0)</f>
        <v>0</v>
      </c>
      <c r="J221">
        <f>_xlfn.XLOOKUP(B221,'[1]march-2025'!$A:$A,'[1]march-2025'!$C:$C,0,0)</f>
        <v>50200</v>
      </c>
      <c r="K221">
        <f>J221*0.14</f>
        <v>7028.0000000000009</v>
      </c>
      <c r="L221">
        <f>J221*0.12</f>
        <v>6024</v>
      </c>
      <c r="M221">
        <f>_xlfn.XLOOKUP(B221,'[1]march-2025'!$A:$A,'[1]march-2025'!$D:$D,0,0)</f>
        <v>400</v>
      </c>
      <c r="N221">
        <f>_xlfn.XLOOKUP(B221,'[1]march-2025'!$A:$A,'[1]march-2025'!$G:$G,0,0)</f>
        <v>500</v>
      </c>
      <c r="O221">
        <f>IF(J221&gt;0,SUM(J221:N221),0)</f>
        <v>64152</v>
      </c>
      <c r="P221">
        <f>_xlfn.XLOOKUP(B221,'[1]march-2025'!$A:$A,'[1]march-2025'!$H:$H,0,0)</f>
        <v>5000</v>
      </c>
      <c r="Q221">
        <f>_xlfn.XLOOKUP(B221,'[1]march-2025'!$A:$A,'[1]march-2025'!$I:$I,0,0)</f>
        <v>0</v>
      </c>
      <c r="R221">
        <f>IF($F221="YES",0,IF(O221&gt;40000,200,IF(O221&gt;25000,150,IF(O221&gt;15000,130,IF(O221&gt;10000,110,0)))))</f>
        <v>200</v>
      </c>
      <c r="S221">
        <f>O221-P221-Q221-R221</f>
        <v>58952</v>
      </c>
      <c r="T221">
        <f>_xlfn.XLOOKUP(B221,'[2]april-2025'!$A:$A,'[2]april-2025'!$C:$C,0,0)</f>
        <v>50200</v>
      </c>
      <c r="U221">
        <f>T221*0.18</f>
        <v>9036</v>
      </c>
      <c r="V221">
        <f>T221*0.12</f>
        <v>6024</v>
      </c>
      <c r="W221">
        <f>_xlfn.XLOOKUP(B221,'[2]april-2025'!$A:$A,'[2]april-2025'!$D:$D,0,0)</f>
        <v>400</v>
      </c>
      <c r="X221">
        <f>_xlfn.XLOOKUP(B221,'[2]april-2025'!$A:$A,'[2]april-2025'!$G:$G,0,0)</f>
        <v>500</v>
      </c>
      <c r="Y221">
        <f>IF(T221&gt;0,SUM(T221:X221),0)</f>
        <v>66160</v>
      </c>
      <c r="Z221">
        <f>_xlfn.XLOOKUP(B221,'[2]april-2025'!$A:$A,'[2]april-2025'!$H:$H,0,0)</f>
        <v>5000</v>
      </c>
      <c r="AA221">
        <f>_xlfn.XLOOKUP(B221,'[2]april-2025'!$A:$A,'[2]april-2025'!$I:$I,0,0)</f>
        <v>0</v>
      </c>
      <c r="AB221">
        <f>IF($F221="YES",0,IF(Y221&gt;40000,200,IF(Y221&gt;25000,150,IF(Y221&gt;15000,130,IF(Y221&gt;10000,110,0)))))</f>
        <v>200</v>
      </c>
      <c r="AC221">
        <f>Y221-Z221-AA221-AB221</f>
        <v>60960</v>
      </c>
      <c r="AD221">
        <f>_xlfn.XLOOKUP(B221,'[3]may-2025'!$A:$A,'[3]may-2025'!$C:$C,0,0)</f>
        <v>50200</v>
      </c>
      <c r="AE221">
        <f>AD221*0.18</f>
        <v>9036</v>
      </c>
      <c r="AF221">
        <f>AD221*0.12</f>
        <v>6024</v>
      </c>
      <c r="AG221">
        <f>_xlfn.XLOOKUP(B221,'[3]may-2025'!$A:$A,'[3]may-2025'!$D:$D,0,0)</f>
        <v>400</v>
      </c>
      <c r="AH221">
        <f>_xlfn.XLOOKUP(B221,'[3]may-2025'!$A:$A,'[3]may-2025'!$G:$G,0,0)</f>
        <v>500</v>
      </c>
      <c r="AI221">
        <f>IF(AD221&gt;0,SUM(AD221:AH221),0)</f>
        <v>66160</v>
      </c>
      <c r="AJ221">
        <f>_xlfn.XLOOKUP(B221,'[3]may-2025'!$A:$A,'[3]may-2025'!$H:$H,0,0)</f>
        <v>5000</v>
      </c>
      <c r="AK221">
        <f>_xlfn.XLOOKUP(B221,'[3]may-2025'!$A:$A,'[3]may-2025'!$I:$I,0,0)</f>
        <v>0</v>
      </c>
      <c r="AL221">
        <f>IF($F221="YES",0,IF(AI221&gt;40000,200,IF(AI221&gt;25000,150,IF(AI221&gt;15000,130,IF(AI221&gt;10000,110,0)))))</f>
        <v>200</v>
      </c>
      <c r="AM221">
        <f>AI221-AJ221-AK221-AL221</f>
        <v>60960</v>
      </c>
      <c r="AN221">
        <f>_xlfn.XLOOKUP(B221,'[4]june-2025'!$A:$A,'[4]june-2025'!$C:$C,0,0)</f>
        <v>50200</v>
      </c>
      <c r="AO221">
        <f>AN221*0.18</f>
        <v>9036</v>
      </c>
      <c r="AP221">
        <f>AN221*0.12</f>
        <v>6024</v>
      </c>
      <c r="AQ221">
        <f>_xlfn.XLOOKUP(B221,'[4]june-2025'!$A:$A,'[4]june-2025'!$D:$D,0,0)</f>
        <v>400</v>
      </c>
      <c r="AR221">
        <f>_xlfn.XLOOKUP(B221,'[4]june-2025'!$A:$A,'[4]june-2025'!$G:$G,0,0)</f>
        <v>500</v>
      </c>
      <c r="AS221">
        <f>IF(AN221&gt;0,SUM(AN221:AR221),0)</f>
        <v>66160</v>
      </c>
      <c r="AT221">
        <f>_xlfn.XLOOKUP(B221,'[4]june-2025'!$A:$A,'[4]june-2025'!$H:$H,0,0)</f>
        <v>5000</v>
      </c>
      <c r="AU221">
        <f>_xlfn.XLOOKUP(B221,'[4]june-2025'!$A:$A,'[4]june-2025'!$I:$I,0,0)</f>
        <v>0</v>
      </c>
      <c r="AV221">
        <f>IF($F221="YES",0,IF(AS221&gt;40000,200,IF(AS221&gt;25000,150,IF(AS221&gt;15000,130,IF(AS221&gt;10000,110,0)))))</f>
        <v>200</v>
      </c>
      <c r="AW221">
        <f>AS221-AT221-AU221-AV221</f>
        <v>60960</v>
      </c>
      <c r="AX221">
        <f>_xlfn.XLOOKUP(B221,'[5]july-2025'!$A:$A,'[5]july-2025'!$C:$C,0,0)</f>
        <v>51700</v>
      </c>
      <c r="AY221">
        <f>AX221*0.18</f>
        <v>9306</v>
      </c>
      <c r="AZ221">
        <v>0</v>
      </c>
      <c r="BA221">
        <f>AX221*0.12</f>
        <v>6204</v>
      </c>
      <c r="BB221">
        <f>_xlfn.XLOOKUP(B221,'[5]july-2025'!$A:$A,'[5]july-2025'!$D:$D,0,0)</f>
        <v>400</v>
      </c>
      <c r="BC221">
        <f>_xlfn.XLOOKUP(B221,'[5]july-2025'!$A:$A,'[5]july-2025'!$G:$G,0,0)</f>
        <v>500</v>
      </c>
      <c r="BD221">
        <f>IF(AX221&gt;0,SUM(AX221:BC221),0)</f>
        <v>68110</v>
      </c>
      <c r="BE221">
        <f>_xlfn.XLOOKUP(B221,'[5]july-2025'!$A:$A,'[5]july-2025'!$H:$H,0,0)</f>
        <v>5000</v>
      </c>
      <c r="BF221">
        <f>_xlfn.XLOOKUP(B221,'[5]july-2025'!$A:$A,'[5]july-2025'!$I:$I,0,0)</f>
        <v>0</v>
      </c>
      <c r="BG221">
        <f>IF($F221="YES",0,IF(BD221&gt;40000,200,IF(BD221&gt;25000,150,IF(BD221&gt;15000,130,IF(BD221&gt;10000,110,0)))))</f>
        <v>200</v>
      </c>
      <c r="BH221">
        <f>BD221-BE221-BF221-BG221</f>
        <v>62910</v>
      </c>
      <c r="BI221">
        <f>_xlfn.XLOOKUP(B221,'[6]august-2025'!$A:$A,'[6]august-2025'!$C:$C,0,0)</f>
        <v>51700</v>
      </c>
      <c r="BJ221">
        <f>BI221*0.18</f>
        <v>9306</v>
      </c>
      <c r="BK221">
        <f>BI221*0.12</f>
        <v>6204</v>
      </c>
      <c r="BL221">
        <f>_xlfn.XLOOKUP(B221,'[6]august-2025'!$A:$A,'[6]august-2025'!$D:$D,0,0)</f>
        <v>400</v>
      </c>
      <c r="BM221">
        <f>_xlfn.XLOOKUP(B221,'[6]august-2025'!$A:$A,'[6]august-2025'!$G:$G,0,0)</f>
        <v>500</v>
      </c>
      <c r="BN221">
        <f>IF(BI221&gt;0,SUM(BI221:BM221),0)</f>
        <v>68110</v>
      </c>
      <c r="BO221">
        <f>_xlfn.XLOOKUP(B221,'[6]august-2025'!$A:$A,'[6]august-2025'!$H:$H,0,0)</f>
        <v>5000</v>
      </c>
      <c r="BP221">
        <f>_xlfn.XLOOKUP(B221,'[6]august-2025'!$A:$A,'[6]august-2025'!$I:$I,0,0)</f>
        <v>0</v>
      </c>
      <c r="BQ221">
        <f>IF($F221="YES",0,IF(BN221&gt;40000,200,IF(BN221&gt;25000,150,IF(BN221&gt;15000,130,IF(BN221&gt;10000,110,0)))))</f>
        <v>200</v>
      </c>
      <c r="BR221">
        <f>BN221-BO221-BP221-BQ221</f>
        <v>62910</v>
      </c>
      <c r="BS221">
        <f>_xlfn.XLOOKUP(B221,'[7]september-2025'!$A:$A,'[7]september-2025'!$C:$C,0,0)</f>
        <v>51700</v>
      </c>
      <c r="BT221">
        <f>BS221*0.18</f>
        <v>9306</v>
      </c>
      <c r="BU221">
        <f>BS221*0.12</f>
        <v>6204</v>
      </c>
      <c r="BV221">
        <f>_xlfn.XLOOKUP(B221,'[7]september-2025'!$A:$A,'[7]september-2025'!$D:$D,0,0)</f>
        <v>400</v>
      </c>
      <c r="BW221">
        <f>_xlfn.XLOOKUP(B221,'[7]september-2025'!$A:$A,'[7]september-2025'!$G:$G,0,0)</f>
        <v>500</v>
      </c>
      <c r="BX221">
        <f>IF(BS221&gt;0,SUM(BS221:BW221),0)</f>
        <v>68110</v>
      </c>
      <c r="BY221">
        <f>_xlfn.XLOOKUP(B221,'[7]september-2025'!$A:$A,'[7]september-2025'!$H:$H,0,0)</f>
        <v>5000</v>
      </c>
      <c r="BZ221">
        <f>_xlfn.XLOOKUP(B221,'[7]september-2025'!$A:$A,'[7]september-2025'!$I:$I,0,0)</f>
        <v>0</v>
      </c>
      <c r="CA221">
        <f>IF($F221="YES",0,IF(BX221&gt;40000,200,IF(BX221&gt;25000,150,IF(BX221&gt;15000,130,IF(BX221&gt;10000,110,0)))))</f>
        <v>200</v>
      </c>
      <c r="CB221">
        <f>BX221-BY221-BZ221-CA221</f>
        <v>62910</v>
      </c>
      <c r="CC221">
        <f>_xlfn.XLOOKUP(B221,'[8]october-2025'!$A:$A,'[8]october-2025'!$C:$C,0,0)</f>
        <v>51700</v>
      </c>
      <c r="CD221">
        <f>CC221*0.18</f>
        <v>9306</v>
      </c>
      <c r="CE221">
        <f>CC221*0.12</f>
        <v>6204</v>
      </c>
      <c r="CF221">
        <f>_xlfn.XLOOKUP(B221,'[8]october-2025'!$A:$A,'[8]october-2025'!$D:$D,0,0)</f>
        <v>400</v>
      </c>
      <c r="CG221">
        <f>_xlfn.XLOOKUP(B221,'[8]october-2025'!$A:$A,'[8]october-2025'!$G:$G,0,0)</f>
        <v>500</v>
      </c>
      <c r="CH221">
        <f>IF(CC221&gt;0,SUM(CC221:CG221),0)</f>
        <v>68110</v>
      </c>
      <c r="CI221">
        <f>_xlfn.XLOOKUP(B221,'[8]october-2025'!$A:$A,'[8]october-2025'!$H:$H,0,0)</f>
        <v>5000</v>
      </c>
      <c r="CJ221">
        <f>_xlfn.XLOOKUP(B221,'[8]october-2025'!$A:$A,'[8]october-2025'!$I:$I,0,0)</f>
        <v>0</v>
      </c>
      <c r="CK221">
        <f>IF($F221="YES",0,IF(CH221&gt;40000,200,IF(CH221&gt;25000,150,IF(CH221&gt;15000,130,IF(CH221&gt;10000,110,0)))))</f>
        <v>200</v>
      </c>
      <c r="CL221">
        <f>CH221-CI221-CJ221-CK221</f>
        <v>62910</v>
      </c>
      <c r="CM221">
        <f>_xlfn.XLOOKUP(B221,'[9]november-2025'!$A:$A,'[9]november-2025'!$C:$C,0,0)</f>
        <v>51700</v>
      </c>
      <c r="CN221">
        <f>CM221*0.18</f>
        <v>9306</v>
      </c>
      <c r="CO221">
        <f>CM221*0.12</f>
        <v>6204</v>
      </c>
      <c r="CP221">
        <f>_xlfn.XLOOKUP(B221,'[9]november-2025'!$A:$A,'[9]november-2025'!$D:$D,0,0)</f>
        <v>400</v>
      </c>
      <c r="CQ221">
        <f>_xlfn.XLOOKUP(B221,'[9]november-2025'!$A:$A,'[9]november-2025'!$G:$G,0,0)</f>
        <v>500</v>
      </c>
      <c r="CR221">
        <f>IF(CM221&gt;0,SUM(CM221:CQ221),0)</f>
        <v>68110</v>
      </c>
      <c r="CS221">
        <f>_xlfn.XLOOKUP(B221,'[9]november-2025'!$A:$A,'[9]november-2025'!$H:$H,0,0)</f>
        <v>5000</v>
      </c>
      <c r="CT221">
        <f>_xlfn.XLOOKUP(B221,'[9]november-2025'!$A:$A,'[9]november-2025'!$I:$I,0,0)</f>
        <v>0</v>
      </c>
      <c r="CU221">
        <f>IF($F221="YES",0,IF(CR221&gt;40000,200,IF(CR221&gt;25000,150,IF(CR221&gt;15000,130,IF(CR221&gt;10000,110,0)))))</f>
        <v>200</v>
      </c>
      <c r="CV221">
        <f>CR221-CS221-CT221-CU221</f>
        <v>62910</v>
      </c>
      <c r="CW221">
        <f>_xlfn.XLOOKUP(B221,'[10]december-2025'!$A:$A,'[10]december-2025'!$C:$C,0,0)</f>
        <v>51700</v>
      </c>
      <c r="CX221">
        <f>ROUND(CW221*0.18,0)</f>
        <v>9306</v>
      </c>
      <c r="CY221">
        <f>ROUND(CW221*0.12,0)</f>
        <v>6204</v>
      </c>
      <c r="CZ221">
        <f>_xlfn.XLOOKUP(B221,'[10]december-2025'!$A:$A,'[10]december-2025'!$D:$D,0,0)</f>
        <v>400</v>
      </c>
      <c r="DA221">
        <f>_xlfn.XLOOKUP(B221,'[10]december-2025'!$A:$A,'[10]december-2025'!$G:$G,0,0)</f>
        <v>500</v>
      </c>
      <c r="DB221">
        <f>IF(CW221&gt;0,SUM(CW221:DA221),0)</f>
        <v>68110</v>
      </c>
      <c r="DC221">
        <f>_xlfn.XLOOKUP(B221,'[10]december-2025'!$A:$A,'[10]december-2025'!$H:$H,0,0)</f>
        <v>5000</v>
      </c>
      <c r="DD221">
        <f>_xlfn.XLOOKUP(B221,'[10]december-2025'!$A:$A,'[10]december-2025'!$I:$I,0,0)</f>
        <v>0</v>
      </c>
      <c r="DE221">
        <f>IF($F221="YES",0,IF(DB221&gt;40000,200,IF(DB221&gt;25000,150,IF(DB221&gt;15000,130,IF(DB221&gt;10000,110,0)))))</f>
        <v>200</v>
      </c>
      <c r="DF221">
        <f>DB221-DC221-DD221-DE221</f>
        <v>62910</v>
      </c>
      <c r="DG221">
        <f>_xlfn.XLOOKUP(B221,'[11]january-2026'!$A:$A,'[11]january-2026'!$C:$C,0,0)</f>
        <v>51700</v>
      </c>
      <c r="DH221">
        <f>DG221*0.18</f>
        <v>9306</v>
      </c>
      <c r="DI221">
        <f>DG221*0.12</f>
        <v>6204</v>
      </c>
      <c r="DJ221">
        <f>_xlfn.XLOOKUP(B221,'[11]january-2026'!$A:$A,'[11]january-2026'!$D:$D,0,0)</f>
        <v>400</v>
      </c>
      <c r="DK221">
        <f>_xlfn.XLOOKUP(B221,'[11]january-2026'!$A:$A,'[11]january-2026'!$G:$G,0,0)</f>
        <v>500</v>
      </c>
      <c r="DL221">
        <f>IF(DG221&gt;0,SUM(DG221:DK221),0)</f>
        <v>68110</v>
      </c>
      <c r="DM221">
        <f>_xlfn.XLOOKUP(B221,'[11]january-2026'!$A:$A,'[11]january-2026'!$H:$H,0,0)</f>
        <v>5000</v>
      </c>
      <c r="DN221">
        <f>_xlfn.XLOOKUP(B221,'[11]january-2026'!$A:$A,'[11]january-2026'!$I:$I,0,0)</f>
        <v>0</v>
      </c>
      <c r="DO221">
        <f>IF($F221="YES",0,IF(DL221&gt;40000,200,IF(DL221&gt;25000,150,IF(DL221&gt;15000,130,IF(DL221&gt;10000,110,0)))))</f>
        <v>200</v>
      </c>
      <c r="DP221">
        <f>DL221-DM221-DN221-DO221</f>
        <v>62910</v>
      </c>
      <c r="DQ221">
        <f>_xlfn.XLOOKUP(B221,'[12]february-2026'!$A:$A,'[12]february-2026'!$C:$C,0,0)</f>
        <v>51700</v>
      </c>
      <c r="DR221">
        <f>DQ221*0.18</f>
        <v>9306</v>
      </c>
      <c r="DS221">
        <f>DQ221*0.12</f>
        <v>6204</v>
      </c>
      <c r="DT221">
        <f>_xlfn.XLOOKUP(B221,'[12]february-2026'!$A:$A,'[12]february-2026'!$D:$D,0,0)</f>
        <v>400</v>
      </c>
      <c r="DU221">
        <f>_xlfn.XLOOKUP(B221,'[12]february-2026'!$A:$A,'[12]february-2026'!$G:$G,0,0)</f>
        <v>500</v>
      </c>
      <c r="DV221">
        <f>IF(DQ221&gt;0,SUM(DQ221:DU221),0)</f>
        <v>68110</v>
      </c>
      <c r="DW221">
        <f>_xlfn.XLOOKUP(B221,'[12]february-2026'!$A:$A,'[12]february-2026'!$H:$H,0,0)</f>
        <v>5000</v>
      </c>
      <c r="DX221">
        <f>_xlfn.XLOOKUP(B221,'[12]february-2026'!$A:$A,'[12]february-2026'!$I:$I,0,0)</f>
        <v>0</v>
      </c>
      <c r="DY221">
        <f>IF($F221="YES",0,IF(DV221&gt;40000,200,IF(DV221&gt;25000,150,IF(DV221&gt;15000,130,IF(DV221&gt;10000,110,0)))))</f>
        <v>200</v>
      </c>
      <c r="DZ221">
        <f>DV221-DW221-DX221-DY221</f>
        <v>62910</v>
      </c>
      <c r="EA221">
        <f>DV221+DL221+DB221+CR221+CH221+BX221+BN221+BD221+AS221+AI221+Y221+O221+H221+I221</f>
        <v>814312</v>
      </c>
      <c r="EB221">
        <f>DY221+DO221+DE221+CU221+CK221+CA221+BQ221+BG221+AV221+AL221+AB221+R221</f>
        <v>2400</v>
      </c>
      <c r="EC221">
        <f>IF(EA221&gt;0,50000,0)</f>
        <v>50000</v>
      </c>
      <c r="ED221">
        <v>0</v>
      </c>
      <c r="EE221">
        <f>EA221-EB221-EC221</f>
        <v>761912</v>
      </c>
      <c r="EF221">
        <f>DW221+DM221+DC221+CS221+CI221+BY221+BO221+BE221+AT221+AJ221+Z221+P221</f>
        <v>60000</v>
      </c>
      <c r="EG221">
        <f>DX221+DN221+DD221+CT221+CJ221+BZ221+BP221+BF221+AU221+AK221+AA221+Q221</f>
        <v>0</v>
      </c>
      <c r="EH221">
        <v>0</v>
      </c>
      <c r="EI221">
        <v>0</v>
      </c>
      <c r="EJ221">
        <v>0</v>
      </c>
      <c r="EK221">
        <v>0</v>
      </c>
      <c r="EL221">
        <v>0</v>
      </c>
      <c r="EM221">
        <v>0</v>
      </c>
      <c r="EN221">
        <v>0</v>
      </c>
      <c r="EO221">
        <v>0</v>
      </c>
      <c r="EP221">
        <v>0</v>
      </c>
      <c r="EQ221">
        <v>0</v>
      </c>
      <c r="ER221">
        <f>SUM(EF221:EQ221)</f>
        <v>60000</v>
      </c>
      <c r="ES221">
        <f>IF(ER221&gt;=150000,150000,ER221)</f>
        <v>60000</v>
      </c>
      <c r="ET221">
        <f>EE221-ES221</f>
        <v>701912</v>
      </c>
      <c r="EU221">
        <v>0</v>
      </c>
      <c r="EV221">
        <v>0</v>
      </c>
      <c r="EW221">
        <v>0</v>
      </c>
      <c r="EX221">
        <v>0</v>
      </c>
      <c r="EY221">
        <v>0</v>
      </c>
      <c r="EZ221">
        <v>0</v>
      </c>
      <c r="FA221">
        <v>0</v>
      </c>
      <c r="FB221">
        <f>SUM(EU221:FA221)+(IF(F221="YES",50000,0))</f>
        <v>0</v>
      </c>
      <c r="FC221">
        <f>ET221-FB221</f>
        <v>701912</v>
      </c>
      <c r="FD221">
        <f>ROUND(IF(FC221&gt;0,IF(FC221&gt;500000,12500,(FC221-250000)*0.05),0),0)</f>
        <v>12500</v>
      </c>
      <c r="FE221">
        <f>IF(ROUND(IF(FC221&gt;0,IF(FC221&gt;1000000,25000,(FC221-500000)*0.2),0),0)&lt;0,0,ROUND(IF(FC221&gt;0,IF(FC221&gt;1000000,25000,(FC221-500000)*0.2),0),0))</f>
        <v>40382</v>
      </c>
      <c r="FF221">
        <f>FD221+FE221</f>
        <v>52882</v>
      </c>
      <c r="FG221">
        <f>IF(FF221&lt;12500,0,FF221)</f>
        <v>52882</v>
      </c>
      <c r="FH221">
        <f>FG221*0.04</f>
        <v>2115.2800000000002</v>
      </c>
      <c r="FI221">
        <f>ROUND(FH221+FG221,0)</f>
        <v>54997</v>
      </c>
      <c r="FJ221">
        <v>0</v>
      </c>
      <c r="FK221">
        <f>FI221-FJ221</f>
        <v>54997</v>
      </c>
      <c r="FL221" t="b">
        <f>IF(EA221&gt;500000,TRUE,FALSE)</f>
        <v>1</v>
      </c>
      <c r="FM221">
        <f ca="1">IF(FL221,RANDBETWEEN(500,1000),RANDBETWEEN(1000,3000))</f>
        <v>815</v>
      </c>
      <c r="FN221">
        <f ca="1">EA221+FM221</f>
        <v>815127</v>
      </c>
      <c r="FO221">
        <f>IF(EA221&gt;0,75000,0)</f>
        <v>75000</v>
      </c>
      <c r="FP221">
        <f ca="1">FN221-FO221</f>
        <v>740127</v>
      </c>
      <c r="FQ221">
        <f ca="1">IF(FP221&gt;2400000,FP221-2400000,0)</f>
        <v>0</v>
      </c>
      <c r="FR221">
        <f ca="1">FQ221*0.3</f>
        <v>0</v>
      </c>
      <c r="FS221">
        <f ca="1">IF(FP221&gt;2000000,FP221-2000000,0)</f>
        <v>0</v>
      </c>
      <c r="FT221">
        <f ca="1">FS221*0.25</f>
        <v>0</v>
      </c>
      <c r="FU221">
        <f ca="1">IF(FP221&gt;1600000,FP221-1600000-FQ221,0)</f>
        <v>0</v>
      </c>
      <c r="FV221">
        <f ca="1">FU221*0.2</f>
        <v>0</v>
      </c>
      <c r="FW221">
        <f ca="1">IF(FP221&gt;1200000,FP221-1200000-IF(F221="YES",50000,0)-FU221,0)</f>
        <v>0</v>
      </c>
      <c r="FX221">
        <f ca="1">FW221*0.15</f>
        <v>0</v>
      </c>
      <c r="FY221">
        <f ca="1">IF(FP221&gt;800000,FP221-800000-FQ221-FU221-FW221,0)</f>
        <v>0</v>
      </c>
      <c r="FZ221">
        <f ca="1">FY221*0.1</f>
        <v>0</v>
      </c>
      <c r="GA221">
        <f ca="1">IF(FP221&gt;400000,FP221-400000-FQ221-FU221-FW221-FY221,0)</f>
        <v>340127</v>
      </c>
      <c r="GB221">
        <f ca="1">GA221*0.05</f>
        <v>17006.350000000002</v>
      </c>
      <c r="GC221">
        <f ca="1">ROUND(FR221+FT221+FV221+FX221+FZ221+GB221,0)</f>
        <v>17006</v>
      </c>
      <c r="GD221">
        <f ca="1">IF(FP221&gt;1200000,FP221,0)</f>
        <v>0</v>
      </c>
      <c r="GE221">
        <f ca="1">IF(FP221&gt;1200000,GD221-1200000,0)</f>
        <v>0</v>
      </c>
      <c r="GF221">
        <f ca="1">IF(FP221&lt;1200001,MIN(GC221,60000),0)</f>
        <v>17006</v>
      </c>
      <c r="GG221">
        <f ca="1">IF(FP221&gt;1200000,GC221-GE221,0)</f>
        <v>0</v>
      </c>
      <c r="GH221" t="b">
        <f ca="1">IF(GG221&gt;0,TRUE,FALSE)</f>
        <v>0</v>
      </c>
      <c r="GI221">
        <f ca="1">IF(GH221,GG221,0)</f>
        <v>0</v>
      </c>
      <c r="GJ221">
        <f ca="1">GF221+GI221</f>
        <v>17006</v>
      </c>
      <c r="GK221">
        <f ca="1">ROUND(GC221-GJ221,0)</f>
        <v>0</v>
      </c>
      <c r="GL221">
        <f ca="1">GK221*0.04</f>
        <v>0</v>
      </c>
      <c r="GM221">
        <f ca="1">ROUNDUP(GK221+GL221,0)</f>
        <v>0</v>
      </c>
    </row>
    <row r="222" spans="1:195" x14ac:dyDescent="0.25">
      <c r="A222">
        <f>_xlfn.AGGREGATE(3,5,$B$2:B222)</f>
        <v>221</v>
      </c>
      <c r="B222" t="s">
        <v>553</v>
      </c>
      <c r="C222" t="s">
        <v>554</v>
      </c>
      <c r="D222" t="s">
        <v>808</v>
      </c>
      <c r="E222" t="s">
        <v>833</v>
      </c>
      <c r="F222" t="s">
        <v>959</v>
      </c>
      <c r="G222" t="s">
        <v>947</v>
      </c>
      <c r="H222">
        <f>IF(_xlfn.DAYS("31-03-2025",G222)&gt;=180,6800,0)</f>
        <v>6800</v>
      </c>
      <c r="I222">
        <f>_xlfn.XLOOKUP(B222,'[1]march-2025'!$A:$A,'[1]march-2025'!$J:$J,0,0)</f>
        <v>0</v>
      </c>
      <c r="J222">
        <f>_xlfn.XLOOKUP(B222,'[1]march-2025'!$A:$A,'[1]march-2025'!$C:$C,0,0)</f>
        <v>34500</v>
      </c>
      <c r="K222">
        <f>J222*0.14</f>
        <v>4830.0000000000009</v>
      </c>
      <c r="L222">
        <f>J222*0.12</f>
        <v>4140</v>
      </c>
      <c r="M222">
        <f>_xlfn.XLOOKUP(B222,'[1]march-2025'!$A:$A,'[1]march-2025'!$D:$D,0,0)</f>
        <v>0</v>
      </c>
      <c r="N222">
        <f>_xlfn.XLOOKUP(B222,'[1]march-2025'!$A:$A,'[1]march-2025'!$G:$G,0,0)</f>
        <v>500</v>
      </c>
      <c r="O222">
        <f>IF(J222&gt;0,SUM(J222:N222),0)</f>
        <v>43970</v>
      </c>
      <c r="P222">
        <f>_xlfn.XLOOKUP(B222,'[1]march-2025'!$A:$A,'[1]march-2025'!$H:$H,0,0)</f>
        <v>5000</v>
      </c>
      <c r="Q222">
        <f>_xlfn.XLOOKUP(B222,'[1]march-2025'!$A:$A,'[1]march-2025'!$I:$I,0,0)</f>
        <v>0</v>
      </c>
      <c r="R222">
        <f>IF($F222="YES",0,IF(O222&gt;40000,200,IF(O222&gt;25000,150,IF(O222&gt;15000,130,IF(O222&gt;10000,110,0)))))</f>
        <v>200</v>
      </c>
      <c r="S222">
        <f>O222-P222-Q222-R222</f>
        <v>38770</v>
      </c>
      <c r="T222">
        <f>_xlfn.XLOOKUP(B222,'[2]april-2025'!$A:$A,'[2]april-2025'!$C:$C,0,0)</f>
        <v>34500</v>
      </c>
      <c r="U222">
        <f>T222*0.18</f>
        <v>6210</v>
      </c>
      <c r="V222">
        <f>T222*0.12</f>
        <v>4140</v>
      </c>
      <c r="W222">
        <f>_xlfn.XLOOKUP(B222,'[2]april-2025'!$A:$A,'[2]april-2025'!$D:$D,0,0)</f>
        <v>0</v>
      </c>
      <c r="X222">
        <f>_xlfn.XLOOKUP(B222,'[2]april-2025'!$A:$A,'[2]april-2025'!$G:$G,0,0)</f>
        <v>500</v>
      </c>
      <c r="Y222">
        <f>IF(T222&gt;0,SUM(T222:X222),0)</f>
        <v>45350</v>
      </c>
      <c r="Z222">
        <f>_xlfn.XLOOKUP(B222,'[2]april-2025'!$A:$A,'[2]april-2025'!$H:$H,0,0)</f>
        <v>5000</v>
      </c>
      <c r="AA222">
        <f>_xlfn.XLOOKUP(B222,'[2]april-2025'!$A:$A,'[2]april-2025'!$I:$I,0,0)</f>
        <v>0</v>
      </c>
      <c r="AB222">
        <f>IF($F222="YES",0,IF(Y222&gt;40000,200,IF(Y222&gt;25000,150,IF(Y222&gt;15000,130,IF(Y222&gt;10000,110,0)))))</f>
        <v>200</v>
      </c>
      <c r="AC222">
        <f>Y222-Z222-AA222-AB222</f>
        <v>40150</v>
      </c>
      <c r="AD222">
        <f>_xlfn.XLOOKUP(B222,'[3]may-2025'!$A:$A,'[3]may-2025'!$C:$C,0,0)</f>
        <v>34500</v>
      </c>
      <c r="AE222">
        <f>AD222*0.18</f>
        <v>6210</v>
      </c>
      <c r="AF222">
        <f>AD222*0.12</f>
        <v>4140</v>
      </c>
      <c r="AG222">
        <f>_xlfn.XLOOKUP(B222,'[3]may-2025'!$A:$A,'[3]may-2025'!$D:$D,0,0)</f>
        <v>0</v>
      </c>
      <c r="AH222">
        <f>_xlfn.XLOOKUP(B222,'[3]may-2025'!$A:$A,'[3]may-2025'!$G:$G,0,0)</f>
        <v>500</v>
      </c>
      <c r="AI222">
        <f>IF(AD222&gt;0,SUM(AD222:AH222),0)</f>
        <v>45350</v>
      </c>
      <c r="AJ222">
        <f>_xlfn.XLOOKUP(B222,'[3]may-2025'!$A:$A,'[3]may-2025'!$H:$H,0,0)</f>
        <v>5000</v>
      </c>
      <c r="AK222">
        <f>_xlfn.XLOOKUP(B222,'[3]may-2025'!$A:$A,'[3]may-2025'!$I:$I,0,0)</f>
        <v>0</v>
      </c>
      <c r="AL222">
        <f>IF($F222="YES",0,IF(AI222&gt;40000,200,IF(AI222&gt;25000,150,IF(AI222&gt;15000,130,IF(AI222&gt;10000,110,0)))))</f>
        <v>200</v>
      </c>
      <c r="AM222">
        <f>AI222-AJ222-AK222-AL222</f>
        <v>40150</v>
      </c>
      <c r="AN222">
        <f>_xlfn.XLOOKUP(B222,'[4]june-2025'!$A:$A,'[4]june-2025'!$C:$C,0,0)</f>
        <v>34500</v>
      </c>
      <c r="AO222">
        <f>AN222*0.18</f>
        <v>6210</v>
      </c>
      <c r="AP222">
        <f>AN222*0.12</f>
        <v>4140</v>
      </c>
      <c r="AQ222">
        <f>_xlfn.XLOOKUP(B222,'[4]june-2025'!$A:$A,'[4]june-2025'!$D:$D,0,0)</f>
        <v>0</v>
      </c>
      <c r="AR222">
        <f>_xlfn.XLOOKUP(B222,'[4]june-2025'!$A:$A,'[4]june-2025'!$G:$G,0,0)</f>
        <v>500</v>
      </c>
      <c r="AS222">
        <f>IF(AN222&gt;0,SUM(AN222:AR222),0)</f>
        <v>45350</v>
      </c>
      <c r="AT222">
        <f>_xlfn.XLOOKUP(B222,'[4]june-2025'!$A:$A,'[4]june-2025'!$H:$H,0,0)</f>
        <v>5000</v>
      </c>
      <c r="AU222">
        <f>_xlfn.XLOOKUP(B222,'[4]june-2025'!$A:$A,'[4]june-2025'!$I:$I,0,0)</f>
        <v>0</v>
      </c>
      <c r="AV222">
        <f>IF($F222="YES",0,IF(AS222&gt;40000,200,IF(AS222&gt;25000,150,IF(AS222&gt;15000,130,IF(AS222&gt;10000,110,0)))))</f>
        <v>200</v>
      </c>
      <c r="AW222">
        <f>AS222-AT222-AU222-AV222</f>
        <v>40150</v>
      </c>
      <c r="AX222">
        <f>_xlfn.XLOOKUP(B222,'[5]july-2025'!$A:$A,'[5]july-2025'!$C:$C,0,0)</f>
        <v>35500</v>
      </c>
      <c r="AY222">
        <f>AX222*0.18</f>
        <v>6390</v>
      </c>
      <c r="AZ222">
        <v>0</v>
      </c>
      <c r="BA222">
        <f>AX222*0.12</f>
        <v>4260</v>
      </c>
      <c r="BB222">
        <f>_xlfn.XLOOKUP(B222,'[5]july-2025'!$A:$A,'[5]july-2025'!$D:$D,0,0)</f>
        <v>0</v>
      </c>
      <c r="BC222">
        <f>_xlfn.XLOOKUP(B222,'[5]july-2025'!$A:$A,'[5]july-2025'!$G:$G,0,0)</f>
        <v>500</v>
      </c>
      <c r="BD222">
        <f>IF(AX222&gt;0,SUM(AX222:BC222),0)</f>
        <v>46650</v>
      </c>
      <c r="BE222">
        <f>_xlfn.XLOOKUP(B222,'[5]july-2025'!$A:$A,'[5]july-2025'!$H:$H,0,0)</f>
        <v>5000</v>
      </c>
      <c r="BF222">
        <f>_xlfn.XLOOKUP(B222,'[5]july-2025'!$A:$A,'[5]july-2025'!$I:$I,0,0)</f>
        <v>0</v>
      </c>
      <c r="BG222">
        <f>IF($F222="YES",0,IF(BD222&gt;40000,200,IF(BD222&gt;25000,150,IF(BD222&gt;15000,130,IF(BD222&gt;10000,110,0)))))</f>
        <v>200</v>
      </c>
      <c r="BH222">
        <f>BD222-BE222-BF222-BG222</f>
        <v>41450</v>
      </c>
      <c r="BI222">
        <f>_xlfn.XLOOKUP(B222,'[6]august-2025'!$A:$A,'[6]august-2025'!$C:$C,0,0)</f>
        <v>35500</v>
      </c>
      <c r="BJ222">
        <f>BI222*0.18</f>
        <v>6390</v>
      </c>
      <c r="BK222">
        <f>BI222*0.12</f>
        <v>4260</v>
      </c>
      <c r="BL222">
        <f>_xlfn.XLOOKUP(B222,'[6]august-2025'!$A:$A,'[6]august-2025'!$D:$D,0,0)</f>
        <v>0</v>
      </c>
      <c r="BM222">
        <f>_xlfn.XLOOKUP(B222,'[6]august-2025'!$A:$A,'[6]august-2025'!$G:$G,0,0)</f>
        <v>500</v>
      </c>
      <c r="BN222">
        <f>IF(BI222&gt;0,SUM(BI222:BM222),0)</f>
        <v>46650</v>
      </c>
      <c r="BO222">
        <f>_xlfn.XLOOKUP(B222,'[6]august-2025'!$A:$A,'[6]august-2025'!$H:$H,0,0)</f>
        <v>5000</v>
      </c>
      <c r="BP222">
        <f>_xlfn.XLOOKUP(B222,'[6]august-2025'!$A:$A,'[6]august-2025'!$I:$I,0,0)</f>
        <v>0</v>
      </c>
      <c r="BQ222">
        <f>IF($F222="YES",0,IF(BN222&gt;40000,200,IF(BN222&gt;25000,150,IF(BN222&gt;15000,130,IF(BN222&gt;10000,110,0)))))</f>
        <v>200</v>
      </c>
      <c r="BR222">
        <f>BN222-BO222-BP222-BQ222</f>
        <v>41450</v>
      </c>
      <c r="BS222">
        <f>_xlfn.XLOOKUP(B222,'[7]september-2025'!$A:$A,'[7]september-2025'!$C:$C,0,0)</f>
        <v>35500</v>
      </c>
      <c r="BT222">
        <f>BS222*0.18</f>
        <v>6390</v>
      </c>
      <c r="BU222">
        <f>BS222*0.12</f>
        <v>4260</v>
      </c>
      <c r="BV222">
        <f>_xlfn.XLOOKUP(B222,'[7]september-2025'!$A:$A,'[7]september-2025'!$D:$D,0,0)</f>
        <v>0</v>
      </c>
      <c r="BW222">
        <f>_xlfn.XLOOKUP(B222,'[7]september-2025'!$A:$A,'[7]september-2025'!$G:$G,0,0)</f>
        <v>500</v>
      </c>
      <c r="BX222">
        <f>IF(BS222&gt;0,SUM(BS222:BW222),0)</f>
        <v>46650</v>
      </c>
      <c r="BY222">
        <f>_xlfn.XLOOKUP(B222,'[7]september-2025'!$A:$A,'[7]september-2025'!$H:$H,0,0)</f>
        <v>5000</v>
      </c>
      <c r="BZ222">
        <f>_xlfn.XLOOKUP(B222,'[7]september-2025'!$A:$A,'[7]september-2025'!$I:$I,0,0)</f>
        <v>0</v>
      </c>
      <c r="CA222">
        <f>IF($F222="YES",0,IF(BX222&gt;40000,200,IF(BX222&gt;25000,150,IF(BX222&gt;15000,130,IF(BX222&gt;10000,110,0)))))</f>
        <v>200</v>
      </c>
      <c r="CB222">
        <f>BX222-BY222-BZ222-CA222</f>
        <v>41450</v>
      </c>
      <c r="CC222">
        <f>_xlfn.XLOOKUP(B222,'[8]october-2025'!$A:$A,'[8]october-2025'!$C:$C,0,0)</f>
        <v>35500</v>
      </c>
      <c r="CD222">
        <f>CC222*0.18</f>
        <v>6390</v>
      </c>
      <c r="CE222">
        <f>CC222*0.12</f>
        <v>4260</v>
      </c>
      <c r="CF222">
        <f>_xlfn.XLOOKUP(B222,'[8]october-2025'!$A:$A,'[8]october-2025'!$D:$D,0,0)</f>
        <v>0</v>
      </c>
      <c r="CG222">
        <f>_xlfn.XLOOKUP(B222,'[8]october-2025'!$A:$A,'[8]october-2025'!$G:$G,0,0)</f>
        <v>500</v>
      </c>
      <c r="CH222">
        <f>IF(CC222&gt;0,SUM(CC222:CG222),0)</f>
        <v>46650</v>
      </c>
      <c r="CI222">
        <f>_xlfn.XLOOKUP(B222,'[8]october-2025'!$A:$A,'[8]october-2025'!$H:$H,0,0)</f>
        <v>5000</v>
      </c>
      <c r="CJ222">
        <f>_xlfn.XLOOKUP(B222,'[8]october-2025'!$A:$A,'[8]october-2025'!$I:$I,0,0)</f>
        <v>0</v>
      </c>
      <c r="CK222">
        <f>IF($F222="YES",0,IF(CH222&gt;40000,200,IF(CH222&gt;25000,150,IF(CH222&gt;15000,130,IF(CH222&gt;10000,110,0)))))</f>
        <v>200</v>
      </c>
      <c r="CL222">
        <f>CH222-CI222-CJ222-CK222</f>
        <v>41450</v>
      </c>
      <c r="CM222">
        <f>_xlfn.XLOOKUP(B222,'[9]november-2025'!$A:$A,'[9]november-2025'!$C:$C,0,0)</f>
        <v>35500</v>
      </c>
      <c r="CN222">
        <f>CM222*0.18</f>
        <v>6390</v>
      </c>
      <c r="CO222">
        <f>CM222*0.12</f>
        <v>4260</v>
      </c>
      <c r="CP222">
        <f>_xlfn.XLOOKUP(B222,'[9]november-2025'!$A:$A,'[9]november-2025'!$D:$D,0,0)</f>
        <v>0</v>
      </c>
      <c r="CQ222">
        <f>_xlfn.XLOOKUP(B222,'[9]november-2025'!$A:$A,'[9]november-2025'!$G:$G,0,0)</f>
        <v>500</v>
      </c>
      <c r="CR222">
        <f>IF(CM222&gt;0,SUM(CM222:CQ222),0)</f>
        <v>46650</v>
      </c>
      <c r="CS222">
        <f>_xlfn.XLOOKUP(B222,'[9]november-2025'!$A:$A,'[9]november-2025'!$H:$H,0,0)</f>
        <v>5000</v>
      </c>
      <c r="CT222">
        <f>_xlfn.XLOOKUP(B222,'[9]november-2025'!$A:$A,'[9]november-2025'!$I:$I,0,0)</f>
        <v>0</v>
      </c>
      <c r="CU222">
        <f>IF($F222="YES",0,IF(CR222&gt;40000,200,IF(CR222&gt;25000,150,IF(CR222&gt;15000,130,IF(CR222&gt;10000,110,0)))))</f>
        <v>200</v>
      </c>
      <c r="CV222">
        <f>CR222-CS222-CT222-CU222</f>
        <v>41450</v>
      </c>
      <c r="CW222">
        <f>_xlfn.XLOOKUP(B222,'[10]december-2025'!$A:$A,'[10]december-2025'!$C:$C,0,0)</f>
        <v>35500</v>
      </c>
      <c r="CX222">
        <f>ROUND(CW222*0.18,0)</f>
        <v>6390</v>
      </c>
      <c r="CY222">
        <f>ROUND(CW222*0.12,0)</f>
        <v>4260</v>
      </c>
      <c r="CZ222">
        <f>_xlfn.XLOOKUP(B222,'[10]december-2025'!$A:$A,'[10]december-2025'!$D:$D,0,0)</f>
        <v>0</v>
      </c>
      <c r="DA222">
        <f>_xlfn.XLOOKUP(B222,'[10]december-2025'!$A:$A,'[10]december-2025'!$G:$G,0,0)</f>
        <v>500</v>
      </c>
      <c r="DB222">
        <f>IF(CW222&gt;0,SUM(CW222:DA222),0)</f>
        <v>46650</v>
      </c>
      <c r="DC222">
        <f>_xlfn.XLOOKUP(B222,'[10]december-2025'!$A:$A,'[10]december-2025'!$H:$H,0,0)</f>
        <v>5000</v>
      </c>
      <c r="DD222">
        <f>_xlfn.XLOOKUP(B222,'[10]december-2025'!$A:$A,'[10]december-2025'!$I:$I,0,0)</f>
        <v>0</v>
      </c>
      <c r="DE222">
        <f>IF($F222="YES",0,IF(DB222&gt;40000,200,IF(DB222&gt;25000,150,IF(DB222&gt;15000,130,IF(DB222&gt;10000,110,0)))))</f>
        <v>200</v>
      </c>
      <c r="DF222">
        <f>DB222-DC222-DD222-DE222</f>
        <v>41450</v>
      </c>
      <c r="DG222">
        <f>_xlfn.XLOOKUP(B222,'[11]january-2026'!$A:$A,'[11]january-2026'!$C:$C,0,0)</f>
        <v>35500</v>
      </c>
      <c r="DH222">
        <f>DG222*0.18</f>
        <v>6390</v>
      </c>
      <c r="DI222">
        <f>DG222*0.12</f>
        <v>4260</v>
      </c>
      <c r="DJ222">
        <f>_xlfn.XLOOKUP(B222,'[11]january-2026'!$A:$A,'[11]january-2026'!$D:$D,0,0)</f>
        <v>0</v>
      </c>
      <c r="DK222">
        <f>_xlfn.XLOOKUP(B222,'[11]january-2026'!$A:$A,'[11]january-2026'!$G:$G,0,0)</f>
        <v>500</v>
      </c>
      <c r="DL222">
        <f>IF(DG222&gt;0,SUM(DG222:DK222),0)</f>
        <v>46650</v>
      </c>
      <c r="DM222">
        <f>_xlfn.XLOOKUP(B222,'[11]january-2026'!$A:$A,'[11]january-2026'!$H:$H,0,0)</f>
        <v>5000</v>
      </c>
      <c r="DN222">
        <f>_xlfn.XLOOKUP(B222,'[11]january-2026'!$A:$A,'[11]january-2026'!$I:$I,0,0)</f>
        <v>0</v>
      </c>
      <c r="DO222">
        <f>IF($F222="YES",0,IF(DL222&gt;40000,200,IF(DL222&gt;25000,150,IF(DL222&gt;15000,130,IF(DL222&gt;10000,110,0)))))</f>
        <v>200</v>
      </c>
      <c r="DP222">
        <f>DL222-DM222-DN222-DO222</f>
        <v>41450</v>
      </c>
      <c r="DQ222">
        <f>_xlfn.XLOOKUP(B222,'[12]february-2026'!$A:$A,'[12]february-2026'!$C:$C,0,0)</f>
        <v>35500</v>
      </c>
      <c r="DR222">
        <f>DQ222*0.18</f>
        <v>6390</v>
      </c>
      <c r="DS222">
        <f>DQ222*0.12</f>
        <v>4260</v>
      </c>
      <c r="DT222">
        <f>_xlfn.XLOOKUP(B222,'[12]february-2026'!$A:$A,'[12]february-2026'!$D:$D,0,0)</f>
        <v>0</v>
      </c>
      <c r="DU222">
        <f>_xlfn.XLOOKUP(B222,'[12]february-2026'!$A:$A,'[12]february-2026'!$G:$G,0,0)</f>
        <v>500</v>
      </c>
      <c r="DV222">
        <f>IF(DQ222&gt;0,SUM(DQ222:DU222),0)</f>
        <v>46650</v>
      </c>
      <c r="DW222">
        <f>_xlfn.XLOOKUP(B222,'[12]february-2026'!$A:$A,'[12]february-2026'!$H:$H,0,0)</f>
        <v>5000</v>
      </c>
      <c r="DX222">
        <f>_xlfn.XLOOKUP(B222,'[12]february-2026'!$A:$A,'[12]february-2026'!$I:$I,0,0)</f>
        <v>0</v>
      </c>
      <c r="DY222">
        <f>IF($F222="YES",0,IF(DV222&gt;40000,200,IF(DV222&gt;25000,150,IF(DV222&gt;15000,130,IF(DV222&gt;10000,110,0)))))</f>
        <v>200</v>
      </c>
      <c r="DZ222">
        <f>DV222-DW222-DX222-DY222</f>
        <v>41450</v>
      </c>
      <c r="EA222">
        <f>DV222+DL222+DB222+CR222+CH222+BX222+BN222+BD222+AS222+AI222+Y222+O222+H222+I222</f>
        <v>560020</v>
      </c>
      <c r="EB222">
        <f>DY222+DO222+DE222+CU222+CK222+CA222+BQ222+BG222+AV222+AL222+AB222+R222</f>
        <v>2400</v>
      </c>
      <c r="EC222">
        <f>IF(EA222&gt;0,50000,0)</f>
        <v>50000</v>
      </c>
      <c r="ED222">
        <v>0</v>
      </c>
      <c r="EE222">
        <f>EA222-EB222-EC222</f>
        <v>507620</v>
      </c>
      <c r="EF222">
        <f>DW222+DM222+DC222+CS222+CI222+BY222+BO222+BE222+AT222+AJ222+Z222+P222</f>
        <v>60000</v>
      </c>
      <c r="EG222">
        <f>DX222+DN222+DD222+CT222+CJ222+BZ222+BP222+BF222+AU222+AK222+AA222+Q222</f>
        <v>0</v>
      </c>
      <c r="EH222">
        <v>0</v>
      </c>
      <c r="EI222">
        <v>0</v>
      </c>
      <c r="EJ222">
        <v>0</v>
      </c>
      <c r="EK222">
        <v>0</v>
      </c>
      <c r="EL222">
        <v>0</v>
      </c>
      <c r="EM222">
        <v>0</v>
      </c>
      <c r="EN222">
        <v>0</v>
      </c>
      <c r="EO222">
        <v>0</v>
      </c>
      <c r="EP222">
        <v>0</v>
      </c>
      <c r="EQ222">
        <v>0</v>
      </c>
      <c r="ER222">
        <f>SUM(EF222:EQ222)</f>
        <v>60000</v>
      </c>
      <c r="ES222">
        <f>IF(ER222&gt;=150000,150000,ER222)</f>
        <v>60000</v>
      </c>
      <c r="ET222">
        <f>EE222-ES222</f>
        <v>447620</v>
      </c>
      <c r="EU222">
        <v>0</v>
      </c>
      <c r="EV222">
        <v>0</v>
      </c>
      <c r="EW222">
        <v>0</v>
      </c>
      <c r="EX222">
        <v>0</v>
      </c>
      <c r="EY222">
        <v>0</v>
      </c>
      <c r="EZ222">
        <v>0</v>
      </c>
      <c r="FA222">
        <v>0</v>
      </c>
      <c r="FB222">
        <f>SUM(EU222:FA222)+(IF(F222="YES",50000,0))</f>
        <v>0</v>
      </c>
      <c r="FC222">
        <f>ET222-FB222</f>
        <v>447620</v>
      </c>
      <c r="FD222">
        <f>ROUND(IF(FC222&gt;0,IF(FC222&gt;500000,12500,(FC222-250000)*0.05),0),0)</f>
        <v>9881</v>
      </c>
      <c r="FE222">
        <f>IF(ROUND(IF(FC222&gt;0,IF(FC222&gt;1000000,25000,(FC222-500000)*0.2),0),0)&lt;0,0,ROUND(IF(FC222&gt;0,IF(FC222&gt;1000000,25000,(FC222-500000)*0.2),0),0))</f>
        <v>0</v>
      </c>
      <c r="FF222">
        <f>FD222+FE222</f>
        <v>9881</v>
      </c>
      <c r="FG222">
        <f>IF(FF222&lt;12500,0,FF222)</f>
        <v>0</v>
      </c>
      <c r="FH222">
        <f>FG222*0.04</f>
        <v>0</v>
      </c>
      <c r="FI222">
        <f>ROUND(FH222+FG222,0)</f>
        <v>0</v>
      </c>
      <c r="FJ222">
        <v>0</v>
      </c>
      <c r="FK222">
        <f>FI222-FJ222</f>
        <v>0</v>
      </c>
      <c r="FL222" t="b">
        <f>IF(EA222&gt;500000,TRUE,FALSE)</f>
        <v>1</v>
      </c>
      <c r="FM222">
        <f ca="1">IF(FL222,RANDBETWEEN(500,1000),RANDBETWEEN(1000,3000))</f>
        <v>923</v>
      </c>
      <c r="FN222">
        <f ca="1">EA222+FM222</f>
        <v>560943</v>
      </c>
      <c r="FO222">
        <f>IF(EA222&gt;0,75000,0)</f>
        <v>75000</v>
      </c>
      <c r="FP222">
        <f ca="1">FN222-FO222</f>
        <v>485943</v>
      </c>
      <c r="FQ222">
        <f ca="1">IF(FP222&gt;2400000,FP222-2400000,0)</f>
        <v>0</v>
      </c>
      <c r="FR222">
        <f ca="1">FQ222*0.3</f>
        <v>0</v>
      </c>
      <c r="FS222">
        <f ca="1">IF(FP222&gt;2000000,FP222-2000000,0)</f>
        <v>0</v>
      </c>
      <c r="FT222">
        <f ca="1">FS222*0.25</f>
        <v>0</v>
      </c>
      <c r="FU222">
        <f ca="1">IF(FP222&gt;1600000,FP222-1600000-FQ222,0)</f>
        <v>0</v>
      </c>
      <c r="FV222">
        <f ca="1">FU222*0.2</f>
        <v>0</v>
      </c>
      <c r="FW222">
        <f ca="1">IF(FP222&gt;1200000,FP222-1200000-IF(F222="YES",50000,0)-FU222,0)</f>
        <v>0</v>
      </c>
      <c r="FX222">
        <f ca="1">FW222*0.15</f>
        <v>0</v>
      </c>
      <c r="FY222">
        <f ca="1">IF(FP222&gt;800000,FP222-800000-FQ222-FU222-FW222,0)</f>
        <v>0</v>
      </c>
      <c r="FZ222">
        <f ca="1">FY222*0.1</f>
        <v>0</v>
      </c>
      <c r="GA222">
        <f ca="1">IF(FP222&gt;400000,FP222-400000-FQ222-FU222-FW222-FY222,0)</f>
        <v>85943</v>
      </c>
      <c r="GB222">
        <f ca="1">GA222*0.05</f>
        <v>4297.1500000000005</v>
      </c>
      <c r="GC222">
        <f ca="1">ROUND(FR222+FT222+FV222+FX222+FZ222+GB222,0)</f>
        <v>4297</v>
      </c>
      <c r="GD222">
        <f ca="1">IF(FP222&gt;1200000,FP222,0)</f>
        <v>0</v>
      </c>
      <c r="GE222">
        <f ca="1">IF(FP222&gt;1200000,GD222-1200000,0)</f>
        <v>0</v>
      </c>
      <c r="GF222">
        <f ca="1">IF(FP222&lt;1200001,MIN(GC222,60000),0)</f>
        <v>4297</v>
      </c>
      <c r="GG222">
        <f ca="1">IF(FP222&gt;1200000,GC222-GE222,0)</f>
        <v>0</v>
      </c>
      <c r="GH222" t="b">
        <f ca="1">IF(GG222&gt;0,TRUE,FALSE)</f>
        <v>0</v>
      </c>
      <c r="GI222">
        <f ca="1">IF(GH222,GG222,0)</f>
        <v>0</v>
      </c>
      <c r="GJ222">
        <f ca="1">GF222+GI222</f>
        <v>4297</v>
      </c>
      <c r="GK222">
        <f ca="1">ROUND(GC222-GJ222,0)</f>
        <v>0</v>
      </c>
      <c r="GL222">
        <f ca="1">GK222*0.04</f>
        <v>0</v>
      </c>
      <c r="GM222">
        <f ca="1">ROUNDUP(GK222+GL222,0)</f>
        <v>0</v>
      </c>
    </row>
    <row r="223" spans="1:195" x14ac:dyDescent="0.25">
      <c r="A223">
        <f>_xlfn.AGGREGATE(3,5,$B$2:B223)</f>
        <v>222</v>
      </c>
      <c r="B223" t="s">
        <v>555</v>
      </c>
      <c r="C223" t="s">
        <v>556</v>
      </c>
      <c r="D223" t="s">
        <v>808</v>
      </c>
      <c r="E223" t="s">
        <v>833</v>
      </c>
      <c r="F223" t="s">
        <v>959</v>
      </c>
      <c r="G223" t="s">
        <v>883</v>
      </c>
      <c r="H223">
        <f>IF(_xlfn.DAYS("31-03-2025",G223)&gt;=180,6800,0)</f>
        <v>6800</v>
      </c>
      <c r="I223">
        <f>_xlfn.XLOOKUP(B223,'[1]march-2025'!$A:$A,'[1]march-2025'!$J:$J,0,0)</f>
        <v>0</v>
      </c>
      <c r="J223">
        <f>_xlfn.XLOOKUP(B223,'[1]march-2025'!$A:$A,'[1]march-2025'!$C:$C,0,0)</f>
        <v>28900</v>
      </c>
      <c r="K223">
        <f>J223*0.14</f>
        <v>4046.0000000000005</v>
      </c>
      <c r="L223">
        <f>J223*0.12</f>
        <v>3468</v>
      </c>
      <c r="M223">
        <f>_xlfn.XLOOKUP(B223,'[1]march-2025'!$A:$A,'[1]march-2025'!$D:$D,0,0)</f>
        <v>0</v>
      </c>
      <c r="N223">
        <f>_xlfn.XLOOKUP(B223,'[1]march-2025'!$A:$A,'[1]march-2025'!$G:$G,0,0)</f>
        <v>500</v>
      </c>
      <c r="O223">
        <f>IF(J223&gt;0,SUM(J223:N223),0)</f>
        <v>36914</v>
      </c>
      <c r="P223">
        <f>_xlfn.XLOOKUP(B223,'[1]march-2025'!$A:$A,'[1]march-2025'!$H:$H,0,0)</f>
        <v>2000</v>
      </c>
      <c r="Q223">
        <f>_xlfn.XLOOKUP(B223,'[1]march-2025'!$A:$A,'[1]march-2025'!$I:$I,0,0)</f>
        <v>0</v>
      </c>
      <c r="R223">
        <f>IF($F223="YES",0,IF(O223&gt;40000,200,IF(O223&gt;25000,150,IF(O223&gt;15000,130,IF(O223&gt;10000,110,0)))))</f>
        <v>150</v>
      </c>
      <c r="S223">
        <f>O223-P223-Q223-R223</f>
        <v>34764</v>
      </c>
      <c r="T223">
        <f>_xlfn.XLOOKUP(B223,'[2]april-2025'!$A:$A,'[2]april-2025'!$C:$C,0,0)</f>
        <v>28900</v>
      </c>
      <c r="U223">
        <f>T223*0.18</f>
        <v>5202</v>
      </c>
      <c r="V223">
        <f>T223*0.12</f>
        <v>3468</v>
      </c>
      <c r="W223">
        <f>_xlfn.XLOOKUP(B223,'[2]april-2025'!$A:$A,'[2]april-2025'!$D:$D,0,0)</f>
        <v>0</v>
      </c>
      <c r="X223">
        <f>_xlfn.XLOOKUP(B223,'[2]april-2025'!$A:$A,'[2]april-2025'!$G:$G,0,0)</f>
        <v>500</v>
      </c>
      <c r="Y223">
        <f>IF(T223&gt;0,SUM(T223:X223),0)</f>
        <v>38070</v>
      </c>
      <c r="Z223">
        <f>_xlfn.XLOOKUP(B223,'[2]april-2025'!$A:$A,'[2]april-2025'!$H:$H,0,0)</f>
        <v>2000</v>
      </c>
      <c r="AA223">
        <f>_xlfn.XLOOKUP(B223,'[2]april-2025'!$A:$A,'[2]april-2025'!$I:$I,0,0)</f>
        <v>0</v>
      </c>
      <c r="AB223">
        <f>IF($F223="YES",0,IF(Y223&gt;40000,200,IF(Y223&gt;25000,150,IF(Y223&gt;15000,130,IF(Y223&gt;10000,110,0)))))</f>
        <v>150</v>
      </c>
      <c r="AC223">
        <f>Y223-Z223-AA223-AB223</f>
        <v>35920</v>
      </c>
      <c r="AD223">
        <f>_xlfn.XLOOKUP(B223,'[3]may-2025'!$A:$A,'[3]may-2025'!$C:$C,0,0)</f>
        <v>28900</v>
      </c>
      <c r="AE223">
        <f>AD223*0.18</f>
        <v>5202</v>
      </c>
      <c r="AF223">
        <f>AD223*0.12</f>
        <v>3468</v>
      </c>
      <c r="AG223">
        <f>_xlfn.XLOOKUP(B223,'[3]may-2025'!$A:$A,'[3]may-2025'!$D:$D,0,0)</f>
        <v>0</v>
      </c>
      <c r="AH223">
        <f>_xlfn.XLOOKUP(B223,'[3]may-2025'!$A:$A,'[3]may-2025'!$G:$G,0,0)</f>
        <v>500</v>
      </c>
      <c r="AI223">
        <f>IF(AD223&gt;0,SUM(AD223:AH223),0)</f>
        <v>38070</v>
      </c>
      <c r="AJ223">
        <f>_xlfn.XLOOKUP(B223,'[3]may-2025'!$A:$A,'[3]may-2025'!$H:$H,0,0)</f>
        <v>2000</v>
      </c>
      <c r="AK223">
        <f>_xlfn.XLOOKUP(B223,'[3]may-2025'!$A:$A,'[3]may-2025'!$I:$I,0,0)</f>
        <v>0</v>
      </c>
      <c r="AL223">
        <f>IF($F223="YES",0,IF(AI223&gt;40000,200,IF(AI223&gt;25000,150,IF(AI223&gt;15000,130,IF(AI223&gt;10000,110,0)))))</f>
        <v>150</v>
      </c>
      <c r="AM223">
        <f>AI223-AJ223-AK223-AL223</f>
        <v>35920</v>
      </c>
      <c r="AN223">
        <f>_xlfn.XLOOKUP(B223,'[4]june-2025'!$A:$A,'[4]june-2025'!$C:$C,0,0)</f>
        <v>28900</v>
      </c>
      <c r="AO223">
        <f>AN223*0.18</f>
        <v>5202</v>
      </c>
      <c r="AP223">
        <f>AN223*0.12</f>
        <v>3468</v>
      </c>
      <c r="AQ223">
        <f>_xlfn.XLOOKUP(B223,'[4]june-2025'!$A:$A,'[4]june-2025'!$D:$D,0,0)</f>
        <v>0</v>
      </c>
      <c r="AR223">
        <f>_xlfn.XLOOKUP(B223,'[4]june-2025'!$A:$A,'[4]june-2025'!$G:$G,0,0)</f>
        <v>500</v>
      </c>
      <c r="AS223">
        <f>IF(AN223&gt;0,SUM(AN223:AR223),0)</f>
        <v>38070</v>
      </c>
      <c r="AT223">
        <f>_xlfn.XLOOKUP(B223,'[4]june-2025'!$A:$A,'[4]june-2025'!$H:$H,0,0)</f>
        <v>2000</v>
      </c>
      <c r="AU223">
        <f>_xlfn.XLOOKUP(B223,'[4]june-2025'!$A:$A,'[4]june-2025'!$I:$I,0,0)</f>
        <v>0</v>
      </c>
      <c r="AV223">
        <f>IF($F223="YES",0,IF(AS223&gt;40000,200,IF(AS223&gt;25000,150,IF(AS223&gt;15000,130,IF(AS223&gt;10000,110,0)))))</f>
        <v>150</v>
      </c>
      <c r="AW223">
        <f>AS223-AT223-AU223-AV223</f>
        <v>35920</v>
      </c>
      <c r="AX223">
        <f>_xlfn.XLOOKUP(B223,'[5]july-2025'!$A:$A,'[5]july-2025'!$C:$C,0,0)</f>
        <v>29800</v>
      </c>
      <c r="AY223">
        <f>AX223*0.18</f>
        <v>5364</v>
      </c>
      <c r="AZ223">
        <v>0</v>
      </c>
      <c r="BA223">
        <f>AX223*0.12</f>
        <v>3576</v>
      </c>
      <c r="BB223">
        <f>_xlfn.XLOOKUP(B223,'[5]july-2025'!$A:$A,'[5]july-2025'!$D:$D,0,0)</f>
        <v>0</v>
      </c>
      <c r="BC223">
        <f>_xlfn.XLOOKUP(B223,'[5]july-2025'!$A:$A,'[5]july-2025'!$G:$G,0,0)</f>
        <v>500</v>
      </c>
      <c r="BD223">
        <f>IF(AX223&gt;0,SUM(AX223:BC223),0)</f>
        <v>39240</v>
      </c>
      <c r="BE223">
        <f>_xlfn.XLOOKUP(B223,'[5]july-2025'!$A:$A,'[5]july-2025'!$H:$H,0,0)</f>
        <v>2000</v>
      </c>
      <c r="BF223">
        <f>_xlfn.XLOOKUP(B223,'[5]july-2025'!$A:$A,'[5]july-2025'!$I:$I,0,0)</f>
        <v>0</v>
      </c>
      <c r="BG223">
        <f>IF($F223="YES",0,IF(BD223&gt;40000,200,IF(BD223&gt;25000,150,IF(BD223&gt;15000,130,IF(BD223&gt;10000,110,0)))))</f>
        <v>150</v>
      </c>
      <c r="BH223">
        <f>BD223-BE223-BF223-BG223</f>
        <v>37090</v>
      </c>
      <c r="BI223">
        <f>_xlfn.XLOOKUP(B223,'[6]august-2025'!$A:$A,'[6]august-2025'!$C:$C,0,0)</f>
        <v>29800</v>
      </c>
      <c r="BJ223">
        <f>BI223*0.18</f>
        <v>5364</v>
      </c>
      <c r="BK223">
        <f>BI223*0.12</f>
        <v>3576</v>
      </c>
      <c r="BL223">
        <f>_xlfn.XLOOKUP(B223,'[6]august-2025'!$A:$A,'[6]august-2025'!$D:$D,0,0)</f>
        <v>0</v>
      </c>
      <c r="BM223">
        <f>_xlfn.XLOOKUP(B223,'[6]august-2025'!$A:$A,'[6]august-2025'!$G:$G,0,0)</f>
        <v>500</v>
      </c>
      <c r="BN223">
        <f>IF(BI223&gt;0,SUM(BI223:BM223),0)</f>
        <v>39240</v>
      </c>
      <c r="BO223">
        <f>_xlfn.XLOOKUP(B223,'[6]august-2025'!$A:$A,'[6]august-2025'!$H:$H,0,0)</f>
        <v>2000</v>
      </c>
      <c r="BP223">
        <f>_xlfn.XLOOKUP(B223,'[6]august-2025'!$A:$A,'[6]august-2025'!$I:$I,0,0)</f>
        <v>0</v>
      </c>
      <c r="BQ223">
        <f>IF($F223="YES",0,IF(BN223&gt;40000,200,IF(BN223&gt;25000,150,IF(BN223&gt;15000,130,IF(BN223&gt;10000,110,0)))))</f>
        <v>150</v>
      </c>
      <c r="BR223">
        <f>BN223-BO223-BP223-BQ223</f>
        <v>37090</v>
      </c>
      <c r="BS223">
        <f>_xlfn.XLOOKUP(B223,'[7]september-2025'!$A:$A,'[7]september-2025'!$C:$C,0,0)</f>
        <v>29800</v>
      </c>
      <c r="BT223">
        <f>BS223*0.18</f>
        <v>5364</v>
      </c>
      <c r="BU223">
        <f>BS223*0.12</f>
        <v>3576</v>
      </c>
      <c r="BV223">
        <f>_xlfn.XLOOKUP(B223,'[7]september-2025'!$A:$A,'[7]september-2025'!$D:$D,0,0)</f>
        <v>0</v>
      </c>
      <c r="BW223">
        <f>_xlfn.XLOOKUP(B223,'[7]september-2025'!$A:$A,'[7]september-2025'!$G:$G,0,0)</f>
        <v>500</v>
      </c>
      <c r="BX223">
        <f>IF(BS223&gt;0,SUM(BS223:BW223),0)</f>
        <v>39240</v>
      </c>
      <c r="BY223">
        <f>_xlfn.XLOOKUP(B223,'[7]september-2025'!$A:$A,'[7]september-2025'!$H:$H,0,0)</f>
        <v>2000</v>
      </c>
      <c r="BZ223">
        <f>_xlfn.XLOOKUP(B223,'[7]september-2025'!$A:$A,'[7]september-2025'!$I:$I,0,0)</f>
        <v>0</v>
      </c>
      <c r="CA223">
        <f>IF($F223="YES",0,IF(BX223&gt;40000,200,IF(BX223&gt;25000,150,IF(BX223&gt;15000,130,IF(BX223&gt;10000,110,0)))))</f>
        <v>150</v>
      </c>
      <c r="CB223">
        <f>BX223-BY223-BZ223-CA223</f>
        <v>37090</v>
      </c>
      <c r="CC223">
        <f>_xlfn.XLOOKUP(B223,'[8]october-2025'!$A:$A,'[8]october-2025'!$C:$C,0,0)</f>
        <v>29800</v>
      </c>
      <c r="CD223">
        <f>CC223*0.18</f>
        <v>5364</v>
      </c>
      <c r="CE223">
        <f>CC223*0.12</f>
        <v>3576</v>
      </c>
      <c r="CF223">
        <f>_xlfn.XLOOKUP(B223,'[8]october-2025'!$A:$A,'[8]october-2025'!$D:$D,0,0)</f>
        <v>0</v>
      </c>
      <c r="CG223">
        <f>_xlfn.XLOOKUP(B223,'[8]october-2025'!$A:$A,'[8]october-2025'!$G:$G,0,0)</f>
        <v>500</v>
      </c>
      <c r="CH223">
        <f>IF(CC223&gt;0,SUM(CC223:CG223),0)</f>
        <v>39240</v>
      </c>
      <c r="CI223">
        <f>_xlfn.XLOOKUP(B223,'[8]october-2025'!$A:$A,'[8]october-2025'!$H:$H,0,0)</f>
        <v>2000</v>
      </c>
      <c r="CJ223">
        <f>_xlfn.XLOOKUP(B223,'[8]october-2025'!$A:$A,'[8]october-2025'!$I:$I,0,0)</f>
        <v>0</v>
      </c>
      <c r="CK223">
        <f>IF($F223="YES",0,IF(CH223&gt;40000,200,IF(CH223&gt;25000,150,IF(CH223&gt;15000,130,IF(CH223&gt;10000,110,0)))))</f>
        <v>150</v>
      </c>
      <c r="CL223">
        <f>CH223-CI223-CJ223-CK223</f>
        <v>37090</v>
      </c>
      <c r="CM223">
        <f>_xlfn.XLOOKUP(B223,'[9]november-2025'!$A:$A,'[9]november-2025'!$C:$C,0,0)</f>
        <v>29800</v>
      </c>
      <c r="CN223">
        <f>CM223*0.18</f>
        <v>5364</v>
      </c>
      <c r="CO223">
        <f>CM223*0.12</f>
        <v>3576</v>
      </c>
      <c r="CP223">
        <f>_xlfn.XLOOKUP(B223,'[9]november-2025'!$A:$A,'[9]november-2025'!$D:$D,0,0)</f>
        <v>0</v>
      </c>
      <c r="CQ223">
        <f>_xlfn.XLOOKUP(B223,'[9]november-2025'!$A:$A,'[9]november-2025'!$G:$G,0,0)</f>
        <v>500</v>
      </c>
      <c r="CR223">
        <f>IF(CM223&gt;0,SUM(CM223:CQ223),0)</f>
        <v>39240</v>
      </c>
      <c r="CS223">
        <f>_xlfn.XLOOKUP(B223,'[9]november-2025'!$A:$A,'[9]november-2025'!$H:$H,0,0)</f>
        <v>2000</v>
      </c>
      <c r="CT223">
        <f>_xlfn.XLOOKUP(B223,'[9]november-2025'!$A:$A,'[9]november-2025'!$I:$I,0,0)</f>
        <v>0</v>
      </c>
      <c r="CU223">
        <f>IF($F223="YES",0,IF(CR223&gt;40000,200,IF(CR223&gt;25000,150,IF(CR223&gt;15000,130,IF(CR223&gt;10000,110,0)))))</f>
        <v>150</v>
      </c>
      <c r="CV223">
        <f>CR223-CS223-CT223-CU223</f>
        <v>37090</v>
      </c>
      <c r="CW223">
        <f>_xlfn.XLOOKUP(B223,'[10]december-2025'!$A:$A,'[10]december-2025'!$C:$C,0,0)</f>
        <v>29800</v>
      </c>
      <c r="CX223">
        <f>ROUND(CW223*0.18,0)</f>
        <v>5364</v>
      </c>
      <c r="CY223">
        <f>ROUND(CW223*0.12,0)</f>
        <v>3576</v>
      </c>
      <c r="CZ223">
        <f>_xlfn.XLOOKUP(B223,'[10]december-2025'!$A:$A,'[10]december-2025'!$D:$D,0,0)</f>
        <v>0</v>
      </c>
      <c r="DA223">
        <f>_xlfn.XLOOKUP(B223,'[10]december-2025'!$A:$A,'[10]december-2025'!$G:$G,0,0)</f>
        <v>500</v>
      </c>
      <c r="DB223">
        <f>IF(CW223&gt;0,SUM(CW223:DA223),0)</f>
        <v>39240</v>
      </c>
      <c r="DC223">
        <f>_xlfn.XLOOKUP(B223,'[10]december-2025'!$A:$A,'[10]december-2025'!$H:$H,0,0)</f>
        <v>2000</v>
      </c>
      <c r="DD223">
        <f>_xlfn.XLOOKUP(B223,'[10]december-2025'!$A:$A,'[10]december-2025'!$I:$I,0,0)</f>
        <v>0</v>
      </c>
      <c r="DE223">
        <f>IF($F223="YES",0,IF(DB223&gt;40000,200,IF(DB223&gt;25000,150,IF(DB223&gt;15000,130,IF(DB223&gt;10000,110,0)))))</f>
        <v>150</v>
      </c>
      <c r="DF223">
        <f>DB223-DC223-DD223-DE223</f>
        <v>37090</v>
      </c>
      <c r="DG223">
        <f>_xlfn.XLOOKUP(B223,'[11]january-2026'!$A:$A,'[11]january-2026'!$C:$C,0,0)</f>
        <v>29800</v>
      </c>
      <c r="DH223">
        <f>DG223*0.18</f>
        <v>5364</v>
      </c>
      <c r="DI223">
        <f>DG223*0.12</f>
        <v>3576</v>
      </c>
      <c r="DJ223">
        <f>_xlfn.XLOOKUP(B223,'[11]january-2026'!$A:$A,'[11]january-2026'!$D:$D,0,0)</f>
        <v>0</v>
      </c>
      <c r="DK223">
        <f>_xlfn.XLOOKUP(B223,'[11]january-2026'!$A:$A,'[11]january-2026'!$G:$G,0,0)</f>
        <v>500</v>
      </c>
      <c r="DL223">
        <f>IF(DG223&gt;0,SUM(DG223:DK223),0)</f>
        <v>39240</v>
      </c>
      <c r="DM223">
        <f>_xlfn.XLOOKUP(B223,'[11]january-2026'!$A:$A,'[11]january-2026'!$H:$H,0,0)</f>
        <v>2000</v>
      </c>
      <c r="DN223">
        <f>_xlfn.XLOOKUP(B223,'[11]january-2026'!$A:$A,'[11]january-2026'!$I:$I,0,0)</f>
        <v>0</v>
      </c>
      <c r="DO223">
        <f>IF($F223="YES",0,IF(DL223&gt;40000,200,IF(DL223&gt;25000,150,IF(DL223&gt;15000,130,IF(DL223&gt;10000,110,0)))))</f>
        <v>150</v>
      </c>
      <c r="DP223">
        <f>DL223-DM223-DN223-DO223</f>
        <v>37090</v>
      </c>
      <c r="DQ223">
        <f>_xlfn.XLOOKUP(B223,'[12]february-2026'!$A:$A,'[12]february-2026'!$C:$C,0,0)</f>
        <v>29800</v>
      </c>
      <c r="DR223">
        <f>DQ223*0.18</f>
        <v>5364</v>
      </c>
      <c r="DS223">
        <f>DQ223*0.12</f>
        <v>3576</v>
      </c>
      <c r="DT223">
        <f>_xlfn.XLOOKUP(B223,'[12]february-2026'!$A:$A,'[12]february-2026'!$D:$D,0,0)</f>
        <v>0</v>
      </c>
      <c r="DU223">
        <f>_xlfn.XLOOKUP(B223,'[12]february-2026'!$A:$A,'[12]february-2026'!$G:$G,0,0)</f>
        <v>500</v>
      </c>
      <c r="DV223">
        <f>IF(DQ223&gt;0,SUM(DQ223:DU223),0)</f>
        <v>39240</v>
      </c>
      <c r="DW223">
        <f>_xlfn.XLOOKUP(B223,'[12]february-2026'!$A:$A,'[12]february-2026'!$H:$H,0,0)</f>
        <v>2000</v>
      </c>
      <c r="DX223">
        <f>_xlfn.XLOOKUP(B223,'[12]february-2026'!$A:$A,'[12]february-2026'!$I:$I,0,0)</f>
        <v>0</v>
      </c>
      <c r="DY223">
        <f>IF($F223="YES",0,IF(DV223&gt;40000,200,IF(DV223&gt;25000,150,IF(DV223&gt;15000,130,IF(DV223&gt;10000,110,0)))))</f>
        <v>150</v>
      </c>
      <c r="DZ223">
        <f>DV223-DW223-DX223-DY223</f>
        <v>37090</v>
      </c>
      <c r="EA223">
        <f>DV223+DL223+DB223+CR223+CH223+BX223+BN223+BD223+AS223+AI223+Y223+O223+H223+I223</f>
        <v>471844</v>
      </c>
      <c r="EB223">
        <f>DY223+DO223+DE223+CU223+CK223+CA223+BQ223+BG223+AV223+AL223+AB223+R223</f>
        <v>1800</v>
      </c>
      <c r="EC223">
        <f>IF(EA223&gt;0,50000,0)</f>
        <v>50000</v>
      </c>
      <c r="ED223">
        <v>0</v>
      </c>
      <c r="EE223">
        <f>EA223-EB223-EC223</f>
        <v>420044</v>
      </c>
      <c r="EF223">
        <f>DW223+DM223+DC223+CS223+CI223+BY223+BO223+BE223+AT223+AJ223+Z223+P223</f>
        <v>24000</v>
      </c>
      <c r="EG223">
        <f>DX223+DN223+DD223+CT223+CJ223+BZ223+BP223+BF223+AU223+AK223+AA223+Q223</f>
        <v>0</v>
      </c>
      <c r="EH223">
        <v>0</v>
      </c>
      <c r="EI223">
        <v>0</v>
      </c>
      <c r="EJ223">
        <v>0</v>
      </c>
      <c r="EK223">
        <v>0</v>
      </c>
      <c r="EL223">
        <v>0</v>
      </c>
      <c r="EM223">
        <v>0</v>
      </c>
      <c r="EN223">
        <v>0</v>
      </c>
      <c r="EO223">
        <v>0</v>
      </c>
      <c r="EP223">
        <v>0</v>
      </c>
      <c r="EQ223">
        <v>0</v>
      </c>
      <c r="ER223">
        <f>SUM(EF223:EQ223)</f>
        <v>24000</v>
      </c>
      <c r="ES223">
        <f>IF(ER223&gt;=150000,150000,ER223)</f>
        <v>24000</v>
      </c>
      <c r="ET223">
        <f>EE223-ES223</f>
        <v>396044</v>
      </c>
      <c r="EU223">
        <v>0</v>
      </c>
      <c r="EV223">
        <v>0</v>
      </c>
      <c r="EW223">
        <v>0</v>
      </c>
      <c r="EX223">
        <v>0</v>
      </c>
      <c r="EY223">
        <v>0</v>
      </c>
      <c r="EZ223">
        <v>0</v>
      </c>
      <c r="FA223">
        <v>0</v>
      </c>
      <c r="FB223">
        <f>SUM(EU223:FA223)+(IF(F223="YES",50000,0))</f>
        <v>0</v>
      </c>
      <c r="FC223">
        <f>ET223-FB223</f>
        <v>396044</v>
      </c>
      <c r="FD223">
        <f>ROUND(IF(FC223&gt;0,IF(FC223&gt;500000,12500,(FC223-250000)*0.05),0),0)</f>
        <v>7302</v>
      </c>
      <c r="FE223">
        <f>IF(ROUND(IF(FC223&gt;0,IF(FC223&gt;1000000,25000,(FC223-500000)*0.2),0),0)&lt;0,0,ROUND(IF(FC223&gt;0,IF(FC223&gt;1000000,25000,(FC223-500000)*0.2),0),0))</f>
        <v>0</v>
      </c>
      <c r="FF223">
        <f>FD223+FE223</f>
        <v>7302</v>
      </c>
      <c r="FG223">
        <f>IF(FF223&lt;12500,0,FF223)</f>
        <v>0</v>
      </c>
      <c r="FH223">
        <f>FG223*0.04</f>
        <v>0</v>
      </c>
      <c r="FI223">
        <f>ROUND(FH223+FG223,0)</f>
        <v>0</v>
      </c>
      <c r="FJ223">
        <v>0</v>
      </c>
      <c r="FK223">
        <f>FI223-FJ223</f>
        <v>0</v>
      </c>
      <c r="FL223" t="b">
        <f>IF(EA223&gt;500000,TRUE,FALSE)</f>
        <v>0</v>
      </c>
      <c r="FM223">
        <f ca="1">IF(FL223,RANDBETWEEN(500,1000),RANDBETWEEN(1000,3000))</f>
        <v>2677</v>
      </c>
      <c r="FN223">
        <f ca="1">EA223+FM223</f>
        <v>474521</v>
      </c>
      <c r="FO223">
        <f>IF(EA223&gt;0,75000,0)</f>
        <v>75000</v>
      </c>
      <c r="FP223">
        <f ca="1">FN223-FO223</f>
        <v>399521</v>
      </c>
      <c r="FQ223">
        <f ca="1">IF(FP223&gt;2400000,FP223-2400000,0)</f>
        <v>0</v>
      </c>
      <c r="FR223">
        <f ca="1">FQ223*0.3</f>
        <v>0</v>
      </c>
      <c r="FS223">
        <f ca="1">IF(FP223&gt;2000000,FP223-2000000,0)</f>
        <v>0</v>
      </c>
      <c r="FT223">
        <f ca="1">FS223*0.25</f>
        <v>0</v>
      </c>
      <c r="FU223">
        <f ca="1">IF(FP223&gt;1600000,FP223-1600000-FQ223,0)</f>
        <v>0</v>
      </c>
      <c r="FV223">
        <f ca="1">FU223*0.2</f>
        <v>0</v>
      </c>
      <c r="FW223">
        <f ca="1">IF(FP223&gt;1200000,FP223-1200000-IF(F223="YES",50000,0)-FU223,0)</f>
        <v>0</v>
      </c>
      <c r="FX223">
        <f ca="1">FW223*0.15</f>
        <v>0</v>
      </c>
      <c r="FY223">
        <f ca="1">IF(FP223&gt;800000,FP223-800000-FQ223-FU223-FW223,0)</f>
        <v>0</v>
      </c>
      <c r="FZ223">
        <f ca="1">FY223*0.1</f>
        <v>0</v>
      </c>
      <c r="GA223">
        <f ca="1">IF(FP223&gt;400000,FP223-400000-FQ223-FU223-FW223-FY223,0)</f>
        <v>0</v>
      </c>
      <c r="GB223">
        <f ca="1">GA223*0.05</f>
        <v>0</v>
      </c>
      <c r="GC223">
        <f ca="1">ROUND(FR223+FT223+FV223+FX223+FZ223+GB223,0)</f>
        <v>0</v>
      </c>
      <c r="GD223">
        <f ca="1">IF(FP223&gt;1200000,FP223,0)</f>
        <v>0</v>
      </c>
      <c r="GE223">
        <f ca="1">IF(FP223&gt;1200000,GD223-1200000,0)</f>
        <v>0</v>
      </c>
      <c r="GF223">
        <f ca="1">IF(FP223&lt;1200001,MIN(GC223,60000),0)</f>
        <v>0</v>
      </c>
      <c r="GG223">
        <f ca="1">IF(FP223&gt;1200000,GC223-GE223,0)</f>
        <v>0</v>
      </c>
      <c r="GH223" t="b">
        <f ca="1">IF(GG223&gt;0,TRUE,FALSE)</f>
        <v>0</v>
      </c>
      <c r="GI223">
        <f ca="1">IF(GH223,GG223,0)</f>
        <v>0</v>
      </c>
      <c r="GJ223">
        <f ca="1">GF223+GI223</f>
        <v>0</v>
      </c>
      <c r="GK223">
        <f ca="1">ROUND(GC223-GJ223,0)</f>
        <v>0</v>
      </c>
      <c r="GL223">
        <f ca="1">GK223*0.04</f>
        <v>0</v>
      </c>
      <c r="GM223">
        <f ca="1">ROUNDUP(GK223+GL223,0)</f>
        <v>0</v>
      </c>
    </row>
    <row r="224" spans="1:195" x14ac:dyDescent="0.25">
      <c r="A224">
        <f>_xlfn.AGGREGATE(3,5,$B$2:B224)</f>
        <v>223</v>
      </c>
      <c r="B224" t="s">
        <v>557</v>
      </c>
      <c r="C224" t="s">
        <v>558</v>
      </c>
      <c r="D224" t="s">
        <v>809</v>
      </c>
      <c r="E224" t="s">
        <v>833</v>
      </c>
      <c r="F224" t="s">
        <v>959</v>
      </c>
      <c r="G224" t="s">
        <v>948</v>
      </c>
      <c r="H224">
        <f>IF(_xlfn.DAYS("31-03-2025",G224)&gt;=180,6800,0)</f>
        <v>6800</v>
      </c>
      <c r="I224">
        <f>_xlfn.XLOOKUP(B224,'[1]march-2025'!$A:$A,'[1]march-2025'!$J:$J,0,0)</f>
        <v>0</v>
      </c>
      <c r="J224">
        <f>_xlfn.XLOOKUP(B224,'[1]march-2025'!$A:$A,'[1]march-2025'!$C:$C,0,0)</f>
        <v>35500</v>
      </c>
      <c r="K224">
        <f>J224*0.14</f>
        <v>4970.0000000000009</v>
      </c>
      <c r="L224">
        <f>J224*0.12</f>
        <v>4260</v>
      </c>
      <c r="M224">
        <f>_xlfn.XLOOKUP(B224,'[1]march-2025'!$A:$A,'[1]march-2025'!$D:$D,0,0)</f>
        <v>400</v>
      </c>
      <c r="N224">
        <f>_xlfn.XLOOKUP(B224,'[1]march-2025'!$A:$A,'[1]march-2025'!$G:$G,0,0)</f>
        <v>0</v>
      </c>
      <c r="O224">
        <f>IF(J224&gt;0,SUM(J224:N224),0)</f>
        <v>45130</v>
      </c>
      <c r="P224">
        <f>_xlfn.XLOOKUP(B224,'[1]march-2025'!$A:$A,'[1]march-2025'!$H:$H,0,0)</f>
        <v>5000</v>
      </c>
      <c r="Q224">
        <f>_xlfn.XLOOKUP(B224,'[1]march-2025'!$A:$A,'[1]march-2025'!$I:$I,0,0)</f>
        <v>0</v>
      </c>
      <c r="R224">
        <f>IF($F224="YES",0,IF(O224&gt;40000,200,IF(O224&gt;25000,150,IF(O224&gt;15000,130,IF(O224&gt;10000,110,0)))))</f>
        <v>200</v>
      </c>
      <c r="S224">
        <f>O224-P224-Q224-R224</f>
        <v>39930</v>
      </c>
      <c r="T224">
        <f>_xlfn.XLOOKUP(B224,'[2]april-2025'!$A:$A,'[2]april-2025'!$C:$C,0,0)</f>
        <v>35500</v>
      </c>
      <c r="U224">
        <f>T224*0.18</f>
        <v>6390</v>
      </c>
      <c r="V224">
        <f>T224*0.12</f>
        <v>4260</v>
      </c>
      <c r="W224">
        <f>_xlfn.XLOOKUP(B224,'[2]april-2025'!$A:$A,'[2]april-2025'!$D:$D,0,0)</f>
        <v>400</v>
      </c>
      <c r="X224">
        <f>_xlfn.XLOOKUP(B224,'[2]april-2025'!$A:$A,'[2]april-2025'!$G:$G,0,0)</f>
        <v>0</v>
      </c>
      <c r="Y224">
        <f>IF(T224&gt;0,SUM(T224:X224),0)</f>
        <v>46550</v>
      </c>
      <c r="Z224">
        <f>_xlfn.XLOOKUP(B224,'[2]april-2025'!$A:$A,'[2]april-2025'!$H:$H,0,0)</f>
        <v>5000</v>
      </c>
      <c r="AA224">
        <f>_xlfn.XLOOKUP(B224,'[2]april-2025'!$A:$A,'[2]april-2025'!$I:$I,0,0)</f>
        <v>0</v>
      </c>
      <c r="AB224">
        <f>IF($F224="YES",0,IF(Y224&gt;40000,200,IF(Y224&gt;25000,150,IF(Y224&gt;15000,130,IF(Y224&gt;10000,110,0)))))</f>
        <v>200</v>
      </c>
      <c r="AC224">
        <f>Y224-Z224-AA224-AB224</f>
        <v>41350</v>
      </c>
      <c r="AD224">
        <f>_xlfn.XLOOKUP(B224,'[3]may-2025'!$A:$A,'[3]may-2025'!$C:$C,0,0)</f>
        <v>35500</v>
      </c>
      <c r="AE224">
        <f>AD224*0.18</f>
        <v>6390</v>
      </c>
      <c r="AF224">
        <f>AD224*0.12</f>
        <v>4260</v>
      </c>
      <c r="AG224">
        <f>_xlfn.XLOOKUP(B224,'[3]may-2025'!$A:$A,'[3]may-2025'!$D:$D,0,0)</f>
        <v>400</v>
      </c>
      <c r="AH224">
        <f>_xlfn.XLOOKUP(B224,'[3]may-2025'!$A:$A,'[3]may-2025'!$G:$G,0,0)</f>
        <v>0</v>
      </c>
      <c r="AI224">
        <f>IF(AD224&gt;0,SUM(AD224:AH224),0)</f>
        <v>46550</v>
      </c>
      <c r="AJ224">
        <f>_xlfn.XLOOKUP(B224,'[3]may-2025'!$A:$A,'[3]may-2025'!$H:$H,0,0)</f>
        <v>5000</v>
      </c>
      <c r="AK224">
        <f>_xlfn.XLOOKUP(B224,'[3]may-2025'!$A:$A,'[3]may-2025'!$I:$I,0,0)</f>
        <v>0</v>
      </c>
      <c r="AL224">
        <f>IF($F224="YES",0,IF(AI224&gt;40000,200,IF(AI224&gt;25000,150,IF(AI224&gt;15000,130,IF(AI224&gt;10000,110,0)))))</f>
        <v>200</v>
      </c>
      <c r="AM224">
        <f>AI224-AJ224-AK224-AL224</f>
        <v>41350</v>
      </c>
      <c r="AN224">
        <f>_xlfn.XLOOKUP(B224,'[4]june-2025'!$A:$A,'[4]june-2025'!$C:$C,0,0)</f>
        <v>35500</v>
      </c>
      <c r="AO224">
        <f>AN224*0.18</f>
        <v>6390</v>
      </c>
      <c r="AP224">
        <f>AN224*0.12</f>
        <v>4260</v>
      </c>
      <c r="AQ224">
        <f>_xlfn.XLOOKUP(B224,'[4]june-2025'!$A:$A,'[4]june-2025'!$D:$D,0,0)</f>
        <v>400</v>
      </c>
      <c r="AR224">
        <f>_xlfn.XLOOKUP(B224,'[4]june-2025'!$A:$A,'[4]june-2025'!$G:$G,0,0)</f>
        <v>0</v>
      </c>
      <c r="AS224">
        <f>IF(AN224&gt;0,SUM(AN224:AR224),0)</f>
        <v>46550</v>
      </c>
      <c r="AT224">
        <f>_xlfn.XLOOKUP(B224,'[4]june-2025'!$A:$A,'[4]june-2025'!$H:$H,0,0)</f>
        <v>5000</v>
      </c>
      <c r="AU224">
        <f>_xlfn.XLOOKUP(B224,'[4]june-2025'!$A:$A,'[4]june-2025'!$I:$I,0,0)</f>
        <v>0</v>
      </c>
      <c r="AV224">
        <f>IF($F224="YES",0,IF(AS224&gt;40000,200,IF(AS224&gt;25000,150,IF(AS224&gt;15000,130,IF(AS224&gt;10000,110,0)))))</f>
        <v>200</v>
      </c>
      <c r="AW224">
        <f>AS224-AT224-AU224-AV224</f>
        <v>41350</v>
      </c>
      <c r="AX224">
        <f>_xlfn.XLOOKUP(B224,'[5]july-2025'!$A:$A,'[5]july-2025'!$C:$C,0,0)</f>
        <v>36600</v>
      </c>
      <c r="AY224">
        <f>AX224*0.18</f>
        <v>6588</v>
      </c>
      <c r="AZ224">
        <v>0</v>
      </c>
      <c r="BA224">
        <f>AX224*0.12</f>
        <v>4392</v>
      </c>
      <c r="BB224">
        <f>_xlfn.XLOOKUP(B224,'[5]july-2025'!$A:$A,'[5]july-2025'!$D:$D,0,0)</f>
        <v>400</v>
      </c>
      <c r="BC224">
        <f>_xlfn.XLOOKUP(B224,'[5]july-2025'!$A:$A,'[5]july-2025'!$G:$G,0,0)</f>
        <v>0</v>
      </c>
      <c r="BD224">
        <f>IF(AX224&gt;0,SUM(AX224:BC224),0)</f>
        <v>47980</v>
      </c>
      <c r="BE224">
        <f>_xlfn.XLOOKUP(B224,'[5]july-2025'!$A:$A,'[5]july-2025'!$H:$H,0,0)</f>
        <v>5000</v>
      </c>
      <c r="BF224">
        <f>_xlfn.XLOOKUP(B224,'[5]july-2025'!$A:$A,'[5]july-2025'!$I:$I,0,0)</f>
        <v>0</v>
      </c>
      <c r="BG224">
        <f>IF($F224="YES",0,IF(BD224&gt;40000,200,IF(BD224&gt;25000,150,IF(BD224&gt;15000,130,IF(BD224&gt;10000,110,0)))))</f>
        <v>200</v>
      </c>
      <c r="BH224">
        <f>BD224-BE224-BF224-BG224</f>
        <v>42780</v>
      </c>
      <c r="BI224">
        <f>_xlfn.XLOOKUP(B224,'[6]august-2025'!$A:$A,'[6]august-2025'!$C:$C,0,0)</f>
        <v>36600</v>
      </c>
      <c r="BJ224">
        <f>BI224*0.18</f>
        <v>6588</v>
      </c>
      <c r="BK224">
        <f>BI224*0.12</f>
        <v>4392</v>
      </c>
      <c r="BL224">
        <f>_xlfn.XLOOKUP(B224,'[6]august-2025'!$A:$A,'[6]august-2025'!$D:$D,0,0)</f>
        <v>400</v>
      </c>
      <c r="BM224">
        <f>_xlfn.XLOOKUP(B224,'[6]august-2025'!$A:$A,'[6]august-2025'!$G:$G,0,0)</f>
        <v>0</v>
      </c>
      <c r="BN224">
        <f>IF(BI224&gt;0,SUM(BI224:BM224),0)</f>
        <v>47980</v>
      </c>
      <c r="BO224">
        <f>_xlfn.XLOOKUP(B224,'[6]august-2025'!$A:$A,'[6]august-2025'!$H:$H,0,0)</f>
        <v>5000</v>
      </c>
      <c r="BP224">
        <f>_xlfn.XLOOKUP(B224,'[6]august-2025'!$A:$A,'[6]august-2025'!$I:$I,0,0)</f>
        <v>0</v>
      </c>
      <c r="BQ224">
        <f>IF($F224="YES",0,IF(BN224&gt;40000,200,IF(BN224&gt;25000,150,IF(BN224&gt;15000,130,IF(BN224&gt;10000,110,0)))))</f>
        <v>200</v>
      </c>
      <c r="BR224">
        <f>BN224-BO224-BP224-BQ224</f>
        <v>42780</v>
      </c>
      <c r="BS224">
        <f>_xlfn.XLOOKUP(B224,'[7]september-2025'!$A:$A,'[7]september-2025'!$C:$C,0,0)</f>
        <v>36600</v>
      </c>
      <c r="BT224">
        <f>BS224*0.18</f>
        <v>6588</v>
      </c>
      <c r="BU224">
        <f>BS224*0.12</f>
        <v>4392</v>
      </c>
      <c r="BV224">
        <f>_xlfn.XLOOKUP(B224,'[7]september-2025'!$A:$A,'[7]september-2025'!$D:$D,0,0)</f>
        <v>400</v>
      </c>
      <c r="BW224">
        <f>_xlfn.XLOOKUP(B224,'[7]september-2025'!$A:$A,'[7]september-2025'!$G:$G,0,0)</f>
        <v>0</v>
      </c>
      <c r="BX224">
        <f>IF(BS224&gt;0,SUM(BS224:BW224),0)</f>
        <v>47980</v>
      </c>
      <c r="BY224">
        <f>_xlfn.XLOOKUP(B224,'[7]september-2025'!$A:$A,'[7]september-2025'!$H:$H,0,0)</f>
        <v>5000</v>
      </c>
      <c r="BZ224">
        <f>_xlfn.XLOOKUP(B224,'[7]september-2025'!$A:$A,'[7]september-2025'!$I:$I,0,0)</f>
        <v>0</v>
      </c>
      <c r="CA224">
        <f>IF($F224="YES",0,IF(BX224&gt;40000,200,IF(BX224&gt;25000,150,IF(BX224&gt;15000,130,IF(BX224&gt;10000,110,0)))))</f>
        <v>200</v>
      </c>
      <c r="CB224">
        <f>BX224-BY224-BZ224-CA224</f>
        <v>42780</v>
      </c>
      <c r="CC224">
        <f>_xlfn.XLOOKUP(B224,'[8]october-2025'!$A:$A,'[8]october-2025'!$C:$C,0,0)</f>
        <v>36600</v>
      </c>
      <c r="CD224">
        <f>CC224*0.18</f>
        <v>6588</v>
      </c>
      <c r="CE224">
        <f>CC224*0.12</f>
        <v>4392</v>
      </c>
      <c r="CF224">
        <f>_xlfn.XLOOKUP(B224,'[8]october-2025'!$A:$A,'[8]october-2025'!$D:$D,0,0)</f>
        <v>400</v>
      </c>
      <c r="CG224">
        <f>_xlfn.XLOOKUP(B224,'[8]october-2025'!$A:$A,'[8]october-2025'!$G:$G,0,0)</f>
        <v>0</v>
      </c>
      <c r="CH224">
        <f>IF(CC224&gt;0,SUM(CC224:CG224),0)</f>
        <v>47980</v>
      </c>
      <c r="CI224">
        <f>_xlfn.XLOOKUP(B224,'[8]october-2025'!$A:$A,'[8]october-2025'!$H:$H,0,0)</f>
        <v>5000</v>
      </c>
      <c r="CJ224">
        <f>_xlfn.XLOOKUP(B224,'[8]october-2025'!$A:$A,'[8]october-2025'!$I:$I,0,0)</f>
        <v>0</v>
      </c>
      <c r="CK224">
        <f>IF($F224="YES",0,IF(CH224&gt;40000,200,IF(CH224&gt;25000,150,IF(CH224&gt;15000,130,IF(CH224&gt;10000,110,0)))))</f>
        <v>200</v>
      </c>
      <c r="CL224">
        <f>CH224-CI224-CJ224-CK224</f>
        <v>42780</v>
      </c>
      <c r="CM224">
        <f>_xlfn.XLOOKUP(B224,'[9]november-2025'!$A:$A,'[9]november-2025'!$C:$C,0,0)</f>
        <v>36600</v>
      </c>
      <c r="CN224">
        <f>CM224*0.18</f>
        <v>6588</v>
      </c>
      <c r="CO224">
        <f>CM224*0.12</f>
        <v>4392</v>
      </c>
      <c r="CP224">
        <f>_xlfn.XLOOKUP(B224,'[9]november-2025'!$A:$A,'[9]november-2025'!$D:$D,0,0)</f>
        <v>400</v>
      </c>
      <c r="CQ224">
        <f>_xlfn.XLOOKUP(B224,'[9]november-2025'!$A:$A,'[9]november-2025'!$G:$G,0,0)</f>
        <v>0</v>
      </c>
      <c r="CR224">
        <f>IF(CM224&gt;0,SUM(CM224:CQ224),0)</f>
        <v>47980</v>
      </c>
      <c r="CS224">
        <f>_xlfn.XLOOKUP(B224,'[9]november-2025'!$A:$A,'[9]november-2025'!$H:$H,0,0)</f>
        <v>5000</v>
      </c>
      <c r="CT224">
        <f>_xlfn.XLOOKUP(B224,'[9]november-2025'!$A:$A,'[9]november-2025'!$I:$I,0,0)</f>
        <v>0</v>
      </c>
      <c r="CU224">
        <f>IF($F224="YES",0,IF(CR224&gt;40000,200,IF(CR224&gt;25000,150,IF(CR224&gt;15000,130,IF(CR224&gt;10000,110,0)))))</f>
        <v>200</v>
      </c>
      <c r="CV224">
        <f>CR224-CS224-CT224-CU224</f>
        <v>42780</v>
      </c>
      <c r="CW224">
        <f>_xlfn.XLOOKUP(B224,'[10]december-2025'!$A:$A,'[10]december-2025'!$C:$C,0,0)</f>
        <v>36600</v>
      </c>
      <c r="CX224">
        <f>ROUND(CW224*0.18,0)</f>
        <v>6588</v>
      </c>
      <c r="CY224">
        <f>ROUND(CW224*0.12,0)</f>
        <v>4392</v>
      </c>
      <c r="CZ224">
        <f>_xlfn.XLOOKUP(B224,'[10]december-2025'!$A:$A,'[10]december-2025'!$D:$D,0,0)</f>
        <v>400</v>
      </c>
      <c r="DA224">
        <f>_xlfn.XLOOKUP(B224,'[10]december-2025'!$A:$A,'[10]december-2025'!$G:$G,0,0)</f>
        <v>0</v>
      </c>
      <c r="DB224">
        <f>IF(CW224&gt;0,SUM(CW224:DA224),0)</f>
        <v>47980</v>
      </c>
      <c r="DC224">
        <f>_xlfn.XLOOKUP(B224,'[10]december-2025'!$A:$A,'[10]december-2025'!$H:$H,0,0)</f>
        <v>5000</v>
      </c>
      <c r="DD224">
        <f>_xlfn.XLOOKUP(B224,'[10]december-2025'!$A:$A,'[10]december-2025'!$I:$I,0,0)</f>
        <v>0</v>
      </c>
      <c r="DE224">
        <f>IF($F224="YES",0,IF(DB224&gt;40000,200,IF(DB224&gt;25000,150,IF(DB224&gt;15000,130,IF(DB224&gt;10000,110,0)))))</f>
        <v>200</v>
      </c>
      <c r="DF224">
        <f>DB224-DC224-DD224-DE224</f>
        <v>42780</v>
      </c>
      <c r="DG224">
        <f>_xlfn.XLOOKUP(B224,'[11]january-2026'!$A:$A,'[11]january-2026'!$C:$C,0,0)</f>
        <v>36600</v>
      </c>
      <c r="DH224">
        <f>DG224*0.18</f>
        <v>6588</v>
      </c>
      <c r="DI224">
        <f>DG224*0.12</f>
        <v>4392</v>
      </c>
      <c r="DJ224">
        <f>_xlfn.XLOOKUP(B224,'[11]january-2026'!$A:$A,'[11]january-2026'!$D:$D,0,0)</f>
        <v>400</v>
      </c>
      <c r="DK224">
        <f>_xlfn.XLOOKUP(B224,'[11]january-2026'!$A:$A,'[11]january-2026'!$G:$G,0,0)</f>
        <v>0</v>
      </c>
      <c r="DL224">
        <f>IF(DG224&gt;0,SUM(DG224:DK224),0)</f>
        <v>47980</v>
      </c>
      <c r="DM224">
        <f>_xlfn.XLOOKUP(B224,'[11]january-2026'!$A:$A,'[11]january-2026'!$H:$H,0,0)</f>
        <v>5000</v>
      </c>
      <c r="DN224">
        <f>_xlfn.XLOOKUP(B224,'[11]january-2026'!$A:$A,'[11]january-2026'!$I:$I,0,0)</f>
        <v>0</v>
      </c>
      <c r="DO224">
        <f>IF($F224="YES",0,IF(DL224&gt;40000,200,IF(DL224&gt;25000,150,IF(DL224&gt;15000,130,IF(DL224&gt;10000,110,0)))))</f>
        <v>200</v>
      </c>
      <c r="DP224">
        <f>DL224-DM224-DN224-DO224</f>
        <v>42780</v>
      </c>
      <c r="DQ224">
        <f>_xlfn.XLOOKUP(B224,'[12]february-2026'!$A:$A,'[12]february-2026'!$C:$C,0,0)</f>
        <v>36600</v>
      </c>
      <c r="DR224">
        <f>DQ224*0.18</f>
        <v>6588</v>
      </c>
      <c r="DS224">
        <f>DQ224*0.12</f>
        <v>4392</v>
      </c>
      <c r="DT224">
        <f>_xlfn.XLOOKUP(B224,'[12]february-2026'!$A:$A,'[12]february-2026'!$D:$D,0,0)</f>
        <v>400</v>
      </c>
      <c r="DU224">
        <f>_xlfn.XLOOKUP(B224,'[12]february-2026'!$A:$A,'[12]february-2026'!$G:$G,0,0)</f>
        <v>0</v>
      </c>
      <c r="DV224">
        <f>IF(DQ224&gt;0,SUM(DQ224:DU224),0)</f>
        <v>47980</v>
      </c>
      <c r="DW224">
        <f>_xlfn.XLOOKUP(B224,'[12]february-2026'!$A:$A,'[12]february-2026'!$H:$H,0,0)</f>
        <v>5000</v>
      </c>
      <c r="DX224">
        <f>_xlfn.XLOOKUP(B224,'[12]february-2026'!$A:$A,'[12]february-2026'!$I:$I,0,0)</f>
        <v>0</v>
      </c>
      <c r="DY224">
        <f>IF($F224="YES",0,IF(DV224&gt;40000,200,IF(DV224&gt;25000,150,IF(DV224&gt;15000,130,IF(DV224&gt;10000,110,0)))))</f>
        <v>200</v>
      </c>
      <c r="DZ224">
        <f>DV224-DW224-DX224-DY224</f>
        <v>42780</v>
      </c>
      <c r="EA224">
        <f>DV224+DL224+DB224+CR224+CH224+BX224+BN224+BD224+AS224+AI224+Y224+O224+H224+I224</f>
        <v>575420</v>
      </c>
      <c r="EB224">
        <f>DY224+DO224+DE224+CU224+CK224+CA224+BQ224+BG224+AV224+AL224+AB224+R224</f>
        <v>2400</v>
      </c>
      <c r="EC224">
        <f>IF(EA224&gt;0,50000,0)</f>
        <v>50000</v>
      </c>
      <c r="ED224">
        <v>0</v>
      </c>
      <c r="EE224">
        <f>EA224-EB224-EC224</f>
        <v>523020</v>
      </c>
      <c r="EF224">
        <f>DW224+DM224+DC224+CS224+CI224+BY224+BO224+BE224+AT224+AJ224+Z224+P224</f>
        <v>60000</v>
      </c>
      <c r="EG224">
        <f>DX224+DN224+DD224+CT224+CJ224+BZ224+BP224+BF224+AU224+AK224+AA224+Q224</f>
        <v>0</v>
      </c>
      <c r="EH224">
        <v>0</v>
      </c>
      <c r="EI224">
        <v>0</v>
      </c>
      <c r="EJ224">
        <v>0</v>
      </c>
      <c r="EK224">
        <v>0</v>
      </c>
      <c r="EL224">
        <v>0</v>
      </c>
      <c r="EM224">
        <v>0</v>
      </c>
      <c r="EN224">
        <v>0</v>
      </c>
      <c r="EO224">
        <v>0</v>
      </c>
      <c r="EP224">
        <v>0</v>
      </c>
      <c r="EQ224">
        <v>0</v>
      </c>
      <c r="ER224">
        <f>SUM(EF224:EQ224)</f>
        <v>60000</v>
      </c>
      <c r="ES224">
        <f>IF(ER224&gt;=150000,150000,ER224)</f>
        <v>60000</v>
      </c>
      <c r="ET224">
        <f>EE224-ES224</f>
        <v>463020</v>
      </c>
      <c r="EU224">
        <v>0</v>
      </c>
      <c r="EV224">
        <v>0</v>
      </c>
      <c r="EW224">
        <v>0</v>
      </c>
      <c r="EX224">
        <v>0</v>
      </c>
      <c r="EY224">
        <v>0</v>
      </c>
      <c r="EZ224">
        <v>0</v>
      </c>
      <c r="FA224">
        <v>0</v>
      </c>
      <c r="FB224">
        <f>SUM(EU224:FA224)+(IF(F224="YES",50000,0))</f>
        <v>0</v>
      </c>
      <c r="FC224">
        <f>ET224-FB224</f>
        <v>463020</v>
      </c>
      <c r="FD224">
        <f>ROUND(IF(FC224&gt;0,IF(FC224&gt;500000,12500,(FC224-250000)*0.05),0),0)</f>
        <v>10651</v>
      </c>
      <c r="FE224">
        <f>IF(ROUND(IF(FC224&gt;0,IF(FC224&gt;1000000,25000,(FC224-500000)*0.2),0),0)&lt;0,0,ROUND(IF(FC224&gt;0,IF(FC224&gt;1000000,25000,(FC224-500000)*0.2),0),0))</f>
        <v>0</v>
      </c>
      <c r="FF224">
        <f>FD224+FE224</f>
        <v>10651</v>
      </c>
      <c r="FG224">
        <f>IF(FF224&lt;12500,0,FF224)</f>
        <v>0</v>
      </c>
      <c r="FH224">
        <f>FG224*0.04</f>
        <v>0</v>
      </c>
      <c r="FI224">
        <f>ROUND(FH224+FG224,0)</f>
        <v>0</v>
      </c>
      <c r="FJ224">
        <v>0</v>
      </c>
      <c r="FK224">
        <f>FI224-FJ224</f>
        <v>0</v>
      </c>
      <c r="FL224" t="b">
        <f>IF(EA224&gt;500000,TRUE,FALSE)</f>
        <v>1</v>
      </c>
      <c r="FM224">
        <f ca="1">IF(FL224,RANDBETWEEN(500,1000),RANDBETWEEN(1000,3000))</f>
        <v>717</v>
      </c>
      <c r="FN224">
        <f ca="1">EA224+FM224</f>
        <v>576137</v>
      </c>
      <c r="FO224">
        <f>IF(EA224&gt;0,75000,0)</f>
        <v>75000</v>
      </c>
      <c r="FP224">
        <f ca="1">FN224-FO224</f>
        <v>501137</v>
      </c>
      <c r="FQ224">
        <f ca="1">IF(FP224&gt;2400000,FP224-2400000,0)</f>
        <v>0</v>
      </c>
      <c r="FR224">
        <f ca="1">FQ224*0.3</f>
        <v>0</v>
      </c>
      <c r="FS224">
        <f ca="1">IF(FP224&gt;2000000,FP224-2000000,0)</f>
        <v>0</v>
      </c>
      <c r="FT224">
        <f ca="1">FS224*0.25</f>
        <v>0</v>
      </c>
      <c r="FU224">
        <f ca="1">IF(FP224&gt;1600000,FP224-1600000-FQ224,0)</f>
        <v>0</v>
      </c>
      <c r="FV224">
        <f ca="1">FU224*0.2</f>
        <v>0</v>
      </c>
      <c r="FW224">
        <f ca="1">IF(FP224&gt;1200000,FP224-1200000-IF(F224="YES",50000,0)-FU224,0)</f>
        <v>0</v>
      </c>
      <c r="FX224">
        <f ca="1">FW224*0.15</f>
        <v>0</v>
      </c>
      <c r="FY224">
        <f ca="1">IF(FP224&gt;800000,FP224-800000-FQ224-FU224-FW224,0)</f>
        <v>0</v>
      </c>
      <c r="FZ224">
        <f ca="1">FY224*0.1</f>
        <v>0</v>
      </c>
      <c r="GA224">
        <f ca="1">IF(FP224&gt;400000,FP224-400000-FQ224-FU224-FW224-FY224,0)</f>
        <v>101137</v>
      </c>
      <c r="GB224">
        <f ca="1">GA224*0.05</f>
        <v>5056.8500000000004</v>
      </c>
      <c r="GC224">
        <f ca="1">ROUND(FR224+FT224+FV224+FX224+FZ224+GB224,0)</f>
        <v>5057</v>
      </c>
      <c r="GD224">
        <f ca="1">IF(FP224&gt;1200000,FP224,0)</f>
        <v>0</v>
      </c>
      <c r="GE224">
        <f ca="1">IF(FP224&gt;1200000,GD224-1200000,0)</f>
        <v>0</v>
      </c>
      <c r="GF224">
        <f ca="1">IF(FP224&lt;1200001,MIN(GC224,60000),0)</f>
        <v>5057</v>
      </c>
      <c r="GG224">
        <f ca="1">IF(FP224&gt;1200000,GC224-GE224,0)</f>
        <v>0</v>
      </c>
      <c r="GH224" t="b">
        <f ca="1">IF(GG224&gt;0,TRUE,FALSE)</f>
        <v>0</v>
      </c>
      <c r="GI224">
        <f ca="1">IF(GH224,GG224,0)</f>
        <v>0</v>
      </c>
      <c r="GJ224">
        <f ca="1">GF224+GI224</f>
        <v>5057</v>
      </c>
      <c r="GK224">
        <f ca="1">ROUND(GC224-GJ224,0)</f>
        <v>0</v>
      </c>
      <c r="GL224">
        <f ca="1">GK224*0.04</f>
        <v>0</v>
      </c>
      <c r="GM224">
        <f ca="1">ROUNDUP(GK224+GL224,0)</f>
        <v>0</v>
      </c>
    </row>
    <row r="225" spans="1:195" x14ac:dyDescent="0.25">
      <c r="A225">
        <f>_xlfn.AGGREGATE(3,5,$B$2:B225)</f>
        <v>224</v>
      </c>
      <c r="B225" t="s">
        <v>559</v>
      </c>
      <c r="C225" t="s">
        <v>560</v>
      </c>
      <c r="D225" t="s">
        <v>809</v>
      </c>
      <c r="E225" t="s">
        <v>833</v>
      </c>
      <c r="F225" t="s">
        <v>959</v>
      </c>
      <c r="G225" t="s">
        <v>904</v>
      </c>
      <c r="H225">
        <f>IF(_xlfn.DAYS("31-03-2025",G225)&gt;=180,6800,0)</f>
        <v>6800</v>
      </c>
      <c r="I225">
        <f>_xlfn.XLOOKUP(B225,'[1]march-2025'!$A:$A,'[1]march-2025'!$J:$J,0,0)</f>
        <v>0</v>
      </c>
      <c r="J225">
        <f>_xlfn.XLOOKUP(B225,'[1]march-2025'!$A:$A,'[1]march-2025'!$C:$C,0,0)</f>
        <v>33500</v>
      </c>
      <c r="K225">
        <f>J225*0.14</f>
        <v>4690</v>
      </c>
      <c r="L225">
        <f>J225*0.12</f>
        <v>4020</v>
      </c>
      <c r="M225">
        <f>_xlfn.XLOOKUP(B225,'[1]march-2025'!$A:$A,'[1]march-2025'!$D:$D,0,0)</f>
        <v>0</v>
      </c>
      <c r="N225">
        <f>_xlfn.XLOOKUP(B225,'[1]march-2025'!$A:$A,'[1]march-2025'!$G:$G,0,0)</f>
        <v>500</v>
      </c>
      <c r="O225">
        <f>IF(J225&gt;0,SUM(J225:N225),0)</f>
        <v>42710</v>
      </c>
      <c r="P225">
        <f>_xlfn.XLOOKUP(B225,'[1]march-2025'!$A:$A,'[1]march-2025'!$H:$H,0,0)</f>
        <v>3000</v>
      </c>
      <c r="Q225">
        <f>_xlfn.XLOOKUP(B225,'[1]march-2025'!$A:$A,'[1]march-2025'!$I:$I,0,0)</f>
        <v>0</v>
      </c>
      <c r="R225">
        <f>IF($F225="YES",0,IF(O225&gt;40000,200,IF(O225&gt;25000,150,IF(O225&gt;15000,130,IF(O225&gt;10000,110,0)))))</f>
        <v>200</v>
      </c>
      <c r="S225">
        <f>O225-P225-Q225-R225</f>
        <v>39510</v>
      </c>
      <c r="T225">
        <f>_xlfn.XLOOKUP(B225,'[2]april-2025'!$A:$A,'[2]april-2025'!$C:$C,0,0)</f>
        <v>33500</v>
      </c>
      <c r="U225">
        <f>T225*0.18</f>
        <v>6030</v>
      </c>
      <c r="V225">
        <f>T225*0.12</f>
        <v>4020</v>
      </c>
      <c r="W225">
        <f>_xlfn.XLOOKUP(B225,'[2]april-2025'!$A:$A,'[2]april-2025'!$D:$D,0,0)</f>
        <v>0</v>
      </c>
      <c r="X225">
        <f>_xlfn.XLOOKUP(B225,'[2]april-2025'!$A:$A,'[2]april-2025'!$G:$G,0,0)</f>
        <v>500</v>
      </c>
      <c r="Y225">
        <f>IF(T225&gt;0,SUM(T225:X225),0)</f>
        <v>44050</v>
      </c>
      <c r="Z225">
        <f>_xlfn.XLOOKUP(B225,'[2]april-2025'!$A:$A,'[2]april-2025'!$H:$H,0,0)</f>
        <v>3000</v>
      </c>
      <c r="AA225">
        <f>_xlfn.XLOOKUP(B225,'[2]april-2025'!$A:$A,'[2]april-2025'!$I:$I,0,0)</f>
        <v>0</v>
      </c>
      <c r="AB225">
        <f>IF($F225="YES",0,IF(Y225&gt;40000,200,IF(Y225&gt;25000,150,IF(Y225&gt;15000,130,IF(Y225&gt;10000,110,0)))))</f>
        <v>200</v>
      </c>
      <c r="AC225">
        <f>Y225-Z225-AA225-AB225</f>
        <v>40850</v>
      </c>
      <c r="AD225">
        <f>_xlfn.XLOOKUP(B225,'[3]may-2025'!$A:$A,'[3]may-2025'!$C:$C,0,0)</f>
        <v>33500</v>
      </c>
      <c r="AE225">
        <f>AD225*0.18</f>
        <v>6030</v>
      </c>
      <c r="AF225">
        <f>AD225*0.12</f>
        <v>4020</v>
      </c>
      <c r="AG225">
        <f>_xlfn.XLOOKUP(B225,'[3]may-2025'!$A:$A,'[3]may-2025'!$D:$D,0,0)</f>
        <v>0</v>
      </c>
      <c r="AH225">
        <f>_xlfn.XLOOKUP(B225,'[3]may-2025'!$A:$A,'[3]may-2025'!$G:$G,0,0)</f>
        <v>500</v>
      </c>
      <c r="AI225">
        <f>IF(AD225&gt;0,SUM(AD225:AH225),0)</f>
        <v>44050</v>
      </c>
      <c r="AJ225">
        <f>_xlfn.XLOOKUP(B225,'[3]may-2025'!$A:$A,'[3]may-2025'!$H:$H,0,0)</f>
        <v>3000</v>
      </c>
      <c r="AK225">
        <f>_xlfn.XLOOKUP(B225,'[3]may-2025'!$A:$A,'[3]may-2025'!$I:$I,0,0)</f>
        <v>0</v>
      </c>
      <c r="AL225">
        <f>IF($F225="YES",0,IF(AI225&gt;40000,200,IF(AI225&gt;25000,150,IF(AI225&gt;15000,130,IF(AI225&gt;10000,110,0)))))</f>
        <v>200</v>
      </c>
      <c r="AM225">
        <f>AI225-AJ225-AK225-AL225</f>
        <v>40850</v>
      </c>
      <c r="AN225">
        <f>_xlfn.XLOOKUP(B225,'[4]june-2025'!$A:$A,'[4]june-2025'!$C:$C,0,0)</f>
        <v>33500</v>
      </c>
      <c r="AO225">
        <f>AN225*0.18</f>
        <v>6030</v>
      </c>
      <c r="AP225">
        <f>AN225*0.12</f>
        <v>4020</v>
      </c>
      <c r="AQ225">
        <f>_xlfn.XLOOKUP(B225,'[4]june-2025'!$A:$A,'[4]june-2025'!$D:$D,0,0)</f>
        <v>0</v>
      </c>
      <c r="AR225">
        <f>_xlfn.XLOOKUP(B225,'[4]june-2025'!$A:$A,'[4]june-2025'!$G:$G,0,0)</f>
        <v>500</v>
      </c>
      <c r="AS225">
        <f>IF(AN225&gt;0,SUM(AN225:AR225),0)</f>
        <v>44050</v>
      </c>
      <c r="AT225">
        <f>_xlfn.XLOOKUP(B225,'[4]june-2025'!$A:$A,'[4]june-2025'!$H:$H,0,0)</f>
        <v>3000</v>
      </c>
      <c r="AU225">
        <f>_xlfn.XLOOKUP(B225,'[4]june-2025'!$A:$A,'[4]june-2025'!$I:$I,0,0)</f>
        <v>0</v>
      </c>
      <c r="AV225">
        <f>IF($F225="YES",0,IF(AS225&gt;40000,200,IF(AS225&gt;25000,150,IF(AS225&gt;15000,130,IF(AS225&gt;10000,110,0)))))</f>
        <v>200</v>
      </c>
      <c r="AW225">
        <f>AS225-AT225-AU225-AV225</f>
        <v>40850</v>
      </c>
      <c r="AX225">
        <f>_xlfn.XLOOKUP(B225,'[5]july-2025'!$A:$A,'[5]july-2025'!$C:$C,0,0)</f>
        <v>35500</v>
      </c>
      <c r="AY225">
        <f>AX225*0.18</f>
        <v>6390</v>
      </c>
      <c r="AZ225">
        <v>0</v>
      </c>
      <c r="BA225">
        <f>AX225*0.12</f>
        <v>4260</v>
      </c>
      <c r="BB225">
        <f>_xlfn.XLOOKUP(B225,'[5]july-2025'!$A:$A,'[5]july-2025'!$D:$D,0,0)</f>
        <v>0</v>
      </c>
      <c r="BC225">
        <f>_xlfn.XLOOKUP(B225,'[5]july-2025'!$A:$A,'[5]july-2025'!$G:$G,0,0)</f>
        <v>500</v>
      </c>
      <c r="BD225">
        <f>IF(AX225&gt;0,SUM(AX225:BC225),0)</f>
        <v>46650</v>
      </c>
      <c r="BE225">
        <f>_xlfn.XLOOKUP(B225,'[5]july-2025'!$A:$A,'[5]july-2025'!$H:$H,0,0)</f>
        <v>3000</v>
      </c>
      <c r="BF225">
        <f>_xlfn.XLOOKUP(B225,'[5]july-2025'!$A:$A,'[5]july-2025'!$I:$I,0,0)</f>
        <v>0</v>
      </c>
      <c r="BG225">
        <f>IF($F225="YES",0,IF(BD225&gt;40000,200,IF(BD225&gt;25000,150,IF(BD225&gt;15000,130,IF(BD225&gt;10000,110,0)))))</f>
        <v>200</v>
      </c>
      <c r="BH225">
        <f>BD225-BE225-BF225-BG225</f>
        <v>43450</v>
      </c>
      <c r="BI225">
        <f>_xlfn.XLOOKUP(B225,'[6]august-2025'!$A:$A,'[6]august-2025'!$C:$C,0,0)</f>
        <v>35500</v>
      </c>
      <c r="BJ225">
        <f>BI225*0.18</f>
        <v>6390</v>
      </c>
      <c r="BK225">
        <f>BI225*0.12</f>
        <v>4260</v>
      </c>
      <c r="BL225">
        <f>_xlfn.XLOOKUP(B225,'[6]august-2025'!$A:$A,'[6]august-2025'!$D:$D,0,0)</f>
        <v>0</v>
      </c>
      <c r="BM225">
        <f>_xlfn.XLOOKUP(B225,'[6]august-2025'!$A:$A,'[6]august-2025'!$G:$G,0,0)</f>
        <v>500</v>
      </c>
      <c r="BN225">
        <f>IF(BI225&gt;0,SUM(BI225:BM225),0)</f>
        <v>46650</v>
      </c>
      <c r="BO225">
        <f>_xlfn.XLOOKUP(B225,'[6]august-2025'!$A:$A,'[6]august-2025'!$H:$H,0,0)</f>
        <v>3000</v>
      </c>
      <c r="BP225">
        <f>_xlfn.XLOOKUP(B225,'[6]august-2025'!$A:$A,'[6]august-2025'!$I:$I,0,0)</f>
        <v>0</v>
      </c>
      <c r="BQ225">
        <f>IF($F225="YES",0,IF(BN225&gt;40000,200,IF(BN225&gt;25000,150,IF(BN225&gt;15000,130,IF(BN225&gt;10000,110,0)))))</f>
        <v>200</v>
      </c>
      <c r="BR225">
        <f>BN225-BO225-BP225-BQ225</f>
        <v>43450</v>
      </c>
      <c r="BS225">
        <f>_xlfn.XLOOKUP(B225,'[7]september-2025'!$A:$A,'[7]september-2025'!$C:$C,0,0)</f>
        <v>35500</v>
      </c>
      <c r="BT225">
        <f>BS225*0.18</f>
        <v>6390</v>
      </c>
      <c r="BU225">
        <f>BS225*0.12</f>
        <v>4260</v>
      </c>
      <c r="BV225">
        <f>_xlfn.XLOOKUP(B225,'[7]september-2025'!$A:$A,'[7]september-2025'!$D:$D,0,0)</f>
        <v>0</v>
      </c>
      <c r="BW225">
        <f>_xlfn.XLOOKUP(B225,'[7]september-2025'!$A:$A,'[7]september-2025'!$G:$G,0,0)</f>
        <v>500</v>
      </c>
      <c r="BX225">
        <f>IF(BS225&gt;0,SUM(BS225:BW225),0)</f>
        <v>46650</v>
      </c>
      <c r="BY225">
        <f>_xlfn.XLOOKUP(B225,'[7]september-2025'!$A:$A,'[7]september-2025'!$H:$H,0,0)</f>
        <v>3000</v>
      </c>
      <c r="BZ225">
        <f>_xlfn.XLOOKUP(B225,'[7]september-2025'!$A:$A,'[7]september-2025'!$I:$I,0,0)</f>
        <v>0</v>
      </c>
      <c r="CA225">
        <f>IF($F225="YES",0,IF(BX225&gt;40000,200,IF(BX225&gt;25000,150,IF(BX225&gt;15000,130,IF(BX225&gt;10000,110,0)))))</f>
        <v>200</v>
      </c>
      <c r="CB225">
        <f>BX225-BY225-BZ225-CA225</f>
        <v>43450</v>
      </c>
      <c r="CC225">
        <f>_xlfn.XLOOKUP(B225,'[8]october-2025'!$A:$A,'[8]october-2025'!$C:$C,0,0)</f>
        <v>35500</v>
      </c>
      <c r="CD225">
        <f>CC225*0.18</f>
        <v>6390</v>
      </c>
      <c r="CE225">
        <f>CC225*0.12</f>
        <v>4260</v>
      </c>
      <c r="CF225">
        <f>_xlfn.XLOOKUP(B225,'[8]october-2025'!$A:$A,'[8]october-2025'!$D:$D,0,0)</f>
        <v>0</v>
      </c>
      <c r="CG225">
        <f>_xlfn.XLOOKUP(B225,'[8]october-2025'!$A:$A,'[8]october-2025'!$G:$G,0,0)</f>
        <v>500</v>
      </c>
      <c r="CH225">
        <f>IF(CC225&gt;0,SUM(CC225:CG225),0)</f>
        <v>46650</v>
      </c>
      <c r="CI225">
        <f>_xlfn.XLOOKUP(B225,'[8]october-2025'!$A:$A,'[8]october-2025'!$H:$H,0,0)</f>
        <v>3000</v>
      </c>
      <c r="CJ225">
        <f>_xlfn.XLOOKUP(B225,'[8]october-2025'!$A:$A,'[8]october-2025'!$I:$I,0,0)</f>
        <v>0</v>
      </c>
      <c r="CK225">
        <f>IF($F225="YES",0,IF(CH225&gt;40000,200,IF(CH225&gt;25000,150,IF(CH225&gt;15000,130,IF(CH225&gt;10000,110,0)))))</f>
        <v>200</v>
      </c>
      <c r="CL225">
        <f>CH225-CI225-CJ225-CK225</f>
        <v>43450</v>
      </c>
      <c r="CM225">
        <f>_xlfn.XLOOKUP(B225,'[9]november-2025'!$A:$A,'[9]november-2025'!$C:$C,0,0)</f>
        <v>35500</v>
      </c>
      <c r="CN225">
        <f>CM225*0.18</f>
        <v>6390</v>
      </c>
      <c r="CO225">
        <f>CM225*0.12</f>
        <v>4260</v>
      </c>
      <c r="CP225">
        <f>_xlfn.XLOOKUP(B225,'[9]november-2025'!$A:$A,'[9]november-2025'!$D:$D,0,0)</f>
        <v>0</v>
      </c>
      <c r="CQ225">
        <f>_xlfn.XLOOKUP(B225,'[9]november-2025'!$A:$A,'[9]november-2025'!$G:$G,0,0)</f>
        <v>500</v>
      </c>
      <c r="CR225">
        <f>IF(CM225&gt;0,SUM(CM225:CQ225),0)</f>
        <v>46650</v>
      </c>
      <c r="CS225">
        <f>_xlfn.XLOOKUP(B225,'[9]november-2025'!$A:$A,'[9]november-2025'!$H:$H,0,0)</f>
        <v>3000</v>
      </c>
      <c r="CT225">
        <f>_xlfn.XLOOKUP(B225,'[9]november-2025'!$A:$A,'[9]november-2025'!$I:$I,0,0)</f>
        <v>0</v>
      </c>
      <c r="CU225">
        <f>IF($F225="YES",0,IF(CR225&gt;40000,200,IF(CR225&gt;25000,150,IF(CR225&gt;15000,130,IF(CR225&gt;10000,110,0)))))</f>
        <v>200</v>
      </c>
      <c r="CV225">
        <f>CR225-CS225-CT225-CU225</f>
        <v>43450</v>
      </c>
      <c r="CW225">
        <f>_xlfn.XLOOKUP(B225,'[10]december-2025'!$A:$A,'[10]december-2025'!$C:$C,0,0)</f>
        <v>35500</v>
      </c>
      <c r="CX225">
        <f>ROUND(CW225*0.18,0)</f>
        <v>6390</v>
      </c>
      <c r="CY225">
        <f>ROUND(CW225*0.12,0)</f>
        <v>4260</v>
      </c>
      <c r="CZ225">
        <f>_xlfn.XLOOKUP(B225,'[10]december-2025'!$A:$A,'[10]december-2025'!$D:$D,0,0)</f>
        <v>0</v>
      </c>
      <c r="DA225">
        <f>_xlfn.XLOOKUP(B225,'[10]december-2025'!$A:$A,'[10]december-2025'!$G:$G,0,0)</f>
        <v>500</v>
      </c>
      <c r="DB225">
        <f>IF(CW225&gt;0,SUM(CW225:DA225),0)</f>
        <v>46650</v>
      </c>
      <c r="DC225">
        <f>_xlfn.XLOOKUP(B225,'[10]december-2025'!$A:$A,'[10]december-2025'!$H:$H,0,0)</f>
        <v>3000</v>
      </c>
      <c r="DD225">
        <f>_xlfn.XLOOKUP(B225,'[10]december-2025'!$A:$A,'[10]december-2025'!$I:$I,0,0)</f>
        <v>0</v>
      </c>
      <c r="DE225">
        <f>IF($F225="YES",0,IF(DB225&gt;40000,200,IF(DB225&gt;25000,150,IF(DB225&gt;15000,130,IF(DB225&gt;10000,110,0)))))</f>
        <v>200</v>
      </c>
      <c r="DF225">
        <f>DB225-DC225-DD225-DE225</f>
        <v>43450</v>
      </c>
      <c r="DG225">
        <f>_xlfn.XLOOKUP(B225,'[11]january-2026'!$A:$A,'[11]january-2026'!$C:$C,0,0)</f>
        <v>35500</v>
      </c>
      <c r="DH225">
        <f>DG225*0.18</f>
        <v>6390</v>
      </c>
      <c r="DI225">
        <f>DG225*0.12</f>
        <v>4260</v>
      </c>
      <c r="DJ225">
        <f>_xlfn.XLOOKUP(B225,'[11]january-2026'!$A:$A,'[11]january-2026'!$D:$D,0,0)</f>
        <v>0</v>
      </c>
      <c r="DK225">
        <f>_xlfn.XLOOKUP(B225,'[11]january-2026'!$A:$A,'[11]january-2026'!$G:$G,0,0)</f>
        <v>500</v>
      </c>
      <c r="DL225">
        <f>IF(DG225&gt;0,SUM(DG225:DK225),0)</f>
        <v>46650</v>
      </c>
      <c r="DM225">
        <f>_xlfn.XLOOKUP(B225,'[11]january-2026'!$A:$A,'[11]january-2026'!$H:$H,0,0)</f>
        <v>3000</v>
      </c>
      <c r="DN225">
        <f>_xlfn.XLOOKUP(B225,'[11]january-2026'!$A:$A,'[11]january-2026'!$I:$I,0,0)</f>
        <v>0</v>
      </c>
      <c r="DO225">
        <f>IF($F225="YES",0,IF(DL225&gt;40000,200,IF(DL225&gt;25000,150,IF(DL225&gt;15000,130,IF(DL225&gt;10000,110,0)))))</f>
        <v>200</v>
      </c>
      <c r="DP225">
        <f>DL225-DM225-DN225-DO225</f>
        <v>43450</v>
      </c>
      <c r="DQ225">
        <f>_xlfn.XLOOKUP(B225,'[12]february-2026'!$A:$A,'[12]february-2026'!$C:$C,0,0)</f>
        <v>35500</v>
      </c>
      <c r="DR225">
        <f>DQ225*0.18</f>
        <v>6390</v>
      </c>
      <c r="DS225">
        <f>DQ225*0.12</f>
        <v>4260</v>
      </c>
      <c r="DT225">
        <f>_xlfn.XLOOKUP(B225,'[12]february-2026'!$A:$A,'[12]february-2026'!$D:$D,0,0)</f>
        <v>0</v>
      </c>
      <c r="DU225">
        <f>_xlfn.XLOOKUP(B225,'[12]february-2026'!$A:$A,'[12]february-2026'!$G:$G,0,0)</f>
        <v>500</v>
      </c>
      <c r="DV225">
        <f>IF(DQ225&gt;0,SUM(DQ225:DU225),0)</f>
        <v>46650</v>
      </c>
      <c r="DW225">
        <f>_xlfn.XLOOKUP(B225,'[12]february-2026'!$A:$A,'[12]february-2026'!$H:$H,0,0)</f>
        <v>3000</v>
      </c>
      <c r="DX225">
        <f>_xlfn.XLOOKUP(B225,'[12]february-2026'!$A:$A,'[12]february-2026'!$I:$I,0,0)</f>
        <v>0</v>
      </c>
      <c r="DY225">
        <f>IF($F225="YES",0,IF(DV225&gt;40000,200,IF(DV225&gt;25000,150,IF(DV225&gt;15000,130,IF(DV225&gt;10000,110,0)))))</f>
        <v>200</v>
      </c>
      <c r="DZ225">
        <f>DV225-DW225-DX225-DY225</f>
        <v>43450</v>
      </c>
      <c r="EA225">
        <f>DV225+DL225+DB225+CR225+CH225+BX225+BN225+BD225+AS225+AI225+Y225+O225+H225+I225</f>
        <v>554860</v>
      </c>
      <c r="EB225">
        <f>DY225+DO225+DE225+CU225+CK225+CA225+BQ225+BG225+AV225+AL225+AB225+R225</f>
        <v>2400</v>
      </c>
      <c r="EC225">
        <f>IF(EA225&gt;0,50000,0)</f>
        <v>50000</v>
      </c>
      <c r="ED225">
        <v>0</v>
      </c>
      <c r="EE225">
        <f>EA225-EB225-EC225</f>
        <v>502460</v>
      </c>
      <c r="EF225">
        <f>DW225+DM225+DC225+CS225+CI225+BY225+BO225+BE225+AT225+AJ225+Z225+P225</f>
        <v>36000</v>
      </c>
      <c r="EG225">
        <f>DX225+DN225+DD225+CT225+CJ225+BZ225+BP225+BF225+AU225+AK225+AA225+Q225</f>
        <v>0</v>
      </c>
      <c r="EH225">
        <v>0</v>
      </c>
      <c r="EI225">
        <v>0</v>
      </c>
      <c r="EJ225">
        <v>0</v>
      </c>
      <c r="EK225">
        <v>0</v>
      </c>
      <c r="EL225">
        <v>0</v>
      </c>
      <c r="EM225">
        <v>0</v>
      </c>
      <c r="EN225">
        <v>0</v>
      </c>
      <c r="EO225">
        <v>0</v>
      </c>
      <c r="EP225">
        <v>0</v>
      </c>
      <c r="EQ225">
        <v>0</v>
      </c>
      <c r="ER225">
        <f>SUM(EF225:EQ225)</f>
        <v>36000</v>
      </c>
      <c r="ES225">
        <f>IF(ER225&gt;=150000,150000,ER225)</f>
        <v>36000</v>
      </c>
      <c r="ET225">
        <f>EE225-ES225</f>
        <v>466460</v>
      </c>
      <c r="EU225">
        <v>0</v>
      </c>
      <c r="EV225">
        <v>0</v>
      </c>
      <c r="EW225">
        <v>0</v>
      </c>
      <c r="EX225">
        <v>0</v>
      </c>
      <c r="EY225">
        <v>0</v>
      </c>
      <c r="EZ225">
        <v>0</v>
      </c>
      <c r="FA225">
        <v>0</v>
      </c>
      <c r="FB225">
        <f>SUM(EU225:FA225)+(IF(F225="YES",50000,0))</f>
        <v>0</v>
      </c>
      <c r="FC225">
        <f>ET225-FB225</f>
        <v>466460</v>
      </c>
      <c r="FD225">
        <f>ROUND(IF(FC225&gt;0,IF(FC225&gt;500000,12500,(FC225-250000)*0.05),0),0)</f>
        <v>10823</v>
      </c>
      <c r="FE225">
        <f>IF(ROUND(IF(FC225&gt;0,IF(FC225&gt;1000000,25000,(FC225-500000)*0.2),0),0)&lt;0,0,ROUND(IF(FC225&gt;0,IF(FC225&gt;1000000,25000,(FC225-500000)*0.2),0),0))</f>
        <v>0</v>
      </c>
      <c r="FF225">
        <f>FD225+FE225</f>
        <v>10823</v>
      </c>
      <c r="FG225">
        <f>IF(FF225&lt;12500,0,FF225)</f>
        <v>0</v>
      </c>
      <c r="FH225">
        <f>FG225*0.04</f>
        <v>0</v>
      </c>
      <c r="FI225">
        <f>ROUND(FH225+FG225,0)</f>
        <v>0</v>
      </c>
      <c r="FJ225">
        <v>0</v>
      </c>
      <c r="FK225">
        <f>FI225-FJ225</f>
        <v>0</v>
      </c>
      <c r="FL225" t="b">
        <f>IF(EA225&gt;500000,TRUE,FALSE)</f>
        <v>1</v>
      </c>
      <c r="FM225">
        <f ca="1">IF(FL225,RANDBETWEEN(500,1000),RANDBETWEEN(1000,3000))</f>
        <v>554</v>
      </c>
      <c r="FN225">
        <f ca="1">EA225+FM225</f>
        <v>555414</v>
      </c>
      <c r="FO225">
        <f>IF(EA225&gt;0,75000,0)</f>
        <v>75000</v>
      </c>
      <c r="FP225">
        <f ca="1">FN225-FO225</f>
        <v>480414</v>
      </c>
      <c r="FQ225">
        <f ca="1">IF(FP225&gt;2400000,FP225-2400000,0)</f>
        <v>0</v>
      </c>
      <c r="FR225">
        <f ca="1">FQ225*0.3</f>
        <v>0</v>
      </c>
      <c r="FS225">
        <f ca="1">IF(FP225&gt;2000000,FP225-2000000,0)</f>
        <v>0</v>
      </c>
      <c r="FT225">
        <f ca="1">FS225*0.25</f>
        <v>0</v>
      </c>
      <c r="FU225">
        <f ca="1">IF(FP225&gt;1600000,FP225-1600000-FQ225,0)</f>
        <v>0</v>
      </c>
      <c r="FV225">
        <f ca="1">FU225*0.2</f>
        <v>0</v>
      </c>
      <c r="FW225">
        <f ca="1">IF(FP225&gt;1200000,FP225-1200000-IF(F225="YES",50000,0)-FU225,0)</f>
        <v>0</v>
      </c>
      <c r="FX225">
        <f ca="1">FW225*0.15</f>
        <v>0</v>
      </c>
      <c r="FY225">
        <f ca="1">IF(FP225&gt;800000,FP225-800000-FQ225-FU225-FW225,0)</f>
        <v>0</v>
      </c>
      <c r="FZ225">
        <f ca="1">FY225*0.1</f>
        <v>0</v>
      </c>
      <c r="GA225">
        <f ca="1">IF(FP225&gt;400000,FP225-400000-FQ225-FU225-FW225-FY225,0)</f>
        <v>80414</v>
      </c>
      <c r="GB225">
        <f ca="1">GA225*0.05</f>
        <v>4020.7000000000003</v>
      </c>
      <c r="GC225">
        <f ca="1">ROUND(FR225+FT225+FV225+FX225+FZ225+GB225,0)</f>
        <v>4021</v>
      </c>
      <c r="GD225">
        <f ca="1">IF(FP225&gt;1200000,FP225,0)</f>
        <v>0</v>
      </c>
      <c r="GE225">
        <f ca="1">IF(FP225&gt;1200000,GD225-1200000,0)</f>
        <v>0</v>
      </c>
      <c r="GF225">
        <f ca="1">IF(FP225&lt;1200001,MIN(GC225,60000),0)</f>
        <v>4021</v>
      </c>
      <c r="GG225">
        <f ca="1">IF(FP225&gt;1200000,GC225-GE225,0)</f>
        <v>0</v>
      </c>
      <c r="GH225" t="b">
        <f ca="1">IF(GG225&gt;0,TRUE,FALSE)</f>
        <v>0</v>
      </c>
      <c r="GI225">
        <f ca="1">IF(GH225,GG225,0)</f>
        <v>0</v>
      </c>
      <c r="GJ225">
        <f ca="1">GF225+GI225</f>
        <v>4021</v>
      </c>
      <c r="GK225">
        <f ca="1">ROUND(GC225-GJ225,0)</f>
        <v>0</v>
      </c>
      <c r="GL225">
        <f ca="1">GK225*0.04</f>
        <v>0</v>
      </c>
      <c r="GM225">
        <f ca="1">ROUNDUP(GK225+GL225,0)</f>
        <v>0</v>
      </c>
    </row>
    <row r="226" spans="1:195" x14ac:dyDescent="0.25">
      <c r="A226">
        <f>_xlfn.AGGREGATE(3,5,$B$2:B226)</f>
        <v>225</v>
      </c>
      <c r="B226" t="s">
        <v>561</v>
      </c>
      <c r="C226" t="s">
        <v>562</v>
      </c>
      <c r="D226" t="s">
        <v>809</v>
      </c>
      <c r="E226" t="s">
        <v>833</v>
      </c>
      <c r="F226" t="s">
        <v>959</v>
      </c>
      <c r="G226" t="s">
        <v>949</v>
      </c>
      <c r="H226">
        <f>IF(_xlfn.DAYS("31-03-2025",G226)&gt;=180,6800,0)</f>
        <v>6800</v>
      </c>
      <c r="I226">
        <f>_xlfn.XLOOKUP(B226,'[1]march-2025'!$A:$A,'[1]march-2025'!$J:$J,0,0)</f>
        <v>0</v>
      </c>
      <c r="J226">
        <f>_xlfn.XLOOKUP(B226,'[1]march-2025'!$A:$A,'[1]march-2025'!$C:$C,0,0)</f>
        <v>31600</v>
      </c>
      <c r="K226">
        <f>J226*0.14</f>
        <v>4424</v>
      </c>
      <c r="L226">
        <f>J226*0.12</f>
        <v>3792</v>
      </c>
      <c r="M226">
        <f>_xlfn.XLOOKUP(B226,'[1]march-2025'!$A:$A,'[1]march-2025'!$D:$D,0,0)</f>
        <v>0</v>
      </c>
      <c r="N226">
        <f>_xlfn.XLOOKUP(B226,'[1]march-2025'!$A:$A,'[1]march-2025'!$G:$G,0,0)</f>
        <v>500</v>
      </c>
      <c r="O226">
        <f>IF(J226&gt;0,SUM(J226:N226),0)</f>
        <v>40316</v>
      </c>
      <c r="P226">
        <f>_xlfn.XLOOKUP(B226,'[1]march-2025'!$A:$A,'[1]march-2025'!$H:$H,0,0)</f>
        <v>2000</v>
      </c>
      <c r="Q226">
        <f>_xlfn.XLOOKUP(B226,'[1]march-2025'!$A:$A,'[1]march-2025'!$I:$I,0,0)</f>
        <v>0</v>
      </c>
      <c r="R226">
        <f>IF($F226="YES",0,IF(O226&gt;40000,200,IF(O226&gt;25000,150,IF(O226&gt;15000,130,IF(O226&gt;10000,110,0)))))</f>
        <v>200</v>
      </c>
      <c r="S226">
        <f>O226-P226-Q226-R226</f>
        <v>38116</v>
      </c>
      <c r="T226">
        <f>_xlfn.XLOOKUP(B226,'[2]april-2025'!$A:$A,'[2]april-2025'!$C:$C,0,0)</f>
        <v>31600</v>
      </c>
      <c r="U226">
        <f>T226*0.18</f>
        <v>5688</v>
      </c>
      <c r="V226">
        <f>T226*0.12</f>
        <v>3792</v>
      </c>
      <c r="W226">
        <f>_xlfn.XLOOKUP(B226,'[2]april-2025'!$A:$A,'[2]april-2025'!$D:$D,0,0)</f>
        <v>0</v>
      </c>
      <c r="X226">
        <f>_xlfn.XLOOKUP(B226,'[2]april-2025'!$A:$A,'[2]april-2025'!$G:$G,0,0)</f>
        <v>500</v>
      </c>
      <c r="Y226">
        <f>IF(T226&gt;0,SUM(T226:X226),0)</f>
        <v>41580</v>
      </c>
      <c r="Z226">
        <f>_xlfn.XLOOKUP(B226,'[2]april-2025'!$A:$A,'[2]april-2025'!$H:$H,0,0)</f>
        <v>2000</v>
      </c>
      <c r="AA226">
        <f>_xlfn.XLOOKUP(B226,'[2]april-2025'!$A:$A,'[2]april-2025'!$I:$I,0,0)</f>
        <v>0</v>
      </c>
      <c r="AB226">
        <f>IF($F226="YES",0,IF(Y226&gt;40000,200,IF(Y226&gt;25000,150,IF(Y226&gt;15000,130,IF(Y226&gt;10000,110,0)))))</f>
        <v>200</v>
      </c>
      <c r="AC226">
        <f>Y226-Z226-AA226-AB226</f>
        <v>39380</v>
      </c>
      <c r="AD226">
        <f>_xlfn.XLOOKUP(B226,'[3]may-2025'!$A:$A,'[3]may-2025'!$C:$C,0,0)</f>
        <v>31600</v>
      </c>
      <c r="AE226">
        <f>AD226*0.18</f>
        <v>5688</v>
      </c>
      <c r="AF226">
        <f>AD226*0.12</f>
        <v>3792</v>
      </c>
      <c r="AG226">
        <f>_xlfn.XLOOKUP(B226,'[3]may-2025'!$A:$A,'[3]may-2025'!$D:$D,0,0)</f>
        <v>0</v>
      </c>
      <c r="AH226">
        <f>_xlfn.XLOOKUP(B226,'[3]may-2025'!$A:$A,'[3]may-2025'!$G:$G,0,0)</f>
        <v>500</v>
      </c>
      <c r="AI226">
        <f>IF(AD226&gt;0,SUM(AD226:AH226),0)</f>
        <v>41580</v>
      </c>
      <c r="AJ226">
        <f>_xlfn.XLOOKUP(B226,'[3]may-2025'!$A:$A,'[3]may-2025'!$H:$H,0,0)</f>
        <v>2000</v>
      </c>
      <c r="AK226">
        <f>_xlfn.XLOOKUP(B226,'[3]may-2025'!$A:$A,'[3]may-2025'!$I:$I,0,0)</f>
        <v>0</v>
      </c>
      <c r="AL226">
        <f>IF($F226="YES",0,IF(AI226&gt;40000,200,IF(AI226&gt;25000,150,IF(AI226&gt;15000,130,IF(AI226&gt;10000,110,0)))))</f>
        <v>200</v>
      </c>
      <c r="AM226">
        <f>AI226-AJ226-AK226-AL226</f>
        <v>39380</v>
      </c>
      <c r="AN226">
        <f>_xlfn.XLOOKUP(B226,'[4]june-2025'!$A:$A,'[4]june-2025'!$C:$C,0,0)</f>
        <v>31600</v>
      </c>
      <c r="AO226">
        <f>AN226*0.18</f>
        <v>5688</v>
      </c>
      <c r="AP226">
        <f>AN226*0.12</f>
        <v>3792</v>
      </c>
      <c r="AQ226">
        <f>_xlfn.XLOOKUP(B226,'[4]june-2025'!$A:$A,'[4]june-2025'!$D:$D,0,0)</f>
        <v>0</v>
      </c>
      <c r="AR226">
        <f>_xlfn.XLOOKUP(B226,'[4]june-2025'!$A:$A,'[4]june-2025'!$G:$G,0,0)</f>
        <v>500</v>
      </c>
      <c r="AS226">
        <f>IF(AN226&gt;0,SUM(AN226:AR226),0)</f>
        <v>41580</v>
      </c>
      <c r="AT226">
        <f>_xlfn.XLOOKUP(B226,'[4]june-2025'!$A:$A,'[4]june-2025'!$H:$H,0,0)</f>
        <v>2000</v>
      </c>
      <c r="AU226">
        <f>_xlfn.XLOOKUP(B226,'[4]june-2025'!$A:$A,'[4]june-2025'!$I:$I,0,0)</f>
        <v>0</v>
      </c>
      <c r="AV226">
        <f>IF($F226="YES",0,IF(AS226&gt;40000,200,IF(AS226&gt;25000,150,IF(AS226&gt;15000,130,IF(AS226&gt;10000,110,0)))))</f>
        <v>200</v>
      </c>
      <c r="AW226">
        <f>AS226-AT226-AU226-AV226</f>
        <v>39380</v>
      </c>
      <c r="AX226">
        <f>_xlfn.XLOOKUP(B226,'[5]july-2025'!$A:$A,'[5]july-2025'!$C:$C,0,0)</f>
        <v>32500</v>
      </c>
      <c r="AY226">
        <f>AX226*0.18</f>
        <v>5850</v>
      </c>
      <c r="AZ226">
        <v>0</v>
      </c>
      <c r="BA226">
        <f>AX226*0.12</f>
        <v>3900</v>
      </c>
      <c r="BB226">
        <f>_xlfn.XLOOKUP(B226,'[5]july-2025'!$A:$A,'[5]july-2025'!$D:$D,0,0)</f>
        <v>0</v>
      </c>
      <c r="BC226">
        <f>_xlfn.XLOOKUP(B226,'[5]july-2025'!$A:$A,'[5]july-2025'!$G:$G,0,0)</f>
        <v>500</v>
      </c>
      <c r="BD226">
        <f>IF(AX226&gt;0,SUM(AX226:BC226),0)</f>
        <v>42750</v>
      </c>
      <c r="BE226">
        <f>_xlfn.XLOOKUP(B226,'[5]july-2025'!$A:$A,'[5]july-2025'!$H:$H,0,0)</f>
        <v>2000</v>
      </c>
      <c r="BF226">
        <f>_xlfn.XLOOKUP(B226,'[5]july-2025'!$A:$A,'[5]july-2025'!$I:$I,0,0)</f>
        <v>0</v>
      </c>
      <c r="BG226">
        <f>IF($F226="YES",0,IF(BD226&gt;40000,200,IF(BD226&gt;25000,150,IF(BD226&gt;15000,130,IF(BD226&gt;10000,110,0)))))</f>
        <v>200</v>
      </c>
      <c r="BH226">
        <f>BD226-BE226-BF226-BG226</f>
        <v>40550</v>
      </c>
      <c r="BI226">
        <f>_xlfn.XLOOKUP(B226,'[6]august-2025'!$A:$A,'[6]august-2025'!$C:$C,0,0)</f>
        <v>32500</v>
      </c>
      <c r="BJ226">
        <f>BI226*0.18</f>
        <v>5850</v>
      </c>
      <c r="BK226">
        <f>BI226*0.12</f>
        <v>3900</v>
      </c>
      <c r="BL226">
        <f>_xlfn.XLOOKUP(B226,'[6]august-2025'!$A:$A,'[6]august-2025'!$D:$D,0,0)</f>
        <v>0</v>
      </c>
      <c r="BM226">
        <f>_xlfn.XLOOKUP(B226,'[6]august-2025'!$A:$A,'[6]august-2025'!$G:$G,0,0)</f>
        <v>500</v>
      </c>
      <c r="BN226">
        <f>IF(BI226&gt;0,SUM(BI226:BM226),0)</f>
        <v>42750</v>
      </c>
      <c r="BO226">
        <f>_xlfn.XLOOKUP(B226,'[6]august-2025'!$A:$A,'[6]august-2025'!$H:$H,0,0)</f>
        <v>2000</v>
      </c>
      <c r="BP226">
        <f>_xlfn.XLOOKUP(B226,'[6]august-2025'!$A:$A,'[6]august-2025'!$I:$I,0,0)</f>
        <v>0</v>
      </c>
      <c r="BQ226">
        <f>IF($F226="YES",0,IF(BN226&gt;40000,200,IF(BN226&gt;25000,150,IF(BN226&gt;15000,130,IF(BN226&gt;10000,110,0)))))</f>
        <v>200</v>
      </c>
      <c r="BR226">
        <f>BN226-BO226-BP226-BQ226</f>
        <v>40550</v>
      </c>
      <c r="BS226">
        <f>_xlfn.XLOOKUP(B226,'[7]september-2025'!$A:$A,'[7]september-2025'!$C:$C,0,0)</f>
        <v>32500</v>
      </c>
      <c r="BT226">
        <f>BS226*0.18</f>
        <v>5850</v>
      </c>
      <c r="BU226">
        <f>BS226*0.12</f>
        <v>3900</v>
      </c>
      <c r="BV226">
        <f>_xlfn.XLOOKUP(B226,'[7]september-2025'!$A:$A,'[7]september-2025'!$D:$D,0,0)</f>
        <v>0</v>
      </c>
      <c r="BW226">
        <f>_xlfn.XLOOKUP(B226,'[7]september-2025'!$A:$A,'[7]september-2025'!$G:$G,0,0)</f>
        <v>500</v>
      </c>
      <c r="BX226">
        <f>IF(BS226&gt;0,SUM(BS226:BW226),0)</f>
        <v>42750</v>
      </c>
      <c r="BY226">
        <f>_xlfn.XLOOKUP(B226,'[7]september-2025'!$A:$A,'[7]september-2025'!$H:$H,0,0)</f>
        <v>2000</v>
      </c>
      <c r="BZ226">
        <f>_xlfn.XLOOKUP(B226,'[7]september-2025'!$A:$A,'[7]september-2025'!$I:$I,0,0)</f>
        <v>0</v>
      </c>
      <c r="CA226">
        <f>IF($F226="YES",0,IF(BX226&gt;40000,200,IF(BX226&gt;25000,150,IF(BX226&gt;15000,130,IF(BX226&gt;10000,110,0)))))</f>
        <v>200</v>
      </c>
      <c r="CB226">
        <f>BX226-BY226-BZ226-CA226</f>
        <v>40550</v>
      </c>
      <c r="CC226">
        <f>_xlfn.XLOOKUP(B226,'[8]october-2025'!$A:$A,'[8]october-2025'!$C:$C,0,0)</f>
        <v>32500</v>
      </c>
      <c r="CD226">
        <f>CC226*0.18</f>
        <v>5850</v>
      </c>
      <c r="CE226">
        <f>CC226*0.12</f>
        <v>3900</v>
      </c>
      <c r="CF226">
        <f>_xlfn.XLOOKUP(B226,'[8]october-2025'!$A:$A,'[8]october-2025'!$D:$D,0,0)</f>
        <v>0</v>
      </c>
      <c r="CG226">
        <f>_xlfn.XLOOKUP(B226,'[8]october-2025'!$A:$A,'[8]october-2025'!$G:$G,0,0)</f>
        <v>500</v>
      </c>
      <c r="CH226">
        <f>IF(CC226&gt;0,SUM(CC226:CG226),0)</f>
        <v>42750</v>
      </c>
      <c r="CI226">
        <f>_xlfn.XLOOKUP(B226,'[8]october-2025'!$A:$A,'[8]october-2025'!$H:$H,0,0)</f>
        <v>2000</v>
      </c>
      <c r="CJ226">
        <f>_xlfn.XLOOKUP(B226,'[8]october-2025'!$A:$A,'[8]october-2025'!$I:$I,0,0)</f>
        <v>0</v>
      </c>
      <c r="CK226">
        <f>IF($F226="YES",0,IF(CH226&gt;40000,200,IF(CH226&gt;25000,150,IF(CH226&gt;15000,130,IF(CH226&gt;10000,110,0)))))</f>
        <v>200</v>
      </c>
      <c r="CL226">
        <f>CH226-CI226-CJ226-CK226</f>
        <v>40550</v>
      </c>
      <c r="CM226">
        <f>_xlfn.XLOOKUP(B226,'[9]november-2025'!$A:$A,'[9]november-2025'!$C:$C,0,0)</f>
        <v>32500</v>
      </c>
      <c r="CN226">
        <f>CM226*0.18</f>
        <v>5850</v>
      </c>
      <c r="CO226">
        <f>CM226*0.12</f>
        <v>3900</v>
      </c>
      <c r="CP226">
        <f>_xlfn.XLOOKUP(B226,'[9]november-2025'!$A:$A,'[9]november-2025'!$D:$D,0,0)</f>
        <v>0</v>
      </c>
      <c r="CQ226">
        <f>_xlfn.XLOOKUP(B226,'[9]november-2025'!$A:$A,'[9]november-2025'!$G:$G,0,0)</f>
        <v>500</v>
      </c>
      <c r="CR226">
        <f>IF(CM226&gt;0,SUM(CM226:CQ226),0)</f>
        <v>42750</v>
      </c>
      <c r="CS226">
        <f>_xlfn.XLOOKUP(B226,'[9]november-2025'!$A:$A,'[9]november-2025'!$H:$H,0,0)</f>
        <v>2000</v>
      </c>
      <c r="CT226">
        <f>_xlfn.XLOOKUP(B226,'[9]november-2025'!$A:$A,'[9]november-2025'!$I:$I,0,0)</f>
        <v>0</v>
      </c>
      <c r="CU226">
        <f>IF($F226="YES",0,IF(CR226&gt;40000,200,IF(CR226&gt;25000,150,IF(CR226&gt;15000,130,IF(CR226&gt;10000,110,0)))))</f>
        <v>200</v>
      </c>
      <c r="CV226">
        <f>CR226-CS226-CT226-CU226</f>
        <v>40550</v>
      </c>
      <c r="CW226">
        <f>_xlfn.XLOOKUP(B226,'[10]december-2025'!$A:$A,'[10]december-2025'!$C:$C,0,0)</f>
        <v>32500</v>
      </c>
      <c r="CX226">
        <f>ROUND(CW226*0.18,0)</f>
        <v>5850</v>
      </c>
      <c r="CY226">
        <f>ROUND(CW226*0.12,0)</f>
        <v>3900</v>
      </c>
      <c r="CZ226">
        <f>_xlfn.XLOOKUP(B226,'[10]december-2025'!$A:$A,'[10]december-2025'!$D:$D,0,0)</f>
        <v>0</v>
      </c>
      <c r="DA226">
        <f>_xlfn.XLOOKUP(B226,'[10]december-2025'!$A:$A,'[10]december-2025'!$G:$G,0,0)</f>
        <v>500</v>
      </c>
      <c r="DB226">
        <f>IF(CW226&gt;0,SUM(CW226:DA226),0)</f>
        <v>42750</v>
      </c>
      <c r="DC226">
        <f>_xlfn.XLOOKUP(B226,'[10]december-2025'!$A:$A,'[10]december-2025'!$H:$H,0,0)</f>
        <v>2000</v>
      </c>
      <c r="DD226">
        <f>_xlfn.XLOOKUP(B226,'[10]december-2025'!$A:$A,'[10]december-2025'!$I:$I,0,0)</f>
        <v>0</v>
      </c>
      <c r="DE226">
        <f>IF($F226="YES",0,IF(DB226&gt;40000,200,IF(DB226&gt;25000,150,IF(DB226&gt;15000,130,IF(DB226&gt;10000,110,0)))))</f>
        <v>200</v>
      </c>
      <c r="DF226">
        <f>DB226-DC226-DD226-DE226</f>
        <v>40550</v>
      </c>
      <c r="DG226">
        <f>_xlfn.XLOOKUP(B226,'[11]january-2026'!$A:$A,'[11]january-2026'!$C:$C,0,0)</f>
        <v>32500</v>
      </c>
      <c r="DH226">
        <f>DG226*0.18</f>
        <v>5850</v>
      </c>
      <c r="DI226">
        <f>DG226*0.12</f>
        <v>3900</v>
      </c>
      <c r="DJ226">
        <f>_xlfn.XLOOKUP(B226,'[11]january-2026'!$A:$A,'[11]january-2026'!$D:$D,0,0)</f>
        <v>0</v>
      </c>
      <c r="DK226">
        <f>_xlfn.XLOOKUP(B226,'[11]january-2026'!$A:$A,'[11]january-2026'!$G:$G,0,0)</f>
        <v>500</v>
      </c>
      <c r="DL226">
        <f>IF(DG226&gt;0,SUM(DG226:DK226),0)</f>
        <v>42750</v>
      </c>
      <c r="DM226">
        <f>_xlfn.XLOOKUP(B226,'[11]january-2026'!$A:$A,'[11]january-2026'!$H:$H,0,0)</f>
        <v>2000</v>
      </c>
      <c r="DN226">
        <f>_xlfn.XLOOKUP(B226,'[11]january-2026'!$A:$A,'[11]january-2026'!$I:$I,0,0)</f>
        <v>0</v>
      </c>
      <c r="DO226">
        <f>IF($F226="YES",0,IF(DL226&gt;40000,200,IF(DL226&gt;25000,150,IF(DL226&gt;15000,130,IF(DL226&gt;10000,110,0)))))</f>
        <v>200</v>
      </c>
      <c r="DP226">
        <f>DL226-DM226-DN226-DO226</f>
        <v>40550</v>
      </c>
      <c r="DQ226">
        <f>_xlfn.XLOOKUP(B226,'[12]february-2026'!$A:$A,'[12]february-2026'!$C:$C,0,0)</f>
        <v>32500</v>
      </c>
      <c r="DR226">
        <f>DQ226*0.18</f>
        <v>5850</v>
      </c>
      <c r="DS226">
        <f>DQ226*0.12</f>
        <v>3900</v>
      </c>
      <c r="DT226">
        <f>_xlfn.XLOOKUP(B226,'[12]february-2026'!$A:$A,'[12]february-2026'!$D:$D,0,0)</f>
        <v>0</v>
      </c>
      <c r="DU226">
        <f>_xlfn.XLOOKUP(B226,'[12]february-2026'!$A:$A,'[12]february-2026'!$G:$G,0,0)</f>
        <v>500</v>
      </c>
      <c r="DV226">
        <f>IF(DQ226&gt;0,SUM(DQ226:DU226),0)</f>
        <v>42750</v>
      </c>
      <c r="DW226">
        <f>_xlfn.XLOOKUP(B226,'[12]february-2026'!$A:$A,'[12]february-2026'!$H:$H,0,0)</f>
        <v>2000</v>
      </c>
      <c r="DX226">
        <f>_xlfn.XLOOKUP(B226,'[12]february-2026'!$A:$A,'[12]february-2026'!$I:$I,0,0)</f>
        <v>0</v>
      </c>
      <c r="DY226">
        <f>IF($F226="YES",0,IF(DV226&gt;40000,200,IF(DV226&gt;25000,150,IF(DV226&gt;15000,130,IF(DV226&gt;10000,110,0)))))</f>
        <v>200</v>
      </c>
      <c r="DZ226">
        <f>DV226-DW226-DX226-DY226</f>
        <v>40550</v>
      </c>
      <c r="EA226">
        <f>DV226+DL226+DB226+CR226+CH226+BX226+BN226+BD226+AS226+AI226+Y226+O226+H226+I226</f>
        <v>513856</v>
      </c>
      <c r="EB226">
        <f>DY226+DO226+DE226+CU226+CK226+CA226+BQ226+BG226+AV226+AL226+AB226+R226</f>
        <v>2400</v>
      </c>
      <c r="EC226">
        <f>IF(EA226&gt;0,50000,0)</f>
        <v>50000</v>
      </c>
      <c r="ED226">
        <v>0</v>
      </c>
      <c r="EE226">
        <f>EA226-EB226-EC226</f>
        <v>461456</v>
      </c>
      <c r="EF226">
        <f>DW226+DM226+DC226+CS226+CI226+BY226+BO226+BE226+AT226+AJ226+Z226+P226</f>
        <v>24000</v>
      </c>
      <c r="EG226">
        <f>DX226+DN226+DD226+CT226+CJ226+BZ226+BP226+BF226+AU226+AK226+AA226+Q226</f>
        <v>0</v>
      </c>
      <c r="EH226">
        <v>0</v>
      </c>
      <c r="EI226">
        <v>0</v>
      </c>
      <c r="EJ226">
        <v>0</v>
      </c>
      <c r="EK226">
        <v>0</v>
      </c>
      <c r="EL226">
        <v>0</v>
      </c>
      <c r="EM226">
        <v>0</v>
      </c>
      <c r="EN226">
        <v>0</v>
      </c>
      <c r="EO226">
        <v>0</v>
      </c>
      <c r="EP226">
        <v>0</v>
      </c>
      <c r="EQ226">
        <v>0</v>
      </c>
      <c r="ER226">
        <f>SUM(EF226:EQ226)</f>
        <v>24000</v>
      </c>
      <c r="ES226">
        <f>IF(ER226&gt;=150000,150000,ER226)</f>
        <v>24000</v>
      </c>
      <c r="ET226">
        <f>EE226-ES226</f>
        <v>437456</v>
      </c>
      <c r="EU226">
        <v>0</v>
      </c>
      <c r="EV226">
        <v>0</v>
      </c>
      <c r="EW226">
        <v>0</v>
      </c>
      <c r="EX226">
        <v>0</v>
      </c>
      <c r="EY226">
        <v>0</v>
      </c>
      <c r="EZ226">
        <v>0</v>
      </c>
      <c r="FA226">
        <v>0</v>
      </c>
      <c r="FB226">
        <f>SUM(EU226:FA226)+(IF(F226="YES",50000,0))</f>
        <v>0</v>
      </c>
      <c r="FC226">
        <f>ET226-FB226</f>
        <v>437456</v>
      </c>
      <c r="FD226">
        <f>ROUND(IF(FC226&gt;0,IF(FC226&gt;500000,12500,(FC226-250000)*0.05),0),0)</f>
        <v>9373</v>
      </c>
      <c r="FE226">
        <f>IF(ROUND(IF(FC226&gt;0,IF(FC226&gt;1000000,25000,(FC226-500000)*0.2),0),0)&lt;0,0,ROUND(IF(FC226&gt;0,IF(FC226&gt;1000000,25000,(FC226-500000)*0.2),0),0))</f>
        <v>0</v>
      </c>
      <c r="FF226">
        <f>FD226+FE226</f>
        <v>9373</v>
      </c>
      <c r="FG226">
        <f>IF(FF226&lt;12500,0,FF226)</f>
        <v>0</v>
      </c>
      <c r="FH226">
        <f>FG226*0.04</f>
        <v>0</v>
      </c>
      <c r="FI226">
        <f>ROUND(FH226+FG226,0)</f>
        <v>0</v>
      </c>
      <c r="FJ226">
        <v>0</v>
      </c>
      <c r="FK226">
        <f>FI226-FJ226</f>
        <v>0</v>
      </c>
      <c r="FL226" t="b">
        <f>IF(EA226&gt;500000,TRUE,FALSE)</f>
        <v>1</v>
      </c>
      <c r="FM226">
        <f ca="1">IF(FL226,RANDBETWEEN(500,1000),RANDBETWEEN(1000,3000))</f>
        <v>761</v>
      </c>
      <c r="FN226">
        <f ca="1">EA226+FM226</f>
        <v>514617</v>
      </c>
      <c r="FO226">
        <f>IF(EA226&gt;0,75000,0)</f>
        <v>75000</v>
      </c>
      <c r="FP226">
        <f ca="1">FN226-FO226</f>
        <v>439617</v>
      </c>
      <c r="FQ226">
        <f ca="1">IF(FP226&gt;2400000,FP226-2400000,0)</f>
        <v>0</v>
      </c>
      <c r="FR226">
        <f ca="1">FQ226*0.3</f>
        <v>0</v>
      </c>
      <c r="FS226">
        <f ca="1">IF(FP226&gt;2000000,FP226-2000000,0)</f>
        <v>0</v>
      </c>
      <c r="FT226">
        <f ca="1">FS226*0.25</f>
        <v>0</v>
      </c>
      <c r="FU226">
        <f ca="1">IF(FP226&gt;1600000,FP226-1600000-FQ226,0)</f>
        <v>0</v>
      </c>
      <c r="FV226">
        <f ca="1">FU226*0.2</f>
        <v>0</v>
      </c>
      <c r="FW226">
        <f ca="1">IF(FP226&gt;1200000,FP226-1200000-IF(F226="YES",50000,0)-FU226,0)</f>
        <v>0</v>
      </c>
      <c r="FX226">
        <f ca="1">FW226*0.15</f>
        <v>0</v>
      </c>
      <c r="FY226">
        <f ca="1">IF(FP226&gt;800000,FP226-800000-FQ226-FU226-FW226,0)</f>
        <v>0</v>
      </c>
      <c r="FZ226">
        <f ca="1">FY226*0.1</f>
        <v>0</v>
      </c>
      <c r="GA226">
        <f ca="1">IF(FP226&gt;400000,FP226-400000-FQ226-FU226-FW226-FY226,0)</f>
        <v>39617</v>
      </c>
      <c r="GB226">
        <f ca="1">GA226*0.05</f>
        <v>1980.8500000000001</v>
      </c>
      <c r="GC226">
        <f ca="1">ROUND(FR226+FT226+FV226+FX226+FZ226+GB226,0)</f>
        <v>1981</v>
      </c>
      <c r="GD226">
        <f ca="1">IF(FP226&gt;1200000,FP226,0)</f>
        <v>0</v>
      </c>
      <c r="GE226">
        <f ca="1">IF(FP226&gt;1200000,GD226-1200000,0)</f>
        <v>0</v>
      </c>
      <c r="GF226">
        <f ca="1">IF(FP226&lt;1200001,MIN(GC226,60000),0)</f>
        <v>1981</v>
      </c>
      <c r="GG226">
        <f ca="1">IF(FP226&gt;1200000,GC226-GE226,0)</f>
        <v>0</v>
      </c>
      <c r="GH226" t="b">
        <f ca="1">IF(GG226&gt;0,TRUE,FALSE)</f>
        <v>0</v>
      </c>
      <c r="GI226">
        <f ca="1">IF(GH226,GG226,0)</f>
        <v>0</v>
      </c>
      <c r="GJ226">
        <f ca="1">GF226+GI226</f>
        <v>1981</v>
      </c>
      <c r="GK226">
        <f ca="1">ROUND(GC226-GJ226,0)</f>
        <v>0</v>
      </c>
      <c r="GL226">
        <f ca="1">GK226*0.04</f>
        <v>0</v>
      </c>
      <c r="GM226">
        <f ca="1">ROUNDUP(GK226+GL226,0)</f>
        <v>0</v>
      </c>
    </row>
    <row r="227" spans="1:195" x14ac:dyDescent="0.25">
      <c r="A227">
        <f>_xlfn.AGGREGATE(3,5,$B$2:B227)</f>
        <v>226</v>
      </c>
      <c r="B227" t="s">
        <v>563</v>
      </c>
      <c r="C227" t="s">
        <v>564</v>
      </c>
      <c r="D227" t="s">
        <v>810</v>
      </c>
      <c r="E227" t="s">
        <v>833</v>
      </c>
      <c r="F227" t="s">
        <v>959</v>
      </c>
      <c r="G227" t="s">
        <v>895</v>
      </c>
      <c r="H227">
        <f>IF(_xlfn.DAYS("31-03-2025",G227)&gt;=180,6800,0)</f>
        <v>6800</v>
      </c>
      <c r="I227">
        <f>_xlfn.XLOOKUP(B227,'[1]march-2025'!$A:$A,'[1]march-2025'!$J:$J,0,0)</f>
        <v>0</v>
      </c>
      <c r="J227">
        <f>_xlfn.XLOOKUP(B227,'[1]march-2025'!$A:$A,'[1]march-2025'!$C:$C,0,0)</f>
        <v>34500</v>
      </c>
      <c r="K227">
        <f>J227*0.14</f>
        <v>4830.0000000000009</v>
      </c>
      <c r="L227">
        <f>J227*0.12</f>
        <v>4140</v>
      </c>
      <c r="M227">
        <f>_xlfn.XLOOKUP(B227,'[1]march-2025'!$A:$A,'[1]march-2025'!$D:$D,0,0)</f>
        <v>400</v>
      </c>
      <c r="N227">
        <f>_xlfn.XLOOKUP(B227,'[1]march-2025'!$A:$A,'[1]march-2025'!$G:$G,0,0)</f>
        <v>500</v>
      </c>
      <c r="O227">
        <f>IF(J227&gt;0,SUM(J227:N227),0)</f>
        <v>44370</v>
      </c>
      <c r="P227">
        <f>_xlfn.XLOOKUP(B227,'[1]march-2025'!$A:$A,'[1]march-2025'!$H:$H,0,0)</f>
        <v>3000</v>
      </c>
      <c r="Q227">
        <f>_xlfn.XLOOKUP(B227,'[1]march-2025'!$A:$A,'[1]march-2025'!$I:$I,0,0)</f>
        <v>0</v>
      </c>
      <c r="R227">
        <f>IF($F227="YES",0,IF(O227&gt;40000,200,IF(O227&gt;25000,150,IF(O227&gt;15000,130,IF(O227&gt;10000,110,0)))))</f>
        <v>200</v>
      </c>
      <c r="S227">
        <f>O227-P227-Q227-R227</f>
        <v>41170</v>
      </c>
      <c r="T227">
        <f>_xlfn.XLOOKUP(B227,'[2]april-2025'!$A:$A,'[2]april-2025'!$C:$C,0,0)</f>
        <v>34500</v>
      </c>
      <c r="U227">
        <f>T227*0.18</f>
        <v>6210</v>
      </c>
      <c r="V227">
        <f>T227*0.12</f>
        <v>4140</v>
      </c>
      <c r="W227">
        <f>_xlfn.XLOOKUP(B227,'[2]april-2025'!$A:$A,'[2]april-2025'!$D:$D,0,0)</f>
        <v>400</v>
      </c>
      <c r="X227">
        <f>_xlfn.XLOOKUP(B227,'[2]april-2025'!$A:$A,'[2]april-2025'!$G:$G,0,0)</f>
        <v>500</v>
      </c>
      <c r="Y227">
        <f>IF(T227&gt;0,SUM(T227:X227),0)</f>
        <v>45750</v>
      </c>
      <c r="Z227">
        <f>_xlfn.XLOOKUP(B227,'[2]april-2025'!$A:$A,'[2]april-2025'!$H:$H,0,0)</f>
        <v>3000</v>
      </c>
      <c r="AA227">
        <f>_xlfn.XLOOKUP(B227,'[2]april-2025'!$A:$A,'[2]april-2025'!$I:$I,0,0)</f>
        <v>0</v>
      </c>
      <c r="AB227">
        <f>IF($F227="YES",0,IF(Y227&gt;40000,200,IF(Y227&gt;25000,150,IF(Y227&gt;15000,130,IF(Y227&gt;10000,110,0)))))</f>
        <v>200</v>
      </c>
      <c r="AC227">
        <f>Y227-Z227-AA227-AB227</f>
        <v>42550</v>
      </c>
      <c r="AD227">
        <f>_xlfn.XLOOKUP(B227,'[3]may-2025'!$A:$A,'[3]may-2025'!$C:$C,0,0)</f>
        <v>34500</v>
      </c>
      <c r="AE227">
        <f>AD227*0.18</f>
        <v>6210</v>
      </c>
      <c r="AF227">
        <f>AD227*0.12</f>
        <v>4140</v>
      </c>
      <c r="AG227">
        <f>_xlfn.XLOOKUP(B227,'[3]may-2025'!$A:$A,'[3]may-2025'!$D:$D,0,0)</f>
        <v>400</v>
      </c>
      <c r="AH227">
        <f>_xlfn.XLOOKUP(B227,'[3]may-2025'!$A:$A,'[3]may-2025'!$G:$G,0,0)</f>
        <v>500</v>
      </c>
      <c r="AI227">
        <f>IF(AD227&gt;0,SUM(AD227:AH227),0)</f>
        <v>45750</v>
      </c>
      <c r="AJ227">
        <f>_xlfn.XLOOKUP(B227,'[3]may-2025'!$A:$A,'[3]may-2025'!$H:$H,0,0)</f>
        <v>3000</v>
      </c>
      <c r="AK227">
        <f>_xlfn.XLOOKUP(B227,'[3]may-2025'!$A:$A,'[3]may-2025'!$I:$I,0,0)</f>
        <v>0</v>
      </c>
      <c r="AL227">
        <f>IF($F227="YES",0,IF(AI227&gt;40000,200,IF(AI227&gt;25000,150,IF(AI227&gt;15000,130,IF(AI227&gt;10000,110,0)))))</f>
        <v>200</v>
      </c>
      <c r="AM227">
        <f>AI227-AJ227-AK227-AL227</f>
        <v>42550</v>
      </c>
      <c r="AN227">
        <f>_xlfn.XLOOKUP(B227,'[4]june-2025'!$A:$A,'[4]june-2025'!$C:$C,0,0)</f>
        <v>34500</v>
      </c>
      <c r="AO227">
        <f>AN227*0.18</f>
        <v>6210</v>
      </c>
      <c r="AP227">
        <f>AN227*0.12</f>
        <v>4140</v>
      </c>
      <c r="AQ227">
        <f>_xlfn.XLOOKUP(B227,'[4]june-2025'!$A:$A,'[4]june-2025'!$D:$D,0,0)</f>
        <v>400</v>
      </c>
      <c r="AR227">
        <f>_xlfn.XLOOKUP(B227,'[4]june-2025'!$A:$A,'[4]june-2025'!$G:$G,0,0)</f>
        <v>500</v>
      </c>
      <c r="AS227">
        <f>IF(AN227&gt;0,SUM(AN227:AR227),0)</f>
        <v>45750</v>
      </c>
      <c r="AT227">
        <f>_xlfn.XLOOKUP(B227,'[4]june-2025'!$A:$A,'[4]june-2025'!$H:$H,0,0)</f>
        <v>3000</v>
      </c>
      <c r="AU227">
        <f>_xlfn.XLOOKUP(B227,'[4]june-2025'!$A:$A,'[4]june-2025'!$I:$I,0,0)</f>
        <v>0</v>
      </c>
      <c r="AV227">
        <f>IF($F227="YES",0,IF(AS227&gt;40000,200,IF(AS227&gt;25000,150,IF(AS227&gt;15000,130,IF(AS227&gt;10000,110,0)))))</f>
        <v>200</v>
      </c>
      <c r="AW227">
        <f>AS227-AT227-AU227-AV227</f>
        <v>42550</v>
      </c>
      <c r="AX227">
        <f>_xlfn.XLOOKUP(B227,'[5]july-2025'!$A:$A,'[5]july-2025'!$C:$C,0,0)</f>
        <v>35500</v>
      </c>
      <c r="AY227">
        <f>AX227*0.18</f>
        <v>6390</v>
      </c>
      <c r="AZ227">
        <v>0</v>
      </c>
      <c r="BA227">
        <f>AX227*0.12</f>
        <v>4260</v>
      </c>
      <c r="BB227">
        <f>_xlfn.XLOOKUP(B227,'[5]july-2025'!$A:$A,'[5]july-2025'!$D:$D,0,0)</f>
        <v>400</v>
      </c>
      <c r="BC227">
        <f>_xlfn.XLOOKUP(B227,'[5]july-2025'!$A:$A,'[5]july-2025'!$G:$G,0,0)</f>
        <v>500</v>
      </c>
      <c r="BD227">
        <f>IF(AX227&gt;0,SUM(AX227:BC227),0)</f>
        <v>47050</v>
      </c>
      <c r="BE227">
        <f>_xlfn.XLOOKUP(B227,'[5]july-2025'!$A:$A,'[5]july-2025'!$H:$H,0,0)</f>
        <v>3000</v>
      </c>
      <c r="BF227">
        <f>_xlfn.XLOOKUP(B227,'[5]july-2025'!$A:$A,'[5]july-2025'!$I:$I,0,0)</f>
        <v>0</v>
      </c>
      <c r="BG227">
        <f>IF($F227="YES",0,IF(BD227&gt;40000,200,IF(BD227&gt;25000,150,IF(BD227&gt;15000,130,IF(BD227&gt;10000,110,0)))))</f>
        <v>200</v>
      </c>
      <c r="BH227">
        <f>BD227-BE227-BF227-BG227</f>
        <v>43850</v>
      </c>
      <c r="BI227">
        <f>_xlfn.XLOOKUP(B227,'[6]august-2025'!$A:$A,'[6]august-2025'!$C:$C,0,0)</f>
        <v>35500</v>
      </c>
      <c r="BJ227">
        <f>BI227*0.18</f>
        <v>6390</v>
      </c>
      <c r="BK227">
        <f>BI227*0.12</f>
        <v>4260</v>
      </c>
      <c r="BL227">
        <f>_xlfn.XLOOKUP(B227,'[6]august-2025'!$A:$A,'[6]august-2025'!$D:$D,0,0)</f>
        <v>400</v>
      </c>
      <c r="BM227">
        <f>_xlfn.XLOOKUP(B227,'[6]august-2025'!$A:$A,'[6]august-2025'!$G:$G,0,0)</f>
        <v>500</v>
      </c>
      <c r="BN227">
        <f>IF(BI227&gt;0,SUM(BI227:BM227),0)</f>
        <v>47050</v>
      </c>
      <c r="BO227">
        <f>_xlfn.XLOOKUP(B227,'[6]august-2025'!$A:$A,'[6]august-2025'!$H:$H,0,0)</f>
        <v>3000</v>
      </c>
      <c r="BP227">
        <f>_xlfn.XLOOKUP(B227,'[6]august-2025'!$A:$A,'[6]august-2025'!$I:$I,0,0)</f>
        <v>0</v>
      </c>
      <c r="BQ227">
        <f>IF($F227="YES",0,IF(BN227&gt;40000,200,IF(BN227&gt;25000,150,IF(BN227&gt;15000,130,IF(BN227&gt;10000,110,0)))))</f>
        <v>200</v>
      </c>
      <c r="BR227">
        <f>BN227-BO227-BP227-BQ227</f>
        <v>43850</v>
      </c>
      <c r="BS227">
        <f>_xlfn.XLOOKUP(B227,'[7]september-2025'!$A:$A,'[7]september-2025'!$C:$C,0,0)</f>
        <v>35500</v>
      </c>
      <c r="BT227">
        <f>BS227*0.18</f>
        <v>6390</v>
      </c>
      <c r="BU227">
        <f>BS227*0.12</f>
        <v>4260</v>
      </c>
      <c r="BV227">
        <f>_xlfn.XLOOKUP(B227,'[7]september-2025'!$A:$A,'[7]september-2025'!$D:$D,0,0)</f>
        <v>400</v>
      </c>
      <c r="BW227">
        <f>_xlfn.XLOOKUP(B227,'[7]september-2025'!$A:$A,'[7]september-2025'!$G:$G,0,0)</f>
        <v>500</v>
      </c>
      <c r="BX227">
        <f>IF(BS227&gt;0,SUM(BS227:BW227),0)</f>
        <v>47050</v>
      </c>
      <c r="BY227">
        <f>_xlfn.XLOOKUP(B227,'[7]september-2025'!$A:$A,'[7]september-2025'!$H:$H,0,0)</f>
        <v>3000</v>
      </c>
      <c r="BZ227">
        <f>_xlfn.XLOOKUP(B227,'[7]september-2025'!$A:$A,'[7]september-2025'!$I:$I,0,0)</f>
        <v>0</v>
      </c>
      <c r="CA227">
        <f>IF($F227="YES",0,IF(BX227&gt;40000,200,IF(BX227&gt;25000,150,IF(BX227&gt;15000,130,IF(BX227&gt;10000,110,0)))))</f>
        <v>200</v>
      </c>
      <c r="CB227">
        <f>BX227-BY227-BZ227-CA227</f>
        <v>43850</v>
      </c>
      <c r="CC227">
        <f>_xlfn.XLOOKUP(B227,'[8]october-2025'!$A:$A,'[8]october-2025'!$C:$C,0,0)</f>
        <v>35500</v>
      </c>
      <c r="CD227">
        <f>CC227*0.18</f>
        <v>6390</v>
      </c>
      <c r="CE227">
        <f>CC227*0.12</f>
        <v>4260</v>
      </c>
      <c r="CF227">
        <f>_xlfn.XLOOKUP(B227,'[8]october-2025'!$A:$A,'[8]october-2025'!$D:$D,0,0)</f>
        <v>400</v>
      </c>
      <c r="CG227">
        <f>_xlfn.XLOOKUP(B227,'[8]october-2025'!$A:$A,'[8]october-2025'!$G:$G,0,0)</f>
        <v>500</v>
      </c>
      <c r="CH227">
        <f>IF(CC227&gt;0,SUM(CC227:CG227),0)</f>
        <v>47050</v>
      </c>
      <c r="CI227">
        <f>_xlfn.XLOOKUP(B227,'[8]october-2025'!$A:$A,'[8]october-2025'!$H:$H,0,0)</f>
        <v>3000</v>
      </c>
      <c r="CJ227">
        <f>_xlfn.XLOOKUP(B227,'[8]october-2025'!$A:$A,'[8]october-2025'!$I:$I,0,0)</f>
        <v>0</v>
      </c>
      <c r="CK227">
        <f>IF($F227="YES",0,IF(CH227&gt;40000,200,IF(CH227&gt;25000,150,IF(CH227&gt;15000,130,IF(CH227&gt;10000,110,0)))))</f>
        <v>200</v>
      </c>
      <c r="CL227">
        <f>CH227-CI227-CJ227-CK227</f>
        <v>43850</v>
      </c>
      <c r="CM227">
        <f>_xlfn.XLOOKUP(B227,'[9]november-2025'!$A:$A,'[9]november-2025'!$C:$C,0,0)</f>
        <v>35500</v>
      </c>
      <c r="CN227">
        <f>CM227*0.18</f>
        <v>6390</v>
      </c>
      <c r="CO227">
        <f>CM227*0.12</f>
        <v>4260</v>
      </c>
      <c r="CP227">
        <f>_xlfn.XLOOKUP(B227,'[9]november-2025'!$A:$A,'[9]november-2025'!$D:$D,0,0)</f>
        <v>400</v>
      </c>
      <c r="CQ227">
        <f>_xlfn.XLOOKUP(B227,'[9]november-2025'!$A:$A,'[9]november-2025'!$G:$G,0,0)</f>
        <v>500</v>
      </c>
      <c r="CR227">
        <f>IF(CM227&gt;0,SUM(CM227:CQ227),0)</f>
        <v>47050</v>
      </c>
      <c r="CS227">
        <f>_xlfn.XLOOKUP(B227,'[9]november-2025'!$A:$A,'[9]november-2025'!$H:$H,0,0)</f>
        <v>3000</v>
      </c>
      <c r="CT227">
        <f>_xlfn.XLOOKUP(B227,'[9]november-2025'!$A:$A,'[9]november-2025'!$I:$I,0,0)</f>
        <v>0</v>
      </c>
      <c r="CU227">
        <f>IF($F227="YES",0,IF(CR227&gt;40000,200,IF(CR227&gt;25000,150,IF(CR227&gt;15000,130,IF(CR227&gt;10000,110,0)))))</f>
        <v>200</v>
      </c>
      <c r="CV227">
        <f>CR227-CS227-CT227-CU227</f>
        <v>43850</v>
      </c>
      <c r="CW227">
        <f>_xlfn.XLOOKUP(B227,'[10]december-2025'!$A:$A,'[10]december-2025'!$C:$C,0,0)</f>
        <v>35500</v>
      </c>
      <c r="CX227">
        <f>ROUND(CW227*0.18,0)</f>
        <v>6390</v>
      </c>
      <c r="CY227">
        <f>ROUND(CW227*0.12,0)</f>
        <v>4260</v>
      </c>
      <c r="CZ227">
        <f>_xlfn.XLOOKUP(B227,'[10]december-2025'!$A:$A,'[10]december-2025'!$D:$D,0,0)</f>
        <v>400</v>
      </c>
      <c r="DA227">
        <f>_xlfn.XLOOKUP(B227,'[10]december-2025'!$A:$A,'[10]december-2025'!$G:$G,0,0)</f>
        <v>500</v>
      </c>
      <c r="DB227">
        <f>IF(CW227&gt;0,SUM(CW227:DA227),0)</f>
        <v>47050</v>
      </c>
      <c r="DC227">
        <f>_xlfn.XLOOKUP(B227,'[10]december-2025'!$A:$A,'[10]december-2025'!$H:$H,0,0)</f>
        <v>3000</v>
      </c>
      <c r="DD227">
        <f>_xlfn.XLOOKUP(B227,'[10]december-2025'!$A:$A,'[10]december-2025'!$I:$I,0,0)</f>
        <v>0</v>
      </c>
      <c r="DE227">
        <f>IF($F227="YES",0,IF(DB227&gt;40000,200,IF(DB227&gt;25000,150,IF(DB227&gt;15000,130,IF(DB227&gt;10000,110,0)))))</f>
        <v>200</v>
      </c>
      <c r="DF227">
        <f>DB227-DC227-DD227-DE227</f>
        <v>43850</v>
      </c>
      <c r="DG227">
        <f>_xlfn.XLOOKUP(B227,'[11]january-2026'!$A:$A,'[11]january-2026'!$C:$C,0,0)</f>
        <v>35500</v>
      </c>
      <c r="DH227">
        <f>DG227*0.18</f>
        <v>6390</v>
      </c>
      <c r="DI227">
        <f>DG227*0.12</f>
        <v>4260</v>
      </c>
      <c r="DJ227">
        <f>_xlfn.XLOOKUP(B227,'[11]january-2026'!$A:$A,'[11]january-2026'!$D:$D,0,0)</f>
        <v>400</v>
      </c>
      <c r="DK227">
        <f>_xlfn.XLOOKUP(B227,'[11]january-2026'!$A:$A,'[11]january-2026'!$G:$G,0,0)</f>
        <v>500</v>
      </c>
      <c r="DL227">
        <f>IF(DG227&gt;0,SUM(DG227:DK227),0)</f>
        <v>47050</v>
      </c>
      <c r="DM227">
        <f>_xlfn.XLOOKUP(B227,'[11]january-2026'!$A:$A,'[11]january-2026'!$H:$H,0,0)</f>
        <v>3000</v>
      </c>
      <c r="DN227">
        <f>_xlfn.XLOOKUP(B227,'[11]january-2026'!$A:$A,'[11]january-2026'!$I:$I,0,0)</f>
        <v>0</v>
      </c>
      <c r="DO227">
        <f>IF($F227="YES",0,IF(DL227&gt;40000,200,IF(DL227&gt;25000,150,IF(DL227&gt;15000,130,IF(DL227&gt;10000,110,0)))))</f>
        <v>200</v>
      </c>
      <c r="DP227">
        <f>DL227-DM227-DN227-DO227</f>
        <v>43850</v>
      </c>
      <c r="DQ227">
        <f>_xlfn.XLOOKUP(B227,'[12]february-2026'!$A:$A,'[12]february-2026'!$C:$C,0,0)</f>
        <v>35500</v>
      </c>
      <c r="DR227">
        <f>DQ227*0.18</f>
        <v>6390</v>
      </c>
      <c r="DS227">
        <f>DQ227*0.12</f>
        <v>4260</v>
      </c>
      <c r="DT227">
        <f>_xlfn.XLOOKUP(B227,'[12]february-2026'!$A:$A,'[12]february-2026'!$D:$D,0,0)</f>
        <v>400</v>
      </c>
      <c r="DU227">
        <f>_xlfn.XLOOKUP(B227,'[12]february-2026'!$A:$A,'[12]february-2026'!$G:$G,0,0)</f>
        <v>500</v>
      </c>
      <c r="DV227">
        <f>IF(DQ227&gt;0,SUM(DQ227:DU227),0)</f>
        <v>47050</v>
      </c>
      <c r="DW227">
        <f>_xlfn.XLOOKUP(B227,'[12]february-2026'!$A:$A,'[12]february-2026'!$H:$H,0,0)</f>
        <v>3000</v>
      </c>
      <c r="DX227">
        <f>_xlfn.XLOOKUP(B227,'[12]february-2026'!$A:$A,'[12]february-2026'!$I:$I,0,0)</f>
        <v>0</v>
      </c>
      <c r="DY227">
        <f>IF($F227="YES",0,IF(DV227&gt;40000,200,IF(DV227&gt;25000,150,IF(DV227&gt;15000,130,IF(DV227&gt;10000,110,0)))))</f>
        <v>200</v>
      </c>
      <c r="DZ227">
        <f>DV227-DW227-DX227-DY227</f>
        <v>43850</v>
      </c>
      <c r="EA227">
        <f>DV227+DL227+DB227+CR227+CH227+BX227+BN227+BD227+AS227+AI227+Y227+O227+H227+I227</f>
        <v>564820</v>
      </c>
      <c r="EB227">
        <f>DY227+DO227+DE227+CU227+CK227+CA227+BQ227+BG227+AV227+AL227+AB227+R227</f>
        <v>2400</v>
      </c>
      <c r="EC227">
        <f>IF(EA227&gt;0,50000,0)</f>
        <v>50000</v>
      </c>
      <c r="ED227">
        <v>0</v>
      </c>
      <c r="EE227">
        <f>EA227-EB227-EC227</f>
        <v>512420</v>
      </c>
      <c r="EF227">
        <f>DW227+DM227+DC227+CS227+CI227+BY227+BO227+BE227+AT227+AJ227+Z227+P227</f>
        <v>36000</v>
      </c>
      <c r="EG227">
        <f>DX227+DN227+DD227+CT227+CJ227+BZ227+BP227+BF227+AU227+AK227+AA227+Q227</f>
        <v>0</v>
      </c>
      <c r="EH227">
        <v>0</v>
      </c>
      <c r="EI227">
        <v>0</v>
      </c>
      <c r="EJ227">
        <v>0</v>
      </c>
      <c r="EK227">
        <v>0</v>
      </c>
      <c r="EL227">
        <v>0</v>
      </c>
      <c r="EM227">
        <v>0</v>
      </c>
      <c r="EN227">
        <v>0</v>
      </c>
      <c r="EO227">
        <v>0</v>
      </c>
      <c r="EP227">
        <v>0</v>
      </c>
      <c r="EQ227">
        <v>0</v>
      </c>
      <c r="ER227">
        <f>SUM(EF227:EQ227)</f>
        <v>36000</v>
      </c>
      <c r="ES227">
        <f>IF(ER227&gt;=150000,150000,ER227)</f>
        <v>36000</v>
      </c>
      <c r="ET227">
        <f>EE227-ES227</f>
        <v>476420</v>
      </c>
      <c r="EU227">
        <v>0</v>
      </c>
      <c r="EV227">
        <v>0</v>
      </c>
      <c r="EW227">
        <v>0</v>
      </c>
      <c r="EX227">
        <v>0</v>
      </c>
      <c r="EY227">
        <v>0</v>
      </c>
      <c r="EZ227">
        <v>0</v>
      </c>
      <c r="FA227">
        <v>0</v>
      </c>
      <c r="FB227">
        <f>SUM(EU227:FA227)+(IF(F227="YES",50000,0))</f>
        <v>0</v>
      </c>
      <c r="FC227">
        <f>ET227-FB227</f>
        <v>476420</v>
      </c>
      <c r="FD227">
        <f>ROUND(IF(FC227&gt;0,IF(FC227&gt;500000,12500,(FC227-250000)*0.05),0),0)</f>
        <v>11321</v>
      </c>
      <c r="FE227">
        <f>IF(ROUND(IF(FC227&gt;0,IF(FC227&gt;1000000,25000,(FC227-500000)*0.2),0),0)&lt;0,0,ROUND(IF(FC227&gt;0,IF(FC227&gt;1000000,25000,(FC227-500000)*0.2),0),0))</f>
        <v>0</v>
      </c>
      <c r="FF227">
        <f>FD227+FE227</f>
        <v>11321</v>
      </c>
      <c r="FG227">
        <f>IF(FF227&lt;12500,0,FF227)</f>
        <v>0</v>
      </c>
      <c r="FH227">
        <f>FG227*0.04</f>
        <v>0</v>
      </c>
      <c r="FI227">
        <f>ROUND(FH227+FG227,0)</f>
        <v>0</v>
      </c>
      <c r="FJ227">
        <v>0</v>
      </c>
      <c r="FK227">
        <f>FI227-FJ227</f>
        <v>0</v>
      </c>
      <c r="FL227" t="b">
        <f>IF(EA227&gt;500000,TRUE,FALSE)</f>
        <v>1</v>
      </c>
      <c r="FM227">
        <f ca="1">IF(FL227,RANDBETWEEN(500,1000),RANDBETWEEN(1000,3000))</f>
        <v>954</v>
      </c>
      <c r="FN227">
        <f ca="1">EA227+FM227</f>
        <v>565774</v>
      </c>
      <c r="FO227">
        <f>IF(EA227&gt;0,75000,0)</f>
        <v>75000</v>
      </c>
      <c r="FP227">
        <f ca="1">FN227-FO227</f>
        <v>490774</v>
      </c>
      <c r="FQ227">
        <f ca="1">IF(FP227&gt;2400000,FP227-2400000,0)</f>
        <v>0</v>
      </c>
      <c r="FR227">
        <f ca="1">FQ227*0.3</f>
        <v>0</v>
      </c>
      <c r="FS227">
        <f ca="1">IF(FP227&gt;2000000,FP227-2000000,0)</f>
        <v>0</v>
      </c>
      <c r="FT227">
        <f ca="1">FS227*0.25</f>
        <v>0</v>
      </c>
      <c r="FU227">
        <f ca="1">IF(FP227&gt;1600000,FP227-1600000-FQ227,0)</f>
        <v>0</v>
      </c>
      <c r="FV227">
        <f ca="1">FU227*0.2</f>
        <v>0</v>
      </c>
      <c r="FW227">
        <f ca="1">IF(FP227&gt;1200000,FP227-1200000-IF(F227="YES",50000,0)-FU227,0)</f>
        <v>0</v>
      </c>
      <c r="FX227">
        <f ca="1">FW227*0.15</f>
        <v>0</v>
      </c>
      <c r="FY227">
        <f ca="1">IF(FP227&gt;800000,FP227-800000-FQ227-FU227-FW227,0)</f>
        <v>0</v>
      </c>
      <c r="FZ227">
        <f ca="1">FY227*0.1</f>
        <v>0</v>
      </c>
      <c r="GA227">
        <f ca="1">IF(FP227&gt;400000,FP227-400000-FQ227-FU227-FW227-FY227,0)</f>
        <v>90774</v>
      </c>
      <c r="GB227">
        <f ca="1">GA227*0.05</f>
        <v>4538.7</v>
      </c>
      <c r="GC227">
        <f ca="1">ROUND(FR227+FT227+FV227+FX227+FZ227+GB227,0)</f>
        <v>4539</v>
      </c>
      <c r="GD227">
        <f ca="1">IF(FP227&gt;1200000,FP227,0)</f>
        <v>0</v>
      </c>
      <c r="GE227">
        <f ca="1">IF(FP227&gt;1200000,GD227-1200000,0)</f>
        <v>0</v>
      </c>
      <c r="GF227">
        <f ca="1">IF(FP227&lt;1200001,MIN(GC227,60000),0)</f>
        <v>4539</v>
      </c>
      <c r="GG227">
        <f ca="1">IF(FP227&gt;1200000,GC227-GE227,0)</f>
        <v>0</v>
      </c>
      <c r="GH227" t="b">
        <f ca="1">IF(GG227&gt;0,TRUE,FALSE)</f>
        <v>0</v>
      </c>
      <c r="GI227">
        <f ca="1">IF(GH227,GG227,0)</f>
        <v>0</v>
      </c>
      <c r="GJ227">
        <f ca="1">GF227+GI227</f>
        <v>4539</v>
      </c>
      <c r="GK227">
        <f ca="1">ROUND(GC227-GJ227,0)</f>
        <v>0</v>
      </c>
      <c r="GL227">
        <f ca="1">GK227*0.04</f>
        <v>0</v>
      </c>
      <c r="GM227">
        <f ca="1">ROUNDUP(GK227+GL227,0)</f>
        <v>0</v>
      </c>
    </row>
    <row r="228" spans="1:195" x14ac:dyDescent="0.25">
      <c r="A228">
        <f>_xlfn.AGGREGATE(3,5,$B$2:B228)</f>
        <v>227</v>
      </c>
      <c r="B228" t="s">
        <v>565</v>
      </c>
      <c r="C228" t="s">
        <v>566</v>
      </c>
      <c r="D228" t="s">
        <v>810</v>
      </c>
      <c r="E228" t="s">
        <v>833</v>
      </c>
      <c r="F228" t="s">
        <v>959</v>
      </c>
      <c r="G228" t="s">
        <v>950</v>
      </c>
      <c r="H228">
        <f>IF(_xlfn.DAYS("31-03-2025",G228)&gt;=180,6800,0)</f>
        <v>6800</v>
      </c>
      <c r="I228">
        <f>_xlfn.XLOOKUP(B228,'[1]march-2025'!$A:$A,'[1]march-2025'!$J:$J,0,0)</f>
        <v>0</v>
      </c>
      <c r="J228">
        <f>_xlfn.XLOOKUP(B228,'[1]march-2025'!$A:$A,'[1]march-2025'!$C:$C,0,0)</f>
        <v>34500</v>
      </c>
      <c r="K228">
        <f>J228*0.14</f>
        <v>4830.0000000000009</v>
      </c>
      <c r="L228">
        <f>J228*0.12</f>
        <v>4140</v>
      </c>
      <c r="M228">
        <f>_xlfn.XLOOKUP(B228,'[1]march-2025'!$A:$A,'[1]march-2025'!$D:$D,0,0)</f>
        <v>0</v>
      </c>
      <c r="N228">
        <f>_xlfn.XLOOKUP(B228,'[1]march-2025'!$A:$A,'[1]march-2025'!$G:$G,0,0)</f>
        <v>500</v>
      </c>
      <c r="O228">
        <f>IF(J228&gt;0,SUM(J228:N228),0)</f>
        <v>43970</v>
      </c>
      <c r="P228">
        <f>_xlfn.XLOOKUP(B228,'[1]march-2025'!$A:$A,'[1]march-2025'!$H:$H,0,0)</f>
        <v>3000</v>
      </c>
      <c r="Q228">
        <f>_xlfn.XLOOKUP(B228,'[1]march-2025'!$A:$A,'[1]march-2025'!$I:$I,0,0)</f>
        <v>0</v>
      </c>
      <c r="R228">
        <f>IF($F228="YES",0,IF(O228&gt;40000,200,IF(O228&gt;25000,150,IF(O228&gt;15000,130,IF(O228&gt;10000,110,0)))))</f>
        <v>200</v>
      </c>
      <c r="S228">
        <f>O228-P228-Q228-R228</f>
        <v>40770</v>
      </c>
      <c r="T228">
        <f>_xlfn.XLOOKUP(B228,'[2]april-2025'!$A:$A,'[2]april-2025'!$C:$C,0,0)</f>
        <v>34500</v>
      </c>
      <c r="U228">
        <f>T228*0.18</f>
        <v>6210</v>
      </c>
      <c r="V228">
        <f>T228*0.12</f>
        <v>4140</v>
      </c>
      <c r="W228">
        <f>_xlfn.XLOOKUP(B228,'[2]april-2025'!$A:$A,'[2]april-2025'!$D:$D,0,0)</f>
        <v>0</v>
      </c>
      <c r="X228">
        <f>_xlfn.XLOOKUP(B228,'[2]april-2025'!$A:$A,'[2]april-2025'!$G:$G,0,0)</f>
        <v>500</v>
      </c>
      <c r="Y228">
        <f>IF(T228&gt;0,SUM(T228:X228),0)</f>
        <v>45350</v>
      </c>
      <c r="Z228">
        <f>_xlfn.XLOOKUP(B228,'[2]april-2025'!$A:$A,'[2]april-2025'!$H:$H,0,0)</f>
        <v>3000</v>
      </c>
      <c r="AA228">
        <f>_xlfn.XLOOKUP(B228,'[2]april-2025'!$A:$A,'[2]april-2025'!$I:$I,0,0)</f>
        <v>0</v>
      </c>
      <c r="AB228">
        <f>IF($F228="YES",0,IF(Y228&gt;40000,200,IF(Y228&gt;25000,150,IF(Y228&gt;15000,130,IF(Y228&gt;10000,110,0)))))</f>
        <v>200</v>
      </c>
      <c r="AC228">
        <f>Y228-Z228-AA228-AB228</f>
        <v>42150</v>
      </c>
      <c r="AD228">
        <f>_xlfn.XLOOKUP(B228,'[3]may-2025'!$A:$A,'[3]may-2025'!$C:$C,0,0)</f>
        <v>34500</v>
      </c>
      <c r="AE228">
        <f>AD228*0.18</f>
        <v>6210</v>
      </c>
      <c r="AF228">
        <f>AD228*0.12</f>
        <v>4140</v>
      </c>
      <c r="AG228">
        <f>_xlfn.XLOOKUP(B228,'[3]may-2025'!$A:$A,'[3]may-2025'!$D:$D,0,0)</f>
        <v>0</v>
      </c>
      <c r="AH228">
        <f>_xlfn.XLOOKUP(B228,'[3]may-2025'!$A:$A,'[3]may-2025'!$G:$G,0,0)</f>
        <v>500</v>
      </c>
      <c r="AI228">
        <f>IF(AD228&gt;0,SUM(AD228:AH228),0)</f>
        <v>45350</v>
      </c>
      <c r="AJ228">
        <f>_xlfn.XLOOKUP(B228,'[3]may-2025'!$A:$A,'[3]may-2025'!$H:$H,0,0)</f>
        <v>3000</v>
      </c>
      <c r="AK228">
        <f>_xlfn.XLOOKUP(B228,'[3]may-2025'!$A:$A,'[3]may-2025'!$I:$I,0,0)</f>
        <v>0</v>
      </c>
      <c r="AL228">
        <f>IF($F228="YES",0,IF(AI228&gt;40000,200,IF(AI228&gt;25000,150,IF(AI228&gt;15000,130,IF(AI228&gt;10000,110,0)))))</f>
        <v>200</v>
      </c>
      <c r="AM228">
        <f>AI228-AJ228-AK228-AL228</f>
        <v>42150</v>
      </c>
      <c r="AN228">
        <f>_xlfn.XLOOKUP(B228,'[4]june-2025'!$A:$A,'[4]june-2025'!$C:$C,0,0)</f>
        <v>34500</v>
      </c>
      <c r="AO228">
        <f>AN228*0.18</f>
        <v>6210</v>
      </c>
      <c r="AP228">
        <f>AN228*0.12</f>
        <v>4140</v>
      </c>
      <c r="AQ228">
        <f>_xlfn.XLOOKUP(B228,'[4]june-2025'!$A:$A,'[4]june-2025'!$D:$D,0,0)</f>
        <v>0</v>
      </c>
      <c r="AR228">
        <f>_xlfn.XLOOKUP(B228,'[4]june-2025'!$A:$A,'[4]june-2025'!$G:$G,0,0)</f>
        <v>500</v>
      </c>
      <c r="AS228">
        <f>IF(AN228&gt;0,SUM(AN228:AR228),0)</f>
        <v>45350</v>
      </c>
      <c r="AT228">
        <f>_xlfn.XLOOKUP(B228,'[4]june-2025'!$A:$A,'[4]june-2025'!$H:$H,0,0)</f>
        <v>3000</v>
      </c>
      <c r="AU228">
        <f>_xlfn.XLOOKUP(B228,'[4]june-2025'!$A:$A,'[4]june-2025'!$I:$I,0,0)</f>
        <v>0</v>
      </c>
      <c r="AV228">
        <f>IF($F228="YES",0,IF(AS228&gt;40000,200,IF(AS228&gt;25000,150,IF(AS228&gt;15000,130,IF(AS228&gt;10000,110,0)))))</f>
        <v>200</v>
      </c>
      <c r="AW228">
        <f>AS228-AT228-AU228-AV228</f>
        <v>42150</v>
      </c>
      <c r="AX228">
        <f>_xlfn.XLOOKUP(B228,'[5]july-2025'!$A:$A,'[5]july-2025'!$C:$C,0,0)</f>
        <v>35500</v>
      </c>
      <c r="AY228">
        <f>AX228*0.18</f>
        <v>6390</v>
      </c>
      <c r="AZ228">
        <v>0</v>
      </c>
      <c r="BA228">
        <f>AX228*0.12</f>
        <v>4260</v>
      </c>
      <c r="BB228">
        <f>_xlfn.XLOOKUP(B228,'[5]july-2025'!$A:$A,'[5]july-2025'!$D:$D,0,0)</f>
        <v>0</v>
      </c>
      <c r="BC228">
        <f>_xlfn.XLOOKUP(B228,'[5]july-2025'!$A:$A,'[5]july-2025'!$G:$G,0,0)</f>
        <v>500</v>
      </c>
      <c r="BD228">
        <f>IF(AX228&gt;0,SUM(AX228:BC228),0)</f>
        <v>46650</v>
      </c>
      <c r="BE228">
        <f>_xlfn.XLOOKUP(B228,'[5]july-2025'!$A:$A,'[5]july-2025'!$H:$H,0,0)</f>
        <v>3000</v>
      </c>
      <c r="BF228">
        <f>_xlfn.XLOOKUP(B228,'[5]july-2025'!$A:$A,'[5]july-2025'!$I:$I,0,0)</f>
        <v>0</v>
      </c>
      <c r="BG228">
        <f>IF($F228="YES",0,IF(BD228&gt;40000,200,IF(BD228&gt;25000,150,IF(BD228&gt;15000,130,IF(BD228&gt;10000,110,0)))))</f>
        <v>200</v>
      </c>
      <c r="BH228">
        <f>BD228-BE228-BF228-BG228</f>
        <v>43450</v>
      </c>
      <c r="BI228">
        <f>_xlfn.XLOOKUP(B228,'[6]august-2025'!$A:$A,'[6]august-2025'!$C:$C,0,0)</f>
        <v>35500</v>
      </c>
      <c r="BJ228">
        <f>BI228*0.18</f>
        <v>6390</v>
      </c>
      <c r="BK228">
        <f>BI228*0.12</f>
        <v>4260</v>
      </c>
      <c r="BL228">
        <f>_xlfn.XLOOKUP(B228,'[6]august-2025'!$A:$A,'[6]august-2025'!$D:$D,0,0)</f>
        <v>0</v>
      </c>
      <c r="BM228">
        <f>_xlfn.XLOOKUP(B228,'[6]august-2025'!$A:$A,'[6]august-2025'!$G:$G,0,0)</f>
        <v>500</v>
      </c>
      <c r="BN228">
        <f>IF(BI228&gt;0,SUM(BI228:BM228),0)</f>
        <v>46650</v>
      </c>
      <c r="BO228">
        <f>_xlfn.XLOOKUP(B228,'[6]august-2025'!$A:$A,'[6]august-2025'!$H:$H,0,0)</f>
        <v>3000</v>
      </c>
      <c r="BP228">
        <f>_xlfn.XLOOKUP(B228,'[6]august-2025'!$A:$A,'[6]august-2025'!$I:$I,0,0)</f>
        <v>0</v>
      </c>
      <c r="BQ228">
        <f>IF($F228="YES",0,IF(BN228&gt;40000,200,IF(BN228&gt;25000,150,IF(BN228&gt;15000,130,IF(BN228&gt;10000,110,0)))))</f>
        <v>200</v>
      </c>
      <c r="BR228">
        <f>BN228-BO228-BP228-BQ228</f>
        <v>43450</v>
      </c>
      <c r="BS228">
        <f>_xlfn.XLOOKUP(B228,'[7]september-2025'!$A:$A,'[7]september-2025'!$C:$C,0,0)</f>
        <v>35500</v>
      </c>
      <c r="BT228">
        <f>BS228*0.18</f>
        <v>6390</v>
      </c>
      <c r="BU228">
        <f>BS228*0.12</f>
        <v>4260</v>
      </c>
      <c r="BV228">
        <f>_xlfn.XLOOKUP(B228,'[7]september-2025'!$A:$A,'[7]september-2025'!$D:$D,0,0)</f>
        <v>0</v>
      </c>
      <c r="BW228">
        <f>_xlfn.XLOOKUP(B228,'[7]september-2025'!$A:$A,'[7]september-2025'!$G:$G,0,0)</f>
        <v>500</v>
      </c>
      <c r="BX228">
        <f>IF(BS228&gt;0,SUM(BS228:BW228),0)</f>
        <v>46650</v>
      </c>
      <c r="BY228">
        <f>_xlfn.XLOOKUP(B228,'[7]september-2025'!$A:$A,'[7]september-2025'!$H:$H,0,0)</f>
        <v>3000</v>
      </c>
      <c r="BZ228">
        <f>_xlfn.XLOOKUP(B228,'[7]september-2025'!$A:$A,'[7]september-2025'!$I:$I,0,0)</f>
        <v>0</v>
      </c>
      <c r="CA228">
        <f>IF($F228="YES",0,IF(BX228&gt;40000,200,IF(BX228&gt;25000,150,IF(BX228&gt;15000,130,IF(BX228&gt;10000,110,0)))))</f>
        <v>200</v>
      </c>
      <c r="CB228">
        <f>BX228-BY228-BZ228-CA228</f>
        <v>43450</v>
      </c>
      <c r="CC228">
        <f>_xlfn.XLOOKUP(B228,'[8]october-2025'!$A:$A,'[8]october-2025'!$C:$C,0,0)</f>
        <v>35500</v>
      </c>
      <c r="CD228">
        <f>CC228*0.18</f>
        <v>6390</v>
      </c>
      <c r="CE228">
        <f>CC228*0.12</f>
        <v>4260</v>
      </c>
      <c r="CF228">
        <f>_xlfn.XLOOKUP(B228,'[8]october-2025'!$A:$A,'[8]october-2025'!$D:$D,0,0)</f>
        <v>0</v>
      </c>
      <c r="CG228">
        <f>_xlfn.XLOOKUP(B228,'[8]october-2025'!$A:$A,'[8]october-2025'!$G:$G,0,0)</f>
        <v>500</v>
      </c>
      <c r="CH228">
        <f>IF(CC228&gt;0,SUM(CC228:CG228),0)</f>
        <v>46650</v>
      </c>
      <c r="CI228">
        <f>_xlfn.XLOOKUP(B228,'[8]october-2025'!$A:$A,'[8]october-2025'!$H:$H,0,0)</f>
        <v>3000</v>
      </c>
      <c r="CJ228">
        <f>_xlfn.XLOOKUP(B228,'[8]october-2025'!$A:$A,'[8]october-2025'!$I:$I,0,0)</f>
        <v>0</v>
      </c>
      <c r="CK228">
        <f>IF($F228="YES",0,IF(CH228&gt;40000,200,IF(CH228&gt;25000,150,IF(CH228&gt;15000,130,IF(CH228&gt;10000,110,0)))))</f>
        <v>200</v>
      </c>
      <c r="CL228">
        <f>CH228-CI228-CJ228-CK228</f>
        <v>43450</v>
      </c>
      <c r="CM228">
        <f>_xlfn.XLOOKUP(B228,'[9]november-2025'!$A:$A,'[9]november-2025'!$C:$C,0,0)</f>
        <v>35500</v>
      </c>
      <c r="CN228">
        <f>CM228*0.18</f>
        <v>6390</v>
      </c>
      <c r="CO228">
        <f>CM228*0.12</f>
        <v>4260</v>
      </c>
      <c r="CP228">
        <f>_xlfn.XLOOKUP(B228,'[9]november-2025'!$A:$A,'[9]november-2025'!$D:$D,0,0)</f>
        <v>0</v>
      </c>
      <c r="CQ228">
        <f>_xlfn.XLOOKUP(B228,'[9]november-2025'!$A:$A,'[9]november-2025'!$G:$G,0,0)</f>
        <v>500</v>
      </c>
      <c r="CR228">
        <f>IF(CM228&gt;0,SUM(CM228:CQ228),0)</f>
        <v>46650</v>
      </c>
      <c r="CS228">
        <f>_xlfn.XLOOKUP(B228,'[9]november-2025'!$A:$A,'[9]november-2025'!$H:$H,0,0)</f>
        <v>3000</v>
      </c>
      <c r="CT228">
        <f>_xlfn.XLOOKUP(B228,'[9]november-2025'!$A:$A,'[9]november-2025'!$I:$I,0,0)</f>
        <v>0</v>
      </c>
      <c r="CU228">
        <f>IF($F228="YES",0,IF(CR228&gt;40000,200,IF(CR228&gt;25000,150,IF(CR228&gt;15000,130,IF(CR228&gt;10000,110,0)))))</f>
        <v>200</v>
      </c>
      <c r="CV228">
        <f>CR228-CS228-CT228-CU228</f>
        <v>43450</v>
      </c>
      <c r="CW228">
        <f>_xlfn.XLOOKUP(B228,'[10]december-2025'!$A:$A,'[10]december-2025'!$C:$C,0,0)</f>
        <v>35500</v>
      </c>
      <c r="CX228">
        <f>ROUND(CW228*0.18,0)</f>
        <v>6390</v>
      </c>
      <c r="CY228">
        <f>ROUND(CW228*0.12,0)</f>
        <v>4260</v>
      </c>
      <c r="CZ228">
        <f>_xlfn.XLOOKUP(B228,'[10]december-2025'!$A:$A,'[10]december-2025'!$D:$D,0,0)</f>
        <v>0</v>
      </c>
      <c r="DA228">
        <f>_xlfn.XLOOKUP(B228,'[10]december-2025'!$A:$A,'[10]december-2025'!$G:$G,0,0)</f>
        <v>500</v>
      </c>
      <c r="DB228">
        <f>IF(CW228&gt;0,SUM(CW228:DA228),0)</f>
        <v>46650</v>
      </c>
      <c r="DC228">
        <f>_xlfn.XLOOKUP(B228,'[10]december-2025'!$A:$A,'[10]december-2025'!$H:$H,0,0)</f>
        <v>3000</v>
      </c>
      <c r="DD228">
        <f>_xlfn.XLOOKUP(B228,'[10]december-2025'!$A:$A,'[10]december-2025'!$I:$I,0,0)</f>
        <v>0</v>
      </c>
      <c r="DE228">
        <f>IF($F228="YES",0,IF(DB228&gt;40000,200,IF(DB228&gt;25000,150,IF(DB228&gt;15000,130,IF(DB228&gt;10000,110,0)))))</f>
        <v>200</v>
      </c>
      <c r="DF228">
        <f>DB228-DC228-DD228-DE228</f>
        <v>43450</v>
      </c>
      <c r="DG228">
        <f>_xlfn.XLOOKUP(B228,'[11]january-2026'!$A:$A,'[11]january-2026'!$C:$C,0,0)</f>
        <v>35500</v>
      </c>
      <c r="DH228">
        <f>DG228*0.18</f>
        <v>6390</v>
      </c>
      <c r="DI228">
        <f>DG228*0.12</f>
        <v>4260</v>
      </c>
      <c r="DJ228">
        <f>_xlfn.XLOOKUP(B228,'[11]january-2026'!$A:$A,'[11]january-2026'!$D:$D,0,0)</f>
        <v>0</v>
      </c>
      <c r="DK228">
        <f>_xlfn.XLOOKUP(B228,'[11]january-2026'!$A:$A,'[11]january-2026'!$G:$G,0,0)</f>
        <v>500</v>
      </c>
      <c r="DL228">
        <f>IF(DG228&gt;0,SUM(DG228:DK228),0)</f>
        <v>46650</v>
      </c>
      <c r="DM228">
        <f>_xlfn.XLOOKUP(B228,'[11]january-2026'!$A:$A,'[11]january-2026'!$H:$H,0,0)</f>
        <v>3000</v>
      </c>
      <c r="DN228">
        <f>_xlfn.XLOOKUP(B228,'[11]january-2026'!$A:$A,'[11]january-2026'!$I:$I,0,0)</f>
        <v>0</v>
      </c>
      <c r="DO228">
        <f>IF($F228="YES",0,IF(DL228&gt;40000,200,IF(DL228&gt;25000,150,IF(DL228&gt;15000,130,IF(DL228&gt;10000,110,0)))))</f>
        <v>200</v>
      </c>
      <c r="DP228">
        <f>DL228-DM228-DN228-DO228</f>
        <v>43450</v>
      </c>
      <c r="DQ228">
        <f>_xlfn.XLOOKUP(B228,'[12]february-2026'!$A:$A,'[12]february-2026'!$C:$C,0,0)</f>
        <v>35500</v>
      </c>
      <c r="DR228">
        <f>DQ228*0.18</f>
        <v>6390</v>
      </c>
      <c r="DS228">
        <f>DQ228*0.12</f>
        <v>4260</v>
      </c>
      <c r="DT228">
        <f>_xlfn.XLOOKUP(B228,'[12]february-2026'!$A:$A,'[12]february-2026'!$D:$D,0,0)</f>
        <v>0</v>
      </c>
      <c r="DU228">
        <f>_xlfn.XLOOKUP(B228,'[12]february-2026'!$A:$A,'[12]february-2026'!$G:$G,0,0)</f>
        <v>500</v>
      </c>
      <c r="DV228">
        <f>IF(DQ228&gt;0,SUM(DQ228:DU228),0)</f>
        <v>46650</v>
      </c>
      <c r="DW228">
        <f>_xlfn.XLOOKUP(B228,'[12]february-2026'!$A:$A,'[12]february-2026'!$H:$H,0,0)</f>
        <v>3000</v>
      </c>
      <c r="DX228">
        <f>_xlfn.XLOOKUP(B228,'[12]february-2026'!$A:$A,'[12]february-2026'!$I:$I,0,0)</f>
        <v>0</v>
      </c>
      <c r="DY228">
        <f>IF($F228="YES",0,IF(DV228&gt;40000,200,IF(DV228&gt;25000,150,IF(DV228&gt;15000,130,IF(DV228&gt;10000,110,0)))))</f>
        <v>200</v>
      </c>
      <c r="DZ228">
        <f>DV228-DW228-DX228-DY228</f>
        <v>43450</v>
      </c>
      <c r="EA228">
        <f>DV228+DL228+DB228+CR228+CH228+BX228+BN228+BD228+AS228+AI228+Y228+O228+H228+I228</f>
        <v>560020</v>
      </c>
      <c r="EB228">
        <f>DY228+DO228+DE228+CU228+CK228+CA228+BQ228+BG228+AV228+AL228+AB228+R228</f>
        <v>2400</v>
      </c>
      <c r="EC228">
        <f>IF(EA228&gt;0,50000,0)</f>
        <v>50000</v>
      </c>
      <c r="ED228">
        <v>0</v>
      </c>
      <c r="EE228">
        <f>EA228-EB228-EC228</f>
        <v>507620</v>
      </c>
      <c r="EF228">
        <f>DW228+DM228+DC228+CS228+CI228+BY228+BO228+BE228+AT228+AJ228+Z228+P228</f>
        <v>36000</v>
      </c>
      <c r="EG228">
        <f>DX228+DN228+DD228+CT228+CJ228+BZ228+BP228+BF228+AU228+AK228+AA228+Q228</f>
        <v>0</v>
      </c>
      <c r="EH228">
        <v>0</v>
      </c>
      <c r="EI228">
        <v>0</v>
      </c>
      <c r="EJ228">
        <v>0</v>
      </c>
      <c r="EK228">
        <v>0</v>
      </c>
      <c r="EL228">
        <v>0</v>
      </c>
      <c r="EM228">
        <v>0</v>
      </c>
      <c r="EN228">
        <v>0</v>
      </c>
      <c r="EO228">
        <v>0</v>
      </c>
      <c r="EP228">
        <v>0</v>
      </c>
      <c r="EQ228">
        <v>0</v>
      </c>
      <c r="ER228">
        <f>SUM(EF228:EQ228)</f>
        <v>36000</v>
      </c>
      <c r="ES228">
        <f>IF(ER228&gt;=150000,150000,ER228)</f>
        <v>36000</v>
      </c>
      <c r="ET228">
        <f>EE228-ES228</f>
        <v>471620</v>
      </c>
      <c r="EU228">
        <v>0</v>
      </c>
      <c r="EV228">
        <v>0</v>
      </c>
      <c r="EW228">
        <v>0</v>
      </c>
      <c r="EX228">
        <v>0</v>
      </c>
      <c r="EY228">
        <v>0</v>
      </c>
      <c r="EZ228">
        <v>0</v>
      </c>
      <c r="FA228">
        <v>0</v>
      </c>
      <c r="FB228">
        <f>SUM(EU228:FA228)+(IF(F228="YES",50000,0))</f>
        <v>0</v>
      </c>
      <c r="FC228">
        <f>ET228-FB228</f>
        <v>471620</v>
      </c>
      <c r="FD228">
        <f>ROUND(IF(FC228&gt;0,IF(FC228&gt;500000,12500,(FC228-250000)*0.05),0),0)</f>
        <v>11081</v>
      </c>
      <c r="FE228">
        <f>IF(ROUND(IF(FC228&gt;0,IF(FC228&gt;1000000,25000,(FC228-500000)*0.2),0),0)&lt;0,0,ROUND(IF(FC228&gt;0,IF(FC228&gt;1000000,25000,(FC228-500000)*0.2),0),0))</f>
        <v>0</v>
      </c>
      <c r="FF228">
        <f>FD228+FE228</f>
        <v>11081</v>
      </c>
      <c r="FG228">
        <f>IF(FF228&lt;12500,0,FF228)</f>
        <v>0</v>
      </c>
      <c r="FH228">
        <f>FG228*0.04</f>
        <v>0</v>
      </c>
      <c r="FI228">
        <f>ROUND(FH228+FG228,0)</f>
        <v>0</v>
      </c>
      <c r="FJ228">
        <v>0</v>
      </c>
      <c r="FK228">
        <f>FI228-FJ228</f>
        <v>0</v>
      </c>
      <c r="FL228" t="b">
        <f>IF(EA228&gt;500000,TRUE,FALSE)</f>
        <v>1</v>
      </c>
      <c r="FM228">
        <f ca="1">IF(FL228,RANDBETWEEN(500,1000),RANDBETWEEN(1000,3000))</f>
        <v>769</v>
      </c>
      <c r="FN228">
        <f ca="1">EA228+FM228</f>
        <v>560789</v>
      </c>
      <c r="FO228">
        <f>IF(EA228&gt;0,75000,0)</f>
        <v>75000</v>
      </c>
      <c r="FP228">
        <f ca="1">FN228-FO228</f>
        <v>485789</v>
      </c>
      <c r="FQ228">
        <f ca="1">IF(FP228&gt;2400000,FP228-2400000,0)</f>
        <v>0</v>
      </c>
      <c r="FR228">
        <f ca="1">FQ228*0.3</f>
        <v>0</v>
      </c>
      <c r="FS228">
        <f ca="1">IF(FP228&gt;2000000,FP228-2000000,0)</f>
        <v>0</v>
      </c>
      <c r="FT228">
        <f ca="1">FS228*0.25</f>
        <v>0</v>
      </c>
      <c r="FU228">
        <f ca="1">IF(FP228&gt;1600000,FP228-1600000-FQ228,0)</f>
        <v>0</v>
      </c>
      <c r="FV228">
        <f ca="1">FU228*0.2</f>
        <v>0</v>
      </c>
      <c r="FW228">
        <f ca="1">IF(FP228&gt;1200000,FP228-1200000-IF(F228="YES",50000,0)-FU228,0)</f>
        <v>0</v>
      </c>
      <c r="FX228">
        <f ca="1">FW228*0.15</f>
        <v>0</v>
      </c>
      <c r="FY228">
        <f ca="1">IF(FP228&gt;800000,FP228-800000-FQ228-FU228-FW228,0)</f>
        <v>0</v>
      </c>
      <c r="FZ228">
        <f ca="1">FY228*0.1</f>
        <v>0</v>
      </c>
      <c r="GA228">
        <f ca="1">IF(FP228&gt;400000,FP228-400000-FQ228-FU228-FW228-FY228,0)</f>
        <v>85789</v>
      </c>
      <c r="GB228">
        <f ca="1">GA228*0.05</f>
        <v>4289.45</v>
      </c>
      <c r="GC228">
        <f ca="1">ROUND(FR228+FT228+FV228+FX228+FZ228+GB228,0)</f>
        <v>4289</v>
      </c>
      <c r="GD228">
        <f ca="1">IF(FP228&gt;1200000,FP228,0)</f>
        <v>0</v>
      </c>
      <c r="GE228">
        <f ca="1">IF(FP228&gt;1200000,GD228-1200000,0)</f>
        <v>0</v>
      </c>
      <c r="GF228">
        <f ca="1">IF(FP228&lt;1200001,MIN(GC228,60000),0)</f>
        <v>4289</v>
      </c>
      <c r="GG228">
        <f ca="1">IF(FP228&gt;1200000,GC228-GE228,0)</f>
        <v>0</v>
      </c>
      <c r="GH228" t="b">
        <f ca="1">IF(GG228&gt;0,TRUE,FALSE)</f>
        <v>0</v>
      </c>
      <c r="GI228">
        <f ca="1">IF(GH228,GG228,0)</f>
        <v>0</v>
      </c>
      <c r="GJ228">
        <f ca="1">GF228+GI228</f>
        <v>4289</v>
      </c>
      <c r="GK228">
        <f ca="1">ROUND(GC228-GJ228,0)</f>
        <v>0</v>
      </c>
      <c r="GL228">
        <f ca="1">GK228*0.04</f>
        <v>0</v>
      </c>
      <c r="GM228">
        <f ca="1">ROUNDUP(GK228+GL228,0)</f>
        <v>0</v>
      </c>
    </row>
    <row r="229" spans="1:195" x14ac:dyDescent="0.25">
      <c r="A229">
        <f>_xlfn.AGGREGATE(3,5,$B$2:B229)</f>
        <v>228</v>
      </c>
      <c r="B229" t="s">
        <v>567</v>
      </c>
      <c r="C229" t="s">
        <v>568</v>
      </c>
      <c r="D229" t="s">
        <v>811</v>
      </c>
      <c r="E229" t="s">
        <v>835</v>
      </c>
      <c r="F229" t="s">
        <v>959</v>
      </c>
      <c r="G229" t="s">
        <v>895</v>
      </c>
      <c r="H229">
        <f>IF(_xlfn.DAYS("31-03-2025",G229)&gt;=180,6800,0)</f>
        <v>6800</v>
      </c>
      <c r="I229">
        <f>_xlfn.XLOOKUP(B229,'[1]march-2025'!$A:$A,'[1]march-2025'!$J:$J,0,0)</f>
        <v>0</v>
      </c>
      <c r="J229">
        <f>_xlfn.XLOOKUP(B229,'[1]march-2025'!$A:$A,'[1]march-2025'!$C:$C,0,0)</f>
        <v>33500</v>
      </c>
      <c r="K229">
        <f>J229*0.14</f>
        <v>4690</v>
      </c>
      <c r="L229">
        <f>J229*0.12</f>
        <v>4020</v>
      </c>
      <c r="M229">
        <f>_xlfn.XLOOKUP(B229,'[1]march-2025'!$A:$A,'[1]march-2025'!$D:$D,0,0)</f>
        <v>400</v>
      </c>
      <c r="N229">
        <f>_xlfn.XLOOKUP(B229,'[1]march-2025'!$A:$A,'[1]march-2025'!$G:$G,0,0)</f>
        <v>500</v>
      </c>
      <c r="O229">
        <f>IF(J229&gt;0,SUM(J229:N229),0)</f>
        <v>43110</v>
      </c>
      <c r="P229">
        <f>_xlfn.XLOOKUP(B229,'[1]march-2025'!$A:$A,'[1]march-2025'!$H:$H,0,0)</f>
        <v>2500</v>
      </c>
      <c r="Q229">
        <f>_xlfn.XLOOKUP(B229,'[1]march-2025'!$A:$A,'[1]march-2025'!$I:$I,0,0)</f>
        <v>0</v>
      </c>
      <c r="R229">
        <f>IF($F229="YES",0,IF(O229&gt;40000,200,IF(O229&gt;25000,150,IF(O229&gt;15000,130,IF(O229&gt;10000,110,0)))))</f>
        <v>200</v>
      </c>
      <c r="S229">
        <f>O229-P229-Q229-R229</f>
        <v>40410</v>
      </c>
      <c r="T229">
        <f>_xlfn.XLOOKUP(B229,'[2]april-2025'!$A:$A,'[2]april-2025'!$C:$C,0,0)</f>
        <v>33500</v>
      </c>
      <c r="U229">
        <f>T229*0.18</f>
        <v>6030</v>
      </c>
      <c r="V229">
        <f>T229*0.12</f>
        <v>4020</v>
      </c>
      <c r="W229">
        <f>_xlfn.XLOOKUP(B229,'[2]april-2025'!$A:$A,'[2]april-2025'!$D:$D,0,0)</f>
        <v>400</v>
      </c>
      <c r="X229">
        <f>_xlfn.XLOOKUP(B229,'[2]april-2025'!$A:$A,'[2]april-2025'!$G:$G,0,0)</f>
        <v>500</v>
      </c>
      <c r="Y229">
        <f>IF(T229&gt;0,SUM(T229:X229),0)</f>
        <v>44450</v>
      </c>
      <c r="Z229">
        <f>_xlfn.XLOOKUP(B229,'[2]april-2025'!$A:$A,'[2]april-2025'!$H:$H,0,0)</f>
        <v>2500</v>
      </c>
      <c r="AA229">
        <f>_xlfn.XLOOKUP(B229,'[2]april-2025'!$A:$A,'[2]april-2025'!$I:$I,0,0)</f>
        <v>0</v>
      </c>
      <c r="AB229">
        <f>IF($F229="YES",0,IF(Y229&gt;40000,200,IF(Y229&gt;25000,150,IF(Y229&gt;15000,130,IF(Y229&gt;10000,110,0)))))</f>
        <v>200</v>
      </c>
      <c r="AC229">
        <f>Y229-Z229-AA229-AB229</f>
        <v>41750</v>
      </c>
      <c r="AD229">
        <f>_xlfn.XLOOKUP(B229,'[3]may-2025'!$A:$A,'[3]may-2025'!$C:$C,0,0)</f>
        <v>33500</v>
      </c>
      <c r="AE229">
        <f>AD229*0.18</f>
        <v>6030</v>
      </c>
      <c r="AF229">
        <f>AD229*0.12</f>
        <v>4020</v>
      </c>
      <c r="AG229">
        <f>_xlfn.XLOOKUP(B229,'[3]may-2025'!$A:$A,'[3]may-2025'!$D:$D,0,0)</f>
        <v>400</v>
      </c>
      <c r="AH229">
        <f>_xlfn.XLOOKUP(B229,'[3]may-2025'!$A:$A,'[3]may-2025'!$G:$G,0,0)</f>
        <v>500</v>
      </c>
      <c r="AI229">
        <f>IF(AD229&gt;0,SUM(AD229:AH229),0)</f>
        <v>44450</v>
      </c>
      <c r="AJ229">
        <f>_xlfn.XLOOKUP(B229,'[3]may-2025'!$A:$A,'[3]may-2025'!$H:$H,0,0)</f>
        <v>2500</v>
      </c>
      <c r="AK229">
        <f>_xlfn.XLOOKUP(B229,'[3]may-2025'!$A:$A,'[3]may-2025'!$I:$I,0,0)</f>
        <v>0</v>
      </c>
      <c r="AL229">
        <f>IF($F229="YES",0,IF(AI229&gt;40000,200,IF(AI229&gt;25000,150,IF(AI229&gt;15000,130,IF(AI229&gt;10000,110,0)))))</f>
        <v>200</v>
      </c>
      <c r="AM229">
        <f>AI229-AJ229-AK229-AL229</f>
        <v>41750</v>
      </c>
      <c r="AN229">
        <f>_xlfn.XLOOKUP(B229,'[4]june-2025'!$A:$A,'[4]june-2025'!$C:$C,0,0)</f>
        <v>33500</v>
      </c>
      <c r="AO229">
        <f>AN229*0.18</f>
        <v>6030</v>
      </c>
      <c r="AP229">
        <f>AN229*0.12</f>
        <v>4020</v>
      </c>
      <c r="AQ229">
        <f>_xlfn.XLOOKUP(B229,'[4]june-2025'!$A:$A,'[4]june-2025'!$D:$D,0,0)</f>
        <v>400</v>
      </c>
      <c r="AR229">
        <f>_xlfn.XLOOKUP(B229,'[4]june-2025'!$A:$A,'[4]june-2025'!$G:$G,0,0)</f>
        <v>500</v>
      </c>
      <c r="AS229">
        <f>IF(AN229&gt;0,SUM(AN229:AR229),0)</f>
        <v>44450</v>
      </c>
      <c r="AT229">
        <f>_xlfn.XLOOKUP(B229,'[4]june-2025'!$A:$A,'[4]june-2025'!$H:$H,0,0)</f>
        <v>2500</v>
      </c>
      <c r="AU229">
        <f>_xlfn.XLOOKUP(B229,'[4]june-2025'!$A:$A,'[4]june-2025'!$I:$I,0,0)</f>
        <v>0</v>
      </c>
      <c r="AV229">
        <f>IF($F229="YES",0,IF(AS229&gt;40000,200,IF(AS229&gt;25000,150,IF(AS229&gt;15000,130,IF(AS229&gt;10000,110,0)))))</f>
        <v>200</v>
      </c>
      <c r="AW229">
        <f>AS229-AT229-AU229-AV229</f>
        <v>41750</v>
      </c>
      <c r="AX229">
        <f>_xlfn.XLOOKUP(B229,'[5]july-2025'!$A:$A,'[5]july-2025'!$C:$C,0,0)</f>
        <v>35500</v>
      </c>
      <c r="AY229">
        <f>AX229*0.18</f>
        <v>6390</v>
      </c>
      <c r="AZ229">
        <v>0</v>
      </c>
      <c r="BA229">
        <f>AX229*0.12</f>
        <v>4260</v>
      </c>
      <c r="BB229">
        <f>_xlfn.XLOOKUP(B229,'[5]july-2025'!$A:$A,'[5]july-2025'!$D:$D,0,0)</f>
        <v>400</v>
      </c>
      <c r="BC229">
        <f>_xlfn.XLOOKUP(B229,'[5]july-2025'!$A:$A,'[5]july-2025'!$G:$G,0,0)</f>
        <v>500</v>
      </c>
      <c r="BD229">
        <f>IF(AX229&gt;0,SUM(AX229:BC229),0)</f>
        <v>47050</v>
      </c>
      <c r="BE229">
        <f>_xlfn.XLOOKUP(B229,'[5]july-2025'!$A:$A,'[5]july-2025'!$H:$H,0,0)</f>
        <v>2500</v>
      </c>
      <c r="BF229">
        <f>_xlfn.XLOOKUP(B229,'[5]july-2025'!$A:$A,'[5]july-2025'!$I:$I,0,0)</f>
        <v>0</v>
      </c>
      <c r="BG229">
        <f>IF($F229="YES",0,IF(BD229&gt;40000,200,IF(BD229&gt;25000,150,IF(BD229&gt;15000,130,IF(BD229&gt;10000,110,0)))))</f>
        <v>200</v>
      </c>
      <c r="BH229">
        <f>BD229-BE229-BF229-BG229</f>
        <v>44350</v>
      </c>
      <c r="BI229">
        <f>_xlfn.XLOOKUP(B229,'[6]august-2025'!$A:$A,'[6]august-2025'!$C:$C,0,0)</f>
        <v>35500</v>
      </c>
      <c r="BJ229">
        <f>BI229*0.18</f>
        <v>6390</v>
      </c>
      <c r="BK229">
        <f>BI229*0.12</f>
        <v>4260</v>
      </c>
      <c r="BL229">
        <f>_xlfn.XLOOKUP(B229,'[6]august-2025'!$A:$A,'[6]august-2025'!$D:$D,0,0)</f>
        <v>400</v>
      </c>
      <c r="BM229">
        <f>_xlfn.XLOOKUP(B229,'[6]august-2025'!$A:$A,'[6]august-2025'!$G:$G,0,0)</f>
        <v>500</v>
      </c>
      <c r="BN229">
        <f>IF(BI229&gt;0,SUM(BI229:BM229),0)</f>
        <v>47050</v>
      </c>
      <c r="BO229">
        <f>_xlfn.XLOOKUP(B229,'[6]august-2025'!$A:$A,'[6]august-2025'!$H:$H,0,0)</f>
        <v>2500</v>
      </c>
      <c r="BP229">
        <f>_xlfn.XLOOKUP(B229,'[6]august-2025'!$A:$A,'[6]august-2025'!$I:$I,0,0)</f>
        <v>0</v>
      </c>
      <c r="BQ229">
        <f>IF($F229="YES",0,IF(BN229&gt;40000,200,IF(BN229&gt;25000,150,IF(BN229&gt;15000,130,IF(BN229&gt;10000,110,0)))))</f>
        <v>200</v>
      </c>
      <c r="BR229">
        <f>BN229-BO229-BP229-BQ229</f>
        <v>44350</v>
      </c>
      <c r="BS229">
        <f>_xlfn.XLOOKUP(B229,'[7]september-2025'!$A:$A,'[7]september-2025'!$C:$C,0,0)</f>
        <v>35500</v>
      </c>
      <c r="BT229">
        <f>BS229*0.18</f>
        <v>6390</v>
      </c>
      <c r="BU229">
        <f>BS229*0.12</f>
        <v>4260</v>
      </c>
      <c r="BV229">
        <f>_xlfn.XLOOKUP(B229,'[7]september-2025'!$A:$A,'[7]september-2025'!$D:$D,0,0)</f>
        <v>400</v>
      </c>
      <c r="BW229">
        <f>_xlfn.XLOOKUP(B229,'[7]september-2025'!$A:$A,'[7]september-2025'!$G:$G,0,0)</f>
        <v>500</v>
      </c>
      <c r="BX229">
        <f>IF(BS229&gt;0,SUM(BS229:BW229),0)</f>
        <v>47050</v>
      </c>
      <c r="BY229">
        <f>_xlfn.XLOOKUP(B229,'[7]september-2025'!$A:$A,'[7]september-2025'!$H:$H,0,0)</f>
        <v>2500</v>
      </c>
      <c r="BZ229">
        <f>_xlfn.XLOOKUP(B229,'[7]september-2025'!$A:$A,'[7]september-2025'!$I:$I,0,0)</f>
        <v>0</v>
      </c>
      <c r="CA229">
        <f>IF($F229="YES",0,IF(BX229&gt;40000,200,IF(BX229&gt;25000,150,IF(BX229&gt;15000,130,IF(BX229&gt;10000,110,0)))))</f>
        <v>200</v>
      </c>
      <c r="CB229">
        <f>BX229-BY229-BZ229-CA229</f>
        <v>44350</v>
      </c>
      <c r="CC229">
        <f>_xlfn.XLOOKUP(B229,'[8]october-2025'!$A:$A,'[8]october-2025'!$C:$C,0,0)</f>
        <v>35500</v>
      </c>
      <c r="CD229">
        <f>CC229*0.18</f>
        <v>6390</v>
      </c>
      <c r="CE229">
        <f>CC229*0.12</f>
        <v>4260</v>
      </c>
      <c r="CF229">
        <f>_xlfn.XLOOKUP(B229,'[8]october-2025'!$A:$A,'[8]october-2025'!$D:$D,0,0)</f>
        <v>400</v>
      </c>
      <c r="CG229">
        <f>_xlfn.XLOOKUP(B229,'[8]october-2025'!$A:$A,'[8]october-2025'!$G:$G,0,0)</f>
        <v>500</v>
      </c>
      <c r="CH229">
        <f>IF(CC229&gt;0,SUM(CC229:CG229),0)</f>
        <v>47050</v>
      </c>
      <c r="CI229">
        <f>_xlfn.XLOOKUP(B229,'[8]october-2025'!$A:$A,'[8]october-2025'!$H:$H,0,0)</f>
        <v>2500</v>
      </c>
      <c r="CJ229">
        <f>_xlfn.XLOOKUP(B229,'[8]october-2025'!$A:$A,'[8]october-2025'!$I:$I,0,0)</f>
        <v>0</v>
      </c>
      <c r="CK229">
        <f>IF($F229="YES",0,IF(CH229&gt;40000,200,IF(CH229&gt;25000,150,IF(CH229&gt;15000,130,IF(CH229&gt;10000,110,0)))))</f>
        <v>200</v>
      </c>
      <c r="CL229">
        <f>CH229-CI229-CJ229-CK229</f>
        <v>44350</v>
      </c>
      <c r="CM229">
        <f>_xlfn.XLOOKUP(B229,'[9]november-2025'!$A:$A,'[9]november-2025'!$C:$C,0,0)</f>
        <v>35500</v>
      </c>
      <c r="CN229">
        <f>CM229*0.18</f>
        <v>6390</v>
      </c>
      <c r="CO229">
        <f>CM229*0.12</f>
        <v>4260</v>
      </c>
      <c r="CP229">
        <f>_xlfn.XLOOKUP(B229,'[9]november-2025'!$A:$A,'[9]november-2025'!$D:$D,0,0)</f>
        <v>400</v>
      </c>
      <c r="CQ229">
        <f>_xlfn.XLOOKUP(B229,'[9]november-2025'!$A:$A,'[9]november-2025'!$G:$G,0,0)</f>
        <v>500</v>
      </c>
      <c r="CR229">
        <f>IF(CM229&gt;0,SUM(CM229:CQ229),0)</f>
        <v>47050</v>
      </c>
      <c r="CS229">
        <f>_xlfn.XLOOKUP(B229,'[9]november-2025'!$A:$A,'[9]november-2025'!$H:$H,0,0)</f>
        <v>2500</v>
      </c>
      <c r="CT229">
        <f>_xlfn.XLOOKUP(B229,'[9]november-2025'!$A:$A,'[9]november-2025'!$I:$I,0,0)</f>
        <v>0</v>
      </c>
      <c r="CU229">
        <f>IF($F229="YES",0,IF(CR229&gt;40000,200,IF(CR229&gt;25000,150,IF(CR229&gt;15000,130,IF(CR229&gt;10000,110,0)))))</f>
        <v>200</v>
      </c>
      <c r="CV229">
        <f>CR229-CS229-CT229-CU229</f>
        <v>44350</v>
      </c>
      <c r="CW229">
        <f>_xlfn.XLOOKUP(B229,'[10]december-2025'!$A:$A,'[10]december-2025'!$C:$C,0,0)</f>
        <v>35500</v>
      </c>
      <c r="CX229">
        <f>ROUND(CW229*0.18,0)</f>
        <v>6390</v>
      </c>
      <c r="CY229">
        <f>ROUND(CW229*0.12,0)</f>
        <v>4260</v>
      </c>
      <c r="CZ229">
        <f>_xlfn.XLOOKUP(B229,'[10]december-2025'!$A:$A,'[10]december-2025'!$D:$D,0,0)</f>
        <v>400</v>
      </c>
      <c r="DA229">
        <f>_xlfn.XLOOKUP(B229,'[10]december-2025'!$A:$A,'[10]december-2025'!$G:$G,0,0)</f>
        <v>500</v>
      </c>
      <c r="DB229">
        <f>IF(CW229&gt;0,SUM(CW229:DA229),0)</f>
        <v>47050</v>
      </c>
      <c r="DC229">
        <f>_xlfn.XLOOKUP(B229,'[10]december-2025'!$A:$A,'[10]december-2025'!$H:$H,0,0)</f>
        <v>2500</v>
      </c>
      <c r="DD229">
        <f>_xlfn.XLOOKUP(B229,'[10]december-2025'!$A:$A,'[10]december-2025'!$I:$I,0,0)</f>
        <v>0</v>
      </c>
      <c r="DE229">
        <f>IF($F229="YES",0,IF(DB229&gt;40000,200,IF(DB229&gt;25000,150,IF(DB229&gt;15000,130,IF(DB229&gt;10000,110,0)))))</f>
        <v>200</v>
      </c>
      <c r="DF229">
        <f>DB229-DC229-DD229-DE229</f>
        <v>44350</v>
      </c>
      <c r="DG229">
        <f>_xlfn.XLOOKUP(B229,'[11]january-2026'!$A:$A,'[11]january-2026'!$C:$C,0,0)</f>
        <v>35500</v>
      </c>
      <c r="DH229">
        <f>DG229*0.18</f>
        <v>6390</v>
      </c>
      <c r="DI229">
        <f>DG229*0.12</f>
        <v>4260</v>
      </c>
      <c r="DJ229">
        <f>_xlfn.XLOOKUP(B229,'[11]january-2026'!$A:$A,'[11]january-2026'!$D:$D,0,0)</f>
        <v>400</v>
      </c>
      <c r="DK229">
        <f>_xlfn.XLOOKUP(B229,'[11]january-2026'!$A:$A,'[11]january-2026'!$G:$G,0,0)</f>
        <v>500</v>
      </c>
      <c r="DL229">
        <f>IF(DG229&gt;0,SUM(DG229:DK229),0)</f>
        <v>47050</v>
      </c>
      <c r="DM229">
        <f>_xlfn.XLOOKUP(B229,'[11]january-2026'!$A:$A,'[11]january-2026'!$H:$H,0,0)</f>
        <v>2500</v>
      </c>
      <c r="DN229">
        <f>_xlfn.XLOOKUP(B229,'[11]january-2026'!$A:$A,'[11]january-2026'!$I:$I,0,0)</f>
        <v>0</v>
      </c>
      <c r="DO229">
        <f>IF($F229="YES",0,IF(DL229&gt;40000,200,IF(DL229&gt;25000,150,IF(DL229&gt;15000,130,IF(DL229&gt;10000,110,0)))))</f>
        <v>200</v>
      </c>
      <c r="DP229">
        <f>DL229-DM229-DN229-DO229</f>
        <v>44350</v>
      </c>
      <c r="DQ229">
        <f>_xlfn.XLOOKUP(B229,'[12]february-2026'!$A:$A,'[12]february-2026'!$C:$C,0,0)</f>
        <v>35500</v>
      </c>
      <c r="DR229">
        <f>DQ229*0.18</f>
        <v>6390</v>
      </c>
      <c r="DS229">
        <f>DQ229*0.12</f>
        <v>4260</v>
      </c>
      <c r="DT229">
        <f>_xlfn.XLOOKUP(B229,'[12]february-2026'!$A:$A,'[12]february-2026'!$D:$D,0,0)</f>
        <v>400</v>
      </c>
      <c r="DU229">
        <f>_xlfn.XLOOKUP(B229,'[12]february-2026'!$A:$A,'[12]february-2026'!$G:$G,0,0)</f>
        <v>500</v>
      </c>
      <c r="DV229">
        <f>IF(DQ229&gt;0,SUM(DQ229:DU229),0)</f>
        <v>47050</v>
      </c>
      <c r="DW229">
        <f>_xlfn.XLOOKUP(B229,'[12]february-2026'!$A:$A,'[12]february-2026'!$H:$H,0,0)</f>
        <v>2500</v>
      </c>
      <c r="DX229">
        <f>_xlfn.XLOOKUP(B229,'[12]february-2026'!$A:$A,'[12]february-2026'!$I:$I,0,0)</f>
        <v>0</v>
      </c>
      <c r="DY229">
        <f>IF($F229="YES",0,IF(DV229&gt;40000,200,IF(DV229&gt;25000,150,IF(DV229&gt;15000,130,IF(DV229&gt;10000,110,0)))))</f>
        <v>200</v>
      </c>
      <c r="DZ229">
        <f>DV229-DW229-DX229-DY229</f>
        <v>44350</v>
      </c>
      <c r="EA229">
        <f>DV229+DL229+DB229+CR229+CH229+BX229+BN229+BD229+AS229+AI229+Y229+O229+H229+I229</f>
        <v>559660</v>
      </c>
      <c r="EB229">
        <f>DY229+DO229+DE229+CU229+CK229+CA229+BQ229+BG229+AV229+AL229+AB229+R229</f>
        <v>2400</v>
      </c>
      <c r="EC229">
        <f>IF(EA229&gt;0,50000,0)</f>
        <v>50000</v>
      </c>
      <c r="ED229">
        <v>0</v>
      </c>
      <c r="EE229">
        <f>EA229-EB229-EC229</f>
        <v>507260</v>
      </c>
      <c r="EF229">
        <f>DW229+DM229+DC229+CS229+CI229+BY229+BO229+BE229+AT229+AJ229+Z229+P229</f>
        <v>30000</v>
      </c>
      <c r="EG229">
        <f>DX229+DN229+DD229+CT229+CJ229+BZ229+BP229+BF229+AU229+AK229+AA229+Q229</f>
        <v>0</v>
      </c>
      <c r="EH229">
        <v>0</v>
      </c>
      <c r="EI229">
        <v>0</v>
      </c>
      <c r="EJ229">
        <v>0</v>
      </c>
      <c r="EK229">
        <v>0</v>
      </c>
      <c r="EL229">
        <v>0</v>
      </c>
      <c r="EM229">
        <v>0</v>
      </c>
      <c r="EN229">
        <v>0</v>
      </c>
      <c r="EO229">
        <v>0</v>
      </c>
      <c r="EP229">
        <v>0</v>
      </c>
      <c r="EQ229">
        <v>0</v>
      </c>
      <c r="ER229">
        <f>SUM(EF229:EQ229)</f>
        <v>30000</v>
      </c>
      <c r="ES229">
        <f>IF(ER229&gt;=150000,150000,ER229)</f>
        <v>30000</v>
      </c>
      <c r="ET229">
        <f>EE229-ES229</f>
        <v>477260</v>
      </c>
      <c r="EU229">
        <v>0</v>
      </c>
      <c r="EV229">
        <v>0</v>
      </c>
      <c r="EW229">
        <v>0</v>
      </c>
      <c r="EX229">
        <v>0</v>
      </c>
      <c r="EY229">
        <v>0</v>
      </c>
      <c r="EZ229">
        <v>0</v>
      </c>
      <c r="FA229">
        <v>0</v>
      </c>
      <c r="FB229">
        <f>SUM(EU229:FA229)+(IF(F229="YES",50000,0))</f>
        <v>0</v>
      </c>
      <c r="FC229">
        <f>ET229-FB229</f>
        <v>477260</v>
      </c>
      <c r="FD229">
        <f>ROUND(IF(FC229&gt;0,IF(FC229&gt;500000,12500,(FC229-250000)*0.05),0),0)</f>
        <v>11363</v>
      </c>
      <c r="FE229">
        <f>IF(ROUND(IF(FC229&gt;0,IF(FC229&gt;1000000,25000,(FC229-500000)*0.2),0),0)&lt;0,0,ROUND(IF(FC229&gt;0,IF(FC229&gt;1000000,25000,(FC229-500000)*0.2),0),0))</f>
        <v>0</v>
      </c>
      <c r="FF229">
        <f>FD229+FE229</f>
        <v>11363</v>
      </c>
      <c r="FG229">
        <f>IF(FF229&lt;12500,0,FF229)</f>
        <v>0</v>
      </c>
      <c r="FH229">
        <f>FG229*0.04</f>
        <v>0</v>
      </c>
      <c r="FI229">
        <f>ROUND(FH229+FG229,0)</f>
        <v>0</v>
      </c>
      <c r="FJ229">
        <v>0</v>
      </c>
      <c r="FK229">
        <f>FI229-FJ229</f>
        <v>0</v>
      </c>
      <c r="FL229" t="b">
        <f>IF(EA229&gt;500000,TRUE,FALSE)</f>
        <v>1</v>
      </c>
      <c r="FM229">
        <f ca="1">IF(FL229,RANDBETWEEN(500,1000),RANDBETWEEN(1000,3000))</f>
        <v>694</v>
      </c>
      <c r="FN229">
        <f ca="1">EA229+FM229</f>
        <v>560354</v>
      </c>
      <c r="FO229">
        <f>IF(EA229&gt;0,75000,0)</f>
        <v>75000</v>
      </c>
      <c r="FP229">
        <f ca="1">FN229-FO229</f>
        <v>485354</v>
      </c>
      <c r="FQ229">
        <f ca="1">IF(FP229&gt;2400000,FP229-2400000,0)</f>
        <v>0</v>
      </c>
      <c r="FR229">
        <f ca="1">FQ229*0.3</f>
        <v>0</v>
      </c>
      <c r="FS229">
        <f ca="1">IF(FP229&gt;2000000,FP229-2000000,0)</f>
        <v>0</v>
      </c>
      <c r="FT229">
        <f ca="1">FS229*0.25</f>
        <v>0</v>
      </c>
      <c r="FU229">
        <f ca="1">IF(FP229&gt;1600000,FP229-1600000-FQ229,0)</f>
        <v>0</v>
      </c>
      <c r="FV229">
        <f ca="1">FU229*0.2</f>
        <v>0</v>
      </c>
      <c r="FW229">
        <f ca="1">IF(FP229&gt;1200000,FP229-1200000-IF(F229="YES",50000,0)-FU229,0)</f>
        <v>0</v>
      </c>
      <c r="FX229">
        <f ca="1">FW229*0.15</f>
        <v>0</v>
      </c>
      <c r="FY229">
        <f ca="1">IF(FP229&gt;800000,FP229-800000-FQ229-FU229-FW229,0)</f>
        <v>0</v>
      </c>
      <c r="FZ229">
        <f ca="1">FY229*0.1</f>
        <v>0</v>
      </c>
      <c r="GA229">
        <f ca="1">IF(FP229&gt;400000,FP229-400000-FQ229-FU229-FW229-FY229,0)</f>
        <v>85354</v>
      </c>
      <c r="GB229">
        <f ca="1">GA229*0.05</f>
        <v>4267.7</v>
      </c>
      <c r="GC229">
        <f ca="1">ROUND(FR229+FT229+FV229+FX229+FZ229+GB229,0)</f>
        <v>4268</v>
      </c>
      <c r="GD229">
        <f ca="1">IF(FP229&gt;1200000,FP229,0)</f>
        <v>0</v>
      </c>
      <c r="GE229">
        <f ca="1">IF(FP229&gt;1200000,GD229-1200000,0)</f>
        <v>0</v>
      </c>
      <c r="GF229">
        <f ca="1">IF(FP229&lt;1200001,MIN(GC229,60000),0)</f>
        <v>4268</v>
      </c>
      <c r="GG229">
        <f ca="1">IF(FP229&gt;1200000,GC229-GE229,0)</f>
        <v>0</v>
      </c>
      <c r="GH229" t="b">
        <f ca="1">IF(GG229&gt;0,TRUE,FALSE)</f>
        <v>0</v>
      </c>
      <c r="GI229">
        <f ca="1">IF(GH229,GG229,0)</f>
        <v>0</v>
      </c>
      <c r="GJ229">
        <f ca="1">GF229+GI229</f>
        <v>4268</v>
      </c>
      <c r="GK229">
        <f ca="1">ROUND(GC229-GJ229,0)</f>
        <v>0</v>
      </c>
      <c r="GL229">
        <f ca="1">GK229*0.04</f>
        <v>0</v>
      </c>
      <c r="GM229">
        <f ca="1">ROUNDUP(GK229+GL229,0)</f>
        <v>0</v>
      </c>
    </row>
    <row r="230" spans="1:195" x14ac:dyDescent="0.25">
      <c r="A230">
        <f>_xlfn.AGGREGATE(3,5,$B$2:B230)</f>
        <v>229</v>
      </c>
      <c r="B230" t="s">
        <v>569</v>
      </c>
      <c r="C230" t="s">
        <v>570</v>
      </c>
      <c r="D230" t="s">
        <v>811</v>
      </c>
      <c r="E230" t="s">
        <v>833</v>
      </c>
      <c r="F230" t="s">
        <v>959</v>
      </c>
      <c r="G230" t="s">
        <v>926</v>
      </c>
      <c r="H230">
        <f>IF(_xlfn.DAYS("31-03-2025",G230)&gt;=180,6800,0)</f>
        <v>6800</v>
      </c>
      <c r="I230">
        <f>_xlfn.XLOOKUP(B230,'[1]march-2025'!$A:$A,'[1]march-2025'!$J:$J,0,0)</f>
        <v>0</v>
      </c>
      <c r="J230">
        <f>_xlfn.XLOOKUP(B230,'[1]march-2025'!$A:$A,'[1]march-2025'!$C:$C,0,0)</f>
        <v>33500</v>
      </c>
      <c r="K230">
        <f>J230*0.14</f>
        <v>4690</v>
      </c>
      <c r="L230">
        <f>J230*0.12</f>
        <v>4020</v>
      </c>
      <c r="M230">
        <f>_xlfn.XLOOKUP(B230,'[1]march-2025'!$A:$A,'[1]march-2025'!$D:$D,0,0)</f>
        <v>0</v>
      </c>
      <c r="N230">
        <f>_xlfn.XLOOKUP(B230,'[1]march-2025'!$A:$A,'[1]march-2025'!$G:$G,0,0)</f>
        <v>500</v>
      </c>
      <c r="O230">
        <f>IF(J230&gt;0,SUM(J230:N230),0)</f>
        <v>42710</v>
      </c>
      <c r="P230">
        <f>_xlfn.XLOOKUP(B230,'[1]march-2025'!$A:$A,'[1]march-2025'!$H:$H,0,0)</f>
        <v>2500</v>
      </c>
      <c r="Q230">
        <f>_xlfn.XLOOKUP(B230,'[1]march-2025'!$A:$A,'[1]march-2025'!$I:$I,0,0)</f>
        <v>0</v>
      </c>
      <c r="R230">
        <f>IF($F230="YES",0,IF(O230&gt;40000,200,IF(O230&gt;25000,150,IF(O230&gt;15000,130,IF(O230&gt;10000,110,0)))))</f>
        <v>200</v>
      </c>
      <c r="S230">
        <f>O230-P230-Q230-R230</f>
        <v>40010</v>
      </c>
      <c r="T230">
        <f>_xlfn.XLOOKUP(B230,'[2]april-2025'!$A:$A,'[2]april-2025'!$C:$C,0,0)</f>
        <v>33500</v>
      </c>
      <c r="U230">
        <f>T230*0.18</f>
        <v>6030</v>
      </c>
      <c r="V230">
        <f>T230*0.12</f>
        <v>4020</v>
      </c>
      <c r="W230">
        <f>_xlfn.XLOOKUP(B230,'[2]april-2025'!$A:$A,'[2]april-2025'!$D:$D,0,0)</f>
        <v>0</v>
      </c>
      <c r="X230">
        <f>_xlfn.XLOOKUP(B230,'[2]april-2025'!$A:$A,'[2]april-2025'!$G:$G,0,0)</f>
        <v>500</v>
      </c>
      <c r="Y230">
        <f>IF(T230&gt;0,SUM(T230:X230),0)</f>
        <v>44050</v>
      </c>
      <c r="Z230">
        <f>_xlfn.XLOOKUP(B230,'[2]april-2025'!$A:$A,'[2]april-2025'!$H:$H,0,0)</f>
        <v>2500</v>
      </c>
      <c r="AA230">
        <f>_xlfn.XLOOKUP(B230,'[2]april-2025'!$A:$A,'[2]april-2025'!$I:$I,0,0)</f>
        <v>0</v>
      </c>
      <c r="AB230">
        <f>IF($F230="YES",0,IF(Y230&gt;40000,200,IF(Y230&gt;25000,150,IF(Y230&gt;15000,130,IF(Y230&gt;10000,110,0)))))</f>
        <v>200</v>
      </c>
      <c r="AC230">
        <f>Y230-Z230-AA230-AB230</f>
        <v>41350</v>
      </c>
      <c r="AD230">
        <f>_xlfn.XLOOKUP(B230,'[3]may-2025'!$A:$A,'[3]may-2025'!$C:$C,0,0)</f>
        <v>33500</v>
      </c>
      <c r="AE230">
        <f>AD230*0.18</f>
        <v>6030</v>
      </c>
      <c r="AF230">
        <f>AD230*0.12</f>
        <v>4020</v>
      </c>
      <c r="AG230">
        <f>_xlfn.XLOOKUP(B230,'[3]may-2025'!$A:$A,'[3]may-2025'!$D:$D,0,0)</f>
        <v>0</v>
      </c>
      <c r="AH230">
        <f>_xlfn.XLOOKUP(B230,'[3]may-2025'!$A:$A,'[3]may-2025'!$G:$G,0,0)</f>
        <v>500</v>
      </c>
      <c r="AI230">
        <f>IF(AD230&gt;0,SUM(AD230:AH230),0)</f>
        <v>44050</v>
      </c>
      <c r="AJ230">
        <f>_xlfn.XLOOKUP(B230,'[3]may-2025'!$A:$A,'[3]may-2025'!$H:$H,0,0)</f>
        <v>2500</v>
      </c>
      <c r="AK230">
        <f>_xlfn.XLOOKUP(B230,'[3]may-2025'!$A:$A,'[3]may-2025'!$I:$I,0,0)</f>
        <v>0</v>
      </c>
      <c r="AL230">
        <f>IF($F230="YES",0,IF(AI230&gt;40000,200,IF(AI230&gt;25000,150,IF(AI230&gt;15000,130,IF(AI230&gt;10000,110,0)))))</f>
        <v>200</v>
      </c>
      <c r="AM230">
        <f>AI230-AJ230-AK230-AL230</f>
        <v>41350</v>
      </c>
      <c r="AN230">
        <f>_xlfn.XLOOKUP(B230,'[4]june-2025'!$A:$A,'[4]june-2025'!$C:$C,0,0)</f>
        <v>33500</v>
      </c>
      <c r="AO230">
        <f>AN230*0.18</f>
        <v>6030</v>
      </c>
      <c r="AP230">
        <f>AN230*0.12</f>
        <v>4020</v>
      </c>
      <c r="AQ230">
        <f>_xlfn.XLOOKUP(B230,'[4]june-2025'!$A:$A,'[4]june-2025'!$D:$D,0,0)</f>
        <v>0</v>
      </c>
      <c r="AR230">
        <f>_xlfn.XLOOKUP(B230,'[4]june-2025'!$A:$A,'[4]june-2025'!$G:$G,0,0)</f>
        <v>500</v>
      </c>
      <c r="AS230">
        <f>IF(AN230&gt;0,SUM(AN230:AR230),0)</f>
        <v>44050</v>
      </c>
      <c r="AT230">
        <f>_xlfn.XLOOKUP(B230,'[4]june-2025'!$A:$A,'[4]june-2025'!$H:$H,0,0)</f>
        <v>2500</v>
      </c>
      <c r="AU230">
        <f>_xlfn.XLOOKUP(B230,'[4]june-2025'!$A:$A,'[4]june-2025'!$I:$I,0,0)</f>
        <v>0</v>
      </c>
      <c r="AV230">
        <f>IF($F230="YES",0,IF(AS230&gt;40000,200,IF(AS230&gt;25000,150,IF(AS230&gt;15000,130,IF(AS230&gt;10000,110,0)))))</f>
        <v>200</v>
      </c>
      <c r="AW230">
        <f>AS230-AT230-AU230-AV230</f>
        <v>41350</v>
      </c>
      <c r="AX230">
        <f>_xlfn.XLOOKUP(B230,'[5]july-2025'!$A:$A,'[5]july-2025'!$C:$C,0,0)</f>
        <v>34500</v>
      </c>
      <c r="AY230">
        <f>AX230*0.18</f>
        <v>6210</v>
      </c>
      <c r="AZ230">
        <v>0</v>
      </c>
      <c r="BA230">
        <f>AX230*0.12</f>
        <v>4140</v>
      </c>
      <c r="BB230">
        <f>_xlfn.XLOOKUP(B230,'[5]july-2025'!$A:$A,'[5]july-2025'!$D:$D,0,0)</f>
        <v>0</v>
      </c>
      <c r="BC230">
        <f>_xlfn.XLOOKUP(B230,'[5]july-2025'!$A:$A,'[5]july-2025'!$G:$G,0,0)</f>
        <v>500</v>
      </c>
      <c r="BD230">
        <f>IF(AX230&gt;0,SUM(AX230:BC230),0)</f>
        <v>45350</v>
      </c>
      <c r="BE230">
        <f>_xlfn.XLOOKUP(B230,'[5]july-2025'!$A:$A,'[5]july-2025'!$H:$H,0,0)</f>
        <v>2500</v>
      </c>
      <c r="BF230">
        <f>_xlfn.XLOOKUP(B230,'[5]july-2025'!$A:$A,'[5]july-2025'!$I:$I,0,0)</f>
        <v>0</v>
      </c>
      <c r="BG230">
        <f>IF($F230="YES",0,IF(BD230&gt;40000,200,IF(BD230&gt;25000,150,IF(BD230&gt;15000,130,IF(BD230&gt;10000,110,0)))))</f>
        <v>200</v>
      </c>
      <c r="BH230">
        <f>BD230-BE230-BF230-BG230</f>
        <v>42650</v>
      </c>
      <c r="BI230">
        <f>_xlfn.XLOOKUP(B230,'[6]august-2025'!$A:$A,'[6]august-2025'!$C:$C,0,0)</f>
        <v>34500</v>
      </c>
      <c r="BJ230">
        <f>BI230*0.18</f>
        <v>6210</v>
      </c>
      <c r="BK230">
        <f>BI230*0.12</f>
        <v>4140</v>
      </c>
      <c r="BL230">
        <f>_xlfn.XLOOKUP(B230,'[6]august-2025'!$A:$A,'[6]august-2025'!$D:$D,0,0)</f>
        <v>0</v>
      </c>
      <c r="BM230">
        <f>_xlfn.XLOOKUP(B230,'[6]august-2025'!$A:$A,'[6]august-2025'!$G:$G,0,0)</f>
        <v>500</v>
      </c>
      <c r="BN230">
        <f>IF(BI230&gt;0,SUM(BI230:BM230),0)</f>
        <v>45350</v>
      </c>
      <c r="BO230">
        <f>_xlfn.XLOOKUP(B230,'[6]august-2025'!$A:$A,'[6]august-2025'!$H:$H,0,0)</f>
        <v>2500</v>
      </c>
      <c r="BP230">
        <f>_xlfn.XLOOKUP(B230,'[6]august-2025'!$A:$A,'[6]august-2025'!$I:$I,0,0)</f>
        <v>0</v>
      </c>
      <c r="BQ230">
        <f>IF($F230="YES",0,IF(BN230&gt;40000,200,IF(BN230&gt;25000,150,IF(BN230&gt;15000,130,IF(BN230&gt;10000,110,0)))))</f>
        <v>200</v>
      </c>
      <c r="BR230">
        <f>BN230-BO230-BP230-BQ230</f>
        <v>42650</v>
      </c>
      <c r="BS230">
        <f>_xlfn.XLOOKUP(B230,'[7]september-2025'!$A:$A,'[7]september-2025'!$C:$C,0,0)</f>
        <v>34500</v>
      </c>
      <c r="BT230">
        <f>BS230*0.18</f>
        <v>6210</v>
      </c>
      <c r="BU230">
        <f>BS230*0.12</f>
        <v>4140</v>
      </c>
      <c r="BV230">
        <f>_xlfn.XLOOKUP(B230,'[7]september-2025'!$A:$A,'[7]september-2025'!$D:$D,0,0)</f>
        <v>0</v>
      </c>
      <c r="BW230">
        <f>_xlfn.XLOOKUP(B230,'[7]september-2025'!$A:$A,'[7]september-2025'!$G:$G,0,0)</f>
        <v>500</v>
      </c>
      <c r="BX230">
        <f>IF(BS230&gt;0,SUM(BS230:BW230),0)</f>
        <v>45350</v>
      </c>
      <c r="BY230">
        <f>_xlfn.XLOOKUP(B230,'[7]september-2025'!$A:$A,'[7]september-2025'!$H:$H,0,0)</f>
        <v>2500</v>
      </c>
      <c r="BZ230">
        <f>_xlfn.XLOOKUP(B230,'[7]september-2025'!$A:$A,'[7]september-2025'!$I:$I,0,0)</f>
        <v>0</v>
      </c>
      <c r="CA230">
        <f>IF($F230="YES",0,IF(BX230&gt;40000,200,IF(BX230&gt;25000,150,IF(BX230&gt;15000,130,IF(BX230&gt;10000,110,0)))))</f>
        <v>200</v>
      </c>
      <c r="CB230">
        <f>BX230-BY230-BZ230-CA230</f>
        <v>42650</v>
      </c>
      <c r="CC230">
        <f>_xlfn.XLOOKUP(B230,'[8]october-2025'!$A:$A,'[8]october-2025'!$C:$C,0,0)</f>
        <v>34500</v>
      </c>
      <c r="CD230">
        <f>CC230*0.18</f>
        <v>6210</v>
      </c>
      <c r="CE230">
        <f>CC230*0.12</f>
        <v>4140</v>
      </c>
      <c r="CF230">
        <f>_xlfn.XLOOKUP(B230,'[8]october-2025'!$A:$A,'[8]october-2025'!$D:$D,0,0)</f>
        <v>0</v>
      </c>
      <c r="CG230">
        <f>_xlfn.XLOOKUP(B230,'[8]october-2025'!$A:$A,'[8]october-2025'!$G:$G,0,0)</f>
        <v>500</v>
      </c>
      <c r="CH230">
        <f>IF(CC230&gt;0,SUM(CC230:CG230),0)</f>
        <v>45350</v>
      </c>
      <c r="CI230">
        <f>_xlfn.XLOOKUP(B230,'[8]october-2025'!$A:$A,'[8]october-2025'!$H:$H,0,0)</f>
        <v>2500</v>
      </c>
      <c r="CJ230">
        <f>_xlfn.XLOOKUP(B230,'[8]october-2025'!$A:$A,'[8]october-2025'!$I:$I,0,0)</f>
        <v>0</v>
      </c>
      <c r="CK230">
        <f>IF($F230="YES",0,IF(CH230&gt;40000,200,IF(CH230&gt;25000,150,IF(CH230&gt;15000,130,IF(CH230&gt;10000,110,0)))))</f>
        <v>200</v>
      </c>
      <c r="CL230">
        <f>CH230-CI230-CJ230-CK230</f>
        <v>42650</v>
      </c>
      <c r="CM230">
        <f>_xlfn.XLOOKUP(B230,'[9]november-2025'!$A:$A,'[9]november-2025'!$C:$C,0,0)</f>
        <v>34500</v>
      </c>
      <c r="CN230">
        <f>CM230*0.18</f>
        <v>6210</v>
      </c>
      <c r="CO230">
        <f>CM230*0.12</f>
        <v>4140</v>
      </c>
      <c r="CP230">
        <f>_xlfn.XLOOKUP(B230,'[9]november-2025'!$A:$A,'[9]november-2025'!$D:$D,0,0)</f>
        <v>0</v>
      </c>
      <c r="CQ230">
        <f>_xlfn.XLOOKUP(B230,'[9]november-2025'!$A:$A,'[9]november-2025'!$G:$G,0,0)</f>
        <v>500</v>
      </c>
      <c r="CR230">
        <f>IF(CM230&gt;0,SUM(CM230:CQ230),0)</f>
        <v>45350</v>
      </c>
      <c r="CS230">
        <f>_xlfn.XLOOKUP(B230,'[9]november-2025'!$A:$A,'[9]november-2025'!$H:$H,0,0)</f>
        <v>2500</v>
      </c>
      <c r="CT230">
        <f>_xlfn.XLOOKUP(B230,'[9]november-2025'!$A:$A,'[9]november-2025'!$I:$I,0,0)</f>
        <v>0</v>
      </c>
      <c r="CU230">
        <f>IF($F230="YES",0,IF(CR230&gt;40000,200,IF(CR230&gt;25000,150,IF(CR230&gt;15000,130,IF(CR230&gt;10000,110,0)))))</f>
        <v>200</v>
      </c>
      <c r="CV230">
        <f>CR230-CS230-CT230-CU230</f>
        <v>42650</v>
      </c>
      <c r="CW230">
        <f>_xlfn.XLOOKUP(B230,'[10]december-2025'!$A:$A,'[10]december-2025'!$C:$C,0,0)</f>
        <v>34500</v>
      </c>
      <c r="CX230">
        <f>ROUND(CW230*0.18,0)</f>
        <v>6210</v>
      </c>
      <c r="CY230">
        <f>ROUND(CW230*0.12,0)</f>
        <v>4140</v>
      </c>
      <c r="CZ230">
        <f>_xlfn.XLOOKUP(B230,'[10]december-2025'!$A:$A,'[10]december-2025'!$D:$D,0,0)</f>
        <v>0</v>
      </c>
      <c r="DA230">
        <f>_xlfn.XLOOKUP(B230,'[10]december-2025'!$A:$A,'[10]december-2025'!$G:$G,0,0)</f>
        <v>500</v>
      </c>
      <c r="DB230">
        <f>IF(CW230&gt;0,SUM(CW230:DA230),0)</f>
        <v>45350</v>
      </c>
      <c r="DC230">
        <f>_xlfn.XLOOKUP(B230,'[10]december-2025'!$A:$A,'[10]december-2025'!$H:$H,0,0)</f>
        <v>2500</v>
      </c>
      <c r="DD230">
        <f>_xlfn.XLOOKUP(B230,'[10]december-2025'!$A:$A,'[10]december-2025'!$I:$I,0,0)</f>
        <v>0</v>
      </c>
      <c r="DE230">
        <f>IF($F230="YES",0,IF(DB230&gt;40000,200,IF(DB230&gt;25000,150,IF(DB230&gt;15000,130,IF(DB230&gt;10000,110,0)))))</f>
        <v>200</v>
      </c>
      <c r="DF230">
        <f>DB230-DC230-DD230-DE230</f>
        <v>42650</v>
      </c>
      <c r="DG230">
        <f>_xlfn.XLOOKUP(B230,'[11]january-2026'!$A:$A,'[11]january-2026'!$C:$C,0,0)</f>
        <v>34500</v>
      </c>
      <c r="DH230">
        <f>DG230*0.18</f>
        <v>6210</v>
      </c>
      <c r="DI230">
        <f>DG230*0.12</f>
        <v>4140</v>
      </c>
      <c r="DJ230">
        <f>_xlfn.XLOOKUP(B230,'[11]january-2026'!$A:$A,'[11]january-2026'!$D:$D,0,0)</f>
        <v>0</v>
      </c>
      <c r="DK230">
        <f>_xlfn.XLOOKUP(B230,'[11]january-2026'!$A:$A,'[11]january-2026'!$G:$G,0,0)</f>
        <v>500</v>
      </c>
      <c r="DL230">
        <f>IF(DG230&gt;0,SUM(DG230:DK230),0)</f>
        <v>45350</v>
      </c>
      <c r="DM230">
        <f>_xlfn.XLOOKUP(B230,'[11]january-2026'!$A:$A,'[11]january-2026'!$H:$H,0,0)</f>
        <v>2500</v>
      </c>
      <c r="DN230">
        <f>_xlfn.XLOOKUP(B230,'[11]january-2026'!$A:$A,'[11]january-2026'!$I:$I,0,0)</f>
        <v>0</v>
      </c>
      <c r="DO230">
        <f>IF($F230="YES",0,IF(DL230&gt;40000,200,IF(DL230&gt;25000,150,IF(DL230&gt;15000,130,IF(DL230&gt;10000,110,0)))))</f>
        <v>200</v>
      </c>
      <c r="DP230">
        <f>DL230-DM230-DN230-DO230</f>
        <v>42650</v>
      </c>
      <c r="DQ230">
        <f>_xlfn.XLOOKUP(B230,'[12]february-2026'!$A:$A,'[12]february-2026'!$C:$C,0,0)</f>
        <v>34500</v>
      </c>
      <c r="DR230">
        <f>DQ230*0.18</f>
        <v>6210</v>
      </c>
      <c r="DS230">
        <f>DQ230*0.12</f>
        <v>4140</v>
      </c>
      <c r="DT230">
        <f>_xlfn.XLOOKUP(B230,'[12]february-2026'!$A:$A,'[12]february-2026'!$D:$D,0,0)</f>
        <v>0</v>
      </c>
      <c r="DU230">
        <f>_xlfn.XLOOKUP(B230,'[12]february-2026'!$A:$A,'[12]february-2026'!$G:$G,0,0)</f>
        <v>500</v>
      </c>
      <c r="DV230">
        <f>IF(DQ230&gt;0,SUM(DQ230:DU230),0)</f>
        <v>45350</v>
      </c>
      <c r="DW230">
        <f>_xlfn.XLOOKUP(B230,'[12]february-2026'!$A:$A,'[12]february-2026'!$H:$H,0,0)</f>
        <v>2500</v>
      </c>
      <c r="DX230">
        <f>_xlfn.XLOOKUP(B230,'[12]february-2026'!$A:$A,'[12]february-2026'!$I:$I,0,0)</f>
        <v>0</v>
      </c>
      <c r="DY230">
        <f>IF($F230="YES",0,IF(DV230&gt;40000,200,IF(DV230&gt;25000,150,IF(DV230&gt;15000,130,IF(DV230&gt;10000,110,0)))))</f>
        <v>200</v>
      </c>
      <c r="DZ230">
        <f>DV230-DW230-DX230-DY230</f>
        <v>42650</v>
      </c>
      <c r="EA230">
        <f>DV230+DL230+DB230+CR230+CH230+BX230+BN230+BD230+AS230+AI230+Y230+O230+H230+I230</f>
        <v>544460</v>
      </c>
      <c r="EB230">
        <f>DY230+DO230+DE230+CU230+CK230+CA230+BQ230+BG230+AV230+AL230+AB230+R230</f>
        <v>2400</v>
      </c>
      <c r="EC230">
        <f>IF(EA230&gt;0,50000,0)</f>
        <v>50000</v>
      </c>
      <c r="ED230">
        <v>0</v>
      </c>
      <c r="EE230">
        <f>EA230-EB230-EC230</f>
        <v>492060</v>
      </c>
      <c r="EF230">
        <f>DW230+DM230+DC230+CS230+CI230+BY230+BO230+BE230+AT230+AJ230+Z230+P230</f>
        <v>30000</v>
      </c>
      <c r="EG230">
        <f>DX230+DN230+DD230+CT230+CJ230+BZ230+BP230+BF230+AU230+AK230+AA230+Q230</f>
        <v>0</v>
      </c>
      <c r="EH230">
        <v>0</v>
      </c>
      <c r="EI230">
        <v>0</v>
      </c>
      <c r="EJ230">
        <v>0</v>
      </c>
      <c r="EK230">
        <v>0</v>
      </c>
      <c r="EL230">
        <v>0</v>
      </c>
      <c r="EM230">
        <v>0</v>
      </c>
      <c r="EN230">
        <v>0</v>
      </c>
      <c r="EO230">
        <v>0</v>
      </c>
      <c r="EP230">
        <v>0</v>
      </c>
      <c r="EQ230">
        <v>0</v>
      </c>
      <c r="ER230">
        <f>SUM(EF230:EQ230)</f>
        <v>30000</v>
      </c>
      <c r="ES230">
        <f>IF(ER230&gt;=150000,150000,ER230)</f>
        <v>30000</v>
      </c>
      <c r="ET230">
        <f>EE230-ES230</f>
        <v>462060</v>
      </c>
      <c r="EU230">
        <v>0</v>
      </c>
      <c r="EV230">
        <v>0</v>
      </c>
      <c r="EW230">
        <v>0</v>
      </c>
      <c r="EX230">
        <v>0</v>
      </c>
      <c r="EY230">
        <v>0</v>
      </c>
      <c r="EZ230">
        <v>0</v>
      </c>
      <c r="FA230">
        <v>0</v>
      </c>
      <c r="FB230">
        <f>SUM(EU230:FA230)+(IF(F230="YES",50000,0))</f>
        <v>0</v>
      </c>
      <c r="FC230">
        <f>ET230-FB230</f>
        <v>462060</v>
      </c>
      <c r="FD230">
        <f>ROUND(IF(FC230&gt;0,IF(FC230&gt;500000,12500,(FC230-250000)*0.05),0),0)</f>
        <v>10603</v>
      </c>
      <c r="FE230">
        <f>IF(ROUND(IF(FC230&gt;0,IF(FC230&gt;1000000,25000,(FC230-500000)*0.2),0),0)&lt;0,0,ROUND(IF(FC230&gt;0,IF(FC230&gt;1000000,25000,(FC230-500000)*0.2),0),0))</f>
        <v>0</v>
      </c>
      <c r="FF230">
        <f>FD230+FE230</f>
        <v>10603</v>
      </c>
      <c r="FG230">
        <f>IF(FF230&lt;12500,0,FF230)</f>
        <v>0</v>
      </c>
      <c r="FH230">
        <f>FG230*0.04</f>
        <v>0</v>
      </c>
      <c r="FI230">
        <f>ROUND(FH230+FG230,0)</f>
        <v>0</v>
      </c>
      <c r="FJ230">
        <v>0</v>
      </c>
      <c r="FK230">
        <f>FI230-FJ230</f>
        <v>0</v>
      </c>
      <c r="FL230" t="b">
        <f>IF(EA230&gt;500000,TRUE,FALSE)</f>
        <v>1</v>
      </c>
      <c r="FM230">
        <f ca="1">IF(FL230,RANDBETWEEN(500,1000),RANDBETWEEN(1000,3000))</f>
        <v>887</v>
      </c>
      <c r="FN230">
        <f ca="1">EA230+FM230</f>
        <v>545347</v>
      </c>
      <c r="FO230">
        <f>IF(EA230&gt;0,75000,0)</f>
        <v>75000</v>
      </c>
      <c r="FP230">
        <f ca="1">FN230-FO230</f>
        <v>470347</v>
      </c>
      <c r="FQ230">
        <f ca="1">IF(FP230&gt;2400000,FP230-2400000,0)</f>
        <v>0</v>
      </c>
      <c r="FR230">
        <f ca="1">FQ230*0.3</f>
        <v>0</v>
      </c>
      <c r="FS230">
        <f ca="1">IF(FP230&gt;2000000,FP230-2000000,0)</f>
        <v>0</v>
      </c>
      <c r="FT230">
        <f ca="1">FS230*0.25</f>
        <v>0</v>
      </c>
      <c r="FU230">
        <f ca="1">IF(FP230&gt;1600000,FP230-1600000-FQ230,0)</f>
        <v>0</v>
      </c>
      <c r="FV230">
        <f ca="1">FU230*0.2</f>
        <v>0</v>
      </c>
      <c r="FW230">
        <f ca="1">IF(FP230&gt;1200000,FP230-1200000-IF(F230="YES",50000,0)-FU230,0)</f>
        <v>0</v>
      </c>
      <c r="FX230">
        <f ca="1">FW230*0.15</f>
        <v>0</v>
      </c>
      <c r="FY230">
        <f ca="1">IF(FP230&gt;800000,FP230-800000-FQ230-FU230-FW230,0)</f>
        <v>0</v>
      </c>
      <c r="FZ230">
        <f ca="1">FY230*0.1</f>
        <v>0</v>
      </c>
      <c r="GA230">
        <f ca="1">IF(FP230&gt;400000,FP230-400000-FQ230-FU230-FW230-FY230,0)</f>
        <v>70347</v>
      </c>
      <c r="GB230">
        <f ca="1">GA230*0.05</f>
        <v>3517.3500000000004</v>
      </c>
      <c r="GC230">
        <f ca="1">ROUND(FR230+FT230+FV230+FX230+FZ230+GB230,0)</f>
        <v>3517</v>
      </c>
      <c r="GD230">
        <f ca="1">IF(FP230&gt;1200000,FP230,0)</f>
        <v>0</v>
      </c>
      <c r="GE230">
        <f ca="1">IF(FP230&gt;1200000,GD230-1200000,0)</f>
        <v>0</v>
      </c>
      <c r="GF230">
        <f ca="1">IF(FP230&lt;1200001,MIN(GC230,60000),0)</f>
        <v>3517</v>
      </c>
      <c r="GG230">
        <f ca="1">IF(FP230&gt;1200000,GC230-GE230,0)</f>
        <v>0</v>
      </c>
      <c r="GH230" t="b">
        <f ca="1">IF(GG230&gt;0,TRUE,FALSE)</f>
        <v>0</v>
      </c>
      <c r="GI230">
        <f ca="1">IF(GH230,GG230,0)</f>
        <v>0</v>
      </c>
      <c r="GJ230">
        <f ca="1">GF230+GI230</f>
        <v>3517</v>
      </c>
      <c r="GK230">
        <f ca="1">ROUND(GC230-GJ230,0)</f>
        <v>0</v>
      </c>
      <c r="GL230">
        <f ca="1">GK230*0.04</f>
        <v>0</v>
      </c>
      <c r="GM230">
        <f ca="1">ROUNDUP(GK230+GL230,0)</f>
        <v>0</v>
      </c>
    </row>
    <row r="231" spans="1:195" x14ac:dyDescent="0.25">
      <c r="A231">
        <f>_xlfn.AGGREGATE(3,5,$B$2:B231)</f>
        <v>230</v>
      </c>
      <c r="B231" t="s">
        <v>571</v>
      </c>
      <c r="C231" t="s">
        <v>572</v>
      </c>
      <c r="D231" t="s">
        <v>811</v>
      </c>
      <c r="E231" t="s">
        <v>833</v>
      </c>
      <c r="F231" t="s">
        <v>959</v>
      </c>
      <c r="G231" t="s">
        <v>883</v>
      </c>
      <c r="H231">
        <f>IF(_xlfn.DAYS("31-03-2025",G231)&gt;=180,6800,0)</f>
        <v>6800</v>
      </c>
      <c r="I231">
        <f>_xlfn.XLOOKUP(B231,'[1]march-2025'!$A:$A,'[1]march-2025'!$J:$J,0,0)</f>
        <v>0</v>
      </c>
      <c r="J231">
        <f>_xlfn.XLOOKUP(B231,'[1]march-2025'!$A:$A,'[1]march-2025'!$C:$C,0,0)</f>
        <v>28900</v>
      </c>
      <c r="K231">
        <f>J231*0.14</f>
        <v>4046.0000000000005</v>
      </c>
      <c r="L231">
        <f>J231*0.12</f>
        <v>3468</v>
      </c>
      <c r="M231">
        <f>_xlfn.XLOOKUP(B231,'[1]march-2025'!$A:$A,'[1]march-2025'!$D:$D,0,0)</f>
        <v>0</v>
      </c>
      <c r="N231">
        <f>_xlfn.XLOOKUP(B231,'[1]march-2025'!$A:$A,'[1]march-2025'!$G:$G,0,0)</f>
        <v>500</v>
      </c>
      <c r="O231">
        <f>IF(J231&gt;0,SUM(J231:N231),0)</f>
        <v>36914</v>
      </c>
      <c r="P231">
        <f>_xlfn.XLOOKUP(B231,'[1]march-2025'!$A:$A,'[1]march-2025'!$H:$H,0,0)</f>
        <v>2000</v>
      </c>
      <c r="Q231">
        <f>_xlfn.XLOOKUP(B231,'[1]march-2025'!$A:$A,'[1]march-2025'!$I:$I,0,0)</f>
        <v>0</v>
      </c>
      <c r="R231">
        <f>IF($F231="YES",0,IF(O231&gt;40000,200,IF(O231&gt;25000,150,IF(O231&gt;15000,130,IF(O231&gt;10000,110,0)))))</f>
        <v>150</v>
      </c>
      <c r="S231">
        <f>O231-P231-Q231-R231</f>
        <v>34764</v>
      </c>
      <c r="T231">
        <f>_xlfn.XLOOKUP(B231,'[2]april-2025'!$A:$A,'[2]april-2025'!$C:$C,0,0)</f>
        <v>28900</v>
      </c>
      <c r="U231">
        <f>T231*0.18</f>
        <v>5202</v>
      </c>
      <c r="V231">
        <f>T231*0.12</f>
        <v>3468</v>
      </c>
      <c r="W231">
        <f>_xlfn.XLOOKUP(B231,'[2]april-2025'!$A:$A,'[2]april-2025'!$D:$D,0,0)</f>
        <v>0</v>
      </c>
      <c r="X231">
        <f>_xlfn.XLOOKUP(B231,'[2]april-2025'!$A:$A,'[2]april-2025'!$G:$G,0,0)</f>
        <v>500</v>
      </c>
      <c r="Y231">
        <f>IF(T231&gt;0,SUM(T231:X231),0)</f>
        <v>38070</v>
      </c>
      <c r="Z231">
        <f>_xlfn.XLOOKUP(B231,'[2]april-2025'!$A:$A,'[2]april-2025'!$H:$H,0,0)</f>
        <v>2000</v>
      </c>
      <c r="AA231">
        <f>_xlfn.XLOOKUP(B231,'[2]april-2025'!$A:$A,'[2]april-2025'!$I:$I,0,0)</f>
        <v>0</v>
      </c>
      <c r="AB231">
        <f>IF($F231="YES",0,IF(Y231&gt;40000,200,IF(Y231&gt;25000,150,IF(Y231&gt;15000,130,IF(Y231&gt;10000,110,0)))))</f>
        <v>150</v>
      </c>
      <c r="AC231">
        <f>Y231-Z231-AA231-AB231</f>
        <v>35920</v>
      </c>
      <c r="AD231">
        <f>_xlfn.XLOOKUP(B231,'[3]may-2025'!$A:$A,'[3]may-2025'!$C:$C,0,0)</f>
        <v>28900</v>
      </c>
      <c r="AE231">
        <f>AD231*0.18</f>
        <v>5202</v>
      </c>
      <c r="AF231">
        <f>AD231*0.12</f>
        <v>3468</v>
      </c>
      <c r="AG231">
        <f>_xlfn.XLOOKUP(B231,'[3]may-2025'!$A:$A,'[3]may-2025'!$D:$D,0,0)</f>
        <v>0</v>
      </c>
      <c r="AH231">
        <f>_xlfn.XLOOKUP(B231,'[3]may-2025'!$A:$A,'[3]may-2025'!$G:$G,0,0)</f>
        <v>500</v>
      </c>
      <c r="AI231">
        <f>IF(AD231&gt;0,SUM(AD231:AH231),0)</f>
        <v>38070</v>
      </c>
      <c r="AJ231">
        <f>_xlfn.XLOOKUP(B231,'[3]may-2025'!$A:$A,'[3]may-2025'!$H:$H,0,0)</f>
        <v>2000</v>
      </c>
      <c r="AK231">
        <f>_xlfn.XLOOKUP(B231,'[3]may-2025'!$A:$A,'[3]may-2025'!$I:$I,0,0)</f>
        <v>0</v>
      </c>
      <c r="AL231">
        <f>IF($F231="YES",0,IF(AI231&gt;40000,200,IF(AI231&gt;25000,150,IF(AI231&gt;15000,130,IF(AI231&gt;10000,110,0)))))</f>
        <v>150</v>
      </c>
      <c r="AM231">
        <f>AI231-AJ231-AK231-AL231</f>
        <v>35920</v>
      </c>
      <c r="AN231">
        <f>_xlfn.XLOOKUP(B231,'[4]june-2025'!$A:$A,'[4]june-2025'!$C:$C,0,0)</f>
        <v>28900</v>
      </c>
      <c r="AO231">
        <f>AN231*0.18</f>
        <v>5202</v>
      </c>
      <c r="AP231">
        <f>AN231*0.12</f>
        <v>3468</v>
      </c>
      <c r="AQ231">
        <f>_xlfn.XLOOKUP(B231,'[4]june-2025'!$A:$A,'[4]june-2025'!$D:$D,0,0)</f>
        <v>0</v>
      </c>
      <c r="AR231">
        <f>_xlfn.XLOOKUP(B231,'[4]june-2025'!$A:$A,'[4]june-2025'!$G:$G,0,0)</f>
        <v>500</v>
      </c>
      <c r="AS231">
        <f>IF(AN231&gt;0,SUM(AN231:AR231),0)</f>
        <v>38070</v>
      </c>
      <c r="AT231">
        <f>_xlfn.XLOOKUP(B231,'[4]june-2025'!$A:$A,'[4]june-2025'!$H:$H,0,0)</f>
        <v>2000</v>
      </c>
      <c r="AU231">
        <f>_xlfn.XLOOKUP(B231,'[4]june-2025'!$A:$A,'[4]june-2025'!$I:$I,0,0)</f>
        <v>0</v>
      </c>
      <c r="AV231">
        <f>IF($F231="YES",0,IF(AS231&gt;40000,200,IF(AS231&gt;25000,150,IF(AS231&gt;15000,130,IF(AS231&gt;10000,110,0)))))</f>
        <v>150</v>
      </c>
      <c r="AW231">
        <f>AS231-AT231-AU231-AV231</f>
        <v>35920</v>
      </c>
      <c r="AX231">
        <f>_xlfn.XLOOKUP(B231,'[5]july-2025'!$A:$A,'[5]july-2025'!$C:$C,0,0)</f>
        <v>29800</v>
      </c>
      <c r="AY231">
        <f>AX231*0.18</f>
        <v>5364</v>
      </c>
      <c r="AZ231">
        <v>0</v>
      </c>
      <c r="BA231">
        <f>AX231*0.12</f>
        <v>3576</v>
      </c>
      <c r="BB231">
        <f>_xlfn.XLOOKUP(B231,'[5]july-2025'!$A:$A,'[5]july-2025'!$D:$D,0,0)</f>
        <v>0</v>
      </c>
      <c r="BC231">
        <f>_xlfn.XLOOKUP(B231,'[5]july-2025'!$A:$A,'[5]july-2025'!$G:$G,0,0)</f>
        <v>500</v>
      </c>
      <c r="BD231">
        <f>IF(AX231&gt;0,SUM(AX231:BC231),0)</f>
        <v>39240</v>
      </c>
      <c r="BE231">
        <f>_xlfn.XLOOKUP(B231,'[5]july-2025'!$A:$A,'[5]july-2025'!$H:$H,0,0)</f>
        <v>2000</v>
      </c>
      <c r="BF231">
        <f>_xlfn.XLOOKUP(B231,'[5]july-2025'!$A:$A,'[5]july-2025'!$I:$I,0,0)</f>
        <v>0</v>
      </c>
      <c r="BG231">
        <f>IF($F231="YES",0,IF(BD231&gt;40000,200,IF(BD231&gt;25000,150,IF(BD231&gt;15000,130,IF(BD231&gt;10000,110,0)))))</f>
        <v>150</v>
      </c>
      <c r="BH231">
        <f>BD231-BE231-BF231-BG231</f>
        <v>37090</v>
      </c>
      <c r="BI231">
        <f>_xlfn.XLOOKUP(B231,'[6]august-2025'!$A:$A,'[6]august-2025'!$C:$C,0,0)</f>
        <v>29800</v>
      </c>
      <c r="BJ231">
        <f>BI231*0.18</f>
        <v>5364</v>
      </c>
      <c r="BK231">
        <f>BI231*0.12</f>
        <v>3576</v>
      </c>
      <c r="BL231">
        <f>_xlfn.XLOOKUP(B231,'[6]august-2025'!$A:$A,'[6]august-2025'!$D:$D,0,0)</f>
        <v>0</v>
      </c>
      <c r="BM231">
        <f>_xlfn.XLOOKUP(B231,'[6]august-2025'!$A:$A,'[6]august-2025'!$G:$G,0,0)</f>
        <v>500</v>
      </c>
      <c r="BN231">
        <f>IF(BI231&gt;0,SUM(BI231:BM231),0)</f>
        <v>39240</v>
      </c>
      <c r="BO231">
        <f>_xlfn.XLOOKUP(B231,'[6]august-2025'!$A:$A,'[6]august-2025'!$H:$H,0,0)</f>
        <v>2000</v>
      </c>
      <c r="BP231">
        <f>_xlfn.XLOOKUP(B231,'[6]august-2025'!$A:$A,'[6]august-2025'!$I:$I,0,0)</f>
        <v>0</v>
      </c>
      <c r="BQ231">
        <f>IF($F231="YES",0,IF(BN231&gt;40000,200,IF(BN231&gt;25000,150,IF(BN231&gt;15000,130,IF(BN231&gt;10000,110,0)))))</f>
        <v>150</v>
      </c>
      <c r="BR231">
        <f>BN231-BO231-BP231-BQ231</f>
        <v>37090</v>
      </c>
      <c r="BS231">
        <f>_xlfn.XLOOKUP(B231,'[7]september-2025'!$A:$A,'[7]september-2025'!$C:$C,0,0)</f>
        <v>29800</v>
      </c>
      <c r="BT231">
        <f>BS231*0.18</f>
        <v>5364</v>
      </c>
      <c r="BU231">
        <f>BS231*0.12</f>
        <v>3576</v>
      </c>
      <c r="BV231">
        <f>_xlfn.XLOOKUP(B231,'[7]september-2025'!$A:$A,'[7]september-2025'!$D:$D,0,0)</f>
        <v>0</v>
      </c>
      <c r="BW231">
        <f>_xlfn.XLOOKUP(B231,'[7]september-2025'!$A:$A,'[7]september-2025'!$G:$G,0,0)</f>
        <v>500</v>
      </c>
      <c r="BX231">
        <f>IF(BS231&gt;0,SUM(BS231:BW231),0)</f>
        <v>39240</v>
      </c>
      <c r="BY231">
        <f>_xlfn.XLOOKUP(B231,'[7]september-2025'!$A:$A,'[7]september-2025'!$H:$H,0,0)</f>
        <v>2000</v>
      </c>
      <c r="BZ231">
        <f>_xlfn.XLOOKUP(B231,'[7]september-2025'!$A:$A,'[7]september-2025'!$I:$I,0,0)</f>
        <v>0</v>
      </c>
      <c r="CA231">
        <f>IF($F231="YES",0,IF(BX231&gt;40000,200,IF(BX231&gt;25000,150,IF(BX231&gt;15000,130,IF(BX231&gt;10000,110,0)))))</f>
        <v>150</v>
      </c>
      <c r="CB231">
        <f>BX231-BY231-BZ231-CA231</f>
        <v>37090</v>
      </c>
      <c r="CC231">
        <f>_xlfn.XLOOKUP(B231,'[8]october-2025'!$A:$A,'[8]october-2025'!$C:$C,0,0)</f>
        <v>29800</v>
      </c>
      <c r="CD231">
        <f>CC231*0.18</f>
        <v>5364</v>
      </c>
      <c r="CE231">
        <f>CC231*0.12</f>
        <v>3576</v>
      </c>
      <c r="CF231">
        <f>_xlfn.XLOOKUP(B231,'[8]october-2025'!$A:$A,'[8]october-2025'!$D:$D,0,0)</f>
        <v>0</v>
      </c>
      <c r="CG231">
        <f>_xlfn.XLOOKUP(B231,'[8]october-2025'!$A:$A,'[8]october-2025'!$G:$G,0,0)</f>
        <v>500</v>
      </c>
      <c r="CH231">
        <f>IF(CC231&gt;0,SUM(CC231:CG231),0)</f>
        <v>39240</v>
      </c>
      <c r="CI231">
        <f>_xlfn.XLOOKUP(B231,'[8]october-2025'!$A:$A,'[8]october-2025'!$H:$H,0,0)</f>
        <v>2000</v>
      </c>
      <c r="CJ231">
        <f>_xlfn.XLOOKUP(B231,'[8]october-2025'!$A:$A,'[8]october-2025'!$I:$I,0,0)</f>
        <v>0</v>
      </c>
      <c r="CK231">
        <f>IF($F231="YES",0,IF(CH231&gt;40000,200,IF(CH231&gt;25000,150,IF(CH231&gt;15000,130,IF(CH231&gt;10000,110,0)))))</f>
        <v>150</v>
      </c>
      <c r="CL231">
        <f>CH231-CI231-CJ231-CK231</f>
        <v>37090</v>
      </c>
      <c r="CM231">
        <f>_xlfn.XLOOKUP(B231,'[9]november-2025'!$A:$A,'[9]november-2025'!$C:$C,0,0)</f>
        <v>29800</v>
      </c>
      <c r="CN231">
        <f>CM231*0.18</f>
        <v>5364</v>
      </c>
      <c r="CO231">
        <f>CM231*0.12</f>
        <v>3576</v>
      </c>
      <c r="CP231">
        <f>_xlfn.XLOOKUP(B231,'[9]november-2025'!$A:$A,'[9]november-2025'!$D:$D,0,0)</f>
        <v>0</v>
      </c>
      <c r="CQ231">
        <f>_xlfn.XLOOKUP(B231,'[9]november-2025'!$A:$A,'[9]november-2025'!$G:$G,0,0)</f>
        <v>500</v>
      </c>
      <c r="CR231">
        <f>IF(CM231&gt;0,SUM(CM231:CQ231),0)</f>
        <v>39240</v>
      </c>
      <c r="CS231">
        <f>_xlfn.XLOOKUP(B231,'[9]november-2025'!$A:$A,'[9]november-2025'!$H:$H,0,0)</f>
        <v>2000</v>
      </c>
      <c r="CT231">
        <f>_xlfn.XLOOKUP(B231,'[9]november-2025'!$A:$A,'[9]november-2025'!$I:$I,0,0)</f>
        <v>0</v>
      </c>
      <c r="CU231">
        <f>IF($F231="YES",0,IF(CR231&gt;40000,200,IF(CR231&gt;25000,150,IF(CR231&gt;15000,130,IF(CR231&gt;10000,110,0)))))</f>
        <v>150</v>
      </c>
      <c r="CV231">
        <f>CR231-CS231-CT231-CU231</f>
        <v>37090</v>
      </c>
      <c r="CW231">
        <f>_xlfn.XLOOKUP(B231,'[10]december-2025'!$A:$A,'[10]december-2025'!$C:$C,0,0)</f>
        <v>29800</v>
      </c>
      <c r="CX231">
        <f>ROUND(CW231*0.18,0)</f>
        <v>5364</v>
      </c>
      <c r="CY231">
        <f>ROUND(CW231*0.12,0)</f>
        <v>3576</v>
      </c>
      <c r="CZ231">
        <f>_xlfn.XLOOKUP(B231,'[10]december-2025'!$A:$A,'[10]december-2025'!$D:$D,0,0)</f>
        <v>0</v>
      </c>
      <c r="DA231">
        <f>_xlfn.XLOOKUP(B231,'[10]december-2025'!$A:$A,'[10]december-2025'!$G:$G,0,0)</f>
        <v>500</v>
      </c>
      <c r="DB231">
        <f>IF(CW231&gt;0,SUM(CW231:DA231),0)</f>
        <v>39240</v>
      </c>
      <c r="DC231">
        <f>_xlfn.XLOOKUP(B231,'[10]december-2025'!$A:$A,'[10]december-2025'!$H:$H,0,0)</f>
        <v>2000</v>
      </c>
      <c r="DD231">
        <f>_xlfn.XLOOKUP(B231,'[10]december-2025'!$A:$A,'[10]december-2025'!$I:$I,0,0)</f>
        <v>0</v>
      </c>
      <c r="DE231">
        <f>IF($F231="YES",0,IF(DB231&gt;40000,200,IF(DB231&gt;25000,150,IF(DB231&gt;15000,130,IF(DB231&gt;10000,110,0)))))</f>
        <v>150</v>
      </c>
      <c r="DF231">
        <f>DB231-DC231-DD231-DE231</f>
        <v>37090</v>
      </c>
      <c r="DG231">
        <f>_xlfn.XLOOKUP(B231,'[11]january-2026'!$A:$A,'[11]january-2026'!$C:$C,0,0)</f>
        <v>29800</v>
      </c>
      <c r="DH231">
        <f>DG231*0.18</f>
        <v>5364</v>
      </c>
      <c r="DI231">
        <f>DG231*0.12</f>
        <v>3576</v>
      </c>
      <c r="DJ231">
        <f>_xlfn.XLOOKUP(B231,'[11]january-2026'!$A:$A,'[11]january-2026'!$D:$D,0,0)</f>
        <v>0</v>
      </c>
      <c r="DK231">
        <f>_xlfn.XLOOKUP(B231,'[11]january-2026'!$A:$A,'[11]january-2026'!$G:$G,0,0)</f>
        <v>500</v>
      </c>
      <c r="DL231">
        <f>IF(DG231&gt;0,SUM(DG231:DK231),0)</f>
        <v>39240</v>
      </c>
      <c r="DM231">
        <f>_xlfn.XLOOKUP(B231,'[11]january-2026'!$A:$A,'[11]january-2026'!$H:$H,0,0)</f>
        <v>2000</v>
      </c>
      <c r="DN231">
        <f>_xlfn.XLOOKUP(B231,'[11]january-2026'!$A:$A,'[11]january-2026'!$I:$I,0,0)</f>
        <v>0</v>
      </c>
      <c r="DO231">
        <f>IF($F231="YES",0,IF(DL231&gt;40000,200,IF(DL231&gt;25000,150,IF(DL231&gt;15000,130,IF(DL231&gt;10000,110,0)))))</f>
        <v>150</v>
      </c>
      <c r="DP231">
        <f>DL231-DM231-DN231-DO231</f>
        <v>37090</v>
      </c>
      <c r="DQ231">
        <f>_xlfn.XLOOKUP(B231,'[12]february-2026'!$A:$A,'[12]february-2026'!$C:$C,0,0)</f>
        <v>29800</v>
      </c>
      <c r="DR231">
        <f>DQ231*0.18</f>
        <v>5364</v>
      </c>
      <c r="DS231">
        <f>DQ231*0.12</f>
        <v>3576</v>
      </c>
      <c r="DT231">
        <f>_xlfn.XLOOKUP(B231,'[12]february-2026'!$A:$A,'[12]february-2026'!$D:$D,0,0)</f>
        <v>0</v>
      </c>
      <c r="DU231">
        <f>_xlfn.XLOOKUP(B231,'[12]february-2026'!$A:$A,'[12]february-2026'!$G:$G,0,0)</f>
        <v>500</v>
      </c>
      <c r="DV231">
        <f>IF(DQ231&gt;0,SUM(DQ231:DU231),0)</f>
        <v>39240</v>
      </c>
      <c r="DW231">
        <f>_xlfn.XLOOKUP(B231,'[12]february-2026'!$A:$A,'[12]february-2026'!$H:$H,0,0)</f>
        <v>2000</v>
      </c>
      <c r="DX231">
        <f>_xlfn.XLOOKUP(B231,'[12]february-2026'!$A:$A,'[12]february-2026'!$I:$I,0,0)</f>
        <v>0</v>
      </c>
      <c r="DY231">
        <f>IF($F231="YES",0,IF(DV231&gt;40000,200,IF(DV231&gt;25000,150,IF(DV231&gt;15000,130,IF(DV231&gt;10000,110,0)))))</f>
        <v>150</v>
      </c>
      <c r="DZ231">
        <f>DV231-DW231-DX231-DY231</f>
        <v>37090</v>
      </c>
      <c r="EA231">
        <f>DV231+DL231+DB231+CR231+CH231+BX231+BN231+BD231+AS231+AI231+Y231+O231+H231+I231</f>
        <v>471844</v>
      </c>
      <c r="EB231">
        <f>DY231+DO231+DE231+CU231+CK231+CA231+BQ231+BG231+AV231+AL231+AB231+R231</f>
        <v>1800</v>
      </c>
      <c r="EC231">
        <f>IF(EA231&gt;0,50000,0)</f>
        <v>50000</v>
      </c>
      <c r="ED231">
        <v>0</v>
      </c>
      <c r="EE231">
        <f>EA231-EB231-EC231</f>
        <v>420044</v>
      </c>
      <c r="EF231">
        <f>DW231+DM231+DC231+CS231+CI231+BY231+BO231+BE231+AT231+AJ231+Z231+P231</f>
        <v>24000</v>
      </c>
      <c r="EG231">
        <f>DX231+DN231+DD231+CT231+CJ231+BZ231+BP231+BF231+AU231+AK231+AA231+Q231</f>
        <v>0</v>
      </c>
      <c r="EH231">
        <v>0</v>
      </c>
      <c r="EI231">
        <v>0</v>
      </c>
      <c r="EJ231">
        <v>0</v>
      </c>
      <c r="EK231">
        <v>0</v>
      </c>
      <c r="EL231">
        <v>0</v>
      </c>
      <c r="EM231">
        <v>0</v>
      </c>
      <c r="EN231">
        <v>0</v>
      </c>
      <c r="EO231">
        <v>0</v>
      </c>
      <c r="EP231">
        <v>0</v>
      </c>
      <c r="EQ231">
        <v>0</v>
      </c>
      <c r="ER231">
        <f>SUM(EF231:EQ231)</f>
        <v>24000</v>
      </c>
      <c r="ES231">
        <f>IF(ER231&gt;=150000,150000,ER231)</f>
        <v>24000</v>
      </c>
      <c r="ET231">
        <f>EE231-ES231</f>
        <v>396044</v>
      </c>
      <c r="EU231">
        <v>0</v>
      </c>
      <c r="EV231">
        <v>0</v>
      </c>
      <c r="EW231">
        <v>0</v>
      </c>
      <c r="EX231">
        <v>0</v>
      </c>
      <c r="EY231">
        <v>0</v>
      </c>
      <c r="EZ231">
        <v>0</v>
      </c>
      <c r="FA231">
        <v>0</v>
      </c>
      <c r="FB231">
        <f>SUM(EU231:FA231)+(IF(F231="YES",50000,0))</f>
        <v>0</v>
      </c>
      <c r="FC231">
        <f>ET231-FB231</f>
        <v>396044</v>
      </c>
      <c r="FD231">
        <f>ROUND(IF(FC231&gt;0,IF(FC231&gt;500000,12500,(FC231-250000)*0.05),0),0)</f>
        <v>7302</v>
      </c>
      <c r="FE231">
        <f>IF(ROUND(IF(FC231&gt;0,IF(FC231&gt;1000000,25000,(FC231-500000)*0.2),0),0)&lt;0,0,ROUND(IF(FC231&gt;0,IF(FC231&gt;1000000,25000,(FC231-500000)*0.2),0),0))</f>
        <v>0</v>
      </c>
      <c r="FF231">
        <f>FD231+FE231</f>
        <v>7302</v>
      </c>
      <c r="FG231">
        <f>IF(FF231&lt;12500,0,FF231)</f>
        <v>0</v>
      </c>
      <c r="FH231">
        <f>FG231*0.04</f>
        <v>0</v>
      </c>
      <c r="FI231">
        <f>ROUND(FH231+FG231,0)</f>
        <v>0</v>
      </c>
      <c r="FJ231">
        <v>0</v>
      </c>
      <c r="FK231">
        <f>FI231-FJ231</f>
        <v>0</v>
      </c>
      <c r="FL231" t="b">
        <f>IF(EA231&gt;500000,TRUE,FALSE)</f>
        <v>0</v>
      </c>
      <c r="FM231">
        <f ca="1">IF(FL231,RANDBETWEEN(500,1000),RANDBETWEEN(1000,3000))</f>
        <v>2992</v>
      </c>
      <c r="FN231">
        <f ca="1">EA231+FM231</f>
        <v>474836</v>
      </c>
      <c r="FO231">
        <f>IF(EA231&gt;0,75000,0)</f>
        <v>75000</v>
      </c>
      <c r="FP231">
        <f ca="1">FN231-FO231</f>
        <v>399836</v>
      </c>
      <c r="FQ231">
        <f ca="1">IF(FP231&gt;2400000,FP231-2400000,0)</f>
        <v>0</v>
      </c>
      <c r="FR231">
        <f ca="1">FQ231*0.3</f>
        <v>0</v>
      </c>
      <c r="FS231">
        <f ca="1">IF(FP231&gt;2000000,FP231-2000000,0)</f>
        <v>0</v>
      </c>
      <c r="FT231">
        <f ca="1">FS231*0.25</f>
        <v>0</v>
      </c>
      <c r="FU231">
        <f ca="1">IF(FP231&gt;1600000,FP231-1600000-FQ231,0)</f>
        <v>0</v>
      </c>
      <c r="FV231">
        <f ca="1">FU231*0.2</f>
        <v>0</v>
      </c>
      <c r="FW231">
        <f ca="1">IF(FP231&gt;1200000,FP231-1200000-IF(F231="YES",50000,0)-FU231,0)</f>
        <v>0</v>
      </c>
      <c r="FX231">
        <f ca="1">FW231*0.15</f>
        <v>0</v>
      </c>
      <c r="FY231">
        <f ca="1">IF(FP231&gt;800000,FP231-800000-FQ231-FU231-FW231,0)</f>
        <v>0</v>
      </c>
      <c r="FZ231">
        <f ca="1">FY231*0.1</f>
        <v>0</v>
      </c>
      <c r="GA231">
        <f ca="1">IF(FP231&gt;400000,FP231-400000-FQ231-FU231-FW231-FY231,0)</f>
        <v>0</v>
      </c>
      <c r="GB231">
        <f ca="1">GA231*0.05</f>
        <v>0</v>
      </c>
      <c r="GC231">
        <f ca="1">ROUND(FR231+FT231+FV231+FX231+FZ231+GB231,0)</f>
        <v>0</v>
      </c>
      <c r="GD231">
        <f ca="1">IF(FP231&gt;1200000,FP231,0)</f>
        <v>0</v>
      </c>
      <c r="GE231">
        <f ca="1">IF(FP231&gt;1200000,GD231-1200000,0)</f>
        <v>0</v>
      </c>
      <c r="GF231">
        <f ca="1">IF(FP231&lt;1200001,MIN(GC231,60000),0)</f>
        <v>0</v>
      </c>
      <c r="GG231">
        <f ca="1">IF(FP231&gt;1200000,GC231-GE231,0)</f>
        <v>0</v>
      </c>
      <c r="GH231" t="b">
        <f ca="1">IF(GG231&gt;0,TRUE,FALSE)</f>
        <v>0</v>
      </c>
      <c r="GI231">
        <f ca="1">IF(GH231,GG231,0)</f>
        <v>0</v>
      </c>
      <c r="GJ231">
        <f ca="1">GF231+GI231</f>
        <v>0</v>
      </c>
      <c r="GK231">
        <f ca="1">ROUND(GC231-GJ231,0)</f>
        <v>0</v>
      </c>
      <c r="GL231">
        <f ca="1">GK231*0.04</f>
        <v>0</v>
      </c>
      <c r="GM231">
        <f ca="1">ROUNDUP(GK231+GL231,0)</f>
        <v>0</v>
      </c>
    </row>
    <row r="232" spans="1:195" x14ac:dyDescent="0.25">
      <c r="A232">
        <f>_xlfn.AGGREGATE(3,5,$B$2:B232)</f>
        <v>231</v>
      </c>
      <c r="B232" t="s">
        <v>573</v>
      </c>
      <c r="C232" t="s">
        <v>574</v>
      </c>
      <c r="D232" t="s">
        <v>812</v>
      </c>
      <c r="E232" t="s">
        <v>833</v>
      </c>
      <c r="F232" t="s">
        <v>959</v>
      </c>
      <c r="G232" t="s">
        <v>878</v>
      </c>
      <c r="H232">
        <f>IF(_xlfn.DAYS("31-03-2025",G232)&gt;=180,6800,0)</f>
        <v>6800</v>
      </c>
      <c r="I232">
        <f>_xlfn.XLOOKUP(B232,'[1]march-2025'!$A:$A,'[1]march-2025'!$J:$J,0,0)</f>
        <v>0</v>
      </c>
      <c r="J232">
        <f>_xlfn.XLOOKUP(B232,'[1]march-2025'!$A:$A,'[1]march-2025'!$C:$C,0,0)</f>
        <v>47300</v>
      </c>
      <c r="K232">
        <f>J232*0.14</f>
        <v>6622.0000000000009</v>
      </c>
      <c r="L232">
        <f>J232*0.12</f>
        <v>5676</v>
      </c>
      <c r="M232">
        <f>_xlfn.XLOOKUP(B232,'[1]march-2025'!$A:$A,'[1]march-2025'!$D:$D,0,0)</f>
        <v>0</v>
      </c>
      <c r="N232">
        <f>_xlfn.XLOOKUP(B232,'[1]march-2025'!$A:$A,'[1]march-2025'!$G:$G,0,0)</f>
        <v>0</v>
      </c>
      <c r="O232">
        <f>IF(J232&gt;0,SUM(J232:N232),0)</f>
        <v>59598</v>
      </c>
      <c r="P232">
        <f>_xlfn.XLOOKUP(B232,'[1]march-2025'!$A:$A,'[1]march-2025'!$H:$H,0,0)</f>
        <v>10000</v>
      </c>
      <c r="Q232">
        <f>_xlfn.XLOOKUP(B232,'[1]march-2025'!$A:$A,'[1]march-2025'!$I:$I,0,0)</f>
        <v>60</v>
      </c>
      <c r="R232">
        <f>IF($F232="YES",0,IF(O232&gt;40000,200,IF(O232&gt;25000,150,IF(O232&gt;15000,130,IF(O232&gt;10000,110,0)))))</f>
        <v>200</v>
      </c>
      <c r="S232">
        <f>O232-P232-Q232-R232</f>
        <v>49338</v>
      </c>
      <c r="T232">
        <f>_xlfn.XLOOKUP(B232,'[2]april-2025'!$A:$A,'[2]april-2025'!$C:$C,0,0)</f>
        <v>47300</v>
      </c>
      <c r="U232">
        <f>T232*0.18</f>
        <v>8514</v>
      </c>
      <c r="V232">
        <f>T232*0.12</f>
        <v>5676</v>
      </c>
      <c r="W232">
        <f>_xlfn.XLOOKUP(B232,'[2]april-2025'!$A:$A,'[2]april-2025'!$D:$D,0,0)</f>
        <v>0</v>
      </c>
      <c r="X232">
        <f>_xlfn.XLOOKUP(B232,'[2]april-2025'!$A:$A,'[2]april-2025'!$G:$G,0,0)</f>
        <v>0</v>
      </c>
      <c r="Y232">
        <f>IF(T232&gt;0,SUM(T232:X232),0)</f>
        <v>61490</v>
      </c>
      <c r="Z232">
        <f>_xlfn.XLOOKUP(B232,'[2]april-2025'!$A:$A,'[2]april-2025'!$H:$H,0,0)</f>
        <v>10000</v>
      </c>
      <c r="AA232">
        <f>_xlfn.XLOOKUP(B232,'[2]april-2025'!$A:$A,'[2]april-2025'!$I:$I,0,0)</f>
        <v>60</v>
      </c>
      <c r="AB232">
        <f>IF($F232="YES",0,IF(Y232&gt;40000,200,IF(Y232&gt;25000,150,IF(Y232&gt;15000,130,IF(Y232&gt;10000,110,0)))))</f>
        <v>200</v>
      </c>
      <c r="AC232">
        <f>Y232-Z232-AA232-AB232</f>
        <v>51230</v>
      </c>
      <c r="AD232">
        <f>_xlfn.XLOOKUP(B232,'[3]may-2025'!$A:$A,'[3]may-2025'!$C:$C,0,0)</f>
        <v>47300</v>
      </c>
      <c r="AE232">
        <f>AD232*0.18</f>
        <v>8514</v>
      </c>
      <c r="AF232">
        <f>AD232*0.12</f>
        <v>5676</v>
      </c>
      <c r="AG232">
        <f>_xlfn.XLOOKUP(B232,'[3]may-2025'!$A:$A,'[3]may-2025'!$D:$D,0,0)</f>
        <v>0</v>
      </c>
      <c r="AH232">
        <f>_xlfn.XLOOKUP(B232,'[3]may-2025'!$A:$A,'[3]may-2025'!$G:$G,0,0)</f>
        <v>0</v>
      </c>
      <c r="AI232">
        <f>IF(AD232&gt;0,SUM(AD232:AH232),0)</f>
        <v>61490</v>
      </c>
      <c r="AJ232">
        <f>_xlfn.XLOOKUP(B232,'[3]may-2025'!$A:$A,'[3]may-2025'!$H:$H,0,0)</f>
        <v>10000</v>
      </c>
      <c r="AK232">
        <f>_xlfn.XLOOKUP(B232,'[3]may-2025'!$A:$A,'[3]may-2025'!$I:$I,0,0)</f>
        <v>60</v>
      </c>
      <c r="AL232">
        <f>IF($F232="YES",0,IF(AI232&gt;40000,200,IF(AI232&gt;25000,150,IF(AI232&gt;15000,130,IF(AI232&gt;10000,110,0)))))</f>
        <v>200</v>
      </c>
      <c r="AM232">
        <f>AI232-AJ232-AK232-AL232</f>
        <v>51230</v>
      </c>
      <c r="AN232">
        <f>_xlfn.XLOOKUP(B232,'[4]june-2025'!$A:$A,'[4]june-2025'!$C:$C,0,0)</f>
        <v>47300</v>
      </c>
      <c r="AO232">
        <f>AN232*0.18</f>
        <v>8514</v>
      </c>
      <c r="AP232">
        <f>AN232*0.12</f>
        <v>5676</v>
      </c>
      <c r="AQ232">
        <f>_xlfn.XLOOKUP(B232,'[4]june-2025'!$A:$A,'[4]june-2025'!$D:$D,0,0)</f>
        <v>0</v>
      </c>
      <c r="AR232">
        <f>_xlfn.XLOOKUP(B232,'[4]june-2025'!$A:$A,'[4]june-2025'!$G:$G,0,0)</f>
        <v>0</v>
      </c>
      <c r="AS232">
        <f>IF(AN232&gt;0,SUM(AN232:AR232),0)</f>
        <v>61490</v>
      </c>
      <c r="AT232">
        <f>_xlfn.XLOOKUP(B232,'[4]june-2025'!$A:$A,'[4]june-2025'!$H:$H,0,0)</f>
        <v>10000</v>
      </c>
      <c r="AU232">
        <f>_xlfn.XLOOKUP(B232,'[4]june-2025'!$A:$A,'[4]june-2025'!$I:$I,0,0)</f>
        <v>60</v>
      </c>
      <c r="AV232">
        <f>IF($F232="YES",0,IF(AS232&gt;40000,200,IF(AS232&gt;25000,150,IF(AS232&gt;15000,130,IF(AS232&gt;10000,110,0)))))</f>
        <v>200</v>
      </c>
      <c r="AW232">
        <f>AS232-AT232-AU232-AV232</f>
        <v>51230</v>
      </c>
      <c r="AX232">
        <f>_xlfn.XLOOKUP(B232,'[5]july-2025'!$A:$A,'[5]july-2025'!$C:$C,0,0)</f>
        <v>48700</v>
      </c>
      <c r="AY232">
        <f>AX232*0.18</f>
        <v>8766</v>
      </c>
      <c r="AZ232">
        <v>0</v>
      </c>
      <c r="BA232">
        <f>AX232*0.12</f>
        <v>5844</v>
      </c>
      <c r="BB232">
        <f>_xlfn.XLOOKUP(B232,'[5]july-2025'!$A:$A,'[5]july-2025'!$D:$D,0,0)</f>
        <v>0</v>
      </c>
      <c r="BC232">
        <f>_xlfn.XLOOKUP(B232,'[5]july-2025'!$A:$A,'[5]july-2025'!$G:$G,0,0)</f>
        <v>0</v>
      </c>
      <c r="BD232">
        <f>IF(AX232&gt;0,SUM(AX232:BC232),0)</f>
        <v>63310</v>
      </c>
      <c r="BE232">
        <f>_xlfn.XLOOKUP(B232,'[5]july-2025'!$A:$A,'[5]july-2025'!$H:$H,0,0)</f>
        <v>10000</v>
      </c>
      <c r="BF232">
        <f>_xlfn.XLOOKUP(B232,'[5]july-2025'!$A:$A,'[5]july-2025'!$I:$I,0,0)</f>
        <v>60</v>
      </c>
      <c r="BG232">
        <f>IF($F232="YES",0,IF(BD232&gt;40000,200,IF(BD232&gt;25000,150,IF(BD232&gt;15000,130,IF(BD232&gt;10000,110,0)))))</f>
        <v>200</v>
      </c>
      <c r="BH232">
        <f>BD232-BE232-BF232-BG232</f>
        <v>53050</v>
      </c>
      <c r="BI232">
        <f>_xlfn.XLOOKUP(B232,'[6]august-2025'!$A:$A,'[6]august-2025'!$C:$C,0,0)</f>
        <v>48700</v>
      </c>
      <c r="BJ232">
        <f>BI232*0.18</f>
        <v>8766</v>
      </c>
      <c r="BK232">
        <f>BI232*0.12</f>
        <v>5844</v>
      </c>
      <c r="BL232">
        <f>_xlfn.XLOOKUP(B232,'[6]august-2025'!$A:$A,'[6]august-2025'!$D:$D,0,0)</f>
        <v>0</v>
      </c>
      <c r="BM232">
        <f>_xlfn.XLOOKUP(B232,'[6]august-2025'!$A:$A,'[6]august-2025'!$G:$G,0,0)</f>
        <v>0</v>
      </c>
      <c r="BN232">
        <f>IF(BI232&gt;0,SUM(BI232:BM232),0)</f>
        <v>63310</v>
      </c>
      <c r="BO232">
        <f>_xlfn.XLOOKUP(B232,'[6]august-2025'!$A:$A,'[6]august-2025'!$H:$H,0,0)</f>
        <v>10000</v>
      </c>
      <c r="BP232">
        <f>_xlfn.XLOOKUP(B232,'[6]august-2025'!$A:$A,'[6]august-2025'!$I:$I,0,0)</f>
        <v>60</v>
      </c>
      <c r="BQ232">
        <f>IF($F232="YES",0,IF(BN232&gt;40000,200,IF(BN232&gt;25000,150,IF(BN232&gt;15000,130,IF(BN232&gt;10000,110,0)))))</f>
        <v>200</v>
      </c>
      <c r="BR232">
        <f>BN232-BO232-BP232-BQ232</f>
        <v>53050</v>
      </c>
      <c r="BS232">
        <f>_xlfn.XLOOKUP(B232,'[7]september-2025'!$A:$A,'[7]september-2025'!$C:$C,0,0)</f>
        <v>48700</v>
      </c>
      <c r="BT232">
        <f>BS232*0.18</f>
        <v>8766</v>
      </c>
      <c r="BU232">
        <f>BS232*0.12</f>
        <v>5844</v>
      </c>
      <c r="BV232">
        <f>_xlfn.XLOOKUP(B232,'[7]september-2025'!$A:$A,'[7]september-2025'!$D:$D,0,0)</f>
        <v>0</v>
      </c>
      <c r="BW232">
        <f>_xlfn.XLOOKUP(B232,'[7]september-2025'!$A:$A,'[7]september-2025'!$G:$G,0,0)</f>
        <v>0</v>
      </c>
      <c r="BX232">
        <f>IF(BS232&gt;0,SUM(BS232:BW232),0)</f>
        <v>63310</v>
      </c>
      <c r="BY232">
        <f>_xlfn.XLOOKUP(B232,'[7]september-2025'!$A:$A,'[7]september-2025'!$H:$H,0,0)</f>
        <v>10000</v>
      </c>
      <c r="BZ232">
        <f>_xlfn.XLOOKUP(B232,'[7]september-2025'!$A:$A,'[7]september-2025'!$I:$I,0,0)</f>
        <v>60</v>
      </c>
      <c r="CA232">
        <f>IF($F232="YES",0,IF(BX232&gt;40000,200,IF(BX232&gt;25000,150,IF(BX232&gt;15000,130,IF(BX232&gt;10000,110,0)))))</f>
        <v>200</v>
      </c>
      <c r="CB232">
        <f>BX232-BY232-BZ232-CA232</f>
        <v>53050</v>
      </c>
      <c r="CC232">
        <f>_xlfn.XLOOKUP(B232,'[8]october-2025'!$A:$A,'[8]october-2025'!$C:$C,0,0)</f>
        <v>48700</v>
      </c>
      <c r="CD232">
        <f>CC232*0.18</f>
        <v>8766</v>
      </c>
      <c r="CE232">
        <f>CC232*0.12</f>
        <v>5844</v>
      </c>
      <c r="CF232">
        <f>_xlfn.XLOOKUP(B232,'[8]october-2025'!$A:$A,'[8]october-2025'!$D:$D,0,0)</f>
        <v>0</v>
      </c>
      <c r="CG232">
        <f>_xlfn.XLOOKUP(B232,'[8]october-2025'!$A:$A,'[8]october-2025'!$G:$G,0,0)</f>
        <v>0</v>
      </c>
      <c r="CH232">
        <f>IF(CC232&gt;0,SUM(CC232:CG232),0)</f>
        <v>63310</v>
      </c>
      <c r="CI232">
        <f>_xlfn.XLOOKUP(B232,'[8]october-2025'!$A:$A,'[8]october-2025'!$H:$H,0,0)</f>
        <v>10000</v>
      </c>
      <c r="CJ232">
        <f>_xlfn.XLOOKUP(B232,'[8]october-2025'!$A:$A,'[8]october-2025'!$I:$I,0,0)</f>
        <v>60</v>
      </c>
      <c r="CK232">
        <f>IF($F232="YES",0,IF(CH232&gt;40000,200,IF(CH232&gt;25000,150,IF(CH232&gt;15000,130,IF(CH232&gt;10000,110,0)))))</f>
        <v>200</v>
      </c>
      <c r="CL232">
        <f>CH232-CI232-CJ232-CK232</f>
        <v>53050</v>
      </c>
      <c r="CM232">
        <f>_xlfn.XLOOKUP(B232,'[9]november-2025'!$A:$A,'[9]november-2025'!$C:$C,0,0)</f>
        <v>48700</v>
      </c>
      <c r="CN232">
        <f>CM232*0.18</f>
        <v>8766</v>
      </c>
      <c r="CO232">
        <f>CM232*0.12</f>
        <v>5844</v>
      </c>
      <c r="CP232">
        <f>_xlfn.XLOOKUP(B232,'[9]november-2025'!$A:$A,'[9]november-2025'!$D:$D,0,0)</f>
        <v>0</v>
      </c>
      <c r="CQ232">
        <f>_xlfn.XLOOKUP(B232,'[9]november-2025'!$A:$A,'[9]november-2025'!$G:$G,0,0)</f>
        <v>0</v>
      </c>
      <c r="CR232">
        <f>IF(CM232&gt;0,SUM(CM232:CQ232),0)</f>
        <v>63310</v>
      </c>
      <c r="CS232">
        <f>_xlfn.XLOOKUP(B232,'[9]november-2025'!$A:$A,'[9]november-2025'!$H:$H,0,0)</f>
        <v>10000</v>
      </c>
      <c r="CT232">
        <f>_xlfn.XLOOKUP(B232,'[9]november-2025'!$A:$A,'[9]november-2025'!$I:$I,0,0)</f>
        <v>60</v>
      </c>
      <c r="CU232">
        <f>IF($F232="YES",0,IF(CR232&gt;40000,200,IF(CR232&gt;25000,150,IF(CR232&gt;15000,130,IF(CR232&gt;10000,110,0)))))</f>
        <v>200</v>
      </c>
      <c r="CV232">
        <f>CR232-CS232-CT232-CU232</f>
        <v>53050</v>
      </c>
      <c r="CW232">
        <f>_xlfn.XLOOKUP(B232,'[10]december-2025'!$A:$A,'[10]december-2025'!$C:$C,0,0)</f>
        <v>48700</v>
      </c>
      <c r="CX232">
        <f>ROUND(CW232*0.18,0)</f>
        <v>8766</v>
      </c>
      <c r="CY232">
        <f>ROUND(CW232*0.12,0)</f>
        <v>5844</v>
      </c>
      <c r="CZ232">
        <f>_xlfn.XLOOKUP(B232,'[10]december-2025'!$A:$A,'[10]december-2025'!$D:$D,0,0)</f>
        <v>0</v>
      </c>
      <c r="DA232">
        <f>_xlfn.XLOOKUP(B232,'[10]december-2025'!$A:$A,'[10]december-2025'!$G:$G,0,0)</f>
        <v>0</v>
      </c>
      <c r="DB232">
        <f>IF(CW232&gt;0,SUM(CW232:DA232),0)</f>
        <v>63310</v>
      </c>
      <c r="DC232">
        <f>_xlfn.XLOOKUP(B232,'[10]december-2025'!$A:$A,'[10]december-2025'!$H:$H,0,0)</f>
        <v>10000</v>
      </c>
      <c r="DD232">
        <f>_xlfn.XLOOKUP(B232,'[10]december-2025'!$A:$A,'[10]december-2025'!$I:$I,0,0)</f>
        <v>60</v>
      </c>
      <c r="DE232">
        <f>IF($F232="YES",0,IF(DB232&gt;40000,200,IF(DB232&gt;25000,150,IF(DB232&gt;15000,130,IF(DB232&gt;10000,110,0)))))</f>
        <v>200</v>
      </c>
      <c r="DF232">
        <f>DB232-DC232-DD232-DE232</f>
        <v>53050</v>
      </c>
      <c r="DG232">
        <f>_xlfn.XLOOKUP(B232,'[11]january-2026'!$A:$A,'[11]january-2026'!$C:$C,0,0)</f>
        <v>48700</v>
      </c>
      <c r="DH232">
        <f>DG232*0.18</f>
        <v>8766</v>
      </c>
      <c r="DI232">
        <f>DG232*0.12</f>
        <v>5844</v>
      </c>
      <c r="DJ232">
        <f>_xlfn.XLOOKUP(B232,'[11]january-2026'!$A:$A,'[11]january-2026'!$D:$D,0,0)</f>
        <v>0</v>
      </c>
      <c r="DK232">
        <f>_xlfn.XLOOKUP(B232,'[11]january-2026'!$A:$A,'[11]january-2026'!$G:$G,0,0)</f>
        <v>0</v>
      </c>
      <c r="DL232">
        <f>IF(DG232&gt;0,SUM(DG232:DK232),0)</f>
        <v>63310</v>
      </c>
      <c r="DM232">
        <f>_xlfn.XLOOKUP(B232,'[11]january-2026'!$A:$A,'[11]january-2026'!$H:$H,0,0)</f>
        <v>10000</v>
      </c>
      <c r="DN232">
        <f>_xlfn.XLOOKUP(B232,'[11]january-2026'!$A:$A,'[11]january-2026'!$I:$I,0,0)</f>
        <v>60</v>
      </c>
      <c r="DO232">
        <f>IF($F232="YES",0,IF(DL232&gt;40000,200,IF(DL232&gt;25000,150,IF(DL232&gt;15000,130,IF(DL232&gt;10000,110,0)))))</f>
        <v>200</v>
      </c>
      <c r="DP232">
        <f>DL232-DM232-DN232-DO232</f>
        <v>53050</v>
      </c>
      <c r="DQ232">
        <f>_xlfn.XLOOKUP(B232,'[12]february-2026'!$A:$A,'[12]february-2026'!$C:$C,0,0)</f>
        <v>48700</v>
      </c>
      <c r="DR232">
        <f>DQ232*0.18</f>
        <v>8766</v>
      </c>
      <c r="DS232">
        <f>DQ232*0.12</f>
        <v>5844</v>
      </c>
      <c r="DT232">
        <f>_xlfn.XLOOKUP(B232,'[12]february-2026'!$A:$A,'[12]february-2026'!$D:$D,0,0)</f>
        <v>0</v>
      </c>
      <c r="DU232">
        <f>_xlfn.XLOOKUP(B232,'[12]february-2026'!$A:$A,'[12]february-2026'!$G:$G,0,0)</f>
        <v>0</v>
      </c>
      <c r="DV232">
        <f>IF(DQ232&gt;0,SUM(DQ232:DU232),0)</f>
        <v>63310</v>
      </c>
      <c r="DW232">
        <f>_xlfn.XLOOKUP(B232,'[12]february-2026'!$A:$A,'[12]february-2026'!$H:$H,0,0)</f>
        <v>10000</v>
      </c>
      <c r="DX232">
        <f>_xlfn.XLOOKUP(B232,'[12]february-2026'!$A:$A,'[12]february-2026'!$I:$I,0,0)</f>
        <v>60</v>
      </c>
      <c r="DY232">
        <f>IF($F232="YES",0,IF(DV232&gt;40000,200,IF(DV232&gt;25000,150,IF(DV232&gt;15000,130,IF(DV232&gt;10000,110,0)))))</f>
        <v>200</v>
      </c>
      <c r="DZ232">
        <f>DV232-DW232-DX232-DY232</f>
        <v>53050</v>
      </c>
      <c r="EA232">
        <f>DV232+DL232+DB232+CR232+CH232+BX232+BN232+BD232+AS232+AI232+Y232+O232+H232+I232</f>
        <v>757348</v>
      </c>
      <c r="EB232">
        <f>DY232+DO232+DE232+CU232+CK232+CA232+BQ232+BG232+AV232+AL232+AB232+R232</f>
        <v>2400</v>
      </c>
      <c r="EC232">
        <f>IF(EA232&gt;0,50000,0)</f>
        <v>50000</v>
      </c>
      <c r="ED232">
        <v>0</v>
      </c>
      <c r="EE232">
        <f>EA232-EB232-EC232</f>
        <v>704948</v>
      </c>
      <c r="EF232">
        <f>DW232+DM232+DC232+CS232+CI232+BY232+BO232+BE232+AT232+AJ232+Z232+P232</f>
        <v>120000</v>
      </c>
      <c r="EG232">
        <f>DX232+DN232+DD232+CT232+CJ232+BZ232+BP232+BF232+AU232+AK232+AA232+Q232</f>
        <v>720</v>
      </c>
      <c r="EH232">
        <v>0</v>
      </c>
      <c r="EI232">
        <v>0</v>
      </c>
      <c r="EJ232">
        <v>0</v>
      </c>
      <c r="EK232">
        <v>0</v>
      </c>
      <c r="EL232">
        <v>0</v>
      </c>
      <c r="EM232">
        <v>0</v>
      </c>
      <c r="EN232">
        <v>0</v>
      </c>
      <c r="EO232">
        <v>0</v>
      </c>
      <c r="EP232">
        <v>0</v>
      </c>
      <c r="EQ232">
        <v>0</v>
      </c>
      <c r="ER232">
        <f>SUM(EF232:EQ232)</f>
        <v>120720</v>
      </c>
      <c r="ES232">
        <f>IF(ER232&gt;=150000,150000,ER232)</f>
        <v>120720</v>
      </c>
      <c r="ET232">
        <f>EE232-ES232</f>
        <v>584228</v>
      </c>
      <c r="EU232">
        <v>0</v>
      </c>
      <c r="EV232">
        <v>0</v>
      </c>
      <c r="EW232">
        <v>0</v>
      </c>
      <c r="EX232">
        <v>0</v>
      </c>
      <c r="EY232">
        <v>0</v>
      </c>
      <c r="EZ232">
        <v>0</v>
      </c>
      <c r="FA232">
        <v>0</v>
      </c>
      <c r="FB232">
        <f>SUM(EU232:FA232)+(IF(F232="YES",50000,0))</f>
        <v>0</v>
      </c>
      <c r="FC232">
        <f>ET232-FB232</f>
        <v>584228</v>
      </c>
      <c r="FD232">
        <f>ROUND(IF(FC232&gt;0,IF(FC232&gt;500000,12500,(FC232-250000)*0.05),0),0)</f>
        <v>12500</v>
      </c>
      <c r="FE232">
        <f>IF(ROUND(IF(FC232&gt;0,IF(FC232&gt;1000000,25000,(FC232-500000)*0.2),0),0)&lt;0,0,ROUND(IF(FC232&gt;0,IF(FC232&gt;1000000,25000,(FC232-500000)*0.2),0),0))</f>
        <v>16846</v>
      </c>
      <c r="FF232">
        <f>FD232+FE232</f>
        <v>29346</v>
      </c>
      <c r="FG232">
        <f>IF(FF232&lt;12500,0,FF232)</f>
        <v>29346</v>
      </c>
      <c r="FH232">
        <f>FG232*0.04</f>
        <v>1173.8399999999999</v>
      </c>
      <c r="FI232">
        <f>ROUND(FH232+FG232,0)</f>
        <v>30520</v>
      </c>
      <c r="FJ232">
        <v>0</v>
      </c>
      <c r="FK232">
        <f>FI232-FJ232</f>
        <v>30520</v>
      </c>
      <c r="FL232" t="b">
        <f>IF(EA232&gt;500000,TRUE,FALSE)</f>
        <v>1</v>
      </c>
      <c r="FM232">
        <f ca="1">IF(FL232,RANDBETWEEN(500,1000),RANDBETWEEN(1000,3000))</f>
        <v>803</v>
      </c>
      <c r="FN232">
        <f ca="1">EA232+FM232</f>
        <v>758151</v>
      </c>
      <c r="FO232">
        <f>IF(EA232&gt;0,75000,0)</f>
        <v>75000</v>
      </c>
      <c r="FP232">
        <f ca="1">FN232-FO232</f>
        <v>683151</v>
      </c>
      <c r="FQ232">
        <f ca="1">IF(FP232&gt;2400000,FP232-2400000,0)</f>
        <v>0</v>
      </c>
      <c r="FR232">
        <f ca="1">FQ232*0.3</f>
        <v>0</v>
      </c>
      <c r="FS232">
        <f ca="1">IF(FP232&gt;2000000,FP232-2000000,0)</f>
        <v>0</v>
      </c>
      <c r="FT232">
        <f ca="1">FS232*0.25</f>
        <v>0</v>
      </c>
      <c r="FU232">
        <f ca="1">IF(FP232&gt;1600000,FP232-1600000-FQ232,0)</f>
        <v>0</v>
      </c>
      <c r="FV232">
        <f ca="1">FU232*0.2</f>
        <v>0</v>
      </c>
      <c r="FW232">
        <f ca="1">IF(FP232&gt;1200000,FP232-1200000-IF(F232="YES",50000,0)-FU232,0)</f>
        <v>0</v>
      </c>
      <c r="FX232">
        <f ca="1">FW232*0.15</f>
        <v>0</v>
      </c>
      <c r="FY232">
        <f ca="1">IF(FP232&gt;800000,FP232-800000-FQ232-FU232-FW232,0)</f>
        <v>0</v>
      </c>
      <c r="FZ232">
        <f ca="1">FY232*0.1</f>
        <v>0</v>
      </c>
      <c r="GA232">
        <f ca="1">IF(FP232&gt;400000,FP232-400000-FQ232-FU232-FW232-FY232,0)</f>
        <v>283151</v>
      </c>
      <c r="GB232">
        <f ca="1">GA232*0.05</f>
        <v>14157.550000000001</v>
      </c>
      <c r="GC232">
        <f ca="1">ROUND(FR232+FT232+FV232+FX232+FZ232+GB232,0)</f>
        <v>14158</v>
      </c>
      <c r="GD232">
        <f ca="1">IF(FP232&gt;1200000,FP232,0)</f>
        <v>0</v>
      </c>
      <c r="GE232">
        <f ca="1">IF(FP232&gt;1200000,GD232-1200000,0)</f>
        <v>0</v>
      </c>
      <c r="GF232">
        <f ca="1">IF(FP232&lt;1200001,MIN(GC232,60000),0)</f>
        <v>14158</v>
      </c>
      <c r="GG232">
        <f ca="1">IF(FP232&gt;1200000,GC232-GE232,0)</f>
        <v>0</v>
      </c>
      <c r="GH232" t="b">
        <f ca="1">IF(GG232&gt;0,TRUE,FALSE)</f>
        <v>0</v>
      </c>
      <c r="GI232">
        <f ca="1">IF(GH232,GG232,0)</f>
        <v>0</v>
      </c>
      <c r="GJ232">
        <f ca="1">GF232+GI232</f>
        <v>14158</v>
      </c>
      <c r="GK232">
        <f ca="1">ROUND(GC232-GJ232,0)</f>
        <v>0</v>
      </c>
      <c r="GL232">
        <f ca="1">GK232*0.04</f>
        <v>0</v>
      </c>
      <c r="GM232">
        <f ca="1">ROUNDUP(GK232+GL232,0)</f>
        <v>0</v>
      </c>
    </row>
    <row r="233" spans="1:195" x14ac:dyDescent="0.25">
      <c r="A233">
        <f>_xlfn.AGGREGATE(3,5,$B$2:B233)</f>
        <v>232</v>
      </c>
      <c r="B233" t="s">
        <v>575</v>
      </c>
      <c r="C233" t="s">
        <v>576</v>
      </c>
      <c r="D233" t="s">
        <v>812</v>
      </c>
      <c r="E233" t="s">
        <v>833</v>
      </c>
      <c r="F233" t="s">
        <v>959</v>
      </c>
      <c r="G233" t="s">
        <v>880</v>
      </c>
      <c r="H233">
        <f>IF(_xlfn.DAYS("31-03-2025",G233)&gt;=180,6800,0)</f>
        <v>6800</v>
      </c>
      <c r="I233">
        <f>_xlfn.XLOOKUP(B233,'[1]march-2025'!$A:$A,'[1]march-2025'!$J:$J,0,0)</f>
        <v>0</v>
      </c>
      <c r="J233">
        <f>_xlfn.XLOOKUP(B233,'[1]march-2025'!$A:$A,'[1]march-2025'!$C:$C,0,0)</f>
        <v>34500</v>
      </c>
      <c r="K233">
        <f>J233*0.14</f>
        <v>4830.0000000000009</v>
      </c>
      <c r="L233">
        <f>J233*0.12</f>
        <v>4140</v>
      </c>
      <c r="M233">
        <f>_xlfn.XLOOKUP(B233,'[1]march-2025'!$A:$A,'[1]march-2025'!$D:$D,0,0)</f>
        <v>0</v>
      </c>
      <c r="N233">
        <f>_xlfn.XLOOKUP(B233,'[1]march-2025'!$A:$A,'[1]march-2025'!$G:$G,0,0)</f>
        <v>500</v>
      </c>
      <c r="O233">
        <f>IF(J233&gt;0,SUM(J233:N233),0)</f>
        <v>43970</v>
      </c>
      <c r="P233">
        <f>_xlfn.XLOOKUP(B233,'[1]march-2025'!$A:$A,'[1]march-2025'!$H:$H,0,0)</f>
        <v>2500</v>
      </c>
      <c r="Q233">
        <f>_xlfn.XLOOKUP(B233,'[1]march-2025'!$A:$A,'[1]march-2025'!$I:$I,0,0)</f>
        <v>0</v>
      </c>
      <c r="R233">
        <f>IF($F233="YES",0,IF(O233&gt;40000,200,IF(O233&gt;25000,150,IF(O233&gt;15000,130,IF(O233&gt;10000,110,0)))))</f>
        <v>200</v>
      </c>
      <c r="S233">
        <f>O233-P233-Q233-R233</f>
        <v>41270</v>
      </c>
      <c r="T233">
        <f>_xlfn.XLOOKUP(B233,'[2]april-2025'!$A:$A,'[2]april-2025'!$C:$C,0,0)</f>
        <v>34500</v>
      </c>
      <c r="U233">
        <f>T233*0.18</f>
        <v>6210</v>
      </c>
      <c r="V233">
        <f>T233*0.12</f>
        <v>4140</v>
      </c>
      <c r="W233">
        <f>_xlfn.XLOOKUP(B233,'[2]april-2025'!$A:$A,'[2]april-2025'!$D:$D,0,0)</f>
        <v>0</v>
      </c>
      <c r="X233">
        <f>_xlfn.XLOOKUP(B233,'[2]april-2025'!$A:$A,'[2]april-2025'!$G:$G,0,0)</f>
        <v>500</v>
      </c>
      <c r="Y233">
        <f>IF(T233&gt;0,SUM(T233:X233),0)</f>
        <v>45350</v>
      </c>
      <c r="Z233">
        <f>_xlfn.XLOOKUP(B233,'[2]april-2025'!$A:$A,'[2]april-2025'!$H:$H,0,0)</f>
        <v>2500</v>
      </c>
      <c r="AA233">
        <f>_xlfn.XLOOKUP(B233,'[2]april-2025'!$A:$A,'[2]april-2025'!$I:$I,0,0)</f>
        <v>0</v>
      </c>
      <c r="AB233">
        <f>IF($F233="YES",0,IF(Y233&gt;40000,200,IF(Y233&gt;25000,150,IF(Y233&gt;15000,130,IF(Y233&gt;10000,110,0)))))</f>
        <v>200</v>
      </c>
      <c r="AC233">
        <f>Y233-Z233-AA233-AB233</f>
        <v>42650</v>
      </c>
      <c r="AD233">
        <f>_xlfn.XLOOKUP(B233,'[3]may-2025'!$A:$A,'[3]may-2025'!$C:$C,0,0)</f>
        <v>34500</v>
      </c>
      <c r="AE233">
        <f>AD233*0.18</f>
        <v>6210</v>
      </c>
      <c r="AF233">
        <f>AD233*0.12</f>
        <v>4140</v>
      </c>
      <c r="AG233">
        <f>_xlfn.XLOOKUP(B233,'[3]may-2025'!$A:$A,'[3]may-2025'!$D:$D,0,0)</f>
        <v>0</v>
      </c>
      <c r="AH233">
        <f>_xlfn.XLOOKUP(B233,'[3]may-2025'!$A:$A,'[3]may-2025'!$G:$G,0,0)</f>
        <v>500</v>
      </c>
      <c r="AI233">
        <f>IF(AD233&gt;0,SUM(AD233:AH233),0)</f>
        <v>45350</v>
      </c>
      <c r="AJ233">
        <f>_xlfn.XLOOKUP(B233,'[3]may-2025'!$A:$A,'[3]may-2025'!$H:$H,0,0)</f>
        <v>2500</v>
      </c>
      <c r="AK233">
        <f>_xlfn.XLOOKUP(B233,'[3]may-2025'!$A:$A,'[3]may-2025'!$I:$I,0,0)</f>
        <v>0</v>
      </c>
      <c r="AL233">
        <f>IF($F233="YES",0,IF(AI233&gt;40000,200,IF(AI233&gt;25000,150,IF(AI233&gt;15000,130,IF(AI233&gt;10000,110,0)))))</f>
        <v>200</v>
      </c>
      <c r="AM233">
        <f>AI233-AJ233-AK233-AL233</f>
        <v>42650</v>
      </c>
      <c r="AN233">
        <f>_xlfn.XLOOKUP(B233,'[4]june-2025'!$A:$A,'[4]june-2025'!$C:$C,0,0)</f>
        <v>34500</v>
      </c>
      <c r="AO233">
        <f>AN233*0.18</f>
        <v>6210</v>
      </c>
      <c r="AP233">
        <f>AN233*0.12</f>
        <v>4140</v>
      </c>
      <c r="AQ233">
        <f>_xlfn.XLOOKUP(B233,'[4]june-2025'!$A:$A,'[4]june-2025'!$D:$D,0,0)</f>
        <v>0</v>
      </c>
      <c r="AR233">
        <f>_xlfn.XLOOKUP(B233,'[4]june-2025'!$A:$A,'[4]june-2025'!$G:$G,0,0)</f>
        <v>500</v>
      </c>
      <c r="AS233">
        <f>IF(AN233&gt;0,SUM(AN233:AR233),0)</f>
        <v>45350</v>
      </c>
      <c r="AT233">
        <f>_xlfn.XLOOKUP(B233,'[4]june-2025'!$A:$A,'[4]june-2025'!$H:$H,0,0)</f>
        <v>2500</v>
      </c>
      <c r="AU233">
        <f>_xlfn.XLOOKUP(B233,'[4]june-2025'!$A:$A,'[4]june-2025'!$I:$I,0,0)</f>
        <v>0</v>
      </c>
      <c r="AV233">
        <f>IF($F233="YES",0,IF(AS233&gt;40000,200,IF(AS233&gt;25000,150,IF(AS233&gt;15000,130,IF(AS233&gt;10000,110,0)))))</f>
        <v>200</v>
      </c>
      <c r="AW233">
        <f>AS233-AT233-AU233-AV233</f>
        <v>42650</v>
      </c>
      <c r="AX233">
        <f>_xlfn.XLOOKUP(B233,'[5]july-2025'!$A:$A,'[5]july-2025'!$C:$C,0,0)</f>
        <v>35500</v>
      </c>
      <c r="AY233">
        <f>AX233*0.18</f>
        <v>6390</v>
      </c>
      <c r="AZ233">
        <v>0</v>
      </c>
      <c r="BA233">
        <f>AX233*0.12</f>
        <v>4260</v>
      </c>
      <c r="BB233">
        <f>_xlfn.XLOOKUP(B233,'[5]july-2025'!$A:$A,'[5]july-2025'!$D:$D,0,0)</f>
        <v>0</v>
      </c>
      <c r="BC233">
        <f>_xlfn.XLOOKUP(B233,'[5]july-2025'!$A:$A,'[5]july-2025'!$G:$G,0,0)</f>
        <v>500</v>
      </c>
      <c r="BD233">
        <f>IF(AX233&gt;0,SUM(AX233:BC233),0)</f>
        <v>46650</v>
      </c>
      <c r="BE233">
        <f>_xlfn.XLOOKUP(B233,'[5]july-2025'!$A:$A,'[5]july-2025'!$H:$H,0,0)</f>
        <v>2500</v>
      </c>
      <c r="BF233">
        <f>_xlfn.XLOOKUP(B233,'[5]july-2025'!$A:$A,'[5]july-2025'!$I:$I,0,0)</f>
        <v>0</v>
      </c>
      <c r="BG233">
        <f>IF($F233="YES",0,IF(BD233&gt;40000,200,IF(BD233&gt;25000,150,IF(BD233&gt;15000,130,IF(BD233&gt;10000,110,0)))))</f>
        <v>200</v>
      </c>
      <c r="BH233">
        <f>BD233-BE233-BF233-BG233</f>
        <v>43950</v>
      </c>
      <c r="BI233">
        <f>_xlfn.XLOOKUP(B233,'[6]august-2025'!$A:$A,'[6]august-2025'!$C:$C,0,0)</f>
        <v>35500</v>
      </c>
      <c r="BJ233">
        <f>BI233*0.18</f>
        <v>6390</v>
      </c>
      <c r="BK233">
        <f>BI233*0.12</f>
        <v>4260</v>
      </c>
      <c r="BL233">
        <f>_xlfn.XLOOKUP(B233,'[6]august-2025'!$A:$A,'[6]august-2025'!$D:$D,0,0)</f>
        <v>0</v>
      </c>
      <c r="BM233">
        <f>_xlfn.XLOOKUP(B233,'[6]august-2025'!$A:$A,'[6]august-2025'!$G:$G,0,0)</f>
        <v>500</v>
      </c>
      <c r="BN233">
        <f>IF(BI233&gt;0,SUM(BI233:BM233),0)</f>
        <v>46650</v>
      </c>
      <c r="BO233">
        <f>_xlfn.XLOOKUP(B233,'[6]august-2025'!$A:$A,'[6]august-2025'!$H:$H,0,0)</f>
        <v>2500</v>
      </c>
      <c r="BP233">
        <f>_xlfn.XLOOKUP(B233,'[6]august-2025'!$A:$A,'[6]august-2025'!$I:$I,0,0)</f>
        <v>0</v>
      </c>
      <c r="BQ233">
        <f>IF($F233="YES",0,IF(BN233&gt;40000,200,IF(BN233&gt;25000,150,IF(BN233&gt;15000,130,IF(BN233&gt;10000,110,0)))))</f>
        <v>200</v>
      </c>
      <c r="BR233">
        <f>BN233-BO233-BP233-BQ233</f>
        <v>43950</v>
      </c>
      <c r="BS233">
        <f>_xlfn.XLOOKUP(B233,'[7]september-2025'!$A:$A,'[7]september-2025'!$C:$C,0,0)</f>
        <v>35500</v>
      </c>
      <c r="BT233">
        <f>BS233*0.18</f>
        <v>6390</v>
      </c>
      <c r="BU233">
        <f>BS233*0.12</f>
        <v>4260</v>
      </c>
      <c r="BV233">
        <f>_xlfn.XLOOKUP(B233,'[7]september-2025'!$A:$A,'[7]september-2025'!$D:$D,0,0)</f>
        <v>0</v>
      </c>
      <c r="BW233">
        <f>_xlfn.XLOOKUP(B233,'[7]september-2025'!$A:$A,'[7]september-2025'!$G:$G,0,0)</f>
        <v>500</v>
      </c>
      <c r="BX233">
        <f>IF(BS233&gt;0,SUM(BS233:BW233),0)</f>
        <v>46650</v>
      </c>
      <c r="BY233">
        <f>_xlfn.XLOOKUP(B233,'[7]september-2025'!$A:$A,'[7]september-2025'!$H:$H,0,0)</f>
        <v>2500</v>
      </c>
      <c r="BZ233">
        <f>_xlfn.XLOOKUP(B233,'[7]september-2025'!$A:$A,'[7]september-2025'!$I:$I,0,0)</f>
        <v>0</v>
      </c>
      <c r="CA233">
        <f>IF($F233="YES",0,IF(BX233&gt;40000,200,IF(BX233&gt;25000,150,IF(BX233&gt;15000,130,IF(BX233&gt;10000,110,0)))))</f>
        <v>200</v>
      </c>
      <c r="CB233">
        <f>BX233-BY233-BZ233-CA233</f>
        <v>43950</v>
      </c>
      <c r="CC233">
        <f>_xlfn.XLOOKUP(B233,'[8]october-2025'!$A:$A,'[8]october-2025'!$C:$C,0,0)</f>
        <v>35500</v>
      </c>
      <c r="CD233">
        <f>CC233*0.18</f>
        <v>6390</v>
      </c>
      <c r="CE233">
        <f>CC233*0.12</f>
        <v>4260</v>
      </c>
      <c r="CF233">
        <f>_xlfn.XLOOKUP(B233,'[8]october-2025'!$A:$A,'[8]october-2025'!$D:$D,0,0)</f>
        <v>0</v>
      </c>
      <c r="CG233">
        <f>_xlfn.XLOOKUP(B233,'[8]october-2025'!$A:$A,'[8]october-2025'!$G:$G,0,0)</f>
        <v>500</v>
      </c>
      <c r="CH233">
        <f>IF(CC233&gt;0,SUM(CC233:CG233),0)</f>
        <v>46650</v>
      </c>
      <c r="CI233">
        <f>_xlfn.XLOOKUP(B233,'[8]october-2025'!$A:$A,'[8]october-2025'!$H:$H,0,0)</f>
        <v>2500</v>
      </c>
      <c r="CJ233">
        <f>_xlfn.XLOOKUP(B233,'[8]october-2025'!$A:$A,'[8]october-2025'!$I:$I,0,0)</f>
        <v>0</v>
      </c>
      <c r="CK233">
        <f>IF($F233="YES",0,IF(CH233&gt;40000,200,IF(CH233&gt;25000,150,IF(CH233&gt;15000,130,IF(CH233&gt;10000,110,0)))))</f>
        <v>200</v>
      </c>
      <c r="CL233">
        <f>CH233-CI233-CJ233-CK233</f>
        <v>43950</v>
      </c>
      <c r="CM233">
        <f>_xlfn.XLOOKUP(B233,'[9]november-2025'!$A:$A,'[9]november-2025'!$C:$C,0,0)</f>
        <v>35500</v>
      </c>
      <c r="CN233">
        <f>CM233*0.18</f>
        <v>6390</v>
      </c>
      <c r="CO233">
        <f>CM233*0.12</f>
        <v>4260</v>
      </c>
      <c r="CP233">
        <f>_xlfn.XLOOKUP(B233,'[9]november-2025'!$A:$A,'[9]november-2025'!$D:$D,0,0)</f>
        <v>0</v>
      </c>
      <c r="CQ233">
        <f>_xlfn.XLOOKUP(B233,'[9]november-2025'!$A:$A,'[9]november-2025'!$G:$G,0,0)</f>
        <v>500</v>
      </c>
      <c r="CR233">
        <f>IF(CM233&gt;0,SUM(CM233:CQ233),0)</f>
        <v>46650</v>
      </c>
      <c r="CS233">
        <f>_xlfn.XLOOKUP(B233,'[9]november-2025'!$A:$A,'[9]november-2025'!$H:$H,0,0)</f>
        <v>2500</v>
      </c>
      <c r="CT233">
        <f>_xlfn.XLOOKUP(B233,'[9]november-2025'!$A:$A,'[9]november-2025'!$I:$I,0,0)</f>
        <v>0</v>
      </c>
      <c r="CU233">
        <f>IF($F233="YES",0,IF(CR233&gt;40000,200,IF(CR233&gt;25000,150,IF(CR233&gt;15000,130,IF(CR233&gt;10000,110,0)))))</f>
        <v>200</v>
      </c>
      <c r="CV233">
        <f>CR233-CS233-CT233-CU233</f>
        <v>43950</v>
      </c>
      <c r="CW233">
        <f>_xlfn.XLOOKUP(B233,'[10]december-2025'!$A:$A,'[10]december-2025'!$C:$C,0,0)</f>
        <v>35500</v>
      </c>
      <c r="CX233">
        <f>ROUND(CW233*0.18,0)</f>
        <v>6390</v>
      </c>
      <c r="CY233">
        <f>ROUND(CW233*0.12,0)</f>
        <v>4260</v>
      </c>
      <c r="CZ233">
        <f>_xlfn.XLOOKUP(B233,'[10]december-2025'!$A:$A,'[10]december-2025'!$D:$D,0,0)</f>
        <v>0</v>
      </c>
      <c r="DA233">
        <f>_xlfn.XLOOKUP(B233,'[10]december-2025'!$A:$A,'[10]december-2025'!$G:$G,0,0)</f>
        <v>500</v>
      </c>
      <c r="DB233">
        <f>IF(CW233&gt;0,SUM(CW233:DA233),0)</f>
        <v>46650</v>
      </c>
      <c r="DC233">
        <f>_xlfn.XLOOKUP(B233,'[10]december-2025'!$A:$A,'[10]december-2025'!$H:$H,0,0)</f>
        <v>2500</v>
      </c>
      <c r="DD233">
        <f>_xlfn.XLOOKUP(B233,'[10]december-2025'!$A:$A,'[10]december-2025'!$I:$I,0,0)</f>
        <v>0</v>
      </c>
      <c r="DE233">
        <f>IF($F233="YES",0,IF(DB233&gt;40000,200,IF(DB233&gt;25000,150,IF(DB233&gt;15000,130,IF(DB233&gt;10000,110,0)))))</f>
        <v>200</v>
      </c>
      <c r="DF233">
        <f>DB233-DC233-DD233-DE233</f>
        <v>43950</v>
      </c>
      <c r="DG233">
        <f>_xlfn.XLOOKUP(B233,'[11]january-2026'!$A:$A,'[11]january-2026'!$C:$C,0,0)</f>
        <v>35500</v>
      </c>
      <c r="DH233">
        <f>DG233*0.18</f>
        <v>6390</v>
      </c>
      <c r="DI233">
        <f>DG233*0.12</f>
        <v>4260</v>
      </c>
      <c r="DJ233">
        <f>_xlfn.XLOOKUP(B233,'[11]january-2026'!$A:$A,'[11]january-2026'!$D:$D,0,0)</f>
        <v>0</v>
      </c>
      <c r="DK233">
        <f>_xlfn.XLOOKUP(B233,'[11]january-2026'!$A:$A,'[11]january-2026'!$G:$G,0,0)</f>
        <v>500</v>
      </c>
      <c r="DL233">
        <f>IF(DG233&gt;0,SUM(DG233:DK233),0)</f>
        <v>46650</v>
      </c>
      <c r="DM233">
        <f>_xlfn.XLOOKUP(B233,'[11]january-2026'!$A:$A,'[11]january-2026'!$H:$H,0,0)</f>
        <v>2500</v>
      </c>
      <c r="DN233">
        <f>_xlfn.XLOOKUP(B233,'[11]january-2026'!$A:$A,'[11]january-2026'!$I:$I,0,0)</f>
        <v>0</v>
      </c>
      <c r="DO233">
        <f>IF($F233="YES",0,IF(DL233&gt;40000,200,IF(DL233&gt;25000,150,IF(DL233&gt;15000,130,IF(DL233&gt;10000,110,0)))))</f>
        <v>200</v>
      </c>
      <c r="DP233">
        <f>DL233-DM233-DN233-DO233</f>
        <v>43950</v>
      </c>
      <c r="DQ233">
        <f>_xlfn.XLOOKUP(B233,'[12]february-2026'!$A:$A,'[12]february-2026'!$C:$C,0,0)</f>
        <v>35500</v>
      </c>
      <c r="DR233">
        <f>DQ233*0.18</f>
        <v>6390</v>
      </c>
      <c r="DS233">
        <f>DQ233*0.12</f>
        <v>4260</v>
      </c>
      <c r="DT233">
        <f>_xlfn.XLOOKUP(B233,'[12]february-2026'!$A:$A,'[12]february-2026'!$D:$D,0,0)</f>
        <v>0</v>
      </c>
      <c r="DU233">
        <f>_xlfn.XLOOKUP(B233,'[12]february-2026'!$A:$A,'[12]february-2026'!$G:$G,0,0)</f>
        <v>500</v>
      </c>
      <c r="DV233">
        <f>IF(DQ233&gt;0,SUM(DQ233:DU233),0)</f>
        <v>46650</v>
      </c>
      <c r="DW233">
        <f>_xlfn.XLOOKUP(B233,'[12]february-2026'!$A:$A,'[12]february-2026'!$H:$H,0,0)</f>
        <v>2500</v>
      </c>
      <c r="DX233">
        <f>_xlfn.XLOOKUP(B233,'[12]february-2026'!$A:$A,'[12]february-2026'!$I:$I,0,0)</f>
        <v>0</v>
      </c>
      <c r="DY233">
        <f>IF($F233="YES",0,IF(DV233&gt;40000,200,IF(DV233&gt;25000,150,IF(DV233&gt;15000,130,IF(DV233&gt;10000,110,0)))))</f>
        <v>200</v>
      </c>
      <c r="DZ233">
        <f>DV233-DW233-DX233-DY233</f>
        <v>43950</v>
      </c>
      <c r="EA233">
        <f>DV233+DL233+DB233+CR233+CH233+BX233+BN233+BD233+AS233+AI233+Y233+O233+H233+I233</f>
        <v>560020</v>
      </c>
      <c r="EB233">
        <f>DY233+DO233+DE233+CU233+CK233+CA233+BQ233+BG233+AV233+AL233+AB233+R233</f>
        <v>2400</v>
      </c>
      <c r="EC233">
        <f>IF(EA233&gt;0,50000,0)</f>
        <v>50000</v>
      </c>
      <c r="ED233">
        <v>0</v>
      </c>
      <c r="EE233">
        <f>EA233-EB233-EC233</f>
        <v>507620</v>
      </c>
      <c r="EF233">
        <f>DW233+DM233+DC233+CS233+CI233+BY233+BO233+BE233+AT233+AJ233+Z233+P233</f>
        <v>30000</v>
      </c>
      <c r="EG233">
        <f>DX233+DN233+DD233+CT233+CJ233+BZ233+BP233+BF233+AU233+AK233+AA233+Q233</f>
        <v>0</v>
      </c>
      <c r="EH233">
        <v>0</v>
      </c>
      <c r="EI233">
        <v>0</v>
      </c>
      <c r="EJ233">
        <v>0</v>
      </c>
      <c r="EK233">
        <v>0</v>
      </c>
      <c r="EL233">
        <v>0</v>
      </c>
      <c r="EM233">
        <v>0</v>
      </c>
      <c r="EN233">
        <v>0</v>
      </c>
      <c r="EO233">
        <v>0</v>
      </c>
      <c r="EP233">
        <v>0</v>
      </c>
      <c r="EQ233">
        <v>0</v>
      </c>
      <c r="ER233">
        <f>SUM(EF233:EQ233)</f>
        <v>30000</v>
      </c>
      <c r="ES233">
        <f>IF(ER233&gt;=150000,150000,ER233)</f>
        <v>30000</v>
      </c>
      <c r="ET233">
        <f>EE233-ES233</f>
        <v>477620</v>
      </c>
      <c r="EU233">
        <v>0</v>
      </c>
      <c r="EV233">
        <v>0</v>
      </c>
      <c r="EW233">
        <v>0</v>
      </c>
      <c r="EX233">
        <v>0</v>
      </c>
      <c r="EY233">
        <v>0</v>
      </c>
      <c r="EZ233">
        <v>0</v>
      </c>
      <c r="FA233">
        <v>0</v>
      </c>
      <c r="FB233">
        <f>SUM(EU233:FA233)+(IF(F233="YES",50000,0))</f>
        <v>0</v>
      </c>
      <c r="FC233">
        <f>ET233-FB233</f>
        <v>477620</v>
      </c>
      <c r="FD233">
        <f>ROUND(IF(FC233&gt;0,IF(FC233&gt;500000,12500,(FC233-250000)*0.05),0),0)</f>
        <v>11381</v>
      </c>
      <c r="FE233">
        <f>IF(ROUND(IF(FC233&gt;0,IF(FC233&gt;1000000,25000,(FC233-500000)*0.2),0),0)&lt;0,0,ROUND(IF(FC233&gt;0,IF(FC233&gt;1000000,25000,(FC233-500000)*0.2),0),0))</f>
        <v>0</v>
      </c>
      <c r="FF233">
        <f>FD233+FE233</f>
        <v>11381</v>
      </c>
      <c r="FG233">
        <f>IF(FF233&lt;12500,0,FF233)</f>
        <v>0</v>
      </c>
      <c r="FH233">
        <f>FG233*0.04</f>
        <v>0</v>
      </c>
      <c r="FI233">
        <f>ROUND(FH233+FG233,0)</f>
        <v>0</v>
      </c>
      <c r="FJ233">
        <v>0</v>
      </c>
      <c r="FK233">
        <f>FI233-FJ233</f>
        <v>0</v>
      </c>
      <c r="FL233" t="b">
        <f>IF(EA233&gt;500000,TRUE,FALSE)</f>
        <v>1</v>
      </c>
      <c r="FM233">
        <f ca="1">IF(FL233,RANDBETWEEN(500,1000),RANDBETWEEN(1000,3000))</f>
        <v>873</v>
      </c>
      <c r="FN233">
        <f ca="1">EA233+FM233</f>
        <v>560893</v>
      </c>
      <c r="FO233">
        <f>IF(EA233&gt;0,75000,0)</f>
        <v>75000</v>
      </c>
      <c r="FP233">
        <f ca="1">FN233-FO233</f>
        <v>485893</v>
      </c>
      <c r="FQ233">
        <f ca="1">IF(FP233&gt;2400000,FP233-2400000,0)</f>
        <v>0</v>
      </c>
      <c r="FR233">
        <f ca="1">FQ233*0.3</f>
        <v>0</v>
      </c>
      <c r="FS233">
        <f ca="1">IF(FP233&gt;2000000,FP233-2000000,0)</f>
        <v>0</v>
      </c>
      <c r="FT233">
        <f ca="1">FS233*0.25</f>
        <v>0</v>
      </c>
      <c r="FU233">
        <f ca="1">IF(FP233&gt;1600000,FP233-1600000-FQ233,0)</f>
        <v>0</v>
      </c>
      <c r="FV233">
        <f ca="1">FU233*0.2</f>
        <v>0</v>
      </c>
      <c r="FW233">
        <f ca="1">IF(FP233&gt;1200000,FP233-1200000-IF(F233="YES",50000,0)-FU233,0)</f>
        <v>0</v>
      </c>
      <c r="FX233">
        <f ca="1">FW233*0.15</f>
        <v>0</v>
      </c>
      <c r="FY233">
        <f ca="1">IF(FP233&gt;800000,FP233-800000-FQ233-FU233-FW233,0)</f>
        <v>0</v>
      </c>
      <c r="FZ233">
        <f ca="1">FY233*0.1</f>
        <v>0</v>
      </c>
      <c r="GA233">
        <f ca="1">IF(FP233&gt;400000,FP233-400000-FQ233-FU233-FW233-FY233,0)</f>
        <v>85893</v>
      </c>
      <c r="GB233">
        <f ca="1">GA233*0.05</f>
        <v>4294.6500000000005</v>
      </c>
      <c r="GC233">
        <f ca="1">ROUND(FR233+FT233+FV233+FX233+FZ233+GB233,0)</f>
        <v>4295</v>
      </c>
      <c r="GD233">
        <f ca="1">IF(FP233&gt;1200000,FP233,0)</f>
        <v>0</v>
      </c>
      <c r="GE233">
        <f ca="1">IF(FP233&gt;1200000,GD233-1200000,0)</f>
        <v>0</v>
      </c>
      <c r="GF233">
        <f ca="1">IF(FP233&lt;1200001,MIN(GC233,60000),0)</f>
        <v>4295</v>
      </c>
      <c r="GG233">
        <f ca="1">IF(FP233&gt;1200000,GC233-GE233,0)</f>
        <v>0</v>
      </c>
      <c r="GH233" t="b">
        <f ca="1">IF(GG233&gt;0,TRUE,FALSE)</f>
        <v>0</v>
      </c>
      <c r="GI233">
        <f ca="1">IF(GH233,GG233,0)</f>
        <v>0</v>
      </c>
      <c r="GJ233">
        <f ca="1">GF233+GI233</f>
        <v>4295</v>
      </c>
      <c r="GK233">
        <f ca="1">ROUND(GC233-GJ233,0)</f>
        <v>0</v>
      </c>
      <c r="GL233">
        <f ca="1">GK233*0.04</f>
        <v>0</v>
      </c>
      <c r="GM233">
        <f ca="1">ROUNDUP(GK233+GL233,0)</f>
        <v>0</v>
      </c>
    </row>
    <row r="234" spans="1:195" x14ac:dyDescent="0.25">
      <c r="A234">
        <f>_xlfn.AGGREGATE(3,5,$B$2:B234)</f>
        <v>233</v>
      </c>
      <c r="B234" t="s">
        <v>577</v>
      </c>
      <c r="C234" t="s">
        <v>578</v>
      </c>
      <c r="D234" t="s">
        <v>812</v>
      </c>
      <c r="E234" t="s">
        <v>833</v>
      </c>
      <c r="F234" t="s">
        <v>959</v>
      </c>
      <c r="G234" t="s">
        <v>906</v>
      </c>
      <c r="H234">
        <f>IF(_xlfn.DAYS("31-03-2025",G234)&gt;=180,6800,0)</f>
        <v>6800</v>
      </c>
      <c r="I234">
        <f>_xlfn.XLOOKUP(B234,'[1]march-2025'!$A:$A,'[1]march-2025'!$J:$J,0,0)</f>
        <v>0</v>
      </c>
      <c r="J234">
        <f>_xlfn.XLOOKUP(B234,'[1]march-2025'!$A:$A,'[1]march-2025'!$C:$C,0,0)</f>
        <v>28900</v>
      </c>
      <c r="K234">
        <f>J234*0.14</f>
        <v>4046.0000000000005</v>
      </c>
      <c r="L234">
        <f>J234*0.12</f>
        <v>3468</v>
      </c>
      <c r="M234">
        <f>_xlfn.XLOOKUP(B234,'[1]march-2025'!$A:$A,'[1]march-2025'!$D:$D,0,0)</f>
        <v>0</v>
      </c>
      <c r="N234">
        <f>_xlfn.XLOOKUP(B234,'[1]march-2025'!$A:$A,'[1]march-2025'!$G:$G,0,0)</f>
        <v>500</v>
      </c>
      <c r="O234">
        <f>IF(J234&gt;0,SUM(J234:N234),0)</f>
        <v>36914</v>
      </c>
      <c r="P234">
        <f>_xlfn.XLOOKUP(B234,'[1]march-2025'!$A:$A,'[1]march-2025'!$H:$H,0,0)</f>
        <v>2000</v>
      </c>
      <c r="Q234">
        <f>_xlfn.XLOOKUP(B234,'[1]march-2025'!$A:$A,'[1]march-2025'!$I:$I,0,0)</f>
        <v>0</v>
      </c>
      <c r="R234">
        <f>IF($F234="YES",0,IF(O234&gt;40000,200,IF(O234&gt;25000,150,IF(O234&gt;15000,130,IF(O234&gt;10000,110,0)))))</f>
        <v>150</v>
      </c>
      <c r="S234">
        <f>O234-P234-Q234-R234</f>
        <v>34764</v>
      </c>
      <c r="T234">
        <f>_xlfn.XLOOKUP(B234,'[2]april-2025'!$A:$A,'[2]april-2025'!$C:$C,0,0)</f>
        <v>28900</v>
      </c>
      <c r="U234">
        <f>T234*0.18</f>
        <v>5202</v>
      </c>
      <c r="V234">
        <f>T234*0.12</f>
        <v>3468</v>
      </c>
      <c r="W234">
        <f>_xlfn.XLOOKUP(B234,'[2]april-2025'!$A:$A,'[2]april-2025'!$D:$D,0,0)</f>
        <v>0</v>
      </c>
      <c r="X234">
        <f>_xlfn.XLOOKUP(B234,'[2]april-2025'!$A:$A,'[2]april-2025'!$G:$G,0,0)</f>
        <v>500</v>
      </c>
      <c r="Y234">
        <f>IF(T234&gt;0,SUM(T234:X234),0)</f>
        <v>38070</v>
      </c>
      <c r="Z234">
        <f>_xlfn.XLOOKUP(B234,'[2]april-2025'!$A:$A,'[2]april-2025'!$H:$H,0,0)</f>
        <v>2000</v>
      </c>
      <c r="AA234">
        <f>_xlfn.XLOOKUP(B234,'[2]april-2025'!$A:$A,'[2]april-2025'!$I:$I,0,0)</f>
        <v>0</v>
      </c>
      <c r="AB234">
        <f>IF($F234="YES",0,IF(Y234&gt;40000,200,IF(Y234&gt;25000,150,IF(Y234&gt;15000,130,IF(Y234&gt;10000,110,0)))))</f>
        <v>150</v>
      </c>
      <c r="AC234">
        <f>Y234-Z234-AA234-AB234</f>
        <v>35920</v>
      </c>
      <c r="AD234">
        <f>_xlfn.XLOOKUP(B234,'[3]may-2025'!$A:$A,'[3]may-2025'!$C:$C,0,0)</f>
        <v>28900</v>
      </c>
      <c r="AE234">
        <f>AD234*0.18</f>
        <v>5202</v>
      </c>
      <c r="AF234">
        <f>AD234*0.12</f>
        <v>3468</v>
      </c>
      <c r="AG234">
        <f>_xlfn.XLOOKUP(B234,'[3]may-2025'!$A:$A,'[3]may-2025'!$D:$D,0,0)</f>
        <v>0</v>
      </c>
      <c r="AH234">
        <f>_xlfn.XLOOKUP(B234,'[3]may-2025'!$A:$A,'[3]may-2025'!$G:$G,0,0)</f>
        <v>500</v>
      </c>
      <c r="AI234">
        <f>IF(AD234&gt;0,SUM(AD234:AH234),0)</f>
        <v>38070</v>
      </c>
      <c r="AJ234">
        <f>_xlfn.XLOOKUP(B234,'[3]may-2025'!$A:$A,'[3]may-2025'!$H:$H,0,0)</f>
        <v>2000</v>
      </c>
      <c r="AK234">
        <f>_xlfn.XLOOKUP(B234,'[3]may-2025'!$A:$A,'[3]may-2025'!$I:$I,0,0)</f>
        <v>0</v>
      </c>
      <c r="AL234">
        <f>IF($F234="YES",0,IF(AI234&gt;40000,200,IF(AI234&gt;25000,150,IF(AI234&gt;15000,130,IF(AI234&gt;10000,110,0)))))</f>
        <v>150</v>
      </c>
      <c r="AM234">
        <f>AI234-AJ234-AK234-AL234</f>
        <v>35920</v>
      </c>
      <c r="AN234">
        <f>_xlfn.XLOOKUP(B234,'[4]june-2025'!$A:$A,'[4]june-2025'!$C:$C,0,0)</f>
        <v>28900</v>
      </c>
      <c r="AO234">
        <f>AN234*0.18</f>
        <v>5202</v>
      </c>
      <c r="AP234">
        <f>AN234*0.12</f>
        <v>3468</v>
      </c>
      <c r="AQ234">
        <f>_xlfn.XLOOKUP(B234,'[4]june-2025'!$A:$A,'[4]june-2025'!$D:$D,0,0)</f>
        <v>0</v>
      </c>
      <c r="AR234">
        <f>_xlfn.XLOOKUP(B234,'[4]june-2025'!$A:$A,'[4]june-2025'!$G:$G,0,0)</f>
        <v>500</v>
      </c>
      <c r="AS234">
        <f>IF(AN234&gt;0,SUM(AN234:AR234),0)</f>
        <v>38070</v>
      </c>
      <c r="AT234">
        <f>_xlfn.XLOOKUP(B234,'[4]june-2025'!$A:$A,'[4]june-2025'!$H:$H,0,0)</f>
        <v>2000</v>
      </c>
      <c r="AU234">
        <f>_xlfn.XLOOKUP(B234,'[4]june-2025'!$A:$A,'[4]june-2025'!$I:$I,0,0)</f>
        <v>0</v>
      </c>
      <c r="AV234">
        <f>IF($F234="YES",0,IF(AS234&gt;40000,200,IF(AS234&gt;25000,150,IF(AS234&gt;15000,130,IF(AS234&gt;10000,110,0)))))</f>
        <v>150</v>
      </c>
      <c r="AW234">
        <f>AS234-AT234-AU234-AV234</f>
        <v>35920</v>
      </c>
      <c r="AX234">
        <f>_xlfn.XLOOKUP(B234,'[5]july-2025'!$A:$A,'[5]july-2025'!$C:$C,0,0)</f>
        <v>29800</v>
      </c>
      <c r="AY234">
        <f>AX234*0.18</f>
        <v>5364</v>
      </c>
      <c r="AZ234">
        <v>0</v>
      </c>
      <c r="BA234">
        <f>AX234*0.12</f>
        <v>3576</v>
      </c>
      <c r="BB234">
        <f>_xlfn.XLOOKUP(B234,'[5]july-2025'!$A:$A,'[5]july-2025'!$D:$D,0,0)</f>
        <v>0</v>
      </c>
      <c r="BC234">
        <f>_xlfn.XLOOKUP(B234,'[5]july-2025'!$A:$A,'[5]july-2025'!$G:$G,0,0)</f>
        <v>500</v>
      </c>
      <c r="BD234">
        <f>IF(AX234&gt;0,SUM(AX234:BC234),0)</f>
        <v>39240</v>
      </c>
      <c r="BE234">
        <f>_xlfn.XLOOKUP(B234,'[5]july-2025'!$A:$A,'[5]july-2025'!$H:$H,0,0)</f>
        <v>2000</v>
      </c>
      <c r="BF234">
        <f>_xlfn.XLOOKUP(B234,'[5]july-2025'!$A:$A,'[5]july-2025'!$I:$I,0,0)</f>
        <v>0</v>
      </c>
      <c r="BG234">
        <f>IF($F234="YES",0,IF(BD234&gt;40000,200,IF(BD234&gt;25000,150,IF(BD234&gt;15000,130,IF(BD234&gt;10000,110,0)))))</f>
        <v>150</v>
      </c>
      <c r="BH234">
        <f>BD234-BE234-BF234-BG234</f>
        <v>37090</v>
      </c>
      <c r="BI234">
        <f>_xlfn.XLOOKUP(B234,'[6]august-2025'!$A:$A,'[6]august-2025'!$C:$C,0,0)</f>
        <v>29800</v>
      </c>
      <c r="BJ234">
        <f>BI234*0.18</f>
        <v>5364</v>
      </c>
      <c r="BK234">
        <f>BI234*0.12</f>
        <v>3576</v>
      </c>
      <c r="BL234">
        <f>_xlfn.XLOOKUP(B234,'[6]august-2025'!$A:$A,'[6]august-2025'!$D:$D,0,0)</f>
        <v>0</v>
      </c>
      <c r="BM234">
        <f>_xlfn.XLOOKUP(B234,'[6]august-2025'!$A:$A,'[6]august-2025'!$G:$G,0,0)</f>
        <v>500</v>
      </c>
      <c r="BN234">
        <f>IF(BI234&gt;0,SUM(BI234:BM234),0)</f>
        <v>39240</v>
      </c>
      <c r="BO234">
        <f>_xlfn.XLOOKUP(B234,'[6]august-2025'!$A:$A,'[6]august-2025'!$H:$H,0,0)</f>
        <v>2000</v>
      </c>
      <c r="BP234">
        <f>_xlfn.XLOOKUP(B234,'[6]august-2025'!$A:$A,'[6]august-2025'!$I:$I,0,0)</f>
        <v>0</v>
      </c>
      <c r="BQ234">
        <f>IF($F234="YES",0,IF(BN234&gt;40000,200,IF(BN234&gt;25000,150,IF(BN234&gt;15000,130,IF(BN234&gt;10000,110,0)))))</f>
        <v>150</v>
      </c>
      <c r="BR234">
        <f>BN234-BO234-BP234-BQ234</f>
        <v>37090</v>
      </c>
      <c r="BS234">
        <f>_xlfn.XLOOKUP(B234,'[7]september-2025'!$A:$A,'[7]september-2025'!$C:$C,0,0)</f>
        <v>29800</v>
      </c>
      <c r="BT234">
        <f>BS234*0.18</f>
        <v>5364</v>
      </c>
      <c r="BU234">
        <f>BS234*0.12</f>
        <v>3576</v>
      </c>
      <c r="BV234">
        <f>_xlfn.XLOOKUP(B234,'[7]september-2025'!$A:$A,'[7]september-2025'!$D:$D,0,0)</f>
        <v>0</v>
      </c>
      <c r="BW234">
        <f>_xlfn.XLOOKUP(B234,'[7]september-2025'!$A:$A,'[7]september-2025'!$G:$G,0,0)</f>
        <v>500</v>
      </c>
      <c r="BX234">
        <f>IF(BS234&gt;0,SUM(BS234:BW234),0)</f>
        <v>39240</v>
      </c>
      <c r="BY234">
        <f>_xlfn.XLOOKUP(B234,'[7]september-2025'!$A:$A,'[7]september-2025'!$H:$H,0,0)</f>
        <v>2000</v>
      </c>
      <c r="BZ234">
        <f>_xlfn.XLOOKUP(B234,'[7]september-2025'!$A:$A,'[7]september-2025'!$I:$I,0,0)</f>
        <v>0</v>
      </c>
      <c r="CA234">
        <f>IF($F234="YES",0,IF(BX234&gt;40000,200,IF(BX234&gt;25000,150,IF(BX234&gt;15000,130,IF(BX234&gt;10000,110,0)))))</f>
        <v>150</v>
      </c>
      <c r="CB234">
        <f>BX234-BY234-BZ234-CA234</f>
        <v>37090</v>
      </c>
      <c r="CC234">
        <f>_xlfn.XLOOKUP(B234,'[8]october-2025'!$A:$A,'[8]october-2025'!$C:$C,0,0)</f>
        <v>29800</v>
      </c>
      <c r="CD234">
        <f>CC234*0.18</f>
        <v>5364</v>
      </c>
      <c r="CE234">
        <f>CC234*0.12</f>
        <v>3576</v>
      </c>
      <c r="CF234">
        <f>_xlfn.XLOOKUP(B234,'[8]october-2025'!$A:$A,'[8]october-2025'!$D:$D,0,0)</f>
        <v>0</v>
      </c>
      <c r="CG234">
        <f>_xlfn.XLOOKUP(B234,'[8]october-2025'!$A:$A,'[8]october-2025'!$G:$G,0,0)</f>
        <v>500</v>
      </c>
      <c r="CH234">
        <f>IF(CC234&gt;0,SUM(CC234:CG234),0)</f>
        <v>39240</v>
      </c>
      <c r="CI234">
        <f>_xlfn.XLOOKUP(B234,'[8]october-2025'!$A:$A,'[8]october-2025'!$H:$H,0,0)</f>
        <v>2000</v>
      </c>
      <c r="CJ234">
        <f>_xlfn.XLOOKUP(B234,'[8]october-2025'!$A:$A,'[8]october-2025'!$I:$I,0,0)</f>
        <v>0</v>
      </c>
      <c r="CK234">
        <f>IF($F234="YES",0,IF(CH234&gt;40000,200,IF(CH234&gt;25000,150,IF(CH234&gt;15000,130,IF(CH234&gt;10000,110,0)))))</f>
        <v>150</v>
      </c>
      <c r="CL234">
        <f>CH234-CI234-CJ234-CK234</f>
        <v>37090</v>
      </c>
      <c r="CM234">
        <f>_xlfn.XLOOKUP(B234,'[9]november-2025'!$A:$A,'[9]november-2025'!$C:$C,0,0)</f>
        <v>29800</v>
      </c>
      <c r="CN234">
        <f>CM234*0.18</f>
        <v>5364</v>
      </c>
      <c r="CO234">
        <f>CM234*0.12</f>
        <v>3576</v>
      </c>
      <c r="CP234">
        <f>_xlfn.XLOOKUP(B234,'[9]november-2025'!$A:$A,'[9]november-2025'!$D:$D,0,0)</f>
        <v>0</v>
      </c>
      <c r="CQ234">
        <f>_xlfn.XLOOKUP(B234,'[9]november-2025'!$A:$A,'[9]november-2025'!$G:$G,0,0)</f>
        <v>500</v>
      </c>
      <c r="CR234">
        <f>IF(CM234&gt;0,SUM(CM234:CQ234),0)</f>
        <v>39240</v>
      </c>
      <c r="CS234">
        <f>_xlfn.XLOOKUP(B234,'[9]november-2025'!$A:$A,'[9]november-2025'!$H:$H,0,0)</f>
        <v>2000</v>
      </c>
      <c r="CT234">
        <f>_xlfn.XLOOKUP(B234,'[9]november-2025'!$A:$A,'[9]november-2025'!$I:$I,0,0)</f>
        <v>0</v>
      </c>
      <c r="CU234">
        <f>IF($F234="YES",0,IF(CR234&gt;40000,200,IF(CR234&gt;25000,150,IF(CR234&gt;15000,130,IF(CR234&gt;10000,110,0)))))</f>
        <v>150</v>
      </c>
      <c r="CV234">
        <f>CR234-CS234-CT234-CU234</f>
        <v>37090</v>
      </c>
      <c r="CW234">
        <f>_xlfn.XLOOKUP(B234,'[10]december-2025'!$A:$A,'[10]december-2025'!$C:$C,0,0)</f>
        <v>29800</v>
      </c>
      <c r="CX234">
        <f>ROUND(CW234*0.18,0)</f>
        <v>5364</v>
      </c>
      <c r="CY234">
        <f>ROUND(CW234*0.12,0)</f>
        <v>3576</v>
      </c>
      <c r="CZ234">
        <f>_xlfn.XLOOKUP(B234,'[10]december-2025'!$A:$A,'[10]december-2025'!$D:$D,0,0)</f>
        <v>0</v>
      </c>
      <c r="DA234">
        <f>_xlfn.XLOOKUP(B234,'[10]december-2025'!$A:$A,'[10]december-2025'!$G:$G,0,0)</f>
        <v>500</v>
      </c>
      <c r="DB234">
        <f>IF(CW234&gt;0,SUM(CW234:DA234),0)</f>
        <v>39240</v>
      </c>
      <c r="DC234">
        <f>_xlfn.XLOOKUP(B234,'[10]december-2025'!$A:$A,'[10]december-2025'!$H:$H,0,0)</f>
        <v>2000</v>
      </c>
      <c r="DD234">
        <f>_xlfn.XLOOKUP(B234,'[10]december-2025'!$A:$A,'[10]december-2025'!$I:$I,0,0)</f>
        <v>0</v>
      </c>
      <c r="DE234">
        <f>IF($F234="YES",0,IF(DB234&gt;40000,200,IF(DB234&gt;25000,150,IF(DB234&gt;15000,130,IF(DB234&gt;10000,110,0)))))</f>
        <v>150</v>
      </c>
      <c r="DF234">
        <f>DB234-DC234-DD234-DE234</f>
        <v>37090</v>
      </c>
      <c r="DG234">
        <f>_xlfn.XLOOKUP(B234,'[11]january-2026'!$A:$A,'[11]january-2026'!$C:$C,0,0)</f>
        <v>29800</v>
      </c>
      <c r="DH234">
        <f>DG234*0.18</f>
        <v>5364</v>
      </c>
      <c r="DI234">
        <f>DG234*0.12</f>
        <v>3576</v>
      </c>
      <c r="DJ234">
        <f>_xlfn.XLOOKUP(B234,'[11]january-2026'!$A:$A,'[11]january-2026'!$D:$D,0,0)</f>
        <v>0</v>
      </c>
      <c r="DK234">
        <f>_xlfn.XLOOKUP(B234,'[11]january-2026'!$A:$A,'[11]january-2026'!$G:$G,0,0)</f>
        <v>500</v>
      </c>
      <c r="DL234">
        <f>IF(DG234&gt;0,SUM(DG234:DK234),0)</f>
        <v>39240</v>
      </c>
      <c r="DM234">
        <f>_xlfn.XLOOKUP(B234,'[11]january-2026'!$A:$A,'[11]january-2026'!$H:$H,0,0)</f>
        <v>2000</v>
      </c>
      <c r="DN234">
        <f>_xlfn.XLOOKUP(B234,'[11]january-2026'!$A:$A,'[11]january-2026'!$I:$I,0,0)</f>
        <v>0</v>
      </c>
      <c r="DO234">
        <f>IF($F234="YES",0,IF(DL234&gt;40000,200,IF(DL234&gt;25000,150,IF(DL234&gt;15000,130,IF(DL234&gt;10000,110,0)))))</f>
        <v>150</v>
      </c>
      <c r="DP234">
        <f>DL234-DM234-DN234-DO234</f>
        <v>37090</v>
      </c>
      <c r="DQ234">
        <f>_xlfn.XLOOKUP(B234,'[12]february-2026'!$A:$A,'[12]february-2026'!$C:$C,0,0)</f>
        <v>29800</v>
      </c>
      <c r="DR234">
        <f>DQ234*0.18</f>
        <v>5364</v>
      </c>
      <c r="DS234">
        <f>DQ234*0.12</f>
        <v>3576</v>
      </c>
      <c r="DT234">
        <f>_xlfn.XLOOKUP(B234,'[12]february-2026'!$A:$A,'[12]february-2026'!$D:$D,0,0)</f>
        <v>0</v>
      </c>
      <c r="DU234">
        <f>_xlfn.XLOOKUP(B234,'[12]february-2026'!$A:$A,'[12]february-2026'!$G:$G,0,0)</f>
        <v>500</v>
      </c>
      <c r="DV234">
        <f>IF(DQ234&gt;0,SUM(DQ234:DU234),0)</f>
        <v>39240</v>
      </c>
      <c r="DW234">
        <f>_xlfn.XLOOKUP(B234,'[12]february-2026'!$A:$A,'[12]february-2026'!$H:$H,0,0)</f>
        <v>2000</v>
      </c>
      <c r="DX234">
        <f>_xlfn.XLOOKUP(B234,'[12]february-2026'!$A:$A,'[12]february-2026'!$I:$I,0,0)</f>
        <v>0</v>
      </c>
      <c r="DY234">
        <f>IF($F234="YES",0,IF(DV234&gt;40000,200,IF(DV234&gt;25000,150,IF(DV234&gt;15000,130,IF(DV234&gt;10000,110,0)))))</f>
        <v>150</v>
      </c>
      <c r="DZ234">
        <f>DV234-DW234-DX234-DY234</f>
        <v>37090</v>
      </c>
      <c r="EA234">
        <f>DV234+DL234+DB234+CR234+CH234+BX234+BN234+BD234+AS234+AI234+Y234+O234+H234+I234</f>
        <v>471844</v>
      </c>
      <c r="EB234">
        <f>DY234+DO234+DE234+CU234+CK234+CA234+BQ234+BG234+AV234+AL234+AB234+R234</f>
        <v>1800</v>
      </c>
      <c r="EC234">
        <f>IF(EA234&gt;0,50000,0)</f>
        <v>50000</v>
      </c>
      <c r="ED234">
        <v>0</v>
      </c>
      <c r="EE234">
        <f>EA234-EB234-EC234</f>
        <v>420044</v>
      </c>
      <c r="EF234">
        <f>DW234+DM234+DC234+CS234+CI234+BY234+BO234+BE234+AT234+AJ234+Z234+P234</f>
        <v>24000</v>
      </c>
      <c r="EG234">
        <f>DX234+DN234+DD234+CT234+CJ234+BZ234+BP234+BF234+AU234+AK234+AA234+Q234</f>
        <v>0</v>
      </c>
      <c r="EH234">
        <v>0</v>
      </c>
      <c r="EI234">
        <v>0</v>
      </c>
      <c r="EJ234">
        <v>0</v>
      </c>
      <c r="EK234">
        <v>0</v>
      </c>
      <c r="EL234">
        <v>0</v>
      </c>
      <c r="EM234">
        <v>0</v>
      </c>
      <c r="EN234">
        <v>0</v>
      </c>
      <c r="EO234">
        <v>0</v>
      </c>
      <c r="EP234">
        <v>0</v>
      </c>
      <c r="EQ234">
        <v>0</v>
      </c>
      <c r="ER234">
        <f>SUM(EF234:EQ234)</f>
        <v>24000</v>
      </c>
      <c r="ES234">
        <f>IF(ER234&gt;=150000,150000,ER234)</f>
        <v>24000</v>
      </c>
      <c r="ET234">
        <f>EE234-ES234</f>
        <v>396044</v>
      </c>
      <c r="EU234">
        <v>0</v>
      </c>
      <c r="EV234">
        <v>0</v>
      </c>
      <c r="EW234">
        <v>0</v>
      </c>
      <c r="EX234">
        <v>0</v>
      </c>
      <c r="EY234">
        <v>0</v>
      </c>
      <c r="EZ234">
        <v>0</v>
      </c>
      <c r="FA234">
        <v>0</v>
      </c>
      <c r="FB234">
        <f>SUM(EU234:FA234)+(IF(F234="YES",50000,0))</f>
        <v>0</v>
      </c>
      <c r="FC234">
        <f>ET234-FB234</f>
        <v>396044</v>
      </c>
      <c r="FD234">
        <f>ROUND(IF(FC234&gt;0,IF(FC234&gt;500000,12500,(FC234-250000)*0.05),0),0)</f>
        <v>7302</v>
      </c>
      <c r="FE234">
        <f>IF(ROUND(IF(FC234&gt;0,IF(FC234&gt;1000000,25000,(FC234-500000)*0.2),0),0)&lt;0,0,ROUND(IF(FC234&gt;0,IF(FC234&gt;1000000,25000,(FC234-500000)*0.2),0),0))</f>
        <v>0</v>
      </c>
      <c r="FF234">
        <f>FD234+FE234</f>
        <v>7302</v>
      </c>
      <c r="FG234">
        <f>IF(FF234&lt;12500,0,FF234)</f>
        <v>0</v>
      </c>
      <c r="FH234">
        <f>FG234*0.04</f>
        <v>0</v>
      </c>
      <c r="FI234">
        <f>ROUND(FH234+FG234,0)</f>
        <v>0</v>
      </c>
      <c r="FJ234">
        <v>0</v>
      </c>
      <c r="FK234">
        <f>FI234-FJ234</f>
        <v>0</v>
      </c>
      <c r="FL234" t="b">
        <f>IF(EA234&gt;500000,TRUE,FALSE)</f>
        <v>0</v>
      </c>
      <c r="FM234">
        <f ca="1">IF(FL234,RANDBETWEEN(500,1000),RANDBETWEEN(1000,3000))</f>
        <v>1138</v>
      </c>
      <c r="FN234">
        <f ca="1">EA234+FM234</f>
        <v>472982</v>
      </c>
      <c r="FO234">
        <f>IF(EA234&gt;0,75000,0)</f>
        <v>75000</v>
      </c>
      <c r="FP234">
        <f ca="1">FN234-FO234</f>
        <v>397982</v>
      </c>
      <c r="FQ234">
        <f ca="1">IF(FP234&gt;2400000,FP234-2400000,0)</f>
        <v>0</v>
      </c>
      <c r="FR234">
        <f ca="1">FQ234*0.3</f>
        <v>0</v>
      </c>
      <c r="FS234">
        <f ca="1">IF(FP234&gt;2000000,FP234-2000000,0)</f>
        <v>0</v>
      </c>
      <c r="FT234">
        <f ca="1">FS234*0.25</f>
        <v>0</v>
      </c>
      <c r="FU234">
        <f ca="1">IF(FP234&gt;1600000,FP234-1600000-FQ234,0)</f>
        <v>0</v>
      </c>
      <c r="FV234">
        <f ca="1">FU234*0.2</f>
        <v>0</v>
      </c>
      <c r="FW234">
        <f ca="1">IF(FP234&gt;1200000,FP234-1200000-IF(F234="YES",50000,0)-FU234,0)</f>
        <v>0</v>
      </c>
      <c r="FX234">
        <f ca="1">FW234*0.15</f>
        <v>0</v>
      </c>
      <c r="FY234">
        <f ca="1">IF(FP234&gt;800000,FP234-800000-FQ234-FU234-FW234,0)</f>
        <v>0</v>
      </c>
      <c r="FZ234">
        <f ca="1">FY234*0.1</f>
        <v>0</v>
      </c>
      <c r="GA234">
        <f ca="1">IF(FP234&gt;400000,FP234-400000-FQ234-FU234-FW234-FY234,0)</f>
        <v>0</v>
      </c>
      <c r="GB234">
        <f ca="1">GA234*0.05</f>
        <v>0</v>
      </c>
      <c r="GC234">
        <f ca="1">ROUND(FR234+FT234+FV234+FX234+FZ234+GB234,0)</f>
        <v>0</v>
      </c>
      <c r="GD234">
        <f ca="1">IF(FP234&gt;1200000,FP234,0)</f>
        <v>0</v>
      </c>
      <c r="GE234">
        <f ca="1">IF(FP234&gt;1200000,GD234-1200000,0)</f>
        <v>0</v>
      </c>
      <c r="GF234">
        <f ca="1">IF(FP234&lt;1200001,MIN(GC234,60000),0)</f>
        <v>0</v>
      </c>
      <c r="GG234">
        <f ca="1">IF(FP234&gt;1200000,GC234-GE234,0)</f>
        <v>0</v>
      </c>
      <c r="GH234" t="b">
        <f ca="1">IF(GG234&gt;0,TRUE,FALSE)</f>
        <v>0</v>
      </c>
      <c r="GI234">
        <f ca="1">IF(GH234,GG234,0)</f>
        <v>0</v>
      </c>
      <c r="GJ234">
        <f ca="1">GF234+GI234</f>
        <v>0</v>
      </c>
      <c r="GK234">
        <f ca="1">ROUND(GC234-GJ234,0)</f>
        <v>0</v>
      </c>
      <c r="GL234">
        <f ca="1">GK234*0.04</f>
        <v>0</v>
      </c>
      <c r="GM234">
        <f ca="1">ROUNDUP(GK234+GL234,0)</f>
        <v>0</v>
      </c>
    </row>
    <row r="235" spans="1:195" x14ac:dyDescent="0.25">
      <c r="A235">
        <f>_xlfn.AGGREGATE(3,5,$B$2:B235)</f>
        <v>234</v>
      </c>
      <c r="B235" t="s">
        <v>579</v>
      </c>
      <c r="C235" t="s">
        <v>580</v>
      </c>
      <c r="D235" t="s">
        <v>813</v>
      </c>
      <c r="E235" t="s">
        <v>833</v>
      </c>
      <c r="F235" t="s">
        <v>959</v>
      </c>
      <c r="G235" t="s">
        <v>951</v>
      </c>
      <c r="H235">
        <f>IF(_xlfn.DAYS("31-03-2025",G235)&gt;=180,6800,0)</f>
        <v>6800</v>
      </c>
      <c r="I235">
        <f>_xlfn.XLOOKUP(B235,'[1]march-2025'!$A:$A,'[1]march-2025'!$J:$J,0,0)</f>
        <v>0</v>
      </c>
      <c r="J235">
        <f>_xlfn.XLOOKUP(B235,'[1]march-2025'!$A:$A,'[1]march-2025'!$C:$C,0,0)</f>
        <v>48700</v>
      </c>
      <c r="K235">
        <f>J235*0.14</f>
        <v>6818.0000000000009</v>
      </c>
      <c r="L235">
        <f>J235*0.12</f>
        <v>5844</v>
      </c>
      <c r="M235">
        <f>_xlfn.XLOOKUP(B235,'[1]march-2025'!$A:$A,'[1]march-2025'!$D:$D,0,0)</f>
        <v>400</v>
      </c>
      <c r="N235">
        <f>_xlfn.XLOOKUP(B235,'[1]march-2025'!$A:$A,'[1]march-2025'!$G:$G,0,0)</f>
        <v>500</v>
      </c>
      <c r="O235">
        <f>IF(J235&gt;0,SUM(J235:N235),0)</f>
        <v>62262</v>
      </c>
      <c r="P235">
        <f>_xlfn.XLOOKUP(B235,'[1]march-2025'!$A:$A,'[1]march-2025'!$H:$H,0,0)</f>
        <v>6000</v>
      </c>
      <c r="Q235">
        <f>_xlfn.XLOOKUP(B235,'[1]march-2025'!$A:$A,'[1]march-2025'!$I:$I,0,0)</f>
        <v>0</v>
      </c>
      <c r="R235">
        <f>IF($F235="YES",0,IF(O235&gt;40000,200,IF(O235&gt;25000,150,IF(O235&gt;15000,130,IF(O235&gt;10000,110,0)))))</f>
        <v>200</v>
      </c>
      <c r="S235">
        <f>O235-P235-Q235-R235</f>
        <v>56062</v>
      </c>
      <c r="T235">
        <f>_xlfn.XLOOKUP(B235,'[2]april-2025'!$A:$A,'[2]april-2025'!$C:$C,0,0)</f>
        <v>48700</v>
      </c>
      <c r="U235">
        <f>T235*0.18</f>
        <v>8766</v>
      </c>
      <c r="V235">
        <f>T235*0.12</f>
        <v>5844</v>
      </c>
      <c r="W235">
        <f>_xlfn.XLOOKUP(B235,'[2]april-2025'!$A:$A,'[2]april-2025'!$D:$D,0,0)</f>
        <v>400</v>
      </c>
      <c r="X235">
        <f>_xlfn.XLOOKUP(B235,'[2]april-2025'!$A:$A,'[2]april-2025'!$G:$G,0,0)</f>
        <v>500</v>
      </c>
      <c r="Y235">
        <f>IF(T235&gt;0,SUM(T235:X235),0)</f>
        <v>64210</v>
      </c>
      <c r="Z235">
        <f>_xlfn.XLOOKUP(B235,'[2]april-2025'!$A:$A,'[2]april-2025'!$H:$H,0,0)</f>
        <v>6000</v>
      </c>
      <c r="AA235">
        <f>_xlfn.XLOOKUP(B235,'[2]april-2025'!$A:$A,'[2]april-2025'!$I:$I,0,0)</f>
        <v>0</v>
      </c>
      <c r="AB235">
        <f>IF($F235="YES",0,IF(Y235&gt;40000,200,IF(Y235&gt;25000,150,IF(Y235&gt;15000,130,IF(Y235&gt;10000,110,0)))))</f>
        <v>200</v>
      </c>
      <c r="AC235">
        <f>Y235-Z235-AA235-AB235</f>
        <v>58010</v>
      </c>
      <c r="AD235">
        <f>_xlfn.XLOOKUP(B235,'[3]may-2025'!$A:$A,'[3]may-2025'!$C:$C,0,0)</f>
        <v>48700</v>
      </c>
      <c r="AE235">
        <f>AD235*0.18</f>
        <v>8766</v>
      </c>
      <c r="AF235">
        <f>AD235*0.12</f>
        <v>5844</v>
      </c>
      <c r="AG235">
        <f>_xlfn.XLOOKUP(B235,'[3]may-2025'!$A:$A,'[3]may-2025'!$D:$D,0,0)</f>
        <v>400</v>
      </c>
      <c r="AH235">
        <f>_xlfn.XLOOKUP(B235,'[3]may-2025'!$A:$A,'[3]may-2025'!$G:$G,0,0)</f>
        <v>500</v>
      </c>
      <c r="AI235">
        <f>IF(AD235&gt;0,SUM(AD235:AH235),0)</f>
        <v>64210</v>
      </c>
      <c r="AJ235">
        <f>_xlfn.XLOOKUP(B235,'[3]may-2025'!$A:$A,'[3]may-2025'!$H:$H,0,0)</f>
        <v>6000</v>
      </c>
      <c r="AK235">
        <f>_xlfn.XLOOKUP(B235,'[3]may-2025'!$A:$A,'[3]may-2025'!$I:$I,0,0)</f>
        <v>0</v>
      </c>
      <c r="AL235">
        <f>IF($F235="YES",0,IF(AI235&gt;40000,200,IF(AI235&gt;25000,150,IF(AI235&gt;15000,130,IF(AI235&gt;10000,110,0)))))</f>
        <v>200</v>
      </c>
      <c r="AM235">
        <f>AI235-AJ235-AK235-AL235</f>
        <v>58010</v>
      </c>
      <c r="AN235">
        <f>_xlfn.XLOOKUP(B235,'[4]june-2025'!$A:$A,'[4]june-2025'!$C:$C,0,0)</f>
        <v>48700</v>
      </c>
      <c r="AO235">
        <f>AN235*0.18</f>
        <v>8766</v>
      </c>
      <c r="AP235">
        <f>AN235*0.12</f>
        <v>5844</v>
      </c>
      <c r="AQ235">
        <f>_xlfn.XLOOKUP(B235,'[4]june-2025'!$A:$A,'[4]june-2025'!$D:$D,0,0)</f>
        <v>400</v>
      </c>
      <c r="AR235">
        <f>_xlfn.XLOOKUP(B235,'[4]june-2025'!$A:$A,'[4]june-2025'!$G:$G,0,0)</f>
        <v>500</v>
      </c>
      <c r="AS235">
        <f>IF(AN235&gt;0,SUM(AN235:AR235),0)</f>
        <v>64210</v>
      </c>
      <c r="AT235">
        <f>_xlfn.XLOOKUP(B235,'[4]june-2025'!$A:$A,'[4]june-2025'!$H:$H,0,0)</f>
        <v>6000</v>
      </c>
      <c r="AU235">
        <f>_xlfn.XLOOKUP(B235,'[4]june-2025'!$A:$A,'[4]june-2025'!$I:$I,0,0)</f>
        <v>0</v>
      </c>
      <c r="AV235">
        <f>IF($F235="YES",0,IF(AS235&gt;40000,200,IF(AS235&gt;25000,150,IF(AS235&gt;15000,130,IF(AS235&gt;10000,110,0)))))</f>
        <v>200</v>
      </c>
      <c r="AW235">
        <f>AS235-AT235-AU235-AV235</f>
        <v>58010</v>
      </c>
      <c r="AX235">
        <f>_xlfn.XLOOKUP(B235,'[5]july-2025'!$A:$A,'[5]july-2025'!$C:$C,0,0)</f>
        <v>50200</v>
      </c>
      <c r="AY235">
        <f>AX235*0.18</f>
        <v>9036</v>
      </c>
      <c r="AZ235">
        <v>0</v>
      </c>
      <c r="BA235">
        <f>AX235*0.12</f>
        <v>6024</v>
      </c>
      <c r="BB235">
        <f>_xlfn.XLOOKUP(B235,'[5]july-2025'!$A:$A,'[5]july-2025'!$D:$D,0,0)</f>
        <v>400</v>
      </c>
      <c r="BC235">
        <f>_xlfn.XLOOKUP(B235,'[5]july-2025'!$A:$A,'[5]july-2025'!$G:$G,0,0)</f>
        <v>500</v>
      </c>
      <c r="BD235">
        <f>IF(AX235&gt;0,SUM(AX235:BC235),0)</f>
        <v>66160</v>
      </c>
      <c r="BE235">
        <f>_xlfn.XLOOKUP(B235,'[5]july-2025'!$A:$A,'[5]july-2025'!$H:$H,0,0)</f>
        <v>6000</v>
      </c>
      <c r="BF235">
        <f>_xlfn.XLOOKUP(B235,'[5]july-2025'!$A:$A,'[5]july-2025'!$I:$I,0,0)</f>
        <v>0</v>
      </c>
      <c r="BG235">
        <f>IF($F235="YES",0,IF(BD235&gt;40000,200,IF(BD235&gt;25000,150,IF(BD235&gt;15000,130,IF(BD235&gt;10000,110,0)))))</f>
        <v>200</v>
      </c>
      <c r="BH235">
        <f>BD235-BE235-BF235-BG235</f>
        <v>59960</v>
      </c>
      <c r="BI235">
        <f>_xlfn.XLOOKUP(B235,'[6]august-2025'!$A:$A,'[6]august-2025'!$C:$C,0,0)</f>
        <v>50200</v>
      </c>
      <c r="BJ235">
        <f>BI235*0.18</f>
        <v>9036</v>
      </c>
      <c r="BK235">
        <f>BI235*0.12</f>
        <v>6024</v>
      </c>
      <c r="BL235">
        <f>_xlfn.XLOOKUP(B235,'[6]august-2025'!$A:$A,'[6]august-2025'!$D:$D,0,0)</f>
        <v>400</v>
      </c>
      <c r="BM235">
        <f>_xlfn.XLOOKUP(B235,'[6]august-2025'!$A:$A,'[6]august-2025'!$G:$G,0,0)</f>
        <v>500</v>
      </c>
      <c r="BN235">
        <f>IF(BI235&gt;0,SUM(BI235:BM235),0)</f>
        <v>66160</v>
      </c>
      <c r="BO235">
        <f>_xlfn.XLOOKUP(B235,'[6]august-2025'!$A:$A,'[6]august-2025'!$H:$H,0,0)</f>
        <v>6000</v>
      </c>
      <c r="BP235">
        <f>_xlfn.XLOOKUP(B235,'[6]august-2025'!$A:$A,'[6]august-2025'!$I:$I,0,0)</f>
        <v>0</v>
      </c>
      <c r="BQ235">
        <f>IF($F235="YES",0,IF(BN235&gt;40000,200,IF(BN235&gt;25000,150,IF(BN235&gt;15000,130,IF(BN235&gt;10000,110,0)))))</f>
        <v>200</v>
      </c>
      <c r="BR235">
        <f>BN235-BO235-BP235-BQ235</f>
        <v>59960</v>
      </c>
      <c r="BS235">
        <f>_xlfn.XLOOKUP(B235,'[7]september-2025'!$A:$A,'[7]september-2025'!$C:$C,0,0)</f>
        <v>50200</v>
      </c>
      <c r="BT235">
        <f>BS235*0.18</f>
        <v>9036</v>
      </c>
      <c r="BU235">
        <f>BS235*0.12</f>
        <v>6024</v>
      </c>
      <c r="BV235">
        <f>_xlfn.XLOOKUP(B235,'[7]september-2025'!$A:$A,'[7]september-2025'!$D:$D,0,0)</f>
        <v>400</v>
      </c>
      <c r="BW235">
        <f>_xlfn.XLOOKUP(B235,'[7]september-2025'!$A:$A,'[7]september-2025'!$G:$G,0,0)</f>
        <v>500</v>
      </c>
      <c r="BX235">
        <f>IF(BS235&gt;0,SUM(BS235:BW235),0)</f>
        <v>66160</v>
      </c>
      <c r="BY235">
        <f>_xlfn.XLOOKUP(B235,'[7]september-2025'!$A:$A,'[7]september-2025'!$H:$H,0,0)</f>
        <v>6000</v>
      </c>
      <c r="BZ235">
        <f>_xlfn.XLOOKUP(B235,'[7]september-2025'!$A:$A,'[7]september-2025'!$I:$I,0,0)</f>
        <v>0</v>
      </c>
      <c r="CA235">
        <f>IF($F235="YES",0,IF(BX235&gt;40000,200,IF(BX235&gt;25000,150,IF(BX235&gt;15000,130,IF(BX235&gt;10000,110,0)))))</f>
        <v>200</v>
      </c>
      <c r="CB235">
        <f>BX235-BY235-BZ235-CA235</f>
        <v>59960</v>
      </c>
      <c r="CC235">
        <f>_xlfn.XLOOKUP(B235,'[8]october-2025'!$A:$A,'[8]october-2025'!$C:$C,0,0)</f>
        <v>50200</v>
      </c>
      <c r="CD235">
        <f>CC235*0.18</f>
        <v>9036</v>
      </c>
      <c r="CE235">
        <f>CC235*0.12</f>
        <v>6024</v>
      </c>
      <c r="CF235">
        <f>_xlfn.XLOOKUP(B235,'[8]october-2025'!$A:$A,'[8]october-2025'!$D:$D,0,0)</f>
        <v>400</v>
      </c>
      <c r="CG235">
        <f>_xlfn.XLOOKUP(B235,'[8]october-2025'!$A:$A,'[8]october-2025'!$G:$G,0,0)</f>
        <v>500</v>
      </c>
      <c r="CH235">
        <f>IF(CC235&gt;0,SUM(CC235:CG235),0)</f>
        <v>66160</v>
      </c>
      <c r="CI235">
        <f>_xlfn.XLOOKUP(B235,'[8]october-2025'!$A:$A,'[8]october-2025'!$H:$H,0,0)</f>
        <v>6000</v>
      </c>
      <c r="CJ235">
        <f>_xlfn.XLOOKUP(B235,'[8]october-2025'!$A:$A,'[8]october-2025'!$I:$I,0,0)</f>
        <v>0</v>
      </c>
      <c r="CK235">
        <f>IF($F235="YES",0,IF(CH235&gt;40000,200,IF(CH235&gt;25000,150,IF(CH235&gt;15000,130,IF(CH235&gt;10000,110,0)))))</f>
        <v>200</v>
      </c>
      <c r="CL235">
        <f>CH235-CI235-CJ235-CK235</f>
        <v>59960</v>
      </c>
      <c r="CM235">
        <f>_xlfn.XLOOKUP(B235,'[9]november-2025'!$A:$A,'[9]november-2025'!$C:$C,0,0)</f>
        <v>50200</v>
      </c>
      <c r="CN235">
        <f>CM235*0.18</f>
        <v>9036</v>
      </c>
      <c r="CO235">
        <f>CM235*0.12</f>
        <v>6024</v>
      </c>
      <c r="CP235">
        <f>_xlfn.XLOOKUP(B235,'[9]november-2025'!$A:$A,'[9]november-2025'!$D:$D,0,0)</f>
        <v>400</v>
      </c>
      <c r="CQ235">
        <f>_xlfn.XLOOKUP(B235,'[9]november-2025'!$A:$A,'[9]november-2025'!$G:$G,0,0)</f>
        <v>500</v>
      </c>
      <c r="CR235">
        <f>IF(CM235&gt;0,SUM(CM235:CQ235),0)</f>
        <v>66160</v>
      </c>
      <c r="CS235">
        <f>_xlfn.XLOOKUP(B235,'[9]november-2025'!$A:$A,'[9]november-2025'!$H:$H,0,0)</f>
        <v>6000</v>
      </c>
      <c r="CT235">
        <f>_xlfn.XLOOKUP(B235,'[9]november-2025'!$A:$A,'[9]november-2025'!$I:$I,0,0)</f>
        <v>0</v>
      </c>
      <c r="CU235">
        <f>IF($F235="YES",0,IF(CR235&gt;40000,200,IF(CR235&gt;25000,150,IF(CR235&gt;15000,130,IF(CR235&gt;10000,110,0)))))</f>
        <v>200</v>
      </c>
      <c r="CV235">
        <f>CR235-CS235-CT235-CU235</f>
        <v>59960</v>
      </c>
      <c r="CW235">
        <f>_xlfn.XLOOKUP(B235,'[10]december-2025'!$A:$A,'[10]december-2025'!$C:$C,0,0)</f>
        <v>51604</v>
      </c>
      <c r="CX235">
        <f>ROUND(CW235*0.18,0)</f>
        <v>9289</v>
      </c>
      <c r="CY235">
        <f>ROUND(CW235*0.12,0)</f>
        <v>6192</v>
      </c>
      <c r="CZ235">
        <f>_xlfn.XLOOKUP(B235,'[10]december-2025'!$A:$A,'[10]december-2025'!$D:$D,0,0)</f>
        <v>400</v>
      </c>
      <c r="DA235">
        <f>_xlfn.XLOOKUP(B235,'[10]december-2025'!$A:$A,'[10]december-2025'!$G:$G,0,0)</f>
        <v>500</v>
      </c>
      <c r="DB235">
        <f>IF(CW235&gt;0,SUM(CW235:DA235),0)</f>
        <v>67985</v>
      </c>
      <c r="DC235">
        <f>_xlfn.XLOOKUP(B235,'[10]december-2025'!$A:$A,'[10]december-2025'!$H:$H,0,0)</f>
        <v>6000</v>
      </c>
      <c r="DD235">
        <f>_xlfn.XLOOKUP(B235,'[10]december-2025'!$A:$A,'[10]december-2025'!$I:$I,0,0)</f>
        <v>0</v>
      </c>
      <c r="DE235">
        <f>IF($F235="YES",0,IF(DB235&gt;40000,200,IF(DB235&gt;25000,150,IF(DB235&gt;15000,130,IF(DB235&gt;10000,110,0)))))</f>
        <v>200</v>
      </c>
      <c r="DF235">
        <f>DB235-DC235-DD235-DE235</f>
        <v>61785</v>
      </c>
      <c r="DG235">
        <f>_xlfn.XLOOKUP(B235,'[11]january-2026'!$A:$A,'[11]january-2026'!$C:$C,0,0)</f>
        <v>51700</v>
      </c>
      <c r="DH235">
        <f>DG235*0.18</f>
        <v>9306</v>
      </c>
      <c r="DI235">
        <f>DG235*0.12</f>
        <v>6204</v>
      </c>
      <c r="DJ235">
        <f>_xlfn.XLOOKUP(B235,'[11]january-2026'!$A:$A,'[11]january-2026'!$D:$D,0,0)</f>
        <v>400</v>
      </c>
      <c r="DK235">
        <f>_xlfn.XLOOKUP(B235,'[11]january-2026'!$A:$A,'[11]january-2026'!$G:$G,0,0)</f>
        <v>500</v>
      </c>
      <c r="DL235">
        <f>IF(DG235&gt;0,SUM(DG235:DK235),0)</f>
        <v>68110</v>
      </c>
      <c r="DM235">
        <f>_xlfn.XLOOKUP(B235,'[11]january-2026'!$A:$A,'[11]january-2026'!$H:$H,0,0)</f>
        <v>6000</v>
      </c>
      <c r="DN235">
        <f>_xlfn.XLOOKUP(B235,'[11]january-2026'!$A:$A,'[11]january-2026'!$I:$I,0,0)</f>
        <v>0</v>
      </c>
      <c r="DO235">
        <f>IF($F235="YES",0,IF(DL235&gt;40000,200,IF(DL235&gt;25000,150,IF(DL235&gt;15000,130,IF(DL235&gt;10000,110,0)))))</f>
        <v>200</v>
      </c>
      <c r="DP235">
        <f>DL235-DM235-DN235-DO235</f>
        <v>61910</v>
      </c>
      <c r="DQ235">
        <f>_xlfn.XLOOKUP(B235,'[12]february-2026'!$A:$A,'[12]february-2026'!$C:$C,0,0)</f>
        <v>51700</v>
      </c>
      <c r="DR235">
        <f>DQ235*0.18</f>
        <v>9306</v>
      </c>
      <c r="DS235">
        <f>DQ235*0.12</f>
        <v>6204</v>
      </c>
      <c r="DT235">
        <f>_xlfn.XLOOKUP(B235,'[12]february-2026'!$A:$A,'[12]february-2026'!$D:$D,0,0)</f>
        <v>400</v>
      </c>
      <c r="DU235">
        <f>_xlfn.XLOOKUP(B235,'[12]february-2026'!$A:$A,'[12]february-2026'!$G:$G,0,0)</f>
        <v>500</v>
      </c>
      <c r="DV235">
        <f>IF(DQ235&gt;0,SUM(DQ235:DU235),0)</f>
        <v>68110</v>
      </c>
      <c r="DW235">
        <f>_xlfn.XLOOKUP(B235,'[12]february-2026'!$A:$A,'[12]february-2026'!$H:$H,0,0)</f>
        <v>6000</v>
      </c>
      <c r="DX235">
        <f>_xlfn.XLOOKUP(B235,'[12]february-2026'!$A:$A,'[12]february-2026'!$I:$I,0,0)</f>
        <v>0</v>
      </c>
      <c r="DY235">
        <f>IF($F235="YES",0,IF(DV235&gt;40000,200,IF(DV235&gt;25000,150,IF(DV235&gt;15000,130,IF(DV235&gt;10000,110,0)))))</f>
        <v>200</v>
      </c>
      <c r="DZ235">
        <f>DV235-DW235-DX235-DY235</f>
        <v>61910</v>
      </c>
      <c r="EA235">
        <f>DV235+DL235+DB235+CR235+CH235+BX235+BN235+BD235+AS235+AI235+Y235+O235+H235+I235</f>
        <v>796697</v>
      </c>
      <c r="EB235">
        <f>DY235+DO235+DE235+CU235+CK235+CA235+BQ235+BG235+AV235+AL235+AB235+R235</f>
        <v>2400</v>
      </c>
      <c r="EC235">
        <f>IF(EA235&gt;0,50000,0)</f>
        <v>50000</v>
      </c>
      <c r="ED235">
        <v>0</v>
      </c>
      <c r="EE235">
        <f>EA235-EB235-EC235</f>
        <v>744297</v>
      </c>
      <c r="EF235">
        <f>DW235+DM235+DC235+CS235+CI235+BY235+BO235+BE235+AT235+AJ235+Z235+P235</f>
        <v>72000</v>
      </c>
      <c r="EG235">
        <f>DX235+DN235+DD235+CT235+CJ235+BZ235+BP235+BF235+AU235+AK235+AA235+Q235</f>
        <v>0</v>
      </c>
      <c r="EH235">
        <v>0</v>
      </c>
      <c r="EI235">
        <v>0</v>
      </c>
      <c r="EJ235">
        <v>0</v>
      </c>
      <c r="EK235">
        <v>0</v>
      </c>
      <c r="EL235">
        <v>0</v>
      </c>
      <c r="EM235">
        <v>0</v>
      </c>
      <c r="EN235">
        <v>0</v>
      </c>
      <c r="EO235">
        <v>0</v>
      </c>
      <c r="EP235">
        <v>0</v>
      </c>
      <c r="EQ235">
        <v>0</v>
      </c>
      <c r="ER235">
        <f>SUM(EF235:EQ235)</f>
        <v>72000</v>
      </c>
      <c r="ES235">
        <f>IF(ER235&gt;=150000,150000,ER235)</f>
        <v>72000</v>
      </c>
      <c r="ET235">
        <f>EE235-ES235</f>
        <v>672297</v>
      </c>
      <c r="EU235">
        <v>0</v>
      </c>
      <c r="EV235">
        <v>0</v>
      </c>
      <c r="EW235">
        <v>0</v>
      </c>
      <c r="EX235">
        <v>0</v>
      </c>
      <c r="EY235">
        <v>0</v>
      </c>
      <c r="EZ235">
        <v>0</v>
      </c>
      <c r="FA235">
        <v>0</v>
      </c>
      <c r="FB235">
        <f>SUM(EU235:FA235)+(IF(F235="YES",50000,0))</f>
        <v>0</v>
      </c>
      <c r="FC235">
        <f>ET235-FB235</f>
        <v>672297</v>
      </c>
      <c r="FD235">
        <f>ROUND(IF(FC235&gt;0,IF(FC235&gt;500000,12500,(FC235-250000)*0.05),0),0)</f>
        <v>12500</v>
      </c>
      <c r="FE235">
        <f>IF(ROUND(IF(FC235&gt;0,IF(FC235&gt;1000000,25000,(FC235-500000)*0.2),0),0)&lt;0,0,ROUND(IF(FC235&gt;0,IF(FC235&gt;1000000,25000,(FC235-500000)*0.2),0),0))</f>
        <v>34459</v>
      </c>
      <c r="FF235">
        <f>FD235+FE235</f>
        <v>46959</v>
      </c>
      <c r="FG235">
        <f>IF(FF235&lt;12500,0,FF235)</f>
        <v>46959</v>
      </c>
      <c r="FH235">
        <f>FG235*0.04</f>
        <v>1878.3600000000001</v>
      </c>
      <c r="FI235">
        <f>ROUND(FH235+FG235,0)</f>
        <v>48837</v>
      </c>
      <c r="FJ235">
        <v>0</v>
      </c>
      <c r="FK235">
        <f>FI235-FJ235</f>
        <v>48837</v>
      </c>
      <c r="FL235" t="b">
        <f>IF(EA235&gt;500000,TRUE,FALSE)</f>
        <v>1</v>
      </c>
      <c r="FM235">
        <f ca="1">IF(FL235,RANDBETWEEN(500,1000),RANDBETWEEN(1000,3000))</f>
        <v>862</v>
      </c>
      <c r="FN235">
        <f ca="1">EA235+FM235</f>
        <v>797559</v>
      </c>
      <c r="FO235">
        <f>IF(EA235&gt;0,75000,0)</f>
        <v>75000</v>
      </c>
      <c r="FP235">
        <f ca="1">FN235-FO235</f>
        <v>722559</v>
      </c>
      <c r="FQ235">
        <f ca="1">IF(FP235&gt;2400000,FP235-2400000,0)</f>
        <v>0</v>
      </c>
      <c r="FR235">
        <f ca="1">FQ235*0.3</f>
        <v>0</v>
      </c>
      <c r="FS235">
        <f ca="1">IF(FP235&gt;2000000,FP235-2000000,0)</f>
        <v>0</v>
      </c>
      <c r="FT235">
        <f ca="1">FS235*0.25</f>
        <v>0</v>
      </c>
      <c r="FU235">
        <f ca="1">IF(FP235&gt;1600000,FP235-1600000-FQ235,0)</f>
        <v>0</v>
      </c>
      <c r="FV235">
        <f ca="1">FU235*0.2</f>
        <v>0</v>
      </c>
      <c r="FW235">
        <f ca="1">IF(FP235&gt;1200000,FP235-1200000-IF(F235="YES",50000,0)-FU235,0)</f>
        <v>0</v>
      </c>
      <c r="FX235">
        <f ca="1">FW235*0.15</f>
        <v>0</v>
      </c>
      <c r="FY235">
        <f ca="1">IF(FP235&gt;800000,FP235-800000-FQ235-FU235-FW235,0)</f>
        <v>0</v>
      </c>
      <c r="FZ235">
        <f ca="1">FY235*0.1</f>
        <v>0</v>
      </c>
      <c r="GA235">
        <f ca="1">IF(FP235&gt;400000,FP235-400000-FQ235-FU235-FW235-FY235,0)</f>
        <v>322559</v>
      </c>
      <c r="GB235">
        <f ca="1">GA235*0.05</f>
        <v>16127.95</v>
      </c>
      <c r="GC235">
        <f ca="1">ROUND(FR235+FT235+FV235+FX235+FZ235+GB235,0)</f>
        <v>16128</v>
      </c>
      <c r="GD235">
        <f ca="1">IF(FP235&gt;1200000,FP235,0)</f>
        <v>0</v>
      </c>
      <c r="GE235">
        <f ca="1">IF(FP235&gt;1200000,GD235-1200000,0)</f>
        <v>0</v>
      </c>
      <c r="GF235">
        <f ca="1">IF(FP235&lt;1200001,MIN(GC235,60000),0)</f>
        <v>16128</v>
      </c>
      <c r="GG235">
        <f ca="1">IF(FP235&gt;1200000,GC235-GE235,0)</f>
        <v>0</v>
      </c>
      <c r="GH235" t="b">
        <f ca="1">IF(GG235&gt;0,TRUE,FALSE)</f>
        <v>0</v>
      </c>
      <c r="GI235">
        <f ca="1">IF(GH235,GG235,0)</f>
        <v>0</v>
      </c>
      <c r="GJ235">
        <f ca="1">GF235+GI235</f>
        <v>16128</v>
      </c>
      <c r="GK235">
        <f ca="1">ROUND(GC235-GJ235,0)</f>
        <v>0</v>
      </c>
      <c r="GL235">
        <f ca="1">GK235*0.04</f>
        <v>0</v>
      </c>
      <c r="GM235">
        <f ca="1">ROUNDUP(GK235+GL235,0)</f>
        <v>0</v>
      </c>
    </row>
    <row r="236" spans="1:195" x14ac:dyDescent="0.25">
      <c r="A236">
        <f>_xlfn.AGGREGATE(3,5,$B$2:B236)</f>
        <v>235</v>
      </c>
      <c r="B236" t="s">
        <v>581</v>
      </c>
      <c r="C236" t="s">
        <v>582</v>
      </c>
      <c r="D236" t="s">
        <v>813</v>
      </c>
      <c r="E236" t="s">
        <v>833</v>
      </c>
      <c r="F236" t="s">
        <v>959</v>
      </c>
      <c r="G236" t="s">
        <v>952</v>
      </c>
      <c r="H236">
        <f>IF(_xlfn.DAYS("31-03-2025",G236)&gt;=180,6800,0)</f>
        <v>6800</v>
      </c>
      <c r="I236">
        <f>_xlfn.XLOOKUP(B236,'[1]march-2025'!$A:$A,'[1]march-2025'!$J:$J,0,0)</f>
        <v>0</v>
      </c>
      <c r="J236">
        <f>_xlfn.XLOOKUP(B236,'[1]march-2025'!$A:$A,'[1]march-2025'!$C:$C,0,0)</f>
        <v>47300</v>
      </c>
      <c r="K236">
        <f>J236*0.14</f>
        <v>6622.0000000000009</v>
      </c>
      <c r="L236">
        <f>J236*0.12</f>
        <v>5676</v>
      </c>
      <c r="M236">
        <f>_xlfn.XLOOKUP(B236,'[1]march-2025'!$A:$A,'[1]march-2025'!$D:$D,0,0)</f>
        <v>0</v>
      </c>
      <c r="N236">
        <f>_xlfn.XLOOKUP(B236,'[1]march-2025'!$A:$A,'[1]march-2025'!$G:$G,0,0)</f>
        <v>0</v>
      </c>
      <c r="O236">
        <f>IF(J236&gt;0,SUM(J236:N236),0)</f>
        <v>59598</v>
      </c>
      <c r="P236">
        <f>_xlfn.XLOOKUP(B236,'[1]march-2025'!$A:$A,'[1]march-2025'!$H:$H,0,0)</f>
        <v>6000</v>
      </c>
      <c r="Q236">
        <f>_xlfn.XLOOKUP(B236,'[1]march-2025'!$A:$A,'[1]march-2025'!$I:$I,0,0)</f>
        <v>0</v>
      </c>
      <c r="R236">
        <f>IF($F236="YES",0,IF(O236&gt;40000,200,IF(O236&gt;25000,150,IF(O236&gt;15000,130,IF(O236&gt;10000,110,0)))))</f>
        <v>200</v>
      </c>
      <c r="S236">
        <f>O236-P236-Q236-R236</f>
        <v>53398</v>
      </c>
      <c r="T236">
        <f>_xlfn.XLOOKUP(B236,'[2]april-2025'!$A:$A,'[2]april-2025'!$C:$C,0,0)</f>
        <v>47300</v>
      </c>
      <c r="U236">
        <f>T236*0.18</f>
        <v>8514</v>
      </c>
      <c r="V236">
        <f>T236*0.12</f>
        <v>5676</v>
      </c>
      <c r="W236">
        <f>_xlfn.XLOOKUP(B236,'[2]april-2025'!$A:$A,'[2]april-2025'!$D:$D,0,0)</f>
        <v>0</v>
      </c>
      <c r="X236">
        <f>_xlfn.XLOOKUP(B236,'[2]april-2025'!$A:$A,'[2]april-2025'!$G:$G,0,0)</f>
        <v>0</v>
      </c>
      <c r="Y236">
        <f>IF(T236&gt;0,SUM(T236:X236),0)</f>
        <v>61490</v>
      </c>
      <c r="Z236">
        <f>_xlfn.XLOOKUP(B236,'[2]april-2025'!$A:$A,'[2]april-2025'!$H:$H,0,0)</f>
        <v>6000</v>
      </c>
      <c r="AA236">
        <f>_xlfn.XLOOKUP(B236,'[2]april-2025'!$A:$A,'[2]april-2025'!$I:$I,0,0)</f>
        <v>0</v>
      </c>
      <c r="AB236">
        <f>IF($F236="YES",0,IF(Y236&gt;40000,200,IF(Y236&gt;25000,150,IF(Y236&gt;15000,130,IF(Y236&gt;10000,110,0)))))</f>
        <v>200</v>
      </c>
      <c r="AC236">
        <f>Y236-Z236-AA236-AB236</f>
        <v>55290</v>
      </c>
      <c r="AD236">
        <f>_xlfn.XLOOKUP(B236,'[3]may-2025'!$A:$A,'[3]may-2025'!$C:$C,0,0)</f>
        <v>47300</v>
      </c>
      <c r="AE236">
        <f>AD236*0.18</f>
        <v>8514</v>
      </c>
      <c r="AF236">
        <f>AD236*0.12</f>
        <v>5676</v>
      </c>
      <c r="AG236">
        <f>_xlfn.XLOOKUP(B236,'[3]may-2025'!$A:$A,'[3]may-2025'!$D:$D,0,0)</f>
        <v>0</v>
      </c>
      <c r="AH236">
        <f>_xlfn.XLOOKUP(B236,'[3]may-2025'!$A:$A,'[3]may-2025'!$G:$G,0,0)</f>
        <v>0</v>
      </c>
      <c r="AI236">
        <f>IF(AD236&gt;0,SUM(AD236:AH236),0)</f>
        <v>61490</v>
      </c>
      <c r="AJ236">
        <f>_xlfn.XLOOKUP(B236,'[3]may-2025'!$A:$A,'[3]may-2025'!$H:$H,0,0)</f>
        <v>6000</v>
      </c>
      <c r="AK236">
        <f>_xlfn.XLOOKUP(B236,'[3]may-2025'!$A:$A,'[3]may-2025'!$I:$I,0,0)</f>
        <v>0</v>
      </c>
      <c r="AL236">
        <f>IF($F236="YES",0,IF(AI236&gt;40000,200,IF(AI236&gt;25000,150,IF(AI236&gt;15000,130,IF(AI236&gt;10000,110,0)))))</f>
        <v>200</v>
      </c>
      <c r="AM236">
        <f>AI236-AJ236-AK236-AL236</f>
        <v>55290</v>
      </c>
      <c r="AN236">
        <f>_xlfn.XLOOKUP(B236,'[4]june-2025'!$A:$A,'[4]june-2025'!$C:$C,0,0)</f>
        <v>47300</v>
      </c>
      <c r="AO236">
        <f>AN236*0.18</f>
        <v>8514</v>
      </c>
      <c r="AP236">
        <f>AN236*0.12</f>
        <v>5676</v>
      </c>
      <c r="AQ236">
        <f>_xlfn.XLOOKUP(B236,'[4]june-2025'!$A:$A,'[4]june-2025'!$D:$D,0,0)</f>
        <v>0</v>
      </c>
      <c r="AR236">
        <f>_xlfn.XLOOKUP(B236,'[4]june-2025'!$A:$A,'[4]june-2025'!$G:$G,0,0)</f>
        <v>0</v>
      </c>
      <c r="AS236">
        <f>IF(AN236&gt;0,SUM(AN236:AR236),0)</f>
        <v>61490</v>
      </c>
      <c r="AT236">
        <f>_xlfn.XLOOKUP(B236,'[4]june-2025'!$A:$A,'[4]june-2025'!$H:$H,0,0)</f>
        <v>6000</v>
      </c>
      <c r="AU236">
        <f>_xlfn.XLOOKUP(B236,'[4]june-2025'!$A:$A,'[4]june-2025'!$I:$I,0,0)</f>
        <v>0</v>
      </c>
      <c r="AV236">
        <f>IF($F236="YES",0,IF(AS236&gt;40000,200,IF(AS236&gt;25000,150,IF(AS236&gt;15000,130,IF(AS236&gt;10000,110,0)))))</f>
        <v>200</v>
      </c>
      <c r="AW236">
        <f>AS236-AT236-AU236-AV236</f>
        <v>55290</v>
      </c>
      <c r="AX236">
        <f>_xlfn.XLOOKUP(B236,'[5]july-2025'!$A:$A,'[5]july-2025'!$C:$C,0,0)</f>
        <v>48700</v>
      </c>
      <c r="AY236">
        <f>AX236*0.18</f>
        <v>8766</v>
      </c>
      <c r="AZ236">
        <v>0</v>
      </c>
      <c r="BA236">
        <f>AX236*0.12</f>
        <v>5844</v>
      </c>
      <c r="BB236">
        <f>_xlfn.XLOOKUP(B236,'[5]july-2025'!$A:$A,'[5]july-2025'!$D:$D,0,0)</f>
        <v>0</v>
      </c>
      <c r="BC236">
        <f>_xlfn.XLOOKUP(B236,'[5]july-2025'!$A:$A,'[5]july-2025'!$G:$G,0,0)</f>
        <v>0</v>
      </c>
      <c r="BD236">
        <f>IF(AX236&gt;0,SUM(AX236:BC236),0)</f>
        <v>63310</v>
      </c>
      <c r="BE236">
        <f>_xlfn.XLOOKUP(B236,'[5]july-2025'!$A:$A,'[5]july-2025'!$H:$H,0,0)</f>
        <v>6000</v>
      </c>
      <c r="BF236">
        <f>_xlfn.XLOOKUP(B236,'[5]july-2025'!$A:$A,'[5]july-2025'!$I:$I,0,0)</f>
        <v>0</v>
      </c>
      <c r="BG236">
        <f>IF($F236="YES",0,IF(BD236&gt;40000,200,IF(BD236&gt;25000,150,IF(BD236&gt;15000,130,IF(BD236&gt;10000,110,0)))))</f>
        <v>200</v>
      </c>
      <c r="BH236">
        <f>BD236-BE236-BF236-BG236</f>
        <v>57110</v>
      </c>
      <c r="BI236">
        <f>_xlfn.XLOOKUP(B236,'[6]august-2025'!$A:$A,'[6]august-2025'!$C:$C,0,0)</f>
        <v>48700</v>
      </c>
      <c r="BJ236">
        <f>BI236*0.18</f>
        <v>8766</v>
      </c>
      <c r="BK236">
        <f>BI236*0.12</f>
        <v>5844</v>
      </c>
      <c r="BL236">
        <f>_xlfn.XLOOKUP(B236,'[6]august-2025'!$A:$A,'[6]august-2025'!$D:$D,0,0)</f>
        <v>0</v>
      </c>
      <c r="BM236">
        <f>_xlfn.XLOOKUP(B236,'[6]august-2025'!$A:$A,'[6]august-2025'!$G:$G,0,0)</f>
        <v>0</v>
      </c>
      <c r="BN236">
        <f>IF(BI236&gt;0,SUM(BI236:BM236),0)</f>
        <v>63310</v>
      </c>
      <c r="BO236">
        <f>_xlfn.XLOOKUP(B236,'[6]august-2025'!$A:$A,'[6]august-2025'!$H:$H,0,0)</f>
        <v>6000</v>
      </c>
      <c r="BP236">
        <f>_xlfn.XLOOKUP(B236,'[6]august-2025'!$A:$A,'[6]august-2025'!$I:$I,0,0)</f>
        <v>0</v>
      </c>
      <c r="BQ236">
        <f>IF($F236="YES",0,IF(BN236&gt;40000,200,IF(BN236&gt;25000,150,IF(BN236&gt;15000,130,IF(BN236&gt;10000,110,0)))))</f>
        <v>200</v>
      </c>
      <c r="BR236">
        <f>BN236-BO236-BP236-BQ236</f>
        <v>57110</v>
      </c>
      <c r="BS236">
        <f>_xlfn.XLOOKUP(B236,'[7]september-2025'!$A:$A,'[7]september-2025'!$C:$C,0,0)</f>
        <v>48700</v>
      </c>
      <c r="BT236">
        <f>BS236*0.18</f>
        <v>8766</v>
      </c>
      <c r="BU236">
        <f>BS236*0.12</f>
        <v>5844</v>
      </c>
      <c r="BV236">
        <f>_xlfn.XLOOKUP(B236,'[7]september-2025'!$A:$A,'[7]september-2025'!$D:$D,0,0)</f>
        <v>0</v>
      </c>
      <c r="BW236">
        <f>_xlfn.XLOOKUP(B236,'[7]september-2025'!$A:$A,'[7]september-2025'!$G:$G,0,0)</f>
        <v>0</v>
      </c>
      <c r="BX236">
        <f>IF(BS236&gt;0,SUM(BS236:BW236),0)</f>
        <v>63310</v>
      </c>
      <c r="BY236">
        <f>_xlfn.XLOOKUP(B236,'[7]september-2025'!$A:$A,'[7]september-2025'!$H:$H,0,0)</f>
        <v>6000</v>
      </c>
      <c r="BZ236">
        <f>_xlfn.XLOOKUP(B236,'[7]september-2025'!$A:$A,'[7]september-2025'!$I:$I,0,0)</f>
        <v>0</v>
      </c>
      <c r="CA236">
        <f>IF($F236="YES",0,IF(BX236&gt;40000,200,IF(BX236&gt;25000,150,IF(BX236&gt;15000,130,IF(BX236&gt;10000,110,0)))))</f>
        <v>200</v>
      </c>
      <c r="CB236">
        <f>BX236-BY236-BZ236-CA236</f>
        <v>57110</v>
      </c>
      <c r="CC236">
        <f>_xlfn.XLOOKUP(B236,'[8]october-2025'!$A:$A,'[8]october-2025'!$C:$C,0,0)</f>
        <v>48700</v>
      </c>
      <c r="CD236">
        <f>CC236*0.18</f>
        <v>8766</v>
      </c>
      <c r="CE236">
        <f>CC236*0.12</f>
        <v>5844</v>
      </c>
      <c r="CF236">
        <f>_xlfn.XLOOKUP(B236,'[8]october-2025'!$A:$A,'[8]october-2025'!$D:$D,0,0)</f>
        <v>0</v>
      </c>
      <c r="CG236">
        <f>_xlfn.XLOOKUP(B236,'[8]october-2025'!$A:$A,'[8]october-2025'!$G:$G,0,0)</f>
        <v>0</v>
      </c>
      <c r="CH236">
        <f>IF(CC236&gt;0,SUM(CC236:CG236),0)</f>
        <v>63310</v>
      </c>
      <c r="CI236">
        <f>_xlfn.XLOOKUP(B236,'[8]october-2025'!$A:$A,'[8]october-2025'!$H:$H,0,0)</f>
        <v>6000</v>
      </c>
      <c r="CJ236">
        <f>_xlfn.XLOOKUP(B236,'[8]october-2025'!$A:$A,'[8]october-2025'!$I:$I,0,0)</f>
        <v>0</v>
      </c>
      <c r="CK236">
        <f>IF($F236="YES",0,IF(CH236&gt;40000,200,IF(CH236&gt;25000,150,IF(CH236&gt;15000,130,IF(CH236&gt;10000,110,0)))))</f>
        <v>200</v>
      </c>
      <c r="CL236">
        <f>CH236-CI236-CJ236-CK236</f>
        <v>57110</v>
      </c>
      <c r="CM236">
        <f>_xlfn.XLOOKUP(B236,'[9]november-2025'!$A:$A,'[9]november-2025'!$C:$C,0,0)</f>
        <v>48700</v>
      </c>
      <c r="CN236">
        <f>CM236*0.18</f>
        <v>8766</v>
      </c>
      <c r="CO236">
        <f>CM236*0.12</f>
        <v>5844</v>
      </c>
      <c r="CP236">
        <f>_xlfn.XLOOKUP(B236,'[9]november-2025'!$A:$A,'[9]november-2025'!$D:$D,0,0)</f>
        <v>0</v>
      </c>
      <c r="CQ236">
        <f>_xlfn.XLOOKUP(B236,'[9]november-2025'!$A:$A,'[9]november-2025'!$G:$G,0,0)</f>
        <v>0</v>
      </c>
      <c r="CR236">
        <f>IF(CM236&gt;0,SUM(CM236:CQ236),0)</f>
        <v>63310</v>
      </c>
      <c r="CS236">
        <f>_xlfn.XLOOKUP(B236,'[9]november-2025'!$A:$A,'[9]november-2025'!$H:$H,0,0)</f>
        <v>6000</v>
      </c>
      <c r="CT236">
        <f>_xlfn.XLOOKUP(B236,'[9]november-2025'!$A:$A,'[9]november-2025'!$I:$I,0,0)</f>
        <v>0</v>
      </c>
      <c r="CU236">
        <f>IF($F236="YES",0,IF(CR236&gt;40000,200,IF(CR236&gt;25000,150,IF(CR236&gt;15000,130,IF(CR236&gt;10000,110,0)))))</f>
        <v>200</v>
      </c>
      <c r="CV236">
        <f>CR236-CS236-CT236-CU236</f>
        <v>57110</v>
      </c>
      <c r="CW236">
        <f>_xlfn.XLOOKUP(B236,'[10]december-2025'!$A:$A,'[10]december-2025'!$C:$C,0,0)</f>
        <v>48700</v>
      </c>
      <c r="CX236">
        <f>ROUND(CW236*0.18,0)</f>
        <v>8766</v>
      </c>
      <c r="CY236">
        <f>ROUND(CW236*0.12,0)</f>
        <v>5844</v>
      </c>
      <c r="CZ236">
        <f>_xlfn.XLOOKUP(B236,'[10]december-2025'!$A:$A,'[10]december-2025'!$D:$D,0,0)</f>
        <v>0</v>
      </c>
      <c r="DA236">
        <f>_xlfn.XLOOKUP(B236,'[10]december-2025'!$A:$A,'[10]december-2025'!$G:$G,0,0)</f>
        <v>0</v>
      </c>
      <c r="DB236">
        <f>IF(CW236&gt;0,SUM(CW236:DA236),0)</f>
        <v>63310</v>
      </c>
      <c r="DC236">
        <f>_xlfn.XLOOKUP(B236,'[10]december-2025'!$A:$A,'[10]december-2025'!$H:$H,0,0)</f>
        <v>6000</v>
      </c>
      <c r="DD236">
        <f>_xlfn.XLOOKUP(B236,'[10]december-2025'!$A:$A,'[10]december-2025'!$I:$I,0,0)</f>
        <v>0</v>
      </c>
      <c r="DE236">
        <f>IF($F236="YES",0,IF(DB236&gt;40000,200,IF(DB236&gt;25000,150,IF(DB236&gt;15000,130,IF(DB236&gt;10000,110,0)))))</f>
        <v>200</v>
      </c>
      <c r="DF236">
        <f>DB236-DC236-DD236-DE236</f>
        <v>57110</v>
      </c>
      <c r="DG236">
        <f>_xlfn.XLOOKUP(B236,'[11]january-2026'!$A:$A,'[11]january-2026'!$C:$C,0,0)</f>
        <v>48700</v>
      </c>
      <c r="DH236">
        <f>DG236*0.18</f>
        <v>8766</v>
      </c>
      <c r="DI236">
        <f>DG236*0.12</f>
        <v>5844</v>
      </c>
      <c r="DJ236">
        <f>_xlfn.XLOOKUP(B236,'[11]january-2026'!$A:$A,'[11]january-2026'!$D:$D,0,0)</f>
        <v>0</v>
      </c>
      <c r="DK236">
        <f>_xlfn.XLOOKUP(B236,'[11]january-2026'!$A:$A,'[11]january-2026'!$G:$G,0,0)</f>
        <v>0</v>
      </c>
      <c r="DL236">
        <f>IF(DG236&gt;0,SUM(DG236:DK236),0)</f>
        <v>63310</v>
      </c>
      <c r="DM236">
        <f>_xlfn.XLOOKUP(B236,'[11]january-2026'!$A:$A,'[11]january-2026'!$H:$H,0,0)</f>
        <v>6000</v>
      </c>
      <c r="DN236">
        <f>_xlfn.XLOOKUP(B236,'[11]january-2026'!$A:$A,'[11]january-2026'!$I:$I,0,0)</f>
        <v>0</v>
      </c>
      <c r="DO236">
        <f>IF($F236="YES",0,IF(DL236&gt;40000,200,IF(DL236&gt;25000,150,IF(DL236&gt;15000,130,IF(DL236&gt;10000,110,0)))))</f>
        <v>200</v>
      </c>
      <c r="DP236">
        <f>DL236-DM236-DN236-DO236</f>
        <v>57110</v>
      </c>
      <c r="DQ236">
        <f>_xlfn.XLOOKUP(B236,'[12]february-2026'!$A:$A,'[12]february-2026'!$C:$C,0,0)</f>
        <v>48700</v>
      </c>
      <c r="DR236">
        <f>DQ236*0.18</f>
        <v>8766</v>
      </c>
      <c r="DS236">
        <f>DQ236*0.12</f>
        <v>5844</v>
      </c>
      <c r="DT236">
        <f>_xlfn.XLOOKUP(B236,'[12]february-2026'!$A:$A,'[12]february-2026'!$D:$D,0,0)</f>
        <v>0</v>
      </c>
      <c r="DU236">
        <f>_xlfn.XLOOKUP(B236,'[12]february-2026'!$A:$A,'[12]february-2026'!$G:$G,0,0)</f>
        <v>0</v>
      </c>
      <c r="DV236">
        <f>IF(DQ236&gt;0,SUM(DQ236:DU236),0)</f>
        <v>63310</v>
      </c>
      <c r="DW236">
        <f>_xlfn.XLOOKUP(B236,'[12]february-2026'!$A:$A,'[12]february-2026'!$H:$H,0,0)</f>
        <v>6000</v>
      </c>
      <c r="DX236">
        <f>_xlfn.XLOOKUP(B236,'[12]february-2026'!$A:$A,'[12]february-2026'!$I:$I,0,0)</f>
        <v>0</v>
      </c>
      <c r="DY236">
        <f>IF($F236="YES",0,IF(DV236&gt;40000,200,IF(DV236&gt;25000,150,IF(DV236&gt;15000,130,IF(DV236&gt;10000,110,0)))))</f>
        <v>200</v>
      </c>
      <c r="DZ236">
        <f>DV236-DW236-DX236-DY236</f>
        <v>57110</v>
      </c>
      <c r="EA236">
        <f>DV236+DL236+DB236+CR236+CH236+BX236+BN236+BD236+AS236+AI236+Y236+O236+H236+I236</f>
        <v>757348</v>
      </c>
      <c r="EB236">
        <f>DY236+DO236+DE236+CU236+CK236+CA236+BQ236+BG236+AV236+AL236+AB236+R236</f>
        <v>2400</v>
      </c>
      <c r="EC236">
        <f>IF(EA236&gt;0,50000,0)</f>
        <v>50000</v>
      </c>
      <c r="ED236">
        <v>0</v>
      </c>
      <c r="EE236">
        <f>EA236-EB236-EC236</f>
        <v>704948</v>
      </c>
      <c r="EF236">
        <f>DW236+DM236+DC236+CS236+CI236+BY236+BO236+BE236+AT236+AJ236+Z236+P236</f>
        <v>72000</v>
      </c>
      <c r="EG236">
        <f>DX236+DN236+DD236+CT236+CJ236+BZ236+BP236+BF236+AU236+AK236+AA236+Q236</f>
        <v>0</v>
      </c>
      <c r="EH236">
        <v>0</v>
      </c>
      <c r="EI236">
        <v>0</v>
      </c>
      <c r="EJ236">
        <v>0</v>
      </c>
      <c r="EK236">
        <v>0</v>
      </c>
      <c r="EL236">
        <v>0</v>
      </c>
      <c r="EM236">
        <v>0</v>
      </c>
      <c r="EN236">
        <v>0</v>
      </c>
      <c r="EO236">
        <v>0</v>
      </c>
      <c r="EP236">
        <v>0</v>
      </c>
      <c r="EQ236">
        <v>0</v>
      </c>
      <c r="ER236">
        <f>SUM(EF236:EQ236)</f>
        <v>72000</v>
      </c>
      <c r="ES236">
        <f>IF(ER236&gt;=150000,150000,ER236)</f>
        <v>72000</v>
      </c>
      <c r="ET236">
        <f>EE236-ES236</f>
        <v>632948</v>
      </c>
      <c r="EU236">
        <v>0</v>
      </c>
      <c r="EV236">
        <v>0</v>
      </c>
      <c r="EW236">
        <v>0</v>
      </c>
      <c r="EX236">
        <v>0</v>
      </c>
      <c r="EY236">
        <v>0</v>
      </c>
      <c r="EZ236">
        <v>0</v>
      </c>
      <c r="FA236">
        <v>0</v>
      </c>
      <c r="FB236">
        <f>SUM(EU236:FA236)+(IF(F236="YES",50000,0))</f>
        <v>0</v>
      </c>
      <c r="FC236">
        <f>ET236-FB236</f>
        <v>632948</v>
      </c>
      <c r="FD236">
        <f>ROUND(IF(FC236&gt;0,IF(FC236&gt;500000,12500,(FC236-250000)*0.05),0),0)</f>
        <v>12500</v>
      </c>
      <c r="FE236">
        <f>IF(ROUND(IF(FC236&gt;0,IF(FC236&gt;1000000,25000,(FC236-500000)*0.2),0),0)&lt;0,0,ROUND(IF(FC236&gt;0,IF(FC236&gt;1000000,25000,(FC236-500000)*0.2),0),0))</f>
        <v>26590</v>
      </c>
      <c r="FF236">
        <f>FD236+FE236</f>
        <v>39090</v>
      </c>
      <c r="FG236">
        <f>IF(FF236&lt;12500,0,FF236)</f>
        <v>39090</v>
      </c>
      <c r="FH236">
        <f>FG236*0.04</f>
        <v>1563.6000000000001</v>
      </c>
      <c r="FI236">
        <f>ROUND(FH236+FG236,0)</f>
        <v>40654</v>
      </c>
      <c r="FJ236">
        <v>0</v>
      </c>
      <c r="FK236">
        <f>FI236-FJ236</f>
        <v>40654</v>
      </c>
      <c r="FL236" t="b">
        <f>IF(EA236&gt;500000,TRUE,FALSE)</f>
        <v>1</v>
      </c>
      <c r="FM236">
        <f ca="1">IF(FL236,RANDBETWEEN(500,1000),RANDBETWEEN(1000,3000))</f>
        <v>549</v>
      </c>
      <c r="FN236">
        <f ca="1">EA236+FM236</f>
        <v>757897</v>
      </c>
      <c r="FO236">
        <f>IF(EA236&gt;0,75000,0)</f>
        <v>75000</v>
      </c>
      <c r="FP236">
        <f ca="1">FN236-FO236</f>
        <v>682897</v>
      </c>
      <c r="FQ236">
        <f ca="1">IF(FP236&gt;2400000,FP236-2400000,0)</f>
        <v>0</v>
      </c>
      <c r="FR236">
        <f ca="1">FQ236*0.3</f>
        <v>0</v>
      </c>
      <c r="FS236">
        <f ca="1">IF(FP236&gt;2000000,FP236-2000000,0)</f>
        <v>0</v>
      </c>
      <c r="FT236">
        <f ca="1">FS236*0.25</f>
        <v>0</v>
      </c>
      <c r="FU236">
        <f ca="1">IF(FP236&gt;1600000,FP236-1600000-FQ236,0)</f>
        <v>0</v>
      </c>
      <c r="FV236">
        <f ca="1">FU236*0.2</f>
        <v>0</v>
      </c>
      <c r="FW236">
        <f ca="1">IF(FP236&gt;1200000,FP236-1200000-IF(F236="YES",50000,0)-FU236,0)</f>
        <v>0</v>
      </c>
      <c r="FX236">
        <f ca="1">FW236*0.15</f>
        <v>0</v>
      </c>
      <c r="FY236">
        <f ca="1">IF(FP236&gt;800000,FP236-800000-FQ236-FU236-FW236,0)</f>
        <v>0</v>
      </c>
      <c r="FZ236">
        <f ca="1">FY236*0.1</f>
        <v>0</v>
      </c>
      <c r="GA236">
        <f ca="1">IF(FP236&gt;400000,FP236-400000-FQ236-FU236-FW236-FY236,0)</f>
        <v>282897</v>
      </c>
      <c r="GB236">
        <f ca="1">GA236*0.05</f>
        <v>14144.85</v>
      </c>
      <c r="GC236">
        <f ca="1">ROUND(FR236+FT236+FV236+FX236+FZ236+GB236,0)</f>
        <v>14145</v>
      </c>
      <c r="GD236">
        <f ca="1">IF(FP236&gt;1200000,FP236,0)</f>
        <v>0</v>
      </c>
      <c r="GE236">
        <f ca="1">IF(FP236&gt;1200000,GD236-1200000,0)</f>
        <v>0</v>
      </c>
      <c r="GF236">
        <f ca="1">IF(FP236&lt;1200001,MIN(GC236,60000),0)</f>
        <v>14145</v>
      </c>
      <c r="GG236">
        <f ca="1">IF(FP236&gt;1200000,GC236-GE236,0)</f>
        <v>0</v>
      </c>
      <c r="GH236" t="b">
        <f ca="1">IF(GG236&gt;0,TRUE,FALSE)</f>
        <v>0</v>
      </c>
      <c r="GI236">
        <f ca="1">IF(GH236,GG236,0)</f>
        <v>0</v>
      </c>
      <c r="GJ236">
        <f ca="1">GF236+GI236</f>
        <v>14145</v>
      </c>
      <c r="GK236">
        <f ca="1">ROUND(GC236-GJ236,0)</f>
        <v>0</v>
      </c>
      <c r="GL236">
        <f ca="1">GK236*0.04</f>
        <v>0</v>
      </c>
      <c r="GM236">
        <f ca="1">ROUNDUP(GK236+GL236,0)</f>
        <v>0</v>
      </c>
    </row>
    <row r="237" spans="1:195" x14ac:dyDescent="0.25">
      <c r="A237">
        <f>_xlfn.AGGREGATE(3,5,$B$2:B237)</f>
        <v>236</v>
      </c>
      <c r="B237" t="s">
        <v>583</v>
      </c>
      <c r="C237" t="s">
        <v>584</v>
      </c>
      <c r="D237" t="s">
        <v>813</v>
      </c>
      <c r="E237" t="s">
        <v>833</v>
      </c>
      <c r="F237" t="s">
        <v>959</v>
      </c>
      <c r="G237" t="s">
        <v>926</v>
      </c>
      <c r="H237">
        <f>IF(_xlfn.DAYS("31-03-2025",G237)&gt;=180,6800,0)</f>
        <v>6800</v>
      </c>
      <c r="I237">
        <f>_xlfn.XLOOKUP(B237,'[1]march-2025'!$A:$A,'[1]march-2025'!$J:$J,0,0)</f>
        <v>0</v>
      </c>
      <c r="J237">
        <f>_xlfn.XLOOKUP(B237,'[1]march-2025'!$A:$A,'[1]march-2025'!$C:$C,0,0)</f>
        <v>33500</v>
      </c>
      <c r="K237">
        <f>J237*0.14</f>
        <v>4690</v>
      </c>
      <c r="L237">
        <f>J237*0.12</f>
        <v>4020</v>
      </c>
      <c r="M237">
        <f>_xlfn.XLOOKUP(B237,'[1]march-2025'!$A:$A,'[1]march-2025'!$D:$D,0,0)</f>
        <v>0</v>
      </c>
      <c r="N237">
        <f>_xlfn.XLOOKUP(B237,'[1]march-2025'!$A:$A,'[1]march-2025'!$G:$G,0,0)</f>
        <v>500</v>
      </c>
      <c r="O237">
        <f>IF(J237&gt;0,SUM(J237:N237),0)</f>
        <v>42710</v>
      </c>
      <c r="P237">
        <f>_xlfn.XLOOKUP(B237,'[1]march-2025'!$A:$A,'[1]march-2025'!$H:$H,0,0)</f>
        <v>2500</v>
      </c>
      <c r="Q237">
        <f>_xlfn.XLOOKUP(B237,'[1]march-2025'!$A:$A,'[1]march-2025'!$I:$I,0,0)</f>
        <v>0</v>
      </c>
      <c r="R237">
        <f>IF($F237="YES",0,IF(O237&gt;40000,200,IF(O237&gt;25000,150,IF(O237&gt;15000,130,IF(O237&gt;10000,110,0)))))</f>
        <v>200</v>
      </c>
      <c r="S237">
        <f>O237-P237-Q237-R237</f>
        <v>40010</v>
      </c>
      <c r="T237">
        <f>_xlfn.XLOOKUP(B237,'[2]april-2025'!$A:$A,'[2]april-2025'!$C:$C,0,0)</f>
        <v>33500</v>
      </c>
      <c r="U237">
        <f>T237*0.18</f>
        <v>6030</v>
      </c>
      <c r="V237">
        <f>T237*0.12</f>
        <v>4020</v>
      </c>
      <c r="W237">
        <f>_xlfn.XLOOKUP(B237,'[2]april-2025'!$A:$A,'[2]april-2025'!$D:$D,0,0)</f>
        <v>0</v>
      </c>
      <c r="X237">
        <f>_xlfn.XLOOKUP(B237,'[2]april-2025'!$A:$A,'[2]april-2025'!$G:$G,0,0)</f>
        <v>500</v>
      </c>
      <c r="Y237">
        <f>IF(T237&gt;0,SUM(T237:X237),0)</f>
        <v>44050</v>
      </c>
      <c r="Z237">
        <f>_xlfn.XLOOKUP(B237,'[2]april-2025'!$A:$A,'[2]april-2025'!$H:$H,0,0)</f>
        <v>2500</v>
      </c>
      <c r="AA237">
        <f>_xlfn.XLOOKUP(B237,'[2]april-2025'!$A:$A,'[2]april-2025'!$I:$I,0,0)</f>
        <v>0</v>
      </c>
      <c r="AB237">
        <f>IF($F237="YES",0,IF(Y237&gt;40000,200,IF(Y237&gt;25000,150,IF(Y237&gt;15000,130,IF(Y237&gt;10000,110,0)))))</f>
        <v>200</v>
      </c>
      <c r="AC237">
        <f>Y237-Z237-AA237-AB237</f>
        <v>41350</v>
      </c>
      <c r="AD237">
        <f>_xlfn.XLOOKUP(B237,'[3]may-2025'!$A:$A,'[3]may-2025'!$C:$C,0,0)</f>
        <v>33500</v>
      </c>
      <c r="AE237">
        <f>AD237*0.18</f>
        <v>6030</v>
      </c>
      <c r="AF237">
        <f>AD237*0.12</f>
        <v>4020</v>
      </c>
      <c r="AG237">
        <f>_xlfn.XLOOKUP(B237,'[3]may-2025'!$A:$A,'[3]may-2025'!$D:$D,0,0)</f>
        <v>0</v>
      </c>
      <c r="AH237">
        <f>_xlfn.XLOOKUP(B237,'[3]may-2025'!$A:$A,'[3]may-2025'!$G:$G,0,0)</f>
        <v>500</v>
      </c>
      <c r="AI237">
        <f>IF(AD237&gt;0,SUM(AD237:AH237),0)</f>
        <v>44050</v>
      </c>
      <c r="AJ237">
        <f>_xlfn.XLOOKUP(B237,'[3]may-2025'!$A:$A,'[3]may-2025'!$H:$H,0,0)</f>
        <v>2500</v>
      </c>
      <c r="AK237">
        <f>_xlfn.XLOOKUP(B237,'[3]may-2025'!$A:$A,'[3]may-2025'!$I:$I,0,0)</f>
        <v>0</v>
      </c>
      <c r="AL237">
        <f>IF($F237="YES",0,IF(AI237&gt;40000,200,IF(AI237&gt;25000,150,IF(AI237&gt;15000,130,IF(AI237&gt;10000,110,0)))))</f>
        <v>200</v>
      </c>
      <c r="AM237">
        <f>AI237-AJ237-AK237-AL237</f>
        <v>41350</v>
      </c>
      <c r="AN237">
        <f>_xlfn.XLOOKUP(B237,'[4]june-2025'!$A:$A,'[4]june-2025'!$C:$C,0,0)</f>
        <v>33500</v>
      </c>
      <c r="AO237">
        <f>AN237*0.18</f>
        <v>6030</v>
      </c>
      <c r="AP237">
        <f>AN237*0.12</f>
        <v>4020</v>
      </c>
      <c r="AQ237">
        <f>_xlfn.XLOOKUP(B237,'[4]june-2025'!$A:$A,'[4]june-2025'!$D:$D,0,0)</f>
        <v>0</v>
      </c>
      <c r="AR237">
        <f>_xlfn.XLOOKUP(B237,'[4]june-2025'!$A:$A,'[4]june-2025'!$G:$G,0,0)</f>
        <v>500</v>
      </c>
      <c r="AS237">
        <f>IF(AN237&gt;0,SUM(AN237:AR237),0)</f>
        <v>44050</v>
      </c>
      <c r="AT237">
        <f>_xlfn.XLOOKUP(B237,'[4]june-2025'!$A:$A,'[4]june-2025'!$H:$H,0,0)</f>
        <v>2500</v>
      </c>
      <c r="AU237">
        <f>_xlfn.XLOOKUP(B237,'[4]june-2025'!$A:$A,'[4]june-2025'!$I:$I,0,0)</f>
        <v>0</v>
      </c>
      <c r="AV237">
        <f>IF($F237="YES",0,IF(AS237&gt;40000,200,IF(AS237&gt;25000,150,IF(AS237&gt;15000,130,IF(AS237&gt;10000,110,0)))))</f>
        <v>200</v>
      </c>
      <c r="AW237">
        <f>AS237-AT237-AU237-AV237</f>
        <v>41350</v>
      </c>
      <c r="AX237">
        <f>_xlfn.XLOOKUP(B237,'[5]july-2025'!$A:$A,'[5]july-2025'!$C:$C,0,0)</f>
        <v>34500</v>
      </c>
      <c r="AY237">
        <f>AX237*0.18</f>
        <v>6210</v>
      </c>
      <c r="AZ237">
        <v>0</v>
      </c>
      <c r="BA237">
        <f>AX237*0.12</f>
        <v>4140</v>
      </c>
      <c r="BB237">
        <f>_xlfn.XLOOKUP(B237,'[5]july-2025'!$A:$A,'[5]july-2025'!$D:$D,0,0)</f>
        <v>0</v>
      </c>
      <c r="BC237">
        <f>_xlfn.XLOOKUP(B237,'[5]july-2025'!$A:$A,'[5]july-2025'!$G:$G,0,0)</f>
        <v>500</v>
      </c>
      <c r="BD237">
        <f>IF(AX237&gt;0,SUM(AX237:BC237),0)</f>
        <v>45350</v>
      </c>
      <c r="BE237">
        <f>_xlfn.XLOOKUP(B237,'[5]july-2025'!$A:$A,'[5]july-2025'!$H:$H,0,0)</f>
        <v>2500</v>
      </c>
      <c r="BF237">
        <f>_xlfn.XLOOKUP(B237,'[5]july-2025'!$A:$A,'[5]july-2025'!$I:$I,0,0)</f>
        <v>0</v>
      </c>
      <c r="BG237">
        <f>IF($F237="YES",0,IF(BD237&gt;40000,200,IF(BD237&gt;25000,150,IF(BD237&gt;15000,130,IF(BD237&gt;10000,110,0)))))</f>
        <v>200</v>
      </c>
      <c r="BH237">
        <f>BD237-BE237-BF237-BG237</f>
        <v>42650</v>
      </c>
      <c r="BI237">
        <f>_xlfn.XLOOKUP(B237,'[6]august-2025'!$A:$A,'[6]august-2025'!$C:$C,0,0)</f>
        <v>34500</v>
      </c>
      <c r="BJ237">
        <f>BI237*0.18</f>
        <v>6210</v>
      </c>
      <c r="BK237">
        <f>BI237*0.12</f>
        <v>4140</v>
      </c>
      <c r="BL237">
        <f>_xlfn.XLOOKUP(B237,'[6]august-2025'!$A:$A,'[6]august-2025'!$D:$D,0,0)</f>
        <v>0</v>
      </c>
      <c r="BM237">
        <f>_xlfn.XLOOKUP(B237,'[6]august-2025'!$A:$A,'[6]august-2025'!$G:$G,0,0)</f>
        <v>500</v>
      </c>
      <c r="BN237">
        <f>IF(BI237&gt;0,SUM(BI237:BM237),0)</f>
        <v>45350</v>
      </c>
      <c r="BO237">
        <f>_xlfn.XLOOKUP(B237,'[6]august-2025'!$A:$A,'[6]august-2025'!$H:$H,0,0)</f>
        <v>2500</v>
      </c>
      <c r="BP237">
        <f>_xlfn.XLOOKUP(B237,'[6]august-2025'!$A:$A,'[6]august-2025'!$I:$I,0,0)</f>
        <v>0</v>
      </c>
      <c r="BQ237">
        <f>IF($F237="YES",0,IF(BN237&gt;40000,200,IF(BN237&gt;25000,150,IF(BN237&gt;15000,130,IF(BN237&gt;10000,110,0)))))</f>
        <v>200</v>
      </c>
      <c r="BR237">
        <f>BN237-BO237-BP237-BQ237</f>
        <v>42650</v>
      </c>
      <c r="BS237">
        <f>_xlfn.XLOOKUP(B237,'[7]september-2025'!$A:$A,'[7]september-2025'!$C:$C,0,0)</f>
        <v>34500</v>
      </c>
      <c r="BT237">
        <f>BS237*0.18</f>
        <v>6210</v>
      </c>
      <c r="BU237">
        <f>BS237*0.12</f>
        <v>4140</v>
      </c>
      <c r="BV237">
        <f>_xlfn.XLOOKUP(B237,'[7]september-2025'!$A:$A,'[7]september-2025'!$D:$D,0,0)</f>
        <v>0</v>
      </c>
      <c r="BW237">
        <f>_xlfn.XLOOKUP(B237,'[7]september-2025'!$A:$A,'[7]september-2025'!$G:$G,0,0)</f>
        <v>500</v>
      </c>
      <c r="BX237">
        <f>IF(BS237&gt;0,SUM(BS237:BW237),0)</f>
        <v>45350</v>
      </c>
      <c r="BY237">
        <f>_xlfn.XLOOKUP(B237,'[7]september-2025'!$A:$A,'[7]september-2025'!$H:$H,0,0)</f>
        <v>2500</v>
      </c>
      <c r="BZ237">
        <f>_xlfn.XLOOKUP(B237,'[7]september-2025'!$A:$A,'[7]september-2025'!$I:$I,0,0)</f>
        <v>0</v>
      </c>
      <c r="CA237">
        <f>IF($F237="YES",0,IF(BX237&gt;40000,200,IF(BX237&gt;25000,150,IF(BX237&gt;15000,130,IF(BX237&gt;10000,110,0)))))</f>
        <v>200</v>
      </c>
      <c r="CB237">
        <f>BX237-BY237-BZ237-CA237</f>
        <v>42650</v>
      </c>
      <c r="CC237">
        <f>_xlfn.XLOOKUP(B237,'[8]october-2025'!$A:$A,'[8]october-2025'!$C:$C,0,0)</f>
        <v>34500</v>
      </c>
      <c r="CD237">
        <f>CC237*0.18</f>
        <v>6210</v>
      </c>
      <c r="CE237">
        <f>CC237*0.12</f>
        <v>4140</v>
      </c>
      <c r="CF237">
        <f>_xlfn.XLOOKUP(B237,'[8]october-2025'!$A:$A,'[8]october-2025'!$D:$D,0,0)</f>
        <v>0</v>
      </c>
      <c r="CG237">
        <f>_xlfn.XLOOKUP(B237,'[8]october-2025'!$A:$A,'[8]october-2025'!$G:$G,0,0)</f>
        <v>500</v>
      </c>
      <c r="CH237">
        <f>IF(CC237&gt;0,SUM(CC237:CG237),0)</f>
        <v>45350</v>
      </c>
      <c r="CI237">
        <f>_xlfn.XLOOKUP(B237,'[8]october-2025'!$A:$A,'[8]october-2025'!$H:$H,0,0)</f>
        <v>2500</v>
      </c>
      <c r="CJ237">
        <f>_xlfn.XLOOKUP(B237,'[8]october-2025'!$A:$A,'[8]october-2025'!$I:$I,0,0)</f>
        <v>0</v>
      </c>
      <c r="CK237">
        <f>IF($F237="YES",0,IF(CH237&gt;40000,200,IF(CH237&gt;25000,150,IF(CH237&gt;15000,130,IF(CH237&gt;10000,110,0)))))</f>
        <v>200</v>
      </c>
      <c r="CL237">
        <f>CH237-CI237-CJ237-CK237</f>
        <v>42650</v>
      </c>
      <c r="CM237">
        <f>_xlfn.XLOOKUP(B237,'[9]november-2025'!$A:$A,'[9]november-2025'!$C:$C,0,0)</f>
        <v>34500</v>
      </c>
      <c r="CN237">
        <f>CM237*0.18</f>
        <v>6210</v>
      </c>
      <c r="CO237">
        <f>CM237*0.12</f>
        <v>4140</v>
      </c>
      <c r="CP237">
        <f>_xlfn.XLOOKUP(B237,'[9]november-2025'!$A:$A,'[9]november-2025'!$D:$D,0,0)</f>
        <v>0</v>
      </c>
      <c r="CQ237">
        <f>_xlfn.XLOOKUP(B237,'[9]november-2025'!$A:$A,'[9]november-2025'!$G:$G,0,0)</f>
        <v>500</v>
      </c>
      <c r="CR237">
        <f>IF(CM237&gt;0,SUM(CM237:CQ237),0)</f>
        <v>45350</v>
      </c>
      <c r="CS237">
        <f>_xlfn.XLOOKUP(B237,'[9]november-2025'!$A:$A,'[9]november-2025'!$H:$H,0,0)</f>
        <v>2500</v>
      </c>
      <c r="CT237">
        <f>_xlfn.XLOOKUP(B237,'[9]november-2025'!$A:$A,'[9]november-2025'!$I:$I,0,0)</f>
        <v>0</v>
      </c>
      <c r="CU237">
        <f>IF($F237="YES",0,IF(CR237&gt;40000,200,IF(CR237&gt;25000,150,IF(CR237&gt;15000,130,IF(CR237&gt;10000,110,0)))))</f>
        <v>200</v>
      </c>
      <c r="CV237">
        <f>CR237-CS237-CT237-CU237</f>
        <v>42650</v>
      </c>
      <c r="CW237">
        <f>_xlfn.XLOOKUP(B237,'[10]december-2025'!$A:$A,'[10]december-2025'!$C:$C,0,0)</f>
        <v>34500</v>
      </c>
      <c r="CX237">
        <f>ROUND(CW237*0.18,0)</f>
        <v>6210</v>
      </c>
      <c r="CY237">
        <f>ROUND(CW237*0.12,0)</f>
        <v>4140</v>
      </c>
      <c r="CZ237">
        <f>_xlfn.XLOOKUP(B237,'[10]december-2025'!$A:$A,'[10]december-2025'!$D:$D,0,0)</f>
        <v>0</v>
      </c>
      <c r="DA237">
        <f>_xlfn.XLOOKUP(B237,'[10]december-2025'!$A:$A,'[10]december-2025'!$G:$G,0,0)</f>
        <v>500</v>
      </c>
      <c r="DB237">
        <f>IF(CW237&gt;0,SUM(CW237:DA237),0)</f>
        <v>45350</v>
      </c>
      <c r="DC237">
        <f>_xlfn.XLOOKUP(B237,'[10]december-2025'!$A:$A,'[10]december-2025'!$H:$H,0,0)</f>
        <v>2500</v>
      </c>
      <c r="DD237">
        <f>_xlfn.XLOOKUP(B237,'[10]december-2025'!$A:$A,'[10]december-2025'!$I:$I,0,0)</f>
        <v>0</v>
      </c>
      <c r="DE237">
        <f>IF($F237="YES",0,IF(DB237&gt;40000,200,IF(DB237&gt;25000,150,IF(DB237&gt;15000,130,IF(DB237&gt;10000,110,0)))))</f>
        <v>200</v>
      </c>
      <c r="DF237">
        <f>DB237-DC237-DD237-DE237</f>
        <v>42650</v>
      </c>
      <c r="DG237">
        <f>_xlfn.XLOOKUP(B237,'[11]january-2026'!$A:$A,'[11]january-2026'!$C:$C,0,0)</f>
        <v>34500</v>
      </c>
      <c r="DH237">
        <f>DG237*0.18</f>
        <v>6210</v>
      </c>
      <c r="DI237">
        <f>DG237*0.12</f>
        <v>4140</v>
      </c>
      <c r="DJ237">
        <f>_xlfn.XLOOKUP(B237,'[11]january-2026'!$A:$A,'[11]january-2026'!$D:$D,0,0)</f>
        <v>0</v>
      </c>
      <c r="DK237">
        <f>_xlfn.XLOOKUP(B237,'[11]january-2026'!$A:$A,'[11]january-2026'!$G:$G,0,0)</f>
        <v>500</v>
      </c>
      <c r="DL237">
        <f>IF(DG237&gt;0,SUM(DG237:DK237),0)</f>
        <v>45350</v>
      </c>
      <c r="DM237">
        <f>_xlfn.XLOOKUP(B237,'[11]january-2026'!$A:$A,'[11]january-2026'!$H:$H,0,0)</f>
        <v>2500</v>
      </c>
      <c r="DN237">
        <f>_xlfn.XLOOKUP(B237,'[11]january-2026'!$A:$A,'[11]january-2026'!$I:$I,0,0)</f>
        <v>0</v>
      </c>
      <c r="DO237">
        <f>IF($F237="YES",0,IF(DL237&gt;40000,200,IF(DL237&gt;25000,150,IF(DL237&gt;15000,130,IF(DL237&gt;10000,110,0)))))</f>
        <v>200</v>
      </c>
      <c r="DP237">
        <f>DL237-DM237-DN237-DO237</f>
        <v>42650</v>
      </c>
      <c r="DQ237">
        <f>_xlfn.XLOOKUP(B237,'[12]february-2026'!$A:$A,'[12]february-2026'!$C:$C,0,0)</f>
        <v>34500</v>
      </c>
      <c r="DR237">
        <f>DQ237*0.18</f>
        <v>6210</v>
      </c>
      <c r="DS237">
        <f>DQ237*0.12</f>
        <v>4140</v>
      </c>
      <c r="DT237">
        <f>_xlfn.XLOOKUP(B237,'[12]february-2026'!$A:$A,'[12]february-2026'!$D:$D,0,0)</f>
        <v>0</v>
      </c>
      <c r="DU237">
        <f>_xlfn.XLOOKUP(B237,'[12]february-2026'!$A:$A,'[12]february-2026'!$G:$G,0,0)</f>
        <v>500</v>
      </c>
      <c r="DV237">
        <f>IF(DQ237&gt;0,SUM(DQ237:DU237),0)</f>
        <v>45350</v>
      </c>
      <c r="DW237">
        <f>_xlfn.XLOOKUP(B237,'[12]february-2026'!$A:$A,'[12]february-2026'!$H:$H,0,0)</f>
        <v>2500</v>
      </c>
      <c r="DX237">
        <f>_xlfn.XLOOKUP(B237,'[12]february-2026'!$A:$A,'[12]february-2026'!$I:$I,0,0)</f>
        <v>0</v>
      </c>
      <c r="DY237">
        <f>IF($F237="YES",0,IF(DV237&gt;40000,200,IF(DV237&gt;25000,150,IF(DV237&gt;15000,130,IF(DV237&gt;10000,110,0)))))</f>
        <v>200</v>
      </c>
      <c r="DZ237">
        <f>DV237-DW237-DX237-DY237</f>
        <v>42650</v>
      </c>
      <c r="EA237">
        <f>DV237+DL237+DB237+CR237+CH237+BX237+BN237+BD237+AS237+AI237+Y237+O237+H237+I237</f>
        <v>544460</v>
      </c>
      <c r="EB237">
        <f>DY237+DO237+DE237+CU237+CK237+CA237+BQ237+BG237+AV237+AL237+AB237+R237</f>
        <v>2400</v>
      </c>
      <c r="EC237">
        <f>IF(EA237&gt;0,50000,0)</f>
        <v>50000</v>
      </c>
      <c r="ED237">
        <v>0</v>
      </c>
      <c r="EE237">
        <f>EA237-EB237-EC237</f>
        <v>492060</v>
      </c>
      <c r="EF237">
        <f>DW237+DM237+DC237+CS237+CI237+BY237+BO237+BE237+AT237+AJ237+Z237+P237</f>
        <v>30000</v>
      </c>
      <c r="EG237">
        <f>DX237+DN237+DD237+CT237+CJ237+BZ237+BP237+BF237+AU237+AK237+AA237+Q237</f>
        <v>0</v>
      </c>
      <c r="EH237">
        <v>0</v>
      </c>
      <c r="EI237">
        <v>0</v>
      </c>
      <c r="EJ237">
        <v>0</v>
      </c>
      <c r="EK237">
        <v>0</v>
      </c>
      <c r="EL237">
        <v>0</v>
      </c>
      <c r="EM237">
        <v>0</v>
      </c>
      <c r="EN237">
        <v>0</v>
      </c>
      <c r="EO237">
        <v>0</v>
      </c>
      <c r="EP237">
        <v>0</v>
      </c>
      <c r="EQ237">
        <v>0</v>
      </c>
      <c r="ER237">
        <f>SUM(EF237:EQ237)</f>
        <v>30000</v>
      </c>
      <c r="ES237">
        <f>IF(ER237&gt;=150000,150000,ER237)</f>
        <v>30000</v>
      </c>
      <c r="ET237">
        <f>EE237-ES237</f>
        <v>462060</v>
      </c>
      <c r="EU237">
        <v>0</v>
      </c>
      <c r="EV237">
        <v>0</v>
      </c>
      <c r="EW237">
        <v>0</v>
      </c>
      <c r="EX237">
        <v>0</v>
      </c>
      <c r="EY237">
        <v>0</v>
      </c>
      <c r="EZ237">
        <v>0</v>
      </c>
      <c r="FA237">
        <v>0</v>
      </c>
      <c r="FB237">
        <f>SUM(EU237:FA237)+(IF(F237="YES",50000,0))</f>
        <v>0</v>
      </c>
      <c r="FC237">
        <f>ET237-FB237</f>
        <v>462060</v>
      </c>
      <c r="FD237">
        <f>ROUND(IF(FC237&gt;0,IF(FC237&gt;500000,12500,(FC237-250000)*0.05),0),0)</f>
        <v>10603</v>
      </c>
      <c r="FE237">
        <f>IF(ROUND(IF(FC237&gt;0,IF(FC237&gt;1000000,25000,(FC237-500000)*0.2),0),0)&lt;0,0,ROUND(IF(FC237&gt;0,IF(FC237&gt;1000000,25000,(FC237-500000)*0.2),0),0))</f>
        <v>0</v>
      </c>
      <c r="FF237">
        <f>FD237+FE237</f>
        <v>10603</v>
      </c>
      <c r="FG237">
        <f>IF(FF237&lt;12500,0,FF237)</f>
        <v>0</v>
      </c>
      <c r="FH237">
        <f>FG237*0.04</f>
        <v>0</v>
      </c>
      <c r="FI237">
        <f>ROUND(FH237+FG237,0)</f>
        <v>0</v>
      </c>
      <c r="FJ237">
        <v>0</v>
      </c>
      <c r="FK237">
        <f>FI237-FJ237</f>
        <v>0</v>
      </c>
      <c r="FL237" t="b">
        <f>IF(EA237&gt;500000,TRUE,FALSE)</f>
        <v>1</v>
      </c>
      <c r="FM237">
        <f ca="1">IF(FL237,RANDBETWEEN(500,1000),RANDBETWEEN(1000,3000))</f>
        <v>597</v>
      </c>
      <c r="FN237">
        <f ca="1">EA237+FM237</f>
        <v>545057</v>
      </c>
      <c r="FO237">
        <f>IF(EA237&gt;0,75000,0)</f>
        <v>75000</v>
      </c>
      <c r="FP237">
        <f ca="1">FN237-FO237</f>
        <v>470057</v>
      </c>
      <c r="FQ237">
        <f ca="1">IF(FP237&gt;2400000,FP237-2400000,0)</f>
        <v>0</v>
      </c>
      <c r="FR237">
        <f ca="1">FQ237*0.3</f>
        <v>0</v>
      </c>
      <c r="FS237">
        <f ca="1">IF(FP237&gt;2000000,FP237-2000000,0)</f>
        <v>0</v>
      </c>
      <c r="FT237">
        <f ca="1">FS237*0.25</f>
        <v>0</v>
      </c>
      <c r="FU237">
        <f ca="1">IF(FP237&gt;1600000,FP237-1600000-FQ237,0)</f>
        <v>0</v>
      </c>
      <c r="FV237">
        <f ca="1">FU237*0.2</f>
        <v>0</v>
      </c>
      <c r="FW237">
        <f ca="1">IF(FP237&gt;1200000,FP237-1200000-IF(F237="YES",50000,0)-FU237,0)</f>
        <v>0</v>
      </c>
      <c r="FX237">
        <f ca="1">FW237*0.15</f>
        <v>0</v>
      </c>
      <c r="FY237">
        <f ca="1">IF(FP237&gt;800000,FP237-800000-FQ237-FU237-FW237,0)</f>
        <v>0</v>
      </c>
      <c r="FZ237">
        <f ca="1">FY237*0.1</f>
        <v>0</v>
      </c>
      <c r="GA237">
        <f ca="1">IF(FP237&gt;400000,FP237-400000-FQ237-FU237-FW237-FY237,0)</f>
        <v>70057</v>
      </c>
      <c r="GB237">
        <f ca="1">GA237*0.05</f>
        <v>3502.8500000000004</v>
      </c>
      <c r="GC237">
        <f ca="1">ROUND(FR237+FT237+FV237+FX237+FZ237+GB237,0)</f>
        <v>3503</v>
      </c>
      <c r="GD237">
        <f ca="1">IF(FP237&gt;1200000,FP237,0)</f>
        <v>0</v>
      </c>
      <c r="GE237">
        <f ca="1">IF(FP237&gt;1200000,GD237-1200000,0)</f>
        <v>0</v>
      </c>
      <c r="GF237">
        <f ca="1">IF(FP237&lt;1200001,MIN(GC237,60000),0)</f>
        <v>3503</v>
      </c>
      <c r="GG237">
        <f ca="1">IF(FP237&gt;1200000,GC237-GE237,0)</f>
        <v>0</v>
      </c>
      <c r="GH237" t="b">
        <f ca="1">IF(GG237&gt;0,TRUE,FALSE)</f>
        <v>0</v>
      </c>
      <c r="GI237">
        <f ca="1">IF(GH237,GG237,0)</f>
        <v>0</v>
      </c>
      <c r="GJ237">
        <f ca="1">GF237+GI237</f>
        <v>3503</v>
      </c>
      <c r="GK237">
        <f ca="1">ROUND(GC237-GJ237,0)</f>
        <v>0</v>
      </c>
      <c r="GL237">
        <f ca="1">GK237*0.04</f>
        <v>0</v>
      </c>
      <c r="GM237">
        <f ca="1">ROUNDUP(GK237+GL237,0)</f>
        <v>0</v>
      </c>
    </row>
    <row r="238" spans="1:195" x14ac:dyDescent="0.25">
      <c r="A238">
        <f>_xlfn.AGGREGATE(3,5,$B$2:B238)</f>
        <v>237</v>
      </c>
      <c r="B238" t="s">
        <v>585</v>
      </c>
      <c r="C238" t="s">
        <v>586</v>
      </c>
      <c r="D238" t="s">
        <v>813</v>
      </c>
      <c r="E238" t="s">
        <v>833</v>
      </c>
      <c r="F238" t="s">
        <v>959</v>
      </c>
      <c r="G238" t="s">
        <v>926</v>
      </c>
      <c r="H238">
        <f>IF(_xlfn.DAYS("31-03-2025",G238)&gt;=180,6800,0)</f>
        <v>6800</v>
      </c>
      <c r="I238">
        <f>_xlfn.XLOOKUP(B238,'[1]march-2025'!$A:$A,'[1]march-2025'!$J:$J,0,0)</f>
        <v>0</v>
      </c>
      <c r="J238">
        <f>_xlfn.XLOOKUP(B238,'[1]march-2025'!$A:$A,'[1]march-2025'!$C:$C,0,0)</f>
        <v>33500</v>
      </c>
      <c r="K238">
        <f>J238*0.14</f>
        <v>4690</v>
      </c>
      <c r="L238">
        <f>J238*0.12</f>
        <v>4020</v>
      </c>
      <c r="M238">
        <f>_xlfn.XLOOKUP(B238,'[1]march-2025'!$A:$A,'[1]march-2025'!$D:$D,0,0)</f>
        <v>0</v>
      </c>
      <c r="N238">
        <f>_xlfn.XLOOKUP(B238,'[1]march-2025'!$A:$A,'[1]march-2025'!$G:$G,0,0)</f>
        <v>500</v>
      </c>
      <c r="O238">
        <f>IF(J238&gt;0,SUM(J238:N238),0)</f>
        <v>42710</v>
      </c>
      <c r="P238">
        <f>_xlfn.XLOOKUP(B238,'[1]march-2025'!$A:$A,'[1]march-2025'!$H:$H,0,0)</f>
        <v>2500</v>
      </c>
      <c r="Q238">
        <f>_xlfn.XLOOKUP(B238,'[1]march-2025'!$A:$A,'[1]march-2025'!$I:$I,0,0)</f>
        <v>0</v>
      </c>
      <c r="R238">
        <f>IF($F238="YES",0,IF(O238&gt;40000,200,IF(O238&gt;25000,150,IF(O238&gt;15000,130,IF(O238&gt;10000,110,0)))))</f>
        <v>200</v>
      </c>
      <c r="S238">
        <f>O238-P238-Q238-R238</f>
        <v>40010</v>
      </c>
      <c r="T238">
        <f>_xlfn.XLOOKUP(B238,'[2]april-2025'!$A:$A,'[2]april-2025'!$C:$C,0,0)</f>
        <v>33500</v>
      </c>
      <c r="U238">
        <f>T238*0.18</f>
        <v>6030</v>
      </c>
      <c r="V238">
        <f>T238*0.12</f>
        <v>4020</v>
      </c>
      <c r="W238">
        <f>_xlfn.XLOOKUP(B238,'[2]april-2025'!$A:$A,'[2]april-2025'!$D:$D,0,0)</f>
        <v>0</v>
      </c>
      <c r="X238">
        <f>_xlfn.XLOOKUP(B238,'[2]april-2025'!$A:$A,'[2]april-2025'!$G:$G,0,0)</f>
        <v>500</v>
      </c>
      <c r="Y238">
        <f>IF(T238&gt;0,SUM(T238:X238),0)</f>
        <v>44050</v>
      </c>
      <c r="Z238">
        <f>_xlfn.XLOOKUP(B238,'[2]april-2025'!$A:$A,'[2]april-2025'!$H:$H,0,0)</f>
        <v>2500</v>
      </c>
      <c r="AA238">
        <f>_xlfn.XLOOKUP(B238,'[2]april-2025'!$A:$A,'[2]april-2025'!$I:$I,0,0)</f>
        <v>0</v>
      </c>
      <c r="AB238">
        <f>IF($F238="YES",0,IF(Y238&gt;40000,200,IF(Y238&gt;25000,150,IF(Y238&gt;15000,130,IF(Y238&gt;10000,110,0)))))</f>
        <v>200</v>
      </c>
      <c r="AC238">
        <f>Y238-Z238-AA238-AB238</f>
        <v>41350</v>
      </c>
      <c r="AD238">
        <f>_xlfn.XLOOKUP(B238,'[3]may-2025'!$A:$A,'[3]may-2025'!$C:$C,0,0)</f>
        <v>33500</v>
      </c>
      <c r="AE238">
        <f>AD238*0.18</f>
        <v>6030</v>
      </c>
      <c r="AF238">
        <f>AD238*0.12</f>
        <v>4020</v>
      </c>
      <c r="AG238">
        <f>_xlfn.XLOOKUP(B238,'[3]may-2025'!$A:$A,'[3]may-2025'!$D:$D,0,0)</f>
        <v>0</v>
      </c>
      <c r="AH238">
        <f>_xlfn.XLOOKUP(B238,'[3]may-2025'!$A:$A,'[3]may-2025'!$G:$G,0,0)</f>
        <v>500</v>
      </c>
      <c r="AI238">
        <f>IF(AD238&gt;0,SUM(AD238:AH238),0)</f>
        <v>44050</v>
      </c>
      <c r="AJ238">
        <f>_xlfn.XLOOKUP(B238,'[3]may-2025'!$A:$A,'[3]may-2025'!$H:$H,0,0)</f>
        <v>2500</v>
      </c>
      <c r="AK238">
        <f>_xlfn.XLOOKUP(B238,'[3]may-2025'!$A:$A,'[3]may-2025'!$I:$I,0,0)</f>
        <v>0</v>
      </c>
      <c r="AL238">
        <f>IF($F238="YES",0,IF(AI238&gt;40000,200,IF(AI238&gt;25000,150,IF(AI238&gt;15000,130,IF(AI238&gt;10000,110,0)))))</f>
        <v>200</v>
      </c>
      <c r="AM238">
        <f>AI238-AJ238-AK238-AL238</f>
        <v>41350</v>
      </c>
      <c r="AN238">
        <f>_xlfn.XLOOKUP(B238,'[4]june-2025'!$A:$A,'[4]june-2025'!$C:$C,0,0)</f>
        <v>33500</v>
      </c>
      <c r="AO238">
        <f>AN238*0.18</f>
        <v>6030</v>
      </c>
      <c r="AP238">
        <f>AN238*0.12</f>
        <v>4020</v>
      </c>
      <c r="AQ238">
        <f>_xlfn.XLOOKUP(B238,'[4]june-2025'!$A:$A,'[4]june-2025'!$D:$D,0,0)</f>
        <v>0</v>
      </c>
      <c r="AR238">
        <f>_xlfn.XLOOKUP(B238,'[4]june-2025'!$A:$A,'[4]june-2025'!$G:$G,0,0)</f>
        <v>500</v>
      </c>
      <c r="AS238">
        <f>IF(AN238&gt;0,SUM(AN238:AR238),0)</f>
        <v>44050</v>
      </c>
      <c r="AT238">
        <f>_xlfn.XLOOKUP(B238,'[4]june-2025'!$A:$A,'[4]june-2025'!$H:$H,0,0)</f>
        <v>2500</v>
      </c>
      <c r="AU238">
        <f>_xlfn.XLOOKUP(B238,'[4]june-2025'!$A:$A,'[4]june-2025'!$I:$I,0,0)</f>
        <v>0</v>
      </c>
      <c r="AV238">
        <f>IF($F238="YES",0,IF(AS238&gt;40000,200,IF(AS238&gt;25000,150,IF(AS238&gt;15000,130,IF(AS238&gt;10000,110,0)))))</f>
        <v>200</v>
      </c>
      <c r="AW238">
        <f>AS238-AT238-AU238-AV238</f>
        <v>41350</v>
      </c>
      <c r="AX238">
        <f>_xlfn.XLOOKUP(B238,'[5]july-2025'!$A:$A,'[5]july-2025'!$C:$C,0,0)</f>
        <v>34500</v>
      </c>
      <c r="AY238">
        <f>AX238*0.18</f>
        <v>6210</v>
      </c>
      <c r="AZ238">
        <v>0</v>
      </c>
      <c r="BA238">
        <f>AX238*0.12</f>
        <v>4140</v>
      </c>
      <c r="BB238">
        <f>_xlfn.XLOOKUP(B238,'[5]july-2025'!$A:$A,'[5]july-2025'!$D:$D,0,0)</f>
        <v>0</v>
      </c>
      <c r="BC238">
        <f>_xlfn.XLOOKUP(B238,'[5]july-2025'!$A:$A,'[5]july-2025'!$G:$G,0,0)</f>
        <v>500</v>
      </c>
      <c r="BD238">
        <f>IF(AX238&gt;0,SUM(AX238:BC238),0)</f>
        <v>45350</v>
      </c>
      <c r="BE238">
        <f>_xlfn.XLOOKUP(B238,'[5]july-2025'!$A:$A,'[5]july-2025'!$H:$H,0,0)</f>
        <v>2500</v>
      </c>
      <c r="BF238">
        <f>_xlfn.XLOOKUP(B238,'[5]july-2025'!$A:$A,'[5]july-2025'!$I:$I,0,0)</f>
        <v>0</v>
      </c>
      <c r="BG238">
        <f>IF($F238="YES",0,IF(BD238&gt;40000,200,IF(BD238&gt;25000,150,IF(BD238&gt;15000,130,IF(BD238&gt;10000,110,0)))))</f>
        <v>200</v>
      </c>
      <c r="BH238">
        <f>BD238-BE238-BF238-BG238</f>
        <v>42650</v>
      </c>
      <c r="BI238">
        <f>_xlfn.XLOOKUP(B238,'[6]august-2025'!$A:$A,'[6]august-2025'!$C:$C,0,0)</f>
        <v>34500</v>
      </c>
      <c r="BJ238">
        <f>BI238*0.18</f>
        <v>6210</v>
      </c>
      <c r="BK238">
        <f>BI238*0.12</f>
        <v>4140</v>
      </c>
      <c r="BL238">
        <f>_xlfn.XLOOKUP(B238,'[6]august-2025'!$A:$A,'[6]august-2025'!$D:$D,0,0)</f>
        <v>0</v>
      </c>
      <c r="BM238">
        <f>_xlfn.XLOOKUP(B238,'[6]august-2025'!$A:$A,'[6]august-2025'!$G:$G,0,0)</f>
        <v>500</v>
      </c>
      <c r="BN238">
        <f>IF(BI238&gt;0,SUM(BI238:BM238),0)</f>
        <v>45350</v>
      </c>
      <c r="BO238">
        <f>_xlfn.XLOOKUP(B238,'[6]august-2025'!$A:$A,'[6]august-2025'!$H:$H,0,0)</f>
        <v>2500</v>
      </c>
      <c r="BP238">
        <f>_xlfn.XLOOKUP(B238,'[6]august-2025'!$A:$A,'[6]august-2025'!$I:$I,0,0)</f>
        <v>0</v>
      </c>
      <c r="BQ238">
        <f>IF($F238="YES",0,IF(BN238&gt;40000,200,IF(BN238&gt;25000,150,IF(BN238&gt;15000,130,IF(BN238&gt;10000,110,0)))))</f>
        <v>200</v>
      </c>
      <c r="BR238">
        <f>BN238-BO238-BP238-BQ238</f>
        <v>42650</v>
      </c>
      <c r="BS238">
        <f>_xlfn.XLOOKUP(B238,'[7]september-2025'!$A:$A,'[7]september-2025'!$C:$C,0,0)</f>
        <v>34500</v>
      </c>
      <c r="BT238">
        <f>BS238*0.18</f>
        <v>6210</v>
      </c>
      <c r="BU238">
        <f>BS238*0.12</f>
        <v>4140</v>
      </c>
      <c r="BV238">
        <f>_xlfn.XLOOKUP(B238,'[7]september-2025'!$A:$A,'[7]september-2025'!$D:$D,0,0)</f>
        <v>0</v>
      </c>
      <c r="BW238">
        <f>_xlfn.XLOOKUP(B238,'[7]september-2025'!$A:$A,'[7]september-2025'!$G:$G,0,0)</f>
        <v>500</v>
      </c>
      <c r="BX238">
        <f>IF(BS238&gt;0,SUM(BS238:BW238),0)</f>
        <v>45350</v>
      </c>
      <c r="BY238">
        <f>_xlfn.XLOOKUP(B238,'[7]september-2025'!$A:$A,'[7]september-2025'!$H:$H,0,0)</f>
        <v>2500</v>
      </c>
      <c r="BZ238">
        <f>_xlfn.XLOOKUP(B238,'[7]september-2025'!$A:$A,'[7]september-2025'!$I:$I,0,0)</f>
        <v>0</v>
      </c>
      <c r="CA238">
        <f>IF($F238="YES",0,IF(BX238&gt;40000,200,IF(BX238&gt;25000,150,IF(BX238&gt;15000,130,IF(BX238&gt;10000,110,0)))))</f>
        <v>200</v>
      </c>
      <c r="CB238">
        <f>BX238-BY238-BZ238-CA238</f>
        <v>42650</v>
      </c>
      <c r="CC238">
        <f>_xlfn.XLOOKUP(B238,'[8]october-2025'!$A:$A,'[8]october-2025'!$C:$C,0,0)</f>
        <v>34500</v>
      </c>
      <c r="CD238">
        <f>CC238*0.18</f>
        <v>6210</v>
      </c>
      <c r="CE238">
        <f>CC238*0.12</f>
        <v>4140</v>
      </c>
      <c r="CF238">
        <f>_xlfn.XLOOKUP(B238,'[8]october-2025'!$A:$A,'[8]october-2025'!$D:$D,0,0)</f>
        <v>0</v>
      </c>
      <c r="CG238">
        <f>_xlfn.XLOOKUP(B238,'[8]october-2025'!$A:$A,'[8]october-2025'!$G:$G,0,0)</f>
        <v>500</v>
      </c>
      <c r="CH238">
        <f>IF(CC238&gt;0,SUM(CC238:CG238),0)</f>
        <v>45350</v>
      </c>
      <c r="CI238">
        <f>_xlfn.XLOOKUP(B238,'[8]october-2025'!$A:$A,'[8]october-2025'!$H:$H,0,0)</f>
        <v>2500</v>
      </c>
      <c r="CJ238">
        <f>_xlfn.XLOOKUP(B238,'[8]october-2025'!$A:$A,'[8]october-2025'!$I:$I,0,0)</f>
        <v>0</v>
      </c>
      <c r="CK238">
        <f>IF($F238="YES",0,IF(CH238&gt;40000,200,IF(CH238&gt;25000,150,IF(CH238&gt;15000,130,IF(CH238&gt;10000,110,0)))))</f>
        <v>200</v>
      </c>
      <c r="CL238">
        <f>CH238-CI238-CJ238-CK238</f>
        <v>42650</v>
      </c>
      <c r="CM238">
        <f>_xlfn.XLOOKUP(B238,'[9]november-2025'!$A:$A,'[9]november-2025'!$C:$C,0,0)</f>
        <v>34500</v>
      </c>
      <c r="CN238">
        <f>CM238*0.18</f>
        <v>6210</v>
      </c>
      <c r="CO238">
        <f>CM238*0.12</f>
        <v>4140</v>
      </c>
      <c r="CP238">
        <f>_xlfn.XLOOKUP(B238,'[9]november-2025'!$A:$A,'[9]november-2025'!$D:$D,0,0)</f>
        <v>0</v>
      </c>
      <c r="CQ238">
        <f>_xlfn.XLOOKUP(B238,'[9]november-2025'!$A:$A,'[9]november-2025'!$G:$G,0,0)</f>
        <v>500</v>
      </c>
      <c r="CR238">
        <f>IF(CM238&gt;0,SUM(CM238:CQ238),0)</f>
        <v>45350</v>
      </c>
      <c r="CS238">
        <f>_xlfn.XLOOKUP(B238,'[9]november-2025'!$A:$A,'[9]november-2025'!$H:$H,0,0)</f>
        <v>2500</v>
      </c>
      <c r="CT238">
        <f>_xlfn.XLOOKUP(B238,'[9]november-2025'!$A:$A,'[9]november-2025'!$I:$I,0,0)</f>
        <v>0</v>
      </c>
      <c r="CU238">
        <f>IF($F238="YES",0,IF(CR238&gt;40000,200,IF(CR238&gt;25000,150,IF(CR238&gt;15000,130,IF(CR238&gt;10000,110,0)))))</f>
        <v>200</v>
      </c>
      <c r="CV238">
        <f>CR238-CS238-CT238-CU238</f>
        <v>42650</v>
      </c>
      <c r="CW238">
        <f>_xlfn.XLOOKUP(B238,'[10]december-2025'!$A:$A,'[10]december-2025'!$C:$C,0,0)</f>
        <v>34500</v>
      </c>
      <c r="CX238">
        <f>ROUND(CW238*0.18,0)</f>
        <v>6210</v>
      </c>
      <c r="CY238">
        <f>ROUND(CW238*0.12,0)</f>
        <v>4140</v>
      </c>
      <c r="CZ238">
        <f>_xlfn.XLOOKUP(B238,'[10]december-2025'!$A:$A,'[10]december-2025'!$D:$D,0,0)</f>
        <v>0</v>
      </c>
      <c r="DA238">
        <f>_xlfn.XLOOKUP(B238,'[10]december-2025'!$A:$A,'[10]december-2025'!$G:$G,0,0)</f>
        <v>500</v>
      </c>
      <c r="DB238">
        <f>IF(CW238&gt;0,SUM(CW238:DA238),0)</f>
        <v>45350</v>
      </c>
      <c r="DC238">
        <f>_xlfn.XLOOKUP(B238,'[10]december-2025'!$A:$A,'[10]december-2025'!$H:$H,0,0)</f>
        <v>2500</v>
      </c>
      <c r="DD238">
        <f>_xlfn.XLOOKUP(B238,'[10]december-2025'!$A:$A,'[10]december-2025'!$I:$I,0,0)</f>
        <v>0</v>
      </c>
      <c r="DE238">
        <f>IF($F238="YES",0,IF(DB238&gt;40000,200,IF(DB238&gt;25000,150,IF(DB238&gt;15000,130,IF(DB238&gt;10000,110,0)))))</f>
        <v>200</v>
      </c>
      <c r="DF238">
        <f>DB238-DC238-DD238-DE238</f>
        <v>42650</v>
      </c>
      <c r="DG238">
        <f>_xlfn.XLOOKUP(B238,'[11]january-2026'!$A:$A,'[11]january-2026'!$C:$C,0,0)</f>
        <v>34500</v>
      </c>
      <c r="DH238">
        <f>DG238*0.18</f>
        <v>6210</v>
      </c>
      <c r="DI238">
        <f>DG238*0.12</f>
        <v>4140</v>
      </c>
      <c r="DJ238">
        <f>_xlfn.XLOOKUP(B238,'[11]january-2026'!$A:$A,'[11]january-2026'!$D:$D,0,0)</f>
        <v>0</v>
      </c>
      <c r="DK238">
        <f>_xlfn.XLOOKUP(B238,'[11]january-2026'!$A:$A,'[11]january-2026'!$G:$G,0,0)</f>
        <v>500</v>
      </c>
      <c r="DL238">
        <f>IF(DG238&gt;0,SUM(DG238:DK238),0)</f>
        <v>45350</v>
      </c>
      <c r="DM238">
        <f>_xlfn.XLOOKUP(B238,'[11]january-2026'!$A:$A,'[11]january-2026'!$H:$H,0,0)</f>
        <v>2500</v>
      </c>
      <c r="DN238">
        <f>_xlfn.XLOOKUP(B238,'[11]january-2026'!$A:$A,'[11]january-2026'!$I:$I,0,0)</f>
        <v>0</v>
      </c>
      <c r="DO238">
        <f>IF($F238="YES",0,IF(DL238&gt;40000,200,IF(DL238&gt;25000,150,IF(DL238&gt;15000,130,IF(DL238&gt;10000,110,0)))))</f>
        <v>200</v>
      </c>
      <c r="DP238">
        <f>DL238-DM238-DN238-DO238</f>
        <v>42650</v>
      </c>
      <c r="DQ238">
        <f>_xlfn.XLOOKUP(B238,'[12]february-2026'!$A:$A,'[12]february-2026'!$C:$C,0,0)</f>
        <v>34500</v>
      </c>
      <c r="DR238">
        <f>DQ238*0.18</f>
        <v>6210</v>
      </c>
      <c r="DS238">
        <f>DQ238*0.12</f>
        <v>4140</v>
      </c>
      <c r="DT238">
        <f>_xlfn.XLOOKUP(B238,'[12]february-2026'!$A:$A,'[12]february-2026'!$D:$D,0,0)</f>
        <v>0</v>
      </c>
      <c r="DU238">
        <f>_xlfn.XLOOKUP(B238,'[12]february-2026'!$A:$A,'[12]february-2026'!$G:$G,0,0)</f>
        <v>500</v>
      </c>
      <c r="DV238">
        <f>IF(DQ238&gt;0,SUM(DQ238:DU238),0)</f>
        <v>45350</v>
      </c>
      <c r="DW238">
        <f>_xlfn.XLOOKUP(B238,'[12]february-2026'!$A:$A,'[12]february-2026'!$H:$H,0,0)</f>
        <v>2500</v>
      </c>
      <c r="DX238">
        <f>_xlfn.XLOOKUP(B238,'[12]february-2026'!$A:$A,'[12]february-2026'!$I:$I,0,0)</f>
        <v>0</v>
      </c>
      <c r="DY238">
        <f>IF($F238="YES",0,IF(DV238&gt;40000,200,IF(DV238&gt;25000,150,IF(DV238&gt;15000,130,IF(DV238&gt;10000,110,0)))))</f>
        <v>200</v>
      </c>
      <c r="DZ238">
        <f>DV238-DW238-DX238-DY238</f>
        <v>42650</v>
      </c>
      <c r="EA238">
        <f>DV238+DL238+DB238+CR238+CH238+BX238+BN238+BD238+AS238+AI238+Y238+O238+H238+I238</f>
        <v>544460</v>
      </c>
      <c r="EB238">
        <f>DY238+DO238+DE238+CU238+CK238+CA238+BQ238+BG238+AV238+AL238+AB238+R238</f>
        <v>2400</v>
      </c>
      <c r="EC238">
        <f>IF(EA238&gt;0,50000,0)</f>
        <v>50000</v>
      </c>
      <c r="ED238">
        <v>0</v>
      </c>
      <c r="EE238">
        <f>EA238-EB238-EC238</f>
        <v>492060</v>
      </c>
      <c r="EF238">
        <f>DW238+DM238+DC238+CS238+CI238+BY238+BO238+BE238+AT238+AJ238+Z238+P238</f>
        <v>30000</v>
      </c>
      <c r="EG238">
        <f>DX238+DN238+DD238+CT238+CJ238+BZ238+BP238+BF238+AU238+AK238+AA238+Q238</f>
        <v>0</v>
      </c>
      <c r="EH238">
        <v>0</v>
      </c>
      <c r="EI238">
        <v>0</v>
      </c>
      <c r="EJ238">
        <v>0</v>
      </c>
      <c r="EK238">
        <v>0</v>
      </c>
      <c r="EL238">
        <v>0</v>
      </c>
      <c r="EM238">
        <v>0</v>
      </c>
      <c r="EN238">
        <v>0</v>
      </c>
      <c r="EO238">
        <v>0</v>
      </c>
      <c r="EP238">
        <v>0</v>
      </c>
      <c r="EQ238">
        <v>0</v>
      </c>
      <c r="ER238">
        <f>SUM(EF238:EQ238)</f>
        <v>30000</v>
      </c>
      <c r="ES238">
        <f>IF(ER238&gt;=150000,150000,ER238)</f>
        <v>30000</v>
      </c>
      <c r="ET238">
        <f>EE238-ES238</f>
        <v>462060</v>
      </c>
      <c r="EU238">
        <v>0</v>
      </c>
      <c r="EV238">
        <v>0</v>
      </c>
      <c r="EW238">
        <v>0</v>
      </c>
      <c r="EX238">
        <v>0</v>
      </c>
      <c r="EY238">
        <v>0</v>
      </c>
      <c r="EZ238">
        <v>0</v>
      </c>
      <c r="FA238">
        <v>0</v>
      </c>
      <c r="FB238">
        <f>SUM(EU238:FA238)+(IF(F238="YES",50000,0))</f>
        <v>0</v>
      </c>
      <c r="FC238">
        <f>ET238-FB238</f>
        <v>462060</v>
      </c>
      <c r="FD238">
        <f>ROUND(IF(FC238&gt;0,IF(FC238&gt;500000,12500,(FC238-250000)*0.05),0),0)</f>
        <v>10603</v>
      </c>
      <c r="FE238">
        <f>IF(ROUND(IF(FC238&gt;0,IF(FC238&gt;1000000,25000,(FC238-500000)*0.2),0),0)&lt;0,0,ROUND(IF(FC238&gt;0,IF(FC238&gt;1000000,25000,(FC238-500000)*0.2),0),0))</f>
        <v>0</v>
      </c>
      <c r="FF238">
        <f>FD238+FE238</f>
        <v>10603</v>
      </c>
      <c r="FG238">
        <f>IF(FF238&lt;12500,0,FF238)</f>
        <v>0</v>
      </c>
      <c r="FH238">
        <f>FG238*0.04</f>
        <v>0</v>
      </c>
      <c r="FI238">
        <f>ROUND(FH238+FG238,0)</f>
        <v>0</v>
      </c>
      <c r="FJ238">
        <v>0</v>
      </c>
      <c r="FK238">
        <f>FI238-FJ238</f>
        <v>0</v>
      </c>
      <c r="FL238" t="b">
        <f>IF(EA238&gt;500000,TRUE,FALSE)</f>
        <v>1</v>
      </c>
      <c r="FM238">
        <f ca="1">IF(FL238,RANDBETWEEN(500,1000),RANDBETWEEN(1000,3000))</f>
        <v>910</v>
      </c>
      <c r="FN238">
        <f ca="1">EA238+FM238</f>
        <v>545370</v>
      </c>
      <c r="FO238">
        <f>IF(EA238&gt;0,75000,0)</f>
        <v>75000</v>
      </c>
      <c r="FP238">
        <f ca="1">FN238-FO238</f>
        <v>470370</v>
      </c>
      <c r="FQ238">
        <f ca="1">IF(FP238&gt;2400000,FP238-2400000,0)</f>
        <v>0</v>
      </c>
      <c r="FR238">
        <f ca="1">FQ238*0.3</f>
        <v>0</v>
      </c>
      <c r="FS238">
        <f ca="1">IF(FP238&gt;2000000,FP238-2000000,0)</f>
        <v>0</v>
      </c>
      <c r="FT238">
        <f ca="1">FS238*0.25</f>
        <v>0</v>
      </c>
      <c r="FU238">
        <f ca="1">IF(FP238&gt;1600000,FP238-1600000-FQ238,0)</f>
        <v>0</v>
      </c>
      <c r="FV238">
        <f ca="1">FU238*0.2</f>
        <v>0</v>
      </c>
      <c r="FW238">
        <f ca="1">IF(FP238&gt;1200000,FP238-1200000-IF(F238="YES",50000,0)-FU238,0)</f>
        <v>0</v>
      </c>
      <c r="FX238">
        <f ca="1">FW238*0.15</f>
        <v>0</v>
      </c>
      <c r="FY238">
        <f ca="1">IF(FP238&gt;800000,FP238-800000-FQ238-FU238-FW238,0)</f>
        <v>0</v>
      </c>
      <c r="FZ238">
        <f ca="1">FY238*0.1</f>
        <v>0</v>
      </c>
      <c r="GA238">
        <f ca="1">IF(FP238&gt;400000,FP238-400000-FQ238-FU238-FW238-FY238,0)</f>
        <v>70370</v>
      </c>
      <c r="GB238">
        <f ca="1">GA238*0.05</f>
        <v>3518.5</v>
      </c>
      <c r="GC238">
        <f ca="1">ROUND(FR238+FT238+FV238+FX238+FZ238+GB238,0)</f>
        <v>3519</v>
      </c>
      <c r="GD238">
        <f ca="1">IF(FP238&gt;1200000,FP238,0)</f>
        <v>0</v>
      </c>
      <c r="GE238">
        <f ca="1">IF(FP238&gt;1200000,GD238-1200000,0)</f>
        <v>0</v>
      </c>
      <c r="GF238">
        <f ca="1">IF(FP238&lt;1200001,MIN(GC238,60000),0)</f>
        <v>3519</v>
      </c>
      <c r="GG238">
        <f ca="1">IF(FP238&gt;1200000,GC238-GE238,0)</f>
        <v>0</v>
      </c>
      <c r="GH238" t="b">
        <f ca="1">IF(GG238&gt;0,TRUE,FALSE)</f>
        <v>0</v>
      </c>
      <c r="GI238">
        <f ca="1">IF(GH238,GG238,0)</f>
        <v>0</v>
      </c>
      <c r="GJ238">
        <f ca="1">GF238+GI238</f>
        <v>3519</v>
      </c>
      <c r="GK238">
        <f ca="1">ROUND(GC238-GJ238,0)</f>
        <v>0</v>
      </c>
      <c r="GL238">
        <f ca="1">GK238*0.04</f>
        <v>0</v>
      </c>
      <c r="GM238">
        <f ca="1">ROUNDUP(GK238+GL238,0)</f>
        <v>0</v>
      </c>
    </row>
    <row r="239" spans="1:195" x14ac:dyDescent="0.25">
      <c r="A239">
        <f>_xlfn.AGGREGATE(3,5,$B$2:B239)</f>
        <v>238</v>
      </c>
      <c r="B239" t="s">
        <v>587</v>
      </c>
      <c r="C239" t="s">
        <v>588</v>
      </c>
      <c r="D239" t="s">
        <v>813</v>
      </c>
      <c r="E239" t="s">
        <v>833</v>
      </c>
      <c r="F239" t="s">
        <v>959</v>
      </c>
      <c r="G239" t="s">
        <v>890</v>
      </c>
      <c r="H239">
        <f>IF(_xlfn.DAYS("31-03-2025",G239)&gt;=180,6800,0)</f>
        <v>6800</v>
      </c>
      <c r="I239">
        <f>_xlfn.XLOOKUP(B239,'[1]march-2025'!$A:$A,'[1]march-2025'!$J:$J,0,0)</f>
        <v>0</v>
      </c>
      <c r="J239">
        <f>_xlfn.XLOOKUP(B239,'[1]march-2025'!$A:$A,'[1]march-2025'!$C:$C,0,0)</f>
        <v>37700</v>
      </c>
      <c r="K239">
        <f>J239*0.14</f>
        <v>5278.0000000000009</v>
      </c>
      <c r="L239">
        <f>J239*0.12</f>
        <v>4524</v>
      </c>
      <c r="M239">
        <f>_xlfn.XLOOKUP(B239,'[1]march-2025'!$A:$A,'[1]march-2025'!$D:$D,0,0)</f>
        <v>0</v>
      </c>
      <c r="N239">
        <f>_xlfn.XLOOKUP(B239,'[1]march-2025'!$A:$A,'[1]march-2025'!$G:$G,0,0)</f>
        <v>500</v>
      </c>
      <c r="O239">
        <f>IF(J239&gt;0,SUM(J239:N239),0)</f>
        <v>48002</v>
      </c>
      <c r="P239">
        <f>_xlfn.XLOOKUP(B239,'[1]march-2025'!$A:$A,'[1]march-2025'!$H:$H,0,0)</f>
        <v>3000</v>
      </c>
      <c r="Q239">
        <f>_xlfn.XLOOKUP(B239,'[1]march-2025'!$A:$A,'[1]march-2025'!$I:$I,0,0)</f>
        <v>0</v>
      </c>
      <c r="R239">
        <f>IF($F239="YES",0,IF(O239&gt;40000,200,IF(O239&gt;25000,150,IF(O239&gt;15000,130,IF(O239&gt;10000,110,0)))))</f>
        <v>200</v>
      </c>
      <c r="S239">
        <f>O239-P239-Q239-R239</f>
        <v>44802</v>
      </c>
      <c r="T239">
        <f>_xlfn.XLOOKUP(B239,'[2]april-2025'!$A:$A,'[2]april-2025'!$C:$C,0,0)</f>
        <v>37700</v>
      </c>
      <c r="U239">
        <f>T239*0.18</f>
        <v>6786</v>
      </c>
      <c r="V239">
        <f>T239*0.12</f>
        <v>4524</v>
      </c>
      <c r="W239">
        <f>_xlfn.XLOOKUP(B239,'[2]april-2025'!$A:$A,'[2]april-2025'!$D:$D,0,0)</f>
        <v>0</v>
      </c>
      <c r="X239">
        <f>_xlfn.XLOOKUP(B239,'[2]april-2025'!$A:$A,'[2]april-2025'!$G:$G,0,0)</f>
        <v>500</v>
      </c>
      <c r="Y239">
        <f>IF(T239&gt;0,SUM(T239:X239),0)</f>
        <v>49510</v>
      </c>
      <c r="Z239">
        <f>_xlfn.XLOOKUP(B239,'[2]april-2025'!$A:$A,'[2]april-2025'!$H:$H,0,0)</f>
        <v>3000</v>
      </c>
      <c r="AA239">
        <f>_xlfn.XLOOKUP(B239,'[2]april-2025'!$A:$A,'[2]april-2025'!$I:$I,0,0)</f>
        <v>0</v>
      </c>
      <c r="AB239">
        <f>IF($F239="YES",0,IF(Y239&gt;40000,200,IF(Y239&gt;25000,150,IF(Y239&gt;15000,130,IF(Y239&gt;10000,110,0)))))</f>
        <v>200</v>
      </c>
      <c r="AC239">
        <f>Y239-Z239-AA239-AB239</f>
        <v>46310</v>
      </c>
      <c r="AD239">
        <f>_xlfn.XLOOKUP(B239,'[3]may-2025'!$A:$A,'[3]may-2025'!$C:$C,0,0)</f>
        <v>37700</v>
      </c>
      <c r="AE239">
        <f>AD239*0.18</f>
        <v>6786</v>
      </c>
      <c r="AF239">
        <f>AD239*0.12</f>
        <v>4524</v>
      </c>
      <c r="AG239">
        <f>_xlfn.XLOOKUP(B239,'[3]may-2025'!$A:$A,'[3]may-2025'!$D:$D,0,0)</f>
        <v>0</v>
      </c>
      <c r="AH239">
        <f>_xlfn.XLOOKUP(B239,'[3]may-2025'!$A:$A,'[3]may-2025'!$G:$G,0,0)</f>
        <v>500</v>
      </c>
      <c r="AI239">
        <f>IF(AD239&gt;0,SUM(AD239:AH239),0)</f>
        <v>49510</v>
      </c>
      <c r="AJ239">
        <f>_xlfn.XLOOKUP(B239,'[3]may-2025'!$A:$A,'[3]may-2025'!$H:$H,0,0)</f>
        <v>3000</v>
      </c>
      <c r="AK239">
        <f>_xlfn.XLOOKUP(B239,'[3]may-2025'!$A:$A,'[3]may-2025'!$I:$I,0,0)</f>
        <v>0</v>
      </c>
      <c r="AL239">
        <f>IF($F239="YES",0,IF(AI239&gt;40000,200,IF(AI239&gt;25000,150,IF(AI239&gt;15000,130,IF(AI239&gt;10000,110,0)))))</f>
        <v>200</v>
      </c>
      <c r="AM239">
        <f>AI239-AJ239-AK239-AL239</f>
        <v>46310</v>
      </c>
      <c r="AN239">
        <f>_xlfn.XLOOKUP(B239,'[4]june-2025'!$A:$A,'[4]june-2025'!$C:$C,0,0)</f>
        <v>37700</v>
      </c>
      <c r="AO239">
        <f>AN239*0.18</f>
        <v>6786</v>
      </c>
      <c r="AP239">
        <f>AN239*0.12</f>
        <v>4524</v>
      </c>
      <c r="AQ239">
        <f>_xlfn.XLOOKUP(B239,'[4]june-2025'!$A:$A,'[4]june-2025'!$D:$D,0,0)</f>
        <v>0</v>
      </c>
      <c r="AR239">
        <f>_xlfn.XLOOKUP(B239,'[4]june-2025'!$A:$A,'[4]june-2025'!$G:$G,0,0)</f>
        <v>500</v>
      </c>
      <c r="AS239">
        <f>IF(AN239&gt;0,SUM(AN239:AR239),0)</f>
        <v>49510</v>
      </c>
      <c r="AT239">
        <f>_xlfn.XLOOKUP(B239,'[4]june-2025'!$A:$A,'[4]june-2025'!$H:$H,0,0)</f>
        <v>3000</v>
      </c>
      <c r="AU239">
        <f>_xlfn.XLOOKUP(B239,'[4]june-2025'!$A:$A,'[4]june-2025'!$I:$I,0,0)</f>
        <v>0</v>
      </c>
      <c r="AV239">
        <f>IF($F239="YES",0,IF(AS239&gt;40000,200,IF(AS239&gt;25000,150,IF(AS239&gt;15000,130,IF(AS239&gt;10000,110,0)))))</f>
        <v>200</v>
      </c>
      <c r="AW239">
        <f>AS239-AT239-AU239-AV239</f>
        <v>46310</v>
      </c>
      <c r="AX239">
        <f>_xlfn.XLOOKUP(B239,'[5]july-2025'!$A:$A,'[5]july-2025'!$C:$C,0,0)</f>
        <v>38800</v>
      </c>
      <c r="AY239">
        <f>AX239*0.18</f>
        <v>6984</v>
      </c>
      <c r="AZ239">
        <v>0</v>
      </c>
      <c r="BA239">
        <f>AX239*0.12</f>
        <v>4656</v>
      </c>
      <c r="BB239">
        <f>_xlfn.XLOOKUP(B239,'[5]july-2025'!$A:$A,'[5]july-2025'!$D:$D,0,0)</f>
        <v>0</v>
      </c>
      <c r="BC239">
        <f>_xlfn.XLOOKUP(B239,'[5]july-2025'!$A:$A,'[5]july-2025'!$G:$G,0,0)</f>
        <v>500</v>
      </c>
      <c r="BD239">
        <f>IF(AX239&gt;0,SUM(AX239:BC239),0)</f>
        <v>50940</v>
      </c>
      <c r="BE239">
        <f>_xlfn.XLOOKUP(B239,'[5]july-2025'!$A:$A,'[5]july-2025'!$H:$H,0,0)</f>
        <v>3000</v>
      </c>
      <c r="BF239">
        <f>_xlfn.XLOOKUP(B239,'[5]july-2025'!$A:$A,'[5]july-2025'!$I:$I,0,0)</f>
        <v>0</v>
      </c>
      <c r="BG239">
        <f>IF($F239="YES",0,IF(BD239&gt;40000,200,IF(BD239&gt;25000,150,IF(BD239&gt;15000,130,IF(BD239&gt;10000,110,0)))))</f>
        <v>200</v>
      </c>
      <c r="BH239">
        <f>BD239-BE239-BF239-BG239</f>
        <v>47740</v>
      </c>
      <c r="BI239">
        <f>_xlfn.XLOOKUP(B239,'[6]august-2025'!$A:$A,'[6]august-2025'!$C:$C,0,0)</f>
        <v>38800</v>
      </c>
      <c r="BJ239">
        <f>BI239*0.18</f>
        <v>6984</v>
      </c>
      <c r="BK239">
        <f>BI239*0.12</f>
        <v>4656</v>
      </c>
      <c r="BL239">
        <f>_xlfn.XLOOKUP(B239,'[6]august-2025'!$A:$A,'[6]august-2025'!$D:$D,0,0)</f>
        <v>0</v>
      </c>
      <c r="BM239">
        <f>_xlfn.XLOOKUP(B239,'[6]august-2025'!$A:$A,'[6]august-2025'!$G:$G,0,0)</f>
        <v>500</v>
      </c>
      <c r="BN239">
        <f>IF(BI239&gt;0,SUM(BI239:BM239),0)</f>
        <v>50940</v>
      </c>
      <c r="BO239">
        <f>_xlfn.XLOOKUP(B239,'[6]august-2025'!$A:$A,'[6]august-2025'!$H:$H,0,0)</f>
        <v>3000</v>
      </c>
      <c r="BP239">
        <f>_xlfn.XLOOKUP(B239,'[6]august-2025'!$A:$A,'[6]august-2025'!$I:$I,0,0)</f>
        <v>0</v>
      </c>
      <c r="BQ239">
        <f>IF($F239="YES",0,IF(BN239&gt;40000,200,IF(BN239&gt;25000,150,IF(BN239&gt;15000,130,IF(BN239&gt;10000,110,0)))))</f>
        <v>200</v>
      </c>
      <c r="BR239">
        <f>BN239-BO239-BP239-BQ239</f>
        <v>47740</v>
      </c>
      <c r="BS239">
        <f>_xlfn.XLOOKUP(B239,'[7]september-2025'!$A:$A,'[7]september-2025'!$C:$C,0,0)</f>
        <v>38800</v>
      </c>
      <c r="BT239">
        <f>BS239*0.18</f>
        <v>6984</v>
      </c>
      <c r="BU239">
        <f>BS239*0.12</f>
        <v>4656</v>
      </c>
      <c r="BV239">
        <f>_xlfn.XLOOKUP(B239,'[7]september-2025'!$A:$A,'[7]september-2025'!$D:$D,0,0)</f>
        <v>0</v>
      </c>
      <c r="BW239">
        <f>_xlfn.XLOOKUP(B239,'[7]september-2025'!$A:$A,'[7]september-2025'!$G:$G,0,0)</f>
        <v>500</v>
      </c>
      <c r="BX239">
        <f>IF(BS239&gt;0,SUM(BS239:BW239),0)</f>
        <v>50940</v>
      </c>
      <c r="BY239">
        <f>_xlfn.XLOOKUP(B239,'[7]september-2025'!$A:$A,'[7]september-2025'!$H:$H,0,0)</f>
        <v>3000</v>
      </c>
      <c r="BZ239">
        <f>_xlfn.XLOOKUP(B239,'[7]september-2025'!$A:$A,'[7]september-2025'!$I:$I,0,0)</f>
        <v>0</v>
      </c>
      <c r="CA239">
        <f>IF($F239="YES",0,IF(BX239&gt;40000,200,IF(BX239&gt;25000,150,IF(BX239&gt;15000,130,IF(BX239&gt;10000,110,0)))))</f>
        <v>200</v>
      </c>
      <c r="CB239">
        <f>BX239-BY239-BZ239-CA239</f>
        <v>47740</v>
      </c>
      <c r="CC239">
        <f>_xlfn.XLOOKUP(B239,'[8]october-2025'!$A:$A,'[8]october-2025'!$C:$C,0,0)</f>
        <v>38800</v>
      </c>
      <c r="CD239">
        <f>CC239*0.18</f>
        <v>6984</v>
      </c>
      <c r="CE239">
        <f>CC239*0.12</f>
        <v>4656</v>
      </c>
      <c r="CF239">
        <f>_xlfn.XLOOKUP(B239,'[8]october-2025'!$A:$A,'[8]october-2025'!$D:$D,0,0)</f>
        <v>0</v>
      </c>
      <c r="CG239">
        <f>_xlfn.XLOOKUP(B239,'[8]october-2025'!$A:$A,'[8]october-2025'!$G:$G,0,0)</f>
        <v>500</v>
      </c>
      <c r="CH239">
        <f>IF(CC239&gt;0,SUM(CC239:CG239),0)</f>
        <v>50940</v>
      </c>
      <c r="CI239">
        <f>_xlfn.XLOOKUP(B239,'[8]october-2025'!$A:$A,'[8]october-2025'!$H:$H,0,0)</f>
        <v>3000</v>
      </c>
      <c r="CJ239">
        <f>_xlfn.XLOOKUP(B239,'[8]october-2025'!$A:$A,'[8]october-2025'!$I:$I,0,0)</f>
        <v>0</v>
      </c>
      <c r="CK239">
        <f>IF($F239="YES",0,IF(CH239&gt;40000,200,IF(CH239&gt;25000,150,IF(CH239&gt;15000,130,IF(CH239&gt;10000,110,0)))))</f>
        <v>200</v>
      </c>
      <c r="CL239">
        <f>CH239-CI239-CJ239-CK239</f>
        <v>47740</v>
      </c>
      <c r="CM239">
        <f>_xlfn.XLOOKUP(B239,'[9]november-2025'!$A:$A,'[9]november-2025'!$C:$C,0,0)</f>
        <v>38800</v>
      </c>
      <c r="CN239">
        <f>CM239*0.18</f>
        <v>6984</v>
      </c>
      <c r="CO239">
        <f>CM239*0.12</f>
        <v>4656</v>
      </c>
      <c r="CP239">
        <f>_xlfn.XLOOKUP(B239,'[9]november-2025'!$A:$A,'[9]november-2025'!$D:$D,0,0)</f>
        <v>0</v>
      </c>
      <c r="CQ239">
        <f>_xlfn.XLOOKUP(B239,'[9]november-2025'!$A:$A,'[9]november-2025'!$G:$G,0,0)</f>
        <v>500</v>
      </c>
      <c r="CR239">
        <f>IF(CM239&gt;0,SUM(CM239:CQ239),0)</f>
        <v>50940</v>
      </c>
      <c r="CS239">
        <f>_xlfn.XLOOKUP(B239,'[9]november-2025'!$A:$A,'[9]november-2025'!$H:$H,0,0)</f>
        <v>3000</v>
      </c>
      <c r="CT239">
        <f>_xlfn.XLOOKUP(B239,'[9]november-2025'!$A:$A,'[9]november-2025'!$I:$I,0,0)</f>
        <v>0</v>
      </c>
      <c r="CU239">
        <f>IF($F239="YES",0,IF(CR239&gt;40000,200,IF(CR239&gt;25000,150,IF(CR239&gt;15000,130,IF(CR239&gt;10000,110,0)))))</f>
        <v>200</v>
      </c>
      <c r="CV239">
        <f>CR239-CS239-CT239-CU239</f>
        <v>47740</v>
      </c>
      <c r="CW239">
        <f>_xlfn.XLOOKUP(B239,'[10]december-2025'!$A:$A,'[10]december-2025'!$C:$C,0,0)</f>
        <v>38800</v>
      </c>
      <c r="CX239">
        <f>ROUND(CW239*0.18,0)</f>
        <v>6984</v>
      </c>
      <c r="CY239">
        <f>ROUND(CW239*0.12,0)</f>
        <v>4656</v>
      </c>
      <c r="CZ239">
        <f>_xlfn.XLOOKUP(B239,'[10]december-2025'!$A:$A,'[10]december-2025'!$D:$D,0,0)</f>
        <v>0</v>
      </c>
      <c r="DA239">
        <f>_xlfn.XLOOKUP(B239,'[10]december-2025'!$A:$A,'[10]december-2025'!$G:$G,0,0)</f>
        <v>500</v>
      </c>
      <c r="DB239">
        <f>IF(CW239&gt;0,SUM(CW239:DA239),0)</f>
        <v>50940</v>
      </c>
      <c r="DC239">
        <f>_xlfn.XLOOKUP(B239,'[10]december-2025'!$A:$A,'[10]december-2025'!$H:$H,0,0)</f>
        <v>3000</v>
      </c>
      <c r="DD239">
        <f>_xlfn.XLOOKUP(B239,'[10]december-2025'!$A:$A,'[10]december-2025'!$I:$I,0,0)</f>
        <v>0</v>
      </c>
      <c r="DE239">
        <f>IF($F239="YES",0,IF(DB239&gt;40000,200,IF(DB239&gt;25000,150,IF(DB239&gt;15000,130,IF(DB239&gt;10000,110,0)))))</f>
        <v>200</v>
      </c>
      <c r="DF239">
        <f>DB239-DC239-DD239-DE239</f>
        <v>47740</v>
      </c>
      <c r="DG239">
        <f>_xlfn.XLOOKUP(B239,'[11]january-2026'!$A:$A,'[11]january-2026'!$C:$C,0,0)</f>
        <v>38800</v>
      </c>
      <c r="DH239">
        <f>DG239*0.18</f>
        <v>6984</v>
      </c>
      <c r="DI239">
        <f>DG239*0.12</f>
        <v>4656</v>
      </c>
      <c r="DJ239">
        <f>_xlfn.XLOOKUP(B239,'[11]january-2026'!$A:$A,'[11]january-2026'!$D:$D,0,0)</f>
        <v>0</v>
      </c>
      <c r="DK239">
        <f>_xlfn.XLOOKUP(B239,'[11]january-2026'!$A:$A,'[11]january-2026'!$G:$G,0,0)</f>
        <v>500</v>
      </c>
      <c r="DL239">
        <f>IF(DG239&gt;0,SUM(DG239:DK239),0)</f>
        <v>50940</v>
      </c>
      <c r="DM239">
        <f>_xlfn.XLOOKUP(B239,'[11]january-2026'!$A:$A,'[11]january-2026'!$H:$H,0,0)</f>
        <v>3000</v>
      </c>
      <c r="DN239">
        <f>_xlfn.XLOOKUP(B239,'[11]january-2026'!$A:$A,'[11]january-2026'!$I:$I,0,0)</f>
        <v>0</v>
      </c>
      <c r="DO239">
        <f>IF($F239="YES",0,IF(DL239&gt;40000,200,IF(DL239&gt;25000,150,IF(DL239&gt;15000,130,IF(DL239&gt;10000,110,0)))))</f>
        <v>200</v>
      </c>
      <c r="DP239">
        <f>DL239-DM239-DN239-DO239</f>
        <v>47740</v>
      </c>
      <c r="DQ239">
        <f>_xlfn.XLOOKUP(B239,'[12]february-2026'!$A:$A,'[12]february-2026'!$C:$C,0,0)</f>
        <v>38800</v>
      </c>
      <c r="DR239">
        <f>DQ239*0.18</f>
        <v>6984</v>
      </c>
      <c r="DS239">
        <f>DQ239*0.12</f>
        <v>4656</v>
      </c>
      <c r="DT239">
        <f>_xlfn.XLOOKUP(B239,'[12]february-2026'!$A:$A,'[12]february-2026'!$D:$D,0,0)</f>
        <v>0</v>
      </c>
      <c r="DU239">
        <f>_xlfn.XLOOKUP(B239,'[12]february-2026'!$A:$A,'[12]february-2026'!$G:$G,0,0)</f>
        <v>500</v>
      </c>
      <c r="DV239">
        <f>IF(DQ239&gt;0,SUM(DQ239:DU239),0)</f>
        <v>50940</v>
      </c>
      <c r="DW239">
        <f>_xlfn.XLOOKUP(B239,'[12]february-2026'!$A:$A,'[12]february-2026'!$H:$H,0,0)</f>
        <v>3000</v>
      </c>
      <c r="DX239">
        <f>_xlfn.XLOOKUP(B239,'[12]february-2026'!$A:$A,'[12]february-2026'!$I:$I,0,0)</f>
        <v>0</v>
      </c>
      <c r="DY239">
        <f>IF($F239="YES",0,IF(DV239&gt;40000,200,IF(DV239&gt;25000,150,IF(DV239&gt;15000,130,IF(DV239&gt;10000,110,0)))))</f>
        <v>200</v>
      </c>
      <c r="DZ239">
        <f>DV239-DW239-DX239-DY239</f>
        <v>47740</v>
      </c>
      <c r="EA239">
        <f>DV239+DL239+DB239+CR239+CH239+BX239+BN239+BD239+AS239+AI239+Y239+O239+H239+I239</f>
        <v>610852</v>
      </c>
      <c r="EB239">
        <f>DY239+DO239+DE239+CU239+CK239+CA239+BQ239+BG239+AV239+AL239+AB239+R239</f>
        <v>2400</v>
      </c>
      <c r="EC239">
        <f>IF(EA239&gt;0,50000,0)</f>
        <v>50000</v>
      </c>
      <c r="ED239">
        <v>0</v>
      </c>
      <c r="EE239">
        <f>EA239-EB239-EC239</f>
        <v>558452</v>
      </c>
      <c r="EF239">
        <f>DW239+DM239+DC239+CS239+CI239+BY239+BO239+BE239+AT239+AJ239+Z239+P239</f>
        <v>36000</v>
      </c>
      <c r="EG239">
        <f>DX239+DN239+DD239+CT239+CJ239+BZ239+BP239+BF239+AU239+AK239+AA239+Q239</f>
        <v>0</v>
      </c>
      <c r="EH239">
        <v>0</v>
      </c>
      <c r="EI239">
        <v>0</v>
      </c>
      <c r="EJ239">
        <v>0</v>
      </c>
      <c r="EK239">
        <v>0</v>
      </c>
      <c r="EL239">
        <v>0</v>
      </c>
      <c r="EM239">
        <v>0</v>
      </c>
      <c r="EN239">
        <v>0</v>
      </c>
      <c r="EO239">
        <v>0</v>
      </c>
      <c r="EP239">
        <v>0</v>
      </c>
      <c r="EQ239">
        <v>0</v>
      </c>
      <c r="ER239">
        <f>SUM(EF239:EQ239)</f>
        <v>36000</v>
      </c>
      <c r="ES239">
        <f>IF(ER239&gt;=150000,150000,ER239)</f>
        <v>36000</v>
      </c>
      <c r="ET239">
        <f>EE239-ES239</f>
        <v>522452</v>
      </c>
      <c r="EU239">
        <v>0</v>
      </c>
      <c r="EV239">
        <v>0</v>
      </c>
      <c r="EW239">
        <v>0</v>
      </c>
      <c r="EX239">
        <v>0</v>
      </c>
      <c r="EY239">
        <v>0</v>
      </c>
      <c r="EZ239">
        <v>0</v>
      </c>
      <c r="FA239">
        <v>0</v>
      </c>
      <c r="FB239">
        <f>SUM(EU239:FA239)+(IF(F239="YES",50000,0))</f>
        <v>0</v>
      </c>
      <c r="FC239">
        <f>ET239-FB239</f>
        <v>522452</v>
      </c>
      <c r="FD239">
        <f>ROUND(IF(FC239&gt;0,IF(FC239&gt;500000,12500,(FC239-250000)*0.05),0),0)</f>
        <v>12500</v>
      </c>
      <c r="FE239">
        <f>IF(ROUND(IF(FC239&gt;0,IF(FC239&gt;1000000,25000,(FC239-500000)*0.2),0),0)&lt;0,0,ROUND(IF(FC239&gt;0,IF(FC239&gt;1000000,25000,(FC239-500000)*0.2),0),0))</f>
        <v>4490</v>
      </c>
      <c r="FF239">
        <f>FD239+FE239</f>
        <v>16990</v>
      </c>
      <c r="FG239">
        <f>IF(FF239&lt;12500,0,FF239)</f>
        <v>16990</v>
      </c>
      <c r="FH239">
        <f>FG239*0.04</f>
        <v>679.6</v>
      </c>
      <c r="FI239">
        <f>ROUND(FH239+FG239,0)</f>
        <v>17670</v>
      </c>
      <c r="FJ239">
        <v>0</v>
      </c>
      <c r="FK239">
        <f>FI239-FJ239</f>
        <v>17670</v>
      </c>
      <c r="FL239" t="b">
        <f>IF(EA239&gt;500000,TRUE,FALSE)</f>
        <v>1</v>
      </c>
      <c r="FM239">
        <f ca="1">IF(FL239,RANDBETWEEN(500,1000),RANDBETWEEN(1000,3000))</f>
        <v>796</v>
      </c>
      <c r="FN239">
        <f ca="1">EA239+FM239</f>
        <v>611648</v>
      </c>
      <c r="FO239">
        <f>IF(EA239&gt;0,75000,0)</f>
        <v>75000</v>
      </c>
      <c r="FP239">
        <f ca="1">FN239-FO239</f>
        <v>536648</v>
      </c>
      <c r="FQ239">
        <f ca="1">IF(FP239&gt;2400000,FP239-2400000,0)</f>
        <v>0</v>
      </c>
      <c r="FR239">
        <f ca="1">FQ239*0.3</f>
        <v>0</v>
      </c>
      <c r="FS239">
        <f ca="1">IF(FP239&gt;2000000,FP239-2000000,0)</f>
        <v>0</v>
      </c>
      <c r="FT239">
        <f ca="1">FS239*0.25</f>
        <v>0</v>
      </c>
      <c r="FU239">
        <f ca="1">IF(FP239&gt;1600000,FP239-1600000-FQ239,0)</f>
        <v>0</v>
      </c>
      <c r="FV239">
        <f ca="1">FU239*0.2</f>
        <v>0</v>
      </c>
      <c r="FW239">
        <f ca="1">IF(FP239&gt;1200000,FP239-1200000-IF(F239="YES",50000,0)-FU239,0)</f>
        <v>0</v>
      </c>
      <c r="FX239">
        <f ca="1">FW239*0.15</f>
        <v>0</v>
      </c>
      <c r="FY239">
        <f ca="1">IF(FP239&gt;800000,FP239-800000-FQ239-FU239-FW239,0)</f>
        <v>0</v>
      </c>
      <c r="FZ239">
        <f ca="1">FY239*0.1</f>
        <v>0</v>
      </c>
      <c r="GA239">
        <f ca="1">IF(FP239&gt;400000,FP239-400000-FQ239-FU239-FW239-FY239,0)</f>
        <v>136648</v>
      </c>
      <c r="GB239">
        <f ca="1">GA239*0.05</f>
        <v>6832.4000000000005</v>
      </c>
      <c r="GC239">
        <f ca="1">ROUND(FR239+FT239+FV239+FX239+FZ239+GB239,0)</f>
        <v>6832</v>
      </c>
      <c r="GD239">
        <f ca="1">IF(FP239&gt;1200000,FP239,0)</f>
        <v>0</v>
      </c>
      <c r="GE239">
        <f ca="1">IF(FP239&gt;1200000,GD239-1200000,0)</f>
        <v>0</v>
      </c>
      <c r="GF239">
        <f ca="1">IF(FP239&lt;1200001,MIN(GC239,60000),0)</f>
        <v>6832</v>
      </c>
      <c r="GG239">
        <f ca="1">IF(FP239&gt;1200000,GC239-GE239,0)</f>
        <v>0</v>
      </c>
      <c r="GH239" t="b">
        <f ca="1">IF(GG239&gt;0,TRUE,FALSE)</f>
        <v>0</v>
      </c>
      <c r="GI239">
        <f ca="1">IF(GH239,GG239,0)</f>
        <v>0</v>
      </c>
      <c r="GJ239">
        <f ca="1">GF239+GI239</f>
        <v>6832</v>
      </c>
      <c r="GK239">
        <f ca="1">ROUND(GC239-GJ239,0)</f>
        <v>0</v>
      </c>
      <c r="GL239">
        <f ca="1">GK239*0.04</f>
        <v>0</v>
      </c>
      <c r="GM239">
        <f ca="1">ROUNDUP(GK239+GL239,0)</f>
        <v>0</v>
      </c>
    </row>
    <row r="240" spans="1:195" x14ac:dyDescent="0.25">
      <c r="A240">
        <f>_xlfn.AGGREGATE(3,5,$B$2:B240)</f>
        <v>239</v>
      </c>
      <c r="B240" t="s">
        <v>589</v>
      </c>
      <c r="C240" t="s">
        <v>590</v>
      </c>
      <c r="D240" t="s">
        <v>814</v>
      </c>
      <c r="E240" t="s">
        <v>833</v>
      </c>
      <c r="F240" t="s">
        <v>959</v>
      </c>
      <c r="G240" t="s">
        <v>953</v>
      </c>
      <c r="H240">
        <f>IF(_xlfn.DAYS("31-03-2025",G240)&gt;=180,6800,0)</f>
        <v>6800</v>
      </c>
      <c r="I240">
        <f>_xlfn.XLOOKUP(B240,'[1]march-2025'!$A:$A,'[1]march-2025'!$J:$J,0,0)</f>
        <v>0</v>
      </c>
      <c r="J240">
        <f>_xlfn.XLOOKUP(B240,'[1]march-2025'!$A:$A,'[1]march-2025'!$C:$C,0,0)</f>
        <v>55400</v>
      </c>
      <c r="K240">
        <f>J240*0.14</f>
        <v>7756.0000000000009</v>
      </c>
      <c r="L240">
        <f>J240*0.12</f>
        <v>6648</v>
      </c>
      <c r="M240">
        <f>_xlfn.XLOOKUP(B240,'[1]march-2025'!$A:$A,'[1]march-2025'!$D:$D,0,0)</f>
        <v>400</v>
      </c>
      <c r="N240">
        <f>_xlfn.XLOOKUP(B240,'[1]march-2025'!$A:$A,'[1]march-2025'!$G:$G,0,0)</f>
        <v>0</v>
      </c>
      <c r="O240">
        <f>IF(J240&gt;0,SUM(J240:N240),0)</f>
        <v>70204</v>
      </c>
      <c r="P240">
        <f>_xlfn.XLOOKUP(B240,'[1]march-2025'!$A:$A,'[1]march-2025'!$H:$H,0,0)</f>
        <v>3500</v>
      </c>
      <c r="Q240">
        <f>_xlfn.XLOOKUP(B240,'[1]march-2025'!$A:$A,'[1]march-2025'!$I:$I,0,0)</f>
        <v>0</v>
      </c>
      <c r="R240">
        <f>IF($F240="YES",0,IF(O240&gt;40000,200,IF(O240&gt;25000,150,IF(O240&gt;15000,130,IF(O240&gt;10000,110,0)))))</f>
        <v>200</v>
      </c>
      <c r="S240">
        <f>O240-P240-Q240-R240</f>
        <v>66504</v>
      </c>
      <c r="T240">
        <f>_xlfn.XLOOKUP(B240,'[2]april-2025'!$A:$A,'[2]april-2025'!$C:$C,0,0)</f>
        <v>55400</v>
      </c>
      <c r="U240">
        <f>T240*0.18</f>
        <v>9972</v>
      </c>
      <c r="V240">
        <f>T240*0.12</f>
        <v>6648</v>
      </c>
      <c r="W240">
        <f>_xlfn.XLOOKUP(B240,'[2]april-2025'!$A:$A,'[2]april-2025'!$D:$D,0,0)</f>
        <v>400</v>
      </c>
      <c r="X240">
        <f>_xlfn.XLOOKUP(B240,'[2]april-2025'!$A:$A,'[2]april-2025'!$G:$G,0,0)</f>
        <v>0</v>
      </c>
      <c r="Y240">
        <f>IF(T240&gt;0,SUM(T240:X240),0)</f>
        <v>72420</v>
      </c>
      <c r="Z240">
        <f>_xlfn.XLOOKUP(B240,'[2]april-2025'!$A:$A,'[2]april-2025'!$H:$H,0,0)</f>
        <v>3500</v>
      </c>
      <c r="AA240">
        <f>_xlfn.XLOOKUP(B240,'[2]april-2025'!$A:$A,'[2]april-2025'!$I:$I,0,0)</f>
        <v>0</v>
      </c>
      <c r="AB240">
        <f>IF($F240="YES",0,IF(Y240&gt;40000,200,IF(Y240&gt;25000,150,IF(Y240&gt;15000,130,IF(Y240&gt;10000,110,0)))))</f>
        <v>200</v>
      </c>
      <c r="AC240">
        <f>Y240-Z240-AA240-AB240</f>
        <v>68720</v>
      </c>
      <c r="AD240">
        <f>_xlfn.XLOOKUP(B240,'[3]may-2025'!$A:$A,'[3]may-2025'!$C:$C,0,0)</f>
        <v>55400</v>
      </c>
      <c r="AE240">
        <f>AD240*0.18</f>
        <v>9972</v>
      </c>
      <c r="AF240">
        <f>AD240*0.12</f>
        <v>6648</v>
      </c>
      <c r="AG240">
        <f>_xlfn.XLOOKUP(B240,'[3]may-2025'!$A:$A,'[3]may-2025'!$D:$D,0,0)</f>
        <v>400</v>
      </c>
      <c r="AH240">
        <f>_xlfn.XLOOKUP(B240,'[3]may-2025'!$A:$A,'[3]may-2025'!$G:$G,0,0)</f>
        <v>0</v>
      </c>
      <c r="AI240">
        <f>IF(AD240&gt;0,SUM(AD240:AH240),0)</f>
        <v>72420</v>
      </c>
      <c r="AJ240">
        <f>_xlfn.XLOOKUP(B240,'[3]may-2025'!$A:$A,'[3]may-2025'!$H:$H,0,0)</f>
        <v>3500</v>
      </c>
      <c r="AK240">
        <f>_xlfn.XLOOKUP(B240,'[3]may-2025'!$A:$A,'[3]may-2025'!$I:$I,0,0)</f>
        <v>0</v>
      </c>
      <c r="AL240">
        <f>IF($F240="YES",0,IF(AI240&gt;40000,200,IF(AI240&gt;25000,150,IF(AI240&gt;15000,130,IF(AI240&gt;10000,110,0)))))</f>
        <v>200</v>
      </c>
      <c r="AM240">
        <f>AI240-AJ240-AK240-AL240</f>
        <v>68720</v>
      </c>
      <c r="AN240">
        <f>_xlfn.XLOOKUP(B240,'[4]june-2025'!$A:$A,'[4]june-2025'!$C:$C,0,0)</f>
        <v>55400</v>
      </c>
      <c r="AO240">
        <f>AN240*0.18</f>
        <v>9972</v>
      </c>
      <c r="AP240">
        <f>AN240*0.12</f>
        <v>6648</v>
      </c>
      <c r="AQ240">
        <f>_xlfn.XLOOKUP(B240,'[4]june-2025'!$A:$A,'[4]june-2025'!$D:$D,0,0)</f>
        <v>400</v>
      </c>
      <c r="AR240">
        <f>_xlfn.XLOOKUP(B240,'[4]june-2025'!$A:$A,'[4]june-2025'!$G:$G,0,0)</f>
        <v>0</v>
      </c>
      <c r="AS240">
        <f>IF(AN240&gt;0,SUM(AN240:AR240),0)</f>
        <v>72420</v>
      </c>
      <c r="AT240">
        <f>_xlfn.XLOOKUP(B240,'[4]june-2025'!$A:$A,'[4]june-2025'!$H:$H,0,0)</f>
        <v>3500</v>
      </c>
      <c r="AU240">
        <f>_xlfn.XLOOKUP(B240,'[4]june-2025'!$A:$A,'[4]june-2025'!$I:$I,0,0)</f>
        <v>0</v>
      </c>
      <c r="AV240">
        <f>IF($F240="YES",0,IF(AS240&gt;40000,200,IF(AS240&gt;25000,150,IF(AS240&gt;15000,130,IF(AS240&gt;10000,110,0)))))</f>
        <v>200</v>
      </c>
      <c r="AW240">
        <f>AS240-AT240-AU240-AV240</f>
        <v>68720</v>
      </c>
      <c r="AX240">
        <f>_xlfn.XLOOKUP(B240,'[5]july-2025'!$A:$A,'[5]july-2025'!$C:$C,0,0)</f>
        <v>57100</v>
      </c>
      <c r="AY240">
        <f>AX240*0.18</f>
        <v>10278</v>
      </c>
      <c r="AZ240">
        <v>0</v>
      </c>
      <c r="BA240">
        <f>AX240*0.12</f>
        <v>6852</v>
      </c>
      <c r="BB240">
        <f>_xlfn.XLOOKUP(B240,'[5]july-2025'!$A:$A,'[5]july-2025'!$D:$D,0,0)</f>
        <v>400</v>
      </c>
      <c r="BC240">
        <f>_xlfn.XLOOKUP(B240,'[5]july-2025'!$A:$A,'[5]july-2025'!$G:$G,0,0)</f>
        <v>0</v>
      </c>
      <c r="BD240">
        <f>IF(AX240&gt;0,SUM(AX240:BC240),0)</f>
        <v>74630</v>
      </c>
      <c r="BE240">
        <f>_xlfn.XLOOKUP(B240,'[5]july-2025'!$A:$A,'[5]july-2025'!$H:$H,0,0)</f>
        <v>3500</v>
      </c>
      <c r="BF240">
        <f>_xlfn.XLOOKUP(B240,'[5]july-2025'!$A:$A,'[5]july-2025'!$I:$I,0,0)</f>
        <v>0</v>
      </c>
      <c r="BG240">
        <f>IF($F240="YES",0,IF(BD240&gt;40000,200,IF(BD240&gt;25000,150,IF(BD240&gt;15000,130,IF(BD240&gt;10000,110,0)))))</f>
        <v>200</v>
      </c>
      <c r="BH240">
        <f>BD240-BE240-BF240-BG240</f>
        <v>70930</v>
      </c>
      <c r="BI240">
        <f>_xlfn.XLOOKUP(B240,'[6]august-2025'!$A:$A,'[6]august-2025'!$C:$C,0,0)</f>
        <v>57100</v>
      </c>
      <c r="BJ240">
        <f>BI240*0.18</f>
        <v>10278</v>
      </c>
      <c r="BK240">
        <f>BI240*0.12</f>
        <v>6852</v>
      </c>
      <c r="BL240">
        <f>_xlfn.XLOOKUP(B240,'[6]august-2025'!$A:$A,'[6]august-2025'!$D:$D,0,0)</f>
        <v>400</v>
      </c>
      <c r="BM240">
        <f>_xlfn.XLOOKUP(B240,'[6]august-2025'!$A:$A,'[6]august-2025'!$G:$G,0,0)</f>
        <v>0</v>
      </c>
      <c r="BN240">
        <f>IF(BI240&gt;0,SUM(BI240:BM240),0)</f>
        <v>74630</v>
      </c>
      <c r="BO240">
        <f>_xlfn.XLOOKUP(B240,'[6]august-2025'!$A:$A,'[6]august-2025'!$H:$H,0,0)</f>
        <v>3500</v>
      </c>
      <c r="BP240">
        <f>_xlfn.XLOOKUP(B240,'[6]august-2025'!$A:$A,'[6]august-2025'!$I:$I,0,0)</f>
        <v>0</v>
      </c>
      <c r="BQ240">
        <f>IF($F240="YES",0,IF(BN240&gt;40000,200,IF(BN240&gt;25000,150,IF(BN240&gt;15000,130,IF(BN240&gt;10000,110,0)))))</f>
        <v>200</v>
      </c>
      <c r="BR240">
        <f>BN240-BO240-BP240-BQ240</f>
        <v>70930</v>
      </c>
      <c r="BS240">
        <f>_xlfn.XLOOKUP(B240,'[7]september-2025'!$A:$A,'[7]september-2025'!$C:$C,0,0)</f>
        <v>57100</v>
      </c>
      <c r="BT240">
        <f>BS240*0.18</f>
        <v>10278</v>
      </c>
      <c r="BU240">
        <f>BS240*0.12</f>
        <v>6852</v>
      </c>
      <c r="BV240">
        <f>_xlfn.XLOOKUP(B240,'[7]september-2025'!$A:$A,'[7]september-2025'!$D:$D,0,0)</f>
        <v>400</v>
      </c>
      <c r="BW240">
        <f>_xlfn.XLOOKUP(B240,'[7]september-2025'!$A:$A,'[7]september-2025'!$G:$G,0,0)</f>
        <v>0</v>
      </c>
      <c r="BX240">
        <f>IF(BS240&gt;0,SUM(BS240:BW240),0)</f>
        <v>74630</v>
      </c>
      <c r="BY240">
        <f>_xlfn.XLOOKUP(B240,'[7]september-2025'!$A:$A,'[7]september-2025'!$H:$H,0,0)</f>
        <v>3500</v>
      </c>
      <c r="BZ240">
        <f>_xlfn.XLOOKUP(B240,'[7]september-2025'!$A:$A,'[7]september-2025'!$I:$I,0,0)</f>
        <v>0</v>
      </c>
      <c r="CA240">
        <f>IF($F240="YES",0,IF(BX240&gt;40000,200,IF(BX240&gt;25000,150,IF(BX240&gt;15000,130,IF(BX240&gt;10000,110,0)))))</f>
        <v>200</v>
      </c>
      <c r="CB240">
        <f>BX240-BY240-BZ240-CA240</f>
        <v>70930</v>
      </c>
      <c r="CC240">
        <f>_xlfn.XLOOKUP(B240,'[8]october-2025'!$A:$A,'[8]october-2025'!$C:$C,0,0)</f>
        <v>57100</v>
      </c>
      <c r="CD240">
        <f>CC240*0.18</f>
        <v>10278</v>
      </c>
      <c r="CE240">
        <f>CC240*0.12</f>
        <v>6852</v>
      </c>
      <c r="CF240">
        <f>_xlfn.XLOOKUP(B240,'[8]october-2025'!$A:$A,'[8]october-2025'!$D:$D,0,0)</f>
        <v>400</v>
      </c>
      <c r="CG240">
        <f>_xlfn.XLOOKUP(B240,'[8]october-2025'!$A:$A,'[8]october-2025'!$G:$G,0,0)</f>
        <v>0</v>
      </c>
      <c r="CH240">
        <f>IF(CC240&gt;0,SUM(CC240:CG240),0)</f>
        <v>74630</v>
      </c>
      <c r="CI240">
        <f>_xlfn.XLOOKUP(B240,'[8]october-2025'!$A:$A,'[8]october-2025'!$H:$H,0,0)</f>
        <v>0</v>
      </c>
      <c r="CJ240">
        <f>_xlfn.XLOOKUP(B240,'[8]october-2025'!$A:$A,'[8]october-2025'!$I:$I,0,0)</f>
        <v>0</v>
      </c>
      <c r="CK240">
        <f>IF($F240="YES",0,IF(CH240&gt;40000,200,IF(CH240&gt;25000,150,IF(CH240&gt;15000,130,IF(CH240&gt;10000,110,0)))))</f>
        <v>200</v>
      </c>
      <c r="CL240">
        <f>CH240-CI240-CJ240-CK240</f>
        <v>74430</v>
      </c>
      <c r="CM240">
        <f>_xlfn.XLOOKUP(B240,'[9]november-2025'!$A:$A,'[9]november-2025'!$C:$C,0,0)</f>
        <v>57100</v>
      </c>
      <c r="CN240">
        <f>CM240*0.18</f>
        <v>10278</v>
      </c>
      <c r="CO240">
        <f>CM240*0.12</f>
        <v>6852</v>
      </c>
      <c r="CP240">
        <f>_xlfn.XLOOKUP(B240,'[9]november-2025'!$A:$A,'[9]november-2025'!$D:$D,0,0)</f>
        <v>400</v>
      </c>
      <c r="CQ240">
        <f>_xlfn.XLOOKUP(B240,'[9]november-2025'!$A:$A,'[9]november-2025'!$G:$G,0,0)</f>
        <v>0</v>
      </c>
      <c r="CR240">
        <f>IF(CM240&gt;0,SUM(CM240:CQ240),0)</f>
        <v>74630</v>
      </c>
      <c r="CS240">
        <f>_xlfn.XLOOKUP(B240,'[9]november-2025'!$A:$A,'[9]november-2025'!$H:$H,0,0)</f>
        <v>0</v>
      </c>
      <c r="CT240">
        <f>_xlfn.XLOOKUP(B240,'[9]november-2025'!$A:$A,'[9]november-2025'!$I:$I,0,0)</f>
        <v>0</v>
      </c>
      <c r="CU240">
        <f>IF($F240="YES",0,IF(CR240&gt;40000,200,IF(CR240&gt;25000,150,IF(CR240&gt;15000,130,IF(CR240&gt;10000,110,0)))))</f>
        <v>200</v>
      </c>
      <c r="CV240">
        <f>CR240-CS240-CT240-CU240</f>
        <v>74430</v>
      </c>
      <c r="CW240">
        <f>_xlfn.XLOOKUP(B240,'[10]december-2025'!$A:$A,'[10]december-2025'!$C:$C,0,0)</f>
        <v>57100</v>
      </c>
      <c r="CX240">
        <f>ROUND(CW240*0.18,0)</f>
        <v>10278</v>
      </c>
      <c r="CY240">
        <f>ROUND(CW240*0.12,0)</f>
        <v>6852</v>
      </c>
      <c r="CZ240">
        <f>_xlfn.XLOOKUP(B240,'[10]december-2025'!$A:$A,'[10]december-2025'!$D:$D,0,0)</f>
        <v>400</v>
      </c>
      <c r="DA240">
        <f>_xlfn.XLOOKUP(B240,'[10]december-2025'!$A:$A,'[10]december-2025'!$G:$G,0,0)</f>
        <v>0</v>
      </c>
      <c r="DB240">
        <f>IF(CW240&gt;0,SUM(CW240:DA240),0)</f>
        <v>74630</v>
      </c>
      <c r="DC240">
        <f>_xlfn.XLOOKUP(B240,'[10]december-2025'!$A:$A,'[10]december-2025'!$H:$H,0,0)</f>
        <v>0</v>
      </c>
      <c r="DD240">
        <f>_xlfn.XLOOKUP(B240,'[10]december-2025'!$A:$A,'[10]december-2025'!$I:$I,0,0)</f>
        <v>0</v>
      </c>
      <c r="DE240">
        <f>IF($F240="YES",0,IF(DB240&gt;40000,200,IF(DB240&gt;25000,150,IF(DB240&gt;15000,130,IF(DB240&gt;10000,110,0)))))</f>
        <v>200</v>
      </c>
      <c r="DF240">
        <f>DB240-DC240-DD240-DE240</f>
        <v>74430</v>
      </c>
      <c r="DG240">
        <f>_xlfn.XLOOKUP(B240,'[11]january-2026'!$A:$A,'[11]january-2026'!$C:$C,0,0)</f>
        <v>57100</v>
      </c>
      <c r="DH240">
        <f>DG240*0.18</f>
        <v>10278</v>
      </c>
      <c r="DI240">
        <f>DG240*0.12</f>
        <v>6852</v>
      </c>
      <c r="DJ240">
        <f>_xlfn.XLOOKUP(B240,'[11]january-2026'!$A:$A,'[11]january-2026'!$D:$D,0,0)</f>
        <v>400</v>
      </c>
      <c r="DK240">
        <f>_xlfn.XLOOKUP(B240,'[11]january-2026'!$A:$A,'[11]january-2026'!$G:$G,0,0)</f>
        <v>0</v>
      </c>
      <c r="DL240">
        <f>IF(DG240&gt;0,SUM(DG240:DK240),0)</f>
        <v>74630</v>
      </c>
      <c r="DM240">
        <f>_xlfn.XLOOKUP(B240,'[11]january-2026'!$A:$A,'[11]january-2026'!$H:$H,0,0)</f>
        <v>0</v>
      </c>
      <c r="DN240">
        <f>_xlfn.XLOOKUP(B240,'[11]january-2026'!$A:$A,'[11]january-2026'!$I:$I,0,0)</f>
        <v>0</v>
      </c>
      <c r="DO240">
        <f>IF($F240="YES",0,IF(DL240&gt;40000,200,IF(DL240&gt;25000,150,IF(DL240&gt;15000,130,IF(DL240&gt;10000,110,0)))))</f>
        <v>200</v>
      </c>
      <c r="DP240">
        <f>DL240-DM240-DN240-DO240</f>
        <v>74430</v>
      </c>
      <c r="DQ240">
        <f>_xlfn.XLOOKUP(B240,'[12]february-2026'!$A:$A,'[12]february-2026'!$C:$C,0,0)</f>
        <v>57100</v>
      </c>
      <c r="DR240">
        <f>DQ240*0.18</f>
        <v>10278</v>
      </c>
      <c r="DS240">
        <f>DQ240*0.12</f>
        <v>6852</v>
      </c>
      <c r="DT240">
        <f>_xlfn.XLOOKUP(B240,'[12]february-2026'!$A:$A,'[12]february-2026'!$D:$D,0,0)</f>
        <v>400</v>
      </c>
      <c r="DU240">
        <f>_xlfn.XLOOKUP(B240,'[12]february-2026'!$A:$A,'[12]february-2026'!$G:$G,0,0)</f>
        <v>0</v>
      </c>
      <c r="DV240">
        <f>IF(DQ240&gt;0,SUM(DQ240:DU240),0)</f>
        <v>74630</v>
      </c>
      <c r="DW240">
        <f>_xlfn.XLOOKUP(B240,'[12]february-2026'!$A:$A,'[12]february-2026'!$H:$H,0,0)</f>
        <v>0</v>
      </c>
      <c r="DX240">
        <f>_xlfn.XLOOKUP(B240,'[12]february-2026'!$A:$A,'[12]february-2026'!$I:$I,0,0)</f>
        <v>0</v>
      </c>
      <c r="DY240">
        <f>IF($F240="YES",0,IF(DV240&gt;40000,200,IF(DV240&gt;25000,150,IF(DV240&gt;15000,130,IF(DV240&gt;10000,110,0)))))</f>
        <v>200</v>
      </c>
      <c r="DZ240">
        <f>DV240-DW240-DX240-DY240</f>
        <v>74430</v>
      </c>
      <c r="EA240">
        <f>DV240+DL240+DB240+CR240+CH240+BX240+BN240+BD240+AS240+AI240+Y240+O240+H240+I240</f>
        <v>891304</v>
      </c>
      <c r="EB240">
        <f>DY240+DO240+DE240+CU240+CK240+CA240+BQ240+BG240+AV240+AL240+AB240+R240</f>
        <v>2400</v>
      </c>
      <c r="EC240">
        <f>IF(EA240&gt;0,50000,0)</f>
        <v>50000</v>
      </c>
      <c r="ED240">
        <v>0</v>
      </c>
      <c r="EE240">
        <f>EA240-EB240-EC240</f>
        <v>838904</v>
      </c>
      <c r="EF240">
        <f>DW240+DM240+DC240+CS240+CI240+BY240+BO240+BE240+AT240+AJ240+Z240+P240</f>
        <v>24500</v>
      </c>
      <c r="EG240">
        <f>DX240+DN240+DD240+CT240+CJ240+BZ240+BP240+BF240+AU240+AK240+AA240+Q240</f>
        <v>0</v>
      </c>
      <c r="EH240">
        <v>0</v>
      </c>
      <c r="EI240">
        <v>0</v>
      </c>
      <c r="EJ240">
        <v>0</v>
      </c>
      <c r="EK240">
        <v>0</v>
      </c>
      <c r="EL240">
        <v>0</v>
      </c>
      <c r="EM240">
        <v>0</v>
      </c>
      <c r="EN240">
        <v>0</v>
      </c>
      <c r="EO240">
        <v>0</v>
      </c>
      <c r="EP240">
        <v>0</v>
      </c>
      <c r="EQ240">
        <v>0</v>
      </c>
      <c r="ER240">
        <f>SUM(EF240:EQ240)</f>
        <v>24500</v>
      </c>
      <c r="ES240">
        <f>IF(ER240&gt;=150000,150000,ER240)</f>
        <v>24500</v>
      </c>
      <c r="ET240">
        <f>EE240-ES240</f>
        <v>814404</v>
      </c>
      <c r="EU240">
        <v>0</v>
      </c>
      <c r="EV240">
        <v>0</v>
      </c>
      <c r="EW240">
        <v>0</v>
      </c>
      <c r="EX240">
        <v>0</v>
      </c>
      <c r="EY240">
        <v>0</v>
      </c>
      <c r="EZ240">
        <v>0</v>
      </c>
      <c r="FA240">
        <v>0</v>
      </c>
      <c r="FB240">
        <f>SUM(EU240:FA240)+(IF(F240="YES",50000,0))</f>
        <v>0</v>
      </c>
      <c r="FC240">
        <f>ET240-FB240</f>
        <v>814404</v>
      </c>
      <c r="FD240">
        <f>ROUND(IF(FC240&gt;0,IF(FC240&gt;500000,12500,(FC240-250000)*0.05),0),0)</f>
        <v>12500</v>
      </c>
      <c r="FE240">
        <f>IF(ROUND(IF(FC240&gt;0,IF(FC240&gt;1000000,25000,(FC240-500000)*0.2),0),0)&lt;0,0,ROUND(IF(FC240&gt;0,IF(FC240&gt;1000000,25000,(FC240-500000)*0.2),0),0))</f>
        <v>62881</v>
      </c>
      <c r="FF240">
        <f>FD240+FE240</f>
        <v>75381</v>
      </c>
      <c r="FG240">
        <f>IF(FF240&lt;12500,0,FF240)</f>
        <v>75381</v>
      </c>
      <c r="FH240">
        <f>FG240*0.04</f>
        <v>3015.2400000000002</v>
      </c>
      <c r="FI240">
        <f>ROUND(FH240+FG240,0)</f>
        <v>78396</v>
      </c>
      <c r="FJ240">
        <v>0</v>
      </c>
      <c r="FK240">
        <f>FI240-FJ240</f>
        <v>78396</v>
      </c>
      <c r="FL240" t="b">
        <f>IF(EA240&gt;500000,TRUE,FALSE)</f>
        <v>1</v>
      </c>
      <c r="FM240">
        <f ca="1">IF(FL240,RANDBETWEEN(500,1000),RANDBETWEEN(1000,3000))</f>
        <v>980</v>
      </c>
      <c r="FN240">
        <f ca="1">EA240+FM240</f>
        <v>892284</v>
      </c>
      <c r="FO240">
        <f>IF(EA240&gt;0,75000,0)</f>
        <v>75000</v>
      </c>
      <c r="FP240">
        <f ca="1">FN240-FO240</f>
        <v>817284</v>
      </c>
      <c r="FQ240">
        <f ca="1">IF(FP240&gt;2400000,FP240-2400000,0)</f>
        <v>0</v>
      </c>
      <c r="FR240">
        <f ca="1">FQ240*0.3</f>
        <v>0</v>
      </c>
      <c r="FS240">
        <f ca="1">IF(FP240&gt;2000000,FP240-2000000,0)</f>
        <v>0</v>
      </c>
      <c r="FT240">
        <f ca="1">FS240*0.25</f>
        <v>0</v>
      </c>
      <c r="FU240">
        <f ca="1">IF(FP240&gt;1600000,FP240-1600000-FQ240,0)</f>
        <v>0</v>
      </c>
      <c r="FV240">
        <f ca="1">FU240*0.2</f>
        <v>0</v>
      </c>
      <c r="FW240">
        <f ca="1">IF(FP240&gt;1200000,FP240-1200000-IF(F240="YES",50000,0)-FU240,0)</f>
        <v>0</v>
      </c>
      <c r="FX240">
        <f ca="1">FW240*0.15</f>
        <v>0</v>
      </c>
      <c r="FY240">
        <f ca="1">IF(FP240&gt;800000,FP240-800000-FQ240-FU240-FW240,0)</f>
        <v>17284</v>
      </c>
      <c r="FZ240">
        <f ca="1">FY240*0.1</f>
        <v>1728.4</v>
      </c>
      <c r="GA240">
        <f ca="1">IF(FP240&gt;400000,FP240-400000-FQ240-FU240-FW240-FY240,0)</f>
        <v>400000</v>
      </c>
      <c r="GB240">
        <f ca="1">GA240*0.05</f>
        <v>20000</v>
      </c>
      <c r="GC240">
        <f ca="1">ROUND(FR240+FT240+FV240+FX240+FZ240+GB240,0)</f>
        <v>21728</v>
      </c>
      <c r="GD240">
        <f ca="1">IF(FP240&gt;1200000,FP240,0)</f>
        <v>0</v>
      </c>
      <c r="GE240">
        <f ca="1">IF(FP240&gt;1200000,GD240-1200000,0)</f>
        <v>0</v>
      </c>
      <c r="GF240">
        <f ca="1">IF(FP240&lt;1200001,MIN(GC240,60000),0)</f>
        <v>21728</v>
      </c>
      <c r="GG240">
        <f ca="1">IF(FP240&gt;1200000,GC240-GE240,0)</f>
        <v>0</v>
      </c>
      <c r="GH240" t="b">
        <f ca="1">IF(GG240&gt;0,TRUE,FALSE)</f>
        <v>0</v>
      </c>
      <c r="GI240">
        <f ca="1">IF(GH240,GG240,0)</f>
        <v>0</v>
      </c>
      <c r="GJ240">
        <f ca="1">GF240+GI240</f>
        <v>21728</v>
      </c>
      <c r="GK240">
        <f ca="1">ROUND(GC240-GJ240,0)</f>
        <v>0</v>
      </c>
      <c r="GL240">
        <f ca="1">GK240*0.04</f>
        <v>0</v>
      </c>
      <c r="GM240">
        <f ca="1">ROUNDUP(GK240+GL240,0)</f>
        <v>0</v>
      </c>
    </row>
    <row r="241" spans="1:195" x14ac:dyDescent="0.25">
      <c r="A241">
        <f>_xlfn.AGGREGATE(3,5,$B$2:B241)</f>
        <v>240</v>
      </c>
      <c r="B241" t="s">
        <v>591</v>
      </c>
      <c r="C241" t="s">
        <v>592</v>
      </c>
      <c r="D241" t="s">
        <v>814</v>
      </c>
      <c r="E241" t="s">
        <v>833</v>
      </c>
      <c r="F241" t="s">
        <v>959</v>
      </c>
      <c r="G241" t="s">
        <v>936</v>
      </c>
      <c r="H241">
        <f>IF(_xlfn.DAYS("31-03-2025",G241)&gt;=180,6800,0)</f>
        <v>6800</v>
      </c>
      <c r="I241">
        <f>_xlfn.XLOOKUP(B241,'[1]march-2025'!$A:$A,'[1]march-2025'!$J:$J,0,0)</f>
        <v>0</v>
      </c>
      <c r="J241">
        <f>_xlfn.XLOOKUP(B241,'[1]march-2025'!$A:$A,'[1]march-2025'!$C:$C,0,0)</f>
        <v>29800</v>
      </c>
      <c r="K241">
        <f>J241*0.14</f>
        <v>4172</v>
      </c>
      <c r="L241">
        <f>J241*0.12</f>
        <v>3576</v>
      </c>
      <c r="M241">
        <f>_xlfn.XLOOKUP(B241,'[1]march-2025'!$A:$A,'[1]march-2025'!$D:$D,0,0)</f>
        <v>0</v>
      </c>
      <c r="N241">
        <f>_xlfn.XLOOKUP(B241,'[1]march-2025'!$A:$A,'[1]march-2025'!$G:$G,0,0)</f>
        <v>500</v>
      </c>
      <c r="O241">
        <f>IF(J241&gt;0,SUM(J241:N241),0)</f>
        <v>38048</v>
      </c>
      <c r="P241">
        <f>_xlfn.XLOOKUP(B241,'[1]march-2025'!$A:$A,'[1]march-2025'!$H:$H,0,0)</f>
        <v>2000</v>
      </c>
      <c r="Q241">
        <f>_xlfn.XLOOKUP(B241,'[1]march-2025'!$A:$A,'[1]march-2025'!$I:$I,0,0)</f>
        <v>0</v>
      </c>
      <c r="R241">
        <f>IF($F241="YES",0,IF(O241&gt;40000,200,IF(O241&gt;25000,150,IF(O241&gt;15000,130,IF(O241&gt;10000,110,0)))))</f>
        <v>150</v>
      </c>
      <c r="S241">
        <f>O241-P241-Q241-R241</f>
        <v>35898</v>
      </c>
      <c r="T241">
        <f>_xlfn.XLOOKUP(B241,'[2]april-2025'!$A:$A,'[2]april-2025'!$C:$C,0,0)</f>
        <v>29800</v>
      </c>
      <c r="U241">
        <f>T241*0.18</f>
        <v>5364</v>
      </c>
      <c r="V241">
        <f>T241*0.12</f>
        <v>3576</v>
      </c>
      <c r="W241">
        <f>_xlfn.XLOOKUP(B241,'[2]april-2025'!$A:$A,'[2]april-2025'!$D:$D,0,0)</f>
        <v>0</v>
      </c>
      <c r="X241">
        <f>_xlfn.XLOOKUP(B241,'[2]april-2025'!$A:$A,'[2]april-2025'!$G:$G,0,0)</f>
        <v>500</v>
      </c>
      <c r="Y241">
        <f>IF(T241&gt;0,SUM(T241:X241),0)</f>
        <v>39240</v>
      </c>
      <c r="Z241">
        <f>_xlfn.XLOOKUP(B241,'[2]april-2025'!$A:$A,'[2]april-2025'!$H:$H,0,0)</f>
        <v>2000</v>
      </c>
      <c r="AA241">
        <f>_xlfn.XLOOKUP(B241,'[2]april-2025'!$A:$A,'[2]april-2025'!$I:$I,0,0)</f>
        <v>0</v>
      </c>
      <c r="AB241">
        <f>IF($F241="YES",0,IF(Y241&gt;40000,200,IF(Y241&gt;25000,150,IF(Y241&gt;15000,130,IF(Y241&gt;10000,110,0)))))</f>
        <v>150</v>
      </c>
      <c r="AC241">
        <f>Y241-Z241-AA241-AB241</f>
        <v>37090</v>
      </c>
      <c r="AD241">
        <f>_xlfn.XLOOKUP(B241,'[3]may-2025'!$A:$A,'[3]may-2025'!$C:$C,0,0)</f>
        <v>29800</v>
      </c>
      <c r="AE241">
        <f>AD241*0.18</f>
        <v>5364</v>
      </c>
      <c r="AF241">
        <f>AD241*0.12</f>
        <v>3576</v>
      </c>
      <c r="AG241">
        <f>_xlfn.XLOOKUP(B241,'[3]may-2025'!$A:$A,'[3]may-2025'!$D:$D,0,0)</f>
        <v>0</v>
      </c>
      <c r="AH241">
        <f>_xlfn.XLOOKUP(B241,'[3]may-2025'!$A:$A,'[3]may-2025'!$G:$G,0,0)</f>
        <v>500</v>
      </c>
      <c r="AI241">
        <f>IF(AD241&gt;0,SUM(AD241:AH241),0)</f>
        <v>39240</v>
      </c>
      <c r="AJ241">
        <f>_xlfn.XLOOKUP(B241,'[3]may-2025'!$A:$A,'[3]may-2025'!$H:$H,0,0)</f>
        <v>2000</v>
      </c>
      <c r="AK241">
        <f>_xlfn.XLOOKUP(B241,'[3]may-2025'!$A:$A,'[3]may-2025'!$I:$I,0,0)</f>
        <v>0</v>
      </c>
      <c r="AL241">
        <f>IF($F241="YES",0,IF(AI241&gt;40000,200,IF(AI241&gt;25000,150,IF(AI241&gt;15000,130,IF(AI241&gt;10000,110,0)))))</f>
        <v>150</v>
      </c>
      <c r="AM241">
        <f>AI241-AJ241-AK241-AL241</f>
        <v>37090</v>
      </c>
      <c r="AN241">
        <f>_xlfn.XLOOKUP(B241,'[4]june-2025'!$A:$A,'[4]june-2025'!$C:$C,0,0)</f>
        <v>29800</v>
      </c>
      <c r="AO241">
        <f>AN241*0.18</f>
        <v>5364</v>
      </c>
      <c r="AP241">
        <f>AN241*0.12</f>
        <v>3576</v>
      </c>
      <c r="AQ241">
        <f>_xlfn.XLOOKUP(B241,'[4]june-2025'!$A:$A,'[4]june-2025'!$D:$D,0,0)</f>
        <v>0</v>
      </c>
      <c r="AR241">
        <f>_xlfn.XLOOKUP(B241,'[4]june-2025'!$A:$A,'[4]june-2025'!$G:$G,0,0)</f>
        <v>500</v>
      </c>
      <c r="AS241">
        <f>IF(AN241&gt;0,SUM(AN241:AR241),0)</f>
        <v>39240</v>
      </c>
      <c r="AT241">
        <f>_xlfn.XLOOKUP(B241,'[4]june-2025'!$A:$A,'[4]june-2025'!$H:$H,0,0)</f>
        <v>2000</v>
      </c>
      <c r="AU241">
        <f>_xlfn.XLOOKUP(B241,'[4]june-2025'!$A:$A,'[4]june-2025'!$I:$I,0,0)</f>
        <v>0</v>
      </c>
      <c r="AV241">
        <f>IF($F241="YES",0,IF(AS241&gt;40000,200,IF(AS241&gt;25000,150,IF(AS241&gt;15000,130,IF(AS241&gt;10000,110,0)))))</f>
        <v>150</v>
      </c>
      <c r="AW241">
        <f>AS241-AT241-AU241-AV241</f>
        <v>37090</v>
      </c>
      <c r="AX241">
        <f>_xlfn.XLOOKUP(B241,'[5]july-2025'!$A:$A,'[5]july-2025'!$C:$C,0,0)</f>
        <v>30700</v>
      </c>
      <c r="AY241">
        <f>AX241*0.18</f>
        <v>5526</v>
      </c>
      <c r="AZ241">
        <v>0</v>
      </c>
      <c r="BA241">
        <f>AX241*0.12</f>
        <v>3684</v>
      </c>
      <c r="BB241">
        <f>_xlfn.XLOOKUP(B241,'[5]july-2025'!$A:$A,'[5]july-2025'!$D:$D,0,0)</f>
        <v>0</v>
      </c>
      <c r="BC241">
        <f>_xlfn.XLOOKUP(B241,'[5]july-2025'!$A:$A,'[5]july-2025'!$G:$G,0,0)</f>
        <v>500</v>
      </c>
      <c r="BD241">
        <f>IF(AX241&gt;0,SUM(AX241:BC241),0)</f>
        <v>40410</v>
      </c>
      <c r="BE241">
        <f>_xlfn.XLOOKUP(B241,'[5]july-2025'!$A:$A,'[5]july-2025'!$H:$H,0,0)</f>
        <v>2000</v>
      </c>
      <c r="BF241">
        <f>_xlfn.XLOOKUP(B241,'[5]july-2025'!$A:$A,'[5]july-2025'!$I:$I,0,0)</f>
        <v>0</v>
      </c>
      <c r="BG241">
        <f>IF($F241="YES",0,IF(BD241&gt;40000,200,IF(BD241&gt;25000,150,IF(BD241&gt;15000,130,IF(BD241&gt;10000,110,0)))))</f>
        <v>200</v>
      </c>
      <c r="BH241">
        <f>BD241-BE241-BF241-BG241</f>
        <v>38210</v>
      </c>
      <c r="BI241">
        <f>_xlfn.XLOOKUP(B241,'[6]august-2025'!$A:$A,'[6]august-2025'!$C:$C,0,0)</f>
        <v>30700</v>
      </c>
      <c r="BJ241">
        <f>BI241*0.18</f>
        <v>5526</v>
      </c>
      <c r="BK241">
        <f>BI241*0.12</f>
        <v>3684</v>
      </c>
      <c r="BL241">
        <f>_xlfn.XLOOKUP(B241,'[6]august-2025'!$A:$A,'[6]august-2025'!$D:$D,0,0)</f>
        <v>0</v>
      </c>
      <c r="BM241">
        <f>_xlfn.XLOOKUP(B241,'[6]august-2025'!$A:$A,'[6]august-2025'!$G:$G,0,0)</f>
        <v>500</v>
      </c>
      <c r="BN241">
        <f>IF(BI241&gt;0,SUM(BI241:BM241),0)</f>
        <v>40410</v>
      </c>
      <c r="BO241">
        <f>_xlfn.XLOOKUP(B241,'[6]august-2025'!$A:$A,'[6]august-2025'!$H:$H,0,0)</f>
        <v>2000</v>
      </c>
      <c r="BP241">
        <f>_xlfn.XLOOKUP(B241,'[6]august-2025'!$A:$A,'[6]august-2025'!$I:$I,0,0)</f>
        <v>0</v>
      </c>
      <c r="BQ241">
        <f>IF($F241="YES",0,IF(BN241&gt;40000,200,IF(BN241&gt;25000,150,IF(BN241&gt;15000,130,IF(BN241&gt;10000,110,0)))))</f>
        <v>200</v>
      </c>
      <c r="BR241">
        <f>BN241-BO241-BP241-BQ241</f>
        <v>38210</v>
      </c>
      <c r="BS241">
        <f>_xlfn.XLOOKUP(B241,'[7]september-2025'!$A:$A,'[7]september-2025'!$C:$C,0,0)</f>
        <v>30700</v>
      </c>
      <c r="BT241">
        <f>BS241*0.18</f>
        <v>5526</v>
      </c>
      <c r="BU241">
        <f>BS241*0.12</f>
        <v>3684</v>
      </c>
      <c r="BV241">
        <f>_xlfn.XLOOKUP(B241,'[7]september-2025'!$A:$A,'[7]september-2025'!$D:$D,0,0)</f>
        <v>0</v>
      </c>
      <c r="BW241">
        <f>_xlfn.XLOOKUP(B241,'[7]september-2025'!$A:$A,'[7]september-2025'!$G:$G,0,0)</f>
        <v>500</v>
      </c>
      <c r="BX241">
        <f>IF(BS241&gt;0,SUM(BS241:BW241),0)</f>
        <v>40410</v>
      </c>
      <c r="BY241">
        <f>_xlfn.XLOOKUP(B241,'[7]september-2025'!$A:$A,'[7]september-2025'!$H:$H,0,0)</f>
        <v>2000</v>
      </c>
      <c r="BZ241">
        <f>_xlfn.XLOOKUP(B241,'[7]september-2025'!$A:$A,'[7]september-2025'!$I:$I,0,0)</f>
        <v>0</v>
      </c>
      <c r="CA241">
        <f>IF($F241="YES",0,IF(BX241&gt;40000,200,IF(BX241&gt;25000,150,IF(BX241&gt;15000,130,IF(BX241&gt;10000,110,0)))))</f>
        <v>200</v>
      </c>
      <c r="CB241">
        <f>BX241-BY241-BZ241-CA241</f>
        <v>38210</v>
      </c>
      <c r="CC241">
        <f>_xlfn.XLOOKUP(B241,'[8]october-2025'!$A:$A,'[8]october-2025'!$C:$C,0,0)</f>
        <v>30700</v>
      </c>
      <c r="CD241">
        <f>CC241*0.18</f>
        <v>5526</v>
      </c>
      <c r="CE241">
        <f>CC241*0.12</f>
        <v>3684</v>
      </c>
      <c r="CF241">
        <f>_xlfn.XLOOKUP(B241,'[8]october-2025'!$A:$A,'[8]october-2025'!$D:$D,0,0)</f>
        <v>0</v>
      </c>
      <c r="CG241">
        <f>_xlfn.XLOOKUP(B241,'[8]october-2025'!$A:$A,'[8]october-2025'!$G:$G,0,0)</f>
        <v>500</v>
      </c>
      <c r="CH241">
        <f>IF(CC241&gt;0,SUM(CC241:CG241),0)</f>
        <v>40410</v>
      </c>
      <c r="CI241">
        <f>_xlfn.XLOOKUP(B241,'[8]october-2025'!$A:$A,'[8]october-2025'!$H:$H,0,0)</f>
        <v>2000</v>
      </c>
      <c r="CJ241">
        <f>_xlfn.XLOOKUP(B241,'[8]october-2025'!$A:$A,'[8]october-2025'!$I:$I,0,0)</f>
        <v>0</v>
      </c>
      <c r="CK241">
        <f>IF($F241="YES",0,IF(CH241&gt;40000,200,IF(CH241&gt;25000,150,IF(CH241&gt;15000,130,IF(CH241&gt;10000,110,0)))))</f>
        <v>200</v>
      </c>
      <c r="CL241">
        <f>CH241-CI241-CJ241-CK241</f>
        <v>38210</v>
      </c>
      <c r="CM241">
        <f>_xlfn.XLOOKUP(B241,'[9]november-2025'!$A:$A,'[9]november-2025'!$C:$C,0,0)</f>
        <v>30700</v>
      </c>
      <c r="CN241">
        <f>CM241*0.18</f>
        <v>5526</v>
      </c>
      <c r="CO241">
        <f>CM241*0.12</f>
        <v>3684</v>
      </c>
      <c r="CP241">
        <f>_xlfn.XLOOKUP(B241,'[9]november-2025'!$A:$A,'[9]november-2025'!$D:$D,0,0)</f>
        <v>0</v>
      </c>
      <c r="CQ241">
        <f>_xlfn.XLOOKUP(B241,'[9]november-2025'!$A:$A,'[9]november-2025'!$G:$G,0,0)</f>
        <v>500</v>
      </c>
      <c r="CR241">
        <f>IF(CM241&gt;0,SUM(CM241:CQ241),0)</f>
        <v>40410</v>
      </c>
      <c r="CS241">
        <f>_xlfn.XLOOKUP(B241,'[9]november-2025'!$A:$A,'[9]november-2025'!$H:$H,0,0)</f>
        <v>2000</v>
      </c>
      <c r="CT241">
        <f>_xlfn.XLOOKUP(B241,'[9]november-2025'!$A:$A,'[9]november-2025'!$I:$I,0,0)</f>
        <v>0</v>
      </c>
      <c r="CU241">
        <f>IF($F241="YES",0,IF(CR241&gt;40000,200,IF(CR241&gt;25000,150,IF(CR241&gt;15000,130,IF(CR241&gt;10000,110,0)))))</f>
        <v>200</v>
      </c>
      <c r="CV241">
        <f>CR241-CS241-CT241-CU241</f>
        <v>38210</v>
      </c>
      <c r="CW241">
        <f>_xlfn.XLOOKUP(B241,'[10]december-2025'!$A:$A,'[10]december-2025'!$C:$C,0,0)</f>
        <v>30700</v>
      </c>
      <c r="CX241">
        <f>ROUND(CW241*0.18,0)</f>
        <v>5526</v>
      </c>
      <c r="CY241">
        <f>ROUND(CW241*0.12,0)</f>
        <v>3684</v>
      </c>
      <c r="CZ241">
        <f>_xlfn.XLOOKUP(B241,'[10]december-2025'!$A:$A,'[10]december-2025'!$D:$D,0,0)</f>
        <v>0</v>
      </c>
      <c r="DA241">
        <f>_xlfn.XLOOKUP(B241,'[10]december-2025'!$A:$A,'[10]december-2025'!$G:$G,0,0)</f>
        <v>500</v>
      </c>
      <c r="DB241">
        <f>IF(CW241&gt;0,SUM(CW241:DA241),0)</f>
        <v>40410</v>
      </c>
      <c r="DC241">
        <f>_xlfn.XLOOKUP(B241,'[10]december-2025'!$A:$A,'[10]december-2025'!$H:$H,0,0)</f>
        <v>2000</v>
      </c>
      <c r="DD241">
        <f>_xlfn.XLOOKUP(B241,'[10]december-2025'!$A:$A,'[10]december-2025'!$I:$I,0,0)</f>
        <v>0</v>
      </c>
      <c r="DE241">
        <f>IF($F241="YES",0,IF(DB241&gt;40000,200,IF(DB241&gt;25000,150,IF(DB241&gt;15000,130,IF(DB241&gt;10000,110,0)))))</f>
        <v>200</v>
      </c>
      <c r="DF241">
        <f>DB241-DC241-DD241-DE241</f>
        <v>38210</v>
      </c>
      <c r="DG241">
        <f>_xlfn.XLOOKUP(B241,'[11]january-2026'!$A:$A,'[11]january-2026'!$C:$C,0,0)</f>
        <v>30700</v>
      </c>
      <c r="DH241">
        <f>DG241*0.18</f>
        <v>5526</v>
      </c>
      <c r="DI241">
        <f>DG241*0.12</f>
        <v>3684</v>
      </c>
      <c r="DJ241">
        <f>_xlfn.XLOOKUP(B241,'[11]january-2026'!$A:$A,'[11]january-2026'!$D:$D,0,0)</f>
        <v>0</v>
      </c>
      <c r="DK241">
        <f>_xlfn.XLOOKUP(B241,'[11]january-2026'!$A:$A,'[11]january-2026'!$G:$G,0,0)</f>
        <v>500</v>
      </c>
      <c r="DL241">
        <f>IF(DG241&gt;0,SUM(DG241:DK241),0)</f>
        <v>40410</v>
      </c>
      <c r="DM241">
        <f>_xlfn.XLOOKUP(B241,'[11]january-2026'!$A:$A,'[11]january-2026'!$H:$H,0,0)</f>
        <v>2000</v>
      </c>
      <c r="DN241">
        <f>_xlfn.XLOOKUP(B241,'[11]january-2026'!$A:$A,'[11]january-2026'!$I:$I,0,0)</f>
        <v>0</v>
      </c>
      <c r="DO241">
        <f>IF($F241="YES",0,IF(DL241&gt;40000,200,IF(DL241&gt;25000,150,IF(DL241&gt;15000,130,IF(DL241&gt;10000,110,0)))))</f>
        <v>200</v>
      </c>
      <c r="DP241">
        <f>DL241-DM241-DN241-DO241</f>
        <v>38210</v>
      </c>
      <c r="DQ241">
        <f>_xlfn.XLOOKUP(B241,'[12]february-2026'!$A:$A,'[12]february-2026'!$C:$C,0,0)</f>
        <v>30700</v>
      </c>
      <c r="DR241">
        <f>DQ241*0.18</f>
        <v>5526</v>
      </c>
      <c r="DS241">
        <f>DQ241*0.12</f>
        <v>3684</v>
      </c>
      <c r="DT241">
        <f>_xlfn.XLOOKUP(B241,'[12]february-2026'!$A:$A,'[12]february-2026'!$D:$D,0,0)</f>
        <v>0</v>
      </c>
      <c r="DU241">
        <f>_xlfn.XLOOKUP(B241,'[12]february-2026'!$A:$A,'[12]february-2026'!$G:$G,0,0)</f>
        <v>500</v>
      </c>
      <c r="DV241">
        <f>IF(DQ241&gt;0,SUM(DQ241:DU241),0)</f>
        <v>40410</v>
      </c>
      <c r="DW241">
        <f>_xlfn.XLOOKUP(B241,'[12]february-2026'!$A:$A,'[12]february-2026'!$H:$H,0,0)</f>
        <v>2000</v>
      </c>
      <c r="DX241">
        <f>_xlfn.XLOOKUP(B241,'[12]february-2026'!$A:$A,'[12]february-2026'!$I:$I,0,0)</f>
        <v>0</v>
      </c>
      <c r="DY241">
        <f>IF($F241="YES",0,IF(DV241&gt;40000,200,IF(DV241&gt;25000,150,IF(DV241&gt;15000,130,IF(DV241&gt;10000,110,0)))))</f>
        <v>200</v>
      </c>
      <c r="DZ241">
        <f>DV241-DW241-DX241-DY241</f>
        <v>38210</v>
      </c>
      <c r="EA241">
        <f>DV241+DL241+DB241+CR241+CH241+BX241+BN241+BD241+AS241+AI241+Y241+O241+H241+I241</f>
        <v>485848</v>
      </c>
      <c r="EB241">
        <f>DY241+DO241+DE241+CU241+CK241+CA241+BQ241+BG241+AV241+AL241+AB241+R241</f>
        <v>2200</v>
      </c>
      <c r="EC241">
        <f>IF(EA241&gt;0,50000,0)</f>
        <v>50000</v>
      </c>
      <c r="ED241">
        <v>0</v>
      </c>
      <c r="EE241">
        <f>EA241-EB241-EC241</f>
        <v>433648</v>
      </c>
      <c r="EF241">
        <f>DW241+DM241+DC241+CS241+CI241+BY241+BO241+BE241+AT241+AJ241+Z241+P241</f>
        <v>24000</v>
      </c>
      <c r="EG241">
        <f>DX241+DN241+DD241+CT241+CJ241+BZ241+BP241+BF241+AU241+AK241+AA241+Q241</f>
        <v>0</v>
      </c>
      <c r="EH241">
        <v>0</v>
      </c>
      <c r="EI241">
        <v>0</v>
      </c>
      <c r="EJ241">
        <v>0</v>
      </c>
      <c r="EK241">
        <v>0</v>
      </c>
      <c r="EL241">
        <v>0</v>
      </c>
      <c r="EM241">
        <v>0</v>
      </c>
      <c r="EN241">
        <v>0</v>
      </c>
      <c r="EO241">
        <v>0</v>
      </c>
      <c r="EP241">
        <v>0</v>
      </c>
      <c r="EQ241">
        <v>0</v>
      </c>
      <c r="ER241">
        <f>SUM(EF241:EQ241)</f>
        <v>24000</v>
      </c>
      <c r="ES241">
        <f>IF(ER241&gt;=150000,150000,ER241)</f>
        <v>24000</v>
      </c>
      <c r="ET241">
        <f>EE241-ES241</f>
        <v>409648</v>
      </c>
      <c r="EU241">
        <v>0</v>
      </c>
      <c r="EV241">
        <v>0</v>
      </c>
      <c r="EW241">
        <v>0</v>
      </c>
      <c r="EX241">
        <v>0</v>
      </c>
      <c r="EY241">
        <v>0</v>
      </c>
      <c r="EZ241">
        <v>0</v>
      </c>
      <c r="FA241">
        <v>0</v>
      </c>
      <c r="FB241">
        <f>SUM(EU241:FA241)+(IF(F241="YES",50000,0))</f>
        <v>0</v>
      </c>
      <c r="FC241">
        <f>ET241-FB241</f>
        <v>409648</v>
      </c>
      <c r="FD241">
        <f>ROUND(IF(FC241&gt;0,IF(FC241&gt;500000,12500,(FC241-250000)*0.05),0),0)</f>
        <v>7982</v>
      </c>
      <c r="FE241">
        <f>IF(ROUND(IF(FC241&gt;0,IF(FC241&gt;1000000,25000,(FC241-500000)*0.2),0),0)&lt;0,0,ROUND(IF(FC241&gt;0,IF(FC241&gt;1000000,25000,(FC241-500000)*0.2),0),0))</f>
        <v>0</v>
      </c>
      <c r="FF241">
        <f>FD241+FE241</f>
        <v>7982</v>
      </c>
      <c r="FG241">
        <f>IF(FF241&lt;12500,0,FF241)</f>
        <v>0</v>
      </c>
      <c r="FH241">
        <f>FG241*0.04</f>
        <v>0</v>
      </c>
      <c r="FI241">
        <f>ROUND(FH241+FG241,0)</f>
        <v>0</v>
      </c>
      <c r="FJ241">
        <v>0</v>
      </c>
      <c r="FK241">
        <f>FI241-FJ241</f>
        <v>0</v>
      </c>
      <c r="FL241" t="b">
        <f>IF(EA241&gt;500000,TRUE,FALSE)</f>
        <v>0</v>
      </c>
      <c r="FM241">
        <f ca="1">IF(FL241,RANDBETWEEN(500,1000),RANDBETWEEN(1000,3000))</f>
        <v>2497</v>
      </c>
      <c r="FN241">
        <f ca="1">EA241+FM241</f>
        <v>488345</v>
      </c>
      <c r="FO241">
        <f>IF(EA241&gt;0,75000,0)</f>
        <v>75000</v>
      </c>
      <c r="FP241">
        <f ca="1">FN241-FO241</f>
        <v>413345</v>
      </c>
      <c r="FQ241">
        <f ca="1">IF(FP241&gt;2400000,FP241-2400000,0)</f>
        <v>0</v>
      </c>
      <c r="FR241">
        <f ca="1">FQ241*0.3</f>
        <v>0</v>
      </c>
      <c r="FS241">
        <f ca="1">IF(FP241&gt;2000000,FP241-2000000,0)</f>
        <v>0</v>
      </c>
      <c r="FT241">
        <f ca="1">FS241*0.25</f>
        <v>0</v>
      </c>
      <c r="FU241">
        <f ca="1">IF(FP241&gt;1600000,FP241-1600000-FQ241,0)</f>
        <v>0</v>
      </c>
      <c r="FV241">
        <f ca="1">FU241*0.2</f>
        <v>0</v>
      </c>
      <c r="FW241">
        <f ca="1">IF(FP241&gt;1200000,FP241-1200000-IF(F241="YES",50000,0)-FU241,0)</f>
        <v>0</v>
      </c>
      <c r="FX241">
        <f ca="1">FW241*0.15</f>
        <v>0</v>
      </c>
      <c r="FY241">
        <f ca="1">IF(FP241&gt;800000,FP241-800000-FQ241-FU241-FW241,0)</f>
        <v>0</v>
      </c>
      <c r="FZ241">
        <f ca="1">FY241*0.1</f>
        <v>0</v>
      </c>
      <c r="GA241">
        <f ca="1">IF(FP241&gt;400000,FP241-400000-FQ241-FU241-FW241-FY241,0)</f>
        <v>13345</v>
      </c>
      <c r="GB241">
        <f ca="1">GA241*0.05</f>
        <v>667.25</v>
      </c>
      <c r="GC241">
        <f ca="1">ROUND(FR241+FT241+FV241+FX241+FZ241+GB241,0)</f>
        <v>667</v>
      </c>
      <c r="GD241">
        <f ca="1">IF(FP241&gt;1200000,FP241,0)</f>
        <v>0</v>
      </c>
      <c r="GE241">
        <f ca="1">IF(FP241&gt;1200000,GD241-1200000,0)</f>
        <v>0</v>
      </c>
      <c r="GF241">
        <f ca="1">IF(FP241&lt;1200001,MIN(GC241,60000),0)</f>
        <v>667</v>
      </c>
      <c r="GG241">
        <f ca="1">IF(FP241&gt;1200000,GC241-GE241,0)</f>
        <v>0</v>
      </c>
      <c r="GH241" t="b">
        <f ca="1">IF(GG241&gt;0,TRUE,FALSE)</f>
        <v>0</v>
      </c>
      <c r="GI241">
        <f ca="1">IF(GH241,GG241,0)</f>
        <v>0</v>
      </c>
      <c r="GJ241">
        <f ca="1">GF241+GI241</f>
        <v>667</v>
      </c>
      <c r="GK241">
        <f ca="1">ROUND(GC241-GJ241,0)</f>
        <v>0</v>
      </c>
      <c r="GL241">
        <f ca="1">GK241*0.04</f>
        <v>0</v>
      </c>
      <c r="GM241">
        <f ca="1">ROUNDUP(GK241+GL241,0)</f>
        <v>0</v>
      </c>
    </row>
    <row r="242" spans="1:195" x14ac:dyDescent="0.25">
      <c r="A242">
        <f>_xlfn.AGGREGATE(3,5,$B$2:B242)</f>
        <v>241</v>
      </c>
      <c r="B242" t="s">
        <v>593</v>
      </c>
      <c r="C242" t="s">
        <v>594</v>
      </c>
      <c r="D242" t="s">
        <v>814</v>
      </c>
      <c r="E242" t="s">
        <v>833</v>
      </c>
      <c r="F242" t="s">
        <v>959</v>
      </c>
      <c r="G242" t="s">
        <v>883</v>
      </c>
      <c r="H242">
        <f>IF(_xlfn.DAYS("31-03-2025",G242)&gt;=180,6800,0)</f>
        <v>6800</v>
      </c>
      <c r="I242">
        <f>_xlfn.XLOOKUP(B242,'[1]march-2025'!$A:$A,'[1]march-2025'!$J:$J,0,0)</f>
        <v>0</v>
      </c>
      <c r="J242">
        <f>_xlfn.XLOOKUP(B242,'[1]march-2025'!$A:$A,'[1]march-2025'!$C:$C,0,0)</f>
        <v>28900</v>
      </c>
      <c r="K242">
        <f>J242*0.14</f>
        <v>4046.0000000000005</v>
      </c>
      <c r="L242">
        <f>J242*0.12</f>
        <v>3468</v>
      </c>
      <c r="M242">
        <f>_xlfn.XLOOKUP(B242,'[1]march-2025'!$A:$A,'[1]march-2025'!$D:$D,0,0)</f>
        <v>0</v>
      </c>
      <c r="N242">
        <f>_xlfn.XLOOKUP(B242,'[1]march-2025'!$A:$A,'[1]march-2025'!$G:$G,0,0)</f>
        <v>0</v>
      </c>
      <c r="O242">
        <f>IF(J242&gt;0,SUM(J242:N242),0)</f>
        <v>36414</v>
      </c>
      <c r="P242">
        <f>_xlfn.XLOOKUP(B242,'[1]march-2025'!$A:$A,'[1]march-2025'!$H:$H,0,0)</f>
        <v>2000</v>
      </c>
      <c r="Q242">
        <f>_xlfn.XLOOKUP(B242,'[1]march-2025'!$A:$A,'[1]march-2025'!$I:$I,0,0)</f>
        <v>0</v>
      </c>
      <c r="R242">
        <f>IF($F242="YES",0,IF(O242&gt;40000,200,IF(O242&gt;25000,150,IF(O242&gt;15000,130,IF(O242&gt;10000,110,0)))))</f>
        <v>150</v>
      </c>
      <c r="S242">
        <f>O242-P242-Q242-R242</f>
        <v>34264</v>
      </c>
      <c r="T242">
        <f>_xlfn.XLOOKUP(B242,'[2]april-2025'!$A:$A,'[2]april-2025'!$C:$C,0,0)</f>
        <v>28900</v>
      </c>
      <c r="U242">
        <f>T242*0.18</f>
        <v>5202</v>
      </c>
      <c r="V242">
        <f>T242*0.12</f>
        <v>3468</v>
      </c>
      <c r="W242">
        <f>_xlfn.XLOOKUP(B242,'[2]april-2025'!$A:$A,'[2]april-2025'!$D:$D,0,0)</f>
        <v>0</v>
      </c>
      <c r="X242">
        <f>_xlfn.XLOOKUP(B242,'[2]april-2025'!$A:$A,'[2]april-2025'!$G:$G,0,0)</f>
        <v>0</v>
      </c>
      <c r="Y242">
        <f>IF(T242&gt;0,SUM(T242:X242),0)</f>
        <v>37570</v>
      </c>
      <c r="Z242">
        <f>_xlfn.XLOOKUP(B242,'[2]april-2025'!$A:$A,'[2]april-2025'!$H:$H,0,0)</f>
        <v>2000</v>
      </c>
      <c r="AA242">
        <f>_xlfn.XLOOKUP(B242,'[2]april-2025'!$A:$A,'[2]april-2025'!$I:$I,0,0)</f>
        <v>0</v>
      </c>
      <c r="AB242">
        <f>IF($F242="YES",0,IF(Y242&gt;40000,200,IF(Y242&gt;25000,150,IF(Y242&gt;15000,130,IF(Y242&gt;10000,110,0)))))</f>
        <v>150</v>
      </c>
      <c r="AC242">
        <f>Y242-Z242-AA242-AB242</f>
        <v>35420</v>
      </c>
      <c r="AD242">
        <f>_xlfn.XLOOKUP(B242,'[3]may-2025'!$A:$A,'[3]may-2025'!$C:$C,0,0)</f>
        <v>28900</v>
      </c>
      <c r="AE242">
        <f>AD242*0.18</f>
        <v>5202</v>
      </c>
      <c r="AF242">
        <f>AD242*0.12</f>
        <v>3468</v>
      </c>
      <c r="AG242">
        <f>_xlfn.XLOOKUP(B242,'[3]may-2025'!$A:$A,'[3]may-2025'!$D:$D,0,0)</f>
        <v>0</v>
      </c>
      <c r="AH242">
        <f>_xlfn.XLOOKUP(B242,'[3]may-2025'!$A:$A,'[3]may-2025'!$G:$G,0,0)</f>
        <v>0</v>
      </c>
      <c r="AI242">
        <f>IF(AD242&gt;0,SUM(AD242:AH242),0)</f>
        <v>37570</v>
      </c>
      <c r="AJ242">
        <f>_xlfn.XLOOKUP(B242,'[3]may-2025'!$A:$A,'[3]may-2025'!$H:$H,0,0)</f>
        <v>2000</v>
      </c>
      <c r="AK242">
        <f>_xlfn.XLOOKUP(B242,'[3]may-2025'!$A:$A,'[3]may-2025'!$I:$I,0,0)</f>
        <v>0</v>
      </c>
      <c r="AL242">
        <f>IF($F242="YES",0,IF(AI242&gt;40000,200,IF(AI242&gt;25000,150,IF(AI242&gt;15000,130,IF(AI242&gt;10000,110,0)))))</f>
        <v>150</v>
      </c>
      <c r="AM242">
        <f>AI242-AJ242-AK242-AL242</f>
        <v>35420</v>
      </c>
      <c r="AN242">
        <f>_xlfn.XLOOKUP(B242,'[4]june-2025'!$A:$A,'[4]june-2025'!$C:$C,0,0)</f>
        <v>28900</v>
      </c>
      <c r="AO242">
        <f>AN242*0.18</f>
        <v>5202</v>
      </c>
      <c r="AP242">
        <f>AN242*0.12</f>
        <v>3468</v>
      </c>
      <c r="AQ242">
        <f>_xlfn.XLOOKUP(B242,'[4]june-2025'!$A:$A,'[4]june-2025'!$D:$D,0,0)</f>
        <v>0</v>
      </c>
      <c r="AR242">
        <f>_xlfn.XLOOKUP(B242,'[4]june-2025'!$A:$A,'[4]june-2025'!$G:$G,0,0)</f>
        <v>0</v>
      </c>
      <c r="AS242">
        <f>IF(AN242&gt;0,SUM(AN242:AR242),0)</f>
        <v>37570</v>
      </c>
      <c r="AT242">
        <f>_xlfn.XLOOKUP(B242,'[4]june-2025'!$A:$A,'[4]june-2025'!$H:$H,0,0)</f>
        <v>2000</v>
      </c>
      <c r="AU242">
        <f>_xlfn.XLOOKUP(B242,'[4]june-2025'!$A:$A,'[4]june-2025'!$I:$I,0,0)</f>
        <v>0</v>
      </c>
      <c r="AV242">
        <f>IF($F242="YES",0,IF(AS242&gt;40000,200,IF(AS242&gt;25000,150,IF(AS242&gt;15000,130,IF(AS242&gt;10000,110,0)))))</f>
        <v>150</v>
      </c>
      <c r="AW242">
        <f>AS242-AT242-AU242-AV242</f>
        <v>35420</v>
      </c>
      <c r="AX242">
        <f>_xlfn.XLOOKUP(B242,'[5]july-2025'!$A:$A,'[5]july-2025'!$C:$C,0,0)</f>
        <v>29800</v>
      </c>
      <c r="AY242">
        <f>AX242*0.18</f>
        <v>5364</v>
      </c>
      <c r="AZ242">
        <v>0</v>
      </c>
      <c r="BA242">
        <f>AX242*0.12</f>
        <v>3576</v>
      </c>
      <c r="BB242">
        <f>_xlfn.XLOOKUP(B242,'[5]july-2025'!$A:$A,'[5]july-2025'!$D:$D,0,0)</f>
        <v>0</v>
      </c>
      <c r="BC242">
        <f>_xlfn.XLOOKUP(B242,'[5]july-2025'!$A:$A,'[5]july-2025'!$G:$G,0,0)</f>
        <v>0</v>
      </c>
      <c r="BD242">
        <f>IF(AX242&gt;0,SUM(AX242:BC242),0)</f>
        <v>38740</v>
      </c>
      <c r="BE242">
        <f>_xlfn.XLOOKUP(B242,'[5]july-2025'!$A:$A,'[5]july-2025'!$H:$H,0,0)</f>
        <v>2000</v>
      </c>
      <c r="BF242">
        <f>_xlfn.XLOOKUP(B242,'[5]july-2025'!$A:$A,'[5]july-2025'!$I:$I,0,0)</f>
        <v>0</v>
      </c>
      <c r="BG242">
        <f>IF($F242="YES",0,IF(BD242&gt;40000,200,IF(BD242&gt;25000,150,IF(BD242&gt;15000,130,IF(BD242&gt;10000,110,0)))))</f>
        <v>150</v>
      </c>
      <c r="BH242">
        <f>BD242-BE242-BF242-BG242</f>
        <v>36590</v>
      </c>
      <c r="BI242">
        <f>_xlfn.XLOOKUP(B242,'[6]august-2025'!$A:$A,'[6]august-2025'!$C:$C,0,0)</f>
        <v>29800</v>
      </c>
      <c r="BJ242">
        <f>BI242*0.18</f>
        <v>5364</v>
      </c>
      <c r="BK242">
        <f>BI242*0.12</f>
        <v>3576</v>
      </c>
      <c r="BL242">
        <f>_xlfn.XLOOKUP(B242,'[6]august-2025'!$A:$A,'[6]august-2025'!$D:$D,0,0)</f>
        <v>0</v>
      </c>
      <c r="BM242">
        <f>_xlfn.XLOOKUP(B242,'[6]august-2025'!$A:$A,'[6]august-2025'!$G:$G,0,0)</f>
        <v>0</v>
      </c>
      <c r="BN242">
        <f>IF(BI242&gt;0,SUM(BI242:BM242),0)</f>
        <v>38740</v>
      </c>
      <c r="BO242">
        <f>_xlfn.XLOOKUP(B242,'[6]august-2025'!$A:$A,'[6]august-2025'!$H:$H,0,0)</f>
        <v>2000</v>
      </c>
      <c r="BP242">
        <f>_xlfn.XLOOKUP(B242,'[6]august-2025'!$A:$A,'[6]august-2025'!$I:$I,0,0)</f>
        <v>0</v>
      </c>
      <c r="BQ242">
        <f>IF($F242="YES",0,IF(BN242&gt;40000,200,IF(BN242&gt;25000,150,IF(BN242&gt;15000,130,IF(BN242&gt;10000,110,0)))))</f>
        <v>150</v>
      </c>
      <c r="BR242">
        <f>BN242-BO242-BP242-BQ242</f>
        <v>36590</v>
      </c>
      <c r="BS242">
        <f>_xlfn.XLOOKUP(B242,'[7]september-2025'!$A:$A,'[7]september-2025'!$C:$C,0,0)</f>
        <v>29800</v>
      </c>
      <c r="BT242">
        <f>BS242*0.18</f>
        <v>5364</v>
      </c>
      <c r="BU242">
        <f>BS242*0.12</f>
        <v>3576</v>
      </c>
      <c r="BV242">
        <f>_xlfn.XLOOKUP(B242,'[7]september-2025'!$A:$A,'[7]september-2025'!$D:$D,0,0)</f>
        <v>0</v>
      </c>
      <c r="BW242">
        <f>_xlfn.XLOOKUP(B242,'[7]september-2025'!$A:$A,'[7]september-2025'!$G:$G,0,0)</f>
        <v>0</v>
      </c>
      <c r="BX242">
        <f>IF(BS242&gt;0,SUM(BS242:BW242),0)</f>
        <v>38740</v>
      </c>
      <c r="BY242">
        <f>_xlfn.XLOOKUP(B242,'[7]september-2025'!$A:$A,'[7]september-2025'!$H:$H,0,0)</f>
        <v>2000</v>
      </c>
      <c r="BZ242">
        <f>_xlfn.XLOOKUP(B242,'[7]september-2025'!$A:$A,'[7]september-2025'!$I:$I,0,0)</f>
        <v>0</v>
      </c>
      <c r="CA242">
        <f>IF($F242="YES",0,IF(BX242&gt;40000,200,IF(BX242&gt;25000,150,IF(BX242&gt;15000,130,IF(BX242&gt;10000,110,0)))))</f>
        <v>150</v>
      </c>
      <c r="CB242">
        <f>BX242-BY242-BZ242-CA242</f>
        <v>36590</v>
      </c>
      <c r="CC242">
        <f>_xlfn.XLOOKUP(B242,'[8]october-2025'!$A:$A,'[8]october-2025'!$C:$C,0,0)</f>
        <v>29800</v>
      </c>
      <c r="CD242">
        <f>CC242*0.18</f>
        <v>5364</v>
      </c>
      <c r="CE242">
        <f>CC242*0.12</f>
        <v>3576</v>
      </c>
      <c r="CF242">
        <f>_xlfn.XLOOKUP(B242,'[8]october-2025'!$A:$A,'[8]october-2025'!$D:$D,0,0)</f>
        <v>0</v>
      </c>
      <c r="CG242">
        <f>_xlfn.XLOOKUP(B242,'[8]october-2025'!$A:$A,'[8]october-2025'!$G:$G,0,0)</f>
        <v>0</v>
      </c>
      <c r="CH242">
        <f>IF(CC242&gt;0,SUM(CC242:CG242),0)</f>
        <v>38740</v>
      </c>
      <c r="CI242">
        <f>_xlfn.XLOOKUP(B242,'[8]october-2025'!$A:$A,'[8]october-2025'!$H:$H,0,0)</f>
        <v>2000</v>
      </c>
      <c r="CJ242">
        <f>_xlfn.XLOOKUP(B242,'[8]october-2025'!$A:$A,'[8]october-2025'!$I:$I,0,0)</f>
        <v>0</v>
      </c>
      <c r="CK242">
        <f>IF($F242="YES",0,IF(CH242&gt;40000,200,IF(CH242&gt;25000,150,IF(CH242&gt;15000,130,IF(CH242&gt;10000,110,0)))))</f>
        <v>150</v>
      </c>
      <c r="CL242">
        <f>CH242-CI242-CJ242-CK242</f>
        <v>36590</v>
      </c>
      <c r="CM242">
        <f>_xlfn.XLOOKUP(B242,'[9]november-2025'!$A:$A,'[9]november-2025'!$C:$C,0,0)</f>
        <v>29800</v>
      </c>
      <c r="CN242">
        <f>CM242*0.18</f>
        <v>5364</v>
      </c>
      <c r="CO242">
        <f>CM242*0.12</f>
        <v>3576</v>
      </c>
      <c r="CP242">
        <f>_xlfn.XLOOKUP(B242,'[9]november-2025'!$A:$A,'[9]november-2025'!$D:$D,0,0)</f>
        <v>0</v>
      </c>
      <c r="CQ242">
        <f>_xlfn.XLOOKUP(B242,'[9]november-2025'!$A:$A,'[9]november-2025'!$G:$G,0,0)</f>
        <v>0</v>
      </c>
      <c r="CR242">
        <f>IF(CM242&gt;0,SUM(CM242:CQ242),0)</f>
        <v>38740</v>
      </c>
      <c r="CS242">
        <f>_xlfn.XLOOKUP(B242,'[9]november-2025'!$A:$A,'[9]november-2025'!$H:$H,0,0)</f>
        <v>2000</v>
      </c>
      <c r="CT242">
        <f>_xlfn.XLOOKUP(B242,'[9]november-2025'!$A:$A,'[9]november-2025'!$I:$I,0,0)</f>
        <v>0</v>
      </c>
      <c r="CU242">
        <f>IF($F242="YES",0,IF(CR242&gt;40000,200,IF(CR242&gt;25000,150,IF(CR242&gt;15000,130,IF(CR242&gt;10000,110,0)))))</f>
        <v>150</v>
      </c>
      <c r="CV242">
        <f>CR242-CS242-CT242-CU242</f>
        <v>36590</v>
      </c>
      <c r="CW242">
        <f>_xlfn.XLOOKUP(B242,'[10]december-2025'!$A:$A,'[10]december-2025'!$C:$C,0,0)</f>
        <v>29800</v>
      </c>
      <c r="CX242">
        <f>ROUND(CW242*0.18,0)</f>
        <v>5364</v>
      </c>
      <c r="CY242">
        <f>ROUND(CW242*0.12,0)</f>
        <v>3576</v>
      </c>
      <c r="CZ242">
        <f>_xlfn.XLOOKUP(B242,'[10]december-2025'!$A:$A,'[10]december-2025'!$D:$D,0,0)</f>
        <v>0</v>
      </c>
      <c r="DA242">
        <f>_xlfn.XLOOKUP(B242,'[10]december-2025'!$A:$A,'[10]december-2025'!$G:$G,0,0)</f>
        <v>0</v>
      </c>
      <c r="DB242">
        <f>IF(CW242&gt;0,SUM(CW242:DA242),0)</f>
        <v>38740</v>
      </c>
      <c r="DC242">
        <f>_xlfn.XLOOKUP(B242,'[10]december-2025'!$A:$A,'[10]december-2025'!$H:$H,0,0)</f>
        <v>2000</v>
      </c>
      <c r="DD242">
        <f>_xlfn.XLOOKUP(B242,'[10]december-2025'!$A:$A,'[10]december-2025'!$I:$I,0,0)</f>
        <v>0</v>
      </c>
      <c r="DE242">
        <f>IF($F242="YES",0,IF(DB242&gt;40000,200,IF(DB242&gt;25000,150,IF(DB242&gt;15000,130,IF(DB242&gt;10000,110,0)))))</f>
        <v>150</v>
      </c>
      <c r="DF242">
        <f>DB242-DC242-DD242-DE242</f>
        <v>36590</v>
      </c>
      <c r="DG242">
        <f>_xlfn.XLOOKUP(B242,'[11]january-2026'!$A:$A,'[11]january-2026'!$C:$C,0,0)</f>
        <v>29800</v>
      </c>
      <c r="DH242">
        <f>DG242*0.18</f>
        <v>5364</v>
      </c>
      <c r="DI242">
        <f>DG242*0.12</f>
        <v>3576</v>
      </c>
      <c r="DJ242">
        <f>_xlfn.XLOOKUP(B242,'[11]january-2026'!$A:$A,'[11]january-2026'!$D:$D,0,0)</f>
        <v>0</v>
      </c>
      <c r="DK242">
        <f>_xlfn.XLOOKUP(B242,'[11]january-2026'!$A:$A,'[11]january-2026'!$G:$G,0,0)</f>
        <v>0</v>
      </c>
      <c r="DL242">
        <f>IF(DG242&gt;0,SUM(DG242:DK242),0)</f>
        <v>38740</v>
      </c>
      <c r="DM242">
        <f>_xlfn.XLOOKUP(B242,'[11]january-2026'!$A:$A,'[11]january-2026'!$H:$H,0,0)</f>
        <v>2000</v>
      </c>
      <c r="DN242">
        <f>_xlfn.XLOOKUP(B242,'[11]january-2026'!$A:$A,'[11]january-2026'!$I:$I,0,0)</f>
        <v>0</v>
      </c>
      <c r="DO242">
        <f>IF($F242="YES",0,IF(DL242&gt;40000,200,IF(DL242&gt;25000,150,IF(DL242&gt;15000,130,IF(DL242&gt;10000,110,0)))))</f>
        <v>150</v>
      </c>
      <c r="DP242">
        <f>DL242-DM242-DN242-DO242</f>
        <v>36590</v>
      </c>
      <c r="DQ242">
        <f>_xlfn.XLOOKUP(B242,'[12]february-2026'!$A:$A,'[12]february-2026'!$C:$C,0,0)</f>
        <v>29800</v>
      </c>
      <c r="DR242">
        <f>DQ242*0.18</f>
        <v>5364</v>
      </c>
      <c r="DS242">
        <f>DQ242*0.12</f>
        <v>3576</v>
      </c>
      <c r="DT242">
        <f>_xlfn.XLOOKUP(B242,'[12]february-2026'!$A:$A,'[12]february-2026'!$D:$D,0,0)</f>
        <v>0</v>
      </c>
      <c r="DU242">
        <f>_xlfn.XLOOKUP(B242,'[12]february-2026'!$A:$A,'[12]february-2026'!$G:$G,0,0)</f>
        <v>0</v>
      </c>
      <c r="DV242">
        <f>IF(DQ242&gt;0,SUM(DQ242:DU242),0)</f>
        <v>38740</v>
      </c>
      <c r="DW242">
        <f>_xlfn.XLOOKUP(B242,'[12]february-2026'!$A:$A,'[12]february-2026'!$H:$H,0,0)</f>
        <v>2000</v>
      </c>
      <c r="DX242">
        <f>_xlfn.XLOOKUP(B242,'[12]february-2026'!$A:$A,'[12]february-2026'!$I:$I,0,0)</f>
        <v>0</v>
      </c>
      <c r="DY242">
        <f>IF($F242="YES",0,IF(DV242&gt;40000,200,IF(DV242&gt;25000,150,IF(DV242&gt;15000,130,IF(DV242&gt;10000,110,0)))))</f>
        <v>150</v>
      </c>
      <c r="DZ242">
        <f>DV242-DW242-DX242-DY242</f>
        <v>36590</v>
      </c>
      <c r="EA242">
        <f>DV242+DL242+DB242+CR242+CH242+BX242+BN242+BD242+AS242+AI242+Y242+O242+H242+I242</f>
        <v>465844</v>
      </c>
      <c r="EB242">
        <f>DY242+DO242+DE242+CU242+CK242+CA242+BQ242+BG242+AV242+AL242+AB242+R242</f>
        <v>1800</v>
      </c>
      <c r="EC242">
        <f>IF(EA242&gt;0,50000,0)</f>
        <v>50000</v>
      </c>
      <c r="ED242">
        <v>0</v>
      </c>
      <c r="EE242">
        <f>EA242-EB242-EC242</f>
        <v>414044</v>
      </c>
      <c r="EF242">
        <f>DW242+DM242+DC242+CS242+CI242+BY242+BO242+BE242+AT242+AJ242+Z242+P242</f>
        <v>24000</v>
      </c>
      <c r="EG242">
        <f>DX242+DN242+DD242+CT242+CJ242+BZ242+BP242+BF242+AU242+AK242+AA242+Q242</f>
        <v>0</v>
      </c>
      <c r="EH242">
        <v>0</v>
      </c>
      <c r="EI242">
        <v>0</v>
      </c>
      <c r="EJ242">
        <v>0</v>
      </c>
      <c r="EK242">
        <v>0</v>
      </c>
      <c r="EL242">
        <v>0</v>
      </c>
      <c r="EM242">
        <v>0</v>
      </c>
      <c r="EN242">
        <v>0</v>
      </c>
      <c r="EO242">
        <v>0</v>
      </c>
      <c r="EP242">
        <v>0</v>
      </c>
      <c r="EQ242">
        <v>0</v>
      </c>
      <c r="ER242">
        <f>SUM(EF242:EQ242)</f>
        <v>24000</v>
      </c>
      <c r="ES242">
        <f>IF(ER242&gt;=150000,150000,ER242)</f>
        <v>24000</v>
      </c>
      <c r="ET242">
        <f>EE242-ES242</f>
        <v>390044</v>
      </c>
      <c r="EU242">
        <v>0</v>
      </c>
      <c r="EV242">
        <v>0</v>
      </c>
      <c r="EW242">
        <v>0</v>
      </c>
      <c r="EX242">
        <v>0</v>
      </c>
      <c r="EY242">
        <v>0</v>
      </c>
      <c r="EZ242">
        <v>0</v>
      </c>
      <c r="FA242">
        <v>0</v>
      </c>
      <c r="FB242">
        <f>SUM(EU242:FA242)+(IF(F242="YES",50000,0))</f>
        <v>0</v>
      </c>
      <c r="FC242">
        <f>ET242-FB242</f>
        <v>390044</v>
      </c>
      <c r="FD242">
        <f>ROUND(IF(FC242&gt;0,IF(FC242&gt;500000,12500,(FC242-250000)*0.05),0),0)</f>
        <v>7002</v>
      </c>
      <c r="FE242">
        <f>IF(ROUND(IF(FC242&gt;0,IF(FC242&gt;1000000,25000,(FC242-500000)*0.2),0),0)&lt;0,0,ROUND(IF(FC242&gt;0,IF(FC242&gt;1000000,25000,(FC242-500000)*0.2),0),0))</f>
        <v>0</v>
      </c>
      <c r="FF242">
        <f>FD242+FE242</f>
        <v>7002</v>
      </c>
      <c r="FG242">
        <f>IF(FF242&lt;12500,0,FF242)</f>
        <v>0</v>
      </c>
      <c r="FH242">
        <f>FG242*0.04</f>
        <v>0</v>
      </c>
      <c r="FI242">
        <f>ROUND(FH242+FG242,0)</f>
        <v>0</v>
      </c>
      <c r="FJ242">
        <v>0</v>
      </c>
      <c r="FK242">
        <f>FI242-FJ242</f>
        <v>0</v>
      </c>
      <c r="FL242" t="b">
        <f>IF(EA242&gt;500000,TRUE,FALSE)</f>
        <v>0</v>
      </c>
      <c r="FM242">
        <f ca="1">IF(FL242,RANDBETWEEN(500,1000),RANDBETWEEN(1000,3000))</f>
        <v>2306</v>
      </c>
      <c r="FN242">
        <f ca="1">EA242+FM242</f>
        <v>468150</v>
      </c>
      <c r="FO242">
        <f>IF(EA242&gt;0,75000,0)</f>
        <v>75000</v>
      </c>
      <c r="FP242">
        <f ca="1">FN242-FO242</f>
        <v>393150</v>
      </c>
      <c r="FQ242">
        <f ca="1">IF(FP242&gt;2400000,FP242-2400000,0)</f>
        <v>0</v>
      </c>
      <c r="FR242">
        <f ca="1">FQ242*0.3</f>
        <v>0</v>
      </c>
      <c r="FS242">
        <f ca="1">IF(FP242&gt;2000000,FP242-2000000,0)</f>
        <v>0</v>
      </c>
      <c r="FT242">
        <f ca="1">FS242*0.25</f>
        <v>0</v>
      </c>
      <c r="FU242">
        <f ca="1">IF(FP242&gt;1600000,FP242-1600000-FQ242,0)</f>
        <v>0</v>
      </c>
      <c r="FV242">
        <f ca="1">FU242*0.2</f>
        <v>0</v>
      </c>
      <c r="FW242">
        <f ca="1">IF(FP242&gt;1200000,FP242-1200000-IF(F242="YES",50000,0)-FU242,0)</f>
        <v>0</v>
      </c>
      <c r="FX242">
        <f ca="1">FW242*0.15</f>
        <v>0</v>
      </c>
      <c r="FY242">
        <f ca="1">IF(FP242&gt;800000,FP242-800000-FQ242-FU242-FW242,0)</f>
        <v>0</v>
      </c>
      <c r="FZ242">
        <f ca="1">FY242*0.1</f>
        <v>0</v>
      </c>
      <c r="GA242">
        <f ca="1">IF(FP242&gt;400000,FP242-400000-FQ242-FU242-FW242-FY242,0)</f>
        <v>0</v>
      </c>
      <c r="GB242">
        <f ca="1">GA242*0.05</f>
        <v>0</v>
      </c>
      <c r="GC242">
        <f ca="1">ROUND(FR242+FT242+FV242+FX242+FZ242+GB242,0)</f>
        <v>0</v>
      </c>
      <c r="GD242">
        <f ca="1">IF(FP242&gt;1200000,FP242,0)</f>
        <v>0</v>
      </c>
      <c r="GE242">
        <f ca="1">IF(FP242&gt;1200000,GD242-1200000,0)</f>
        <v>0</v>
      </c>
      <c r="GF242">
        <f ca="1">IF(FP242&lt;1200001,MIN(GC242,60000),0)</f>
        <v>0</v>
      </c>
      <c r="GG242">
        <f ca="1">IF(FP242&gt;1200000,GC242-GE242,0)</f>
        <v>0</v>
      </c>
      <c r="GH242" t="b">
        <f ca="1">IF(GG242&gt;0,TRUE,FALSE)</f>
        <v>0</v>
      </c>
      <c r="GI242">
        <f ca="1">IF(GH242,GG242,0)</f>
        <v>0</v>
      </c>
      <c r="GJ242">
        <f ca="1">GF242+GI242</f>
        <v>0</v>
      </c>
      <c r="GK242">
        <f ca="1">ROUND(GC242-GJ242,0)</f>
        <v>0</v>
      </c>
      <c r="GL242">
        <f ca="1">GK242*0.04</f>
        <v>0</v>
      </c>
      <c r="GM242">
        <f ca="1">ROUNDUP(GK242+GL242,0)</f>
        <v>0</v>
      </c>
    </row>
    <row r="243" spans="1:195" x14ac:dyDescent="0.25">
      <c r="A243">
        <f>_xlfn.AGGREGATE(3,5,$B$2:B243)</f>
        <v>242</v>
      </c>
      <c r="B243" t="s">
        <v>595</v>
      </c>
      <c r="C243" t="s">
        <v>596</v>
      </c>
      <c r="D243" t="s">
        <v>814</v>
      </c>
      <c r="E243" t="s">
        <v>833</v>
      </c>
      <c r="F243" t="s">
        <v>959</v>
      </c>
      <c r="G243" t="s">
        <v>891</v>
      </c>
      <c r="H243">
        <f>IF(_xlfn.DAYS("31-03-2025",G243)&gt;=180,6800,0)</f>
        <v>6800</v>
      </c>
      <c r="I243">
        <f>_xlfn.XLOOKUP(B243,'[1]march-2025'!$A:$A,'[1]march-2025'!$J:$J,0,0)</f>
        <v>0</v>
      </c>
      <c r="J243">
        <f>_xlfn.XLOOKUP(B243,'[1]march-2025'!$A:$A,'[1]march-2025'!$C:$C,0,0)</f>
        <v>28900</v>
      </c>
      <c r="K243">
        <f>J243*0.14</f>
        <v>4046.0000000000005</v>
      </c>
      <c r="L243">
        <f>J243*0.12</f>
        <v>3468</v>
      </c>
      <c r="M243">
        <f>_xlfn.XLOOKUP(B243,'[1]march-2025'!$A:$A,'[1]march-2025'!$D:$D,0,0)</f>
        <v>0</v>
      </c>
      <c r="N243">
        <f>_xlfn.XLOOKUP(B243,'[1]march-2025'!$A:$A,'[1]march-2025'!$G:$G,0,0)</f>
        <v>500</v>
      </c>
      <c r="O243">
        <f>IF(J243&gt;0,SUM(J243:N243),0)</f>
        <v>36914</v>
      </c>
      <c r="P243">
        <f>_xlfn.XLOOKUP(B243,'[1]march-2025'!$A:$A,'[1]march-2025'!$H:$H,0,0)</f>
        <v>2000</v>
      </c>
      <c r="Q243">
        <f>_xlfn.XLOOKUP(B243,'[1]march-2025'!$A:$A,'[1]march-2025'!$I:$I,0,0)</f>
        <v>0</v>
      </c>
      <c r="R243">
        <f>IF($F243="YES",0,IF(O243&gt;40000,200,IF(O243&gt;25000,150,IF(O243&gt;15000,130,IF(O243&gt;10000,110,0)))))</f>
        <v>150</v>
      </c>
      <c r="S243">
        <f>O243-P243-Q243-R243</f>
        <v>34764</v>
      </c>
      <c r="T243">
        <f>_xlfn.XLOOKUP(B243,'[2]april-2025'!$A:$A,'[2]april-2025'!$C:$C,0,0)</f>
        <v>28900</v>
      </c>
      <c r="U243">
        <f>T243*0.18</f>
        <v>5202</v>
      </c>
      <c r="V243">
        <f>T243*0.12</f>
        <v>3468</v>
      </c>
      <c r="W243">
        <f>_xlfn.XLOOKUP(B243,'[2]april-2025'!$A:$A,'[2]april-2025'!$D:$D,0,0)</f>
        <v>0</v>
      </c>
      <c r="X243">
        <f>_xlfn.XLOOKUP(B243,'[2]april-2025'!$A:$A,'[2]april-2025'!$G:$G,0,0)</f>
        <v>500</v>
      </c>
      <c r="Y243">
        <f>IF(T243&gt;0,SUM(T243:X243),0)</f>
        <v>38070</v>
      </c>
      <c r="Z243">
        <f>_xlfn.XLOOKUP(B243,'[2]april-2025'!$A:$A,'[2]april-2025'!$H:$H,0,0)</f>
        <v>2000</v>
      </c>
      <c r="AA243">
        <f>_xlfn.XLOOKUP(B243,'[2]april-2025'!$A:$A,'[2]april-2025'!$I:$I,0,0)</f>
        <v>0</v>
      </c>
      <c r="AB243">
        <f>IF($F243="YES",0,IF(Y243&gt;40000,200,IF(Y243&gt;25000,150,IF(Y243&gt;15000,130,IF(Y243&gt;10000,110,0)))))</f>
        <v>150</v>
      </c>
      <c r="AC243">
        <f>Y243-Z243-AA243-AB243</f>
        <v>35920</v>
      </c>
      <c r="AD243">
        <f>_xlfn.XLOOKUP(B243,'[3]may-2025'!$A:$A,'[3]may-2025'!$C:$C,0,0)</f>
        <v>28900</v>
      </c>
      <c r="AE243">
        <f>AD243*0.18</f>
        <v>5202</v>
      </c>
      <c r="AF243">
        <f>AD243*0.12</f>
        <v>3468</v>
      </c>
      <c r="AG243">
        <f>_xlfn.XLOOKUP(B243,'[3]may-2025'!$A:$A,'[3]may-2025'!$D:$D,0,0)</f>
        <v>0</v>
      </c>
      <c r="AH243">
        <f>_xlfn.XLOOKUP(B243,'[3]may-2025'!$A:$A,'[3]may-2025'!$G:$G,0,0)</f>
        <v>500</v>
      </c>
      <c r="AI243">
        <f>IF(AD243&gt;0,SUM(AD243:AH243),0)</f>
        <v>38070</v>
      </c>
      <c r="AJ243">
        <f>_xlfn.XLOOKUP(B243,'[3]may-2025'!$A:$A,'[3]may-2025'!$H:$H,0,0)</f>
        <v>2000</v>
      </c>
      <c r="AK243">
        <f>_xlfn.XLOOKUP(B243,'[3]may-2025'!$A:$A,'[3]may-2025'!$I:$I,0,0)</f>
        <v>0</v>
      </c>
      <c r="AL243">
        <f>IF($F243="YES",0,IF(AI243&gt;40000,200,IF(AI243&gt;25000,150,IF(AI243&gt;15000,130,IF(AI243&gt;10000,110,0)))))</f>
        <v>150</v>
      </c>
      <c r="AM243">
        <f>AI243-AJ243-AK243-AL243</f>
        <v>35920</v>
      </c>
      <c r="AN243">
        <f>_xlfn.XLOOKUP(B243,'[4]june-2025'!$A:$A,'[4]june-2025'!$C:$C,0,0)</f>
        <v>28900</v>
      </c>
      <c r="AO243">
        <f>AN243*0.18</f>
        <v>5202</v>
      </c>
      <c r="AP243">
        <f>AN243*0.12</f>
        <v>3468</v>
      </c>
      <c r="AQ243">
        <f>_xlfn.XLOOKUP(B243,'[4]june-2025'!$A:$A,'[4]june-2025'!$D:$D,0,0)</f>
        <v>0</v>
      </c>
      <c r="AR243">
        <f>_xlfn.XLOOKUP(B243,'[4]june-2025'!$A:$A,'[4]june-2025'!$G:$G,0,0)</f>
        <v>500</v>
      </c>
      <c r="AS243">
        <f>IF(AN243&gt;0,SUM(AN243:AR243),0)</f>
        <v>38070</v>
      </c>
      <c r="AT243">
        <f>_xlfn.XLOOKUP(B243,'[4]june-2025'!$A:$A,'[4]june-2025'!$H:$H,0,0)</f>
        <v>2000</v>
      </c>
      <c r="AU243">
        <f>_xlfn.XLOOKUP(B243,'[4]june-2025'!$A:$A,'[4]june-2025'!$I:$I,0,0)</f>
        <v>0</v>
      </c>
      <c r="AV243">
        <f>IF($F243="YES",0,IF(AS243&gt;40000,200,IF(AS243&gt;25000,150,IF(AS243&gt;15000,130,IF(AS243&gt;10000,110,0)))))</f>
        <v>150</v>
      </c>
      <c r="AW243">
        <f>AS243-AT243-AU243-AV243</f>
        <v>35920</v>
      </c>
      <c r="AX243">
        <f>_xlfn.XLOOKUP(B243,'[5]july-2025'!$A:$A,'[5]july-2025'!$C:$C,0,0)</f>
        <v>29800</v>
      </c>
      <c r="AY243">
        <f>AX243*0.18</f>
        <v>5364</v>
      </c>
      <c r="AZ243">
        <v>0</v>
      </c>
      <c r="BA243">
        <f>AX243*0.12</f>
        <v>3576</v>
      </c>
      <c r="BB243">
        <f>_xlfn.XLOOKUP(B243,'[5]july-2025'!$A:$A,'[5]july-2025'!$D:$D,0,0)</f>
        <v>0</v>
      </c>
      <c r="BC243">
        <f>_xlfn.XLOOKUP(B243,'[5]july-2025'!$A:$A,'[5]july-2025'!$G:$G,0,0)</f>
        <v>500</v>
      </c>
      <c r="BD243">
        <f>IF(AX243&gt;0,SUM(AX243:BC243),0)</f>
        <v>39240</v>
      </c>
      <c r="BE243">
        <f>_xlfn.XLOOKUP(B243,'[5]july-2025'!$A:$A,'[5]july-2025'!$H:$H,0,0)</f>
        <v>2000</v>
      </c>
      <c r="BF243">
        <f>_xlfn.XLOOKUP(B243,'[5]july-2025'!$A:$A,'[5]july-2025'!$I:$I,0,0)</f>
        <v>0</v>
      </c>
      <c r="BG243">
        <f>IF($F243="YES",0,IF(BD243&gt;40000,200,IF(BD243&gt;25000,150,IF(BD243&gt;15000,130,IF(BD243&gt;10000,110,0)))))</f>
        <v>150</v>
      </c>
      <c r="BH243">
        <f>BD243-BE243-BF243-BG243</f>
        <v>37090</v>
      </c>
      <c r="BI243">
        <f>_xlfn.XLOOKUP(B243,'[6]august-2025'!$A:$A,'[6]august-2025'!$C:$C,0,0)</f>
        <v>29800</v>
      </c>
      <c r="BJ243">
        <f>BI243*0.18</f>
        <v>5364</v>
      </c>
      <c r="BK243">
        <f>BI243*0.12</f>
        <v>3576</v>
      </c>
      <c r="BL243">
        <f>_xlfn.XLOOKUP(B243,'[6]august-2025'!$A:$A,'[6]august-2025'!$D:$D,0,0)</f>
        <v>0</v>
      </c>
      <c r="BM243">
        <f>_xlfn.XLOOKUP(B243,'[6]august-2025'!$A:$A,'[6]august-2025'!$G:$G,0,0)</f>
        <v>500</v>
      </c>
      <c r="BN243">
        <f>IF(BI243&gt;0,SUM(BI243:BM243),0)</f>
        <v>39240</v>
      </c>
      <c r="BO243">
        <f>_xlfn.XLOOKUP(B243,'[6]august-2025'!$A:$A,'[6]august-2025'!$H:$H,0,0)</f>
        <v>2000</v>
      </c>
      <c r="BP243">
        <f>_xlfn.XLOOKUP(B243,'[6]august-2025'!$A:$A,'[6]august-2025'!$I:$I,0,0)</f>
        <v>0</v>
      </c>
      <c r="BQ243">
        <f>IF($F243="YES",0,IF(BN243&gt;40000,200,IF(BN243&gt;25000,150,IF(BN243&gt;15000,130,IF(BN243&gt;10000,110,0)))))</f>
        <v>150</v>
      </c>
      <c r="BR243">
        <f>BN243-BO243-BP243-BQ243</f>
        <v>37090</v>
      </c>
      <c r="BS243">
        <f>_xlfn.XLOOKUP(B243,'[7]september-2025'!$A:$A,'[7]september-2025'!$C:$C,0,0)</f>
        <v>29800</v>
      </c>
      <c r="BT243">
        <f>BS243*0.18</f>
        <v>5364</v>
      </c>
      <c r="BU243">
        <f>BS243*0.12</f>
        <v>3576</v>
      </c>
      <c r="BV243">
        <f>_xlfn.XLOOKUP(B243,'[7]september-2025'!$A:$A,'[7]september-2025'!$D:$D,0,0)</f>
        <v>0</v>
      </c>
      <c r="BW243">
        <f>_xlfn.XLOOKUP(B243,'[7]september-2025'!$A:$A,'[7]september-2025'!$G:$G,0,0)</f>
        <v>500</v>
      </c>
      <c r="BX243">
        <f>IF(BS243&gt;0,SUM(BS243:BW243),0)</f>
        <v>39240</v>
      </c>
      <c r="BY243">
        <f>_xlfn.XLOOKUP(B243,'[7]september-2025'!$A:$A,'[7]september-2025'!$H:$H,0,0)</f>
        <v>2000</v>
      </c>
      <c r="BZ243">
        <f>_xlfn.XLOOKUP(B243,'[7]september-2025'!$A:$A,'[7]september-2025'!$I:$I,0,0)</f>
        <v>0</v>
      </c>
      <c r="CA243">
        <f>IF($F243="YES",0,IF(BX243&gt;40000,200,IF(BX243&gt;25000,150,IF(BX243&gt;15000,130,IF(BX243&gt;10000,110,0)))))</f>
        <v>150</v>
      </c>
      <c r="CB243">
        <f>BX243-BY243-BZ243-CA243</f>
        <v>37090</v>
      </c>
      <c r="CC243">
        <f>_xlfn.XLOOKUP(B243,'[8]october-2025'!$A:$A,'[8]october-2025'!$C:$C,0,0)</f>
        <v>29800</v>
      </c>
      <c r="CD243">
        <f>CC243*0.18</f>
        <v>5364</v>
      </c>
      <c r="CE243">
        <f>CC243*0.12</f>
        <v>3576</v>
      </c>
      <c r="CF243">
        <f>_xlfn.XLOOKUP(B243,'[8]october-2025'!$A:$A,'[8]october-2025'!$D:$D,0,0)</f>
        <v>0</v>
      </c>
      <c r="CG243">
        <f>_xlfn.XLOOKUP(B243,'[8]october-2025'!$A:$A,'[8]october-2025'!$G:$G,0,0)</f>
        <v>500</v>
      </c>
      <c r="CH243">
        <f>IF(CC243&gt;0,SUM(CC243:CG243),0)</f>
        <v>39240</v>
      </c>
      <c r="CI243">
        <f>_xlfn.XLOOKUP(B243,'[8]october-2025'!$A:$A,'[8]october-2025'!$H:$H,0,0)</f>
        <v>2000</v>
      </c>
      <c r="CJ243">
        <f>_xlfn.XLOOKUP(B243,'[8]october-2025'!$A:$A,'[8]october-2025'!$I:$I,0,0)</f>
        <v>0</v>
      </c>
      <c r="CK243">
        <f>IF($F243="YES",0,IF(CH243&gt;40000,200,IF(CH243&gt;25000,150,IF(CH243&gt;15000,130,IF(CH243&gt;10000,110,0)))))</f>
        <v>150</v>
      </c>
      <c r="CL243">
        <f>CH243-CI243-CJ243-CK243</f>
        <v>37090</v>
      </c>
      <c r="CM243">
        <f>_xlfn.XLOOKUP(B243,'[9]november-2025'!$A:$A,'[9]november-2025'!$C:$C,0,0)</f>
        <v>29800</v>
      </c>
      <c r="CN243">
        <f>CM243*0.18</f>
        <v>5364</v>
      </c>
      <c r="CO243">
        <f>CM243*0.12</f>
        <v>3576</v>
      </c>
      <c r="CP243">
        <f>_xlfn.XLOOKUP(B243,'[9]november-2025'!$A:$A,'[9]november-2025'!$D:$D,0,0)</f>
        <v>0</v>
      </c>
      <c r="CQ243">
        <f>_xlfn.XLOOKUP(B243,'[9]november-2025'!$A:$A,'[9]november-2025'!$G:$G,0,0)</f>
        <v>500</v>
      </c>
      <c r="CR243">
        <f>IF(CM243&gt;0,SUM(CM243:CQ243),0)</f>
        <v>39240</v>
      </c>
      <c r="CS243">
        <f>_xlfn.XLOOKUP(B243,'[9]november-2025'!$A:$A,'[9]november-2025'!$H:$H,0,0)</f>
        <v>2000</v>
      </c>
      <c r="CT243">
        <f>_xlfn.XLOOKUP(B243,'[9]november-2025'!$A:$A,'[9]november-2025'!$I:$I,0,0)</f>
        <v>0</v>
      </c>
      <c r="CU243">
        <f>IF($F243="YES",0,IF(CR243&gt;40000,200,IF(CR243&gt;25000,150,IF(CR243&gt;15000,130,IF(CR243&gt;10000,110,0)))))</f>
        <v>150</v>
      </c>
      <c r="CV243">
        <f>CR243-CS243-CT243-CU243</f>
        <v>37090</v>
      </c>
      <c r="CW243">
        <f>_xlfn.XLOOKUP(B243,'[10]december-2025'!$A:$A,'[10]december-2025'!$C:$C,0,0)</f>
        <v>29800</v>
      </c>
      <c r="CX243">
        <f>ROUND(CW243*0.18,0)</f>
        <v>5364</v>
      </c>
      <c r="CY243">
        <f>ROUND(CW243*0.12,0)</f>
        <v>3576</v>
      </c>
      <c r="CZ243">
        <f>_xlfn.XLOOKUP(B243,'[10]december-2025'!$A:$A,'[10]december-2025'!$D:$D,0,0)</f>
        <v>0</v>
      </c>
      <c r="DA243">
        <f>_xlfn.XLOOKUP(B243,'[10]december-2025'!$A:$A,'[10]december-2025'!$G:$G,0,0)</f>
        <v>500</v>
      </c>
      <c r="DB243">
        <f>IF(CW243&gt;0,SUM(CW243:DA243),0)</f>
        <v>39240</v>
      </c>
      <c r="DC243">
        <f>_xlfn.XLOOKUP(B243,'[10]december-2025'!$A:$A,'[10]december-2025'!$H:$H,0,0)</f>
        <v>2000</v>
      </c>
      <c r="DD243">
        <f>_xlfn.XLOOKUP(B243,'[10]december-2025'!$A:$A,'[10]december-2025'!$I:$I,0,0)</f>
        <v>0</v>
      </c>
      <c r="DE243">
        <f>IF($F243="YES",0,IF(DB243&gt;40000,200,IF(DB243&gt;25000,150,IF(DB243&gt;15000,130,IF(DB243&gt;10000,110,0)))))</f>
        <v>150</v>
      </c>
      <c r="DF243">
        <f>DB243-DC243-DD243-DE243</f>
        <v>37090</v>
      </c>
      <c r="DG243">
        <f>_xlfn.XLOOKUP(B243,'[11]january-2026'!$A:$A,'[11]january-2026'!$C:$C,0,0)</f>
        <v>29800</v>
      </c>
      <c r="DH243">
        <f>DG243*0.18</f>
        <v>5364</v>
      </c>
      <c r="DI243">
        <f>DG243*0.12</f>
        <v>3576</v>
      </c>
      <c r="DJ243">
        <f>_xlfn.XLOOKUP(B243,'[11]january-2026'!$A:$A,'[11]january-2026'!$D:$D,0,0)</f>
        <v>0</v>
      </c>
      <c r="DK243">
        <f>_xlfn.XLOOKUP(B243,'[11]january-2026'!$A:$A,'[11]january-2026'!$G:$G,0,0)</f>
        <v>500</v>
      </c>
      <c r="DL243">
        <f>IF(DG243&gt;0,SUM(DG243:DK243),0)</f>
        <v>39240</v>
      </c>
      <c r="DM243">
        <f>_xlfn.XLOOKUP(B243,'[11]january-2026'!$A:$A,'[11]january-2026'!$H:$H,0,0)</f>
        <v>2000</v>
      </c>
      <c r="DN243">
        <f>_xlfn.XLOOKUP(B243,'[11]january-2026'!$A:$A,'[11]january-2026'!$I:$I,0,0)</f>
        <v>0</v>
      </c>
      <c r="DO243">
        <f>IF($F243="YES",0,IF(DL243&gt;40000,200,IF(DL243&gt;25000,150,IF(DL243&gt;15000,130,IF(DL243&gt;10000,110,0)))))</f>
        <v>150</v>
      </c>
      <c r="DP243">
        <f>DL243-DM243-DN243-DO243</f>
        <v>37090</v>
      </c>
      <c r="DQ243">
        <f>_xlfn.XLOOKUP(B243,'[12]february-2026'!$A:$A,'[12]february-2026'!$C:$C,0,0)</f>
        <v>29800</v>
      </c>
      <c r="DR243">
        <f>DQ243*0.18</f>
        <v>5364</v>
      </c>
      <c r="DS243">
        <f>DQ243*0.12</f>
        <v>3576</v>
      </c>
      <c r="DT243">
        <f>_xlfn.XLOOKUP(B243,'[12]february-2026'!$A:$A,'[12]february-2026'!$D:$D,0,0)</f>
        <v>0</v>
      </c>
      <c r="DU243">
        <f>_xlfn.XLOOKUP(B243,'[12]february-2026'!$A:$A,'[12]february-2026'!$G:$G,0,0)</f>
        <v>500</v>
      </c>
      <c r="DV243">
        <f>IF(DQ243&gt;0,SUM(DQ243:DU243),0)</f>
        <v>39240</v>
      </c>
      <c r="DW243">
        <f>_xlfn.XLOOKUP(B243,'[12]february-2026'!$A:$A,'[12]february-2026'!$H:$H,0,0)</f>
        <v>2000</v>
      </c>
      <c r="DX243">
        <f>_xlfn.XLOOKUP(B243,'[12]february-2026'!$A:$A,'[12]february-2026'!$I:$I,0,0)</f>
        <v>0</v>
      </c>
      <c r="DY243">
        <f>IF($F243="YES",0,IF(DV243&gt;40000,200,IF(DV243&gt;25000,150,IF(DV243&gt;15000,130,IF(DV243&gt;10000,110,0)))))</f>
        <v>150</v>
      </c>
      <c r="DZ243">
        <f>DV243-DW243-DX243-DY243</f>
        <v>37090</v>
      </c>
      <c r="EA243">
        <f>DV243+DL243+DB243+CR243+CH243+BX243+BN243+BD243+AS243+AI243+Y243+O243+H243+I243</f>
        <v>471844</v>
      </c>
      <c r="EB243">
        <f>DY243+DO243+DE243+CU243+CK243+CA243+BQ243+BG243+AV243+AL243+AB243+R243</f>
        <v>1800</v>
      </c>
      <c r="EC243">
        <f>IF(EA243&gt;0,50000,0)</f>
        <v>50000</v>
      </c>
      <c r="ED243">
        <v>0</v>
      </c>
      <c r="EE243">
        <f>EA243-EB243-EC243</f>
        <v>420044</v>
      </c>
      <c r="EF243">
        <f>DW243+DM243+DC243+CS243+CI243+BY243+BO243+BE243+AT243+AJ243+Z243+P243</f>
        <v>24000</v>
      </c>
      <c r="EG243">
        <f>DX243+DN243+DD243+CT243+CJ243+BZ243+BP243+BF243+AU243+AK243+AA243+Q243</f>
        <v>0</v>
      </c>
      <c r="EH243">
        <v>0</v>
      </c>
      <c r="EI243">
        <v>0</v>
      </c>
      <c r="EJ243">
        <v>0</v>
      </c>
      <c r="EK243">
        <v>0</v>
      </c>
      <c r="EL243">
        <v>0</v>
      </c>
      <c r="EM243">
        <v>0</v>
      </c>
      <c r="EN243">
        <v>0</v>
      </c>
      <c r="EO243">
        <v>0</v>
      </c>
      <c r="EP243">
        <v>0</v>
      </c>
      <c r="EQ243">
        <v>0</v>
      </c>
      <c r="ER243">
        <f>SUM(EF243:EQ243)</f>
        <v>24000</v>
      </c>
      <c r="ES243">
        <f>IF(ER243&gt;=150000,150000,ER243)</f>
        <v>24000</v>
      </c>
      <c r="ET243">
        <f>EE243-ES243</f>
        <v>396044</v>
      </c>
      <c r="EU243">
        <v>0</v>
      </c>
      <c r="EV243">
        <v>0</v>
      </c>
      <c r="EW243">
        <v>0</v>
      </c>
      <c r="EX243">
        <v>0</v>
      </c>
      <c r="EY243">
        <v>0</v>
      </c>
      <c r="EZ243">
        <v>0</v>
      </c>
      <c r="FA243">
        <v>0</v>
      </c>
      <c r="FB243">
        <f>SUM(EU243:FA243)+(IF(F243="YES",50000,0))</f>
        <v>0</v>
      </c>
      <c r="FC243">
        <f>ET243-FB243</f>
        <v>396044</v>
      </c>
      <c r="FD243">
        <f>ROUND(IF(FC243&gt;0,IF(FC243&gt;500000,12500,(FC243-250000)*0.05),0),0)</f>
        <v>7302</v>
      </c>
      <c r="FE243">
        <f>IF(ROUND(IF(FC243&gt;0,IF(FC243&gt;1000000,25000,(FC243-500000)*0.2),0),0)&lt;0,0,ROUND(IF(FC243&gt;0,IF(FC243&gt;1000000,25000,(FC243-500000)*0.2),0),0))</f>
        <v>0</v>
      </c>
      <c r="FF243">
        <f>FD243+FE243</f>
        <v>7302</v>
      </c>
      <c r="FG243">
        <f>IF(FF243&lt;12500,0,FF243)</f>
        <v>0</v>
      </c>
      <c r="FH243">
        <f>FG243*0.04</f>
        <v>0</v>
      </c>
      <c r="FI243">
        <f>ROUND(FH243+FG243,0)</f>
        <v>0</v>
      </c>
      <c r="FJ243">
        <v>0</v>
      </c>
      <c r="FK243">
        <f>FI243-FJ243</f>
        <v>0</v>
      </c>
      <c r="FL243" t="b">
        <f>IF(EA243&gt;500000,TRUE,FALSE)</f>
        <v>0</v>
      </c>
      <c r="FM243">
        <f ca="1">IF(FL243,RANDBETWEEN(500,1000),RANDBETWEEN(1000,3000))</f>
        <v>1770</v>
      </c>
      <c r="FN243">
        <f ca="1">EA243+FM243</f>
        <v>473614</v>
      </c>
      <c r="FO243">
        <f>IF(EA243&gt;0,75000,0)</f>
        <v>75000</v>
      </c>
      <c r="FP243">
        <f ca="1">FN243-FO243</f>
        <v>398614</v>
      </c>
      <c r="FQ243">
        <f ca="1">IF(FP243&gt;2400000,FP243-2400000,0)</f>
        <v>0</v>
      </c>
      <c r="FR243">
        <f ca="1">FQ243*0.3</f>
        <v>0</v>
      </c>
      <c r="FS243">
        <f ca="1">IF(FP243&gt;2000000,FP243-2000000,0)</f>
        <v>0</v>
      </c>
      <c r="FT243">
        <f ca="1">FS243*0.25</f>
        <v>0</v>
      </c>
      <c r="FU243">
        <f ca="1">IF(FP243&gt;1600000,FP243-1600000-FQ243,0)</f>
        <v>0</v>
      </c>
      <c r="FV243">
        <f ca="1">FU243*0.2</f>
        <v>0</v>
      </c>
      <c r="FW243">
        <f ca="1">IF(FP243&gt;1200000,FP243-1200000-IF(F243="YES",50000,0)-FU243,0)</f>
        <v>0</v>
      </c>
      <c r="FX243">
        <f ca="1">FW243*0.15</f>
        <v>0</v>
      </c>
      <c r="FY243">
        <f ca="1">IF(FP243&gt;800000,FP243-800000-FQ243-FU243-FW243,0)</f>
        <v>0</v>
      </c>
      <c r="FZ243">
        <f ca="1">FY243*0.1</f>
        <v>0</v>
      </c>
      <c r="GA243">
        <f ca="1">IF(FP243&gt;400000,FP243-400000-FQ243-FU243-FW243-FY243,0)</f>
        <v>0</v>
      </c>
      <c r="GB243">
        <f ca="1">GA243*0.05</f>
        <v>0</v>
      </c>
      <c r="GC243">
        <f ca="1">ROUND(FR243+FT243+FV243+FX243+FZ243+GB243,0)</f>
        <v>0</v>
      </c>
      <c r="GD243">
        <f ca="1">IF(FP243&gt;1200000,FP243,0)</f>
        <v>0</v>
      </c>
      <c r="GE243">
        <f ca="1">IF(FP243&gt;1200000,GD243-1200000,0)</f>
        <v>0</v>
      </c>
      <c r="GF243">
        <f ca="1">IF(FP243&lt;1200001,MIN(GC243,60000),0)</f>
        <v>0</v>
      </c>
      <c r="GG243">
        <f ca="1">IF(FP243&gt;1200000,GC243-GE243,0)</f>
        <v>0</v>
      </c>
      <c r="GH243" t="b">
        <f ca="1">IF(GG243&gt;0,TRUE,FALSE)</f>
        <v>0</v>
      </c>
      <c r="GI243">
        <f ca="1">IF(GH243,GG243,0)</f>
        <v>0</v>
      </c>
      <c r="GJ243">
        <f ca="1">GF243+GI243</f>
        <v>0</v>
      </c>
      <c r="GK243">
        <f ca="1">ROUND(GC243-GJ243,0)</f>
        <v>0</v>
      </c>
      <c r="GL243">
        <f ca="1">GK243*0.04</f>
        <v>0</v>
      </c>
      <c r="GM243">
        <f ca="1">ROUNDUP(GK243+GL243,0)</f>
        <v>0</v>
      </c>
    </row>
    <row r="244" spans="1:195" x14ac:dyDescent="0.25">
      <c r="A244">
        <f>_xlfn.AGGREGATE(3,5,$B$2:B244)</f>
        <v>243</v>
      </c>
      <c r="B244" t="s">
        <v>597</v>
      </c>
      <c r="C244" t="s">
        <v>598</v>
      </c>
      <c r="D244" t="s">
        <v>815</v>
      </c>
      <c r="E244" t="s">
        <v>833</v>
      </c>
      <c r="F244" t="s">
        <v>959</v>
      </c>
      <c r="G244" t="s">
        <v>890</v>
      </c>
      <c r="H244">
        <f>IF(_xlfn.DAYS("31-03-2025",G244)&gt;=180,6800,0)</f>
        <v>6800</v>
      </c>
      <c r="I244">
        <f>_xlfn.XLOOKUP(B244,'[1]march-2025'!$A:$A,'[1]march-2025'!$J:$J,0,0)</f>
        <v>0</v>
      </c>
      <c r="J244">
        <f>_xlfn.XLOOKUP(B244,'[1]march-2025'!$A:$A,'[1]march-2025'!$C:$C,0,0)</f>
        <v>37700</v>
      </c>
      <c r="K244">
        <f>J244*0.14</f>
        <v>5278.0000000000009</v>
      </c>
      <c r="L244">
        <f>J244*0.12</f>
        <v>4524</v>
      </c>
      <c r="M244">
        <f>_xlfn.XLOOKUP(B244,'[1]march-2025'!$A:$A,'[1]march-2025'!$D:$D,0,0)</f>
        <v>400</v>
      </c>
      <c r="N244">
        <f>_xlfn.XLOOKUP(B244,'[1]march-2025'!$A:$A,'[1]march-2025'!$G:$G,0,0)</f>
        <v>500</v>
      </c>
      <c r="O244">
        <f>IF(J244&gt;0,SUM(J244:N244),0)</f>
        <v>48402</v>
      </c>
      <c r="P244">
        <f>_xlfn.XLOOKUP(B244,'[1]march-2025'!$A:$A,'[1]march-2025'!$H:$H,0,0)</f>
        <v>3000</v>
      </c>
      <c r="Q244">
        <f>_xlfn.XLOOKUP(B244,'[1]march-2025'!$A:$A,'[1]march-2025'!$I:$I,0,0)</f>
        <v>0</v>
      </c>
      <c r="R244">
        <f>IF($F244="YES",0,IF(O244&gt;40000,200,IF(O244&gt;25000,150,IF(O244&gt;15000,130,IF(O244&gt;10000,110,0)))))</f>
        <v>200</v>
      </c>
      <c r="S244">
        <f>O244-P244-Q244-R244</f>
        <v>45202</v>
      </c>
      <c r="T244">
        <f>_xlfn.XLOOKUP(B244,'[2]april-2025'!$A:$A,'[2]april-2025'!$C:$C,0,0)</f>
        <v>37700</v>
      </c>
      <c r="U244">
        <f>T244*0.18</f>
        <v>6786</v>
      </c>
      <c r="V244">
        <f>T244*0.12</f>
        <v>4524</v>
      </c>
      <c r="W244">
        <f>_xlfn.XLOOKUP(B244,'[2]april-2025'!$A:$A,'[2]april-2025'!$D:$D,0,0)</f>
        <v>400</v>
      </c>
      <c r="X244">
        <f>_xlfn.XLOOKUP(B244,'[2]april-2025'!$A:$A,'[2]april-2025'!$G:$G,0,0)</f>
        <v>500</v>
      </c>
      <c r="Y244">
        <f>IF(T244&gt;0,SUM(T244:X244),0)</f>
        <v>49910</v>
      </c>
      <c r="Z244">
        <f>_xlfn.XLOOKUP(B244,'[2]april-2025'!$A:$A,'[2]april-2025'!$H:$H,0,0)</f>
        <v>3000</v>
      </c>
      <c r="AA244">
        <f>_xlfn.XLOOKUP(B244,'[2]april-2025'!$A:$A,'[2]april-2025'!$I:$I,0,0)</f>
        <v>0</v>
      </c>
      <c r="AB244">
        <f>IF($F244="YES",0,IF(Y244&gt;40000,200,IF(Y244&gt;25000,150,IF(Y244&gt;15000,130,IF(Y244&gt;10000,110,0)))))</f>
        <v>200</v>
      </c>
      <c r="AC244">
        <f>Y244-Z244-AA244-AB244</f>
        <v>46710</v>
      </c>
      <c r="AD244">
        <f>_xlfn.XLOOKUP(B244,'[3]may-2025'!$A:$A,'[3]may-2025'!$C:$C,0,0)</f>
        <v>37700</v>
      </c>
      <c r="AE244">
        <f>AD244*0.18</f>
        <v>6786</v>
      </c>
      <c r="AF244">
        <f>AD244*0.12</f>
        <v>4524</v>
      </c>
      <c r="AG244">
        <f>_xlfn.XLOOKUP(B244,'[3]may-2025'!$A:$A,'[3]may-2025'!$D:$D,0,0)</f>
        <v>400</v>
      </c>
      <c r="AH244">
        <f>_xlfn.XLOOKUP(B244,'[3]may-2025'!$A:$A,'[3]may-2025'!$G:$G,0,0)</f>
        <v>500</v>
      </c>
      <c r="AI244">
        <f>IF(AD244&gt;0,SUM(AD244:AH244),0)</f>
        <v>49910</v>
      </c>
      <c r="AJ244">
        <f>_xlfn.XLOOKUP(B244,'[3]may-2025'!$A:$A,'[3]may-2025'!$H:$H,0,0)</f>
        <v>3000</v>
      </c>
      <c r="AK244">
        <f>_xlfn.XLOOKUP(B244,'[3]may-2025'!$A:$A,'[3]may-2025'!$I:$I,0,0)</f>
        <v>0</v>
      </c>
      <c r="AL244">
        <f>IF($F244="YES",0,IF(AI244&gt;40000,200,IF(AI244&gt;25000,150,IF(AI244&gt;15000,130,IF(AI244&gt;10000,110,0)))))</f>
        <v>200</v>
      </c>
      <c r="AM244">
        <f>AI244-AJ244-AK244-AL244</f>
        <v>46710</v>
      </c>
      <c r="AN244">
        <f>_xlfn.XLOOKUP(B244,'[4]june-2025'!$A:$A,'[4]june-2025'!$C:$C,0,0)</f>
        <v>37700</v>
      </c>
      <c r="AO244">
        <f>AN244*0.18</f>
        <v>6786</v>
      </c>
      <c r="AP244">
        <f>AN244*0.12</f>
        <v>4524</v>
      </c>
      <c r="AQ244">
        <f>_xlfn.XLOOKUP(B244,'[4]june-2025'!$A:$A,'[4]june-2025'!$D:$D,0,0)</f>
        <v>400</v>
      </c>
      <c r="AR244">
        <f>_xlfn.XLOOKUP(B244,'[4]june-2025'!$A:$A,'[4]june-2025'!$G:$G,0,0)</f>
        <v>500</v>
      </c>
      <c r="AS244">
        <f>IF(AN244&gt;0,SUM(AN244:AR244),0)</f>
        <v>49910</v>
      </c>
      <c r="AT244">
        <f>_xlfn.XLOOKUP(B244,'[4]june-2025'!$A:$A,'[4]june-2025'!$H:$H,0,0)</f>
        <v>3000</v>
      </c>
      <c r="AU244">
        <f>_xlfn.XLOOKUP(B244,'[4]june-2025'!$A:$A,'[4]june-2025'!$I:$I,0,0)</f>
        <v>0</v>
      </c>
      <c r="AV244">
        <f>IF($F244="YES",0,IF(AS244&gt;40000,200,IF(AS244&gt;25000,150,IF(AS244&gt;15000,130,IF(AS244&gt;10000,110,0)))))</f>
        <v>200</v>
      </c>
      <c r="AW244">
        <f>AS244-AT244-AU244-AV244</f>
        <v>46710</v>
      </c>
      <c r="AX244">
        <f>_xlfn.XLOOKUP(B244,'[5]july-2025'!$A:$A,'[5]july-2025'!$C:$C,0,0)</f>
        <v>38800</v>
      </c>
      <c r="AY244">
        <f>AX244*0.18</f>
        <v>6984</v>
      </c>
      <c r="AZ244">
        <v>0</v>
      </c>
      <c r="BA244">
        <f>AX244*0.12</f>
        <v>4656</v>
      </c>
      <c r="BB244">
        <f>_xlfn.XLOOKUP(B244,'[5]july-2025'!$A:$A,'[5]july-2025'!$D:$D,0,0)</f>
        <v>400</v>
      </c>
      <c r="BC244">
        <f>_xlfn.XLOOKUP(B244,'[5]july-2025'!$A:$A,'[5]july-2025'!$G:$G,0,0)</f>
        <v>500</v>
      </c>
      <c r="BD244">
        <f>IF(AX244&gt;0,SUM(AX244:BC244),0)</f>
        <v>51340</v>
      </c>
      <c r="BE244">
        <f>_xlfn.XLOOKUP(B244,'[5]july-2025'!$A:$A,'[5]july-2025'!$H:$H,0,0)</f>
        <v>3000</v>
      </c>
      <c r="BF244">
        <f>_xlfn.XLOOKUP(B244,'[5]july-2025'!$A:$A,'[5]july-2025'!$I:$I,0,0)</f>
        <v>0</v>
      </c>
      <c r="BG244">
        <f>IF($F244="YES",0,IF(BD244&gt;40000,200,IF(BD244&gt;25000,150,IF(BD244&gt;15000,130,IF(BD244&gt;10000,110,0)))))</f>
        <v>200</v>
      </c>
      <c r="BH244">
        <f>BD244-BE244-BF244-BG244</f>
        <v>48140</v>
      </c>
      <c r="BI244">
        <f>_xlfn.XLOOKUP(B244,'[6]august-2025'!$A:$A,'[6]august-2025'!$C:$C,0,0)</f>
        <v>38800</v>
      </c>
      <c r="BJ244">
        <f>BI244*0.18</f>
        <v>6984</v>
      </c>
      <c r="BK244">
        <f>BI244*0.12</f>
        <v>4656</v>
      </c>
      <c r="BL244">
        <f>_xlfn.XLOOKUP(B244,'[6]august-2025'!$A:$A,'[6]august-2025'!$D:$D,0,0)</f>
        <v>400</v>
      </c>
      <c r="BM244">
        <f>_xlfn.XLOOKUP(B244,'[6]august-2025'!$A:$A,'[6]august-2025'!$G:$G,0,0)</f>
        <v>500</v>
      </c>
      <c r="BN244">
        <f>IF(BI244&gt;0,SUM(BI244:BM244),0)</f>
        <v>51340</v>
      </c>
      <c r="BO244">
        <f>_xlfn.XLOOKUP(B244,'[6]august-2025'!$A:$A,'[6]august-2025'!$H:$H,0,0)</f>
        <v>3000</v>
      </c>
      <c r="BP244">
        <f>_xlfn.XLOOKUP(B244,'[6]august-2025'!$A:$A,'[6]august-2025'!$I:$I,0,0)</f>
        <v>0</v>
      </c>
      <c r="BQ244">
        <f>IF($F244="YES",0,IF(BN244&gt;40000,200,IF(BN244&gt;25000,150,IF(BN244&gt;15000,130,IF(BN244&gt;10000,110,0)))))</f>
        <v>200</v>
      </c>
      <c r="BR244">
        <f>BN244-BO244-BP244-BQ244</f>
        <v>48140</v>
      </c>
      <c r="BS244">
        <f>_xlfn.XLOOKUP(B244,'[7]september-2025'!$A:$A,'[7]september-2025'!$C:$C,0,0)</f>
        <v>38800</v>
      </c>
      <c r="BT244">
        <f>BS244*0.18</f>
        <v>6984</v>
      </c>
      <c r="BU244">
        <f>BS244*0.12</f>
        <v>4656</v>
      </c>
      <c r="BV244">
        <f>_xlfn.XLOOKUP(B244,'[7]september-2025'!$A:$A,'[7]september-2025'!$D:$D,0,0)</f>
        <v>400</v>
      </c>
      <c r="BW244">
        <f>_xlfn.XLOOKUP(B244,'[7]september-2025'!$A:$A,'[7]september-2025'!$G:$G,0,0)</f>
        <v>500</v>
      </c>
      <c r="BX244">
        <f>IF(BS244&gt;0,SUM(BS244:BW244),0)</f>
        <v>51340</v>
      </c>
      <c r="BY244">
        <f>_xlfn.XLOOKUP(B244,'[7]september-2025'!$A:$A,'[7]september-2025'!$H:$H,0,0)</f>
        <v>3000</v>
      </c>
      <c r="BZ244">
        <f>_xlfn.XLOOKUP(B244,'[7]september-2025'!$A:$A,'[7]september-2025'!$I:$I,0,0)</f>
        <v>0</v>
      </c>
      <c r="CA244">
        <f>IF($F244="YES",0,IF(BX244&gt;40000,200,IF(BX244&gt;25000,150,IF(BX244&gt;15000,130,IF(BX244&gt;10000,110,0)))))</f>
        <v>200</v>
      </c>
      <c r="CB244">
        <f>BX244-BY244-BZ244-CA244</f>
        <v>48140</v>
      </c>
      <c r="CC244">
        <f>_xlfn.XLOOKUP(B244,'[8]october-2025'!$A:$A,'[8]october-2025'!$C:$C,0,0)</f>
        <v>38800</v>
      </c>
      <c r="CD244">
        <f>CC244*0.18</f>
        <v>6984</v>
      </c>
      <c r="CE244">
        <f>CC244*0.12</f>
        <v>4656</v>
      </c>
      <c r="CF244">
        <f>_xlfn.XLOOKUP(B244,'[8]october-2025'!$A:$A,'[8]october-2025'!$D:$D,0,0)</f>
        <v>400</v>
      </c>
      <c r="CG244">
        <f>_xlfn.XLOOKUP(B244,'[8]october-2025'!$A:$A,'[8]october-2025'!$G:$G,0,0)</f>
        <v>500</v>
      </c>
      <c r="CH244">
        <f>IF(CC244&gt;0,SUM(CC244:CG244),0)</f>
        <v>51340</v>
      </c>
      <c r="CI244">
        <f>_xlfn.XLOOKUP(B244,'[8]october-2025'!$A:$A,'[8]october-2025'!$H:$H,0,0)</f>
        <v>3000</v>
      </c>
      <c r="CJ244">
        <f>_xlfn.XLOOKUP(B244,'[8]october-2025'!$A:$A,'[8]october-2025'!$I:$I,0,0)</f>
        <v>0</v>
      </c>
      <c r="CK244">
        <f>IF($F244="YES",0,IF(CH244&gt;40000,200,IF(CH244&gt;25000,150,IF(CH244&gt;15000,130,IF(CH244&gt;10000,110,0)))))</f>
        <v>200</v>
      </c>
      <c r="CL244">
        <f>CH244-CI244-CJ244-CK244</f>
        <v>48140</v>
      </c>
      <c r="CM244">
        <f>_xlfn.XLOOKUP(B244,'[9]november-2025'!$A:$A,'[9]november-2025'!$C:$C,0,0)</f>
        <v>38800</v>
      </c>
      <c r="CN244">
        <f>CM244*0.18</f>
        <v>6984</v>
      </c>
      <c r="CO244">
        <f>CM244*0.12</f>
        <v>4656</v>
      </c>
      <c r="CP244">
        <f>_xlfn.XLOOKUP(B244,'[9]november-2025'!$A:$A,'[9]november-2025'!$D:$D,0,0)</f>
        <v>400</v>
      </c>
      <c r="CQ244">
        <f>_xlfn.XLOOKUP(B244,'[9]november-2025'!$A:$A,'[9]november-2025'!$G:$G,0,0)</f>
        <v>500</v>
      </c>
      <c r="CR244">
        <f>IF(CM244&gt;0,SUM(CM244:CQ244),0)</f>
        <v>51340</v>
      </c>
      <c r="CS244">
        <f>_xlfn.XLOOKUP(B244,'[9]november-2025'!$A:$A,'[9]november-2025'!$H:$H,0,0)</f>
        <v>3000</v>
      </c>
      <c r="CT244">
        <f>_xlfn.XLOOKUP(B244,'[9]november-2025'!$A:$A,'[9]november-2025'!$I:$I,0,0)</f>
        <v>0</v>
      </c>
      <c r="CU244">
        <f>IF($F244="YES",0,IF(CR244&gt;40000,200,IF(CR244&gt;25000,150,IF(CR244&gt;15000,130,IF(CR244&gt;10000,110,0)))))</f>
        <v>200</v>
      </c>
      <c r="CV244">
        <f>CR244-CS244-CT244-CU244</f>
        <v>48140</v>
      </c>
      <c r="CW244">
        <f>_xlfn.XLOOKUP(B244,'[10]december-2025'!$A:$A,'[10]december-2025'!$C:$C,0,0)</f>
        <v>38800</v>
      </c>
      <c r="CX244">
        <f>ROUND(CW244*0.18,0)</f>
        <v>6984</v>
      </c>
      <c r="CY244">
        <f>ROUND(CW244*0.12,0)</f>
        <v>4656</v>
      </c>
      <c r="CZ244">
        <f>_xlfn.XLOOKUP(B244,'[10]december-2025'!$A:$A,'[10]december-2025'!$D:$D,0,0)</f>
        <v>400</v>
      </c>
      <c r="DA244">
        <f>_xlfn.XLOOKUP(B244,'[10]december-2025'!$A:$A,'[10]december-2025'!$G:$G,0,0)</f>
        <v>500</v>
      </c>
      <c r="DB244">
        <f>IF(CW244&gt;0,SUM(CW244:DA244),0)</f>
        <v>51340</v>
      </c>
      <c r="DC244">
        <f>_xlfn.XLOOKUP(B244,'[10]december-2025'!$A:$A,'[10]december-2025'!$H:$H,0,0)</f>
        <v>3000</v>
      </c>
      <c r="DD244">
        <f>_xlfn.XLOOKUP(B244,'[10]december-2025'!$A:$A,'[10]december-2025'!$I:$I,0,0)</f>
        <v>0</v>
      </c>
      <c r="DE244">
        <f>IF($F244="YES",0,IF(DB244&gt;40000,200,IF(DB244&gt;25000,150,IF(DB244&gt;15000,130,IF(DB244&gt;10000,110,0)))))</f>
        <v>200</v>
      </c>
      <c r="DF244">
        <f>DB244-DC244-DD244-DE244</f>
        <v>48140</v>
      </c>
      <c r="DG244">
        <f>_xlfn.XLOOKUP(B244,'[11]january-2026'!$A:$A,'[11]january-2026'!$C:$C,0,0)</f>
        <v>38800</v>
      </c>
      <c r="DH244">
        <f>DG244*0.18</f>
        <v>6984</v>
      </c>
      <c r="DI244">
        <f>DG244*0.12</f>
        <v>4656</v>
      </c>
      <c r="DJ244">
        <f>_xlfn.XLOOKUP(B244,'[11]january-2026'!$A:$A,'[11]january-2026'!$D:$D,0,0)</f>
        <v>400</v>
      </c>
      <c r="DK244">
        <f>_xlfn.XLOOKUP(B244,'[11]january-2026'!$A:$A,'[11]january-2026'!$G:$G,0,0)</f>
        <v>500</v>
      </c>
      <c r="DL244">
        <f>IF(DG244&gt;0,SUM(DG244:DK244),0)</f>
        <v>51340</v>
      </c>
      <c r="DM244">
        <f>_xlfn.XLOOKUP(B244,'[11]january-2026'!$A:$A,'[11]january-2026'!$H:$H,0,0)</f>
        <v>3000</v>
      </c>
      <c r="DN244">
        <f>_xlfn.XLOOKUP(B244,'[11]january-2026'!$A:$A,'[11]january-2026'!$I:$I,0,0)</f>
        <v>0</v>
      </c>
      <c r="DO244">
        <f>IF($F244="YES",0,IF(DL244&gt;40000,200,IF(DL244&gt;25000,150,IF(DL244&gt;15000,130,IF(DL244&gt;10000,110,0)))))</f>
        <v>200</v>
      </c>
      <c r="DP244">
        <f>DL244-DM244-DN244-DO244</f>
        <v>48140</v>
      </c>
      <c r="DQ244">
        <f>_xlfn.XLOOKUP(B244,'[12]february-2026'!$A:$A,'[12]february-2026'!$C:$C,0,0)</f>
        <v>38800</v>
      </c>
      <c r="DR244">
        <f>DQ244*0.18</f>
        <v>6984</v>
      </c>
      <c r="DS244">
        <f>DQ244*0.12</f>
        <v>4656</v>
      </c>
      <c r="DT244">
        <f>_xlfn.XLOOKUP(B244,'[12]february-2026'!$A:$A,'[12]february-2026'!$D:$D,0,0)</f>
        <v>400</v>
      </c>
      <c r="DU244">
        <f>_xlfn.XLOOKUP(B244,'[12]february-2026'!$A:$A,'[12]february-2026'!$G:$G,0,0)</f>
        <v>500</v>
      </c>
      <c r="DV244">
        <f>IF(DQ244&gt;0,SUM(DQ244:DU244),0)</f>
        <v>51340</v>
      </c>
      <c r="DW244">
        <f>_xlfn.XLOOKUP(B244,'[12]february-2026'!$A:$A,'[12]february-2026'!$H:$H,0,0)</f>
        <v>3000</v>
      </c>
      <c r="DX244">
        <f>_xlfn.XLOOKUP(B244,'[12]february-2026'!$A:$A,'[12]february-2026'!$I:$I,0,0)</f>
        <v>0</v>
      </c>
      <c r="DY244">
        <f>IF($F244="YES",0,IF(DV244&gt;40000,200,IF(DV244&gt;25000,150,IF(DV244&gt;15000,130,IF(DV244&gt;10000,110,0)))))</f>
        <v>200</v>
      </c>
      <c r="DZ244">
        <f>DV244-DW244-DX244-DY244</f>
        <v>48140</v>
      </c>
      <c r="EA244">
        <f>DV244+DL244+DB244+CR244+CH244+BX244+BN244+BD244+AS244+AI244+Y244+O244+H244+I244</f>
        <v>615652</v>
      </c>
      <c r="EB244">
        <f>DY244+DO244+DE244+CU244+CK244+CA244+BQ244+BG244+AV244+AL244+AB244+R244</f>
        <v>2400</v>
      </c>
      <c r="EC244">
        <f>IF(EA244&gt;0,50000,0)</f>
        <v>50000</v>
      </c>
      <c r="ED244">
        <v>0</v>
      </c>
      <c r="EE244">
        <f>EA244-EB244-EC244</f>
        <v>563252</v>
      </c>
      <c r="EF244">
        <f>DW244+DM244+DC244+CS244+CI244+BY244+BO244+BE244+AT244+AJ244+Z244+P244</f>
        <v>36000</v>
      </c>
      <c r="EG244">
        <f>DX244+DN244+DD244+CT244+CJ244+BZ244+BP244+BF244+AU244+AK244+AA244+Q244</f>
        <v>0</v>
      </c>
      <c r="EH244">
        <v>0</v>
      </c>
      <c r="EI244">
        <v>0</v>
      </c>
      <c r="EJ244">
        <v>0</v>
      </c>
      <c r="EK244">
        <v>0</v>
      </c>
      <c r="EL244">
        <v>0</v>
      </c>
      <c r="EM244">
        <v>0</v>
      </c>
      <c r="EN244">
        <v>0</v>
      </c>
      <c r="EO244">
        <v>0</v>
      </c>
      <c r="EP244">
        <v>0</v>
      </c>
      <c r="EQ244">
        <v>0</v>
      </c>
      <c r="ER244">
        <f>SUM(EF244:EQ244)</f>
        <v>36000</v>
      </c>
      <c r="ES244">
        <f>IF(ER244&gt;=150000,150000,ER244)</f>
        <v>36000</v>
      </c>
      <c r="ET244">
        <f>EE244-ES244</f>
        <v>527252</v>
      </c>
      <c r="EU244">
        <v>0</v>
      </c>
      <c r="EV244">
        <v>0</v>
      </c>
      <c r="EW244">
        <v>0</v>
      </c>
      <c r="EX244">
        <v>0</v>
      </c>
      <c r="EY244">
        <v>0</v>
      </c>
      <c r="EZ244">
        <v>0</v>
      </c>
      <c r="FA244">
        <v>0</v>
      </c>
      <c r="FB244">
        <f>SUM(EU244:FA244)+(IF(F244="YES",50000,0))</f>
        <v>0</v>
      </c>
      <c r="FC244">
        <f>ET244-FB244</f>
        <v>527252</v>
      </c>
      <c r="FD244">
        <f>ROUND(IF(FC244&gt;0,IF(FC244&gt;500000,12500,(FC244-250000)*0.05),0),0)</f>
        <v>12500</v>
      </c>
      <c r="FE244">
        <f>IF(ROUND(IF(FC244&gt;0,IF(FC244&gt;1000000,25000,(FC244-500000)*0.2),0),0)&lt;0,0,ROUND(IF(FC244&gt;0,IF(FC244&gt;1000000,25000,(FC244-500000)*0.2),0),0))</f>
        <v>5450</v>
      </c>
      <c r="FF244">
        <f>FD244+FE244</f>
        <v>17950</v>
      </c>
      <c r="FG244">
        <f>IF(FF244&lt;12500,0,FF244)</f>
        <v>17950</v>
      </c>
      <c r="FH244">
        <f>FG244*0.04</f>
        <v>718</v>
      </c>
      <c r="FI244">
        <f>ROUND(FH244+FG244,0)</f>
        <v>18668</v>
      </c>
      <c r="FJ244">
        <v>0</v>
      </c>
      <c r="FK244">
        <f>FI244-FJ244</f>
        <v>18668</v>
      </c>
      <c r="FL244" t="b">
        <f>IF(EA244&gt;500000,TRUE,FALSE)</f>
        <v>1</v>
      </c>
      <c r="FM244">
        <f ca="1">IF(FL244,RANDBETWEEN(500,1000),RANDBETWEEN(1000,3000))</f>
        <v>531</v>
      </c>
      <c r="FN244">
        <f ca="1">EA244+FM244</f>
        <v>616183</v>
      </c>
      <c r="FO244">
        <f>IF(EA244&gt;0,75000,0)</f>
        <v>75000</v>
      </c>
      <c r="FP244">
        <f ca="1">FN244-FO244</f>
        <v>541183</v>
      </c>
      <c r="FQ244">
        <f ca="1">IF(FP244&gt;2400000,FP244-2400000,0)</f>
        <v>0</v>
      </c>
      <c r="FR244">
        <f ca="1">FQ244*0.3</f>
        <v>0</v>
      </c>
      <c r="FS244">
        <f ca="1">IF(FP244&gt;2000000,FP244-2000000,0)</f>
        <v>0</v>
      </c>
      <c r="FT244">
        <f ca="1">FS244*0.25</f>
        <v>0</v>
      </c>
      <c r="FU244">
        <f ca="1">IF(FP244&gt;1600000,FP244-1600000-FQ244,0)</f>
        <v>0</v>
      </c>
      <c r="FV244">
        <f ca="1">FU244*0.2</f>
        <v>0</v>
      </c>
      <c r="FW244">
        <f ca="1">IF(FP244&gt;1200000,FP244-1200000-IF(F244="YES",50000,0)-FU244,0)</f>
        <v>0</v>
      </c>
      <c r="FX244">
        <f ca="1">FW244*0.15</f>
        <v>0</v>
      </c>
      <c r="FY244">
        <f ca="1">IF(FP244&gt;800000,FP244-800000-FQ244-FU244-FW244,0)</f>
        <v>0</v>
      </c>
      <c r="FZ244">
        <f ca="1">FY244*0.1</f>
        <v>0</v>
      </c>
      <c r="GA244">
        <f ca="1">IF(FP244&gt;400000,FP244-400000-FQ244-FU244-FW244-FY244,0)</f>
        <v>141183</v>
      </c>
      <c r="GB244">
        <f ca="1">GA244*0.05</f>
        <v>7059.1500000000005</v>
      </c>
      <c r="GC244">
        <f ca="1">ROUND(FR244+FT244+FV244+FX244+FZ244+GB244,0)</f>
        <v>7059</v>
      </c>
      <c r="GD244">
        <f ca="1">IF(FP244&gt;1200000,FP244,0)</f>
        <v>0</v>
      </c>
      <c r="GE244">
        <f ca="1">IF(FP244&gt;1200000,GD244-1200000,0)</f>
        <v>0</v>
      </c>
      <c r="GF244">
        <f ca="1">IF(FP244&lt;1200001,MIN(GC244,60000),0)</f>
        <v>7059</v>
      </c>
      <c r="GG244">
        <f ca="1">IF(FP244&gt;1200000,GC244-GE244,0)</f>
        <v>0</v>
      </c>
      <c r="GH244" t="b">
        <f ca="1">IF(GG244&gt;0,TRUE,FALSE)</f>
        <v>0</v>
      </c>
      <c r="GI244">
        <f ca="1">IF(GH244,GG244,0)</f>
        <v>0</v>
      </c>
      <c r="GJ244">
        <f ca="1">GF244+GI244</f>
        <v>7059</v>
      </c>
      <c r="GK244">
        <f ca="1">ROUND(GC244-GJ244,0)</f>
        <v>0</v>
      </c>
      <c r="GL244">
        <f ca="1">GK244*0.04</f>
        <v>0</v>
      </c>
      <c r="GM244">
        <f ca="1">ROUNDUP(GK244+GL244,0)</f>
        <v>0</v>
      </c>
    </row>
    <row r="245" spans="1:195" x14ac:dyDescent="0.25">
      <c r="A245">
        <f>_xlfn.AGGREGATE(3,5,$B$2:B245)</f>
        <v>244</v>
      </c>
      <c r="B245" t="s">
        <v>599</v>
      </c>
      <c r="C245" t="s">
        <v>600</v>
      </c>
      <c r="D245" t="s">
        <v>815</v>
      </c>
      <c r="E245" t="s">
        <v>833</v>
      </c>
      <c r="F245" t="s">
        <v>959</v>
      </c>
      <c r="G245" t="s">
        <v>887</v>
      </c>
      <c r="H245">
        <f>IF(_xlfn.DAYS("31-03-2025",G245)&gt;=180,6800,0)</f>
        <v>6800</v>
      </c>
      <c r="I245">
        <f>_xlfn.XLOOKUP(B245,'[1]march-2025'!$A:$A,'[1]march-2025'!$J:$J,0,0)</f>
        <v>0</v>
      </c>
      <c r="J245">
        <f>_xlfn.XLOOKUP(B245,'[1]march-2025'!$A:$A,'[1]march-2025'!$C:$C,0,0)</f>
        <v>47300</v>
      </c>
      <c r="K245">
        <f>J245*0.14</f>
        <v>6622.0000000000009</v>
      </c>
      <c r="L245">
        <f>J245*0.12</f>
        <v>5676</v>
      </c>
      <c r="M245">
        <f>_xlfn.XLOOKUP(B245,'[1]march-2025'!$A:$A,'[1]march-2025'!$D:$D,0,0)</f>
        <v>0</v>
      </c>
      <c r="N245">
        <f>_xlfn.XLOOKUP(B245,'[1]march-2025'!$A:$A,'[1]march-2025'!$G:$G,0,0)</f>
        <v>500</v>
      </c>
      <c r="O245">
        <f>IF(J245&gt;0,SUM(J245:N245),0)</f>
        <v>60098</v>
      </c>
      <c r="P245">
        <f>_xlfn.XLOOKUP(B245,'[1]march-2025'!$A:$A,'[1]march-2025'!$H:$H,0,0)</f>
        <v>3000</v>
      </c>
      <c r="Q245">
        <f>_xlfn.XLOOKUP(B245,'[1]march-2025'!$A:$A,'[1]march-2025'!$I:$I,0,0)</f>
        <v>0</v>
      </c>
      <c r="R245">
        <f>IF($F245="YES",0,IF(O245&gt;40000,200,IF(O245&gt;25000,150,IF(O245&gt;15000,130,IF(O245&gt;10000,110,0)))))</f>
        <v>200</v>
      </c>
      <c r="S245">
        <f>O245-P245-Q245-R245</f>
        <v>56898</v>
      </c>
      <c r="T245">
        <f>_xlfn.XLOOKUP(B245,'[2]april-2025'!$A:$A,'[2]april-2025'!$C:$C,0,0)</f>
        <v>47300</v>
      </c>
      <c r="U245">
        <f>T245*0.18</f>
        <v>8514</v>
      </c>
      <c r="V245">
        <f>T245*0.12</f>
        <v>5676</v>
      </c>
      <c r="W245">
        <f>_xlfn.XLOOKUP(B245,'[2]april-2025'!$A:$A,'[2]april-2025'!$D:$D,0,0)</f>
        <v>0</v>
      </c>
      <c r="X245">
        <f>_xlfn.XLOOKUP(B245,'[2]april-2025'!$A:$A,'[2]april-2025'!$G:$G,0,0)</f>
        <v>500</v>
      </c>
      <c r="Y245">
        <f>IF(T245&gt;0,SUM(T245:X245),0)</f>
        <v>61990</v>
      </c>
      <c r="Z245">
        <f>_xlfn.XLOOKUP(B245,'[2]april-2025'!$A:$A,'[2]april-2025'!$H:$H,0,0)</f>
        <v>3000</v>
      </c>
      <c r="AA245">
        <f>_xlfn.XLOOKUP(B245,'[2]april-2025'!$A:$A,'[2]april-2025'!$I:$I,0,0)</f>
        <v>0</v>
      </c>
      <c r="AB245">
        <f>IF($F245="YES",0,IF(Y245&gt;40000,200,IF(Y245&gt;25000,150,IF(Y245&gt;15000,130,IF(Y245&gt;10000,110,0)))))</f>
        <v>200</v>
      </c>
      <c r="AC245">
        <f>Y245-Z245-AA245-AB245</f>
        <v>58790</v>
      </c>
      <c r="AD245">
        <f>_xlfn.XLOOKUP(B245,'[3]may-2025'!$A:$A,'[3]may-2025'!$C:$C,0,0)</f>
        <v>47300</v>
      </c>
      <c r="AE245">
        <f>AD245*0.18</f>
        <v>8514</v>
      </c>
      <c r="AF245">
        <f>AD245*0.12</f>
        <v>5676</v>
      </c>
      <c r="AG245">
        <f>_xlfn.XLOOKUP(B245,'[3]may-2025'!$A:$A,'[3]may-2025'!$D:$D,0,0)</f>
        <v>0</v>
      </c>
      <c r="AH245">
        <f>_xlfn.XLOOKUP(B245,'[3]may-2025'!$A:$A,'[3]may-2025'!$G:$G,0,0)</f>
        <v>500</v>
      </c>
      <c r="AI245">
        <f>IF(AD245&gt;0,SUM(AD245:AH245),0)</f>
        <v>61990</v>
      </c>
      <c r="AJ245">
        <f>_xlfn.XLOOKUP(B245,'[3]may-2025'!$A:$A,'[3]may-2025'!$H:$H,0,0)</f>
        <v>3000</v>
      </c>
      <c r="AK245">
        <f>_xlfn.XLOOKUP(B245,'[3]may-2025'!$A:$A,'[3]may-2025'!$I:$I,0,0)</f>
        <v>0</v>
      </c>
      <c r="AL245">
        <f>IF($F245="YES",0,IF(AI245&gt;40000,200,IF(AI245&gt;25000,150,IF(AI245&gt;15000,130,IF(AI245&gt;10000,110,0)))))</f>
        <v>200</v>
      </c>
      <c r="AM245">
        <f>AI245-AJ245-AK245-AL245</f>
        <v>58790</v>
      </c>
      <c r="AN245">
        <f>_xlfn.XLOOKUP(B245,'[4]june-2025'!$A:$A,'[4]june-2025'!$C:$C,0,0)</f>
        <v>47300</v>
      </c>
      <c r="AO245">
        <f>AN245*0.18</f>
        <v>8514</v>
      </c>
      <c r="AP245">
        <f>AN245*0.12</f>
        <v>5676</v>
      </c>
      <c r="AQ245">
        <f>_xlfn.XLOOKUP(B245,'[4]june-2025'!$A:$A,'[4]june-2025'!$D:$D,0,0)</f>
        <v>0</v>
      </c>
      <c r="AR245">
        <f>_xlfn.XLOOKUP(B245,'[4]june-2025'!$A:$A,'[4]june-2025'!$G:$G,0,0)</f>
        <v>500</v>
      </c>
      <c r="AS245">
        <f>IF(AN245&gt;0,SUM(AN245:AR245),0)</f>
        <v>61990</v>
      </c>
      <c r="AT245">
        <f>_xlfn.XLOOKUP(B245,'[4]june-2025'!$A:$A,'[4]june-2025'!$H:$H,0,0)</f>
        <v>3000</v>
      </c>
      <c r="AU245">
        <f>_xlfn.XLOOKUP(B245,'[4]june-2025'!$A:$A,'[4]june-2025'!$I:$I,0,0)</f>
        <v>0</v>
      </c>
      <c r="AV245">
        <f>IF($F245="YES",0,IF(AS245&gt;40000,200,IF(AS245&gt;25000,150,IF(AS245&gt;15000,130,IF(AS245&gt;10000,110,0)))))</f>
        <v>200</v>
      </c>
      <c r="AW245">
        <f>AS245-AT245-AU245-AV245</f>
        <v>58790</v>
      </c>
      <c r="AX245">
        <f>_xlfn.XLOOKUP(B245,'[5]july-2025'!$A:$A,'[5]july-2025'!$C:$C,0,0)</f>
        <v>48700</v>
      </c>
      <c r="AY245">
        <f>AX245*0.18</f>
        <v>8766</v>
      </c>
      <c r="AZ245">
        <v>0</v>
      </c>
      <c r="BA245">
        <f>AX245*0.12</f>
        <v>5844</v>
      </c>
      <c r="BB245">
        <f>_xlfn.XLOOKUP(B245,'[5]july-2025'!$A:$A,'[5]july-2025'!$D:$D,0,0)</f>
        <v>0</v>
      </c>
      <c r="BC245">
        <f>_xlfn.XLOOKUP(B245,'[5]july-2025'!$A:$A,'[5]july-2025'!$G:$G,0,0)</f>
        <v>500</v>
      </c>
      <c r="BD245">
        <f>IF(AX245&gt;0,SUM(AX245:BC245),0)</f>
        <v>63810</v>
      </c>
      <c r="BE245">
        <f>_xlfn.XLOOKUP(B245,'[5]july-2025'!$A:$A,'[5]july-2025'!$H:$H,0,0)</f>
        <v>3000</v>
      </c>
      <c r="BF245">
        <f>_xlfn.XLOOKUP(B245,'[5]july-2025'!$A:$A,'[5]july-2025'!$I:$I,0,0)</f>
        <v>0</v>
      </c>
      <c r="BG245">
        <f>IF($F245="YES",0,IF(BD245&gt;40000,200,IF(BD245&gt;25000,150,IF(BD245&gt;15000,130,IF(BD245&gt;10000,110,0)))))</f>
        <v>200</v>
      </c>
      <c r="BH245">
        <f>BD245-BE245-BF245-BG245</f>
        <v>60610</v>
      </c>
      <c r="BI245">
        <f>_xlfn.XLOOKUP(B245,'[6]august-2025'!$A:$A,'[6]august-2025'!$C:$C,0,0)</f>
        <v>48700</v>
      </c>
      <c r="BJ245">
        <f>BI245*0.18</f>
        <v>8766</v>
      </c>
      <c r="BK245">
        <f>BI245*0.12</f>
        <v>5844</v>
      </c>
      <c r="BL245">
        <f>_xlfn.XLOOKUP(B245,'[6]august-2025'!$A:$A,'[6]august-2025'!$D:$D,0,0)</f>
        <v>0</v>
      </c>
      <c r="BM245">
        <f>_xlfn.XLOOKUP(B245,'[6]august-2025'!$A:$A,'[6]august-2025'!$G:$G,0,0)</f>
        <v>500</v>
      </c>
      <c r="BN245">
        <f>IF(BI245&gt;0,SUM(BI245:BM245),0)</f>
        <v>63810</v>
      </c>
      <c r="BO245">
        <f>_xlfn.XLOOKUP(B245,'[6]august-2025'!$A:$A,'[6]august-2025'!$H:$H,0,0)</f>
        <v>3000</v>
      </c>
      <c r="BP245">
        <f>_xlfn.XLOOKUP(B245,'[6]august-2025'!$A:$A,'[6]august-2025'!$I:$I,0,0)</f>
        <v>0</v>
      </c>
      <c r="BQ245">
        <f>IF($F245="YES",0,IF(BN245&gt;40000,200,IF(BN245&gt;25000,150,IF(BN245&gt;15000,130,IF(BN245&gt;10000,110,0)))))</f>
        <v>200</v>
      </c>
      <c r="BR245">
        <f>BN245-BO245-BP245-BQ245</f>
        <v>60610</v>
      </c>
      <c r="BS245">
        <f>_xlfn.XLOOKUP(B245,'[7]september-2025'!$A:$A,'[7]september-2025'!$C:$C,0,0)</f>
        <v>48700</v>
      </c>
      <c r="BT245">
        <f>BS245*0.18</f>
        <v>8766</v>
      </c>
      <c r="BU245">
        <f>BS245*0.12</f>
        <v>5844</v>
      </c>
      <c r="BV245">
        <f>_xlfn.XLOOKUP(B245,'[7]september-2025'!$A:$A,'[7]september-2025'!$D:$D,0,0)</f>
        <v>0</v>
      </c>
      <c r="BW245">
        <f>_xlfn.XLOOKUP(B245,'[7]september-2025'!$A:$A,'[7]september-2025'!$G:$G,0,0)</f>
        <v>500</v>
      </c>
      <c r="BX245">
        <f>IF(BS245&gt;0,SUM(BS245:BW245),0)</f>
        <v>63810</v>
      </c>
      <c r="BY245">
        <f>_xlfn.XLOOKUP(B245,'[7]september-2025'!$A:$A,'[7]september-2025'!$H:$H,0,0)</f>
        <v>3000</v>
      </c>
      <c r="BZ245">
        <f>_xlfn.XLOOKUP(B245,'[7]september-2025'!$A:$A,'[7]september-2025'!$I:$I,0,0)</f>
        <v>0</v>
      </c>
      <c r="CA245">
        <f>IF($F245="YES",0,IF(BX245&gt;40000,200,IF(BX245&gt;25000,150,IF(BX245&gt;15000,130,IF(BX245&gt;10000,110,0)))))</f>
        <v>200</v>
      </c>
      <c r="CB245">
        <f>BX245-BY245-BZ245-CA245</f>
        <v>60610</v>
      </c>
      <c r="CC245">
        <f>_xlfn.XLOOKUP(B245,'[8]october-2025'!$A:$A,'[8]october-2025'!$C:$C,0,0)</f>
        <v>48700</v>
      </c>
      <c r="CD245">
        <f>CC245*0.18</f>
        <v>8766</v>
      </c>
      <c r="CE245">
        <f>CC245*0.12</f>
        <v>5844</v>
      </c>
      <c r="CF245">
        <f>_xlfn.XLOOKUP(B245,'[8]october-2025'!$A:$A,'[8]october-2025'!$D:$D,0,0)</f>
        <v>0</v>
      </c>
      <c r="CG245">
        <f>_xlfn.XLOOKUP(B245,'[8]october-2025'!$A:$A,'[8]october-2025'!$G:$G,0,0)</f>
        <v>500</v>
      </c>
      <c r="CH245">
        <f>IF(CC245&gt;0,SUM(CC245:CG245),0)</f>
        <v>63810</v>
      </c>
      <c r="CI245">
        <f>_xlfn.XLOOKUP(B245,'[8]october-2025'!$A:$A,'[8]october-2025'!$H:$H,0,0)</f>
        <v>3000</v>
      </c>
      <c r="CJ245">
        <f>_xlfn.XLOOKUP(B245,'[8]october-2025'!$A:$A,'[8]october-2025'!$I:$I,0,0)</f>
        <v>0</v>
      </c>
      <c r="CK245">
        <f>IF($F245="YES",0,IF(CH245&gt;40000,200,IF(CH245&gt;25000,150,IF(CH245&gt;15000,130,IF(CH245&gt;10000,110,0)))))</f>
        <v>200</v>
      </c>
      <c r="CL245">
        <f>CH245-CI245-CJ245-CK245</f>
        <v>60610</v>
      </c>
      <c r="CM245">
        <f>_xlfn.XLOOKUP(B245,'[9]november-2025'!$A:$A,'[9]november-2025'!$C:$C,0,0)</f>
        <v>48700</v>
      </c>
      <c r="CN245">
        <f>CM245*0.18</f>
        <v>8766</v>
      </c>
      <c r="CO245">
        <f>CM245*0.12</f>
        <v>5844</v>
      </c>
      <c r="CP245">
        <f>_xlfn.XLOOKUP(B245,'[9]november-2025'!$A:$A,'[9]november-2025'!$D:$D,0,0)</f>
        <v>0</v>
      </c>
      <c r="CQ245">
        <f>_xlfn.XLOOKUP(B245,'[9]november-2025'!$A:$A,'[9]november-2025'!$G:$G,0,0)</f>
        <v>500</v>
      </c>
      <c r="CR245">
        <f>IF(CM245&gt;0,SUM(CM245:CQ245),0)</f>
        <v>63810</v>
      </c>
      <c r="CS245">
        <f>_xlfn.XLOOKUP(B245,'[9]november-2025'!$A:$A,'[9]november-2025'!$H:$H,0,0)</f>
        <v>3000</v>
      </c>
      <c r="CT245">
        <f>_xlfn.XLOOKUP(B245,'[9]november-2025'!$A:$A,'[9]november-2025'!$I:$I,0,0)</f>
        <v>0</v>
      </c>
      <c r="CU245">
        <f>IF($F245="YES",0,IF(CR245&gt;40000,200,IF(CR245&gt;25000,150,IF(CR245&gt;15000,130,IF(CR245&gt;10000,110,0)))))</f>
        <v>200</v>
      </c>
      <c r="CV245">
        <f>CR245-CS245-CT245-CU245</f>
        <v>60610</v>
      </c>
      <c r="CW245">
        <f>_xlfn.XLOOKUP(B245,'[10]december-2025'!$A:$A,'[10]december-2025'!$C:$C,0,0)</f>
        <v>48700</v>
      </c>
      <c r="CX245">
        <f>ROUND(CW245*0.18,0)</f>
        <v>8766</v>
      </c>
      <c r="CY245">
        <f>ROUND(CW245*0.12,0)</f>
        <v>5844</v>
      </c>
      <c r="CZ245">
        <f>_xlfn.XLOOKUP(B245,'[10]december-2025'!$A:$A,'[10]december-2025'!$D:$D,0,0)</f>
        <v>0</v>
      </c>
      <c r="DA245">
        <f>_xlfn.XLOOKUP(B245,'[10]december-2025'!$A:$A,'[10]december-2025'!$G:$G,0,0)</f>
        <v>500</v>
      </c>
      <c r="DB245">
        <f>IF(CW245&gt;0,SUM(CW245:DA245),0)</f>
        <v>63810</v>
      </c>
      <c r="DC245">
        <f>_xlfn.XLOOKUP(B245,'[10]december-2025'!$A:$A,'[10]december-2025'!$H:$H,0,0)</f>
        <v>3000</v>
      </c>
      <c r="DD245">
        <f>_xlfn.XLOOKUP(B245,'[10]december-2025'!$A:$A,'[10]december-2025'!$I:$I,0,0)</f>
        <v>0</v>
      </c>
      <c r="DE245">
        <f>IF($F245="YES",0,IF(DB245&gt;40000,200,IF(DB245&gt;25000,150,IF(DB245&gt;15000,130,IF(DB245&gt;10000,110,0)))))</f>
        <v>200</v>
      </c>
      <c r="DF245">
        <f>DB245-DC245-DD245-DE245</f>
        <v>60610</v>
      </c>
      <c r="DG245">
        <f>_xlfn.XLOOKUP(B245,'[11]january-2026'!$A:$A,'[11]january-2026'!$C:$C,0,0)</f>
        <v>48700</v>
      </c>
      <c r="DH245">
        <f>DG245*0.18</f>
        <v>8766</v>
      </c>
      <c r="DI245">
        <f>DG245*0.12</f>
        <v>5844</v>
      </c>
      <c r="DJ245">
        <f>_xlfn.XLOOKUP(B245,'[11]january-2026'!$A:$A,'[11]january-2026'!$D:$D,0,0)</f>
        <v>0</v>
      </c>
      <c r="DK245">
        <f>_xlfn.XLOOKUP(B245,'[11]january-2026'!$A:$A,'[11]january-2026'!$G:$G,0,0)</f>
        <v>500</v>
      </c>
      <c r="DL245">
        <f>IF(DG245&gt;0,SUM(DG245:DK245),0)</f>
        <v>63810</v>
      </c>
      <c r="DM245">
        <f>_xlfn.XLOOKUP(B245,'[11]january-2026'!$A:$A,'[11]january-2026'!$H:$H,0,0)</f>
        <v>3000</v>
      </c>
      <c r="DN245">
        <f>_xlfn.XLOOKUP(B245,'[11]january-2026'!$A:$A,'[11]january-2026'!$I:$I,0,0)</f>
        <v>0</v>
      </c>
      <c r="DO245">
        <f>IF($F245="YES",0,IF(DL245&gt;40000,200,IF(DL245&gt;25000,150,IF(DL245&gt;15000,130,IF(DL245&gt;10000,110,0)))))</f>
        <v>200</v>
      </c>
      <c r="DP245">
        <f>DL245-DM245-DN245-DO245</f>
        <v>60610</v>
      </c>
      <c r="DQ245">
        <f>_xlfn.XLOOKUP(B245,'[12]february-2026'!$A:$A,'[12]february-2026'!$C:$C,0,0)</f>
        <v>48700</v>
      </c>
      <c r="DR245">
        <f>DQ245*0.18</f>
        <v>8766</v>
      </c>
      <c r="DS245">
        <f>DQ245*0.12</f>
        <v>5844</v>
      </c>
      <c r="DT245">
        <f>_xlfn.XLOOKUP(B245,'[12]february-2026'!$A:$A,'[12]february-2026'!$D:$D,0,0)</f>
        <v>0</v>
      </c>
      <c r="DU245">
        <f>_xlfn.XLOOKUP(B245,'[12]february-2026'!$A:$A,'[12]february-2026'!$G:$G,0,0)</f>
        <v>500</v>
      </c>
      <c r="DV245">
        <f>IF(DQ245&gt;0,SUM(DQ245:DU245),0)</f>
        <v>63810</v>
      </c>
      <c r="DW245">
        <f>_xlfn.XLOOKUP(B245,'[12]february-2026'!$A:$A,'[12]february-2026'!$H:$H,0,0)</f>
        <v>3000</v>
      </c>
      <c r="DX245">
        <f>_xlfn.XLOOKUP(B245,'[12]february-2026'!$A:$A,'[12]february-2026'!$I:$I,0,0)</f>
        <v>0</v>
      </c>
      <c r="DY245">
        <f>IF($F245="YES",0,IF(DV245&gt;40000,200,IF(DV245&gt;25000,150,IF(DV245&gt;15000,130,IF(DV245&gt;10000,110,0)))))</f>
        <v>200</v>
      </c>
      <c r="DZ245">
        <f>DV245-DW245-DX245-DY245</f>
        <v>60610</v>
      </c>
      <c r="EA245">
        <f>DV245+DL245+DB245+CR245+CH245+BX245+BN245+BD245+AS245+AI245+Y245+O245+H245+I245</f>
        <v>763348</v>
      </c>
      <c r="EB245">
        <f>DY245+DO245+DE245+CU245+CK245+CA245+BQ245+BG245+AV245+AL245+AB245+R245</f>
        <v>2400</v>
      </c>
      <c r="EC245">
        <f>IF(EA245&gt;0,50000,0)</f>
        <v>50000</v>
      </c>
      <c r="ED245">
        <v>0</v>
      </c>
      <c r="EE245">
        <f>EA245-EB245-EC245</f>
        <v>710948</v>
      </c>
      <c r="EF245">
        <f>DW245+DM245+DC245+CS245+CI245+BY245+BO245+BE245+AT245+AJ245+Z245+P245</f>
        <v>36000</v>
      </c>
      <c r="EG245">
        <f>DX245+DN245+DD245+CT245+CJ245+BZ245+BP245+BF245+AU245+AK245+AA245+Q245</f>
        <v>0</v>
      </c>
      <c r="EH245">
        <v>0</v>
      </c>
      <c r="EI245">
        <v>0</v>
      </c>
      <c r="EJ245">
        <v>0</v>
      </c>
      <c r="EK245">
        <v>0</v>
      </c>
      <c r="EL245">
        <v>0</v>
      </c>
      <c r="EM245">
        <v>0</v>
      </c>
      <c r="EN245">
        <v>0</v>
      </c>
      <c r="EO245">
        <v>0</v>
      </c>
      <c r="EP245">
        <v>0</v>
      </c>
      <c r="EQ245">
        <v>0</v>
      </c>
      <c r="ER245">
        <f>SUM(EF245:EQ245)</f>
        <v>36000</v>
      </c>
      <c r="ES245">
        <f>IF(ER245&gt;=150000,150000,ER245)</f>
        <v>36000</v>
      </c>
      <c r="ET245">
        <f>EE245-ES245</f>
        <v>674948</v>
      </c>
      <c r="EU245">
        <v>0</v>
      </c>
      <c r="EV245">
        <v>0</v>
      </c>
      <c r="EW245">
        <v>0</v>
      </c>
      <c r="EX245">
        <v>0</v>
      </c>
      <c r="EY245">
        <v>0</v>
      </c>
      <c r="EZ245">
        <v>0</v>
      </c>
      <c r="FA245">
        <v>0</v>
      </c>
      <c r="FB245">
        <f>SUM(EU245:FA245)+(IF(F245="YES",50000,0))</f>
        <v>0</v>
      </c>
      <c r="FC245">
        <f>ET245-FB245</f>
        <v>674948</v>
      </c>
      <c r="FD245">
        <f>ROUND(IF(FC245&gt;0,IF(FC245&gt;500000,12500,(FC245-250000)*0.05),0),0)</f>
        <v>12500</v>
      </c>
      <c r="FE245">
        <f>IF(ROUND(IF(FC245&gt;0,IF(FC245&gt;1000000,25000,(FC245-500000)*0.2),0),0)&lt;0,0,ROUND(IF(FC245&gt;0,IF(FC245&gt;1000000,25000,(FC245-500000)*0.2),0),0))</f>
        <v>34990</v>
      </c>
      <c r="FF245">
        <f>FD245+FE245</f>
        <v>47490</v>
      </c>
      <c r="FG245">
        <f>IF(FF245&lt;12500,0,FF245)</f>
        <v>47490</v>
      </c>
      <c r="FH245">
        <f>FG245*0.04</f>
        <v>1899.6000000000001</v>
      </c>
      <c r="FI245">
        <f>ROUND(FH245+FG245,0)</f>
        <v>49390</v>
      </c>
      <c r="FJ245">
        <v>0</v>
      </c>
      <c r="FK245">
        <f>FI245-FJ245</f>
        <v>49390</v>
      </c>
      <c r="FL245" t="b">
        <f>IF(EA245&gt;500000,TRUE,FALSE)</f>
        <v>1</v>
      </c>
      <c r="FM245">
        <f ca="1">IF(FL245,RANDBETWEEN(500,1000),RANDBETWEEN(1000,3000))</f>
        <v>648</v>
      </c>
      <c r="FN245">
        <f ca="1">EA245+FM245</f>
        <v>763996</v>
      </c>
      <c r="FO245">
        <f>IF(EA245&gt;0,75000,0)</f>
        <v>75000</v>
      </c>
      <c r="FP245">
        <f ca="1">FN245-FO245</f>
        <v>688996</v>
      </c>
      <c r="FQ245">
        <f ca="1">IF(FP245&gt;2400000,FP245-2400000,0)</f>
        <v>0</v>
      </c>
      <c r="FR245">
        <f ca="1">FQ245*0.3</f>
        <v>0</v>
      </c>
      <c r="FS245">
        <f ca="1">IF(FP245&gt;2000000,FP245-2000000,0)</f>
        <v>0</v>
      </c>
      <c r="FT245">
        <f ca="1">FS245*0.25</f>
        <v>0</v>
      </c>
      <c r="FU245">
        <f ca="1">IF(FP245&gt;1600000,FP245-1600000-FQ245,0)</f>
        <v>0</v>
      </c>
      <c r="FV245">
        <f ca="1">FU245*0.2</f>
        <v>0</v>
      </c>
      <c r="FW245">
        <f ca="1">IF(FP245&gt;1200000,FP245-1200000-IF(F245="YES",50000,0)-FU245,0)</f>
        <v>0</v>
      </c>
      <c r="FX245">
        <f ca="1">FW245*0.15</f>
        <v>0</v>
      </c>
      <c r="FY245">
        <f ca="1">IF(FP245&gt;800000,FP245-800000-FQ245-FU245-FW245,0)</f>
        <v>0</v>
      </c>
      <c r="FZ245">
        <f ca="1">FY245*0.1</f>
        <v>0</v>
      </c>
      <c r="GA245">
        <f ca="1">IF(FP245&gt;400000,FP245-400000-FQ245-FU245-FW245-FY245,0)</f>
        <v>288996</v>
      </c>
      <c r="GB245">
        <f ca="1">GA245*0.05</f>
        <v>14449.800000000001</v>
      </c>
      <c r="GC245">
        <f ca="1">ROUND(FR245+FT245+FV245+FX245+FZ245+GB245,0)</f>
        <v>14450</v>
      </c>
      <c r="GD245">
        <f ca="1">IF(FP245&gt;1200000,FP245,0)</f>
        <v>0</v>
      </c>
      <c r="GE245">
        <f ca="1">IF(FP245&gt;1200000,GD245-1200000,0)</f>
        <v>0</v>
      </c>
      <c r="GF245">
        <f ca="1">IF(FP245&lt;1200001,MIN(GC245,60000),0)</f>
        <v>14450</v>
      </c>
      <c r="GG245">
        <f ca="1">IF(FP245&gt;1200000,GC245-GE245,0)</f>
        <v>0</v>
      </c>
      <c r="GH245" t="b">
        <f ca="1">IF(GG245&gt;0,TRUE,FALSE)</f>
        <v>0</v>
      </c>
      <c r="GI245">
        <f ca="1">IF(GH245,GG245,0)</f>
        <v>0</v>
      </c>
      <c r="GJ245">
        <f ca="1">GF245+GI245</f>
        <v>14450</v>
      </c>
      <c r="GK245">
        <f ca="1">ROUND(GC245-GJ245,0)</f>
        <v>0</v>
      </c>
      <c r="GL245">
        <f ca="1">GK245*0.04</f>
        <v>0</v>
      </c>
      <c r="GM245">
        <f ca="1">ROUNDUP(GK245+GL245,0)</f>
        <v>0</v>
      </c>
    </row>
    <row r="246" spans="1:195" x14ac:dyDescent="0.25">
      <c r="A246">
        <f>_xlfn.AGGREGATE(3,5,$B$2:B246)</f>
        <v>245</v>
      </c>
      <c r="B246" t="s">
        <v>601</v>
      </c>
      <c r="C246" t="s">
        <v>602</v>
      </c>
      <c r="D246" t="s">
        <v>815</v>
      </c>
      <c r="E246" t="s">
        <v>833</v>
      </c>
      <c r="F246" t="s">
        <v>959</v>
      </c>
      <c r="G246" t="s">
        <v>899</v>
      </c>
      <c r="H246">
        <f>IF(_xlfn.DAYS("31-03-2025",G246)&gt;=180,6800,0)</f>
        <v>6800</v>
      </c>
      <c r="I246">
        <f>_xlfn.XLOOKUP(B246,'[1]march-2025'!$A:$A,'[1]march-2025'!$J:$J,0,0)</f>
        <v>0</v>
      </c>
      <c r="J246">
        <f>_xlfn.XLOOKUP(B246,'[1]march-2025'!$A:$A,'[1]march-2025'!$C:$C,0,0)</f>
        <v>33500</v>
      </c>
      <c r="K246">
        <f>J246*0.14</f>
        <v>4690</v>
      </c>
      <c r="L246">
        <f>J246*0.12</f>
        <v>4020</v>
      </c>
      <c r="M246">
        <f>_xlfn.XLOOKUP(B246,'[1]march-2025'!$A:$A,'[1]march-2025'!$D:$D,0,0)</f>
        <v>0</v>
      </c>
      <c r="N246">
        <f>_xlfn.XLOOKUP(B246,'[1]march-2025'!$A:$A,'[1]march-2025'!$G:$G,0,0)</f>
        <v>500</v>
      </c>
      <c r="O246">
        <f>IF(J246&gt;0,SUM(J246:N246),0)</f>
        <v>42710</v>
      </c>
      <c r="P246">
        <f>_xlfn.XLOOKUP(B246,'[1]march-2025'!$A:$A,'[1]march-2025'!$H:$H,0,0)</f>
        <v>2500</v>
      </c>
      <c r="Q246">
        <f>_xlfn.XLOOKUP(B246,'[1]march-2025'!$A:$A,'[1]march-2025'!$I:$I,0,0)</f>
        <v>0</v>
      </c>
      <c r="R246">
        <f>IF($F246="YES",0,IF(O246&gt;40000,200,IF(O246&gt;25000,150,IF(O246&gt;15000,130,IF(O246&gt;10000,110,0)))))</f>
        <v>200</v>
      </c>
      <c r="S246">
        <f>O246-P246-Q246-R246</f>
        <v>40010</v>
      </c>
      <c r="T246">
        <f>_xlfn.XLOOKUP(B246,'[2]april-2025'!$A:$A,'[2]april-2025'!$C:$C,0,0)</f>
        <v>33500</v>
      </c>
      <c r="U246">
        <f>T246*0.18</f>
        <v>6030</v>
      </c>
      <c r="V246">
        <f>T246*0.12</f>
        <v>4020</v>
      </c>
      <c r="W246">
        <f>_xlfn.XLOOKUP(B246,'[2]april-2025'!$A:$A,'[2]april-2025'!$D:$D,0,0)</f>
        <v>0</v>
      </c>
      <c r="X246">
        <f>_xlfn.XLOOKUP(B246,'[2]april-2025'!$A:$A,'[2]april-2025'!$G:$G,0,0)</f>
        <v>500</v>
      </c>
      <c r="Y246">
        <f>IF(T246&gt;0,SUM(T246:X246),0)</f>
        <v>44050</v>
      </c>
      <c r="Z246">
        <f>_xlfn.XLOOKUP(B246,'[2]april-2025'!$A:$A,'[2]april-2025'!$H:$H,0,0)</f>
        <v>2500</v>
      </c>
      <c r="AA246">
        <f>_xlfn.XLOOKUP(B246,'[2]april-2025'!$A:$A,'[2]april-2025'!$I:$I,0,0)</f>
        <v>0</v>
      </c>
      <c r="AB246">
        <f>IF($F246="YES",0,IF(Y246&gt;40000,200,IF(Y246&gt;25000,150,IF(Y246&gt;15000,130,IF(Y246&gt;10000,110,0)))))</f>
        <v>200</v>
      </c>
      <c r="AC246">
        <f>Y246-Z246-AA246-AB246</f>
        <v>41350</v>
      </c>
      <c r="AD246">
        <f>_xlfn.XLOOKUP(B246,'[3]may-2025'!$A:$A,'[3]may-2025'!$C:$C,0,0)</f>
        <v>33500</v>
      </c>
      <c r="AE246">
        <f>AD246*0.18</f>
        <v>6030</v>
      </c>
      <c r="AF246">
        <f>AD246*0.12</f>
        <v>4020</v>
      </c>
      <c r="AG246">
        <f>_xlfn.XLOOKUP(B246,'[3]may-2025'!$A:$A,'[3]may-2025'!$D:$D,0,0)</f>
        <v>0</v>
      </c>
      <c r="AH246">
        <f>_xlfn.XLOOKUP(B246,'[3]may-2025'!$A:$A,'[3]may-2025'!$G:$G,0,0)</f>
        <v>500</v>
      </c>
      <c r="AI246">
        <f>IF(AD246&gt;0,SUM(AD246:AH246),0)</f>
        <v>44050</v>
      </c>
      <c r="AJ246">
        <f>_xlfn.XLOOKUP(B246,'[3]may-2025'!$A:$A,'[3]may-2025'!$H:$H,0,0)</f>
        <v>2500</v>
      </c>
      <c r="AK246">
        <f>_xlfn.XLOOKUP(B246,'[3]may-2025'!$A:$A,'[3]may-2025'!$I:$I,0,0)</f>
        <v>0</v>
      </c>
      <c r="AL246">
        <f>IF($F246="YES",0,IF(AI246&gt;40000,200,IF(AI246&gt;25000,150,IF(AI246&gt;15000,130,IF(AI246&gt;10000,110,0)))))</f>
        <v>200</v>
      </c>
      <c r="AM246">
        <f>AI246-AJ246-AK246-AL246</f>
        <v>41350</v>
      </c>
      <c r="AN246">
        <f>_xlfn.XLOOKUP(B246,'[4]june-2025'!$A:$A,'[4]june-2025'!$C:$C,0,0)</f>
        <v>33500</v>
      </c>
      <c r="AO246">
        <f>AN246*0.18</f>
        <v>6030</v>
      </c>
      <c r="AP246">
        <f>AN246*0.12</f>
        <v>4020</v>
      </c>
      <c r="AQ246">
        <f>_xlfn.XLOOKUP(B246,'[4]june-2025'!$A:$A,'[4]june-2025'!$D:$D,0,0)</f>
        <v>0</v>
      </c>
      <c r="AR246">
        <f>_xlfn.XLOOKUP(B246,'[4]june-2025'!$A:$A,'[4]june-2025'!$G:$G,0,0)</f>
        <v>500</v>
      </c>
      <c r="AS246">
        <f>IF(AN246&gt;0,SUM(AN246:AR246),0)</f>
        <v>44050</v>
      </c>
      <c r="AT246">
        <f>_xlfn.XLOOKUP(B246,'[4]june-2025'!$A:$A,'[4]june-2025'!$H:$H,0,0)</f>
        <v>2500</v>
      </c>
      <c r="AU246">
        <f>_xlfn.XLOOKUP(B246,'[4]june-2025'!$A:$A,'[4]june-2025'!$I:$I,0,0)</f>
        <v>0</v>
      </c>
      <c r="AV246">
        <f>IF($F246="YES",0,IF(AS246&gt;40000,200,IF(AS246&gt;25000,150,IF(AS246&gt;15000,130,IF(AS246&gt;10000,110,0)))))</f>
        <v>200</v>
      </c>
      <c r="AW246">
        <f>AS246-AT246-AU246-AV246</f>
        <v>41350</v>
      </c>
      <c r="AX246">
        <f>_xlfn.XLOOKUP(B246,'[5]july-2025'!$A:$A,'[5]july-2025'!$C:$C,0,0)</f>
        <v>34500</v>
      </c>
      <c r="AY246">
        <f>AX246*0.18</f>
        <v>6210</v>
      </c>
      <c r="AZ246">
        <v>0</v>
      </c>
      <c r="BA246">
        <f>AX246*0.12</f>
        <v>4140</v>
      </c>
      <c r="BB246">
        <f>_xlfn.XLOOKUP(B246,'[5]july-2025'!$A:$A,'[5]july-2025'!$D:$D,0,0)</f>
        <v>0</v>
      </c>
      <c r="BC246">
        <f>_xlfn.XLOOKUP(B246,'[5]july-2025'!$A:$A,'[5]july-2025'!$G:$G,0,0)</f>
        <v>500</v>
      </c>
      <c r="BD246">
        <f>IF(AX246&gt;0,SUM(AX246:BC246),0)</f>
        <v>45350</v>
      </c>
      <c r="BE246">
        <f>_xlfn.XLOOKUP(B246,'[5]july-2025'!$A:$A,'[5]july-2025'!$H:$H,0,0)</f>
        <v>2500</v>
      </c>
      <c r="BF246">
        <f>_xlfn.XLOOKUP(B246,'[5]july-2025'!$A:$A,'[5]july-2025'!$I:$I,0,0)</f>
        <v>0</v>
      </c>
      <c r="BG246">
        <f>IF($F246="YES",0,IF(BD246&gt;40000,200,IF(BD246&gt;25000,150,IF(BD246&gt;15000,130,IF(BD246&gt;10000,110,0)))))</f>
        <v>200</v>
      </c>
      <c r="BH246">
        <f>BD246-BE246-BF246-BG246</f>
        <v>42650</v>
      </c>
      <c r="BI246">
        <f>_xlfn.XLOOKUP(B246,'[6]august-2025'!$A:$A,'[6]august-2025'!$C:$C,0,0)</f>
        <v>34500</v>
      </c>
      <c r="BJ246">
        <f>BI246*0.18</f>
        <v>6210</v>
      </c>
      <c r="BK246">
        <f>BI246*0.12</f>
        <v>4140</v>
      </c>
      <c r="BL246">
        <f>_xlfn.XLOOKUP(B246,'[6]august-2025'!$A:$A,'[6]august-2025'!$D:$D,0,0)</f>
        <v>0</v>
      </c>
      <c r="BM246">
        <f>_xlfn.XLOOKUP(B246,'[6]august-2025'!$A:$A,'[6]august-2025'!$G:$G,0,0)</f>
        <v>500</v>
      </c>
      <c r="BN246">
        <f>IF(BI246&gt;0,SUM(BI246:BM246),0)</f>
        <v>45350</v>
      </c>
      <c r="BO246">
        <f>_xlfn.XLOOKUP(B246,'[6]august-2025'!$A:$A,'[6]august-2025'!$H:$H,0,0)</f>
        <v>2500</v>
      </c>
      <c r="BP246">
        <f>_xlfn.XLOOKUP(B246,'[6]august-2025'!$A:$A,'[6]august-2025'!$I:$I,0,0)</f>
        <v>0</v>
      </c>
      <c r="BQ246">
        <f>IF($F246="YES",0,IF(BN246&gt;40000,200,IF(BN246&gt;25000,150,IF(BN246&gt;15000,130,IF(BN246&gt;10000,110,0)))))</f>
        <v>200</v>
      </c>
      <c r="BR246">
        <f>BN246-BO246-BP246-BQ246</f>
        <v>42650</v>
      </c>
      <c r="BS246">
        <f>_xlfn.XLOOKUP(B246,'[7]september-2025'!$A:$A,'[7]september-2025'!$C:$C,0,0)</f>
        <v>34500</v>
      </c>
      <c r="BT246">
        <f>BS246*0.18</f>
        <v>6210</v>
      </c>
      <c r="BU246">
        <f>BS246*0.12</f>
        <v>4140</v>
      </c>
      <c r="BV246">
        <f>_xlfn.XLOOKUP(B246,'[7]september-2025'!$A:$A,'[7]september-2025'!$D:$D,0,0)</f>
        <v>0</v>
      </c>
      <c r="BW246">
        <f>_xlfn.XLOOKUP(B246,'[7]september-2025'!$A:$A,'[7]september-2025'!$G:$G,0,0)</f>
        <v>500</v>
      </c>
      <c r="BX246">
        <f>IF(BS246&gt;0,SUM(BS246:BW246),0)</f>
        <v>45350</v>
      </c>
      <c r="BY246">
        <f>_xlfn.XLOOKUP(B246,'[7]september-2025'!$A:$A,'[7]september-2025'!$H:$H,0,0)</f>
        <v>2500</v>
      </c>
      <c r="BZ246">
        <f>_xlfn.XLOOKUP(B246,'[7]september-2025'!$A:$A,'[7]september-2025'!$I:$I,0,0)</f>
        <v>0</v>
      </c>
      <c r="CA246">
        <f>IF($F246="YES",0,IF(BX246&gt;40000,200,IF(BX246&gt;25000,150,IF(BX246&gt;15000,130,IF(BX246&gt;10000,110,0)))))</f>
        <v>200</v>
      </c>
      <c r="CB246">
        <f>BX246-BY246-BZ246-CA246</f>
        <v>42650</v>
      </c>
      <c r="CC246">
        <f>_xlfn.XLOOKUP(B246,'[8]october-2025'!$A:$A,'[8]october-2025'!$C:$C,0,0)</f>
        <v>34500</v>
      </c>
      <c r="CD246">
        <f>CC246*0.18</f>
        <v>6210</v>
      </c>
      <c r="CE246">
        <f>CC246*0.12</f>
        <v>4140</v>
      </c>
      <c r="CF246">
        <f>_xlfn.XLOOKUP(B246,'[8]october-2025'!$A:$A,'[8]october-2025'!$D:$D,0,0)</f>
        <v>0</v>
      </c>
      <c r="CG246">
        <f>_xlfn.XLOOKUP(B246,'[8]october-2025'!$A:$A,'[8]october-2025'!$G:$G,0,0)</f>
        <v>500</v>
      </c>
      <c r="CH246">
        <f>IF(CC246&gt;0,SUM(CC246:CG246),0)</f>
        <v>45350</v>
      </c>
      <c r="CI246">
        <f>_xlfn.XLOOKUP(B246,'[8]october-2025'!$A:$A,'[8]october-2025'!$H:$H,0,0)</f>
        <v>2500</v>
      </c>
      <c r="CJ246">
        <f>_xlfn.XLOOKUP(B246,'[8]october-2025'!$A:$A,'[8]october-2025'!$I:$I,0,0)</f>
        <v>0</v>
      </c>
      <c r="CK246">
        <f>IF($F246="YES",0,IF(CH246&gt;40000,200,IF(CH246&gt;25000,150,IF(CH246&gt;15000,130,IF(CH246&gt;10000,110,0)))))</f>
        <v>200</v>
      </c>
      <c r="CL246">
        <f>CH246-CI246-CJ246-CK246</f>
        <v>42650</v>
      </c>
      <c r="CM246">
        <f>_xlfn.XLOOKUP(B246,'[9]november-2025'!$A:$A,'[9]november-2025'!$C:$C,0,0)</f>
        <v>34500</v>
      </c>
      <c r="CN246">
        <f>CM246*0.18</f>
        <v>6210</v>
      </c>
      <c r="CO246">
        <f>CM246*0.12</f>
        <v>4140</v>
      </c>
      <c r="CP246">
        <f>_xlfn.XLOOKUP(B246,'[9]november-2025'!$A:$A,'[9]november-2025'!$D:$D,0,0)</f>
        <v>0</v>
      </c>
      <c r="CQ246">
        <f>_xlfn.XLOOKUP(B246,'[9]november-2025'!$A:$A,'[9]november-2025'!$G:$G,0,0)</f>
        <v>500</v>
      </c>
      <c r="CR246">
        <f>IF(CM246&gt;0,SUM(CM246:CQ246),0)</f>
        <v>45350</v>
      </c>
      <c r="CS246">
        <f>_xlfn.XLOOKUP(B246,'[9]november-2025'!$A:$A,'[9]november-2025'!$H:$H,0,0)</f>
        <v>2500</v>
      </c>
      <c r="CT246">
        <f>_xlfn.XLOOKUP(B246,'[9]november-2025'!$A:$A,'[9]november-2025'!$I:$I,0,0)</f>
        <v>0</v>
      </c>
      <c r="CU246">
        <f>IF($F246="YES",0,IF(CR246&gt;40000,200,IF(CR246&gt;25000,150,IF(CR246&gt;15000,130,IF(CR246&gt;10000,110,0)))))</f>
        <v>200</v>
      </c>
      <c r="CV246">
        <f>CR246-CS246-CT246-CU246</f>
        <v>42650</v>
      </c>
      <c r="CW246">
        <f>_xlfn.XLOOKUP(B246,'[10]december-2025'!$A:$A,'[10]december-2025'!$C:$C,0,0)</f>
        <v>34500</v>
      </c>
      <c r="CX246">
        <f>ROUND(CW246*0.18,0)</f>
        <v>6210</v>
      </c>
      <c r="CY246">
        <f>ROUND(CW246*0.12,0)</f>
        <v>4140</v>
      </c>
      <c r="CZ246">
        <f>_xlfn.XLOOKUP(B246,'[10]december-2025'!$A:$A,'[10]december-2025'!$D:$D,0,0)</f>
        <v>0</v>
      </c>
      <c r="DA246">
        <f>_xlfn.XLOOKUP(B246,'[10]december-2025'!$A:$A,'[10]december-2025'!$G:$G,0,0)</f>
        <v>500</v>
      </c>
      <c r="DB246">
        <f>IF(CW246&gt;0,SUM(CW246:DA246),0)</f>
        <v>45350</v>
      </c>
      <c r="DC246">
        <f>_xlfn.XLOOKUP(B246,'[10]december-2025'!$A:$A,'[10]december-2025'!$H:$H,0,0)</f>
        <v>2500</v>
      </c>
      <c r="DD246">
        <f>_xlfn.XLOOKUP(B246,'[10]december-2025'!$A:$A,'[10]december-2025'!$I:$I,0,0)</f>
        <v>0</v>
      </c>
      <c r="DE246">
        <f>IF($F246="YES",0,IF(DB246&gt;40000,200,IF(DB246&gt;25000,150,IF(DB246&gt;15000,130,IF(DB246&gt;10000,110,0)))))</f>
        <v>200</v>
      </c>
      <c r="DF246">
        <f>DB246-DC246-DD246-DE246</f>
        <v>42650</v>
      </c>
      <c r="DG246">
        <f>_xlfn.XLOOKUP(B246,'[11]january-2026'!$A:$A,'[11]january-2026'!$C:$C,0,0)</f>
        <v>34500</v>
      </c>
      <c r="DH246">
        <f>DG246*0.18</f>
        <v>6210</v>
      </c>
      <c r="DI246">
        <f>DG246*0.12</f>
        <v>4140</v>
      </c>
      <c r="DJ246">
        <f>_xlfn.XLOOKUP(B246,'[11]january-2026'!$A:$A,'[11]january-2026'!$D:$D,0,0)</f>
        <v>0</v>
      </c>
      <c r="DK246">
        <f>_xlfn.XLOOKUP(B246,'[11]january-2026'!$A:$A,'[11]january-2026'!$G:$G,0,0)</f>
        <v>500</v>
      </c>
      <c r="DL246">
        <f>IF(DG246&gt;0,SUM(DG246:DK246),0)</f>
        <v>45350</v>
      </c>
      <c r="DM246">
        <f>_xlfn.XLOOKUP(B246,'[11]january-2026'!$A:$A,'[11]january-2026'!$H:$H,0,0)</f>
        <v>2500</v>
      </c>
      <c r="DN246">
        <f>_xlfn.XLOOKUP(B246,'[11]january-2026'!$A:$A,'[11]january-2026'!$I:$I,0,0)</f>
        <v>0</v>
      </c>
      <c r="DO246">
        <f>IF($F246="YES",0,IF(DL246&gt;40000,200,IF(DL246&gt;25000,150,IF(DL246&gt;15000,130,IF(DL246&gt;10000,110,0)))))</f>
        <v>200</v>
      </c>
      <c r="DP246">
        <f>DL246-DM246-DN246-DO246</f>
        <v>42650</v>
      </c>
      <c r="DQ246">
        <f>_xlfn.XLOOKUP(B246,'[12]february-2026'!$A:$A,'[12]february-2026'!$C:$C,0,0)</f>
        <v>34500</v>
      </c>
      <c r="DR246">
        <f>DQ246*0.18</f>
        <v>6210</v>
      </c>
      <c r="DS246">
        <f>DQ246*0.12</f>
        <v>4140</v>
      </c>
      <c r="DT246">
        <f>_xlfn.XLOOKUP(B246,'[12]february-2026'!$A:$A,'[12]february-2026'!$D:$D,0,0)</f>
        <v>0</v>
      </c>
      <c r="DU246">
        <f>_xlfn.XLOOKUP(B246,'[12]february-2026'!$A:$A,'[12]february-2026'!$G:$G,0,0)</f>
        <v>500</v>
      </c>
      <c r="DV246">
        <f>IF(DQ246&gt;0,SUM(DQ246:DU246),0)</f>
        <v>45350</v>
      </c>
      <c r="DW246">
        <f>_xlfn.XLOOKUP(B246,'[12]february-2026'!$A:$A,'[12]february-2026'!$H:$H,0,0)</f>
        <v>2500</v>
      </c>
      <c r="DX246">
        <f>_xlfn.XLOOKUP(B246,'[12]february-2026'!$A:$A,'[12]february-2026'!$I:$I,0,0)</f>
        <v>0</v>
      </c>
      <c r="DY246">
        <f>IF($F246="YES",0,IF(DV246&gt;40000,200,IF(DV246&gt;25000,150,IF(DV246&gt;15000,130,IF(DV246&gt;10000,110,0)))))</f>
        <v>200</v>
      </c>
      <c r="DZ246">
        <f>DV246-DW246-DX246-DY246</f>
        <v>42650</v>
      </c>
      <c r="EA246">
        <f>DV246+DL246+DB246+CR246+CH246+BX246+BN246+BD246+AS246+AI246+Y246+O246+H246+I246</f>
        <v>544460</v>
      </c>
      <c r="EB246">
        <f>DY246+DO246+DE246+CU246+CK246+CA246+BQ246+BG246+AV246+AL246+AB246+R246</f>
        <v>2400</v>
      </c>
      <c r="EC246">
        <f>IF(EA246&gt;0,50000,0)</f>
        <v>50000</v>
      </c>
      <c r="ED246">
        <v>0</v>
      </c>
      <c r="EE246">
        <f>EA246-EB246-EC246</f>
        <v>492060</v>
      </c>
      <c r="EF246">
        <f>DW246+DM246+DC246+CS246+CI246+BY246+BO246+BE246+AT246+AJ246+Z246+P246</f>
        <v>30000</v>
      </c>
      <c r="EG246">
        <f>DX246+DN246+DD246+CT246+CJ246+BZ246+BP246+BF246+AU246+AK246+AA246+Q246</f>
        <v>0</v>
      </c>
      <c r="EH246">
        <v>0</v>
      </c>
      <c r="EI246">
        <v>0</v>
      </c>
      <c r="EJ246">
        <v>0</v>
      </c>
      <c r="EK246">
        <v>0</v>
      </c>
      <c r="EL246">
        <v>0</v>
      </c>
      <c r="EM246">
        <v>0</v>
      </c>
      <c r="EN246">
        <v>0</v>
      </c>
      <c r="EO246">
        <v>0</v>
      </c>
      <c r="EP246">
        <v>0</v>
      </c>
      <c r="EQ246">
        <v>0</v>
      </c>
      <c r="ER246">
        <f>SUM(EF246:EQ246)</f>
        <v>30000</v>
      </c>
      <c r="ES246">
        <f>IF(ER246&gt;=150000,150000,ER246)</f>
        <v>30000</v>
      </c>
      <c r="ET246">
        <f>EE246-ES246</f>
        <v>462060</v>
      </c>
      <c r="EU246">
        <v>0</v>
      </c>
      <c r="EV246">
        <v>0</v>
      </c>
      <c r="EW246">
        <v>0</v>
      </c>
      <c r="EX246">
        <v>0</v>
      </c>
      <c r="EY246">
        <v>0</v>
      </c>
      <c r="EZ246">
        <v>0</v>
      </c>
      <c r="FA246">
        <v>0</v>
      </c>
      <c r="FB246">
        <f>SUM(EU246:FA246)+(IF(F246="YES",50000,0))</f>
        <v>0</v>
      </c>
      <c r="FC246">
        <f>ET246-FB246</f>
        <v>462060</v>
      </c>
      <c r="FD246">
        <f>ROUND(IF(FC246&gt;0,IF(FC246&gt;500000,12500,(FC246-250000)*0.05),0),0)</f>
        <v>10603</v>
      </c>
      <c r="FE246">
        <f>IF(ROUND(IF(FC246&gt;0,IF(FC246&gt;1000000,25000,(FC246-500000)*0.2),0),0)&lt;0,0,ROUND(IF(FC246&gt;0,IF(FC246&gt;1000000,25000,(FC246-500000)*0.2),0),0))</f>
        <v>0</v>
      </c>
      <c r="FF246">
        <f>FD246+FE246</f>
        <v>10603</v>
      </c>
      <c r="FG246">
        <f>IF(FF246&lt;12500,0,FF246)</f>
        <v>0</v>
      </c>
      <c r="FH246">
        <f>FG246*0.04</f>
        <v>0</v>
      </c>
      <c r="FI246">
        <f>ROUND(FH246+FG246,0)</f>
        <v>0</v>
      </c>
      <c r="FJ246">
        <v>0</v>
      </c>
      <c r="FK246">
        <f>FI246-FJ246</f>
        <v>0</v>
      </c>
      <c r="FL246" t="b">
        <f>IF(EA246&gt;500000,TRUE,FALSE)</f>
        <v>1</v>
      </c>
      <c r="FM246">
        <f ca="1">IF(FL246,RANDBETWEEN(500,1000),RANDBETWEEN(1000,3000))</f>
        <v>715</v>
      </c>
      <c r="FN246">
        <f ca="1">EA246+FM246</f>
        <v>545175</v>
      </c>
      <c r="FO246">
        <f>IF(EA246&gt;0,75000,0)</f>
        <v>75000</v>
      </c>
      <c r="FP246">
        <f ca="1">FN246-FO246</f>
        <v>470175</v>
      </c>
      <c r="FQ246">
        <f ca="1">IF(FP246&gt;2400000,FP246-2400000,0)</f>
        <v>0</v>
      </c>
      <c r="FR246">
        <f ca="1">FQ246*0.3</f>
        <v>0</v>
      </c>
      <c r="FS246">
        <f ca="1">IF(FP246&gt;2000000,FP246-2000000,0)</f>
        <v>0</v>
      </c>
      <c r="FT246">
        <f ca="1">FS246*0.25</f>
        <v>0</v>
      </c>
      <c r="FU246">
        <f ca="1">IF(FP246&gt;1600000,FP246-1600000-FQ246,0)</f>
        <v>0</v>
      </c>
      <c r="FV246">
        <f ca="1">FU246*0.2</f>
        <v>0</v>
      </c>
      <c r="FW246">
        <f ca="1">IF(FP246&gt;1200000,FP246-1200000-IF(F246="YES",50000,0)-FU246,0)</f>
        <v>0</v>
      </c>
      <c r="FX246">
        <f ca="1">FW246*0.15</f>
        <v>0</v>
      </c>
      <c r="FY246">
        <f ca="1">IF(FP246&gt;800000,FP246-800000-FQ246-FU246-FW246,0)</f>
        <v>0</v>
      </c>
      <c r="FZ246">
        <f ca="1">FY246*0.1</f>
        <v>0</v>
      </c>
      <c r="GA246">
        <f ca="1">IF(FP246&gt;400000,FP246-400000-FQ246-FU246-FW246-FY246,0)</f>
        <v>70175</v>
      </c>
      <c r="GB246">
        <f ca="1">GA246*0.05</f>
        <v>3508.75</v>
      </c>
      <c r="GC246">
        <f ca="1">ROUND(FR246+FT246+FV246+FX246+FZ246+GB246,0)</f>
        <v>3509</v>
      </c>
      <c r="GD246">
        <f ca="1">IF(FP246&gt;1200000,FP246,0)</f>
        <v>0</v>
      </c>
      <c r="GE246">
        <f ca="1">IF(FP246&gt;1200000,GD246-1200000,0)</f>
        <v>0</v>
      </c>
      <c r="GF246">
        <f ca="1">IF(FP246&lt;1200001,MIN(GC246,60000),0)</f>
        <v>3509</v>
      </c>
      <c r="GG246">
        <f ca="1">IF(FP246&gt;1200000,GC246-GE246,0)</f>
        <v>0</v>
      </c>
      <c r="GH246" t="b">
        <f ca="1">IF(GG246&gt;0,TRUE,FALSE)</f>
        <v>0</v>
      </c>
      <c r="GI246">
        <f ca="1">IF(GH246,GG246,0)</f>
        <v>0</v>
      </c>
      <c r="GJ246">
        <f ca="1">GF246+GI246</f>
        <v>3509</v>
      </c>
      <c r="GK246">
        <f ca="1">ROUND(GC246-GJ246,0)</f>
        <v>0</v>
      </c>
      <c r="GL246">
        <f ca="1">GK246*0.04</f>
        <v>0</v>
      </c>
      <c r="GM246">
        <f ca="1">ROUNDUP(GK246+GL246,0)</f>
        <v>0</v>
      </c>
    </row>
    <row r="247" spans="1:195" x14ac:dyDescent="0.25">
      <c r="A247">
        <f>_xlfn.AGGREGATE(3,5,$B$2:B247)</f>
        <v>246</v>
      </c>
      <c r="B247" t="s">
        <v>603</v>
      </c>
      <c r="C247" t="s">
        <v>604</v>
      </c>
      <c r="D247" t="s">
        <v>815</v>
      </c>
      <c r="E247" t="s">
        <v>833</v>
      </c>
      <c r="F247" t="s">
        <v>959</v>
      </c>
      <c r="G247" t="s">
        <v>899</v>
      </c>
      <c r="H247">
        <f>IF(_xlfn.DAYS("31-03-2025",G247)&gt;=180,6800,0)</f>
        <v>6800</v>
      </c>
      <c r="I247">
        <f>_xlfn.XLOOKUP(B247,'[1]march-2025'!$A:$A,'[1]march-2025'!$J:$J,0,0)</f>
        <v>0</v>
      </c>
      <c r="J247">
        <f>_xlfn.XLOOKUP(B247,'[1]march-2025'!$A:$A,'[1]march-2025'!$C:$C,0,0)</f>
        <v>33500</v>
      </c>
      <c r="K247">
        <f>J247*0.14</f>
        <v>4690</v>
      </c>
      <c r="L247">
        <f>J247*0.12</f>
        <v>4020</v>
      </c>
      <c r="M247">
        <f>_xlfn.XLOOKUP(B247,'[1]march-2025'!$A:$A,'[1]march-2025'!$D:$D,0,0)</f>
        <v>0</v>
      </c>
      <c r="N247">
        <f>_xlfn.XLOOKUP(B247,'[1]march-2025'!$A:$A,'[1]march-2025'!$G:$G,0,0)</f>
        <v>500</v>
      </c>
      <c r="O247">
        <f>IF(J247&gt;0,SUM(J247:N247),0)</f>
        <v>42710</v>
      </c>
      <c r="P247">
        <f>_xlfn.XLOOKUP(B247,'[1]march-2025'!$A:$A,'[1]march-2025'!$H:$H,0,0)</f>
        <v>2500</v>
      </c>
      <c r="Q247">
        <f>_xlfn.XLOOKUP(B247,'[1]march-2025'!$A:$A,'[1]march-2025'!$I:$I,0,0)</f>
        <v>0</v>
      </c>
      <c r="R247">
        <f>IF($F247="YES",0,IF(O247&gt;40000,200,IF(O247&gt;25000,150,IF(O247&gt;15000,130,IF(O247&gt;10000,110,0)))))</f>
        <v>200</v>
      </c>
      <c r="S247">
        <f>O247-P247-Q247-R247</f>
        <v>40010</v>
      </c>
      <c r="T247">
        <f>_xlfn.XLOOKUP(B247,'[2]april-2025'!$A:$A,'[2]april-2025'!$C:$C,0,0)</f>
        <v>33500</v>
      </c>
      <c r="U247">
        <f>T247*0.18</f>
        <v>6030</v>
      </c>
      <c r="V247">
        <f>T247*0.12</f>
        <v>4020</v>
      </c>
      <c r="W247">
        <f>_xlfn.XLOOKUP(B247,'[2]april-2025'!$A:$A,'[2]april-2025'!$D:$D,0,0)</f>
        <v>0</v>
      </c>
      <c r="X247">
        <f>_xlfn.XLOOKUP(B247,'[2]april-2025'!$A:$A,'[2]april-2025'!$G:$G,0,0)</f>
        <v>500</v>
      </c>
      <c r="Y247">
        <f>IF(T247&gt;0,SUM(T247:X247),0)</f>
        <v>44050</v>
      </c>
      <c r="Z247">
        <f>_xlfn.XLOOKUP(B247,'[2]april-2025'!$A:$A,'[2]april-2025'!$H:$H,0,0)</f>
        <v>2500</v>
      </c>
      <c r="AA247">
        <f>_xlfn.XLOOKUP(B247,'[2]april-2025'!$A:$A,'[2]april-2025'!$I:$I,0,0)</f>
        <v>0</v>
      </c>
      <c r="AB247">
        <f>IF($F247="YES",0,IF(Y247&gt;40000,200,IF(Y247&gt;25000,150,IF(Y247&gt;15000,130,IF(Y247&gt;10000,110,0)))))</f>
        <v>200</v>
      </c>
      <c r="AC247">
        <f>Y247-Z247-AA247-AB247</f>
        <v>41350</v>
      </c>
      <c r="AD247">
        <f>_xlfn.XLOOKUP(B247,'[3]may-2025'!$A:$A,'[3]may-2025'!$C:$C,0,0)</f>
        <v>33500</v>
      </c>
      <c r="AE247">
        <f>AD247*0.18</f>
        <v>6030</v>
      </c>
      <c r="AF247">
        <f>AD247*0.12</f>
        <v>4020</v>
      </c>
      <c r="AG247">
        <f>_xlfn.XLOOKUP(B247,'[3]may-2025'!$A:$A,'[3]may-2025'!$D:$D,0,0)</f>
        <v>0</v>
      </c>
      <c r="AH247">
        <f>_xlfn.XLOOKUP(B247,'[3]may-2025'!$A:$A,'[3]may-2025'!$G:$G,0,0)</f>
        <v>500</v>
      </c>
      <c r="AI247">
        <f>IF(AD247&gt;0,SUM(AD247:AH247),0)</f>
        <v>44050</v>
      </c>
      <c r="AJ247">
        <f>_xlfn.XLOOKUP(B247,'[3]may-2025'!$A:$A,'[3]may-2025'!$H:$H,0,0)</f>
        <v>2500</v>
      </c>
      <c r="AK247">
        <f>_xlfn.XLOOKUP(B247,'[3]may-2025'!$A:$A,'[3]may-2025'!$I:$I,0,0)</f>
        <v>0</v>
      </c>
      <c r="AL247">
        <f>IF($F247="YES",0,IF(AI247&gt;40000,200,IF(AI247&gt;25000,150,IF(AI247&gt;15000,130,IF(AI247&gt;10000,110,0)))))</f>
        <v>200</v>
      </c>
      <c r="AM247">
        <f>AI247-AJ247-AK247-AL247</f>
        <v>41350</v>
      </c>
      <c r="AN247">
        <f>_xlfn.XLOOKUP(B247,'[4]june-2025'!$A:$A,'[4]june-2025'!$C:$C,0,0)</f>
        <v>33500</v>
      </c>
      <c r="AO247">
        <f>AN247*0.18</f>
        <v>6030</v>
      </c>
      <c r="AP247">
        <f>AN247*0.12</f>
        <v>4020</v>
      </c>
      <c r="AQ247">
        <f>_xlfn.XLOOKUP(B247,'[4]june-2025'!$A:$A,'[4]june-2025'!$D:$D,0,0)</f>
        <v>0</v>
      </c>
      <c r="AR247">
        <f>_xlfn.XLOOKUP(B247,'[4]june-2025'!$A:$A,'[4]june-2025'!$G:$G,0,0)</f>
        <v>500</v>
      </c>
      <c r="AS247">
        <f>IF(AN247&gt;0,SUM(AN247:AR247),0)</f>
        <v>44050</v>
      </c>
      <c r="AT247">
        <f>_xlfn.XLOOKUP(B247,'[4]june-2025'!$A:$A,'[4]june-2025'!$H:$H,0,0)</f>
        <v>2500</v>
      </c>
      <c r="AU247">
        <f>_xlfn.XLOOKUP(B247,'[4]june-2025'!$A:$A,'[4]june-2025'!$I:$I,0,0)</f>
        <v>0</v>
      </c>
      <c r="AV247">
        <f>IF($F247="YES",0,IF(AS247&gt;40000,200,IF(AS247&gt;25000,150,IF(AS247&gt;15000,130,IF(AS247&gt;10000,110,0)))))</f>
        <v>200</v>
      </c>
      <c r="AW247">
        <f>AS247-AT247-AU247-AV247</f>
        <v>41350</v>
      </c>
      <c r="AX247">
        <f>_xlfn.XLOOKUP(B247,'[5]july-2025'!$A:$A,'[5]july-2025'!$C:$C,0,0)</f>
        <v>34500</v>
      </c>
      <c r="AY247">
        <f>AX247*0.18</f>
        <v>6210</v>
      </c>
      <c r="AZ247">
        <v>0</v>
      </c>
      <c r="BA247">
        <f>AX247*0.12</f>
        <v>4140</v>
      </c>
      <c r="BB247">
        <f>_xlfn.XLOOKUP(B247,'[5]july-2025'!$A:$A,'[5]july-2025'!$D:$D,0,0)</f>
        <v>0</v>
      </c>
      <c r="BC247">
        <f>_xlfn.XLOOKUP(B247,'[5]july-2025'!$A:$A,'[5]july-2025'!$G:$G,0,0)</f>
        <v>500</v>
      </c>
      <c r="BD247">
        <f>IF(AX247&gt;0,SUM(AX247:BC247),0)</f>
        <v>45350</v>
      </c>
      <c r="BE247">
        <f>_xlfn.XLOOKUP(B247,'[5]july-2025'!$A:$A,'[5]july-2025'!$H:$H,0,0)</f>
        <v>2500</v>
      </c>
      <c r="BF247">
        <f>_xlfn.XLOOKUP(B247,'[5]july-2025'!$A:$A,'[5]july-2025'!$I:$I,0,0)</f>
        <v>0</v>
      </c>
      <c r="BG247">
        <f>IF($F247="YES",0,IF(BD247&gt;40000,200,IF(BD247&gt;25000,150,IF(BD247&gt;15000,130,IF(BD247&gt;10000,110,0)))))</f>
        <v>200</v>
      </c>
      <c r="BH247">
        <f>BD247-BE247-BF247-BG247</f>
        <v>42650</v>
      </c>
      <c r="BI247">
        <f>_xlfn.XLOOKUP(B247,'[6]august-2025'!$A:$A,'[6]august-2025'!$C:$C,0,0)</f>
        <v>34500</v>
      </c>
      <c r="BJ247">
        <f>BI247*0.18</f>
        <v>6210</v>
      </c>
      <c r="BK247">
        <f>BI247*0.12</f>
        <v>4140</v>
      </c>
      <c r="BL247">
        <f>_xlfn.XLOOKUP(B247,'[6]august-2025'!$A:$A,'[6]august-2025'!$D:$D,0,0)</f>
        <v>0</v>
      </c>
      <c r="BM247">
        <f>_xlfn.XLOOKUP(B247,'[6]august-2025'!$A:$A,'[6]august-2025'!$G:$G,0,0)</f>
        <v>500</v>
      </c>
      <c r="BN247">
        <f>IF(BI247&gt;0,SUM(BI247:BM247),0)</f>
        <v>45350</v>
      </c>
      <c r="BO247">
        <f>_xlfn.XLOOKUP(B247,'[6]august-2025'!$A:$A,'[6]august-2025'!$H:$H,0,0)</f>
        <v>2500</v>
      </c>
      <c r="BP247">
        <f>_xlfn.XLOOKUP(B247,'[6]august-2025'!$A:$A,'[6]august-2025'!$I:$I,0,0)</f>
        <v>0</v>
      </c>
      <c r="BQ247">
        <f>IF($F247="YES",0,IF(BN247&gt;40000,200,IF(BN247&gt;25000,150,IF(BN247&gt;15000,130,IF(BN247&gt;10000,110,0)))))</f>
        <v>200</v>
      </c>
      <c r="BR247">
        <f>BN247-BO247-BP247-BQ247</f>
        <v>42650</v>
      </c>
      <c r="BS247">
        <f>_xlfn.XLOOKUP(B247,'[7]september-2025'!$A:$A,'[7]september-2025'!$C:$C,0,0)</f>
        <v>34500</v>
      </c>
      <c r="BT247">
        <f>BS247*0.18</f>
        <v>6210</v>
      </c>
      <c r="BU247">
        <f>BS247*0.12</f>
        <v>4140</v>
      </c>
      <c r="BV247">
        <f>_xlfn.XLOOKUP(B247,'[7]september-2025'!$A:$A,'[7]september-2025'!$D:$D,0,0)</f>
        <v>0</v>
      </c>
      <c r="BW247">
        <f>_xlfn.XLOOKUP(B247,'[7]september-2025'!$A:$A,'[7]september-2025'!$G:$G,0,0)</f>
        <v>500</v>
      </c>
      <c r="BX247">
        <f>IF(BS247&gt;0,SUM(BS247:BW247),0)</f>
        <v>45350</v>
      </c>
      <c r="BY247">
        <f>_xlfn.XLOOKUP(B247,'[7]september-2025'!$A:$A,'[7]september-2025'!$H:$H,0,0)</f>
        <v>2500</v>
      </c>
      <c r="BZ247">
        <f>_xlfn.XLOOKUP(B247,'[7]september-2025'!$A:$A,'[7]september-2025'!$I:$I,0,0)</f>
        <v>0</v>
      </c>
      <c r="CA247">
        <f>IF($F247="YES",0,IF(BX247&gt;40000,200,IF(BX247&gt;25000,150,IF(BX247&gt;15000,130,IF(BX247&gt;10000,110,0)))))</f>
        <v>200</v>
      </c>
      <c r="CB247">
        <f>BX247-BY247-BZ247-CA247</f>
        <v>42650</v>
      </c>
      <c r="CC247">
        <f>_xlfn.XLOOKUP(B247,'[8]october-2025'!$A:$A,'[8]october-2025'!$C:$C,0,0)</f>
        <v>34500</v>
      </c>
      <c r="CD247">
        <f>CC247*0.18</f>
        <v>6210</v>
      </c>
      <c r="CE247">
        <f>CC247*0.12</f>
        <v>4140</v>
      </c>
      <c r="CF247">
        <f>_xlfn.XLOOKUP(B247,'[8]october-2025'!$A:$A,'[8]october-2025'!$D:$D,0,0)</f>
        <v>0</v>
      </c>
      <c r="CG247">
        <f>_xlfn.XLOOKUP(B247,'[8]october-2025'!$A:$A,'[8]october-2025'!$G:$G,0,0)</f>
        <v>500</v>
      </c>
      <c r="CH247">
        <f>IF(CC247&gt;0,SUM(CC247:CG247),0)</f>
        <v>45350</v>
      </c>
      <c r="CI247">
        <f>_xlfn.XLOOKUP(B247,'[8]october-2025'!$A:$A,'[8]october-2025'!$H:$H,0,0)</f>
        <v>2500</v>
      </c>
      <c r="CJ247">
        <f>_xlfn.XLOOKUP(B247,'[8]october-2025'!$A:$A,'[8]october-2025'!$I:$I,0,0)</f>
        <v>0</v>
      </c>
      <c r="CK247">
        <f>IF($F247="YES",0,IF(CH247&gt;40000,200,IF(CH247&gt;25000,150,IF(CH247&gt;15000,130,IF(CH247&gt;10000,110,0)))))</f>
        <v>200</v>
      </c>
      <c r="CL247">
        <f>CH247-CI247-CJ247-CK247</f>
        <v>42650</v>
      </c>
      <c r="CM247">
        <f>_xlfn.XLOOKUP(B247,'[9]november-2025'!$A:$A,'[9]november-2025'!$C:$C,0,0)</f>
        <v>34500</v>
      </c>
      <c r="CN247">
        <f>CM247*0.18</f>
        <v>6210</v>
      </c>
      <c r="CO247">
        <f>CM247*0.12</f>
        <v>4140</v>
      </c>
      <c r="CP247">
        <f>_xlfn.XLOOKUP(B247,'[9]november-2025'!$A:$A,'[9]november-2025'!$D:$D,0,0)</f>
        <v>0</v>
      </c>
      <c r="CQ247">
        <f>_xlfn.XLOOKUP(B247,'[9]november-2025'!$A:$A,'[9]november-2025'!$G:$G,0,0)</f>
        <v>500</v>
      </c>
      <c r="CR247">
        <f>IF(CM247&gt;0,SUM(CM247:CQ247),0)</f>
        <v>45350</v>
      </c>
      <c r="CS247">
        <f>_xlfn.XLOOKUP(B247,'[9]november-2025'!$A:$A,'[9]november-2025'!$H:$H,0,0)</f>
        <v>2500</v>
      </c>
      <c r="CT247">
        <f>_xlfn.XLOOKUP(B247,'[9]november-2025'!$A:$A,'[9]november-2025'!$I:$I,0,0)</f>
        <v>0</v>
      </c>
      <c r="CU247">
        <f>IF($F247="YES",0,IF(CR247&gt;40000,200,IF(CR247&gt;25000,150,IF(CR247&gt;15000,130,IF(CR247&gt;10000,110,0)))))</f>
        <v>200</v>
      </c>
      <c r="CV247">
        <f>CR247-CS247-CT247-CU247</f>
        <v>42650</v>
      </c>
      <c r="CW247">
        <f>_xlfn.XLOOKUP(B247,'[10]december-2025'!$A:$A,'[10]december-2025'!$C:$C,0,0)</f>
        <v>34500</v>
      </c>
      <c r="CX247">
        <f>ROUND(CW247*0.18,0)</f>
        <v>6210</v>
      </c>
      <c r="CY247">
        <f>ROUND(CW247*0.12,0)</f>
        <v>4140</v>
      </c>
      <c r="CZ247">
        <f>_xlfn.XLOOKUP(B247,'[10]december-2025'!$A:$A,'[10]december-2025'!$D:$D,0,0)</f>
        <v>0</v>
      </c>
      <c r="DA247">
        <f>_xlfn.XLOOKUP(B247,'[10]december-2025'!$A:$A,'[10]december-2025'!$G:$G,0,0)</f>
        <v>500</v>
      </c>
      <c r="DB247">
        <f>IF(CW247&gt;0,SUM(CW247:DA247),0)</f>
        <v>45350</v>
      </c>
      <c r="DC247">
        <f>_xlfn.XLOOKUP(B247,'[10]december-2025'!$A:$A,'[10]december-2025'!$H:$H,0,0)</f>
        <v>2500</v>
      </c>
      <c r="DD247">
        <f>_xlfn.XLOOKUP(B247,'[10]december-2025'!$A:$A,'[10]december-2025'!$I:$I,0,0)</f>
        <v>0</v>
      </c>
      <c r="DE247">
        <f>IF($F247="YES",0,IF(DB247&gt;40000,200,IF(DB247&gt;25000,150,IF(DB247&gt;15000,130,IF(DB247&gt;10000,110,0)))))</f>
        <v>200</v>
      </c>
      <c r="DF247">
        <f>DB247-DC247-DD247-DE247</f>
        <v>42650</v>
      </c>
      <c r="DG247">
        <f>_xlfn.XLOOKUP(B247,'[11]january-2026'!$A:$A,'[11]january-2026'!$C:$C,0,0)</f>
        <v>34500</v>
      </c>
      <c r="DH247">
        <f>DG247*0.18</f>
        <v>6210</v>
      </c>
      <c r="DI247">
        <f>DG247*0.12</f>
        <v>4140</v>
      </c>
      <c r="DJ247">
        <f>_xlfn.XLOOKUP(B247,'[11]january-2026'!$A:$A,'[11]january-2026'!$D:$D,0,0)</f>
        <v>0</v>
      </c>
      <c r="DK247">
        <f>_xlfn.XLOOKUP(B247,'[11]january-2026'!$A:$A,'[11]january-2026'!$G:$G,0,0)</f>
        <v>500</v>
      </c>
      <c r="DL247">
        <f>IF(DG247&gt;0,SUM(DG247:DK247),0)</f>
        <v>45350</v>
      </c>
      <c r="DM247">
        <f>_xlfn.XLOOKUP(B247,'[11]january-2026'!$A:$A,'[11]january-2026'!$H:$H,0,0)</f>
        <v>2500</v>
      </c>
      <c r="DN247">
        <f>_xlfn.XLOOKUP(B247,'[11]january-2026'!$A:$A,'[11]january-2026'!$I:$I,0,0)</f>
        <v>0</v>
      </c>
      <c r="DO247">
        <f>IF($F247="YES",0,IF(DL247&gt;40000,200,IF(DL247&gt;25000,150,IF(DL247&gt;15000,130,IF(DL247&gt;10000,110,0)))))</f>
        <v>200</v>
      </c>
      <c r="DP247">
        <f>DL247-DM247-DN247-DO247</f>
        <v>42650</v>
      </c>
      <c r="DQ247">
        <f>_xlfn.XLOOKUP(B247,'[12]february-2026'!$A:$A,'[12]february-2026'!$C:$C,0,0)</f>
        <v>34500</v>
      </c>
      <c r="DR247">
        <f>DQ247*0.18</f>
        <v>6210</v>
      </c>
      <c r="DS247">
        <f>DQ247*0.12</f>
        <v>4140</v>
      </c>
      <c r="DT247">
        <f>_xlfn.XLOOKUP(B247,'[12]february-2026'!$A:$A,'[12]february-2026'!$D:$D,0,0)</f>
        <v>0</v>
      </c>
      <c r="DU247">
        <f>_xlfn.XLOOKUP(B247,'[12]february-2026'!$A:$A,'[12]february-2026'!$G:$G,0,0)</f>
        <v>500</v>
      </c>
      <c r="DV247">
        <f>IF(DQ247&gt;0,SUM(DQ247:DU247),0)</f>
        <v>45350</v>
      </c>
      <c r="DW247">
        <f>_xlfn.XLOOKUP(B247,'[12]february-2026'!$A:$A,'[12]february-2026'!$H:$H,0,0)</f>
        <v>2500</v>
      </c>
      <c r="DX247">
        <f>_xlfn.XLOOKUP(B247,'[12]february-2026'!$A:$A,'[12]february-2026'!$I:$I,0,0)</f>
        <v>0</v>
      </c>
      <c r="DY247">
        <f>IF($F247="YES",0,IF(DV247&gt;40000,200,IF(DV247&gt;25000,150,IF(DV247&gt;15000,130,IF(DV247&gt;10000,110,0)))))</f>
        <v>200</v>
      </c>
      <c r="DZ247">
        <f>DV247-DW247-DX247-DY247</f>
        <v>42650</v>
      </c>
      <c r="EA247">
        <f>DV247+DL247+DB247+CR247+CH247+BX247+BN247+BD247+AS247+AI247+Y247+O247+H247+I247</f>
        <v>544460</v>
      </c>
      <c r="EB247">
        <f>DY247+DO247+DE247+CU247+CK247+CA247+BQ247+BG247+AV247+AL247+AB247+R247</f>
        <v>2400</v>
      </c>
      <c r="EC247">
        <f>IF(EA247&gt;0,50000,0)</f>
        <v>50000</v>
      </c>
      <c r="ED247">
        <v>0</v>
      </c>
      <c r="EE247">
        <f>EA247-EB247-EC247</f>
        <v>492060</v>
      </c>
      <c r="EF247">
        <f>DW247+DM247+DC247+CS247+CI247+BY247+BO247+BE247+AT247+AJ247+Z247+P247</f>
        <v>30000</v>
      </c>
      <c r="EG247">
        <f>DX247+DN247+DD247+CT247+CJ247+BZ247+BP247+BF247+AU247+AK247+AA247+Q247</f>
        <v>0</v>
      </c>
      <c r="EH247">
        <v>0</v>
      </c>
      <c r="EI247">
        <v>0</v>
      </c>
      <c r="EJ247">
        <v>0</v>
      </c>
      <c r="EK247">
        <v>0</v>
      </c>
      <c r="EL247">
        <v>0</v>
      </c>
      <c r="EM247">
        <v>0</v>
      </c>
      <c r="EN247">
        <v>0</v>
      </c>
      <c r="EO247">
        <v>0</v>
      </c>
      <c r="EP247">
        <v>0</v>
      </c>
      <c r="EQ247">
        <v>0</v>
      </c>
      <c r="ER247">
        <f>SUM(EF247:EQ247)</f>
        <v>30000</v>
      </c>
      <c r="ES247">
        <f>IF(ER247&gt;=150000,150000,ER247)</f>
        <v>30000</v>
      </c>
      <c r="ET247">
        <f>EE247-ES247</f>
        <v>462060</v>
      </c>
      <c r="EU247">
        <v>0</v>
      </c>
      <c r="EV247">
        <v>0</v>
      </c>
      <c r="EW247">
        <v>0</v>
      </c>
      <c r="EX247">
        <v>0</v>
      </c>
      <c r="EY247">
        <v>0</v>
      </c>
      <c r="EZ247">
        <v>0</v>
      </c>
      <c r="FA247">
        <v>0</v>
      </c>
      <c r="FB247">
        <f>SUM(EU247:FA247)+(IF(F247="YES",50000,0))</f>
        <v>0</v>
      </c>
      <c r="FC247">
        <f>ET247-FB247</f>
        <v>462060</v>
      </c>
      <c r="FD247">
        <f>ROUND(IF(FC247&gt;0,IF(FC247&gt;500000,12500,(FC247-250000)*0.05),0),0)</f>
        <v>10603</v>
      </c>
      <c r="FE247">
        <f>IF(ROUND(IF(FC247&gt;0,IF(FC247&gt;1000000,25000,(FC247-500000)*0.2),0),0)&lt;0,0,ROUND(IF(FC247&gt;0,IF(FC247&gt;1000000,25000,(FC247-500000)*0.2),0),0))</f>
        <v>0</v>
      </c>
      <c r="FF247">
        <f>FD247+FE247</f>
        <v>10603</v>
      </c>
      <c r="FG247">
        <f>IF(FF247&lt;12500,0,FF247)</f>
        <v>0</v>
      </c>
      <c r="FH247">
        <f>FG247*0.04</f>
        <v>0</v>
      </c>
      <c r="FI247">
        <f>ROUND(FH247+FG247,0)</f>
        <v>0</v>
      </c>
      <c r="FJ247">
        <v>0</v>
      </c>
      <c r="FK247">
        <f>FI247-FJ247</f>
        <v>0</v>
      </c>
      <c r="FL247" t="b">
        <f>IF(EA247&gt;500000,TRUE,FALSE)</f>
        <v>1</v>
      </c>
      <c r="FM247">
        <f ca="1">IF(FL247,RANDBETWEEN(500,1000),RANDBETWEEN(1000,3000))</f>
        <v>531</v>
      </c>
      <c r="FN247">
        <f ca="1">EA247+FM247</f>
        <v>544991</v>
      </c>
      <c r="FO247">
        <f>IF(EA247&gt;0,75000,0)</f>
        <v>75000</v>
      </c>
      <c r="FP247">
        <f ca="1">FN247-FO247</f>
        <v>469991</v>
      </c>
      <c r="FQ247">
        <f ca="1">IF(FP247&gt;2400000,FP247-2400000,0)</f>
        <v>0</v>
      </c>
      <c r="FR247">
        <f ca="1">FQ247*0.3</f>
        <v>0</v>
      </c>
      <c r="FS247">
        <f ca="1">IF(FP247&gt;2000000,FP247-2000000,0)</f>
        <v>0</v>
      </c>
      <c r="FT247">
        <f ca="1">FS247*0.25</f>
        <v>0</v>
      </c>
      <c r="FU247">
        <f ca="1">IF(FP247&gt;1600000,FP247-1600000-FQ247,0)</f>
        <v>0</v>
      </c>
      <c r="FV247">
        <f ca="1">FU247*0.2</f>
        <v>0</v>
      </c>
      <c r="FW247">
        <f ca="1">IF(FP247&gt;1200000,FP247-1200000-IF(F247="YES",50000,0)-FU247,0)</f>
        <v>0</v>
      </c>
      <c r="FX247">
        <f ca="1">FW247*0.15</f>
        <v>0</v>
      </c>
      <c r="FY247">
        <f ca="1">IF(FP247&gt;800000,FP247-800000-FQ247-FU247-FW247,0)</f>
        <v>0</v>
      </c>
      <c r="FZ247">
        <f ca="1">FY247*0.1</f>
        <v>0</v>
      </c>
      <c r="GA247">
        <f ca="1">IF(FP247&gt;400000,FP247-400000-FQ247-FU247-FW247-FY247,0)</f>
        <v>69991</v>
      </c>
      <c r="GB247">
        <f ca="1">GA247*0.05</f>
        <v>3499.55</v>
      </c>
      <c r="GC247">
        <f ca="1">ROUND(FR247+FT247+FV247+FX247+FZ247+GB247,0)</f>
        <v>3500</v>
      </c>
      <c r="GD247">
        <f ca="1">IF(FP247&gt;1200000,FP247,0)</f>
        <v>0</v>
      </c>
      <c r="GE247">
        <f ca="1">IF(FP247&gt;1200000,GD247-1200000,0)</f>
        <v>0</v>
      </c>
      <c r="GF247">
        <f ca="1">IF(FP247&lt;1200001,MIN(GC247,60000),0)</f>
        <v>3500</v>
      </c>
      <c r="GG247">
        <f ca="1">IF(FP247&gt;1200000,GC247-GE247,0)</f>
        <v>0</v>
      </c>
      <c r="GH247" t="b">
        <f ca="1">IF(GG247&gt;0,TRUE,FALSE)</f>
        <v>0</v>
      </c>
      <c r="GI247">
        <f ca="1">IF(GH247,GG247,0)</f>
        <v>0</v>
      </c>
      <c r="GJ247">
        <f ca="1">GF247+GI247</f>
        <v>3500</v>
      </c>
      <c r="GK247">
        <f ca="1">ROUND(GC247-GJ247,0)</f>
        <v>0</v>
      </c>
      <c r="GL247">
        <f ca="1">GK247*0.04</f>
        <v>0</v>
      </c>
      <c r="GM247">
        <f ca="1">ROUNDUP(GK247+GL247,0)</f>
        <v>0</v>
      </c>
    </row>
    <row r="248" spans="1:195" x14ac:dyDescent="0.25">
      <c r="A248">
        <f>_xlfn.AGGREGATE(3,5,$B$2:B248)</f>
        <v>247</v>
      </c>
      <c r="B248" t="s">
        <v>605</v>
      </c>
      <c r="C248" t="s">
        <v>606</v>
      </c>
      <c r="D248" t="s">
        <v>815</v>
      </c>
      <c r="E248" t="s">
        <v>833</v>
      </c>
      <c r="F248" t="s">
        <v>959</v>
      </c>
      <c r="G248" t="s">
        <v>954</v>
      </c>
      <c r="H248">
        <f>IF(_xlfn.DAYS("31-03-2025",G248)&gt;=180,6800,0)</f>
        <v>6800</v>
      </c>
      <c r="I248">
        <f>_xlfn.XLOOKUP(B248,'[1]march-2025'!$A:$A,'[1]march-2025'!$J:$J,0,0)</f>
        <v>0</v>
      </c>
      <c r="J248">
        <f>_xlfn.XLOOKUP(B248,'[1]march-2025'!$A:$A,'[1]march-2025'!$C:$C,0,0)</f>
        <v>28900</v>
      </c>
      <c r="K248">
        <f>J248*0.14</f>
        <v>4046.0000000000005</v>
      </c>
      <c r="L248">
        <f>J248*0.12</f>
        <v>3468</v>
      </c>
      <c r="M248">
        <f>_xlfn.XLOOKUP(B248,'[1]march-2025'!$A:$A,'[1]march-2025'!$D:$D,0,0)</f>
        <v>0</v>
      </c>
      <c r="N248">
        <f>_xlfn.XLOOKUP(B248,'[1]march-2025'!$A:$A,'[1]march-2025'!$G:$G,0,0)</f>
        <v>500</v>
      </c>
      <c r="O248">
        <f>IF(J248&gt;0,SUM(J248:N248),0)</f>
        <v>36914</v>
      </c>
      <c r="P248">
        <f>_xlfn.XLOOKUP(B248,'[1]march-2025'!$A:$A,'[1]march-2025'!$H:$H,0,0)</f>
        <v>2000</v>
      </c>
      <c r="Q248">
        <f>_xlfn.XLOOKUP(B248,'[1]march-2025'!$A:$A,'[1]march-2025'!$I:$I,0,0)</f>
        <v>0</v>
      </c>
      <c r="R248">
        <f>IF($F248="YES",0,IF(O248&gt;40000,200,IF(O248&gt;25000,150,IF(O248&gt;15000,130,IF(O248&gt;10000,110,0)))))</f>
        <v>150</v>
      </c>
      <c r="S248">
        <f>O248-P248-Q248-R248</f>
        <v>34764</v>
      </c>
      <c r="T248">
        <f>_xlfn.XLOOKUP(B248,'[2]april-2025'!$A:$A,'[2]april-2025'!$C:$C,0,0)</f>
        <v>28900</v>
      </c>
      <c r="U248">
        <f>T248*0.18</f>
        <v>5202</v>
      </c>
      <c r="V248">
        <f>T248*0.12</f>
        <v>3468</v>
      </c>
      <c r="W248">
        <f>_xlfn.XLOOKUP(B248,'[2]april-2025'!$A:$A,'[2]april-2025'!$D:$D,0,0)</f>
        <v>0</v>
      </c>
      <c r="X248">
        <f>_xlfn.XLOOKUP(B248,'[2]april-2025'!$A:$A,'[2]april-2025'!$G:$G,0,0)</f>
        <v>500</v>
      </c>
      <c r="Y248">
        <f>IF(T248&gt;0,SUM(T248:X248),0)</f>
        <v>38070</v>
      </c>
      <c r="Z248">
        <f>_xlfn.XLOOKUP(B248,'[2]april-2025'!$A:$A,'[2]april-2025'!$H:$H,0,0)</f>
        <v>2000</v>
      </c>
      <c r="AA248">
        <f>_xlfn.XLOOKUP(B248,'[2]april-2025'!$A:$A,'[2]april-2025'!$I:$I,0,0)</f>
        <v>0</v>
      </c>
      <c r="AB248">
        <f>IF($F248="YES",0,IF(Y248&gt;40000,200,IF(Y248&gt;25000,150,IF(Y248&gt;15000,130,IF(Y248&gt;10000,110,0)))))</f>
        <v>150</v>
      </c>
      <c r="AC248">
        <f>Y248-Z248-AA248-AB248</f>
        <v>35920</v>
      </c>
      <c r="AD248">
        <f>_xlfn.XLOOKUP(B248,'[3]may-2025'!$A:$A,'[3]may-2025'!$C:$C,0,0)</f>
        <v>28900</v>
      </c>
      <c r="AE248">
        <f>AD248*0.18</f>
        <v>5202</v>
      </c>
      <c r="AF248">
        <f>AD248*0.12</f>
        <v>3468</v>
      </c>
      <c r="AG248">
        <f>_xlfn.XLOOKUP(B248,'[3]may-2025'!$A:$A,'[3]may-2025'!$D:$D,0,0)</f>
        <v>0</v>
      </c>
      <c r="AH248">
        <f>_xlfn.XLOOKUP(B248,'[3]may-2025'!$A:$A,'[3]may-2025'!$G:$G,0,0)</f>
        <v>500</v>
      </c>
      <c r="AI248">
        <f>IF(AD248&gt;0,SUM(AD248:AH248),0)</f>
        <v>38070</v>
      </c>
      <c r="AJ248">
        <f>_xlfn.XLOOKUP(B248,'[3]may-2025'!$A:$A,'[3]may-2025'!$H:$H,0,0)</f>
        <v>2000</v>
      </c>
      <c r="AK248">
        <f>_xlfn.XLOOKUP(B248,'[3]may-2025'!$A:$A,'[3]may-2025'!$I:$I,0,0)</f>
        <v>0</v>
      </c>
      <c r="AL248">
        <f>IF($F248="YES",0,IF(AI248&gt;40000,200,IF(AI248&gt;25000,150,IF(AI248&gt;15000,130,IF(AI248&gt;10000,110,0)))))</f>
        <v>150</v>
      </c>
      <c r="AM248">
        <f>AI248-AJ248-AK248-AL248</f>
        <v>35920</v>
      </c>
      <c r="AN248">
        <f>_xlfn.XLOOKUP(B248,'[4]june-2025'!$A:$A,'[4]june-2025'!$C:$C,0,0)</f>
        <v>28900</v>
      </c>
      <c r="AO248">
        <f>AN248*0.18</f>
        <v>5202</v>
      </c>
      <c r="AP248">
        <f>AN248*0.12</f>
        <v>3468</v>
      </c>
      <c r="AQ248">
        <f>_xlfn.XLOOKUP(B248,'[4]june-2025'!$A:$A,'[4]june-2025'!$D:$D,0,0)</f>
        <v>0</v>
      </c>
      <c r="AR248">
        <f>_xlfn.XLOOKUP(B248,'[4]june-2025'!$A:$A,'[4]june-2025'!$G:$G,0,0)</f>
        <v>500</v>
      </c>
      <c r="AS248">
        <f>IF(AN248&gt;0,SUM(AN248:AR248),0)</f>
        <v>38070</v>
      </c>
      <c r="AT248">
        <f>_xlfn.XLOOKUP(B248,'[4]june-2025'!$A:$A,'[4]june-2025'!$H:$H,0,0)</f>
        <v>2000</v>
      </c>
      <c r="AU248">
        <f>_xlfn.XLOOKUP(B248,'[4]june-2025'!$A:$A,'[4]june-2025'!$I:$I,0,0)</f>
        <v>0</v>
      </c>
      <c r="AV248">
        <f>IF($F248="YES",0,IF(AS248&gt;40000,200,IF(AS248&gt;25000,150,IF(AS248&gt;15000,130,IF(AS248&gt;10000,110,0)))))</f>
        <v>150</v>
      </c>
      <c r="AW248">
        <f>AS248-AT248-AU248-AV248</f>
        <v>35920</v>
      </c>
      <c r="AX248">
        <f>_xlfn.XLOOKUP(B248,'[5]july-2025'!$A:$A,'[5]july-2025'!$C:$C,0,0)</f>
        <v>29800</v>
      </c>
      <c r="AY248">
        <f>AX248*0.18</f>
        <v>5364</v>
      </c>
      <c r="AZ248">
        <v>0</v>
      </c>
      <c r="BA248">
        <f>AX248*0.12</f>
        <v>3576</v>
      </c>
      <c r="BB248">
        <f>_xlfn.XLOOKUP(B248,'[5]july-2025'!$A:$A,'[5]july-2025'!$D:$D,0,0)</f>
        <v>0</v>
      </c>
      <c r="BC248">
        <f>_xlfn.XLOOKUP(B248,'[5]july-2025'!$A:$A,'[5]july-2025'!$G:$G,0,0)</f>
        <v>500</v>
      </c>
      <c r="BD248">
        <f>IF(AX248&gt;0,SUM(AX248:BC248),0)</f>
        <v>39240</v>
      </c>
      <c r="BE248">
        <f>_xlfn.XLOOKUP(B248,'[5]july-2025'!$A:$A,'[5]july-2025'!$H:$H,0,0)</f>
        <v>2000</v>
      </c>
      <c r="BF248">
        <f>_xlfn.XLOOKUP(B248,'[5]july-2025'!$A:$A,'[5]july-2025'!$I:$I,0,0)</f>
        <v>0</v>
      </c>
      <c r="BG248">
        <f>IF($F248="YES",0,IF(BD248&gt;40000,200,IF(BD248&gt;25000,150,IF(BD248&gt;15000,130,IF(BD248&gt;10000,110,0)))))</f>
        <v>150</v>
      </c>
      <c r="BH248">
        <f>BD248-BE248-BF248-BG248</f>
        <v>37090</v>
      </c>
      <c r="BI248">
        <f>_xlfn.XLOOKUP(B248,'[6]august-2025'!$A:$A,'[6]august-2025'!$C:$C,0,0)</f>
        <v>29800</v>
      </c>
      <c r="BJ248">
        <f>BI248*0.18</f>
        <v>5364</v>
      </c>
      <c r="BK248">
        <f>BI248*0.12</f>
        <v>3576</v>
      </c>
      <c r="BL248">
        <f>_xlfn.XLOOKUP(B248,'[6]august-2025'!$A:$A,'[6]august-2025'!$D:$D,0,0)</f>
        <v>0</v>
      </c>
      <c r="BM248">
        <f>_xlfn.XLOOKUP(B248,'[6]august-2025'!$A:$A,'[6]august-2025'!$G:$G,0,0)</f>
        <v>500</v>
      </c>
      <c r="BN248">
        <f>IF(BI248&gt;0,SUM(BI248:BM248),0)</f>
        <v>39240</v>
      </c>
      <c r="BO248">
        <f>_xlfn.XLOOKUP(B248,'[6]august-2025'!$A:$A,'[6]august-2025'!$H:$H,0,0)</f>
        <v>2000</v>
      </c>
      <c r="BP248">
        <f>_xlfn.XLOOKUP(B248,'[6]august-2025'!$A:$A,'[6]august-2025'!$I:$I,0,0)</f>
        <v>0</v>
      </c>
      <c r="BQ248">
        <f>IF($F248="YES",0,IF(BN248&gt;40000,200,IF(BN248&gt;25000,150,IF(BN248&gt;15000,130,IF(BN248&gt;10000,110,0)))))</f>
        <v>150</v>
      </c>
      <c r="BR248">
        <f>BN248-BO248-BP248-BQ248</f>
        <v>37090</v>
      </c>
      <c r="BS248">
        <f>_xlfn.XLOOKUP(B248,'[7]september-2025'!$A:$A,'[7]september-2025'!$C:$C,0,0)</f>
        <v>29800</v>
      </c>
      <c r="BT248">
        <f>BS248*0.18</f>
        <v>5364</v>
      </c>
      <c r="BU248">
        <f>BS248*0.12</f>
        <v>3576</v>
      </c>
      <c r="BV248">
        <f>_xlfn.XLOOKUP(B248,'[7]september-2025'!$A:$A,'[7]september-2025'!$D:$D,0,0)</f>
        <v>0</v>
      </c>
      <c r="BW248">
        <f>_xlfn.XLOOKUP(B248,'[7]september-2025'!$A:$A,'[7]september-2025'!$G:$G,0,0)</f>
        <v>500</v>
      </c>
      <c r="BX248">
        <f>IF(BS248&gt;0,SUM(BS248:BW248),0)</f>
        <v>39240</v>
      </c>
      <c r="BY248">
        <f>_xlfn.XLOOKUP(B248,'[7]september-2025'!$A:$A,'[7]september-2025'!$H:$H,0,0)</f>
        <v>2000</v>
      </c>
      <c r="BZ248">
        <f>_xlfn.XLOOKUP(B248,'[7]september-2025'!$A:$A,'[7]september-2025'!$I:$I,0,0)</f>
        <v>0</v>
      </c>
      <c r="CA248">
        <f>IF($F248="YES",0,IF(BX248&gt;40000,200,IF(BX248&gt;25000,150,IF(BX248&gt;15000,130,IF(BX248&gt;10000,110,0)))))</f>
        <v>150</v>
      </c>
      <c r="CB248">
        <f>BX248-BY248-BZ248-CA248</f>
        <v>37090</v>
      </c>
      <c r="CC248">
        <f>_xlfn.XLOOKUP(B248,'[8]october-2025'!$A:$A,'[8]october-2025'!$C:$C,0,0)</f>
        <v>29800</v>
      </c>
      <c r="CD248">
        <f>CC248*0.18</f>
        <v>5364</v>
      </c>
      <c r="CE248">
        <f>CC248*0.12</f>
        <v>3576</v>
      </c>
      <c r="CF248">
        <f>_xlfn.XLOOKUP(B248,'[8]october-2025'!$A:$A,'[8]october-2025'!$D:$D,0,0)</f>
        <v>0</v>
      </c>
      <c r="CG248">
        <f>_xlfn.XLOOKUP(B248,'[8]october-2025'!$A:$A,'[8]october-2025'!$G:$G,0,0)</f>
        <v>500</v>
      </c>
      <c r="CH248">
        <f>IF(CC248&gt;0,SUM(CC248:CG248),0)</f>
        <v>39240</v>
      </c>
      <c r="CI248">
        <f>_xlfn.XLOOKUP(B248,'[8]october-2025'!$A:$A,'[8]october-2025'!$H:$H,0,0)</f>
        <v>2000</v>
      </c>
      <c r="CJ248">
        <f>_xlfn.XLOOKUP(B248,'[8]october-2025'!$A:$A,'[8]october-2025'!$I:$I,0,0)</f>
        <v>0</v>
      </c>
      <c r="CK248">
        <f>IF($F248="YES",0,IF(CH248&gt;40000,200,IF(CH248&gt;25000,150,IF(CH248&gt;15000,130,IF(CH248&gt;10000,110,0)))))</f>
        <v>150</v>
      </c>
      <c r="CL248">
        <f>CH248-CI248-CJ248-CK248</f>
        <v>37090</v>
      </c>
      <c r="CM248">
        <f>_xlfn.XLOOKUP(B248,'[9]november-2025'!$A:$A,'[9]november-2025'!$C:$C,0,0)</f>
        <v>29800</v>
      </c>
      <c r="CN248">
        <f>CM248*0.18</f>
        <v>5364</v>
      </c>
      <c r="CO248">
        <f>CM248*0.12</f>
        <v>3576</v>
      </c>
      <c r="CP248">
        <f>_xlfn.XLOOKUP(B248,'[9]november-2025'!$A:$A,'[9]november-2025'!$D:$D,0,0)</f>
        <v>0</v>
      </c>
      <c r="CQ248">
        <f>_xlfn.XLOOKUP(B248,'[9]november-2025'!$A:$A,'[9]november-2025'!$G:$G,0,0)</f>
        <v>500</v>
      </c>
      <c r="CR248">
        <f>IF(CM248&gt;0,SUM(CM248:CQ248),0)</f>
        <v>39240</v>
      </c>
      <c r="CS248">
        <f>_xlfn.XLOOKUP(B248,'[9]november-2025'!$A:$A,'[9]november-2025'!$H:$H,0,0)</f>
        <v>2000</v>
      </c>
      <c r="CT248">
        <f>_xlfn.XLOOKUP(B248,'[9]november-2025'!$A:$A,'[9]november-2025'!$I:$I,0,0)</f>
        <v>0</v>
      </c>
      <c r="CU248">
        <f>IF($F248="YES",0,IF(CR248&gt;40000,200,IF(CR248&gt;25000,150,IF(CR248&gt;15000,130,IF(CR248&gt;10000,110,0)))))</f>
        <v>150</v>
      </c>
      <c r="CV248">
        <f>CR248-CS248-CT248-CU248</f>
        <v>37090</v>
      </c>
      <c r="CW248">
        <f>_xlfn.XLOOKUP(B248,'[10]december-2025'!$A:$A,'[10]december-2025'!$C:$C,0,0)</f>
        <v>29800</v>
      </c>
      <c r="CX248">
        <f>ROUND(CW248*0.18,0)</f>
        <v>5364</v>
      </c>
      <c r="CY248">
        <f>ROUND(CW248*0.12,0)</f>
        <v>3576</v>
      </c>
      <c r="CZ248">
        <f>_xlfn.XLOOKUP(B248,'[10]december-2025'!$A:$A,'[10]december-2025'!$D:$D,0,0)</f>
        <v>0</v>
      </c>
      <c r="DA248">
        <f>_xlfn.XLOOKUP(B248,'[10]december-2025'!$A:$A,'[10]december-2025'!$G:$G,0,0)</f>
        <v>500</v>
      </c>
      <c r="DB248">
        <f>IF(CW248&gt;0,SUM(CW248:DA248),0)</f>
        <v>39240</v>
      </c>
      <c r="DC248">
        <f>_xlfn.XLOOKUP(B248,'[10]december-2025'!$A:$A,'[10]december-2025'!$H:$H,0,0)</f>
        <v>2000</v>
      </c>
      <c r="DD248">
        <f>_xlfn.XLOOKUP(B248,'[10]december-2025'!$A:$A,'[10]december-2025'!$I:$I,0,0)</f>
        <v>0</v>
      </c>
      <c r="DE248">
        <f>IF($F248="YES",0,IF(DB248&gt;40000,200,IF(DB248&gt;25000,150,IF(DB248&gt;15000,130,IF(DB248&gt;10000,110,0)))))</f>
        <v>150</v>
      </c>
      <c r="DF248">
        <f>DB248-DC248-DD248-DE248</f>
        <v>37090</v>
      </c>
      <c r="DG248">
        <f>_xlfn.XLOOKUP(B248,'[11]january-2026'!$A:$A,'[11]january-2026'!$C:$C,0,0)</f>
        <v>29800</v>
      </c>
      <c r="DH248">
        <f>DG248*0.18</f>
        <v>5364</v>
      </c>
      <c r="DI248">
        <f>DG248*0.12</f>
        <v>3576</v>
      </c>
      <c r="DJ248">
        <f>_xlfn.XLOOKUP(B248,'[11]january-2026'!$A:$A,'[11]january-2026'!$D:$D,0,0)</f>
        <v>0</v>
      </c>
      <c r="DK248">
        <f>_xlfn.XLOOKUP(B248,'[11]january-2026'!$A:$A,'[11]january-2026'!$G:$G,0,0)</f>
        <v>500</v>
      </c>
      <c r="DL248">
        <f>IF(DG248&gt;0,SUM(DG248:DK248),0)</f>
        <v>39240</v>
      </c>
      <c r="DM248">
        <f>_xlfn.XLOOKUP(B248,'[11]january-2026'!$A:$A,'[11]january-2026'!$H:$H,0,0)</f>
        <v>2000</v>
      </c>
      <c r="DN248">
        <f>_xlfn.XLOOKUP(B248,'[11]january-2026'!$A:$A,'[11]january-2026'!$I:$I,0,0)</f>
        <v>0</v>
      </c>
      <c r="DO248">
        <f>IF($F248="YES",0,IF(DL248&gt;40000,200,IF(DL248&gt;25000,150,IF(DL248&gt;15000,130,IF(DL248&gt;10000,110,0)))))</f>
        <v>150</v>
      </c>
      <c r="DP248">
        <f>DL248-DM248-DN248-DO248</f>
        <v>37090</v>
      </c>
      <c r="DQ248">
        <f>_xlfn.XLOOKUP(B248,'[12]february-2026'!$A:$A,'[12]february-2026'!$C:$C,0,0)</f>
        <v>29800</v>
      </c>
      <c r="DR248">
        <f>DQ248*0.18</f>
        <v>5364</v>
      </c>
      <c r="DS248">
        <f>DQ248*0.12</f>
        <v>3576</v>
      </c>
      <c r="DT248">
        <f>_xlfn.XLOOKUP(B248,'[12]february-2026'!$A:$A,'[12]february-2026'!$D:$D,0,0)</f>
        <v>0</v>
      </c>
      <c r="DU248">
        <f>_xlfn.XLOOKUP(B248,'[12]february-2026'!$A:$A,'[12]february-2026'!$G:$G,0,0)</f>
        <v>500</v>
      </c>
      <c r="DV248">
        <f>IF(DQ248&gt;0,SUM(DQ248:DU248),0)</f>
        <v>39240</v>
      </c>
      <c r="DW248">
        <f>_xlfn.XLOOKUP(B248,'[12]february-2026'!$A:$A,'[12]february-2026'!$H:$H,0,0)</f>
        <v>2000</v>
      </c>
      <c r="DX248">
        <f>_xlfn.XLOOKUP(B248,'[12]february-2026'!$A:$A,'[12]february-2026'!$I:$I,0,0)</f>
        <v>0</v>
      </c>
      <c r="DY248">
        <f>IF($F248="YES",0,IF(DV248&gt;40000,200,IF(DV248&gt;25000,150,IF(DV248&gt;15000,130,IF(DV248&gt;10000,110,0)))))</f>
        <v>150</v>
      </c>
      <c r="DZ248">
        <f>DV248-DW248-DX248-DY248</f>
        <v>37090</v>
      </c>
      <c r="EA248">
        <f>DV248+DL248+DB248+CR248+CH248+BX248+BN248+BD248+AS248+AI248+Y248+O248+H248+I248</f>
        <v>471844</v>
      </c>
      <c r="EB248">
        <f>DY248+DO248+DE248+CU248+CK248+CA248+BQ248+BG248+AV248+AL248+AB248+R248</f>
        <v>1800</v>
      </c>
      <c r="EC248">
        <f>IF(EA248&gt;0,50000,0)</f>
        <v>50000</v>
      </c>
      <c r="ED248">
        <v>0</v>
      </c>
      <c r="EE248">
        <f>EA248-EB248-EC248</f>
        <v>420044</v>
      </c>
      <c r="EF248">
        <f>DW248+DM248+DC248+CS248+CI248+BY248+BO248+BE248+AT248+AJ248+Z248+P248</f>
        <v>24000</v>
      </c>
      <c r="EG248">
        <f>DX248+DN248+DD248+CT248+CJ248+BZ248+BP248+BF248+AU248+AK248+AA248+Q248</f>
        <v>0</v>
      </c>
      <c r="EH248">
        <v>0</v>
      </c>
      <c r="EI248">
        <v>0</v>
      </c>
      <c r="EJ248">
        <v>0</v>
      </c>
      <c r="EK248">
        <v>0</v>
      </c>
      <c r="EL248">
        <v>0</v>
      </c>
      <c r="EM248">
        <v>0</v>
      </c>
      <c r="EN248">
        <v>0</v>
      </c>
      <c r="EO248">
        <v>0</v>
      </c>
      <c r="EP248">
        <v>0</v>
      </c>
      <c r="EQ248">
        <v>0</v>
      </c>
      <c r="ER248">
        <f>SUM(EF248:EQ248)</f>
        <v>24000</v>
      </c>
      <c r="ES248">
        <f>IF(ER248&gt;=150000,150000,ER248)</f>
        <v>24000</v>
      </c>
      <c r="ET248">
        <f>EE248-ES248</f>
        <v>396044</v>
      </c>
      <c r="EU248">
        <v>0</v>
      </c>
      <c r="EV248">
        <v>0</v>
      </c>
      <c r="EW248">
        <v>0</v>
      </c>
      <c r="EX248">
        <v>0</v>
      </c>
      <c r="EY248">
        <v>0</v>
      </c>
      <c r="EZ248">
        <v>0</v>
      </c>
      <c r="FA248">
        <v>0</v>
      </c>
      <c r="FB248">
        <f>SUM(EU248:FA248)+(IF(F248="YES",50000,0))</f>
        <v>0</v>
      </c>
      <c r="FC248">
        <f>ET248-FB248</f>
        <v>396044</v>
      </c>
      <c r="FD248">
        <f>ROUND(IF(FC248&gt;0,IF(FC248&gt;500000,12500,(FC248-250000)*0.05),0),0)</f>
        <v>7302</v>
      </c>
      <c r="FE248">
        <f>IF(ROUND(IF(FC248&gt;0,IF(FC248&gt;1000000,25000,(FC248-500000)*0.2),0),0)&lt;0,0,ROUND(IF(FC248&gt;0,IF(FC248&gt;1000000,25000,(FC248-500000)*0.2),0),0))</f>
        <v>0</v>
      </c>
      <c r="FF248">
        <f>FD248+FE248</f>
        <v>7302</v>
      </c>
      <c r="FG248">
        <f>IF(FF248&lt;12500,0,FF248)</f>
        <v>0</v>
      </c>
      <c r="FH248">
        <f>FG248*0.04</f>
        <v>0</v>
      </c>
      <c r="FI248">
        <f>ROUND(FH248+FG248,0)</f>
        <v>0</v>
      </c>
      <c r="FJ248">
        <v>0</v>
      </c>
      <c r="FK248">
        <f>FI248-FJ248</f>
        <v>0</v>
      </c>
      <c r="FL248" t="b">
        <f>IF(EA248&gt;500000,TRUE,FALSE)</f>
        <v>0</v>
      </c>
      <c r="FM248">
        <f ca="1">IF(FL248,RANDBETWEEN(500,1000),RANDBETWEEN(1000,3000))</f>
        <v>1002</v>
      </c>
      <c r="FN248">
        <f ca="1">EA248+FM248</f>
        <v>472846</v>
      </c>
      <c r="FO248">
        <f>IF(EA248&gt;0,75000,0)</f>
        <v>75000</v>
      </c>
      <c r="FP248">
        <f ca="1">FN248-FO248</f>
        <v>397846</v>
      </c>
      <c r="FQ248">
        <f ca="1">IF(FP248&gt;2400000,FP248-2400000,0)</f>
        <v>0</v>
      </c>
      <c r="FR248">
        <f ca="1">FQ248*0.3</f>
        <v>0</v>
      </c>
      <c r="FS248">
        <f ca="1">IF(FP248&gt;2000000,FP248-2000000,0)</f>
        <v>0</v>
      </c>
      <c r="FT248">
        <f ca="1">FS248*0.25</f>
        <v>0</v>
      </c>
      <c r="FU248">
        <f ca="1">IF(FP248&gt;1600000,FP248-1600000-FQ248,0)</f>
        <v>0</v>
      </c>
      <c r="FV248">
        <f ca="1">FU248*0.2</f>
        <v>0</v>
      </c>
      <c r="FW248">
        <f ca="1">IF(FP248&gt;1200000,FP248-1200000-IF(F248="YES",50000,0)-FU248,0)</f>
        <v>0</v>
      </c>
      <c r="FX248">
        <f ca="1">FW248*0.15</f>
        <v>0</v>
      </c>
      <c r="FY248">
        <f ca="1">IF(FP248&gt;800000,FP248-800000-FQ248-FU248-FW248,0)</f>
        <v>0</v>
      </c>
      <c r="FZ248">
        <f ca="1">FY248*0.1</f>
        <v>0</v>
      </c>
      <c r="GA248">
        <f ca="1">IF(FP248&gt;400000,FP248-400000-FQ248-FU248-FW248-FY248,0)</f>
        <v>0</v>
      </c>
      <c r="GB248">
        <f ca="1">GA248*0.05</f>
        <v>0</v>
      </c>
      <c r="GC248">
        <f ca="1">ROUND(FR248+FT248+FV248+FX248+FZ248+GB248,0)</f>
        <v>0</v>
      </c>
      <c r="GD248">
        <f ca="1">IF(FP248&gt;1200000,FP248,0)</f>
        <v>0</v>
      </c>
      <c r="GE248">
        <f ca="1">IF(FP248&gt;1200000,GD248-1200000,0)</f>
        <v>0</v>
      </c>
      <c r="GF248">
        <f ca="1">IF(FP248&lt;1200001,MIN(GC248,60000),0)</f>
        <v>0</v>
      </c>
      <c r="GG248">
        <f ca="1">IF(FP248&gt;1200000,GC248-GE248,0)</f>
        <v>0</v>
      </c>
      <c r="GH248" t="b">
        <f ca="1">IF(GG248&gt;0,TRUE,FALSE)</f>
        <v>0</v>
      </c>
      <c r="GI248">
        <f ca="1">IF(GH248,GG248,0)</f>
        <v>0</v>
      </c>
      <c r="GJ248">
        <f ca="1">GF248+GI248</f>
        <v>0</v>
      </c>
      <c r="GK248">
        <f ca="1">ROUND(GC248-GJ248,0)</f>
        <v>0</v>
      </c>
      <c r="GL248">
        <f ca="1">GK248*0.04</f>
        <v>0</v>
      </c>
      <c r="GM248">
        <f ca="1">ROUNDUP(GK248+GL248,0)</f>
        <v>0</v>
      </c>
    </row>
    <row r="249" spans="1:195" x14ac:dyDescent="0.25">
      <c r="A249">
        <f>_xlfn.AGGREGATE(3,5,$B$2:B249)</f>
        <v>248</v>
      </c>
      <c r="B249" t="s">
        <v>607</v>
      </c>
      <c r="C249" t="s">
        <v>608</v>
      </c>
      <c r="D249" t="s">
        <v>816</v>
      </c>
      <c r="E249" t="s">
        <v>833</v>
      </c>
      <c r="F249" t="s">
        <v>959</v>
      </c>
      <c r="G249" t="s">
        <v>887</v>
      </c>
      <c r="H249">
        <f>IF(_xlfn.DAYS("31-03-2025",G249)&gt;=180,6800,0)</f>
        <v>6800</v>
      </c>
      <c r="I249">
        <f>_xlfn.XLOOKUP(B249,'[1]march-2025'!$A:$A,'[1]march-2025'!$J:$J,0,0)</f>
        <v>0</v>
      </c>
      <c r="J249">
        <f>_xlfn.XLOOKUP(B249,'[1]march-2025'!$A:$A,'[1]march-2025'!$C:$C,0,0)</f>
        <v>48700</v>
      </c>
      <c r="K249">
        <f>J249*0.14</f>
        <v>6818.0000000000009</v>
      </c>
      <c r="L249">
        <f>J249*0.12</f>
        <v>5844</v>
      </c>
      <c r="M249">
        <f>_xlfn.XLOOKUP(B249,'[1]march-2025'!$A:$A,'[1]march-2025'!$D:$D,0,0)</f>
        <v>400</v>
      </c>
      <c r="N249">
        <f>_xlfn.XLOOKUP(B249,'[1]march-2025'!$A:$A,'[1]march-2025'!$G:$G,0,0)</f>
        <v>500</v>
      </c>
      <c r="O249">
        <f>IF(J249&gt;0,SUM(J249:N249),0)</f>
        <v>62262</v>
      </c>
      <c r="P249">
        <f>_xlfn.XLOOKUP(B249,'[1]march-2025'!$A:$A,'[1]march-2025'!$H:$H,0,0)</f>
        <v>5000</v>
      </c>
      <c r="Q249">
        <f>_xlfn.XLOOKUP(B249,'[1]march-2025'!$A:$A,'[1]march-2025'!$I:$I,0,0)</f>
        <v>0</v>
      </c>
      <c r="R249">
        <f>IF($F249="YES",0,IF(O249&gt;40000,200,IF(O249&gt;25000,150,IF(O249&gt;15000,130,IF(O249&gt;10000,110,0)))))</f>
        <v>200</v>
      </c>
      <c r="S249">
        <f>O249-P249-Q249-R249</f>
        <v>57062</v>
      </c>
      <c r="T249">
        <f>_xlfn.XLOOKUP(B249,'[2]april-2025'!$A:$A,'[2]april-2025'!$C:$C,0,0)</f>
        <v>48700</v>
      </c>
      <c r="U249">
        <f>T249*0.18</f>
        <v>8766</v>
      </c>
      <c r="V249">
        <f>T249*0.12</f>
        <v>5844</v>
      </c>
      <c r="W249">
        <f>_xlfn.XLOOKUP(B249,'[2]april-2025'!$A:$A,'[2]april-2025'!$D:$D,0,0)</f>
        <v>400</v>
      </c>
      <c r="X249">
        <f>_xlfn.XLOOKUP(B249,'[2]april-2025'!$A:$A,'[2]april-2025'!$G:$G,0,0)</f>
        <v>500</v>
      </c>
      <c r="Y249">
        <f>IF(T249&gt;0,SUM(T249:X249),0)</f>
        <v>64210</v>
      </c>
      <c r="Z249">
        <f>_xlfn.XLOOKUP(B249,'[2]april-2025'!$A:$A,'[2]april-2025'!$H:$H,0,0)</f>
        <v>5000</v>
      </c>
      <c r="AA249">
        <f>_xlfn.XLOOKUP(B249,'[2]april-2025'!$A:$A,'[2]april-2025'!$I:$I,0,0)</f>
        <v>0</v>
      </c>
      <c r="AB249">
        <f>IF($F249="YES",0,IF(Y249&gt;40000,200,IF(Y249&gt;25000,150,IF(Y249&gt;15000,130,IF(Y249&gt;10000,110,0)))))</f>
        <v>200</v>
      </c>
      <c r="AC249">
        <f>Y249-Z249-AA249-AB249</f>
        <v>59010</v>
      </c>
      <c r="AD249">
        <f>_xlfn.XLOOKUP(B249,'[3]may-2025'!$A:$A,'[3]may-2025'!$C:$C,0,0)</f>
        <v>48700</v>
      </c>
      <c r="AE249">
        <f>AD249*0.18</f>
        <v>8766</v>
      </c>
      <c r="AF249">
        <f>AD249*0.12</f>
        <v>5844</v>
      </c>
      <c r="AG249">
        <f>_xlfn.XLOOKUP(B249,'[3]may-2025'!$A:$A,'[3]may-2025'!$D:$D,0,0)</f>
        <v>400</v>
      </c>
      <c r="AH249">
        <f>_xlfn.XLOOKUP(B249,'[3]may-2025'!$A:$A,'[3]may-2025'!$G:$G,0,0)</f>
        <v>500</v>
      </c>
      <c r="AI249">
        <f>IF(AD249&gt;0,SUM(AD249:AH249),0)</f>
        <v>64210</v>
      </c>
      <c r="AJ249">
        <f>_xlfn.XLOOKUP(B249,'[3]may-2025'!$A:$A,'[3]may-2025'!$H:$H,0,0)</f>
        <v>5000</v>
      </c>
      <c r="AK249">
        <f>_xlfn.XLOOKUP(B249,'[3]may-2025'!$A:$A,'[3]may-2025'!$I:$I,0,0)</f>
        <v>0</v>
      </c>
      <c r="AL249">
        <f>IF($F249="YES",0,IF(AI249&gt;40000,200,IF(AI249&gt;25000,150,IF(AI249&gt;15000,130,IF(AI249&gt;10000,110,0)))))</f>
        <v>200</v>
      </c>
      <c r="AM249">
        <f>AI249-AJ249-AK249-AL249</f>
        <v>59010</v>
      </c>
      <c r="AN249">
        <f>_xlfn.XLOOKUP(B249,'[4]june-2025'!$A:$A,'[4]june-2025'!$C:$C,0,0)</f>
        <v>48700</v>
      </c>
      <c r="AO249">
        <f>AN249*0.18</f>
        <v>8766</v>
      </c>
      <c r="AP249">
        <f>AN249*0.12</f>
        <v>5844</v>
      </c>
      <c r="AQ249">
        <f>_xlfn.XLOOKUP(B249,'[4]june-2025'!$A:$A,'[4]june-2025'!$D:$D,0,0)</f>
        <v>400</v>
      </c>
      <c r="AR249">
        <f>_xlfn.XLOOKUP(B249,'[4]june-2025'!$A:$A,'[4]june-2025'!$G:$G,0,0)</f>
        <v>500</v>
      </c>
      <c r="AS249">
        <f>IF(AN249&gt;0,SUM(AN249:AR249),0)</f>
        <v>64210</v>
      </c>
      <c r="AT249">
        <f>_xlfn.XLOOKUP(B249,'[4]june-2025'!$A:$A,'[4]june-2025'!$H:$H,0,0)</f>
        <v>5000</v>
      </c>
      <c r="AU249">
        <f>_xlfn.XLOOKUP(B249,'[4]june-2025'!$A:$A,'[4]june-2025'!$I:$I,0,0)</f>
        <v>0</v>
      </c>
      <c r="AV249">
        <f>IF($F249="YES",0,IF(AS249&gt;40000,200,IF(AS249&gt;25000,150,IF(AS249&gt;15000,130,IF(AS249&gt;10000,110,0)))))</f>
        <v>200</v>
      </c>
      <c r="AW249">
        <f>AS249-AT249-AU249-AV249</f>
        <v>59010</v>
      </c>
      <c r="AX249">
        <f>_xlfn.XLOOKUP(B249,'[5]july-2025'!$A:$A,'[5]july-2025'!$C:$C,0,0)</f>
        <v>50200</v>
      </c>
      <c r="AY249">
        <f>AX249*0.18</f>
        <v>9036</v>
      </c>
      <c r="AZ249">
        <v>0</v>
      </c>
      <c r="BA249">
        <f>AX249*0.12</f>
        <v>6024</v>
      </c>
      <c r="BB249">
        <f>_xlfn.XLOOKUP(B249,'[5]july-2025'!$A:$A,'[5]july-2025'!$D:$D,0,0)</f>
        <v>400</v>
      </c>
      <c r="BC249">
        <f>_xlfn.XLOOKUP(B249,'[5]july-2025'!$A:$A,'[5]july-2025'!$G:$G,0,0)</f>
        <v>500</v>
      </c>
      <c r="BD249">
        <f>IF(AX249&gt;0,SUM(AX249:BC249),0)</f>
        <v>66160</v>
      </c>
      <c r="BE249">
        <f>_xlfn.XLOOKUP(B249,'[5]july-2025'!$A:$A,'[5]july-2025'!$H:$H,0,0)</f>
        <v>5000</v>
      </c>
      <c r="BF249">
        <f>_xlfn.XLOOKUP(B249,'[5]july-2025'!$A:$A,'[5]july-2025'!$I:$I,0,0)</f>
        <v>0</v>
      </c>
      <c r="BG249">
        <f>IF($F249="YES",0,IF(BD249&gt;40000,200,IF(BD249&gt;25000,150,IF(BD249&gt;15000,130,IF(BD249&gt;10000,110,0)))))</f>
        <v>200</v>
      </c>
      <c r="BH249">
        <f>BD249-BE249-BF249-BG249</f>
        <v>60960</v>
      </c>
      <c r="BI249">
        <f>_xlfn.XLOOKUP(B249,'[6]august-2025'!$A:$A,'[6]august-2025'!$C:$C,0,0)</f>
        <v>50200</v>
      </c>
      <c r="BJ249">
        <f>BI249*0.18</f>
        <v>9036</v>
      </c>
      <c r="BK249">
        <f>BI249*0.12</f>
        <v>6024</v>
      </c>
      <c r="BL249">
        <f>_xlfn.XLOOKUP(B249,'[6]august-2025'!$A:$A,'[6]august-2025'!$D:$D,0,0)</f>
        <v>400</v>
      </c>
      <c r="BM249">
        <f>_xlfn.XLOOKUP(B249,'[6]august-2025'!$A:$A,'[6]august-2025'!$G:$G,0,0)</f>
        <v>500</v>
      </c>
      <c r="BN249">
        <f>IF(BI249&gt;0,SUM(BI249:BM249),0)</f>
        <v>66160</v>
      </c>
      <c r="BO249">
        <f>_xlfn.XLOOKUP(B249,'[6]august-2025'!$A:$A,'[6]august-2025'!$H:$H,0,0)</f>
        <v>5000</v>
      </c>
      <c r="BP249">
        <f>_xlfn.XLOOKUP(B249,'[6]august-2025'!$A:$A,'[6]august-2025'!$I:$I,0,0)</f>
        <v>0</v>
      </c>
      <c r="BQ249">
        <f>IF($F249="YES",0,IF(BN249&gt;40000,200,IF(BN249&gt;25000,150,IF(BN249&gt;15000,130,IF(BN249&gt;10000,110,0)))))</f>
        <v>200</v>
      </c>
      <c r="BR249">
        <f>BN249-BO249-BP249-BQ249</f>
        <v>60960</v>
      </c>
      <c r="BS249">
        <f>_xlfn.XLOOKUP(B249,'[7]september-2025'!$A:$A,'[7]september-2025'!$C:$C,0,0)</f>
        <v>50200</v>
      </c>
      <c r="BT249">
        <f>BS249*0.18</f>
        <v>9036</v>
      </c>
      <c r="BU249">
        <f>BS249*0.12</f>
        <v>6024</v>
      </c>
      <c r="BV249">
        <f>_xlfn.XLOOKUP(B249,'[7]september-2025'!$A:$A,'[7]september-2025'!$D:$D,0,0)</f>
        <v>400</v>
      </c>
      <c r="BW249">
        <f>_xlfn.XLOOKUP(B249,'[7]september-2025'!$A:$A,'[7]september-2025'!$G:$G,0,0)</f>
        <v>500</v>
      </c>
      <c r="BX249">
        <f>IF(BS249&gt;0,SUM(BS249:BW249),0)</f>
        <v>66160</v>
      </c>
      <c r="BY249">
        <f>_xlfn.XLOOKUP(B249,'[7]september-2025'!$A:$A,'[7]september-2025'!$H:$H,0,0)</f>
        <v>5000</v>
      </c>
      <c r="BZ249">
        <f>_xlfn.XLOOKUP(B249,'[7]september-2025'!$A:$A,'[7]september-2025'!$I:$I,0,0)</f>
        <v>0</v>
      </c>
      <c r="CA249">
        <f>IF($F249="YES",0,IF(BX249&gt;40000,200,IF(BX249&gt;25000,150,IF(BX249&gt;15000,130,IF(BX249&gt;10000,110,0)))))</f>
        <v>200</v>
      </c>
      <c r="CB249">
        <f>BX249-BY249-BZ249-CA249</f>
        <v>60960</v>
      </c>
      <c r="CC249">
        <f>_xlfn.XLOOKUP(B249,'[8]october-2025'!$A:$A,'[8]october-2025'!$C:$C,0,0)</f>
        <v>50200</v>
      </c>
      <c r="CD249">
        <f>CC249*0.18</f>
        <v>9036</v>
      </c>
      <c r="CE249">
        <f>CC249*0.12</f>
        <v>6024</v>
      </c>
      <c r="CF249">
        <f>_xlfn.XLOOKUP(B249,'[8]october-2025'!$A:$A,'[8]october-2025'!$D:$D,0,0)</f>
        <v>400</v>
      </c>
      <c r="CG249">
        <f>_xlfn.XLOOKUP(B249,'[8]october-2025'!$A:$A,'[8]october-2025'!$G:$G,0,0)</f>
        <v>500</v>
      </c>
      <c r="CH249">
        <f>IF(CC249&gt;0,SUM(CC249:CG249),0)</f>
        <v>66160</v>
      </c>
      <c r="CI249">
        <f>_xlfn.XLOOKUP(B249,'[8]october-2025'!$A:$A,'[8]october-2025'!$H:$H,0,0)</f>
        <v>5000</v>
      </c>
      <c r="CJ249">
        <f>_xlfn.XLOOKUP(B249,'[8]october-2025'!$A:$A,'[8]october-2025'!$I:$I,0,0)</f>
        <v>0</v>
      </c>
      <c r="CK249">
        <f>IF($F249="YES",0,IF(CH249&gt;40000,200,IF(CH249&gt;25000,150,IF(CH249&gt;15000,130,IF(CH249&gt;10000,110,0)))))</f>
        <v>200</v>
      </c>
      <c r="CL249">
        <f>CH249-CI249-CJ249-CK249</f>
        <v>60960</v>
      </c>
      <c r="CM249">
        <f>_xlfn.XLOOKUP(B249,'[9]november-2025'!$A:$A,'[9]november-2025'!$C:$C,0,0)</f>
        <v>50200</v>
      </c>
      <c r="CN249">
        <f>CM249*0.18</f>
        <v>9036</v>
      </c>
      <c r="CO249">
        <f>CM249*0.12</f>
        <v>6024</v>
      </c>
      <c r="CP249">
        <f>_xlfn.XLOOKUP(B249,'[9]november-2025'!$A:$A,'[9]november-2025'!$D:$D,0,0)</f>
        <v>400</v>
      </c>
      <c r="CQ249">
        <f>_xlfn.XLOOKUP(B249,'[9]november-2025'!$A:$A,'[9]november-2025'!$G:$G,0,0)</f>
        <v>500</v>
      </c>
      <c r="CR249">
        <f>IF(CM249&gt;0,SUM(CM249:CQ249),0)</f>
        <v>66160</v>
      </c>
      <c r="CS249">
        <f>_xlfn.XLOOKUP(B249,'[9]november-2025'!$A:$A,'[9]november-2025'!$H:$H,0,0)</f>
        <v>5000</v>
      </c>
      <c r="CT249">
        <f>_xlfn.XLOOKUP(B249,'[9]november-2025'!$A:$A,'[9]november-2025'!$I:$I,0,0)</f>
        <v>0</v>
      </c>
      <c r="CU249">
        <f>IF($F249="YES",0,IF(CR249&gt;40000,200,IF(CR249&gt;25000,150,IF(CR249&gt;15000,130,IF(CR249&gt;10000,110,0)))))</f>
        <v>200</v>
      </c>
      <c r="CV249">
        <f>CR249-CS249-CT249-CU249</f>
        <v>60960</v>
      </c>
      <c r="CW249">
        <f>_xlfn.XLOOKUP(B249,'[10]december-2025'!$A:$A,'[10]december-2025'!$C:$C,0,0)</f>
        <v>50200</v>
      </c>
      <c r="CX249">
        <f>ROUND(CW249*0.18,0)</f>
        <v>9036</v>
      </c>
      <c r="CY249">
        <f>ROUND(CW249*0.12,0)</f>
        <v>6024</v>
      </c>
      <c r="CZ249">
        <f>_xlfn.XLOOKUP(B249,'[10]december-2025'!$A:$A,'[10]december-2025'!$D:$D,0,0)</f>
        <v>400</v>
      </c>
      <c r="DA249">
        <f>_xlfn.XLOOKUP(B249,'[10]december-2025'!$A:$A,'[10]december-2025'!$G:$G,0,0)</f>
        <v>500</v>
      </c>
      <c r="DB249">
        <f>IF(CW249&gt;0,SUM(CW249:DA249),0)</f>
        <v>66160</v>
      </c>
      <c r="DC249">
        <f>_xlfn.XLOOKUP(B249,'[10]december-2025'!$A:$A,'[10]december-2025'!$H:$H,0,0)</f>
        <v>5000</v>
      </c>
      <c r="DD249">
        <f>_xlfn.XLOOKUP(B249,'[10]december-2025'!$A:$A,'[10]december-2025'!$I:$I,0,0)</f>
        <v>0</v>
      </c>
      <c r="DE249">
        <f>IF($F249="YES",0,IF(DB249&gt;40000,200,IF(DB249&gt;25000,150,IF(DB249&gt;15000,130,IF(DB249&gt;10000,110,0)))))</f>
        <v>200</v>
      </c>
      <c r="DF249">
        <f>DB249-DC249-DD249-DE249</f>
        <v>60960</v>
      </c>
      <c r="DG249">
        <f>_xlfn.XLOOKUP(B249,'[11]january-2026'!$A:$A,'[11]january-2026'!$C:$C,0,0)</f>
        <v>50200</v>
      </c>
      <c r="DH249">
        <f>DG249*0.18</f>
        <v>9036</v>
      </c>
      <c r="DI249">
        <f>DG249*0.12</f>
        <v>6024</v>
      </c>
      <c r="DJ249">
        <f>_xlfn.XLOOKUP(B249,'[11]january-2026'!$A:$A,'[11]january-2026'!$D:$D,0,0)</f>
        <v>400</v>
      </c>
      <c r="DK249">
        <f>_xlfn.XLOOKUP(B249,'[11]january-2026'!$A:$A,'[11]january-2026'!$G:$G,0,0)</f>
        <v>500</v>
      </c>
      <c r="DL249">
        <f>IF(DG249&gt;0,SUM(DG249:DK249),0)</f>
        <v>66160</v>
      </c>
      <c r="DM249">
        <f>_xlfn.XLOOKUP(B249,'[11]january-2026'!$A:$A,'[11]january-2026'!$H:$H,0,0)</f>
        <v>5000</v>
      </c>
      <c r="DN249">
        <f>_xlfn.XLOOKUP(B249,'[11]january-2026'!$A:$A,'[11]january-2026'!$I:$I,0,0)</f>
        <v>0</v>
      </c>
      <c r="DO249">
        <f>IF($F249="YES",0,IF(DL249&gt;40000,200,IF(DL249&gt;25000,150,IF(DL249&gt;15000,130,IF(DL249&gt;10000,110,0)))))</f>
        <v>200</v>
      </c>
      <c r="DP249">
        <f>DL249-DM249-DN249-DO249</f>
        <v>60960</v>
      </c>
      <c r="DQ249">
        <f>_xlfn.XLOOKUP(B249,'[12]february-2026'!$A:$A,'[12]february-2026'!$C:$C,0,0)</f>
        <v>50200</v>
      </c>
      <c r="DR249">
        <f>DQ249*0.18</f>
        <v>9036</v>
      </c>
      <c r="DS249">
        <f>DQ249*0.12</f>
        <v>6024</v>
      </c>
      <c r="DT249">
        <f>_xlfn.XLOOKUP(B249,'[12]february-2026'!$A:$A,'[12]february-2026'!$D:$D,0,0)</f>
        <v>400</v>
      </c>
      <c r="DU249">
        <f>_xlfn.XLOOKUP(B249,'[12]february-2026'!$A:$A,'[12]february-2026'!$G:$G,0,0)</f>
        <v>500</v>
      </c>
      <c r="DV249">
        <f>IF(DQ249&gt;0,SUM(DQ249:DU249),0)</f>
        <v>66160</v>
      </c>
      <c r="DW249">
        <f>_xlfn.XLOOKUP(B249,'[12]february-2026'!$A:$A,'[12]february-2026'!$H:$H,0,0)</f>
        <v>5000</v>
      </c>
      <c r="DX249">
        <f>_xlfn.XLOOKUP(B249,'[12]february-2026'!$A:$A,'[12]february-2026'!$I:$I,0,0)</f>
        <v>0</v>
      </c>
      <c r="DY249">
        <f>IF($F249="YES",0,IF(DV249&gt;40000,200,IF(DV249&gt;25000,150,IF(DV249&gt;15000,130,IF(DV249&gt;10000,110,0)))))</f>
        <v>200</v>
      </c>
      <c r="DZ249">
        <f>DV249-DW249-DX249-DY249</f>
        <v>60960</v>
      </c>
      <c r="EA249">
        <f>DV249+DL249+DB249+CR249+CH249+BX249+BN249+BD249+AS249+AI249+Y249+O249+H249+I249</f>
        <v>790972</v>
      </c>
      <c r="EB249">
        <f>DY249+DO249+DE249+CU249+CK249+CA249+BQ249+BG249+AV249+AL249+AB249+R249</f>
        <v>2400</v>
      </c>
      <c r="EC249">
        <f>IF(EA249&gt;0,50000,0)</f>
        <v>50000</v>
      </c>
      <c r="ED249">
        <v>0</v>
      </c>
      <c r="EE249">
        <f>EA249-EB249-EC249</f>
        <v>738572</v>
      </c>
      <c r="EF249">
        <f>DW249+DM249+DC249+CS249+CI249+BY249+BO249+BE249+AT249+AJ249+Z249+P249</f>
        <v>60000</v>
      </c>
      <c r="EG249">
        <f>DX249+DN249+DD249+CT249+CJ249+BZ249+BP249+BF249+AU249+AK249+AA249+Q249</f>
        <v>0</v>
      </c>
      <c r="EH249">
        <v>0</v>
      </c>
      <c r="EI249">
        <v>0</v>
      </c>
      <c r="EJ249">
        <v>0</v>
      </c>
      <c r="EK249">
        <v>0</v>
      </c>
      <c r="EL249">
        <v>0</v>
      </c>
      <c r="EM249">
        <v>0</v>
      </c>
      <c r="EN249">
        <v>0</v>
      </c>
      <c r="EO249">
        <v>0</v>
      </c>
      <c r="EP249">
        <v>0</v>
      </c>
      <c r="EQ249">
        <v>0</v>
      </c>
      <c r="ER249">
        <f>SUM(EF249:EQ249)</f>
        <v>60000</v>
      </c>
      <c r="ES249">
        <f>IF(ER249&gt;=150000,150000,ER249)</f>
        <v>60000</v>
      </c>
      <c r="ET249">
        <f>EE249-ES249</f>
        <v>678572</v>
      </c>
      <c r="EU249">
        <v>0</v>
      </c>
      <c r="EV249">
        <v>0</v>
      </c>
      <c r="EW249">
        <v>0</v>
      </c>
      <c r="EX249">
        <v>0</v>
      </c>
      <c r="EY249">
        <v>0</v>
      </c>
      <c r="EZ249">
        <v>0</v>
      </c>
      <c r="FA249">
        <v>0</v>
      </c>
      <c r="FB249">
        <f>SUM(EU249:FA249)+(IF(F249="YES",50000,0))</f>
        <v>0</v>
      </c>
      <c r="FC249">
        <f>ET249-FB249</f>
        <v>678572</v>
      </c>
      <c r="FD249">
        <f>ROUND(IF(FC249&gt;0,IF(FC249&gt;500000,12500,(FC249-250000)*0.05),0),0)</f>
        <v>12500</v>
      </c>
      <c r="FE249">
        <f>IF(ROUND(IF(FC249&gt;0,IF(FC249&gt;1000000,25000,(FC249-500000)*0.2),0),0)&lt;0,0,ROUND(IF(FC249&gt;0,IF(FC249&gt;1000000,25000,(FC249-500000)*0.2),0),0))</f>
        <v>35714</v>
      </c>
      <c r="FF249">
        <f>FD249+FE249</f>
        <v>48214</v>
      </c>
      <c r="FG249">
        <f>IF(FF249&lt;12500,0,FF249)</f>
        <v>48214</v>
      </c>
      <c r="FH249">
        <f>FG249*0.04</f>
        <v>1928.56</v>
      </c>
      <c r="FI249">
        <f>ROUND(FH249+FG249,0)</f>
        <v>50143</v>
      </c>
      <c r="FJ249">
        <v>0</v>
      </c>
      <c r="FK249">
        <f>FI249-FJ249</f>
        <v>50143</v>
      </c>
      <c r="FL249" t="b">
        <f>IF(EA249&gt;500000,TRUE,FALSE)</f>
        <v>1</v>
      </c>
      <c r="FM249">
        <f ca="1">IF(FL249,RANDBETWEEN(500,1000),RANDBETWEEN(1000,3000))</f>
        <v>715</v>
      </c>
      <c r="FN249">
        <f ca="1">EA249+FM249</f>
        <v>791687</v>
      </c>
      <c r="FO249">
        <f>IF(EA249&gt;0,75000,0)</f>
        <v>75000</v>
      </c>
      <c r="FP249">
        <f ca="1">FN249-FO249</f>
        <v>716687</v>
      </c>
      <c r="FQ249">
        <f ca="1">IF(FP249&gt;2400000,FP249-2400000,0)</f>
        <v>0</v>
      </c>
      <c r="FR249">
        <f ca="1">FQ249*0.3</f>
        <v>0</v>
      </c>
      <c r="FS249">
        <f ca="1">IF(FP249&gt;2000000,FP249-2000000,0)</f>
        <v>0</v>
      </c>
      <c r="FT249">
        <f ca="1">FS249*0.25</f>
        <v>0</v>
      </c>
      <c r="FU249">
        <f ca="1">IF(FP249&gt;1600000,FP249-1600000-FQ249,0)</f>
        <v>0</v>
      </c>
      <c r="FV249">
        <f ca="1">FU249*0.2</f>
        <v>0</v>
      </c>
      <c r="FW249">
        <f ca="1">IF(FP249&gt;1200000,FP249-1200000-IF(F249="YES",50000,0)-FU249,0)</f>
        <v>0</v>
      </c>
      <c r="FX249">
        <f ca="1">FW249*0.15</f>
        <v>0</v>
      </c>
      <c r="FY249">
        <f ca="1">IF(FP249&gt;800000,FP249-800000-FQ249-FU249-FW249,0)</f>
        <v>0</v>
      </c>
      <c r="FZ249">
        <f ca="1">FY249*0.1</f>
        <v>0</v>
      </c>
      <c r="GA249">
        <f ca="1">IF(FP249&gt;400000,FP249-400000-FQ249-FU249-FW249-FY249,0)</f>
        <v>316687</v>
      </c>
      <c r="GB249">
        <f ca="1">GA249*0.05</f>
        <v>15834.35</v>
      </c>
      <c r="GC249">
        <f ca="1">ROUND(FR249+FT249+FV249+FX249+FZ249+GB249,0)</f>
        <v>15834</v>
      </c>
      <c r="GD249">
        <f ca="1">IF(FP249&gt;1200000,FP249,0)</f>
        <v>0</v>
      </c>
      <c r="GE249">
        <f ca="1">IF(FP249&gt;1200000,GD249-1200000,0)</f>
        <v>0</v>
      </c>
      <c r="GF249">
        <f ca="1">IF(FP249&lt;1200001,MIN(GC249,60000),0)</f>
        <v>15834</v>
      </c>
      <c r="GG249">
        <f ca="1">IF(FP249&gt;1200000,GC249-GE249,0)</f>
        <v>0</v>
      </c>
      <c r="GH249" t="b">
        <f ca="1">IF(GG249&gt;0,TRUE,FALSE)</f>
        <v>0</v>
      </c>
      <c r="GI249">
        <f ca="1">IF(GH249,GG249,0)</f>
        <v>0</v>
      </c>
      <c r="GJ249">
        <f ca="1">GF249+GI249</f>
        <v>15834</v>
      </c>
      <c r="GK249">
        <f ca="1">ROUND(GC249-GJ249,0)</f>
        <v>0</v>
      </c>
      <c r="GL249">
        <f ca="1">GK249*0.04</f>
        <v>0</v>
      </c>
      <c r="GM249">
        <f ca="1">ROUNDUP(GK249+GL249,0)</f>
        <v>0</v>
      </c>
    </row>
    <row r="250" spans="1:195" x14ac:dyDescent="0.25">
      <c r="A250">
        <f>_xlfn.AGGREGATE(3,5,$B$2:B250)</f>
        <v>249</v>
      </c>
      <c r="B250" t="s">
        <v>609</v>
      </c>
      <c r="C250" t="s">
        <v>610</v>
      </c>
      <c r="D250" t="s">
        <v>816</v>
      </c>
      <c r="E250" t="s">
        <v>833</v>
      </c>
      <c r="F250" t="s">
        <v>959</v>
      </c>
      <c r="G250" t="s">
        <v>880</v>
      </c>
      <c r="H250">
        <f>IF(_xlfn.DAYS("31-03-2025",G250)&gt;=180,6800,0)</f>
        <v>6800</v>
      </c>
      <c r="I250">
        <f>_xlfn.XLOOKUP(B250,'[1]march-2025'!$A:$A,'[1]march-2025'!$J:$J,0,0)</f>
        <v>0</v>
      </c>
      <c r="J250">
        <f>_xlfn.XLOOKUP(B250,'[1]march-2025'!$A:$A,'[1]march-2025'!$C:$C,0,0)</f>
        <v>34500</v>
      </c>
      <c r="K250">
        <f>J250*0.14</f>
        <v>4830.0000000000009</v>
      </c>
      <c r="L250">
        <f>J250*0.12</f>
        <v>4140</v>
      </c>
      <c r="M250">
        <f>_xlfn.XLOOKUP(B250,'[1]march-2025'!$A:$A,'[1]march-2025'!$D:$D,0,0)</f>
        <v>0</v>
      </c>
      <c r="N250">
        <f>_xlfn.XLOOKUP(B250,'[1]march-2025'!$A:$A,'[1]march-2025'!$G:$G,0,0)</f>
        <v>500</v>
      </c>
      <c r="O250">
        <f>IF(J250&gt;0,SUM(J250:N250),0)</f>
        <v>43970</v>
      </c>
      <c r="P250">
        <f>_xlfn.XLOOKUP(B250,'[1]march-2025'!$A:$A,'[1]march-2025'!$H:$H,0,0)</f>
        <v>6000</v>
      </c>
      <c r="Q250">
        <f>_xlfn.XLOOKUP(B250,'[1]march-2025'!$A:$A,'[1]march-2025'!$I:$I,0,0)</f>
        <v>0</v>
      </c>
      <c r="R250">
        <f>IF($F250="YES",0,IF(O250&gt;40000,200,IF(O250&gt;25000,150,IF(O250&gt;15000,130,IF(O250&gt;10000,110,0)))))</f>
        <v>200</v>
      </c>
      <c r="S250">
        <f>O250-P250-Q250-R250</f>
        <v>37770</v>
      </c>
      <c r="T250">
        <f>_xlfn.XLOOKUP(B250,'[2]april-2025'!$A:$A,'[2]april-2025'!$C:$C,0,0)</f>
        <v>34500</v>
      </c>
      <c r="U250">
        <f>T250*0.18</f>
        <v>6210</v>
      </c>
      <c r="V250">
        <f>T250*0.12</f>
        <v>4140</v>
      </c>
      <c r="W250">
        <f>_xlfn.XLOOKUP(B250,'[2]april-2025'!$A:$A,'[2]april-2025'!$D:$D,0,0)</f>
        <v>0</v>
      </c>
      <c r="X250">
        <f>_xlfn.XLOOKUP(B250,'[2]april-2025'!$A:$A,'[2]april-2025'!$G:$G,0,0)</f>
        <v>500</v>
      </c>
      <c r="Y250">
        <f>IF(T250&gt;0,SUM(T250:X250),0)</f>
        <v>45350</v>
      </c>
      <c r="Z250">
        <f>_xlfn.XLOOKUP(B250,'[2]april-2025'!$A:$A,'[2]april-2025'!$H:$H,0,0)</f>
        <v>6000</v>
      </c>
      <c r="AA250">
        <f>_xlfn.XLOOKUP(B250,'[2]april-2025'!$A:$A,'[2]april-2025'!$I:$I,0,0)</f>
        <v>0</v>
      </c>
      <c r="AB250">
        <f>IF($F250="YES",0,IF(Y250&gt;40000,200,IF(Y250&gt;25000,150,IF(Y250&gt;15000,130,IF(Y250&gt;10000,110,0)))))</f>
        <v>200</v>
      </c>
      <c r="AC250">
        <f>Y250-Z250-AA250-AB250</f>
        <v>39150</v>
      </c>
      <c r="AD250">
        <f>_xlfn.XLOOKUP(B250,'[3]may-2025'!$A:$A,'[3]may-2025'!$C:$C,0,0)</f>
        <v>34500</v>
      </c>
      <c r="AE250">
        <f>AD250*0.18</f>
        <v>6210</v>
      </c>
      <c r="AF250">
        <f>AD250*0.12</f>
        <v>4140</v>
      </c>
      <c r="AG250">
        <f>_xlfn.XLOOKUP(B250,'[3]may-2025'!$A:$A,'[3]may-2025'!$D:$D,0,0)</f>
        <v>0</v>
      </c>
      <c r="AH250">
        <f>_xlfn.XLOOKUP(B250,'[3]may-2025'!$A:$A,'[3]may-2025'!$G:$G,0,0)</f>
        <v>500</v>
      </c>
      <c r="AI250">
        <f>IF(AD250&gt;0,SUM(AD250:AH250),0)</f>
        <v>45350</v>
      </c>
      <c r="AJ250">
        <f>_xlfn.XLOOKUP(B250,'[3]may-2025'!$A:$A,'[3]may-2025'!$H:$H,0,0)</f>
        <v>6000</v>
      </c>
      <c r="AK250">
        <f>_xlfn.XLOOKUP(B250,'[3]may-2025'!$A:$A,'[3]may-2025'!$I:$I,0,0)</f>
        <v>0</v>
      </c>
      <c r="AL250">
        <f>IF($F250="YES",0,IF(AI250&gt;40000,200,IF(AI250&gt;25000,150,IF(AI250&gt;15000,130,IF(AI250&gt;10000,110,0)))))</f>
        <v>200</v>
      </c>
      <c r="AM250">
        <f>AI250-AJ250-AK250-AL250</f>
        <v>39150</v>
      </c>
      <c r="AN250">
        <f>_xlfn.XLOOKUP(B250,'[4]june-2025'!$A:$A,'[4]june-2025'!$C:$C,0,0)</f>
        <v>34500</v>
      </c>
      <c r="AO250">
        <f>AN250*0.18</f>
        <v>6210</v>
      </c>
      <c r="AP250">
        <f>AN250*0.12</f>
        <v>4140</v>
      </c>
      <c r="AQ250">
        <f>_xlfn.XLOOKUP(B250,'[4]june-2025'!$A:$A,'[4]june-2025'!$D:$D,0,0)</f>
        <v>0</v>
      </c>
      <c r="AR250">
        <f>_xlfn.XLOOKUP(B250,'[4]june-2025'!$A:$A,'[4]june-2025'!$G:$G,0,0)</f>
        <v>500</v>
      </c>
      <c r="AS250">
        <f>IF(AN250&gt;0,SUM(AN250:AR250),0)</f>
        <v>45350</v>
      </c>
      <c r="AT250">
        <f>_xlfn.XLOOKUP(B250,'[4]june-2025'!$A:$A,'[4]june-2025'!$H:$H,0,0)</f>
        <v>6000</v>
      </c>
      <c r="AU250">
        <f>_xlfn.XLOOKUP(B250,'[4]june-2025'!$A:$A,'[4]june-2025'!$I:$I,0,0)</f>
        <v>0</v>
      </c>
      <c r="AV250">
        <f>IF($F250="YES",0,IF(AS250&gt;40000,200,IF(AS250&gt;25000,150,IF(AS250&gt;15000,130,IF(AS250&gt;10000,110,0)))))</f>
        <v>200</v>
      </c>
      <c r="AW250">
        <f>AS250-AT250-AU250-AV250</f>
        <v>39150</v>
      </c>
      <c r="AX250">
        <f>_xlfn.XLOOKUP(B250,'[5]july-2025'!$A:$A,'[5]july-2025'!$C:$C,0,0)</f>
        <v>35500</v>
      </c>
      <c r="AY250">
        <f>AX250*0.18</f>
        <v>6390</v>
      </c>
      <c r="AZ250">
        <v>0</v>
      </c>
      <c r="BA250">
        <f>AX250*0.12</f>
        <v>4260</v>
      </c>
      <c r="BB250">
        <f>_xlfn.XLOOKUP(B250,'[5]july-2025'!$A:$A,'[5]july-2025'!$D:$D,0,0)</f>
        <v>0</v>
      </c>
      <c r="BC250">
        <f>_xlfn.XLOOKUP(B250,'[5]july-2025'!$A:$A,'[5]july-2025'!$G:$G,0,0)</f>
        <v>500</v>
      </c>
      <c r="BD250">
        <f>IF(AX250&gt;0,SUM(AX250:BC250),0)</f>
        <v>46650</v>
      </c>
      <c r="BE250">
        <f>_xlfn.XLOOKUP(B250,'[5]july-2025'!$A:$A,'[5]july-2025'!$H:$H,0,0)</f>
        <v>6000</v>
      </c>
      <c r="BF250">
        <f>_xlfn.XLOOKUP(B250,'[5]july-2025'!$A:$A,'[5]july-2025'!$I:$I,0,0)</f>
        <v>0</v>
      </c>
      <c r="BG250">
        <f>IF($F250="YES",0,IF(BD250&gt;40000,200,IF(BD250&gt;25000,150,IF(BD250&gt;15000,130,IF(BD250&gt;10000,110,0)))))</f>
        <v>200</v>
      </c>
      <c r="BH250">
        <f>BD250-BE250-BF250-BG250</f>
        <v>40450</v>
      </c>
      <c r="BI250">
        <f>_xlfn.XLOOKUP(B250,'[6]august-2025'!$A:$A,'[6]august-2025'!$C:$C,0,0)</f>
        <v>35500</v>
      </c>
      <c r="BJ250">
        <f>BI250*0.18</f>
        <v>6390</v>
      </c>
      <c r="BK250">
        <f>BI250*0.12</f>
        <v>4260</v>
      </c>
      <c r="BL250">
        <f>_xlfn.XLOOKUP(B250,'[6]august-2025'!$A:$A,'[6]august-2025'!$D:$D,0,0)</f>
        <v>0</v>
      </c>
      <c r="BM250">
        <f>_xlfn.XLOOKUP(B250,'[6]august-2025'!$A:$A,'[6]august-2025'!$G:$G,0,0)</f>
        <v>500</v>
      </c>
      <c r="BN250">
        <f>IF(BI250&gt;0,SUM(BI250:BM250),0)</f>
        <v>46650</v>
      </c>
      <c r="BO250">
        <f>_xlfn.XLOOKUP(B250,'[6]august-2025'!$A:$A,'[6]august-2025'!$H:$H,0,0)</f>
        <v>6000</v>
      </c>
      <c r="BP250">
        <f>_xlfn.XLOOKUP(B250,'[6]august-2025'!$A:$A,'[6]august-2025'!$I:$I,0,0)</f>
        <v>0</v>
      </c>
      <c r="BQ250">
        <f>IF($F250="YES",0,IF(BN250&gt;40000,200,IF(BN250&gt;25000,150,IF(BN250&gt;15000,130,IF(BN250&gt;10000,110,0)))))</f>
        <v>200</v>
      </c>
      <c r="BR250">
        <f>BN250-BO250-BP250-BQ250</f>
        <v>40450</v>
      </c>
      <c r="BS250">
        <f>_xlfn.XLOOKUP(B250,'[7]september-2025'!$A:$A,'[7]september-2025'!$C:$C,0,0)</f>
        <v>35500</v>
      </c>
      <c r="BT250">
        <f>BS250*0.18</f>
        <v>6390</v>
      </c>
      <c r="BU250">
        <f>BS250*0.12</f>
        <v>4260</v>
      </c>
      <c r="BV250">
        <f>_xlfn.XLOOKUP(B250,'[7]september-2025'!$A:$A,'[7]september-2025'!$D:$D,0,0)</f>
        <v>0</v>
      </c>
      <c r="BW250">
        <f>_xlfn.XLOOKUP(B250,'[7]september-2025'!$A:$A,'[7]september-2025'!$G:$G,0,0)</f>
        <v>500</v>
      </c>
      <c r="BX250">
        <f>IF(BS250&gt;0,SUM(BS250:BW250),0)</f>
        <v>46650</v>
      </c>
      <c r="BY250">
        <f>_xlfn.XLOOKUP(B250,'[7]september-2025'!$A:$A,'[7]september-2025'!$H:$H,0,0)</f>
        <v>6000</v>
      </c>
      <c r="BZ250">
        <f>_xlfn.XLOOKUP(B250,'[7]september-2025'!$A:$A,'[7]september-2025'!$I:$I,0,0)</f>
        <v>0</v>
      </c>
      <c r="CA250">
        <f>IF($F250="YES",0,IF(BX250&gt;40000,200,IF(BX250&gt;25000,150,IF(BX250&gt;15000,130,IF(BX250&gt;10000,110,0)))))</f>
        <v>200</v>
      </c>
      <c r="CB250">
        <f>BX250-BY250-BZ250-CA250</f>
        <v>40450</v>
      </c>
      <c r="CC250">
        <f>_xlfn.XLOOKUP(B250,'[8]october-2025'!$A:$A,'[8]october-2025'!$C:$C,0,0)</f>
        <v>35500</v>
      </c>
      <c r="CD250">
        <f>CC250*0.18</f>
        <v>6390</v>
      </c>
      <c r="CE250">
        <f>CC250*0.12</f>
        <v>4260</v>
      </c>
      <c r="CF250">
        <f>_xlfn.XLOOKUP(B250,'[8]october-2025'!$A:$A,'[8]october-2025'!$D:$D,0,0)</f>
        <v>0</v>
      </c>
      <c r="CG250">
        <f>_xlfn.XLOOKUP(B250,'[8]october-2025'!$A:$A,'[8]october-2025'!$G:$G,0,0)</f>
        <v>500</v>
      </c>
      <c r="CH250">
        <f>IF(CC250&gt;0,SUM(CC250:CG250),0)</f>
        <v>46650</v>
      </c>
      <c r="CI250">
        <f>_xlfn.XLOOKUP(B250,'[8]october-2025'!$A:$A,'[8]october-2025'!$H:$H,0,0)</f>
        <v>6000</v>
      </c>
      <c r="CJ250">
        <f>_xlfn.XLOOKUP(B250,'[8]october-2025'!$A:$A,'[8]october-2025'!$I:$I,0,0)</f>
        <v>0</v>
      </c>
      <c r="CK250">
        <f>IF($F250="YES",0,IF(CH250&gt;40000,200,IF(CH250&gt;25000,150,IF(CH250&gt;15000,130,IF(CH250&gt;10000,110,0)))))</f>
        <v>200</v>
      </c>
      <c r="CL250">
        <f>CH250-CI250-CJ250-CK250</f>
        <v>40450</v>
      </c>
      <c r="CM250">
        <f>_xlfn.XLOOKUP(B250,'[9]november-2025'!$A:$A,'[9]november-2025'!$C:$C,0,0)</f>
        <v>35500</v>
      </c>
      <c r="CN250">
        <f>CM250*0.18</f>
        <v>6390</v>
      </c>
      <c r="CO250">
        <f>CM250*0.12</f>
        <v>4260</v>
      </c>
      <c r="CP250">
        <f>_xlfn.XLOOKUP(B250,'[9]november-2025'!$A:$A,'[9]november-2025'!$D:$D,0,0)</f>
        <v>0</v>
      </c>
      <c r="CQ250">
        <f>_xlfn.XLOOKUP(B250,'[9]november-2025'!$A:$A,'[9]november-2025'!$G:$G,0,0)</f>
        <v>500</v>
      </c>
      <c r="CR250">
        <f>IF(CM250&gt;0,SUM(CM250:CQ250),0)</f>
        <v>46650</v>
      </c>
      <c r="CS250">
        <f>_xlfn.XLOOKUP(B250,'[9]november-2025'!$A:$A,'[9]november-2025'!$H:$H,0,0)</f>
        <v>6000</v>
      </c>
      <c r="CT250">
        <f>_xlfn.XLOOKUP(B250,'[9]november-2025'!$A:$A,'[9]november-2025'!$I:$I,0,0)</f>
        <v>0</v>
      </c>
      <c r="CU250">
        <f>IF($F250="YES",0,IF(CR250&gt;40000,200,IF(CR250&gt;25000,150,IF(CR250&gt;15000,130,IF(CR250&gt;10000,110,0)))))</f>
        <v>200</v>
      </c>
      <c r="CV250">
        <f>CR250-CS250-CT250-CU250</f>
        <v>40450</v>
      </c>
      <c r="CW250">
        <f>_xlfn.XLOOKUP(B250,'[10]december-2025'!$A:$A,'[10]december-2025'!$C:$C,0,0)</f>
        <v>35500</v>
      </c>
      <c r="CX250">
        <f>ROUND(CW250*0.18,0)</f>
        <v>6390</v>
      </c>
      <c r="CY250">
        <f>ROUND(CW250*0.12,0)</f>
        <v>4260</v>
      </c>
      <c r="CZ250">
        <f>_xlfn.XLOOKUP(B250,'[10]december-2025'!$A:$A,'[10]december-2025'!$D:$D,0,0)</f>
        <v>0</v>
      </c>
      <c r="DA250">
        <f>_xlfn.XLOOKUP(B250,'[10]december-2025'!$A:$A,'[10]december-2025'!$G:$G,0,0)</f>
        <v>500</v>
      </c>
      <c r="DB250">
        <f>IF(CW250&gt;0,SUM(CW250:DA250),0)</f>
        <v>46650</v>
      </c>
      <c r="DC250">
        <f>_xlfn.XLOOKUP(B250,'[10]december-2025'!$A:$A,'[10]december-2025'!$H:$H,0,0)</f>
        <v>6000</v>
      </c>
      <c r="DD250">
        <f>_xlfn.XLOOKUP(B250,'[10]december-2025'!$A:$A,'[10]december-2025'!$I:$I,0,0)</f>
        <v>0</v>
      </c>
      <c r="DE250">
        <f>IF($F250="YES",0,IF(DB250&gt;40000,200,IF(DB250&gt;25000,150,IF(DB250&gt;15000,130,IF(DB250&gt;10000,110,0)))))</f>
        <v>200</v>
      </c>
      <c r="DF250">
        <f>DB250-DC250-DD250-DE250</f>
        <v>40450</v>
      </c>
      <c r="DG250">
        <f>_xlfn.XLOOKUP(B250,'[11]january-2026'!$A:$A,'[11]january-2026'!$C:$C,0,0)</f>
        <v>35500</v>
      </c>
      <c r="DH250">
        <f>DG250*0.18</f>
        <v>6390</v>
      </c>
      <c r="DI250">
        <f>DG250*0.12</f>
        <v>4260</v>
      </c>
      <c r="DJ250">
        <f>_xlfn.XLOOKUP(B250,'[11]january-2026'!$A:$A,'[11]january-2026'!$D:$D,0,0)</f>
        <v>0</v>
      </c>
      <c r="DK250">
        <f>_xlfn.XLOOKUP(B250,'[11]january-2026'!$A:$A,'[11]january-2026'!$G:$G,0,0)</f>
        <v>500</v>
      </c>
      <c r="DL250">
        <f>IF(DG250&gt;0,SUM(DG250:DK250),0)</f>
        <v>46650</v>
      </c>
      <c r="DM250">
        <f>_xlfn.XLOOKUP(B250,'[11]january-2026'!$A:$A,'[11]january-2026'!$H:$H,0,0)</f>
        <v>6000</v>
      </c>
      <c r="DN250">
        <f>_xlfn.XLOOKUP(B250,'[11]january-2026'!$A:$A,'[11]january-2026'!$I:$I,0,0)</f>
        <v>0</v>
      </c>
      <c r="DO250">
        <f>IF($F250="YES",0,IF(DL250&gt;40000,200,IF(DL250&gt;25000,150,IF(DL250&gt;15000,130,IF(DL250&gt;10000,110,0)))))</f>
        <v>200</v>
      </c>
      <c r="DP250">
        <f>DL250-DM250-DN250-DO250</f>
        <v>40450</v>
      </c>
      <c r="DQ250">
        <f>_xlfn.XLOOKUP(B250,'[12]february-2026'!$A:$A,'[12]february-2026'!$C:$C,0,0)</f>
        <v>35500</v>
      </c>
      <c r="DR250">
        <f>DQ250*0.18</f>
        <v>6390</v>
      </c>
      <c r="DS250">
        <f>DQ250*0.12</f>
        <v>4260</v>
      </c>
      <c r="DT250">
        <f>_xlfn.XLOOKUP(B250,'[12]february-2026'!$A:$A,'[12]february-2026'!$D:$D,0,0)</f>
        <v>0</v>
      </c>
      <c r="DU250">
        <f>_xlfn.XLOOKUP(B250,'[12]february-2026'!$A:$A,'[12]february-2026'!$G:$G,0,0)</f>
        <v>500</v>
      </c>
      <c r="DV250">
        <f>IF(DQ250&gt;0,SUM(DQ250:DU250),0)</f>
        <v>46650</v>
      </c>
      <c r="DW250">
        <f>_xlfn.XLOOKUP(B250,'[12]february-2026'!$A:$A,'[12]february-2026'!$H:$H,0,0)</f>
        <v>6000</v>
      </c>
      <c r="DX250">
        <f>_xlfn.XLOOKUP(B250,'[12]february-2026'!$A:$A,'[12]february-2026'!$I:$I,0,0)</f>
        <v>0</v>
      </c>
      <c r="DY250">
        <f>IF($F250="YES",0,IF(DV250&gt;40000,200,IF(DV250&gt;25000,150,IF(DV250&gt;15000,130,IF(DV250&gt;10000,110,0)))))</f>
        <v>200</v>
      </c>
      <c r="DZ250">
        <f>DV250-DW250-DX250-DY250</f>
        <v>40450</v>
      </c>
      <c r="EA250">
        <f>DV250+DL250+DB250+CR250+CH250+BX250+BN250+BD250+AS250+AI250+Y250+O250+H250+I250</f>
        <v>560020</v>
      </c>
      <c r="EB250">
        <f>DY250+DO250+DE250+CU250+CK250+CA250+BQ250+BG250+AV250+AL250+AB250+R250</f>
        <v>2400</v>
      </c>
      <c r="EC250">
        <f>IF(EA250&gt;0,50000,0)</f>
        <v>50000</v>
      </c>
      <c r="ED250">
        <v>0</v>
      </c>
      <c r="EE250">
        <f>EA250-EB250-EC250</f>
        <v>507620</v>
      </c>
      <c r="EF250">
        <f>DW250+DM250+DC250+CS250+CI250+BY250+BO250+BE250+AT250+AJ250+Z250+P250</f>
        <v>72000</v>
      </c>
      <c r="EG250">
        <f>DX250+DN250+DD250+CT250+CJ250+BZ250+BP250+BF250+AU250+AK250+AA250+Q250</f>
        <v>0</v>
      </c>
      <c r="EH250">
        <v>0</v>
      </c>
      <c r="EI250">
        <v>0</v>
      </c>
      <c r="EJ250">
        <v>0</v>
      </c>
      <c r="EK250">
        <v>0</v>
      </c>
      <c r="EL250">
        <v>0</v>
      </c>
      <c r="EM250">
        <v>0</v>
      </c>
      <c r="EN250">
        <v>0</v>
      </c>
      <c r="EO250">
        <v>0</v>
      </c>
      <c r="EP250">
        <v>0</v>
      </c>
      <c r="EQ250">
        <v>0</v>
      </c>
      <c r="ER250">
        <f>SUM(EF250:EQ250)</f>
        <v>72000</v>
      </c>
      <c r="ES250">
        <f>IF(ER250&gt;=150000,150000,ER250)</f>
        <v>72000</v>
      </c>
      <c r="ET250">
        <f>EE250-ES250</f>
        <v>435620</v>
      </c>
      <c r="EU250">
        <v>0</v>
      </c>
      <c r="EV250">
        <v>0</v>
      </c>
      <c r="EW250">
        <v>0</v>
      </c>
      <c r="EX250">
        <v>0</v>
      </c>
      <c r="EY250">
        <v>0</v>
      </c>
      <c r="EZ250">
        <v>0</v>
      </c>
      <c r="FA250">
        <v>0</v>
      </c>
      <c r="FB250">
        <f>SUM(EU250:FA250)+(IF(F250="YES",50000,0))</f>
        <v>0</v>
      </c>
      <c r="FC250">
        <f>ET250-FB250</f>
        <v>435620</v>
      </c>
      <c r="FD250">
        <f>ROUND(IF(FC250&gt;0,IF(FC250&gt;500000,12500,(FC250-250000)*0.05),0),0)</f>
        <v>9281</v>
      </c>
      <c r="FE250">
        <f>IF(ROUND(IF(FC250&gt;0,IF(FC250&gt;1000000,25000,(FC250-500000)*0.2),0),0)&lt;0,0,ROUND(IF(FC250&gt;0,IF(FC250&gt;1000000,25000,(FC250-500000)*0.2),0),0))</f>
        <v>0</v>
      </c>
      <c r="FF250">
        <f>FD250+FE250</f>
        <v>9281</v>
      </c>
      <c r="FG250">
        <f>IF(FF250&lt;12500,0,FF250)</f>
        <v>0</v>
      </c>
      <c r="FH250">
        <f>FG250*0.04</f>
        <v>0</v>
      </c>
      <c r="FI250">
        <f>ROUND(FH250+FG250,0)</f>
        <v>0</v>
      </c>
      <c r="FJ250">
        <v>0</v>
      </c>
      <c r="FK250">
        <f>FI250-FJ250</f>
        <v>0</v>
      </c>
      <c r="FL250" t="b">
        <f>IF(EA250&gt;500000,TRUE,FALSE)</f>
        <v>1</v>
      </c>
      <c r="FM250">
        <f ca="1">IF(FL250,RANDBETWEEN(500,1000),RANDBETWEEN(1000,3000))</f>
        <v>592</v>
      </c>
      <c r="FN250">
        <f ca="1">EA250+FM250</f>
        <v>560612</v>
      </c>
      <c r="FO250">
        <f>IF(EA250&gt;0,75000,0)</f>
        <v>75000</v>
      </c>
      <c r="FP250">
        <f ca="1">FN250-FO250</f>
        <v>485612</v>
      </c>
      <c r="FQ250">
        <f ca="1">IF(FP250&gt;2400000,FP250-2400000,0)</f>
        <v>0</v>
      </c>
      <c r="FR250">
        <f ca="1">FQ250*0.3</f>
        <v>0</v>
      </c>
      <c r="FS250">
        <f ca="1">IF(FP250&gt;2000000,FP250-2000000,0)</f>
        <v>0</v>
      </c>
      <c r="FT250">
        <f ca="1">FS250*0.25</f>
        <v>0</v>
      </c>
      <c r="FU250">
        <f ca="1">IF(FP250&gt;1600000,FP250-1600000-FQ250,0)</f>
        <v>0</v>
      </c>
      <c r="FV250">
        <f ca="1">FU250*0.2</f>
        <v>0</v>
      </c>
      <c r="FW250">
        <f ca="1">IF(FP250&gt;1200000,FP250-1200000-IF(F250="YES",50000,0)-FU250,0)</f>
        <v>0</v>
      </c>
      <c r="FX250">
        <f ca="1">FW250*0.15</f>
        <v>0</v>
      </c>
      <c r="FY250">
        <f ca="1">IF(FP250&gt;800000,FP250-800000-FQ250-FU250-FW250,0)</f>
        <v>0</v>
      </c>
      <c r="FZ250">
        <f ca="1">FY250*0.1</f>
        <v>0</v>
      </c>
      <c r="GA250">
        <f ca="1">IF(FP250&gt;400000,FP250-400000-FQ250-FU250-FW250-FY250,0)</f>
        <v>85612</v>
      </c>
      <c r="GB250">
        <f ca="1">GA250*0.05</f>
        <v>4280.6000000000004</v>
      </c>
      <c r="GC250">
        <f ca="1">ROUND(FR250+FT250+FV250+FX250+FZ250+GB250,0)</f>
        <v>4281</v>
      </c>
      <c r="GD250">
        <f ca="1">IF(FP250&gt;1200000,FP250,0)</f>
        <v>0</v>
      </c>
      <c r="GE250">
        <f ca="1">IF(FP250&gt;1200000,GD250-1200000,0)</f>
        <v>0</v>
      </c>
      <c r="GF250">
        <f ca="1">IF(FP250&lt;1200001,MIN(GC250,60000),0)</f>
        <v>4281</v>
      </c>
      <c r="GG250">
        <f ca="1">IF(FP250&gt;1200000,GC250-GE250,0)</f>
        <v>0</v>
      </c>
      <c r="GH250" t="b">
        <f ca="1">IF(GG250&gt;0,TRUE,FALSE)</f>
        <v>0</v>
      </c>
      <c r="GI250">
        <f ca="1">IF(GH250,GG250,0)</f>
        <v>0</v>
      </c>
      <c r="GJ250">
        <f ca="1">GF250+GI250</f>
        <v>4281</v>
      </c>
      <c r="GK250">
        <f ca="1">ROUND(GC250-GJ250,0)</f>
        <v>0</v>
      </c>
      <c r="GL250">
        <f ca="1">GK250*0.04</f>
        <v>0</v>
      </c>
      <c r="GM250">
        <f ca="1">ROUNDUP(GK250+GL250,0)</f>
        <v>0</v>
      </c>
    </row>
    <row r="251" spans="1:195" x14ac:dyDescent="0.25">
      <c r="A251">
        <f>_xlfn.AGGREGATE(3,5,$B$2:B251)</f>
        <v>250</v>
      </c>
      <c r="B251" t="s">
        <v>611</v>
      </c>
      <c r="C251" t="s">
        <v>612</v>
      </c>
      <c r="D251" t="s">
        <v>816</v>
      </c>
      <c r="E251" t="s">
        <v>833</v>
      </c>
      <c r="F251" t="s">
        <v>959</v>
      </c>
      <c r="G251" t="s">
        <v>931</v>
      </c>
      <c r="H251">
        <f>IF(_xlfn.DAYS("31-03-2025",G251)&gt;=180,6800,0)</f>
        <v>6800</v>
      </c>
      <c r="I251">
        <f>_xlfn.XLOOKUP(B251,'[1]march-2025'!$A:$A,'[1]march-2025'!$J:$J,0,0)</f>
        <v>0</v>
      </c>
      <c r="J251">
        <f>_xlfn.XLOOKUP(B251,'[1]march-2025'!$A:$A,'[1]march-2025'!$C:$C,0,0)</f>
        <v>34500</v>
      </c>
      <c r="K251">
        <f>J251*0.14</f>
        <v>4830.0000000000009</v>
      </c>
      <c r="L251">
        <f>J251*0.12</f>
        <v>4140</v>
      </c>
      <c r="M251">
        <f>_xlfn.XLOOKUP(B251,'[1]march-2025'!$A:$A,'[1]march-2025'!$D:$D,0,0)</f>
        <v>0</v>
      </c>
      <c r="N251">
        <f>_xlfn.XLOOKUP(B251,'[1]march-2025'!$A:$A,'[1]march-2025'!$G:$G,0,0)</f>
        <v>500</v>
      </c>
      <c r="O251">
        <f>IF(J251&gt;0,SUM(J251:N251),0)</f>
        <v>43970</v>
      </c>
      <c r="P251">
        <f>_xlfn.XLOOKUP(B251,'[1]march-2025'!$A:$A,'[1]march-2025'!$H:$H,0,0)</f>
        <v>3000</v>
      </c>
      <c r="Q251">
        <f>_xlfn.XLOOKUP(B251,'[1]march-2025'!$A:$A,'[1]march-2025'!$I:$I,0,0)</f>
        <v>0</v>
      </c>
      <c r="R251">
        <f>IF($F251="YES",0,IF(O251&gt;40000,200,IF(O251&gt;25000,150,IF(O251&gt;15000,130,IF(O251&gt;10000,110,0)))))</f>
        <v>200</v>
      </c>
      <c r="S251">
        <f>O251-P251-Q251-R251</f>
        <v>40770</v>
      </c>
      <c r="T251">
        <f>_xlfn.XLOOKUP(B251,'[2]april-2025'!$A:$A,'[2]april-2025'!$C:$C,0,0)</f>
        <v>34500</v>
      </c>
      <c r="U251">
        <f>T251*0.18</f>
        <v>6210</v>
      </c>
      <c r="V251">
        <f>T251*0.12</f>
        <v>4140</v>
      </c>
      <c r="W251">
        <f>_xlfn.XLOOKUP(B251,'[2]april-2025'!$A:$A,'[2]april-2025'!$D:$D,0,0)</f>
        <v>0</v>
      </c>
      <c r="X251">
        <f>_xlfn.XLOOKUP(B251,'[2]april-2025'!$A:$A,'[2]april-2025'!$G:$G,0,0)</f>
        <v>500</v>
      </c>
      <c r="Y251">
        <f>IF(T251&gt;0,SUM(T251:X251),0)</f>
        <v>45350</v>
      </c>
      <c r="Z251">
        <f>_xlfn.XLOOKUP(B251,'[2]april-2025'!$A:$A,'[2]april-2025'!$H:$H,0,0)</f>
        <v>3000</v>
      </c>
      <c r="AA251">
        <f>_xlfn.XLOOKUP(B251,'[2]april-2025'!$A:$A,'[2]april-2025'!$I:$I,0,0)</f>
        <v>0</v>
      </c>
      <c r="AB251">
        <f>IF($F251="YES",0,IF(Y251&gt;40000,200,IF(Y251&gt;25000,150,IF(Y251&gt;15000,130,IF(Y251&gt;10000,110,0)))))</f>
        <v>200</v>
      </c>
      <c r="AC251">
        <f>Y251-Z251-AA251-AB251</f>
        <v>42150</v>
      </c>
      <c r="AD251">
        <f>_xlfn.XLOOKUP(B251,'[3]may-2025'!$A:$A,'[3]may-2025'!$C:$C,0,0)</f>
        <v>34500</v>
      </c>
      <c r="AE251">
        <f>AD251*0.18</f>
        <v>6210</v>
      </c>
      <c r="AF251">
        <f>AD251*0.12</f>
        <v>4140</v>
      </c>
      <c r="AG251">
        <f>_xlfn.XLOOKUP(B251,'[3]may-2025'!$A:$A,'[3]may-2025'!$D:$D,0,0)</f>
        <v>0</v>
      </c>
      <c r="AH251">
        <f>_xlfn.XLOOKUP(B251,'[3]may-2025'!$A:$A,'[3]may-2025'!$G:$G,0,0)</f>
        <v>500</v>
      </c>
      <c r="AI251">
        <f>IF(AD251&gt;0,SUM(AD251:AH251),0)</f>
        <v>45350</v>
      </c>
      <c r="AJ251">
        <f>_xlfn.XLOOKUP(B251,'[3]may-2025'!$A:$A,'[3]may-2025'!$H:$H,0,0)</f>
        <v>3000</v>
      </c>
      <c r="AK251">
        <f>_xlfn.XLOOKUP(B251,'[3]may-2025'!$A:$A,'[3]may-2025'!$I:$I,0,0)</f>
        <v>0</v>
      </c>
      <c r="AL251">
        <f>IF($F251="YES",0,IF(AI251&gt;40000,200,IF(AI251&gt;25000,150,IF(AI251&gt;15000,130,IF(AI251&gt;10000,110,0)))))</f>
        <v>200</v>
      </c>
      <c r="AM251">
        <f>AI251-AJ251-AK251-AL251</f>
        <v>42150</v>
      </c>
      <c r="AN251">
        <f>_xlfn.XLOOKUP(B251,'[4]june-2025'!$A:$A,'[4]june-2025'!$C:$C,0,0)</f>
        <v>34500</v>
      </c>
      <c r="AO251">
        <f>AN251*0.18</f>
        <v>6210</v>
      </c>
      <c r="AP251">
        <f>AN251*0.12</f>
        <v>4140</v>
      </c>
      <c r="AQ251">
        <f>_xlfn.XLOOKUP(B251,'[4]june-2025'!$A:$A,'[4]june-2025'!$D:$D,0,0)</f>
        <v>0</v>
      </c>
      <c r="AR251">
        <f>_xlfn.XLOOKUP(B251,'[4]june-2025'!$A:$A,'[4]june-2025'!$G:$G,0,0)</f>
        <v>500</v>
      </c>
      <c r="AS251">
        <f>IF(AN251&gt;0,SUM(AN251:AR251),0)</f>
        <v>45350</v>
      </c>
      <c r="AT251">
        <f>_xlfn.XLOOKUP(B251,'[4]june-2025'!$A:$A,'[4]june-2025'!$H:$H,0,0)</f>
        <v>3000</v>
      </c>
      <c r="AU251">
        <f>_xlfn.XLOOKUP(B251,'[4]june-2025'!$A:$A,'[4]june-2025'!$I:$I,0,0)</f>
        <v>0</v>
      </c>
      <c r="AV251">
        <f>IF($F251="YES",0,IF(AS251&gt;40000,200,IF(AS251&gt;25000,150,IF(AS251&gt;15000,130,IF(AS251&gt;10000,110,0)))))</f>
        <v>200</v>
      </c>
      <c r="AW251">
        <f>AS251-AT251-AU251-AV251</f>
        <v>42150</v>
      </c>
      <c r="AX251">
        <f>_xlfn.XLOOKUP(B251,'[5]july-2025'!$A:$A,'[5]july-2025'!$C:$C,0,0)</f>
        <v>35500</v>
      </c>
      <c r="AY251">
        <f>AX251*0.18</f>
        <v>6390</v>
      </c>
      <c r="AZ251">
        <v>0</v>
      </c>
      <c r="BA251">
        <f>AX251*0.12</f>
        <v>4260</v>
      </c>
      <c r="BB251">
        <f>_xlfn.XLOOKUP(B251,'[5]july-2025'!$A:$A,'[5]july-2025'!$D:$D,0,0)</f>
        <v>0</v>
      </c>
      <c r="BC251">
        <f>_xlfn.XLOOKUP(B251,'[5]july-2025'!$A:$A,'[5]july-2025'!$G:$G,0,0)</f>
        <v>500</v>
      </c>
      <c r="BD251">
        <f>IF(AX251&gt;0,SUM(AX251:BC251),0)</f>
        <v>46650</v>
      </c>
      <c r="BE251">
        <f>_xlfn.XLOOKUP(B251,'[5]july-2025'!$A:$A,'[5]july-2025'!$H:$H,0,0)</f>
        <v>3000</v>
      </c>
      <c r="BF251">
        <f>_xlfn.XLOOKUP(B251,'[5]july-2025'!$A:$A,'[5]july-2025'!$I:$I,0,0)</f>
        <v>0</v>
      </c>
      <c r="BG251">
        <f>IF($F251="YES",0,IF(BD251&gt;40000,200,IF(BD251&gt;25000,150,IF(BD251&gt;15000,130,IF(BD251&gt;10000,110,0)))))</f>
        <v>200</v>
      </c>
      <c r="BH251">
        <f>BD251-BE251-BF251-BG251</f>
        <v>43450</v>
      </c>
      <c r="BI251">
        <f>_xlfn.XLOOKUP(B251,'[6]august-2025'!$A:$A,'[6]august-2025'!$C:$C,0,0)</f>
        <v>35500</v>
      </c>
      <c r="BJ251">
        <f>BI251*0.18</f>
        <v>6390</v>
      </c>
      <c r="BK251">
        <f>BI251*0.12</f>
        <v>4260</v>
      </c>
      <c r="BL251">
        <f>_xlfn.XLOOKUP(B251,'[6]august-2025'!$A:$A,'[6]august-2025'!$D:$D,0,0)</f>
        <v>0</v>
      </c>
      <c r="BM251">
        <f>_xlfn.XLOOKUP(B251,'[6]august-2025'!$A:$A,'[6]august-2025'!$G:$G,0,0)</f>
        <v>500</v>
      </c>
      <c r="BN251">
        <f>IF(BI251&gt;0,SUM(BI251:BM251),0)</f>
        <v>46650</v>
      </c>
      <c r="BO251">
        <f>_xlfn.XLOOKUP(B251,'[6]august-2025'!$A:$A,'[6]august-2025'!$H:$H,0,0)</f>
        <v>3000</v>
      </c>
      <c r="BP251">
        <f>_xlfn.XLOOKUP(B251,'[6]august-2025'!$A:$A,'[6]august-2025'!$I:$I,0,0)</f>
        <v>0</v>
      </c>
      <c r="BQ251">
        <f>IF($F251="YES",0,IF(BN251&gt;40000,200,IF(BN251&gt;25000,150,IF(BN251&gt;15000,130,IF(BN251&gt;10000,110,0)))))</f>
        <v>200</v>
      </c>
      <c r="BR251">
        <f>BN251-BO251-BP251-BQ251</f>
        <v>43450</v>
      </c>
      <c r="BS251">
        <f>_xlfn.XLOOKUP(B251,'[7]september-2025'!$A:$A,'[7]september-2025'!$C:$C,0,0)</f>
        <v>35500</v>
      </c>
      <c r="BT251">
        <f>BS251*0.18</f>
        <v>6390</v>
      </c>
      <c r="BU251">
        <f>BS251*0.12</f>
        <v>4260</v>
      </c>
      <c r="BV251">
        <f>_xlfn.XLOOKUP(B251,'[7]september-2025'!$A:$A,'[7]september-2025'!$D:$D,0,0)</f>
        <v>0</v>
      </c>
      <c r="BW251">
        <f>_xlfn.XLOOKUP(B251,'[7]september-2025'!$A:$A,'[7]september-2025'!$G:$G,0,0)</f>
        <v>500</v>
      </c>
      <c r="BX251">
        <f>IF(BS251&gt;0,SUM(BS251:BW251),0)</f>
        <v>46650</v>
      </c>
      <c r="BY251">
        <f>_xlfn.XLOOKUP(B251,'[7]september-2025'!$A:$A,'[7]september-2025'!$H:$H,0,0)</f>
        <v>3000</v>
      </c>
      <c r="BZ251">
        <f>_xlfn.XLOOKUP(B251,'[7]september-2025'!$A:$A,'[7]september-2025'!$I:$I,0,0)</f>
        <v>0</v>
      </c>
      <c r="CA251">
        <f>IF($F251="YES",0,IF(BX251&gt;40000,200,IF(BX251&gt;25000,150,IF(BX251&gt;15000,130,IF(BX251&gt;10000,110,0)))))</f>
        <v>200</v>
      </c>
      <c r="CB251">
        <f>BX251-BY251-BZ251-CA251</f>
        <v>43450</v>
      </c>
      <c r="CC251">
        <f>_xlfn.XLOOKUP(B251,'[8]october-2025'!$A:$A,'[8]october-2025'!$C:$C,0,0)</f>
        <v>35500</v>
      </c>
      <c r="CD251">
        <f>CC251*0.18</f>
        <v>6390</v>
      </c>
      <c r="CE251">
        <f>CC251*0.12</f>
        <v>4260</v>
      </c>
      <c r="CF251">
        <f>_xlfn.XLOOKUP(B251,'[8]october-2025'!$A:$A,'[8]october-2025'!$D:$D,0,0)</f>
        <v>0</v>
      </c>
      <c r="CG251">
        <f>_xlfn.XLOOKUP(B251,'[8]october-2025'!$A:$A,'[8]october-2025'!$G:$G,0,0)</f>
        <v>500</v>
      </c>
      <c r="CH251">
        <f>IF(CC251&gt;0,SUM(CC251:CG251),0)</f>
        <v>46650</v>
      </c>
      <c r="CI251">
        <f>_xlfn.XLOOKUP(B251,'[8]october-2025'!$A:$A,'[8]october-2025'!$H:$H,0,0)</f>
        <v>3000</v>
      </c>
      <c r="CJ251">
        <f>_xlfn.XLOOKUP(B251,'[8]october-2025'!$A:$A,'[8]october-2025'!$I:$I,0,0)</f>
        <v>0</v>
      </c>
      <c r="CK251">
        <f>IF($F251="YES",0,IF(CH251&gt;40000,200,IF(CH251&gt;25000,150,IF(CH251&gt;15000,130,IF(CH251&gt;10000,110,0)))))</f>
        <v>200</v>
      </c>
      <c r="CL251">
        <f>CH251-CI251-CJ251-CK251</f>
        <v>43450</v>
      </c>
      <c r="CM251">
        <f>_xlfn.XLOOKUP(B251,'[9]november-2025'!$A:$A,'[9]november-2025'!$C:$C,0,0)</f>
        <v>35500</v>
      </c>
      <c r="CN251">
        <f>CM251*0.18</f>
        <v>6390</v>
      </c>
      <c r="CO251">
        <f>CM251*0.12</f>
        <v>4260</v>
      </c>
      <c r="CP251">
        <f>_xlfn.XLOOKUP(B251,'[9]november-2025'!$A:$A,'[9]november-2025'!$D:$D,0,0)</f>
        <v>0</v>
      </c>
      <c r="CQ251">
        <f>_xlfn.XLOOKUP(B251,'[9]november-2025'!$A:$A,'[9]november-2025'!$G:$G,0,0)</f>
        <v>500</v>
      </c>
      <c r="CR251">
        <f>IF(CM251&gt;0,SUM(CM251:CQ251),0)</f>
        <v>46650</v>
      </c>
      <c r="CS251">
        <f>_xlfn.XLOOKUP(B251,'[9]november-2025'!$A:$A,'[9]november-2025'!$H:$H,0,0)</f>
        <v>3000</v>
      </c>
      <c r="CT251">
        <f>_xlfn.XLOOKUP(B251,'[9]november-2025'!$A:$A,'[9]november-2025'!$I:$I,0,0)</f>
        <v>0</v>
      </c>
      <c r="CU251">
        <f>IF($F251="YES",0,IF(CR251&gt;40000,200,IF(CR251&gt;25000,150,IF(CR251&gt;15000,130,IF(CR251&gt;10000,110,0)))))</f>
        <v>200</v>
      </c>
      <c r="CV251">
        <f>CR251-CS251-CT251-CU251</f>
        <v>43450</v>
      </c>
      <c r="CW251">
        <f>_xlfn.XLOOKUP(B251,'[10]december-2025'!$A:$A,'[10]december-2025'!$C:$C,0,0)</f>
        <v>35500</v>
      </c>
      <c r="CX251">
        <f>ROUND(CW251*0.18,0)</f>
        <v>6390</v>
      </c>
      <c r="CY251">
        <f>ROUND(CW251*0.12,0)</f>
        <v>4260</v>
      </c>
      <c r="CZ251">
        <f>_xlfn.XLOOKUP(B251,'[10]december-2025'!$A:$A,'[10]december-2025'!$D:$D,0,0)</f>
        <v>0</v>
      </c>
      <c r="DA251">
        <f>_xlfn.XLOOKUP(B251,'[10]december-2025'!$A:$A,'[10]december-2025'!$G:$G,0,0)</f>
        <v>500</v>
      </c>
      <c r="DB251">
        <f>IF(CW251&gt;0,SUM(CW251:DA251),0)</f>
        <v>46650</v>
      </c>
      <c r="DC251">
        <f>_xlfn.XLOOKUP(B251,'[10]december-2025'!$A:$A,'[10]december-2025'!$H:$H,0,0)</f>
        <v>3000</v>
      </c>
      <c r="DD251">
        <f>_xlfn.XLOOKUP(B251,'[10]december-2025'!$A:$A,'[10]december-2025'!$I:$I,0,0)</f>
        <v>0</v>
      </c>
      <c r="DE251">
        <f>IF($F251="YES",0,IF(DB251&gt;40000,200,IF(DB251&gt;25000,150,IF(DB251&gt;15000,130,IF(DB251&gt;10000,110,0)))))</f>
        <v>200</v>
      </c>
      <c r="DF251">
        <f>DB251-DC251-DD251-DE251</f>
        <v>43450</v>
      </c>
      <c r="DG251">
        <f>_xlfn.XLOOKUP(B251,'[11]january-2026'!$A:$A,'[11]january-2026'!$C:$C,0,0)</f>
        <v>35500</v>
      </c>
      <c r="DH251">
        <f>DG251*0.18</f>
        <v>6390</v>
      </c>
      <c r="DI251">
        <f>DG251*0.12</f>
        <v>4260</v>
      </c>
      <c r="DJ251">
        <f>_xlfn.XLOOKUP(B251,'[11]january-2026'!$A:$A,'[11]january-2026'!$D:$D,0,0)</f>
        <v>0</v>
      </c>
      <c r="DK251">
        <f>_xlfn.XLOOKUP(B251,'[11]january-2026'!$A:$A,'[11]january-2026'!$G:$G,0,0)</f>
        <v>500</v>
      </c>
      <c r="DL251">
        <f>IF(DG251&gt;0,SUM(DG251:DK251),0)</f>
        <v>46650</v>
      </c>
      <c r="DM251">
        <f>_xlfn.XLOOKUP(B251,'[11]january-2026'!$A:$A,'[11]january-2026'!$H:$H,0,0)</f>
        <v>3000</v>
      </c>
      <c r="DN251">
        <f>_xlfn.XLOOKUP(B251,'[11]january-2026'!$A:$A,'[11]january-2026'!$I:$I,0,0)</f>
        <v>0</v>
      </c>
      <c r="DO251">
        <f>IF($F251="YES",0,IF(DL251&gt;40000,200,IF(DL251&gt;25000,150,IF(DL251&gt;15000,130,IF(DL251&gt;10000,110,0)))))</f>
        <v>200</v>
      </c>
      <c r="DP251">
        <f>DL251-DM251-DN251-DO251</f>
        <v>43450</v>
      </c>
      <c r="DQ251">
        <f>_xlfn.XLOOKUP(B251,'[12]february-2026'!$A:$A,'[12]february-2026'!$C:$C,0,0)</f>
        <v>35500</v>
      </c>
      <c r="DR251">
        <f>DQ251*0.18</f>
        <v>6390</v>
      </c>
      <c r="DS251">
        <f>DQ251*0.12</f>
        <v>4260</v>
      </c>
      <c r="DT251">
        <f>_xlfn.XLOOKUP(B251,'[12]february-2026'!$A:$A,'[12]february-2026'!$D:$D,0,0)</f>
        <v>0</v>
      </c>
      <c r="DU251">
        <f>_xlfn.XLOOKUP(B251,'[12]february-2026'!$A:$A,'[12]february-2026'!$G:$G,0,0)</f>
        <v>500</v>
      </c>
      <c r="DV251">
        <f>IF(DQ251&gt;0,SUM(DQ251:DU251),0)</f>
        <v>46650</v>
      </c>
      <c r="DW251">
        <f>_xlfn.XLOOKUP(B251,'[12]february-2026'!$A:$A,'[12]february-2026'!$H:$H,0,0)</f>
        <v>3000</v>
      </c>
      <c r="DX251">
        <f>_xlfn.XLOOKUP(B251,'[12]february-2026'!$A:$A,'[12]february-2026'!$I:$I,0,0)</f>
        <v>0</v>
      </c>
      <c r="DY251">
        <f>IF($F251="YES",0,IF(DV251&gt;40000,200,IF(DV251&gt;25000,150,IF(DV251&gt;15000,130,IF(DV251&gt;10000,110,0)))))</f>
        <v>200</v>
      </c>
      <c r="DZ251">
        <f>DV251-DW251-DX251-DY251</f>
        <v>43450</v>
      </c>
      <c r="EA251">
        <f>DV251+DL251+DB251+CR251+CH251+BX251+BN251+BD251+AS251+AI251+Y251+O251+H251+I251</f>
        <v>560020</v>
      </c>
      <c r="EB251">
        <f>DY251+DO251+DE251+CU251+CK251+CA251+BQ251+BG251+AV251+AL251+AB251+R251</f>
        <v>2400</v>
      </c>
      <c r="EC251">
        <f>IF(EA251&gt;0,50000,0)</f>
        <v>50000</v>
      </c>
      <c r="ED251">
        <v>0</v>
      </c>
      <c r="EE251">
        <f>EA251-EB251-EC251</f>
        <v>507620</v>
      </c>
      <c r="EF251">
        <f>DW251+DM251+DC251+CS251+CI251+BY251+BO251+BE251+AT251+AJ251+Z251+P251</f>
        <v>36000</v>
      </c>
      <c r="EG251">
        <f>DX251+DN251+DD251+CT251+CJ251+BZ251+BP251+BF251+AU251+AK251+AA251+Q251</f>
        <v>0</v>
      </c>
      <c r="EH251">
        <v>0</v>
      </c>
      <c r="EI251">
        <v>0</v>
      </c>
      <c r="EJ251">
        <v>0</v>
      </c>
      <c r="EK251">
        <v>0</v>
      </c>
      <c r="EL251">
        <v>0</v>
      </c>
      <c r="EM251">
        <v>0</v>
      </c>
      <c r="EN251">
        <v>0</v>
      </c>
      <c r="EO251">
        <v>0</v>
      </c>
      <c r="EP251">
        <v>0</v>
      </c>
      <c r="EQ251">
        <v>0</v>
      </c>
      <c r="ER251">
        <f>SUM(EF251:EQ251)</f>
        <v>36000</v>
      </c>
      <c r="ES251">
        <f>IF(ER251&gt;=150000,150000,ER251)</f>
        <v>36000</v>
      </c>
      <c r="ET251">
        <f>EE251-ES251</f>
        <v>471620</v>
      </c>
      <c r="EU251">
        <v>0</v>
      </c>
      <c r="EV251">
        <v>0</v>
      </c>
      <c r="EW251">
        <v>0</v>
      </c>
      <c r="EX251">
        <v>0</v>
      </c>
      <c r="EY251">
        <v>0</v>
      </c>
      <c r="EZ251">
        <v>0</v>
      </c>
      <c r="FA251">
        <v>0</v>
      </c>
      <c r="FB251">
        <f>SUM(EU251:FA251)+(IF(F251="YES",50000,0))</f>
        <v>0</v>
      </c>
      <c r="FC251">
        <f>ET251-FB251</f>
        <v>471620</v>
      </c>
      <c r="FD251">
        <f>ROUND(IF(FC251&gt;0,IF(FC251&gt;500000,12500,(FC251-250000)*0.05),0),0)</f>
        <v>11081</v>
      </c>
      <c r="FE251">
        <f>IF(ROUND(IF(FC251&gt;0,IF(FC251&gt;1000000,25000,(FC251-500000)*0.2),0),0)&lt;0,0,ROUND(IF(FC251&gt;0,IF(FC251&gt;1000000,25000,(FC251-500000)*0.2),0),0))</f>
        <v>0</v>
      </c>
      <c r="FF251">
        <f>FD251+FE251</f>
        <v>11081</v>
      </c>
      <c r="FG251">
        <f>IF(FF251&lt;12500,0,FF251)</f>
        <v>0</v>
      </c>
      <c r="FH251">
        <f>FG251*0.04</f>
        <v>0</v>
      </c>
      <c r="FI251">
        <f>ROUND(FH251+FG251,0)</f>
        <v>0</v>
      </c>
      <c r="FJ251">
        <v>0</v>
      </c>
      <c r="FK251">
        <f>FI251-FJ251</f>
        <v>0</v>
      </c>
      <c r="FL251" t="b">
        <f>IF(EA251&gt;500000,TRUE,FALSE)</f>
        <v>1</v>
      </c>
      <c r="FM251">
        <f ca="1">IF(FL251,RANDBETWEEN(500,1000),RANDBETWEEN(1000,3000))</f>
        <v>906</v>
      </c>
      <c r="FN251">
        <f ca="1">EA251+FM251</f>
        <v>560926</v>
      </c>
      <c r="FO251">
        <f>IF(EA251&gt;0,75000,0)</f>
        <v>75000</v>
      </c>
      <c r="FP251">
        <f ca="1">FN251-FO251</f>
        <v>485926</v>
      </c>
      <c r="FQ251">
        <f ca="1">IF(FP251&gt;2400000,FP251-2400000,0)</f>
        <v>0</v>
      </c>
      <c r="FR251">
        <f ca="1">FQ251*0.3</f>
        <v>0</v>
      </c>
      <c r="FS251">
        <f ca="1">IF(FP251&gt;2000000,FP251-2000000,0)</f>
        <v>0</v>
      </c>
      <c r="FT251">
        <f ca="1">FS251*0.25</f>
        <v>0</v>
      </c>
      <c r="FU251">
        <f ca="1">IF(FP251&gt;1600000,FP251-1600000-FQ251,0)</f>
        <v>0</v>
      </c>
      <c r="FV251">
        <f ca="1">FU251*0.2</f>
        <v>0</v>
      </c>
      <c r="FW251">
        <f ca="1">IF(FP251&gt;1200000,FP251-1200000-IF(F251="YES",50000,0)-FU251,0)</f>
        <v>0</v>
      </c>
      <c r="FX251">
        <f ca="1">FW251*0.15</f>
        <v>0</v>
      </c>
      <c r="FY251">
        <f ca="1">IF(FP251&gt;800000,FP251-800000-FQ251-FU251-FW251,0)</f>
        <v>0</v>
      </c>
      <c r="FZ251">
        <f ca="1">FY251*0.1</f>
        <v>0</v>
      </c>
      <c r="GA251">
        <f ca="1">IF(FP251&gt;400000,FP251-400000-FQ251-FU251-FW251-FY251,0)</f>
        <v>85926</v>
      </c>
      <c r="GB251">
        <f ca="1">GA251*0.05</f>
        <v>4296.3</v>
      </c>
      <c r="GC251">
        <f ca="1">ROUND(FR251+FT251+FV251+FX251+FZ251+GB251,0)</f>
        <v>4296</v>
      </c>
      <c r="GD251">
        <f ca="1">IF(FP251&gt;1200000,FP251,0)</f>
        <v>0</v>
      </c>
      <c r="GE251">
        <f ca="1">IF(FP251&gt;1200000,GD251-1200000,0)</f>
        <v>0</v>
      </c>
      <c r="GF251">
        <f ca="1">IF(FP251&lt;1200001,MIN(GC251,60000),0)</f>
        <v>4296</v>
      </c>
      <c r="GG251">
        <f ca="1">IF(FP251&gt;1200000,GC251-GE251,0)</f>
        <v>0</v>
      </c>
      <c r="GH251" t="b">
        <f ca="1">IF(GG251&gt;0,TRUE,FALSE)</f>
        <v>0</v>
      </c>
      <c r="GI251">
        <f ca="1">IF(GH251,GG251,0)</f>
        <v>0</v>
      </c>
      <c r="GJ251">
        <f ca="1">GF251+GI251</f>
        <v>4296</v>
      </c>
      <c r="GK251">
        <f ca="1">ROUND(GC251-GJ251,0)</f>
        <v>0</v>
      </c>
      <c r="GL251">
        <f ca="1">GK251*0.04</f>
        <v>0</v>
      </c>
      <c r="GM251">
        <f ca="1">ROUNDUP(GK251+GL251,0)</f>
        <v>0</v>
      </c>
    </row>
    <row r="252" spans="1:195" x14ac:dyDescent="0.25">
      <c r="A252">
        <f>_xlfn.AGGREGATE(3,5,$B$2:B252)</f>
        <v>251</v>
      </c>
      <c r="B252" t="s">
        <v>613</v>
      </c>
      <c r="C252" t="s">
        <v>614</v>
      </c>
      <c r="D252" t="s">
        <v>816</v>
      </c>
      <c r="E252" t="s">
        <v>833</v>
      </c>
      <c r="F252" t="s">
        <v>959</v>
      </c>
      <c r="G252" t="s">
        <v>906</v>
      </c>
      <c r="H252">
        <f>IF(_xlfn.DAYS("31-03-2025",G252)&gt;=180,6800,0)</f>
        <v>6800</v>
      </c>
      <c r="I252">
        <f>_xlfn.XLOOKUP(B252,'[1]march-2025'!$A:$A,'[1]march-2025'!$J:$J,0,0)</f>
        <v>0</v>
      </c>
      <c r="J252">
        <f>_xlfn.XLOOKUP(B252,'[1]march-2025'!$A:$A,'[1]march-2025'!$C:$C,0,0)</f>
        <v>28900</v>
      </c>
      <c r="K252">
        <f>J252*0.14</f>
        <v>4046.0000000000005</v>
      </c>
      <c r="L252">
        <f>J252*0.12</f>
        <v>3468</v>
      </c>
      <c r="M252">
        <f>_xlfn.XLOOKUP(B252,'[1]march-2025'!$A:$A,'[1]march-2025'!$D:$D,0,0)</f>
        <v>0</v>
      </c>
      <c r="N252">
        <f>_xlfn.XLOOKUP(B252,'[1]march-2025'!$A:$A,'[1]march-2025'!$G:$G,0,0)</f>
        <v>500</v>
      </c>
      <c r="O252">
        <f>IF(J252&gt;0,SUM(J252:N252),0)</f>
        <v>36914</v>
      </c>
      <c r="P252">
        <f>_xlfn.XLOOKUP(B252,'[1]march-2025'!$A:$A,'[1]march-2025'!$H:$H,0,0)</f>
        <v>2000</v>
      </c>
      <c r="Q252">
        <f>_xlfn.XLOOKUP(B252,'[1]march-2025'!$A:$A,'[1]march-2025'!$I:$I,0,0)</f>
        <v>0</v>
      </c>
      <c r="R252">
        <f>IF($F252="YES",0,IF(O252&gt;40000,200,IF(O252&gt;25000,150,IF(O252&gt;15000,130,IF(O252&gt;10000,110,0)))))</f>
        <v>150</v>
      </c>
      <c r="S252">
        <f>O252-P252-Q252-R252</f>
        <v>34764</v>
      </c>
      <c r="T252">
        <f>_xlfn.XLOOKUP(B252,'[2]april-2025'!$A:$A,'[2]april-2025'!$C:$C,0,0)</f>
        <v>28900</v>
      </c>
      <c r="U252">
        <f>T252*0.18</f>
        <v>5202</v>
      </c>
      <c r="V252">
        <f>T252*0.12</f>
        <v>3468</v>
      </c>
      <c r="W252">
        <f>_xlfn.XLOOKUP(B252,'[2]april-2025'!$A:$A,'[2]april-2025'!$D:$D,0,0)</f>
        <v>0</v>
      </c>
      <c r="X252">
        <f>_xlfn.XLOOKUP(B252,'[2]april-2025'!$A:$A,'[2]april-2025'!$G:$G,0,0)</f>
        <v>500</v>
      </c>
      <c r="Y252">
        <f>IF(T252&gt;0,SUM(T252:X252),0)</f>
        <v>38070</v>
      </c>
      <c r="Z252">
        <f>_xlfn.XLOOKUP(B252,'[2]april-2025'!$A:$A,'[2]april-2025'!$H:$H,0,0)</f>
        <v>2000</v>
      </c>
      <c r="AA252">
        <f>_xlfn.XLOOKUP(B252,'[2]april-2025'!$A:$A,'[2]april-2025'!$I:$I,0,0)</f>
        <v>0</v>
      </c>
      <c r="AB252">
        <f>IF($F252="YES",0,IF(Y252&gt;40000,200,IF(Y252&gt;25000,150,IF(Y252&gt;15000,130,IF(Y252&gt;10000,110,0)))))</f>
        <v>150</v>
      </c>
      <c r="AC252">
        <f>Y252-Z252-AA252-AB252</f>
        <v>35920</v>
      </c>
      <c r="AD252">
        <f>_xlfn.XLOOKUP(B252,'[3]may-2025'!$A:$A,'[3]may-2025'!$C:$C,0,0)</f>
        <v>28900</v>
      </c>
      <c r="AE252">
        <f>AD252*0.18</f>
        <v>5202</v>
      </c>
      <c r="AF252">
        <f>AD252*0.12</f>
        <v>3468</v>
      </c>
      <c r="AG252">
        <f>_xlfn.XLOOKUP(B252,'[3]may-2025'!$A:$A,'[3]may-2025'!$D:$D,0,0)</f>
        <v>0</v>
      </c>
      <c r="AH252">
        <f>_xlfn.XLOOKUP(B252,'[3]may-2025'!$A:$A,'[3]may-2025'!$G:$G,0,0)</f>
        <v>500</v>
      </c>
      <c r="AI252">
        <f>IF(AD252&gt;0,SUM(AD252:AH252),0)</f>
        <v>38070</v>
      </c>
      <c r="AJ252">
        <f>_xlfn.XLOOKUP(B252,'[3]may-2025'!$A:$A,'[3]may-2025'!$H:$H,0,0)</f>
        <v>2000</v>
      </c>
      <c r="AK252">
        <f>_xlfn.XLOOKUP(B252,'[3]may-2025'!$A:$A,'[3]may-2025'!$I:$I,0,0)</f>
        <v>0</v>
      </c>
      <c r="AL252">
        <f>IF($F252="YES",0,IF(AI252&gt;40000,200,IF(AI252&gt;25000,150,IF(AI252&gt;15000,130,IF(AI252&gt;10000,110,0)))))</f>
        <v>150</v>
      </c>
      <c r="AM252">
        <f>AI252-AJ252-AK252-AL252</f>
        <v>35920</v>
      </c>
      <c r="AN252">
        <f>_xlfn.XLOOKUP(B252,'[4]june-2025'!$A:$A,'[4]june-2025'!$C:$C,0,0)</f>
        <v>28900</v>
      </c>
      <c r="AO252">
        <f>AN252*0.18</f>
        <v>5202</v>
      </c>
      <c r="AP252">
        <f>AN252*0.12</f>
        <v>3468</v>
      </c>
      <c r="AQ252">
        <f>_xlfn.XLOOKUP(B252,'[4]june-2025'!$A:$A,'[4]june-2025'!$D:$D,0,0)</f>
        <v>0</v>
      </c>
      <c r="AR252">
        <f>_xlfn.XLOOKUP(B252,'[4]june-2025'!$A:$A,'[4]june-2025'!$G:$G,0,0)</f>
        <v>500</v>
      </c>
      <c r="AS252">
        <f>IF(AN252&gt;0,SUM(AN252:AR252),0)</f>
        <v>38070</v>
      </c>
      <c r="AT252">
        <f>_xlfn.XLOOKUP(B252,'[4]june-2025'!$A:$A,'[4]june-2025'!$H:$H,0,0)</f>
        <v>2000</v>
      </c>
      <c r="AU252">
        <f>_xlfn.XLOOKUP(B252,'[4]june-2025'!$A:$A,'[4]june-2025'!$I:$I,0,0)</f>
        <v>0</v>
      </c>
      <c r="AV252">
        <f>IF($F252="YES",0,IF(AS252&gt;40000,200,IF(AS252&gt;25000,150,IF(AS252&gt;15000,130,IF(AS252&gt;10000,110,0)))))</f>
        <v>150</v>
      </c>
      <c r="AW252">
        <f>AS252-AT252-AU252-AV252</f>
        <v>35920</v>
      </c>
      <c r="AX252">
        <f>_xlfn.XLOOKUP(B252,'[5]july-2025'!$A:$A,'[5]july-2025'!$C:$C,0,0)</f>
        <v>29800</v>
      </c>
      <c r="AY252">
        <f>AX252*0.18</f>
        <v>5364</v>
      </c>
      <c r="AZ252">
        <v>0</v>
      </c>
      <c r="BA252">
        <f>AX252*0.12</f>
        <v>3576</v>
      </c>
      <c r="BB252">
        <f>_xlfn.XLOOKUP(B252,'[5]july-2025'!$A:$A,'[5]july-2025'!$D:$D,0,0)</f>
        <v>0</v>
      </c>
      <c r="BC252">
        <f>_xlfn.XLOOKUP(B252,'[5]july-2025'!$A:$A,'[5]july-2025'!$G:$G,0,0)</f>
        <v>500</v>
      </c>
      <c r="BD252">
        <f>IF(AX252&gt;0,SUM(AX252:BC252),0)</f>
        <v>39240</v>
      </c>
      <c r="BE252">
        <f>_xlfn.XLOOKUP(B252,'[5]july-2025'!$A:$A,'[5]july-2025'!$H:$H,0,0)</f>
        <v>2000</v>
      </c>
      <c r="BF252">
        <f>_xlfn.XLOOKUP(B252,'[5]july-2025'!$A:$A,'[5]july-2025'!$I:$I,0,0)</f>
        <v>0</v>
      </c>
      <c r="BG252">
        <f>IF($F252="YES",0,IF(BD252&gt;40000,200,IF(BD252&gt;25000,150,IF(BD252&gt;15000,130,IF(BD252&gt;10000,110,0)))))</f>
        <v>150</v>
      </c>
      <c r="BH252">
        <f>BD252-BE252-BF252-BG252</f>
        <v>37090</v>
      </c>
      <c r="BI252">
        <f>_xlfn.XLOOKUP(B252,'[6]august-2025'!$A:$A,'[6]august-2025'!$C:$C,0,0)</f>
        <v>29800</v>
      </c>
      <c r="BJ252">
        <f>BI252*0.18</f>
        <v>5364</v>
      </c>
      <c r="BK252">
        <f>BI252*0.12</f>
        <v>3576</v>
      </c>
      <c r="BL252">
        <f>_xlfn.XLOOKUP(B252,'[6]august-2025'!$A:$A,'[6]august-2025'!$D:$D,0,0)</f>
        <v>0</v>
      </c>
      <c r="BM252">
        <f>_xlfn.XLOOKUP(B252,'[6]august-2025'!$A:$A,'[6]august-2025'!$G:$G,0,0)</f>
        <v>500</v>
      </c>
      <c r="BN252">
        <f>IF(BI252&gt;0,SUM(BI252:BM252),0)</f>
        <v>39240</v>
      </c>
      <c r="BO252">
        <f>_xlfn.XLOOKUP(B252,'[6]august-2025'!$A:$A,'[6]august-2025'!$H:$H,0,0)</f>
        <v>2000</v>
      </c>
      <c r="BP252">
        <f>_xlfn.XLOOKUP(B252,'[6]august-2025'!$A:$A,'[6]august-2025'!$I:$I,0,0)</f>
        <v>0</v>
      </c>
      <c r="BQ252">
        <f>IF($F252="YES",0,IF(BN252&gt;40000,200,IF(BN252&gt;25000,150,IF(BN252&gt;15000,130,IF(BN252&gt;10000,110,0)))))</f>
        <v>150</v>
      </c>
      <c r="BR252">
        <f>BN252-BO252-BP252-BQ252</f>
        <v>37090</v>
      </c>
      <c r="BS252">
        <f>_xlfn.XLOOKUP(B252,'[7]september-2025'!$A:$A,'[7]september-2025'!$C:$C,0,0)</f>
        <v>29800</v>
      </c>
      <c r="BT252">
        <f>BS252*0.18</f>
        <v>5364</v>
      </c>
      <c r="BU252">
        <f>BS252*0.12</f>
        <v>3576</v>
      </c>
      <c r="BV252">
        <f>_xlfn.XLOOKUP(B252,'[7]september-2025'!$A:$A,'[7]september-2025'!$D:$D,0,0)</f>
        <v>0</v>
      </c>
      <c r="BW252">
        <f>_xlfn.XLOOKUP(B252,'[7]september-2025'!$A:$A,'[7]september-2025'!$G:$G,0,0)</f>
        <v>500</v>
      </c>
      <c r="BX252">
        <f>IF(BS252&gt;0,SUM(BS252:BW252),0)</f>
        <v>39240</v>
      </c>
      <c r="BY252">
        <f>_xlfn.XLOOKUP(B252,'[7]september-2025'!$A:$A,'[7]september-2025'!$H:$H,0,0)</f>
        <v>2000</v>
      </c>
      <c r="BZ252">
        <f>_xlfn.XLOOKUP(B252,'[7]september-2025'!$A:$A,'[7]september-2025'!$I:$I,0,0)</f>
        <v>0</v>
      </c>
      <c r="CA252">
        <f>IF($F252="YES",0,IF(BX252&gt;40000,200,IF(BX252&gt;25000,150,IF(BX252&gt;15000,130,IF(BX252&gt;10000,110,0)))))</f>
        <v>150</v>
      </c>
      <c r="CB252">
        <f>BX252-BY252-BZ252-CA252</f>
        <v>37090</v>
      </c>
      <c r="CC252">
        <f>_xlfn.XLOOKUP(B252,'[8]october-2025'!$A:$A,'[8]october-2025'!$C:$C,0,0)</f>
        <v>29800</v>
      </c>
      <c r="CD252">
        <f>CC252*0.18</f>
        <v>5364</v>
      </c>
      <c r="CE252">
        <f>CC252*0.12</f>
        <v>3576</v>
      </c>
      <c r="CF252">
        <f>_xlfn.XLOOKUP(B252,'[8]october-2025'!$A:$A,'[8]october-2025'!$D:$D,0,0)</f>
        <v>0</v>
      </c>
      <c r="CG252">
        <f>_xlfn.XLOOKUP(B252,'[8]october-2025'!$A:$A,'[8]october-2025'!$G:$G,0,0)</f>
        <v>500</v>
      </c>
      <c r="CH252">
        <f>IF(CC252&gt;0,SUM(CC252:CG252),0)</f>
        <v>39240</v>
      </c>
      <c r="CI252">
        <f>_xlfn.XLOOKUP(B252,'[8]october-2025'!$A:$A,'[8]october-2025'!$H:$H,0,0)</f>
        <v>2000</v>
      </c>
      <c r="CJ252">
        <f>_xlfn.XLOOKUP(B252,'[8]october-2025'!$A:$A,'[8]october-2025'!$I:$I,0,0)</f>
        <v>0</v>
      </c>
      <c r="CK252">
        <f>IF($F252="YES",0,IF(CH252&gt;40000,200,IF(CH252&gt;25000,150,IF(CH252&gt;15000,130,IF(CH252&gt;10000,110,0)))))</f>
        <v>150</v>
      </c>
      <c r="CL252">
        <f>CH252-CI252-CJ252-CK252</f>
        <v>37090</v>
      </c>
      <c r="CM252">
        <f>_xlfn.XLOOKUP(B252,'[9]november-2025'!$A:$A,'[9]november-2025'!$C:$C,0,0)</f>
        <v>29800</v>
      </c>
      <c r="CN252">
        <f>CM252*0.18</f>
        <v>5364</v>
      </c>
      <c r="CO252">
        <f>CM252*0.12</f>
        <v>3576</v>
      </c>
      <c r="CP252">
        <f>_xlfn.XLOOKUP(B252,'[9]november-2025'!$A:$A,'[9]november-2025'!$D:$D,0,0)</f>
        <v>0</v>
      </c>
      <c r="CQ252">
        <f>_xlfn.XLOOKUP(B252,'[9]november-2025'!$A:$A,'[9]november-2025'!$G:$G,0,0)</f>
        <v>500</v>
      </c>
      <c r="CR252">
        <f>IF(CM252&gt;0,SUM(CM252:CQ252),0)</f>
        <v>39240</v>
      </c>
      <c r="CS252">
        <f>_xlfn.XLOOKUP(B252,'[9]november-2025'!$A:$A,'[9]november-2025'!$H:$H,0,0)</f>
        <v>2000</v>
      </c>
      <c r="CT252">
        <f>_xlfn.XLOOKUP(B252,'[9]november-2025'!$A:$A,'[9]november-2025'!$I:$I,0,0)</f>
        <v>0</v>
      </c>
      <c r="CU252">
        <f>IF($F252="YES",0,IF(CR252&gt;40000,200,IF(CR252&gt;25000,150,IF(CR252&gt;15000,130,IF(CR252&gt;10000,110,0)))))</f>
        <v>150</v>
      </c>
      <c r="CV252">
        <f>CR252-CS252-CT252-CU252</f>
        <v>37090</v>
      </c>
      <c r="CW252">
        <f>_xlfn.XLOOKUP(B252,'[10]december-2025'!$A:$A,'[10]december-2025'!$C:$C,0,0)</f>
        <v>29800</v>
      </c>
      <c r="CX252">
        <f>ROUND(CW252*0.18,0)</f>
        <v>5364</v>
      </c>
      <c r="CY252">
        <f>ROUND(CW252*0.12,0)</f>
        <v>3576</v>
      </c>
      <c r="CZ252">
        <f>_xlfn.XLOOKUP(B252,'[10]december-2025'!$A:$A,'[10]december-2025'!$D:$D,0,0)</f>
        <v>0</v>
      </c>
      <c r="DA252">
        <f>_xlfn.XLOOKUP(B252,'[10]december-2025'!$A:$A,'[10]december-2025'!$G:$G,0,0)</f>
        <v>500</v>
      </c>
      <c r="DB252">
        <f>IF(CW252&gt;0,SUM(CW252:DA252),0)</f>
        <v>39240</v>
      </c>
      <c r="DC252">
        <f>_xlfn.XLOOKUP(B252,'[10]december-2025'!$A:$A,'[10]december-2025'!$H:$H,0,0)</f>
        <v>2000</v>
      </c>
      <c r="DD252">
        <f>_xlfn.XLOOKUP(B252,'[10]december-2025'!$A:$A,'[10]december-2025'!$I:$I,0,0)</f>
        <v>0</v>
      </c>
      <c r="DE252">
        <f>IF($F252="YES",0,IF(DB252&gt;40000,200,IF(DB252&gt;25000,150,IF(DB252&gt;15000,130,IF(DB252&gt;10000,110,0)))))</f>
        <v>150</v>
      </c>
      <c r="DF252">
        <f>DB252-DC252-DD252-DE252</f>
        <v>37090</v>
      </c>
      <c r="DG252">
        <f>_xlfn.XLOOKUP(B252,'[11]january-2026'!$A:$A,'[11]january-2026'!$C:$C,0,0)</f>
        <v>29800</v>
      </c>
      <c r="DH252">
        <f>DG252*0.18</f>
        <v>5364</v>
      </c>
      <c r="DI252">
        <f>DG252*0.12</f>
        <v>3576</v>
      </c>
      <c r="DJ252">
        <f>_xlfn.XLOOKUP(B252,'[11]january-2026'!$A:$A,'[11]january-2026'!$D:$D,0,0)</f>
        <v>0</v>
      </c>
      <c r="DK252">
        <f>_xlfn.XLOOKUP(B252,'[11]january-2026'!$A:$A,'[11]january-2026'!$G:$G,0,0)</f>
        <v>500</v>
      </c>
      <c r="DL252">
        <f>IF(DG252&gt;0,SUM(DG252:DK252),0)</f>
        <v>39240</v>
      </c>
      <c r="DM252">
        <f>_xlfn.XLOOKUP(B252,'[11]january-2026'!$A:$A,'[11]january-2026'!$H:$H,0,0)</f>
        <v>2000</v>
      </c>
      <c r="DN252">
        <f>_xlfn.XLOOKUP(B252,'[11]january-2026'!$A:$A,'[11]january-2026'!$I:$I,0,0)</f>
        <v>0</v>
      </c>
      <c r="DO252">
        <f>IF($F252="YES",0,IF(DL252&gt;40000,200,IF(DL252&gt;25000,150,IF(DL252&gt;15000,130,IF(DL252&gt;10000,110,0)))))</f>
        <v>150</v>
      </c>
      <c r="DP252">
        <f>DL252-DM252-DN252-DO252</f>
        <v>37090</v>
      </c>
      <c r="DQ252">
        <f>_xlfn.XLOOKUP(B252,'[12]february-2026'!$A:$A,'[12]february-2026'!$C:$C,0,0)</f>
        <v>29800</v>
      </c>
      <c r="DR252">
        <f>DQ252*0.18</f>
        <v>5364</v>
      </c>
      <c r="DS252">
        <f>DQ252*0.12</f>
        <v>3576</v>
      </c>
      <c r="DT252">
        <f>_xlfn.XLOOKUP(B252,'[12]february-2026'!$A:$A,'[12]february-2026'!$D:$D,0,0)</f>
        <v>0</v>
      </c>
      <c r="DU252">
        <f>_xlfn.XLOOKUP(B252,'[12]february-2026'!$A:$A,'[12]february-2026'!$G:$G,0,0)</f>
        <v>500</v>
      </c>
      <c r="DV252">
        <f>IF(DQ252&gt;0,SUM(DQ252:DU252),0)</f>
        <v>39240</v>
      </c>
      <c r="DW252">
        <f>_xlfn.XLOOKUP(B252,'[12]february-2026'!$A:$A,'[12]february-2026'!$H:$H,0,0)</f>
        <v>2000</v>
      </c>
      <c r="DX252">
        <f>_xlfn.XLOOKUP(B252,'[12]february-2026'!$A:$A,'[12]february-2026'!$I:$I,0,0)</f>
        <v>0</v>
      </c>
      <c r="DY252">
        <f>IF($F252="YES",0,IF(DV252&gt;40000,200,IF(DV252&gt;25000,150,IF(DV252&gt;15000,130,IF(DV252&gt;10000,110,0)))))</f>
        <v>150</v>
      </c>
      <c r="DZ252">
        <f>DV252-DW252-DX252-DY252</f>
        <v>37090</v>
      </c>
      <c r="EA252">
        <f>DV252+DL252+DB252+CR252+CH252+BX252+BN252+BD252+AS252+AI252+Y252+O252+H252+I252</f>
        <v>471844</v>
      </c>
      <c r="EB252">
        <f>DY252+DO252+DE252+CU252+CK252+CA252+BQ252+BG252+AV252+AL252+AB252+R252</f>
        <v>1800</v>
      </c>
      <c r="EC252">
        <f>IF(EA252&gt;0,50000,0)</f>
        <v>50000</v>
      </c>
      <c r="ED252">
        <v>0</v>
      </c>
      <c r="EE252">
        <f>EA252-EB252-EC252</f>
        <v>420044</v>
      </c>
      <c r="EF252">
        <f>DW252+DM252+DC252+CS252+CI252+BY252+BO252+BE252+AT252+AJ252+Z252+P252</f>
        <v>24000</v>
      </c>
      <c r="EG252">
        <f>DX252+DN252+DD252+CT252+CJ252+BZ252+BP252+BF252+AU252+AK252+AA252+Q252</f>
        <v>0</v>
      </c>
      <c r="EH252">
        <v>0</v>
      </c>
      <c r="EI252">
        <v>0</v>
      </c>
      <c r="EJ252">
        <v>0</v>
      </c>
      <c r="EK252">
        <v>0</v>
      </c>
      <c r="EL252">
        <v>0</v>
      </c>
      <c r="EM252">
        <v>0</v>
      </c>
      <c r="EN252">
        <v>0</v>
      </c>
      <c r="EO252">
        <v>0</v>
      </c>
      <c r="EP252">
        <v>0</v>
      </c>
      <c r="EQ252">
        <v>0</v>
      </c>
      <c r="ER252">
        <f>SUM(EF252:EQ252)</f>
        <v>24000</v>
      </c>
      <c r="ES252">
        <f>IF(ER252&gt;=150000,150000,ER252)</f>
        <v>24000</v>
      </c>
      <c r="ET252">
        <f>EE252-ES252</f>
        <v>396044</v>
      </c>
      <c r="EU252">
        <v>0</v>
      </c>
      <c r="EV252">
        <v>0</v>
      </c>
      <c r="EW252">
        <v>0</v>
      </c>
      <c r="EX252">
        <v>0</v>
      </c>
      <c r="EY252">
        <v>0</v>
      </c>
      <c r="EZ252">
        <v>0</v>
      </c>
      <c r="FA252">
        <v>0</v>
      </c>
      <c r="FB252">
        <f>SUM(EU252:FA252)+(IF(F252="YES",50000,0))</f>
        <v>0</v>
      </c>
      <c r="FC252">
        <f>ET252-FB252</f>
        <v>396044</v>
      </c>
      <c r="FD252">
        <f>ROUND(IF(FC252&gt;0,IF(FC252&gt;500000,12500,(FC252-250000)*0.05),0),0)</f>
        <v>7302</v>
      </c>
      <c r="FE252">
        <f>IF(ROUND(IF(FC252&gt;0,IF(FC252&gt;1000000,25000,(FC252-500000)*0.2),0),0)&lt;0,0,ROUND(IF(FC252&gt;0,IF(FC252&gt;1000000,25000,(FC252-500000)*0.2),0),0))</f>
        <v>0</v>
      </c>
      <c r="FF252">
        <f>FD252+FE252</f>
        <v>7302</v>
      </c>
      <c r="FG252">
        <f>IF(FF252&lt;12500,0,FF252)</f>
        <v>0</v>
      </c>
      <c r="FH252">
        <f>FG252*0.04</f>
        <v>0</v>
      </c>
      <c r="FI252">
        <f>ROUND(FH252+FG252,0)</f>
        <v>0</v>
      </c>
      <c r="FJ252">
        <v>0</v>
      </c>
      <c r="FK252">
        <f>FI252-FJ252</f>
        <v>0</v>
      </c>
      <c r="FL252" t="b">
        <f>IF(EA252&gt;500000,TRUE,FALSE)</f>
        <v>0</v>
      </c>
      <c r="FM252">
        <f ca="1">IF(FL252,RANDBETWEEN(500,1000),RANDBETWEEN(1000,3000))</f>
        <v>2116</v>
      </c>
      <c r="FN252">
        <f ca="1">EA252+FM252</f>
        <v>473960</v>
      </c>
      <c r="FO252">
        <f>IF(EA252&gt;0,75000,0)</f>
        <v>75000</v>
      </c>
      <c r="FP252">
        <f ca="1">FN252-FO252</f>
        <v>398960</v>
      </c>
      <c r="FQ252">
        <f ca="1">IF(FP252&gt;2400000,FP252-2400000,0)</f>
        <v>0</v>
      </c>
      <c r="FR252">
        <f ca="1">FQ252*0.3</f>
        <v>0</v>
      </c>
      <c r="FS252">
        <f ca="1">IF(FP252&gt;2000000,FP252-2000000,0)</f>
        <v>0</v>
      </c>
      <c r="FT252">
        <f ca="1">FS252*0.25</f>
        <v>0</v>
      </c>
      <c r="FU252">
        <f ca="1">IF(FP252&gt;1600000,FP252-1600000-FQ252,0)</f>
        <v>0</v>
      </c>
      <c r="FV252">
        <f ca="1">FU252*0.2</f>
        <v>0</v>
      </c>
      <c r="FW252">
        <f ca="1">IF(FP252&gt;1200000,FP252-1200000-IF(F252="YES",50000,0)-FU252,0)</f>
        <v>0</v>
      </c>
      <c r="FX252">
        <f ca="1">FW252*0.15</f>
        <v>0</v>
      </c>
      <c r="FY252">
        <f ca="1">IF(FP252&gt;800000,FP252-800000-FQ252-FU252-FW252,0)</f>
        <v>0</v>
      </c>
      <c r="FZ252">
        <f ca="1">FY252*0.1</f>
        <v>0</v>
      </c>
      <c r="GA252">
        <f ca="1">IF(FP252&gt;400000,FP252-400000-FQ252-FU252-FW252-FY252,0)</f>
        <v>0</v>
      </c>
      <c r="GB252">
        <f ca="1">GA252*0.05</f>
        <v>0</v>
      </c>
      <c r="GC252">
        <f ca="1">ROUND(FR252+FT252+FV252+FX252+FZ252+GB252,0)</f>
        <v>0</v>
      </c>
      <c r="GD252">
        <f ca="1">IF(FP252&gt;1200000,FP252,0)</f>
        <v>0</v>
      </c>
      <c r="GE252">
        <f ca="1">IF(FP252&gt;1200000,GD252-1200000,0)</f>
        <v>0</v>
      </c>
      <c r="GF252">
        <f ca="1">IF(FP252&lt;1200001,MIN(GC252,60000),0)</f>
        <v>0</v>
      </c>
      <c r="GG252">
        <f ca="1">IF(FP252&gt;1200000,GC252-GE252,0)</f>
        <v>0</v>
      </c>
      <c r="GH252" t="b">
        <f ca="1">IF(GG252&gt;0,TRUE,FALSE)</f>
        <v>0</v>
      </c>
      <c r="GI252">
        <f ca="1">IF(GH252,GG252,0)</f>
        <v>0</v>
      </c>
      <c r="GJ252">
        <f ca="1">GF252+GI252</f>
        <v>0</v>
      </c>
      <c r="GK252">
        <f ca="1">ROUND(GC252-GJ252,0)</f>
        <v>0</v>
      </c>
      <c r="GL252">
        <f ca="1">GK252*0.04</f>
        <v>0</v>
      </c>
      <c r="GM252">
        <f ca="1">ROUNDUP(GK252+GL252,0)</f>
        <v>0</v>
      </c>
    </row>
    <row r="253" spans="1:195" x14ac:dyDescent="0.25">
      <c r="A253">
        <f>_xlfn.AGGREGATE(3,5,$B$2:B253)</f>
        <v>252</v>
      </c>
      <c r="B253" t="s">
        <v>615</v>
      </c>
      <c r="C253" t="s">
        <v>616</v>
      </c>
      <c r="D253" t="s">
        <v>817</v>
      </c>
      <c r="E253" t="s">
        <v>833</v>
      </c>
      <c r="F253" t="s">
        <v>959</v>
      </c>
      <c r="G253" t="s">
        <v>880</v>
      </c>
      <c r="H253">
        <f>IF(_xlfn.DAYS("31-03-2025",G253)&gt;=180,6800,0)</f>
        <v>6800</v>
      </c>
      <c r="I253">
        <f>_xlfn.XLOOKUP(B253,'[1]march-2025'!$A:$A,'[1]march-2025'!$J:$J,0,0)</f>
        <v>0</v>
      </c>
      <c r="J253">
        <f>_xlfn.XLOOKUP(B253,'[1]march-2025'!$A:$A,'[1]march-2025'!$C:$C,0,0)</f>
        <v>34500</v>
      </c>
      <c r="K253">
        <f>J253*0.14</f>
        <v>4830.0000000000009</v>
      </c>
      <c r="L253">
        <f>J253*0.12</f>
        <v>4140</v>
      </c>
      <c r="M253">
        <f>_xlfn.XLOOKUP(B253,'[1]march-2025'!$A:$A,'[1]march-2025'!$D:$D,0,0)</f>
        <v>400</v>
      </c>
      <c r="N253">
        <f>_xlfn.XLOOKUP(B253,'[1]march-2025'!$A:$A,'[1]march-2025'!$G:$G,0,0)</f>
        <v>0</v>
      </c>
      <c r="O253">
        <f>IF(J253&gt;0,SUM(J253:N253),0)</f>
        <v>43870</v>
      </c>
      <c r="P253">
        <f>_xlfn.XLOOKUP(B253,'[1]march-2025'!$A:$A,'[1]march-2025'!$H:$H,0,0)</f>
        <v>2500</v>
      </c>
      <c r="Q253">
        <f>_xlfn.XLOOKUP(B253,'[1]march-2025'!$A:$A,'[1]march-2025'!$I:$I,0,0)</f>
        <v>0</v>
      </c>
      <c r="R253">
        <f>IF($F253="YES",0,IF(O253&gt;40000,200,IF(O253&gt;25000,150,IF(O253&gt;15000,130,IF(O253&gt;10000,110,0)))))</f>
        <v>200</v>
      </c>
      <c r="S253">
        <f>O253-P253-Q253-R253</f>
        <v>41170</v>
      </c>
      <c r="T253">
        <f>_xlfn.XLOOKUP(B253,'[2]april-2025'!$A:$A,'[2]april-2025'!$C:$C,0,0)</f>
        <v>34500</v>
      </c>
      <c r="U253">
        <f>T253*0.18</f>
        <v>6210</v>
      </c>
      <c r="V253">
        <f>T253*0.12</f>
        <v>4140</v>
      </c>
      <c r="W253">
        <f>_xlfn.XLOOKUP(B253,'[2]april-2025'!$A:$A,'[2]april-2025'!$D:$D,0,0)</f>
        <v>400</v>
      </c>
      <c r="X253">
        <f>_xlfn.XLOOKUP(B253,'[2]april-2025'!$A:$A,'[2]april-2025'!$G:$G,0,0)</f>
        <v>0</v>
      </c>
      <c r="Y253">
        <f>IF(T253&gt;0,SUM(T253:X253),0)</f>
        <v>45250</v>
      </c>
      <c r="Z253">
        <f>_xlfn.XLOOKUP(B253,'[2]april-2025'!$A:$A,'[2]april-2025'!$H:$H,0,0)</f>
        <v>2500</v>
      </c>
      <c r="AA253">
        <f>_xlfn.XLOOKUP(B253,'[2]april-2025'!$A:$A,'[2]april-2025'!$I:$I,0,0)</f>
        <v>0</v>
      </c>
      <c r="AB253">
        <f>IF($F253="YES",0,IF(Y253&gt;40000,200,IF(Y253&gt;25000,150,IF(Y253&gt;15000,130,IF(Y253&gt;10000,110,0)))))</f>
        <v>200</v>
      </c>
      <c r="AC253">
        <f>Y253-Z253-AA253-AB253</f>
        <v>42550</v>
      </c>
      <c r="AD253">
        <f>_xlfn.XLOOKUP(B253,'[3]may-2025'!$A:$A,'[3]may-2025'!$C:$C,0,0)</f>
        <v>34500</v>
      </c>
      <c r="AE253">
        <f>AD253*0.18</f>
        <v>6210</v>
      </c>
      <c r="AF253">
        <f>AD253*0.12</f>
        <v>4140</v>
      </c>
      <c r="AG253">
        <f>_xlfn.XLOOKUP(B253,'[3]may-2025'!$A:$A,'[3]may-2025'!$D:$D,0,0)</f>
        <v>400</v>
      </c>
      <c r="AH253">
        <f>_xlfn.XLOOKUP(B253,'[3]may-2025'!$A:$A,'[3]may-2025'!$G:$G,0,0)</f>
        <v>0</v>
      </c>
      <c r="AI253">
        <f>IF(AD253&gt;0,SUM(AD253:AH253),0)</f>
        <v>45250</v>
      </c>
      <c r="AJ253">
        <f>_xlfn.XLOOKUP(B253,'[3]may-2025'!$A:$A,'[3]may-2025'!$H:$H,0,0)</f>
        <v>2500</v>
      </c>
      <c r="AK253">
        <f>_xlfn.XLOOKUP(B253,'[3]may-2025'!$A:$A,'[3]may-2025'!$I:$I,0,0)</f>
        <v>0</v>
      </c>
      <c r="AL253">
        <f>IF($F253="YES",0,IF(AI253&gt;40000,200,IF(AI253&gt;25000,150,IF(AI253&gt;15000,130,IF(AI253&gt;10000,110,0)))))</f>
        <v>200</v>
      </c>
      <c r="AM253">
        <f>AI253-AJ253-AK253-AL253</f>
        <v>42550</v>
      </c>
      <c r="AN253">
        <f>_xlfn.XLOOKUP(B253,'[4]june-2025'!$A:$A,'[4]june-2025'!$C:$C,0,0)</f>
        <v>34500</v>
      </c>
      <c r="AO253">
        <f>AN253*0.18</f>
        <v>6210</v>
      </c>
      <c r="AP253">
        <f>AN253*0.12</f>
        <v>4140</v>
      </c>
      <c r="AQ253">
        <f>_xlfn.XLOOKUP(B253,'[4]june-2025'!$A:$A,'[4]june-2025'!$D:$D,0,0)</f>
        <v>400</v>
      </c>
      <c r="AR253">
        <f>_xlfn.XLOOKUP(B253,'[4]june-2025'!$A:$A,'[4]june-2025'!$G:$G,0,0)</f>
        <v>0</v>
      </c>
      <c r="AS253">
        <f>IF(AN253&gt;0,SUM(AN253:AR253),0)</f>
        <v>45250</v>
      </c>
      <c r="AT253">
        <f>_xlfn.XLOOKUP(B253,'[4]june-2025'!$A:$A,'[4]june-2025'!$H:$H,0,0)</f>
        <v>2500</v>
      </c>
      <c r="AU253">
        <f>_xlfn.XLOOKUP(B253,'[4]june-2025'!$A:$A,'[4]june-2025'!$I:$I,0,0)</f>
        <v>0</v>
      </c>
      <c r="AV253">
        <f>IF($F253="YES",0,IF(AS253&gt;40000,200,IF(AS253&gt;25000,150,IF(AS253&gt;15000,130,IF(AS253&gt;10000,110,0)))))</f>
        <v>200</v>
      </c>
      <c r="AW253">
        <f>AS253-AT253-AU253-AV253</f>
        <v>42550</v>
      </c>
      <c r="AX253">
        <f>_xlfn.XLOOKUP(B253,'[5]july-2025'!$A:$A,'[5]july-2025'!$C:$C,0,0)</f>
        <v>35500</v>
      </c>
      <c r="AY253">
        <f>AX253*0.18</f>
        <v>6390</v>
      </c>
      <c r="AZ253">
        <v>0</v>
      </c>
      <c r="BA253">
        <f>AX253*0.12</f>
        <v>4260</v>
      </c>
      <c r="BB253">
        <f>_xlfn.XLOOKUP(B253,'[5]july-2025'!$A:$A,'[5]july-2025'!$D:$D,0,0)</f>
        <v>400</v>
      </c>
      <c r="BC253">
        <f>_xlfn.XLOOKUP(B253,'[5]july-2025'!$A:$A,'[5]july-2025'!$G:$G,0,0)</f>
        <v>0</v>
      </c>
      <c r="BD253">
        <f>IF(AX253&gt;0,SUM(AX253:BC253),0)</f>
        <v>46550</v>
      </c>
      <c r="BE253">
        <f>_xlfn.XLOOKUP(B253,'[5]july-2025'!$A:$A,'[5]july-2025'!$H:$H,0,0)</f>
        <v>2500</v>
      </c>
      <c r="BF253">
        <f>_xlfn.XLOOKUP(B253,'[5]july-2025'!$A:$A,'[5]july-2025'!$I:$I,0,0)</f>
        <v>0</v>
      </c>
      <c r="BG253">
        <f>IF($F253="YES",0,IF(BD253&gt;40000,200,IF(BD253&gt;25000,150,IF(BD253&gt;15000,130,IF(BD253&gt;10000,110,0)))))</f>
        <v>200</v>
      </c>
      <c r="BH253">
        <f>BD253-BE253-BF253-BG253</f>
        <v>43850</v>
      </c>
      <c r="BI253">
        <f>_xlfn.XLOOKUP(B253,'[6]august-2025'!$A:$A,'[6]august-2025'!$C:$C,0,0)</f>
        <v>35500</v>
      </c>
      <c r="BJ253">
        <f>BI253*0.18</f>
        <v>6390</v>
      </c>
      <c r="BK253">
        <f>BI253*0.12</f>
        <v>4260</v>
      </c>
      <c r="BL253">
        <f>_xlfn.XLOOKUP(B253,'[6]august-2025'!$A:$A,'[6]august-2025'!$D:$D,0,0)</f>
        <v>400</v>
      </c>
      <c r="BM253">
        <f>_xlfn.XLOOKUP(B253,'[6]august-2025'!$A:$A,'[6]august-2025'!$G:$G,0,0)</f>
        <v>0</v>
      </c>
      <c r="BN253">
        <f>IF(BI253&gt;0,SUM(BI253:BM253),0)</f>
        <v>46550</v>
      </c>
      <c r="BO253">
        <f>_xlfn.XLOOKUP(B253,'[6]august-2025'!$A:$A,'[6]august-2025'!$H:$H,0,0)</f>
        <v>2500</v>
      </c>
      <c r="BP253">
        <f>_xlfn.XLOOKUP(B253,'[6]august-2025'!$A:$A,'[6]august-2025'!$I:$I,0,0)</f>
        <v>0</v>
      </c>
      <c r="BQ253">
        <f>IF($F253="YES",0,IF(BN253&gt;40000,200,IF(BN253&gt;25000,150,IF(BN253&gt;15000,130,IF(BN253&gt;10000,110,0)))))</f>
        <v>200</v>
      </c>
      <c r="BR253">
        <f>BN253-BO253-BP253-BQ253</f>
        <v>43850</v>
      </c>
      <c r="BS253">
        <f>_xlfn.XLOOKUP(B253,'[7]september-2025'!$A:$A,'[7]september-2025'!$C:$C,0,0)</f>
        <v>35500</v>
      </c>
      <c r="BT253">
        <f>BS253*0.18</f>
        <v>6390</v>
      </c>
      <c r="BU253">
        <f>BS253*0.12</f>
        <v>4260</v>
      </c>
      <c r="BV253">
        <f>_xlfn.XLOOKUP(B253,'[7]september-2025'!$A:$A,'[7]september-2025'!$D:$D,0,0)</f>
        <v>400</v>
      </c>
      <c r="BW253">
        <f>_xlfn.XLOOKUP(B253,'[7]september-2025'!$A:$A,'[7]september-2025'!$G:$G,0,0)</f>
        <v>0</v>
      </c>
      <c r="BX253">
        <f>IF(BS253&gt;0,SUM(BS253:BW253),0)</f>
        <v>46550</v>
      </c>
      <c r="BY253">
        <f>_xlfn.XLOOKUP(B253,'[7]september-2025'!$A:$A,'[7]september-2025'!$H:$H,0,0)</f>
        <v>2500</v>
      </c>
      <c r="BZ253">
        <f>_xlfn.XLOOKUP(B253,'[7]september-2025'!$A:$A,'[7]september-2025'!$I:$I,0,0)</f>
        <v>0</v>
      </c>
      <c r="CA253">
        <f>IF($F253="YES",0,IF(BX253&gt;40000,200,IF(BX253&gt;25000,150,IF(BX253&gt;15000,130,IF(BX253&gt;10000,110,0)))))</f>
        <v>200</v>
      </c>
      <c r="CB253">
        <f>BX253-BY253-BZ253-CA253</f>
        <v>43850</v>
      </c>
      <c r="CC253">
        <f>_xlfn.XLOOKUP(B253,'[8]october-2025'!$A:$A,'[8]october-2025'!$C:$C,0,0)</f>
        <v>35500</v>
      </c>
      <c r="CD253">
        <f>CC253*0.18</f>
        <v>6390</v>
      </c>
      <c r="CE253">
        <f>CC253*0.12</f>
        <v>4260</v>
      </c>
      <c r="CF253">
        <f>_xlfn.XLOOKUP(B253,'[8]october-2025'!$A:$A,'[8]october-2025'!$D:$D,0,0)</f>
        <v>400</v>
      </c>
      <c r="CG253">
        <f>_xlfn.XLOOKUP(B253,'[8]october-2025'!$A:$A,'[8]october-2025'!$G:$G,0,0)</f>
        <v>0</v>
      </c>
      <c r="CH253">
        <f>IF(CC253&gt;0,SUM(CC253:CG253),0)</f>
        <v>46550</v>
      </c>
      <c r="CI253">
        <f>_xlfn.XLOOKUP(B253,'[8]october-2025'!$A:$A,'[8]october-2025'!$H:$H,0,0)</f>
        <v>2500</v>
      </c>
      <c r="CJ253">
        <f>_xlfn.XLOOKUP(B253,'[8]october-2025'!$A:$A,'[8]october-2025'!$I:$I,0,0)</f>
        <v>0</v>
      </c>
      <c r="CK253">
        <f>IF($F253="YES",0,IF(CH253&gt;40000,200,IF(CH253&gt;25000,150,IF(CH253&gt;15000,130,IF(CH253&gt;10000,110,0)))))</f>
        <v>200</v>
      </c>
      <c r="CL253">
        <f>CH253-CI253-CJ253-CK253</f>
        <v>43850</v>
      </c>
      <c r="CM253">
        <f>_xlfn.XLOOKUP(B253,'[9]november-2025'!$A:$A,'[9]november-2025'!$C:$C,0,0)</f>
        <v>35500</v>
      </c>
      <c r="CN253">
        <f>CM253*0.18</f>
        <v>6390</v>
      </c>
      <c r="CO253">
        <f>CM253*0.12</f>
        <v>4260</v>
      </c>
      <c r="CP253">
        <f>_xlfn.XLOOKUP(B253,'[9]november-2025'!$A:$A,'[9]november-2025'!$D:$D,0,0)</f>
        <v>400</v>
      </c>
      <c r="CQ253">
        <f>_xlfn.XLOOKUP(B253,'[9]november-2025'!$A:$A,'[9]november-2025'!$G:$G,0,0)</f>
        <v>0</v>
      </c>
      <c r="CR253">
        <f>IF(CM253&gt;0,SUM(CM253:CQ253),0)</f>
        <v>46550</v>
      </c>
      <c r="CS253">
        <f>_xlfn.XLOOKUP(B253,'[9]november-2025'!$A:$A,'[9]november-2025'!$H:$H,0,0)</f>
        <v>2500</v>
      </c>
      <c r="CT253">
        <f>_xlfn.XLOOKUP(B253,'[9]november-2025'!$A:$A,'[9]november-2025'!$I:$I,0,0)</f>
        <v>0</v>
      </c>
      <c r="CU253">
        <f>IF($F253="YES",0,IF(CR253&gt;40000,200,IF(CR253&gt;25000,150,IF(CR253&gt;15000,130,IF(CR253&gt;10000,110,0)))))</f>
        <v>200</v>
      </c>
      <c r="CV253">
        <f>CR253-CS253-CT253-CU253</f>
        <v>43850</v>
      </c>
      <c r="CW253">
        <f>_xlfn.XLOOKUP(B253,'[10]december-2025'!$A:$A,'[10]december-2025'!$C:$C,0,0)</f>
        <v>35500</v>
      </c>
      <c r="CX253">
        <f>ROUND(CW253*0.18,0)</f>
        <v>6390</v>
      </c>
      <c r="CY253">
        <f>ROUND(CW253*0.12,0)</f>
        <v>4260</v>
      </c>
      <c r="CZ253">
        <f>_xlfn.XLOOKUP(B253,'[10]december-2025'!$A:$A,'[10]december-2025'!$D:$D,0,0)</f>
        <v>400</v>
      </c>
      <c r="DA253">
        <f>_xlfn.XLOOKUP(B253,'[10]december-2025'!$A:$A,'[10]december-2025'!$G:$G,0,0)</f>
        <v>0</v>
      </c>
      <c r="DB253">
        <f>IF(CW253&gt;0,SUM(CW253:DA253),0)</f>
        <v>46550</v>
      </c>
      <c r="DC253">
        <f>_xlfn.XLOOKUP(B253,'[10]december-2025'!$A:$A,'[10]december-2025'!$H:$H,0,0)</f>
        <v>2500</v>
      </c>
      <c r="DD253">
        <f>_xlfn.XLOOKUP(B253,'[10]december-2025'!$A:$A,'[10]december-2025'!$I:$I,0,0)</f>
        <v>0</v>
      </c>
      <c r="DE253">
        <f>IF($F253="YES",0,IF(DB253&gt;40000,200,IF(DB253&gt;25000,150,IF(DB253&gt;15000,130,IF(DB253&gt;10000,110,0)))))</f>
        <v>200</v>
      </c>
      <c r="DF253">
        <f>DB253-DC253-DD253-DE253</f>
        <v>43850</v>
      </c>
      <c r="DG253">
        <f>_xlfn.XLOOKUP(B253,'[11]january-2026'!$A:$A,'[11]january-2026'!$C:$C,0,0)</f>
        <v>35500</v>
      </c>
      <c r="DH253">
        <f>DG253*0.18</f>
        <v>6390</v>
      </c>
      <c r="DI253">
        <f>DG253*0.12</f>
        <v>4260</v>
      </c>
      <c r="DJ253">
        <f>_xlfn.XLOOKUP(B253,'[11]january-2026'!$A:$A,'[11]january-2026'!$D:$D,0,0)</f>
        <v>400</v>
      </c>
      <c r="DK253">
        <f>_xlfn.XLOOKUP(B253,'[11]january-2026'!$A:$A,'[11]january-2026'!$G:$G,0,0)</f>
        <v>0</v>
      </c>
      <c r="DL253">
        <f>IF(DG253&gt;0,SUM(DG253:DK253),0)</f>
        <v>46550</v>
      </c>
      <c r="DM253">
        <f>_xlfn.XLOOKUP(B253,'[11]january-2026'!$A:$A,'[11]january-2026'!$H:$H,0,0)</f>
        <v>2500</v>
      </c>
      <c r="DN253">
        <f>_xlfn.XLOOKUP(B253,'[11]january-2026'!$A:$A,'[11]january-2026'!$I:$I,0,0)</f>
        <v>0</v>
      </c>
      <c r="DO253">
        <f>IF($F253="YES",0,IF(DL253&gt;40000,200,IF(DL253&gt;25000,150,IF(DL253&gt;15000,130,IF(DL253&gt;10000,110,0)))))</f>
        <v>200</v>
      </c>
      <c r="DP253">
        <f>DL253-DM253-DN253-DO253</f>
        <v>43850</v>
      </c>
      <c r="DQ253">
        <f>_xlfn.XLOOKUP(B253,'[12]february-2026'!$A:$A,'[12]february-2026'!$C:$C,0,0)</f>
        <v>35500</v>
      </c>
      <c r="DR253">
        <f>DQ253*0.18</f>
        <v>6390</v>
      </c>
      <c r="DS253">
        <f>DQ253*0.12</f>
        <v>4260</v>
      </c>
      <c r="DT253">
        <f>_xlfn.XLOOKUP(B253,'[12]february-2026'!$A:$A,'[12]february-2026'!$D:$D,0,0)</f>
        <v>400</v>
      </c>
      <c r="DU253">
        <f>_xlfn.XLOOKUP(B253,'[12]february-2026'!$A:$A,'[12]february-2026'!$G:$G,0,0)</f>
        <v>0</v>
      </c>
      <c r="DV253">
        <f>IF(DQ253&gt;0,SUM(DQ253:DU253),0)</f>
        <v>46550</v>
      </c>
      <c r="DW253">
        <f>_xlfn.XLOOKUP(B253,'[12]february-2026'!$A:$A,'[12]february-2026'!$H:$H,0,0)</f>
        <v>2500</v>
      </c>
      <c r="DX253">
        <f>_xlfn.XLOOKUP(B253,'[12]february-2026'!$A:$A,'[12]february-2026'!$I:$I,0,0)</f>
        <v>0</v>
      </c>
      <c r="DY253">
        <f>IF($F253="YES",0,IF(DV253&gt;40000,200,IF(DV253&gt;25000,150,IF(DV253&gt;15000,130,IF(DV253&gt;10000,110,0)))))</f>
        <v>200</v>
      </c>
      <c r="DZ253">
        <f>DV253-DW253-DX253-DY253</f>
        <v>43850</v>
      </c>
      <c r="EA253">
        <f>DV253+DL253+DB253+CR253+CH253+BX253+BN253+BD253+AS253+AI253+Y253+O253+H253+I253</f>
        <v>558820</v>
      </c>
      <c r="EB253">
        <f>DY253+DO253+DE253+CU253+CK253+CA253+BQ253+BG253+AV253+AL253+AB253+R253</f>
        <v>2400</v>
      </c>
      <c r="EC253">
        <f>IF(EA253&gt;0,50000,0)</f>
        <v>50000</v>
      </c>
      <c r="ED253">
        <v>0</v>
      </c>
      <c r="EE253">
        <f>EA253-EB253-EC253</f>
        <v>506420</v>
      </c>
      <c r="EF253">
        <f>DW253+DM253+DC253+CS253+CI253+BY253+BO253+BE253+AT253+AJ253+Z253+P253</f>
        <v>30000</v>
      </c>
      <c r="EG253">
        <f>DX253+DN253+DD253+CT253+CJ253+BZ253+BP253+BF253+AU253+AK253+AA253+Q253</f>
        <v>0</v>
      </c>
      <c r="EH253">
        <v>0</v>
      </c>
      <c r="EI253">
        <v>0</v>
      </c>
      <c r="EJ253">
        <v>0</v>
      </c>
      <c r="EK253">
        <v>0</v>
      </c>
      <c r="EL253">
        <v>0</v>
      </c>
      <c r="EM253">
        <v>0</v>
      </c>
      <c r="EN253">
        <v>0</v>
      </c>
      <c r="EO253">
        <v>0</v>
      </c>
      <c r="EP253">
        <v>0</v>
      </c>
      <c r="EQ253">
        <v>0</v>
      </c>
      <c r="ER253">
        <f>SUM(EF253:EQ253)</f>
        <v>30000</v>
      </c>
      <c r="ES253">
        <f>IF(ER253&gt;=150000,150000,ER253)</f>
        <v>30000</v>
      </c>
      <c r="ET253">
        <f>EE253-ES253</f>
        <v>476420</v>
      </c>
      <c r="EU253">
        <v>0</v>
      </c>
      <c r="EV253">
        <v>0</v>
      </c>
      <c r="EW253">
        <v>0</v>
      </c>
      <c r="EX253">
        <v>0</v>
      </c>
      <c r="EY253">
        <v>0</v>
      </c>
      <c r="EZ253">
        <v>0</v>
      </c>
      <c r="FA253">
        <v>0</v>
      </c>
      <c r="FB253">
        <f>SUM(EU253:FA253)+(IF(F253="YES",50000,0))</f>
        <v>0</v>
      </c>
      <c r="FC253">
        <f>ET253-FB253</f>
        <v>476420</v>
      </c>
      <c r="FD253">
        <f>ROUND(IF(FC253&gt;0,IF(FC253&gt;500000,12500,(FC253-250000)*0.05),0),0)</f>
        <v>11321</v>
      </c>
      <c r="FE253">
        <f>IF(ROUND(IF(FC253&gt;0,IF(FC253&gt;1000000,25000,(FC253-500000)*0.2),0),0)&lt;0,0,ROUND(IF(FC253&gt;0,IF(FC253&gt;1000000,25000,(FC253-500000)*0.2),0),0))</f>
        <v>0</v>
      </c>
      <c r="FF253">
        <f>FD253+FE253</f>
        <v>11321</v>
      </c>
      <c r="FG253">
        <f>IF(FF253&lt;12500,0,FF253)</f>
        <v>0</v>
      </c>
      <c r="FH253">
        <f>FG253*0.04</f>
        <v>0</v>
      </c>
      <c r="FI253">
        <f>ROUND(FH253+FG253,0)</f>
        <v>0</v>
      </c>
      <c r="FJ253">
        <v>0</v>
      </c>
      <c r="FK253">
        <f>FI253-FJ253</f>
        <v>0</v>
      </c>
      <c r="FL253" t="b">
        <f>IF(EA253&gt;500000,TRUE,FALSE)</f>
        <v>1</v>
      </c>
      <c r="FM253">
        <f ca="1">IF(FL253,RANDBETWEEN(500,1000),RANDBETWEEN(1000,3000))</f>
        <v>877</v>
      </c>
      <c r="FN253">
        <f ca="1">EA253+FM253</f>
        <v>559697</v>
      </c>
      <c r="FO253">
        <f>IF(EA253&gt;0,75000,0)</f>
        <v>75000</v>
      </c>
      <c r="FP253">
        <f ca="1">FN253-FO253</f>
        <v>484697</v>
      </c>
      <c r="FQ253">
        <f ca="1">IF(FP253&gt;2400000,FP253-2400000,0)</f>
        <v>0</v>
      </c>
      <c r="FR253">
        <f ca="1">FQ253*0.3</f>
        <v>0</v>
      </c>
      <c r="FS253">
        <f ca="1">IF(FP253&gt;2000000,FP253-2000000,0)</f>
        <v>0</v>
      </c>
      <c r="FT253">
        <f ca="1">FS253*0.25</f>
        <v>0</v>
      </c>
      <c r="FU253">
        <f ca="1">IF(FP253&gt;1600000,FP253-1600000-FQ253,0)</f>
        <v>0</v>
      </c>
      <c r="FV253">
        <f ca="1">FU253*0.2</f>
        <v>0</v>
      </c>
      <c r="FW253">
        <f ca="1">IF(FP253&gt;1200000,FP253-1200000-IF(F253="YES",50000,0)-FU253,0)</f>
        <v>0</v>
      </c>
      <c r="FX253">
        <f ca="1">FW253*0.15</f>
        <v>0</v>
      </c>
      <c r="FY253">
        <f ca="1">IF(FP253&gt;800000,FP253-800000-FQ253-FU253-FW253,0)</f>
        <v>0</v>
      </c>
      <c r="FZ253">
        <f ca="1">FY253*0.1</f>
        <v>0</v>
      </c>
      <c r="GA253">
        <f ca="1">IF(FP253&gt;400000,FP253-400000-FQ253-FU253-FW253-FY253,0)</f>
        <v>84697</v>
      </c>
      <c r="GB253">
        <f ca="1">GA253*0.05</f>
        <v>4234.8500000000004</v>
      </c>
      <c r="GC253">
        <f ca="1">ROUND(FR253+FT253+FV253+FX253+FZ253+GB253,0)</f>
        <v>4235</v>
      </c>
      <c r="GD253">
        <f ca="1">IF(FP253&gt;1200000,FP253,0)</f>
        <v>0</v>
      </c>
      <c r="GE253">
        <f ca="1">IF(FP253&gt;1200000,GD253-1200000,0)</f>
        <v>0</v>
      </c>
      <c r="GF253">
        <f ca="1">IF(FP253&lt;1200001,MIN(GC253,60000),0)</f>
        <v>4235</v>
      </c>
      <c r="GG253">
        <f ca="1">IF(FP253&gt;1200000,GC253-GE253,0)</f>
        <v>0</v>
      </c>
      <c r="GH253" t="b">
        <f ca="1">IF(GG253&gt;0,TRUE,FALSE)</f>
        <v>0</v>
      </c>
      <c r="GI253">
        <f ca="1">IF(GH253,GG253,0)</f>
        <v>0</v>
      </c>
      <c r="GJ253">
        <f ca="1">GF253+GI253</f>
        <v>4235</v>
      </c>
      <c r="GK253">
        <f ca="1">ROUND(GC253-GJ253,0)</f>
        <v>0</v>
      </c>
      <c r="GL253">
        <f ca="1">GK253*0.04</f>
        <v>0</v>
      </c>
      <c r="GM253">
        <f ca="1">ROUNDUP(GK253+GL253,0)</f>
        <v>0</v>
      </c>
    </row>
    <row r="254" spans="1:195" x14ac:dyDescent="0.25">
      <c r="A254">
        <f>_xlfn.AGGREGATE(3,5,$B$2:B254)</f>
        <v>253</v>
      </c>
      <c r="B254" t="s">
        <v>617</v>
      </c>
      <c r="C254" t="s">
        <v>618</v>
      </c>
      <c r="D254" t="s">
        <v>817</v>
      </c>
      <c r="E254" t="s">
        <v>833</v>
      </c>
      <c r="F254" t="s">
        <v>959</v>
      </c>
      <c r="G254" t="s">
        <v>880</v>
      </c>
      <c r="H254">
        <f>IF(_xlfn.DAYS("31-03-2025",G254)&gt;=180,6800,0)</f>
        <v>6800</v>
      </c>
      <c r="I254">
        <f>_xlfn.XLOOKUP(B254,'[1]march-2025'!$A:$A,'[1]march-2025'!$J:$J,0,0)</f>
        <v>0</v>
      </c>
      <c r="J254">
        <f>_xlfn.XLOOKUP(B254,'[1]march-2025'!$A:$A,'[1]march-2025'!$C:$C,0,0)</f>
        <v>34500</v>
      </c>
      <c r="K254">
        <f>J254*0.14</f>
        <v>4830.0000000000009</v>
      </c>
      <c r="L254">
        <f>J254*0.12</f>
        <v>4140</v>
      </c>
      <c r="M254">
        <f>_xlfn.XLOOKUP(B254,'[1]march-2025'!$A:$A,'[1]march-2025'!$D:$D,0,0)</f>
        <v>0</v>
      </c>
      <c r="N254">
        <f>_xlfn.XLOOKUP(B254,'[1]march-2025'!$A:$A,'[1]march-2025'!$G:$G,0,0)</f>
        <v>0</v>
      </c>
      <c r="O254">
        <f>IF(J254&gt;0,SUM(J254:N254),0)</f>
        <v>43470</v>
      </c>
      <c r="P254">
        <f>_xlfn.XLOOKUP(B254,'[1]march-2025'!$A:$A,'[1]march-2025'!$H:$H,0,0)</f>
        <v>5000</v>
      </c>
      <c r="Q254">
        <f>_xlfn.XLOOKUP(B254,'[1]march-2025'!$A:$A,'[1]march-2025'!$I:$I,0,0)</f>
        <v>0</v>
      </c>
      <c r="R254">
        <f>IF($F254="YES",0,IF(O254&gt;40000,200,IF(O254&gt;25000,150,IF(O254&gt;15000,130,IF(O254&gt;10000,110,0)))))</f>
        <v>200</v>
      </c>
      <c r="S254">
        <f>O254-P254-Q254-R254</f>
        <v>38270</v>
      </c>
      <c r="T254">
        <f>_xlfn.XLOOKUP(B254,'[2]april-2025'!$A:$A,'[2]april-2025'!$C:$C,0,0)</f>
        <v>34500</v>
      </c>
      <c r="U254">
        <f>T254*0.18</f>
        <v>6210</v>
      </c>
      <c r="V254">
        <f>T254*0.12</f>
        <v>4140</v>
      </c>
      <c r="W254">
        <f>_xlfn.XLOOKUP(B254,'[2]april-2025'!$A:$A,'[2]april-2025'!$D:$D,0,0)</f>
        <v>0</v>
      </c>
      <c r="X254">
        <f>_xlfn.XLOOKUP(B254,'[2]april-2025'!$A:$A,'[2]april-2025'!$G:$G,0,0)</f>
        <v>0</v>
      </c>
      <c r="Y254">
        <f>IF(T254&gt;0,SUM(T254:X254),0)</f>
        <v>44850</v>
      </c>
      <c r="Z254">
        <f>_xlfn.XLOOKUP(B254,'[2]april-2025'!$A:$A,'[2]april-2025'!$H:$H,0,0)</f>
        <v>5000</v>
      </c>
      <c r="AA254">
        <f>_xlfn.XLOOKUP(B254,'[2]april-2025'!$A:$A,'[2]april-2025'!$I:$I,0,0)</f>
        <v>0</v>
      </c>
      <c r="AB254">
        <f>IF($F254="YES",0,IF(Y254&gt;40000,200,IF(Y254&gt;25000,150,IF(Y254&gt;15000,130,IF(Y254&gt;10000,110,0)))))</f>
        <v>200</v>
      </c>
      <c r="AC254">
        <f>Y254-Z254-AA254-AB254</f>
        <v>39650</v>
      </c>
      <c r="AD254">
        <f>_xlfn.XLOOKUP(B254,'[3]may-2025'!$A:$A,'[3]may-2025'!$C:$C,0,0)</f>
        <v>34500</v>
      </c>
      <c r="AE254">
        <f>AD254*0.18</f>
        <v>6210</v>
      </c>
      <c r="AF254">
        <f>AD254*0.12</f>
        <v>4140</v>
      </c>
      <c r="AG254">
        <f>_xlfn.XLOOKUP(B254,'[3]may-2025'!$A:$A,'[3]may-2025'!$D:$D,0,0)</f>
        <v>0</v>
      </c>
      <c r="AH254">
        <f>_xlfn.XLOOKUP(B254,'[3]may-2025'!$A:$A,'[3]may-2025'!$G:$G,0,0)</f>
        <v>0</v>
      </c>
      <c r="AI254">
        <f>IF(AD254&gt;0,SUM(AD254:AH254),0)</f>
        <v>44850</v>
      </c>
      <c r="AJ254">
        <f>_xlfn.XLOOKUP(B254,'[3]may-2025'!$A:$A,'[3]may-2025'!$H:$H,0,0)</f>
        <v>5000</v>
      </c>
      <c r="AK254">
        <f>_xlfn.XLOOKUP(B254,'[3]may-2025'!$A:$A,'[3]may-2025'!$I:$I,0,0)</f>
        <v>0</v>
      </c>
      <c r="AL254">
        <f>IF($F254="YES",0,IF(AI254&gt;40000,200,IF(AI254&gt;25000,150,IF(AI254&gt;15000,130,IF(AI254&gt;10000,110,0)))))</f>
        <v>200</v>
      </c>
      <c r="AM254">
        <f>AI254-AJ254-AK254-AL254</f>
        <v>39650</v>
      </c>
      <c r="AN254">
        <f>_xlfn.XLOOKUP(B254,'[4]june-2025'!$A:$A,'[4]june-2025'!$C:$C,0,0)</f>
        <v>34500</v>
      </c>
      <c r="AO254">
        <f>AN254*0.18</f>
        <v>6210</v>
      </c>
      <c r="AP254">
        <f>AN254*0.12</f>
        <v>4140</v>
      </c>
      <c r="AQ254">
        <f>_xlfn.XLOOKUP(B254,'[4]june-2025'!$A:$A,'[4]june-2025'!$D:$D,0,0)</f>
        <v>0</v>
      </c>
      <c r="AR254">
        <f>_xlfn.XLOOKUP(B254,'[4]june-2025'!$A:$A,'[4]june-2025'!$G:$G,0,0)</f>
        <v>0</v>
      </c>
      <c r="AS254">
        <f>IF(AN254&gt;0,SUM(AN254:AR254),0)</f>
        <v>44850</v>
      </c>
      <c r="AT254">
        <f>_xlfn.XLOOKUP(B254,'[4]june-2025'!$A:$A,'[4]june-2025'!$H:$H,0,0)</f>
        <v>5000</v>
      </c>
      <c r="AU254">
        <f>_xlfn.XLOOKUP(B254,'[4]june-2025'!$A:$A,'[4]june-2025'!$I:$I,0,0)</f>
        <v>0</v>
      </c>
      <c r="AV254">
        <f>IF($F254="YES",0,IF(AS254&gt;40000,200,IF(AS254&gt;25000,150,IF(AS254&gt;15000,130,IF(AS254&gt;10000,110,0)))))</f>
        <v>200</v>
      </c>
      <c r="AW254">
        <f>AS254-AT254-AU254-AV254</f>
        <v>39650</v>
      </c>
      <c r="AX254">
        <f>_xlfn.XLOOKUP(B254,'[5]july-2025'!$A:$A,'[5]july-2025'!$C:$C,0,0)</f>
        <v>35500</v>
      </c>
      <c r="AY254">
        <f>AX254*0.18</f>
        <v>6390</v>
      </c>
      <c r="AZ254">
        <v>0</v>
      </c>
      <c r="BA254">
        <f>AX254*0.12</f>
        <v>4260</v>
      </c>
      <c r="BB254">
        <f>_xlfn.XLOOKUP(B254,'[5]july-2025'!$A:$A,'[5]july-2025'!$D:$D,0,0)</f>
        <v>0</v>
      </c>
      <c r="BC254">
        <f>_xlfn.XLOOKUP(B254,'[5]july-2025'!$A:$A,'[5]july-2025'!$G:$G,0,0)</f>
        <v>0</v>
      </c>
      <c r="BD254">
        <f>IF(AX254&gt;0,SUM(AX254:BC254),0)</f>
        <v>46150</v>
      </c>
      <c r="BE254">
        <f>_xlfn.XLOOKUP(B254,'[5]july-2025'!$A:$A,'[5]july-2025'!$H:$H,0,0)</f>
        <v>5000</v>
      </c>
      <c r="BF254">
        <f>_xlfn.XLOOKUP(B254,'[5]july-2025'!$A:$A,'[5]july-2025'!$I:$I,0,0)</f>
        <v>0</v>
      </c>
      <c r="BG254">
        <f>IF($F254="YES",0,IF(BD254&gt;40000,200,IF(BD254&gt;25000,150,IF(BD254&gt;15000,130,IF(BD254&gt;10000,110,0)))))</f>
        <v>200</v>
      </c>
      <c r="BH254">
        <f>BD254-BE254-BF254-BG254</f>
        <v>40950</v>
      </c>
      <c r="BI254">
        <f>_xlfn.XLOOKUP(B254,'[6]august-2025'!$A:$A,'[6]august-2025'!$C:$C,0,0)</f>
        <v>35500</v>
      </c>
      <c r="BJ254">
        <f>BI254*0.18</f>
        <v>6390</v>
      </c>
      <c r="BK254">
        <f>BI254*0.12</f>
        <v>4260</v>
      </c>
      <c r="BL254">
        <f>_xlfn.XLOOKUP(B254,'[6]august-2025'!$A:$A,'[6]august-2025'!$D:$D,0,0)</f>
        <v>0</v>
      </c>
      <c r="BM254">
        <f>_xlfn.XLOOKUP(B254,'[6]august-2025'!$A:$A,'[6]august-2025'!$G:$G,0,0)</f>
        <v>0</v>
      </c>
      <c r="BN254">
        <f>IF(BI254&gt;0,SUM(BI254:BM254),0)</f>
        <v>46150</v>
      </c>
      <c r="BO254">
        <f>_xlfn.XLOOKUP(B254,'[6]august-2025'!$A:$A,'[6]august-2025'!$H:$H,0,0)</f>
        <v>5000</v>
      </c>
      <c r="BP254">
        <f>_xlfn.XLOOKUP(B254,'[6]august-2025'!$A:$A,'[6]august-2025'!$I:$I,0,0)</f>
        <v>0</v>
      </c>
      <c r="BQ254">
        <f>IF($F254="YES",0,IF(BN254&gt;40000,200,IF(BN254&gt;25000,150,IF(BN254&gt;15000,130,IF(BN254&gt;10000,110,0)))))</f>
        <v>200</v>
      </c>
      <c r="BR254">
        <f>BN254-BO254-BP254-BQ254</f>
        <v>40950</v>
      </c>
      <c r="BS254">
        <f>_xlfn.XLOOKUP(B254,'[7]september-2025'!$A:$A,'[7]september-2025'!$C:$C,0,0)</f>
        <v>35500</v>
      </c>
      <c r="BT254">
        <f>BS254*0.18</f>
        <v>6390</v>
      </c>
      <c r="BU254">
        <f>BS254*0.12</f>
        <v>4260</v>
      </c>
      <c r="BV254">
        <f>_xlfn.XLOOKUP(B254,'[7]september-2025'!$A:$A,'[7]september-2025'!$D:$D,0,0)</f>
        <v>0</v>
      </c>
      <c r="BW254">
        <f>_xlfn.XLOOKUP(B254,'[7]september-2025'!$A:$A,'[7]september-2025'!$G:$G,0,0)</f>
        <v>0</v>
      </c>
      <c r="BX254">
        <f>IF(BS254&gt;0,SUM(BS254:BW254),0)</f>
        <v>46150</v>
      </c>
      <c r="BY254">
        <f>_xlfn.XLOOKUP(B254,'[7]september-2025'!$A:$A,'[7]september-2025'!$H:$H,0,0)</f>
        <v>5000</v>
      </c>
      <c r="BZ254">
        <f>_xlfn.XLOOKUP(B254,'[7]september-2025'!$A:$A,'[7]september-2025'!$I:$I,0,0)</f>
        <v>0</v>
      </c>
      <c r="CA254">
        <f>IF($F254="YES",0,IF(BX254&gt;40000,200,IF(BX254&gt;25000,150,IF(BX254&gt;15000,130,IF(BX254&gt;10000,110,0)))))</f>
        <v>200</v>
      </c>
      <c r="CB254">
        <f>BX254-BY254-BZ254-CA254</f>
        <v>40950</v>
      </c>
      <c r="CC254">
        <f>_xlfn.XLOOKUP(B254,'[8]october-2025'!$A:$A,'[8]october-2025'!$C:$C,0,0)</f>
        <v>35500</v>
      </c>
      <c r="CD254">
        <f>CC254*0.18</f>
        <v>6390</v>
      </c>
      <c r="CE254">
        <f>CC254*0.12</f>
        <v>4260</v>
      </c>
      <c r="CF254">
        <f>_xlfn.XLOOKUP(B254,'[8]october-2025'!$A:$A,'[8]october-2025'!$D:$D,0,0)</f>
        <v>0</v>
      </c>
      <c r="CG254">
        <f>_xlfn.XLOOKUP(B254,'[8]october-2025'!$A:$A,'[8]october-2025'!$G:$G,0,0)</f>
        <v>0</v>
      </c>
      <c r="CH254">
        <f>IF(CC254&gt;0,SUM(CC254:CG254),0)</f>
        <v>46150</v>
      </c>
      <c r="CI254">
        <f>_xlfn.XLOOKUP(B254,'[8]october-2025'!$A:$A,'[8]october-2025'!$H:$H,0,0)</f>
        <v>5000</v>
      </c>
      <c r="CJ254">
        <f>_xlfn.XLOOKUP(B254,'[8]october-2025'!$A:$A,'[8]october-2025'!$I:$I,0,0)</f>
        <v>0</v>
      </c>
      <c r="CK254">
        <f>IF($F254="YES",0,IF(CH254&gt;40000,200,IF(CH254&gt;25000,150,IF(CH254&gt;15000,130,IF(CH254&gt;10000,110,0)))))</f>
        <v>200</v>
      </c>
      <c r="CL254">
        <f>CH254-CI254-CJ254-CK254</f>
        <v>40950</v>
      </c>
      <c r="CM254">
        <f>_xlfn.XLOOKUP(B254,'[9]november-2025'!$A:$A,'[9]november-2025'!$C:$C,0,0)</f>
        <v>35500</v>
      </c>
      <c r="CN254">
        <f>CM254*0.18</f>
        <v>6390</v>
      </c>
      <c r="CO254">
        <f>CM254*0.12</f>
        <v>4260</v>
      </c>
      <c r="CP254">
        <f>_xlfn.XLOOKUP(B254,'[9]november-2025'!$A:$A,'[9]november-2025'!$D:$D,0,0)</f>
        <v>0</v>
      </c>
      <c r="CQ254">
        <f>_xlfn.XLOOKUP(B254,'[9]november-2025'!$A:$A,'[9]november-2025'!$G:$G,0,0)</f>
        <v>0</v>
      </c>
      <c r="CR254">
        <f>IF(CM254&gt;0,SUM(CM254:CQ254),0)</f>
        <v>46150</v>
      </c>
      <c r="CS254">
        <f>_xlfn.XLOOKUP(B254,'[9]november-2025'!$A:$A,'[9]november-2025'!$H:$H,0,0)</f>
        <v>5000</v>
      </c>
      <c r="CT254">
        <f>_xlfn.XLOOKUP(B254,'[9]november-2025'!$A:$A,'[9]november-2025'!$I:$I,0,0)</f>
        <v>0</v>
      </c>
      <c r="CU254">
        <f>IF($F254="YES",0,IF(CR254&gt;40000,200,IF(CR254&gt;25000,150,IF(CR254&gt;15000,130,IF(CR254&gt;10000,110,0)))))</f>
        <v>200</v>
      </c>
      <c r="CV254">
        <f>CR254-CS254-CT254-CU254</f>
        <v>40950</v>
      </c>
      <c r="CW254">
        <f>_xlfn.XLOOKUP(B254,'[10]december-2025'!$A:$A,'[10]december-2025'!$C:$C,0,0)</f>
        <v>35500</v>
      </c>
      <c r="CX254">
        <f>ROUND(CW254*0.18,0)</f>
        <v>6390</v>
      </c>
      <c r="CY254">
        <f>ROUND(CW254*0.12,0)</f>
        <v>4260</v>
      </c>
      <c r="CZ254">
        <f>_xlfn.XLOOKUP(B254,'[10]december-2025'!$A:$A,'[10]december-2025'!$D:$D,0,0)</f>
        <v>0</v>
      </c>
      <c r="DA254">
        <f>_xlfn.XLOOKUP(B254,'[10]december-2025'!$A:$A,'[10]december-2025'!$G:$G,0,0)</f>
        <v>0</v>
      </c>
      <c r="DB254">
        <f>IF(CW254&gt;0,SUM(CW254:DA254),0)</f>
        <v>46150</v>
      </c>
      <c r="DC254">
        <f>_xlfn.XLOOKUP(B254,'[10]december-2025'!$A:$A,'[10]december-2025'!$H:$H,0,0)</f>
        <v>5000</v>
      </c>
      <c r="DD254">
        <f>_xlfn.XLOOKUP(B254,'[10]december-2025'!$A:$A,'[10]december-2025'!$I:$I,0,0)</f>
        <v>0</v>
      </c>
      <c r="DE254">
        <f>IF($F254="YES",0,IF(DB254&gt;40000,200,IF(DB254&gt;25000,150,IF(DB254&gt;15000,130,IF(DB254&gt;10000,110,0)))))</f>
        <v>200</v>
      </c>
      <c r="DF254">
        <f>DB254-DC254-DD254-DE254</f>
        <v>40950</v>
      </c>
      <c r="DG254">
        <f>_xlfn.XLOOKUP(B254,'[11]january-2026'!$A:$A,'[11]january-2026'!$C:$C,0,0)</f>
        <v>35500</v>
      </c>
      <c r="DH254">
        <f>DG254*0.18</f>
        <v>6390</v>
      </c>
      <c r="DI254">
        <f>DG254*0.12</f>
        <v>4260</v>
      </c>
      <c r="DJ254">
        <f>_xlfn.XLOOKUP(B254,'[11]january-2026'!$A:$A,'[11]january-2026'!$D:$D,0,0)</f>
        <v>0</v>
      </c>
      <c r="DK254">
        <f>_xlfn.XLOOKUP(B254,'[11]january-2026'!$A:$A,'[11]january-2026'!$G:$G,0,0)</f>
        <v>0</v>
      </c>
      <c r="DL254">
        <f>IF(DG254&gt;0,SUM(DG254:DK254),0)</f>
        <v>46150</v>
      </c>
      <c r="DM254">
        <f>_xlfn.XLOOKUP(B254,'[11]january-2026'!$A:$A,'[11]january-2026'!$H:$H,0,0)</f>
        <v>5000</v>
      </c>
      <c r="DN254">
        <f>_xlfn.XLOOKUP(B254,'[11]january-2026'!$A:$A,'[11]january-2026'!$I:$I,0,0)</f>
        <v>0</v>
      </c>
      <c r="DO254">
        <f>IF($F254="YES",0,IF(DL254&gt;40000,200,IF(DL254&gt;25000,150,IF(DL254&gt;15000,130,IF(DL254&gt;10000,110,0)))))</f>
        <v>200</v>
      </c>
      <c r="DP254">
        <f>DL254-DM254-DN254-DO254</f>
        <v>40950</v>
      </c>
      <c r="DQ254">
        <f>_xlfn.XLOOKUP(B254,'[12]february-2026'!$A:$A,'[12]february-2026'!$C:$C,0,0)</f>
        <v>35500</v>
      </c>
      <c r="DR254">
        <f>DQ254*0.18</f>
        <v>6390</v>
      </c>
      <c r="DS254">
        <f>DQ254*0.12</f>
        <v>4260</v>
      </c>
      <c r="DT254">
        <f>_xlfn.XLOOKUP(B254,'[12]february-2026'!$A:$A,'[12]february-2026'!$D:$D,0,0)</f>
        <v>0</v>
      </c>
      <c r="DU254">
        <f>_xlfn.XLOOKUP(B254,'[12]february-2026'!$A:$A,'[12]february-2026'!$G:$G,0,0)</f>
        <v>0</v>
      </c>
      <c r="DV254">
        <f>IF(DQ254&gt;0,SUM(DQ254:DU254),0)</f>
        <v>46150</v>
      </c>
      <c r="DW254">
        <f>_xlfn.XLOOKUP(B254,'[12]february-2026'!$A:$A,'[12]february-2026'!$H:$H,0,0)</f>
        <v>5000</v>
      </c>
      <c r="DX254">
        <f>_xlfn.XLOOKUP(B254,'[12]february-2026'!$A:$A,'[12]february-2026'!$I:$I,0,0)</f>
        <v>0</v>
      </c>
      <c r="DY254">
        <f>IF($F254="YES",0,IF(DV254&gt;40000,200,IF(DV254&gt;25000,150,IF(DV254&gt;15000,130,IF(DV254&gt;10000,110,0)))))</f>
        <v>200</v>
      </c>
      <c r="DZ254">
        <f>DV254-DW254-DX254-DY254</f>
        <v>40950</v>
      </c>
      <c r="EA254">
        <f>DV254+DL254+DB254+CR254+CH254+BX254+BN254+BD254+AS254+AI254+Y254+O254+H254+I254</f>
        <v>554020</v>
      </c>
      <c r="EB254">
        <f>DY254+DO254+DE254+CU254+CK254+CA254+BQ254+BG254+AV254+AL254+AB254+R254</f>
        <v>2400</v>
      </c>
      <c r="EC254">
        <f>IF(EA254&gt;0,50000,0)</f>
        <v>50000</v>
      </c>
      <c r="ED254">
        <v>0</v>
      </c>
      <c r="EE254">
        <f>EA254-EB254-EC254</f>
        <v>501620</v>
      </c>
      <c r="EF254">
        <f>DW254+DM254+DC254+CS254+CI254+BY254+BO254+BE254+AT254+AJ254+Z254+P254</f>
        <v>60000</v>
      </c>
      <c r="EG254">
        <f>DX254+DN254+DD254+CT254+CJ254+BZ254+BP254+BF254+AU254+AK254+AA254+Q254</f>
        <v>0</v>
      </c>
      <c r="EH254">
        <v>0</v>
      </c>
      <c r="EI254">
        <v>0</v>
      </c>
      <c r="EJ254">
        <v>0</v>
      </c>
      <c r="EK254">
        <v>0</v>
      </c>
      <c r="EL254">
        <v>0</v>
      </c>
      <c r="EM254">
        <v>0</v>
      </c>
      <c r="EN254">
        <v>0</v>
      </c>
      <c r="EO254">
        <v>0</v>
      </c>
      <c r="EP254">
        <v>0</v>
      </c>
      <c r="EQ254">
        <v>0</v>
      </c>
      <c r="ER254">
        <f>SUM(EF254:EQ254)</f>
        <v>60000</v>
      </c>
      <c r="ES254">
        <f>IF(ER254&gt;=150000,150000,ER254)</f>
        <v>60000</v>
      </c>
      <c r="ET254">
        <f>EE254-ES254</f>
        <v>441620</v>
      </c>
      <c r="EU254">
        <v>0</v>
      </c>
      <c r="EV254">
        <v>0</v>
      </c>
      <c r="EW254">
        <v>0</v>
      </c>
      <c r="EX254">
        <v>0</v>
      </c>
      <c r="EY254">
        <v>0</v>
      </c>
      <c r="EZ254">
        <v>0</v>
      </c>
      <c r="FA254">
        <v>0</v>
      </c>
      <c r="FB254">
        <f>SUM(EU254:FA254)+(IF(F254="YES",50000,0))</f>
        <v>0</v>
      </c>
      <c r="FC254">
        <f>ET254-FB254</f>
        <v>441620</v>
      </c>
      <c r="FD254">
        <f>ROUND(IF(FC254&gt;0,IF(FC254&gt;500000,12500,(FC254-250000)*0.05),0),0)</f>
        <v>9581</v>
      </c>
      <c r="FE254">
        <f>IF(ROUND(IF(FC254&gt;0,IF(FC254&gt;1000000,25000,(FC254-500000)*0.2),0),0)&lt;0,0,ROUND(IF(FC254&gt;0,IF(FC254&gt;1000000,25000,(FC254-500000)*0.2),0),0))</f>
        <v>0</v>
      </c>
      <c r="FF254">
        <f>FD254+FE254</f>
        <v>9581</v>
      </c>
      <c r="FG254">
        <f>IF(FF254&lt;12500,0,FF254)</f>
        <v>0</v>
      </c>
      <c r="FH254">
        <f>FG254*0.04</f>
        <v>0</v>
      </c>
      <c r="FI254">
        <f>ROUND(FH254+FG254,0)</f>
        <v>0</v>
      </c>
      <c r="FJ254">
        <v>0</v>
      </c>
      <c r="FK254">
        <f>FI254-FJ254</f>
        <v>0</v>
      </c>
      <c r="FL254" t="b">
        <f>IF(EA254&gt;500000,TRUE,FALSE)</f>
        <v>1</v>
      </c>
      <c r="FM254">
        <f ca="1">IF(FL254,RANDBETWEEN(500,1000),RANDBETWEEN(1000,3000))</f>
        <v>892</v>
      </c>
      <c r="FN254">
        <f ca="1">EA254+FM254</f>
        <v>554912</v>
      </c>
      <c r="FO254">
        <f>IF(EA254&gt;0,75000,0)</f>
        <v>75000</v>
      </c>
      <c r="FP254">
        <f ca="1">FN254-FO254</f>
        <v>479912</v>
      </c>
      <c r="FQ254">
        <f ca="1">IF(FP254&gt;2400000,FP254-2400000,0)</f>
        <v>0</v>
      </c>
      <c r="FR254">
        <f ca="1">FQ254*0.3</f>
        <v>0</v>
      </c>
      <c r="FS254">
        <f ca="1">IF(FP254&gt;2000000,FP254-2000000,0)</f>
        <v>0</v>
      </c>
      <c r="FT254">
        <f ca="1">FS254*0.25</f>
        <v>0</v>
      </c>
      <c r="FU254">
        <f ca="1">IF(FP254&gt;1600000,FP254-1600000-FQ254,0)</f>
        <v>0</v>
      </c>
      <c r="FV254">
        <f ca="1">FU254*0.2</f>
        <v>0</v>
      </c>
      <c r="FW254">
        <f ca="1">IF(FP254&gt;1200000,FP254-1200000-IF(F254="YES",50000,0)-FU254,0)</f>
        <v>0</v>
      </c>
      <c r="FX254">
        <f ca="1">FW254*0.15</f>
        <v>0</v>
      </c>
      <c r="FY254">
        <f ca="1">IF(FP254&gt;800000,FP254-800000-FQ254-FU254-FW254,0)</f>
        <v>0</v>
      </c>
      <c r="FZ254">
        <f ca="1">FY254*0.1</f>
        <v>0</v>
      </c>
      <c r="GA254">
        <f ca="1">IF(FP254&gt;400000,FP254-400000-FQ254-FU254-FW254-FY254,0)</f>
        <v>79912</v>
      </c>
      <c r="GB254">
        <f ca="1">GA254*0.05</f>
        <v>3995.6000000000004</v>
      </c>
      <c r="GC254">
        <f ca="1">ROUND(FR254+FT254+FV254+FX254+FZ254+GB254,0)</f>
        <v>3996</v>
      </c>
      <c r="GD254">
        <f ca="1">IF(FP254&gt;1200000,FP254,0)</f>
        <v>0</v>
      </c>
      <c r="GE254">
        <f ca="1">IF(FP254&gt;1200000,GD254-1200000,0)</f>
        <v>0</v>
      </c>
      <c r="GF254">
        <f ca="1">IF(FP254&lt;1200001,MIN(GC254,60000),0)</f>
        <v>3996</v>
      </c>
      <c r="GG254">
        <f ca="1">IF(FP254&gt;1200000,GC254-GE254,0)</f>
        <v>0</v>
      </c>
      <c r="GH254" t="b">
        <f ca="1">IF(GG254&gt;0,TRUE,FALSE)</f>
        <v>0</v>
      </c>
      <c r="GI254">
        <f ca="1">IF(GH254,GG254,0)</f>
        <v>0</v>
      </c>
      <c r="GJ254">
        <f ca="1">GF254+GI254</f>
        <v>3996</v>
      </c>
      <c r="GK254">
        <f ca="1">ROUND(GC254-GJ254,0)</f>
        <v>0</v>
      </c>
      <c r="GL254">
        <f ca="1">GK254*0.04</f>
        <v>0</v>
      </c>
      <c r="GM254">
        <f ca="1">ROUNDUP(GK254+GL254,0)</f>
        <v>0</v>
      </c>
    </row>
    <row r="255" spans="1:195" x14ac:dyDescent="0.25">
      <c r="A255">
        <f>_xlfn.AGGREGATE(3,5,$B$2:B255)</f>
        <v>254</v>
      </c>
      <c r="B255" t="s">
        <v>619</v>
      </c>
      <c r="C255" t="s">
        <v>620</v>
      </c>
      <c r="D255" t="s">
        <v>818</v>
      </c>
      <c r="E255" t="s">
        <v>833</v>
      </c>
      <c r="F255" t="s">
        <v>959</v>
      </c>
      <c r="G255" t="s">
        <v>882</v>
      </c>
      <c r="H255">
        <f>IF(_xlfn.DAYS("31-03-2025",G255)&gt;=180,6800,0)</f>
        <v>6800</v>
      </c>
      <c r="I255">
        <f>_xlfn.XLOOKUP(B255,'[1]march-2025'!$A:$A,'[1]march-2025'!$J:$J,0,0)</f>
        <v>0</v>
      </c>
      <c r="J255">
        <f>_xlfn.XLOOKUP(B255,'[1]march-2025'!$A:$A,'[1]march-2025'!$C:$C,0,0)</f>
        <v>51700</v>
      </c>
      <c r="K255">
        <f>J255*0.14</f>
        <v>7238.0000000000009</v>
      </c>
      <c r="L255">
        <f>J255*0.12</f>
        <v>6204</v>
      </c>
      <c r="M255">
        <f>_xlfn.XLOOKUP(B255,'[1]march-2025'!$A:$A,'[1]march-2025'!$D:$D,0,0)</f>
        <v>400</v>
      </c>
      <c r="N255">
        <f>_xlfn.XLOOKUP(B255,'[1]march-2025'!$A:$A,'[1]march-2025'!$G:$G,0,0)</f>
        <v>500</v>
      </c>
      <c r="O255">
        <f>IF(J255&gt;0,SUM(J255:N255),0)</f>
        <v>66042</v>
      </c>
      <c r="P255">
        <f>_xlfn.XLOOKUP(B255,'[1]march-2025'!$A:$A,'[1]march-2025'!$H:$H,0,0)</f>
        <v>5000</v>
      </c>
      <c r="Q255">
        <f>_xlfn.XLOOKUP(B255,'[1]march-2025'!$A:$A,'[1]march-2025'!$I:$I,0,0)</f>
        <v>0</v>
      </c>
      <c r="R255">
        <f>IF($F255="YES",0,IF(O255&gt;40000,200,IF(O255&gt;25000,150,IF(O255&gt;15000,130,IF(O255&gt;10000,110,0)))))</f>
        <v>200</v>
      </c>
      <c r="S255">
        <f>O255-P255-Q255-R255</f>
        <v>60842</v>
      </c>
      <c r="T255">
        <f>_xlfn.XLOOKUP(B255,'[2]april-2025'!$A:$A,'[2]april-2025'!$C:$C,0,0)</f>
        <v>51700</v>
      </c>
      <c r="U255">
        <f>T255*0.18</f>
        <v>9306</v>
      </c>
      <c r="V255">
        <f>T255*0.12</f>
        <v>6204</v>
      </c>
      <c r="W255">
        <f>_xlfn.XLOOKUP(B255,'[2]april-2025'!$A:$A,'[2]april-2025'!$D:$D,0,0)</f>
        <v>400</v>
      </c>
      <c r="X255">
        <f>_xlfn.XLOOKUP(B255,'[2]april-2025'!$A:$A,'[2]april-2025'!$G:$G,0,0)</f>
        <v>500</v>
      </c>
      <c r="Y255">
        <f>IF(T255&gt;0,SUM(T255:X255),0)</f>
        <v>68110</v>
      </c>
      <c r="Z255">
        <f>_xlfn.XLOOKUP(B255,'[2]april-2025'!$A:$A,'[2]april-2025'!$H:$H,0,0)</f>
        <v>5000</v>
      </c>
      <c r="AA255">
        <f>_xlfn.XLOOKUP(B255,'[2]april-2025'!$A:$A,'[2]april-2025'!$I:$I,0,0)</f>
        <v>0</v>
      </c>
      <c r="AB255">
        <f>IF($F255="YES",0,IF(Y255&gt;40000,200,IF(Y255&gt;25000,150,IF(Y255&gt;15000,130,IF(Y255&gt;10000,110,0)))))</f>
        <v>200</v>
      </c>
      <c r="AC255">
        <f>Y255-Z255-AA255-AB255</f>
        <v>62910</v>
      </c>
      <c r="AD255">
        <f>_xlfn.XLOOKUP(B255,'[3]may-2025'!$A:$A,'[3]may-2025'!$C:$C,0,0)</f>
        <v>51700</v>
      </c>
      <c r="AE255">
        <f>AD255*0.18</f>
        <v>9306</v>
      </c>
      <c r="AF255">
        <f>AD255*0.12</f>
        <v>6204</v>
      </c>
      <c r="AG255">
        <f>_xlfn.XLOOKUP(B255,'[3]may-2025'!$A:$A,'[3]may-2025'!$D:$D,0,0)</f>
        <v>400</v>
      </c>
      <c r="AH255">
        <f>_xlfn.XLOOKUP(B255,'[3]may-2025'!$A:$A,'[3]may-2025'!$G:$G,0,0)</f>
        <v>500</v>
      </c>
      <c r="AI255">
        <f>IF(AD255&gt;0,SUM(AD255:AH255),0)</f>
        <v>68110</v>
      </c>
      <c r="AJ255">
        <f>_xlfn.XLOOKUP(B255,'[3]may-2025'!$A:$A,'[3]may-2025'!$H:$H,0,0)</f>
        <v>5000</v>
      </c>
      <c r="AK255">
        <f>_xlfn.XLOOKUP(B255,'[3]may-2025'!$A:$A,'[3]may-2025'!$I:$I,0,0)</f>
        <v>0</v>
      </c>
      <c r="AL255">
        <f>IF($F255="YES",0,IF(AI255&gt;40000,200,IF(AI255&gt;25000,150,IF(AI255&gt;15000,130,IF(AI255&gt;10000,110,0)))))</f>
        <v>200</v>
      </c>
      <c r="AM255">
        <f>AI255-AJ255-AK255-AL255</f>
        <v>62910</v>
      </c>
      <c r="AN255">
        <f>_xlfn.XLOOKUP(B255,'[4]june-2025'!$A:$A,'[4]june-2025'!$C:$C,0,0)</f>
        <v>51700</v>
      </c>
      <c r="AO255">
        <f>AN255*0.18</f>
        <v>9306</v>
      </c>
      <c r="AP255">
        <f>AN255*0.12</f>
        <v>6204</v>
      </c>
      <c r="AQ255">
        <f>_xlfn.XLOOKUP(B255,'[4]june-2025'!$A:$A,'[4]june-2025'!$D:$D,0,0)</f>
        <v>400</v>
      </c>
      <c r="AR255">
        <f>_xlfn.XLOOKUP(B255,'[4]june-2025'!$A:$A,'[4]june-2025'!$G:$G,0,0)</f>
        <v>500</v>
      </c>
      <c r="AS255">
        <f>IF(AN255&gt;0,SUM(AN255:AR255),0)</f>
        <v>68110</v>
      </c>
      <c r="AT255">
        <f>_xlfn.XLOOKUP(B255,'[4]june-2025'!$A:$A,'[4]june-2025'!$H:$H,0,0)</f>
        <v>5000</v>
      </c>
      <c r="AU255">
        <f>_xlfn.XLOOKUP(B255,'[4]june-2025'!$A:$A,'[4]june-2025'!$I:$I,0,0)</f>
        <v>0</v>
      </c>
      <c r="AV255">
        <f>IF($F255="YES",0,IF(AS255&gt;40000,200,IF(AS255&gt;25000,150,IF(AS255&gt;15000,130,IF(AS255&gt;10000,110,0)))))</f>
        <v>200</v>
      </c>
      <c r="AW255">
        <f>AS255-AT255-AU255-AV255</f>
        <v>62910</v>
      </c>
      <c r="AX255">
        <f>_xlfn.XLOOKUP(B255,'[5]july-2025'!$A:$A,'[5]july-2025'!$C:$C,0,0)</f>
        <v>53300</v>
      </c>
      <c r="AY255">
        <f>AX255*0.18</f>
        <v>9594</v>
      </c>
      <c r="AZ255">
        <v>0</v>
      </c>
      <c r="BA255">
        <f>AX255*0.12</f>
        <v>6396</v>
      </c>
      <c r="BB255">
        <f>_xlfn.XLOOKUP(B255,'[5]july-2025'!$A:$A,'[5]july-2025'!$D:$D,0,0)</f>
        <v>400</v>
      </c>
      <c r="BC255">
        <f>_xlfn.XLOOKUP(B255,'[5]july-2025'!$A:$A,'[5]july-2025'!$G:$G,0,0)</f>
        <v>500</v>
      </c>
      <c r="BD255">
        <f>IF(AX255&gt;0,SUM(AX255:BC255),0)</f>
        <v>70190</v>
      </c>
      <c r="BE255">
        <f>_xlfn.XLOOKUP(B255,'[5]july-2025'!$A:$A,'[5]july-2025'!$H:$H,0,0)</f>
        <v>5000</v>
      </c>
      <c r="BF255">
        <f>_xlfn.XLOOKUP(B255,'[5]july-2025'!$A:$A,'[5]july-2025'!$I:$I,0,0)</f>
        <v>0</v>
      </c>
      <c r="BG255">
        <f>IF($F255="YES",0,IF(BD255&gt;40000,200,IF(BD255&gt;25000,150,IF(BD255&gt;15000,130,IF(BD255&gt;10000,110,0)))))</f>
        <v>200</v>
      </c>
      <c r="BH255">
        <f>BD255-BE255-BF255-BG255</f>
        <v>64990</v>
      </c>
      <c r="BI255">
        <f>_xlfn.XLOOKUP(B255,'[6]august-2025'!$A:$A,'[6]august-2025'!$C:$C,0,0)</f>
        <v>53300</v>
      </c>
      <c r="BJ255">
        <f>BI255*0.18</f>
        <v>9594</v>
      </c>
      <c r="BK255">
        <f>BI255*0.12</f>
        <v>6396</v>
      </c>
      <c r="BL255">
        <f>_xlfn.XLOOKUP(B255,'[6]august-2025'!$A:$A,'[6]august-2025'!$D:$D,0,0)</f>
        <v>400</v>
      </c>
      <c r="BM255">
        <f>_xlfn.XLOOKUP(B255,'[6]august-2025'!$A:$A,'[6]august-2025'!$G:$G,0,0)</f>
        <v>500</v>
      </c>
      <c r="BN255">
        <f>IF(BI255&gt;0,SUM(BI255:BM255),0)</f>
        <v>70190</v>
      </c>
      <c r="BO255">
        <f>_xlfn.XLOOKUP(B255,'[6]august-2025'!$A:$A,'[6]august-2025'!$H:$H,0,0)</f>
        <v>5000</v>
      </c>
      <c r="BP255">
        <f>_xlfn.XLOOKUP(B255,'[6]august-2025'!$A:$A,'[6]august-2025'!$I:$I,0,0)</f>
        <v>0</v>
      </c>
      <c r="BQ255">
        <f>IF($F255="YES",0,IF(BN255&gt;40000,200,IF(BN255&gt;25000,150,IF(BN255&gt;15000,130,IF(BN255&gt;10000,110,0)))))</f>
        <v>200</v>
      </c>
      <c r="BR255">
        <f>BN255-BO255-BP255-BQ255</f>
        <v>64990</v>
      </c>
      <c r="BS255">
        <f>_xlfn.XLOOKUP(B255,'[7]september-2025'!$A:$A,'[7]september-2025'!$C:$C,0,0)</f>
        <v>53300</v>
      </c>
      <c r="BT255">
        <f>BS255*0.18</f>
        <v>9594</v>
      </c>
      <c r="BU255">
        <f>BS255*0.12</f>
        <v>6396</v>
      </c>
      <c r="BV255">
        <f>_xlfn.XLOOKUP(B255,'[7]september-2025'!$A:$A,'[7]september-2025'!$D:$D,0,0)</f>
        <v>400</v>
      </c>
      <c r="BW255">
        <f>_xlfn.XLOOKUP(B255,'[7]september-2025'!$A:$A,'[7]september-2025'!$G:$G,0,0)</f>
        <v>500</v>
      </c>
      <c r="BX255">
        <f>IF(BS255&gt;0,SUM(BS255:BW255),0)</f>
        <v>70190</v>
      </c>
      <c r="BY255">
        <f>_xlfn.XLOOKUP(B255,'[7]september-2025'!$A:$A,'[7]september-2025'!$H:$H,0,0)</f>
        <v>5000</v>
      </c>
      <c r="BZ255">
        <f>_xlfn.XLOOKUP(B255,'[7]september-2025'!$A:$A,'[7]september-2025'!$I:$I,0,0)</f>
        <v>0</v>
      </c>
      <c r="CA255">
        <f>IF($F255="YES",0,IF(BX255&gt;40000,200,IF(BX255&gt;25000,150,IF(BX255&gt;15000,130,IF(BX255&gt;10000,110,0)))))</f>
        <v>200</v>
      </c>
      <c r="CB255">
        <f>BX255-BY255-BZ255-CA255</f>
        <v>64990</v>
      </c>
      <c r="CC255">
        <f>_xlfn.XLOOKUP(B255,'[8]october-2025'!$A:$A,'[8]october-2025'!$C:$C,0,0)</f>
        <v>53300</v>
      </c>
      <c r="CD255">
        <f>CC255*0.18</f>
        <v>9594</v>
      </c>
      <c r="CE255">
        <f>CC255*0.12</f>
        <v>6396</v>
      </c>
      <c r="CF255">
        <f>_xlfn.XLOOKUP(B255,'[8]october-2025'!$A:$A,'[8]october-2025'!$D:$D,0,0)</f>
        <v>400</v>
      </c>
      <c r="CG255">
        <f>_xlfn.XLOOKUP(B255,'[8]october-2025'!$A:$A,'[8]october-2025'!$G:$G,0,0)</f>
        <v>500</v>
      </c>
      <c r="CH255">
        <f>IF(CC255&gt;0,SUM(CC255:CG255),0)</f>
        <v>70190</v>
      </c>
      <c r="CI255">
        <f>_xlfn.XLOOKUP(B255,'[8]october-2025'!$A:$A,'[8]october-2025'!$H:$H,0,0)</f>
        <v>5000</v>
      </c>
      <c r="CJ255">
        <f>_xlfn.XLOOKUP(B255,'[8]october-2025'!$A:$A,'[8]october-2025'!$I:$I,0,0)</f>
        <v>0</v>
      </c>
      <c r="CK255">
        <f>IF($F255="YES",0,IF(CH255&gt;40000,200,IF(CH255&gt;25000,150,IF(CH255&gt;15000,130,IF(CH255&gt;10000,110,0)))))</f>
        <v>200</v>
      </c>
      <c r="CL255">
        <f>CH255-CI255-CJ255-CK255</f>
        <v>64990</v>
      </c>
      <c r="CM255">
        <f>_xlfn.XLOOKUP(B255,'[9]november-2025'!$A:$A,'[9]november-2025'!$C:$C,0,0)</f>
        <v>53300</v>
      </c>
      <c r="CN255">
        <f>CM255*0.18</f>
        <v>9594</v>
      </c>
      <c r="CO255">
        <f>CM255*0.12</f>
        <v>6396</v>
      </c>
      <c r="CP255">
        <f>_xlfn.XLOOKUP(B255,'[9]november-2025'!$A:$A,'[9]november-2025'!$D:$D,0,0)</f>
        <v>400</v>
      </c>
      <c r="CQ255">
        <f>_xlfn.XLOOKUP(B255,'[9]november-2025'!$A:$A,'[9]november-2025'!$G:$G,0,0)</f>
        <v>500</v>
      </c>
      <c r="CR255">
        <f>IF(CM255&gt;0,SUM(CM255:CQ255),0)</f>
        <v>70190</v>
      </c>
      <c r="CS255">
        <f>_xlfn.XLOOKUP(B255,'[9]november-2025'!$A:$A,'[9]november-2025'!$H:$H,0,0)</f>
        <v>5000</v>
      </c>
      <c r="CT255">
        <f>_xlfn.XLOOKUP(B255,'[9]november-2025'!$A:$A,'[9]november-2025'!$I:$I,0,0)</f>
        <v>0</v>
      </c>
      <c r="CU255">
        <f>IF($F255="YES",0,IF(CR255&gt;40000,200,IF(CR255&gt;25000,150,IF(CR255&gt;15000,130,IF(CR255&gt;10000,110,0)))))</f>
        <v>200</v>
      </c>
      <c r="CV255">
        <f>CR255-CS255-CT255-CU255</f>
        <v>64990</v>
      </c>
      <c r="CW255">
        <f>_xlfn.XLOOKUP(B255,'[10]december-2025'!$A:$A,'[10]december-2025'!$C:$C,0,0)</f>
        <v>53300</v>
      </c>
      <c r="CX255">
        <f>ROUND(CW255*0.18,0)</f>
        <v>9594</v>
      </c>
      <c r="CY255">
        <f>ROUND(CW255*0.12,0)</f>
        <v>6396</v>
      </c>
      <c r="CZ255">
        <f>_xlfn.XLOOKUP(B255,'[10]december-2025'!$A:$A,'[10]december-2025'!$D:$D,0,0)</f>
        <v>400</v>
      </c>
      <c r="DA255">
        <f>_xlfn.XLOOKUP(B255,'[10]december-2025'!$A:$A,'[10]december-2025'!$G:$G,0,0)</f>
        <v>500</v>
      </c>
      <c r="DB255">
        <f>IF(CW255&gt;0,SUM(CW255:DA255),0)</f>
        <v>70190</v>
      </c>
      <c r="DC255">
        <f>_xlfn.XLOOKUP(B255,'[10]december-2025'!$A:$A,'[10]december-2025'!$H:$H,0,0)</f>
        <v>5000</v>
      </c>
      <c r="DD255">
        <f>_xlfn.XLOOKUP(B255,'[10]december-2025'!$A:$A,'[10]december-2025'!$I:$I,0,0)</f>
        <v>0</v>
      </c>
      <c r="DE255">
        <f>IF($F255="YES",0,IF(DB255&gt;40000,200,IF(DB255&gt;25000,150,IF(DB255&gt;15000,130,IF(DB255&gt;10000,110,0)))))</f>
        <v>200</v>
      </c>
      <c r="DF255">
        <f>DB255-DC255-DD255-DE255</f>
        <v>64990</v>
      </c>
      <c r="DG255">
        <f>_xlfn.XLOOKUP(B255,'[11]january-2026'!$A:$A,'[11]january-2026'!$C:$C,0,0)</f>
        <v>53300</v>
      </c>
      <c r="DH255">
        <f>DG255*0.18</f>
        <v>9594</v>
      </c>
      <c r="DI255">
        <f>DG255*0.12</f>
        <v>6396</v>
      </c>
      <c r="DJ255">
        <f>_xlfn.XLOOKUP(B255,'[11]january-2026'!$A:$A,'[11]january-2026'!$D:$D,0,0)</f>
        <v>400</v>
      </c>
      <c r="DK255">
        <f>_xlfn.XLOOKUP(B255,'[11]january-2026'!$A:$A,'[11]january-2026'!$G:$G,0,0)</f>
        <v>500</v>
      </c>
      <c r="DL255">
        <f>IF(DG255&gt;0,SUM(DG255:DK255),0)</f>
        <v>70190</v>
      </c>
      <c r="DM255">
        <f>_xlfn.XLOOKUP(B255,'[11]january-2026'!$A:$A,'[11]january-2026'!$H:$H,0,0)</f>
        <v>5000</v>
      </c>
      <c r="DN255">
        <f>_xlfn.XLOOKUP(B255,'[11]january-2026'!$A:$A,'[11]january-2026'!$I:$I,0,0)</f>
        <v>0</v>
      </c>
      <c r="DO255">
        <f>IF($F255="YES",0,IF(DL255&gt;40000,200,IF(DL255&gt;25000,150,IF(DL255&gt;15000,130,IF(DL255&gt;10000,110,0)))))</f>
        <v>200</v>
      </c>
      <c r="DP255">
        <f>DL255-DM255-DN255-DO255</f>
        <v>64990</v>
      </c>
      <c r="DQ255">
        <f>_xlfn.XLOOKUP(B255,'[12]february-2026'!$A:$A,'[12]february-2026'!$C:$C,0,0)</f>
        <v>53300</v>
      </c>
      <c r="DR255">
        <f>DQ255*0.18</f>
        <v>9594</v>
      </c>
      <c r="DS255">
        <f>DQ255*0.12</f>
        <v>6396</v>
      </c>
      <c r="DT255">
        <f>_xlfn.XLOOKUP(B255,'[12]february-2026'!$A:$A,'[12]february-2026'!$D:$D,0,0)</f>
        <v>400</v>
      </c>
      <c r="DU255">
        <f>_xlfn.XLOOKUP(B255,'[12]february-2026'!$A:$A,'[12]february-2026'!$G:$G,0,0)</f>
        <v>500</v>
      </c>
      <c r="DV255">
        <f>IF(DQ255&gt;0,SUM(DQ255:DU255),0)</f>
        <v>70190</v>
      </c>
      <c r="DW255">
        <f>_xlfn.XLOOKUP(B255,'[12]february-2026'!$A:$A,'[12]february-2026'!$H:$H,0,0)</f>
        <v>5000</v>
      </c>
      <c r="DX255">
        <f>_xlfn.XLOOKUP(B255,'[12]february-2026'!$A:$A,'[12]february-2026'!$I:$I,0,0)</f>
        <v>0</v>
      </c>
      <c r="DY255">
        <f>IF($F255="YES",0,IF(DV255&gt;40000,200,IF(DV255&gt;25000,150,IF(DV255&gt;15000,130,IF(DV255&gt;10000,110,0)))))</f>
        <v>200</v>
      </c>
      <c r="DZ255">
        <f>DV255-DW255-DX255-DY255</f>
        <v>64990</v>
      </c>
      <c r="EA255">
        <f>DV255+DL255+DB255+CR255+CH255+BX255+BN255+BD255+AS255+AI255+Y255+O255+H255+I255</f>
        <v>838692</v>
      </c>
      <c r="EB255">
        <f>DY255+DO255+DE255+CU255+CK255+CA255+BQ255+BG255+AV255+AL255+AB255+R255</f>
        <v>2400</v>
      </c>
      <c r="EC255">
        <f>IF(EA255&gt;0,50000,0)</f>
        <v>50000</v>
      </c>
      <c r="ED255">
        <v>0</v>
      </c>
      <c r="EE255">
        <f>EA255-EB255-EC255</f>
        <v>786292</v>
      </c>
      <c r="EF255">
        <f>DW255+DM255+DC255+CS255+CI255+BY255+BO255+BE255+AT255+AJ255+Z255+P255</f>
        <v>60000</v>
      </c>
      <c r="EG255">
        <f>DX255+DN255+DD255+CT255+CJ255+BZ255+BP255+BF255+AU255+AK255+AA255+Q255</f>
        <v>0</v>
      </c>
      <c r="EH255">
        <v>0</v>
      </c>
      <c r="EI255">
        <v>0</v>
      </c>
      <c r="EJ255">
        <v>0</v>
      </c>
      <c r="EK255">
        <v>0</v>
      </c>
      <c r="EL255">
        <v>0</v>
      </c>
      <c r="EM255">
        <v>0</v>
      </c>
      <c r="EN255">
        <v>0</v>
      </c>
      <c r="EO255">
        <v>0</v>
      </c>
      <c r="EP255">
        <v>0</v>
      </c>
      <c r="EQ255">
        <v>0</v>
      </c>
      <c r="ER255">
        <f>SUM(EF255:EQ255)</f>
        <v>60000</v>
      </c>
      <c r="ES255">
        <f>IF(ER255&gt;=150000,150000,ER255)</f>
        <v>60000</v>
      </c>
      <c r="ET255">
        <f>EE255-ES255</f>
        <v>726292</v>
      </c>
      <c r="EU255">
        <v>0</v>
      </c>
      <c r="EV255">
        <v>0</v>
      </c>
      <c r="EW255">
        <v>0</v>
      </c>
      <c r="EX255">
        <v>0</v>
      </c>
      <c r="EY255">
        <v>0</v>
      </c>
      <c r="EZ255">
        <v>0</v>
      </c>
      <c r="FA255">
        <v>0</v>
      </c>
      <c r="FB255">
        <f>SUM(EU255:FA255)+(IF(F255="YES",50000,0))</f>
        <v>0</v>
      </c>
      <c r="FC255">
        <f>ET255-FB255</f>
        <v>726292</v>
      </c>
      <c r="FD255">
        <f>ROUND(IF(FC255&gt;0,IF(FC255&gt;500000,12500,(FC255-250000)*0.05),0),0)</f>
        <v>12500</v>
      </c>
      <c r="FE255">
        <f>IF(ROUND(IF(FC255&gt;0,IF(FC255&gt;1000000,25000,(FC255-500000)*0.2),0),0)&lt;0,0,ROUND(IF(FC255&gt;0,IF(FC255&gt;1000000,25000,(FC255-500000)*0.2),0),0))</f>
        <v>45258</v>
      </c>
      <c r="FF255">
        <f>FD255+FE255</f>
        <v>57758</v>
      </c>
      <c r="FG255">
        <f>IF(FF255&lt;12500,0,FF255)</f>
        <v>57758</v>
      </c>
      <c r="FH255">
        <f>FG255*0.04</f>
        <v>2310.3200000000002</v>
      </c>
      <c r="FI255">
        <f>ROUND(FH255+FG255,0)</f>
        <v>60068</v>
      </c>
      <c r="FJ255">
        <v>0</v>
      </c>
      <c r="FK255">
        <f>FI255-FJ255</f>
        <v>60068</v>
      </c>
      <c r="FL255" t="b">
        <f>IF(EA255&gt;500000,TRUE,FALSE)</f>
        <v>1</v>
      </c>
      <c r="FM255">
        <f ca="1">IF(FL255,RANDBETWEEN(500,1000),RANDBETWEEN(1000,3000))</f>
        <v>529</v>
      </c>
      <c r="FN255">
        <f ca="1">EA255+FM255</f>
        <v>839221</v>
      </c>
      <c r="FO255">
        <f>IF(EA255&gt;0,75000,0)</f>
        <v>75000</v>
      </c>
      <c r="FP255">
        <f ca="1">FN255-FO255</f>
        <v>764221</v>
      </c>
      <c r="FQ255">
        <f ca="1">IF(FP255&gt;2400000,FP255-2400000,0)</f>
        <v>0</v>
      </c>
      <c r="FR255">
        <f ca="1">FQ255*0.3</f>
        <v>0</v>
      </c>
      <c r="FS255">
        <f ca="1">IF(FP255&gt;2000000,FP255-2000000,0)</f>
        <v>0</v>
      </c>
      <c r="FT255">
        <f ca="1">FS255*0.25</f>
        <v>0</v>
      </c>
      <c r="FU255">
        <f ca="1">IF(FP255&gt;1600000,FP255-1600000-FQ255,0)</f>
        <v>0</v>
      </c>
      <c r="FV255">
        <f ca="1">FU255*0.2</f>
        <v>0</v>
      </c>
      <c r="FW255">
        <f ca="1">IF(FP255&gt;1200000,FP255-1200000-IF(F255="YES",50000,0)-FU255,0)</f>
        <v>0</v>
      </c>
      <c r="FX255">
        <f ca="1">FW255*0.15</f>
        <v>0</v>
      </c>
      <c r="FY255">
        <f ca="1">IF(FP255&gt;800000,FP255-800000-FQ255-FU255-FW255,0)</f>
        <v>0</v>
      </c>
      <c r="FZ255">
        <f ca="1">FY255*0.1</f>
        <v>0</v>
      </c>
      <c r="GA255">
        <f ca="1">IF(FP255&gt;400000,FP255-400000-FQ255-FU255-FW255-FY255,0)</f>
        <v>364221</v>
      </c>
      <c r="GB255">
        <f ca="1">GA255*0.05</f>
        <v>18211.05</v>
      </c>
      <c r="GC255">
        <f ca="1">ROUND(FR255+FT255+FV255+FX255+FZ255+GB255,0)</f>
        <v>18211</v>
      </c>
      <c r="GD255">
        <f ca="1">IF(FP255&gt;1200000,FP255,0)</f>
        <v>0</v>
      </c>
      <c r="GE255">
        <f ca="1">IF(FP255&gt;1200000,GD255-1200000,0)</f>
        <v>0</v>
      </c>
      <c r="GF255">
        <f ca="1">IF(FP255&lt;1200001,MIN(GC255,60000),0)</f>
        <v>18211</v>
      </c>
      <c r="GG255">
        <f ca="1">IF(FP255&gt;1200000,GC255-GE255,0)</f>
        <v>0</v>
      </c>
      <c r="GH255" t="b">
        <f ca="1">IF(GG255&gt;0,TRUE,FALSE)</f>
        <v>0</v>
      </c>
      <c r="GI255">
        <f ca="1">IF(GH255,GG255,0)</f>
        <v>0</v>
      </c>
      <c r="GJ255">
        <f ca="1">GF255+GI255</f>
        <v>18211</v>
      </c>
      <c r="GK255">
        <f ca="1">ROUND(GC255-GJ255,0)</f>
        <v>0</v>
      </c>
      <c r="GL255">
        <f ca="1">GK255*0.04</f>
        <v>0</v>
      </c>
      <c r="GM255">
        <f ca="1">ROUNDUP(GK255+GL255,0)</f>
        <v>0</v>
      </c>
    </row>
    <row r="256" spans="1:195" x14ac:dyDescent="0.25">
      <c r="A256">
        <f>_xlfn.AGGREGATE(3,5,$B$2:B256)</f>
        <v>255</v>
      </c>
      <c r="B256" t="s">
        <v>621</v>
      </c>
      <c r="C256" t="s">
        <v>622</v>
      </c>
      <c r="D256" t="s">
        <v>818</v>
      </c>
      <c r="E256" t="s">
        <v>833</v>
      </c>
      <c r="F256" t="s">
        <v>959</v>
      </c>
      <c r="G256" t="s">
        <v>880</v>
      </c>
      <c r="H256">
        <f>IF(_xlfn.DAYS("31-03-2025",G256)&gt;=180,6800,0)</f>
        <v>6800</v>
      </c>
      <c r="I256">
        <f>_xlfn.XLOOKUP(B256,'[1]march-2025'!$A:$A,'[1]march-2025'!$J:$J,0,0)</f>
        <v>0</v>
      </c>
      <c r="J256">
        <f>_xlfn.XLOOKUP(B256,'[1]march-2025'!$A:$A,'[1]march-2025'!$C:$C,0,0)</f>
        <v>34500</v>
      </c>
      <c r="K256">
        <f>J256*0.14</f>
        <v>4830.0000000000009</v>
      </c>
      <c r="L256">
        <f>J256*0.12</f>
        <v>4140</v>
      </c>
      <c r="M256">
        <f>_xlfn.XLOOKUP(B256,'[1]march-2025'!$A:$A,'[1]march-2025'!$D:$D,0,0)</f>
        <v>0</v>
      </c>
      <c r="N256">
        <f>_xlfn.XLOOKUP(B256,'[1]march-2025'!$A:$A,'[1]march-2025'!$G:$G,0,0)</f>
        <v>500</v>
      </c>
      <c r="O256">
        <f>IF(J256&gt;0,SUM(J256:N256),0)</f>
        <v>43970</v>
      </c>
      <c r="P256">
        <f>_xlfn.XLOOKUP(B256,'[1]march-2025'!$A:$A,'[1]march-2025'!$H:$H,0,0)</f>
        <v>3000</v>
      </c>
      <c r="Q256">
        <f>_xlfn.XLOOKUP(B256,'[1]march-2025'!$A:$A,'[1]march-2025'!$I:$I,0,0)</f>
        <v>0</v>
      </c>
      <c r="R256">
        <f>IF($F256="YES",0,IF(O256&gt;40000,200,IF(O256&gt;25000,150,IF(O256&gt;15000,130,IF(O256&gt;10000,110,0)))))</f>
        <v>200</v>
      </c>
      <c r="S256">
        <f>O256-P256-Q256-R256</f>
        <v>40770</v>
      </c>
      <c r="T256">
        <f>_xlfn.XLOOKUP(B256,'[2]april-2025'!$A:$A,'[2]april-2025'!$C:$C,0,0)</f>
        <v>34500</v>
      </c>
      <c r="U256">
        <f>T256*0.18</f>
        <v>6210</v>
      </c>
      <c r="V256">
        <f>T256*0.12</f>
        <v>4140</v>
      </c>
      <c r="W256">
        <f>_xlfn.XLOOKUP(B256,'[2]april-2025'!$A:$A,'[2]april-2025'!$D:$D,0,0)</f>
        <v>0</v>
      </c>
      <c r="X256">
        <f>_xlfn.XLOOKUP(B256,'[2]april-2025'!$A:$A,'[2]april-2025'!$G:$G,0,0)</f>
        <v>500</v>
      </c>
      <c r="Y256">
        <f>IF(T256&gt;0,SUM(T256:X256),0)</f>
        <v>45350</v>
      </c>
      <c r="Z256">
        <f>_xlfn.XLOOKUP(B256,'[2]april-2025'!$A:$A,'[2]april-2025'!$H:$H,0,0)</f>
        <v>3000</v>
      </c>
      <c r="AA256">
        <f>_xlfn.XLOOKUP(B256,'[2]april-2025'!$A:$A,'[2]april-2025'!$I:$I,0,0)</f>
        <v>0</v>
      </c>
      <c r="AB256">
        <f>IF($F256="YES",0,IF(Y256&gt;40000,200,IF(Y256&gt;25000,150,IF(Y256&gt;15000,130,IF(Y256&gt;10000,110,0)))))</f>
        <v>200</v>
      </c>
      <c r="AC256">
        <f>Y256-Z256-AA256-AB256</f>
        <v>42150</v>
      </c>
      <c r="AD256">
        <f>_xlfn.XLOOKUP(B256,'[3]may-2025'!$A:$A,'[3]may-2025'!$C:$C,0,0)</f>
        <v>34500</v>
      </c>
      <c r="AE256">
        <f>AD256*0.18</f>
        <v>6210</v>
      </c>
      <c r="AF256">
        <f>AD256*0.12</f>
        <v>4140</v>
      </c>
      <c r="AG256">
        <f>_xlfn.XLOOKUP(B256,'[3]may-2025'!$A:$A,'[3]may-2025'!$D:$D,0,0)</f>
        <v>0</v>
      </c>
      <c r="AH256">
        <f>_xlfn.XLOOKUP(B256,'[3]may-2025'!$A:$A,'[3]may-2025'!$G:$G,0,0)</f>
        <v>500</v>
      </c>
      <c r="AI256">
        <f>IF(AD256&gt;0,SUM(AD256:AH256),0)</f>
        <v>45350</v>
      </c>
      <c r="AJ256">
        <f>_xlfn.XLOOKUP(B256,'[3]may-2025'!$A:$A,'[3]may-2025'!$H:$H,0,0)</f>
        <v>3000</v>
      </c>
      <c r="AK256">
        <f>_xlfn.XLOOKUP(B256,'[3]may-2025'!$A:$A,'[3]may-2025'!$I:$I,0,0)</f>
        <v>0</v>
      </c>
      <c r="AL256">
        <f>IF($F256="YES",0,IF(AI256&gt;40000,200,IF(AI256&gt;25000,150,IF(AI256&gt;15000,130,IF(AI256&gt;10000,110,0)))))</f>
        <v>200</v>
      </c>
      <c r="AM256">
        <f>AI256-AJ256-AK256-AL256</f>
        <v>42150</v>
      </c>
      <c r="AN256">
        <f>_xlfn.XLOOKUP(B256,'[4]june-2025'!$A:$A,'[4]june-2025'!$C:$C,0,0)</f>
        <v>34500</v>
      </c>
      <c r="AO256">
        <f>AN256*0.18</f>
        <v>6210</v>
      </c>
      <c r="AP256">
        <f>AN256*0.12</f>
        <v>4140</v>
      </c>
      <c r="AQ256">
        <f>_xlfn.XLOOKUP(B256,'[4]june-2025'!$A:$A,'[4]june-2025'!$D:$D,0,0)</f>
        <v>0</v>
      </c>
      <c r="AR256">
        <f>_xlfn.XLOOKUP(B256,'[4]june-2025'!$A:$A,'[4]june-2025'!$G:$G,0,0)</f>
        <v>500</v>
      </c>
      <c r="AS256">
        <f>IF(AN256&gt;0,SUM(AN256:AR256),0)</f>
        <v>45350</v>
      </c>
      <c r="AT256">
        <f>_xlfn.XLOOKUP(B256,'[4]june-2025'!$A:$A,'[4]june-2025'!$H:$H,0,0)</f>
        <v>3000</v>
      </c>
      <c r="AU256">
        <f>_xlfn.XLOOKUP(B256,'[4]june-2025'!$A:$A,'[4]june-2025'!$I:$I,0,0)</f>
        <v>0</v>
      </c>
      <c r="AV256">
        <f>IF($F256="YES",0,IF(AS256&gt;40000,200,IF(AS256&gt;25000,150,IF(AS256&gt;15000,130,IF(AS256&gt;10000,110,0)))))</f>
        <v>200</v>
      </c>
      <c r="AW256">
        <f>AS256-AT256-AU256-AV256</f>
        <v>42150</v>
      </c>
      <c r="AX256">
        <f>_xlfn.XLOOKUP(B256,'[5]july-2025'!$A:$A,'[5]july-2025'!$C:$C,0,0)</f>
        <v>35500</v>
      </c>
      <c r="AY256">
        <f>AX256*0.18</f>
        <v>6390</v>
      </c>
      <c r="AZ256">
        <v>0</v>
      </c>
      <c r="BA256">
        <f>AX256*0.12</f>
        <v>4260</v>
      </c>
      <c r="BB256">
        <f>_xlfn.XLOOKUP(B256,'[5]july-2025'!$A:$A,'[5]july-2025'!$D:$D,0,0)</f>
        <v>0</v>
      </c>
      <c r="BC256">
        <f>_xlfn.XLOOKUP(B256,'[5]july-2025'!$A:$A,'[5]july-2025'!$G:$G,0,0)</f>
        <v>500</v>
      </c>
      <c r="BD256">
        <f>IF(AX256&gt;0,SUM(AX256:BC256),0)</f>
        <v>46650</v>
      </c>
      <c r="BE256">
        <f>_xlfn.XLOOKUP(B256,'[5]july-2025'!$A:$A,'[5]july-2025'!$H:$H,0,0)</f>
        <v>3000</v>
      </c>
      <c r="BF256">
        <f>_xlfn.XLOOKUP(B256,'[5]july-2025'!$A:$A,'[5]july-2025'!$I:$I,0,0)</f>
        <v>0</v>
      </c>
      <c r="BG256">
        <f>IF($F256="YES",0,IF(BD256&gt;40000,200,IF(BD256&gt;25000,150,IF(BD256&gt;15000,130,IF(BD256&gt;10000,110,0)))))</f>
        <v>200</v>
      </c>
      <c r="BH256">
        <f>BD256-BE256-BF256-BG256</f>
        <v>43450</v>
      </c>
      <c r="BI256">
        <f>_xlfn.XLOOKUP(B256,'[6]august-2025'!$A:$A,'[6]august-2025'!$C:$C,0,0)</f>
        <v>35500</v>
      </c>
      <c r="BJ256">
        <f>BI256*0.18</f>
        <v>6390</v>
      </c>
      <c r="BK256">
        <f>BI256*0.12</f>
        <v>4260</v>
      </c>
      <c r="BL256">
        <f>_xlfn.XLOOKUP(B256,'[6]august-2025'!$A:$A,'[6]august-2025'!$D:$D,0,0)</f>
        <v>0</v>
      </c>
      <c r="BM256">
        <f>_xlfn.XLOOKUP(B256,'[6]august-2025'!$A:$A,'[6]august-2025'!$G:$G,0,0)</f>
        <v>500</v>
      </c>
      <c r="BN256">
        <f>IF(BI256&gt;0,SUM(BI256:BM256),0)</f>
        <v>46650</v>
      </c>
      <c r="BO256">
        <f>_xlfn.XLOOKUP(B256,'[6]august-2025'!$A:$A,'[6]august-2025'!$H:$H,0,0)</f>
        <v>3000</v>
      </c>
      <c r="BP256">
        <f>_xlfn.XLOOKUP(B256,'[6]august-2025'!$A:$A,'[6]august-2025'!$I:$I,0,0)</f>
        <v>0</v>
      </c>
      <c r="BQ256">
        <f>IF($F256="YES",0,IF(BN256&gt;40000,200,IF(BN256&gt;25000,150,IF(BN256&gt;15000,130,IF(BN256&gt;10000,110,0)))))</f>
        <v>200</v>
      </c>
      <c r="BR256">
        <f>BN256-BO256-BP256-BQ256</f>
        <v>43450</v>
      </c>
      <c r="BS256">
        <f>_xlfn.XLOOKUP(B256,'[7]september-2025'!$A:$A,'[7]september-2025'!$C:$C,0,0)</f>
        <v>35500</v>
      </c>
      <c r="BT256">
        <f>BS256*0.18</f>
        <v>6390</v>
      </c>
      <c r="BU256">
        <f>BS256*0.12</f>
        <v>4260</v>
      </c>
      <c r="BV256">
        <f>_xlfn.XLOOKUP(B256,'[7]september-2025'!$A:$A,'[7]september-2025'!$D:$D,0,0)</f>
        <v>0</v>
      </c>
      <c r="BW256">
        <f>_xlfn.XLOOKUP(B256,'[7]september-2025'!$A:$A,'[7]september-2025'!$G:$G,0,0)</f>
        <v>500</v>
      </c>
      <c r="BX256">
        <f>IF(BS256&gt;0,SUM(BS256:BW256),0)</f>
        <v>46650</v>
      </c>
      <c r="BY256">
        <f>_xlfn.XLOOKUP(B256,'[7]september-2025'!$A:$A,'[7]september-2025'!$H:$H,0,0)</f>
        <v>3000</v>
      </c>
      <c r="BZ256">
        <f>_xlfn.XLOOKUP(B256,'[7]september-2025'!$A:$A,'[7]september-2025'!$I:$I,0,0)</f>
        <v>0</v>
      </c>
      <c r="CA256">
        <f>IF($F256="YES",0,IF(BX256&gt;40000,200,IF(BX256&gt;25000,150,IF(BX256&gt;15000,130,IF(BX256&gt;10000,110,0)))))</f>
        <v>200</v>
      </c>
      <c r="CB256">
        <f>BX256-BY256-BZ256-CA256</f>
        <v>43450</v>
      </c>
      <c r="CC256">
        <f>_xlfn.XLOOKUP(B256,'[8]october-2025'!$A:$A,'[8]october-2025'!$C:$C,0,0)</f>
        <v>35500</v>
      </c>
      <c r="CD256">
        <f>CC256*0.18</f>
        <v>6390</v>
      </c>
      <c r="CE256">
        <f>CC256*0.12</f>
        <v>4260</v>
      </c>
      <c r="CF256">
        <f>_xlfn.XLOOKUP(B256,'[8]october-2025'!$A:$A,'[8]october-2025'!$D:$D,0,0)</f>
        <v>0</v>
      </c>
      <c r="CG256">
        <f>_xlfn.XLOOKUP(B256,'[8]october-2025'!$A:$A,'[8]october-2025'!$G:$G,0,0)</f>
        <v>500</v>
      </c>
      <c r="CH256">
        <f>IF(CC256&gt;0,SUM(CC256:CG256),0)</f>
        <v>46650</v>
      </c>
      <c r="CI256">
        <f>_xlfn.XLOOKUP(B256,'[8]october-2025'!$A:$A,'[8]october-2025'!$H:$H,0,0)</f>
        <v>3000</v>
      </c>
      <c r="CJ256">
        <f>_xlfn.XLOOKUP(B256,'[8]october-2025'!$A:$A,'[8]october-2025'!$I:$I,0,0)</f>
        <v>0</v>
      </c>
      <c r="CK256">
        <f>IF($F256="YES",0,IF(CH256&gt;40000,200,IF(CH256&gt;25000,150,IF(CH256&gt;15000,130,IF(CH256&gt;10000,110,0)))))</f>
        <v>200</v>
      </c>
      <c r="CL256">
        <f>CH256-CI256-CJ256-CK256</f>
        <v>43450</v>
      </c>
      <c r="CM256">
        <f>_xlfn.XLOOKUP(B256,'[9]november-2025'!$A:$A,'[9]november-2025'!$C:$C,0,0)</f>
        <v>35500</v>
      </c>
      <c r="CN256">
        <f>CM256*0.18</f>
        <v>6390</v>
      </c>
      <c r="CO256">
        <f>CM256*0.12</f>
        <v>4260</v>
      </c>
      <c r="CP256">
        <f>_xlfn.XLOOKUP(B256,'[9]november-2025'!$A:$A,'[9]november-2025'!$D:$D,0,0)</f>
        <v>0</v>
      </c>
      <c r="CQ256">
        <f>_xlfn.XLOOKUP(B256,'[9]november-2025'!$A:$A,'[9]november-2025'!$G:$G,0,0)</f>
        <v>500</v>
      </c>
      <c r="CR256">
        <f>IF(CM256&gt;0,SUM(CM256:CQ256),0)</f>
        <v>46650</v>
      </c>
      <c r="CS256">
        <f>_xlfn.XLOOKUP(B256,'[9]november-2025'!$A:$A,'[9]november-2025'!$H:$H,0,0)</f>
        <v>3000</v>
      </c>
      <c r="CT256">
        <f>_xlfn.XLOOKUP(B256,'[9]november-2025'!$A:$A,'[9]november-2025'!$I:$I,0,0)</f>
        <v>0</v>
      </c>
      <c r="CU256">
        <f>IF($F256="YES",0,IF(CR256&gt;40000,200,IF(CR256&gt;25000,150,IF(CR256&gt;15000,130,IF(CR256&gt;10000,110,0)))))</f>
        <v>200</v>
      </c>
      <c r="CV256">
        <f>CR256-CS256-CT256-CU256</f>
        <v>43450</v>
      </c>
      <c r="CW256">
        <f>_xlfn.XLOOKUP(B256,'[10]december-2025'!$A:$A,'[10]december-2025'!$C:$C,0,0)</f>
        <v>35500</v>
      </c>
      <c r="CX256">
        <f>ROUND(CW256*0.18,0)</f>
        <v>6390</v>
      </c>
      <c r="CY256">
        <f>ROUND(CW256*0.12,0)</f>
        <v>4260</v>
      </c>
      <c r="CZ256">
        <f>_xlfn.XLOOKUP(B256,'[10]december-2025'!$A:$A,'[10]december-2025'!$D:$D,0,0)</f>
        <v>0</v>
      </c>
      <c r="DA256">
        <f>_xlfn.XLOOKUP(B256,'[10]december-2025'!$A:$A,'[10]december-2025'!$G:$G,0,0)</f>
        <v>500</v>
      </c>
      <c r="DB256">
        <f>IF(CW256&gt;0,SUM(CW256:DA256),0)</f>
        <v>46650</v>
      </c>
      <c r="DC256">
        <f>_xlfn.XLOOKUP(B256,'[10]december-2025'!$A:$A,'[10]december-2025'!$H:$H,0,0)</f>
        <v>3000</v>
      </c>
      <c r="DD256">
        <f>_xlfn.XLOOKUP(B256,'[10]december-2025'!$A:$A,'[10]december-2025'!$I:$I,0,0)</f>
        <v>0</v>
      </c>
      <c r="DE256">
        <f>IF($F256="YES",0,IF(DB256&gt;40000,200,IF(DB256&gt;25000,150,IF(DB256&gt;15000,130,IF(DB256&gt;10000,110,0)))))</f>
        <v>200</v>
      </c>
      <c r="DF256">
        <f>DB256-DC256-DD256-DE256</f>
        <v>43450</v>
      </c>
      <c r="DG256">
        <f>_xlfn.XLOOKUP(B256,'[11]january-2026'!$A:$A,'[11]january-2026'!$C:$C,0,0)</f>
        <v>35500</v>
      </c>
      <c r="DH256">
        <f>DG256*0.18</f>
        <v>6390</v>
      </c>
      <c r="DI256">
        <f>DG256*0.12</f>
        <v>4260</v>
      </c>
      <c r="DJ256">
        <f>_xlfn.XLOOKUP(B256,'[11]january-2026'!$A:$A,'[11]january-2026'!$D:$D,0,0)</f>
        <v>0</v>
      </c>
      <c r="DK256">
        <f>_xlfn.XLOOKUP(B256,'[11]january-2026'!$A:$A,'[11]january-2026'!$G:$G,0,0)</f>
        <v>500</v>
      </c>
      <c r="DL256">
        <f>IF(DG256&gt;0,SUM(DG256:DK256),0)</f>
        <v>46650</v>
      </c>
      <c r="DM256">
        <f>_xlfn.XLOOKUP(B256,'[11]january-2026'!$A:$A,'[11]january-2026'!$H:$H,0,0)</f>
        <v>3000</v>
      </c>
      <c r="DN256">
        <f>_xlfn.XLOOKUP(B256,'[11]january-2026'!$A:$A,'[11]january-2026'!$I:$I,0,0)</f>
        <v>0</v>
      </c>
      <c r="DO256">
        <f>IF($F256="YES",0,IF(DL256&gt;40000,200,IF(DL256&gt;25000,150,IF(DL256&gt;15000,130,IF(DL256&gt;10000,110,0)))))</f>
        <v>200</v>
      </c>
      <c r="DP256">
        <f>DL256-DM256-DN256-DO256</f>
        <v>43450</v>
      </c>
      <c r="DQ256">
        <f>_xlfn.XLOOKUP(B256,'[12]february-2026'!$A:$A,'[12]february-2026'!$C:$C,0,0)</f>
        <v>35500</v>
      </c>
      <c r="DR256">
        <f>DQ256*0.18</f>
        <v>6390</v>
      </c>
      <c r="DS256">
        <f>DQ256*0.12</f>
        <v>4260</v>
      </c>
      <c r="DT256">
        <f>_xlfn.XLOOKUP(B256,'[12]february-2026'!$A:$A,'[12]february-2026'!$D:$D,0,0)</f>
        <v>0</v>
      </c>
      <c r="DU256">
        <f>_xlfn.XLOOKUP(B256,'[12]february-2026'!$A:$A,'[12]february-2026'!$G:$G,0,0)</f>
        <v>500</v>
      </c>
      <c r="DV256">
        <f>IF(DQ256&gt;0,SUM(DQ256:DU256),0)</f>
        <v>46650</v>
      </c>
      <c r="DW256">
        <f>_xlfn.XLOOKUP(B256,'[12]february-2026'!$A:$A,'[12]february-2026'!$H:$H,0,0)</f>
        <v>3000</v>
      </c>
      <c r="DX256">
        <f>_xlfn.XLOOKUP(B256,'[12]february-2026'!$A:$A,'[12]february-2026'!$I:$I,0,0)</f>
        <v>0</v>
      </c>
      <c r="DY256">
        <f>IF($F256="YES",0,IF(DV256&gt;40000,200,IF(DV256&gt;25000,150,IF(DV256&gt;15000,130,IF(DV256&gt;10000,110,0)))))</f>
        <v>200</v>
      </c>
      <c r="DZ256">
        <f>DV256-DW256-DX256-DY256</f>
        <v>43450</v>
      </c>
      <c r="EA256">
        <f>DV256+DL256+DB256+CR256+CH256+BX256+BN256+BD256+AS256+AI256+Y256+O256+H256+I256</f>
        <v>560020</v>
      </c>
      <c r="EB256">
        <f>DY256+DO256+DE256+CU256+CK256+CA256+BQ256+BG256+AV256+AL256+AB256+R256</f>
        <v>2400</v>
      </c>
      <c r="EC256">
        <f>IF(EA256&gt;0,50000,0)</f>
        <v>50000</v>
      </c>
      <c r="ED256">
        <v>0</v>
      </c>
      <c r="EE256">
        <f>EA256-EB256-EC256</f>
        <v>507620</v>
      </c>
      <c r="EF256">
        <f>DW256+DM256+DC256+CS256+CI256+BY256+BO256+BE256+AT256+AJ256+Z256+P256</f>
        <v>36000</v>
      </c>
      <c r="EG256">
        <f>DX256+DN256+DD256+CT256+CJ256+BZ256+BP256+BF256+AU256+AK256+AA256+Q256</f>
        <v>0</v>
      </c>
      <c r="EH256">
        <v>0</v>
      </c>
      <c r="EI256">
        <v>0</v>
      </c>
      <c r="EJ256">
        <v>0</v>
      </c>
      <c r="EK256">
        <v>0</v>
      </c>
      <c r="EL256">
        <v>0</v>
      </c>
      <c r="EM256">
        <v>0</v>
      </c>
      <c r="EN256">
        <v>0</v>
      </c>
      <c r="EO256">
        <v>0</v>
      </c>
      <c r="EP256">
        <v>0</v>
      </c>
      <c r="EQ256">
        <v>0</v>
      </c>
      <c r="ER256">
        <f>SUM(EF256:EQ256)</f>
        <v>36000</v>
      </c>
      <c r="ES256">
        <f>IF(ER256&gt;=150000,150000,ER256)</f>
        <v>36000</v>
      </c>
      <c r="ET256">
        <f>EE256-ES256</f>
        <v>471620</v>
      </c>
      <c r="EU256">
        <v>0</v>
      </c>
      <c r="EV256">
        <v>0</v>
      </c>
      <c r="EW256">
        <v>0</v>
      </c>
      <c r="EX256">
        <v>0</v>
      </c>
      <c r="EY256">
        <v>0</v>
      </c>
      <c r="EZ256">
        <v>0</v>
      </c>
      <c r="FA256">
        <v>0</v>
      </c>
      <c r="FB256">
        <f>SUM(EU256:FA256)+(IF(F256="YES",50000,0))</f>
        <v>0</v>
      </c>
      <c r="FC256">
        <f>ET256-FB256</f>
        <v>471620</v>
      </c>
      <c r="FD256">
        <f>ROUND(IF(FC256&gt;0,IF(FC256&gt;500000,12500,(FC256-250000)*0.05),0),0)</f>
        <v>11081</v>
      </c>
      <c r="FE256">
        <f>IF(ROUND(IF(FC256&gt;0,IF(FC256&gt;1000000,25000,(FC256-500000)*0.2),0),0)&lt;0,0,ROUND(IF(FC256&gt;0,IF(FC256&gt;1000000,25000,(FC256-500000)*0.2),0),0))</f>
        <v>0</v>
      </c>
      <c r="FF256">
        <f>FD256+FE256</f>
        <v>11081</v>
      </c>
      <c r="FG256">
        <f>IF(FF256&lt;12500,0,FF256)</f>
        <v>0</v>
      </c>
      <c r="FH256">
        <f>FG256*0.04</f>
        <v>0</v>
      </c>
      <c r="FI256">
        <f>ROUND(FH256+FG256,0)</f>
        <v>0</v>
      </c>
      <c r="FJ256">
        <v>0</v>
      </c>
      <c r="FK256">
        <f>FI256-FJ256</f>
        <v>0</v>
      </c>
      <c r="FL256" t="b">
        <f>IF(EA256&gt;500000,TRUE,FALSE)</f>
        <v>1</v>
      </c>
      <c r="FM256">
        <f ca="1">IF(FL256,RANDBETWEEN(500,1000),RANDBETWEEN(1000,3000))</f>
        <v>874</v>
      </c>
      <c r="FN256">
        <f ca="1">EA256+FM256</f>
        <v>560894</v>
      </c>
      <c r="FO256">
        <f>IF(EA256&gt;0,75000,0)</f>
        <v>75000</v>
      </c>
      <c r="FP256">
        <f ca="1">FN256-FO256</f>
        <v>485894</v>
      </c>
      <c r="FQ256">
        <f ca="1">IF(FP256&gt;2400000,FP256-2400000,0)</f>
        <v>0</v>
      </c>
      <c r="FR256">
        <f ca="1">FQ256*0.3</f>
        <v>0</v>
      </c>
      <c r="FS256">
        <f ca="1">IF(FP256&gt;2000000,FP256-2000000,0)</f>
        <v>0</v>
      </c>
      <c r="FT256">
        <f ca="1">FS256*0.25</f>
        <v>0</v>
      </c>
      <c r="FU256">
        <f ca="1">IF(FP256&gt;1600000,FP256-1600000-FQ256,0)</f>
        <v>0</v>
      </c>
      <c r="FV256">
        <f ca="1">FU256*0.2</f>
        <v>0</v>
      </c>
      <c r="FW256">
        <f ca="1">IF(FP256&gt;1200000,FP256-1200000-IF(F256="YES",50000,0)-FU256,0)</f>
        <v>0</v>
      </c>
      <c r="FX256">
        <f ca="1">FW256*0.15</f>
        <v>0</v>
      </c>
      <c r="FY256">
        <f ca="1">IF(FP256&gt;800000,FP256-800000-FQ256-FU256-FW256,0)</f>
        <v>0</v>
      </c>
      <c r="FZ256">
        <f ca="1">FY256*0.1</f>
        <v>0</v>
      </c>
      <c r="GA256">
        <f ca="1">IF(FP256&gt;400000,FP256-400000-FQ256-FU256-FW256-FY256,0)</f>
        <v>85894</v>
      </c>
      <c r="GB256">
        <f ca="1">GA256*0.05</f>
        <v>4294.7</v>
      </c>
      <c r="GC256">
        <f ca="1">ROUND(FR256+FT256+FV256+FX256+FZ256+GB256,0)</f>
        <v>4295</v>
      </c>
      <c r="GD256">
        <f ca="1">IF(FP256&gt;1200000,FP256,0)</f>
        <v>0</v>
      </c>
      <c r="GE256">
        <f ca="1">IF(FP256&gt;1200000,GD256-1200000,0)</f>
        <v>0</v>
      </c>
      <c r="GF256">
        <f ca="1">IF(FP256&lt;1200001,MIN(GC256,60000),0)</f>
        <v>4295</v>
      </c>
      <c r="GG256">
        <f ca="1">IF(FP256&gt;1200000,GC256-GE256,0)</f>
        <v>0</v>
      </c>
      <c r="GH256" t="b">
        <f ca="1">IF(GG256&gt;0,TRUE,FALSE)</f>
        <v>0</v>
      </c>
      <c r="GI256">
        <f ca="1">IF(GH256,GG256,0)</f>
        <v>0</v>
      </c>
      <c r="GJ256">
        <f ca="1">GF256+GI256</f>
        <v>4295</v>
      </c>
      <c r="GK256">
        <f ca="1">ROUND(GC256-GJ256,0)</f>
        <v>0</v>
      </c>
      <c r="GL256">
        <f ca="1">GK256*0.04</f>
        <v>0</v>
      </c>
      <c r="GM256">
        <f ca="1">ROUNDUP(GK256+GL256,0)</f>
        <v>0</v>
      </c>
    </row>
    <row r="257" spans="1:195" x14ac:dyDescent="0.25">
      <c r="A257">
        <f>_xlfn.AGGREGATE(3,5,$B$2:B257)</f>
        <v>256</v>
      </c>
      <c r="B257" t="s">
        <v>623</v>
      </c>
      <c r="C257" t="s">
        <v>624</v>
      </c>
      <c r="D257" t="s">
        <v>818</v>
      </c>
      <c r="E257" t="s">
        <v>833</v>
      </c>
      <c r="F257" t="s">
        <v>959</v>
      </c>
      <c r="G257" t="s">
        <v>883</v>
      </c>
      <c r="H257">
        <f>IF(_xlfn.DAYS("31-03-2025",G257)&gt;=180,6800,0)</f>
        <v>6800</v>
      </c>
      <c r="I257">
        <f>_xlfn.XLOOKUP(B257,'[1]march-2025'!$A:$A,'[1]march-2025'!$J:$J,0,0)</f>
        <v>0</v>
      </c>
      <c r="J257">
        <f>_xlfn.XLOOKUP(B257,'[1]march-2025'!$A:$A,'[1]march-2025'!$C:$C,0,0)</f>
        <v>28900</v>
      </c>
      <c r="K257">
        <f>J257*0.14</f>
        <v>4046.0000000000005</v>
      </c>
      <c r="L257">
        <f>J257*0.12</f>
        <v>3468</v>
      </c>
      <c r="M257">
        <f>_xlfn.XLOOKUP(B257,'[1]march-2025'!$A:$A,'[1]march-2025'!$D:$D,0,0)</f>
        <v>0</v>
      </c>
      <c r="N257">
        <f>_xlfn.XLOOKUP(B257,'[1]march-2025'!$A:$A,'[1]march-2025'!$G:$G,0,0)</f>
        <v>500</v>
      </c>
      <c r="O257">
        <f>IF(J257&gt;0,SUM(J257:N257),0)</f>
        <v>36914</v>
      </c>
      <c r="P257">
        <f>_xlfn.XLOOKUP(B257,'[1]march-2025'!$A:$A,'[1]march-2025'!$H:$H,0,0)</f>
        <v>2000</v>
      </c>
      <c r="Q257">
        <f>_xlfn.XLOOKUP(B257,'[1]march-2025'!$A:$A,'[1]march-2025'!$I:$I,0,0)</f>
        <v>0</v>
      </c>
      <c r="R257">
        <f>IF($F257="YES",0,IF(O257&gt;40000,200,IF(O257&gt;25000,150,IF(O257&gt;15000,130,IF(O257&gt;10000,110,0)))))</f>
        <v>150</v>
      </c>
      <c r="S257">
        <f>O257-P257-Q257-R257</f>
        <v>34764</v>
      </c>
      <c r="T257">
        <f>_xlfn.XLOOKUP(B257,'[2]april-2025'!$A:$A,'[2]april-2025'!$C:$C,0,0)</f>
        <v>28900</v>
      </c>
      <c r="U257">
        <f>T257*0.18</f>
        <v>5202</v>
      </c>
      <c r="V257">
        <f>T257*0.12</f>
        <v>3468</v>
      </c>
      <c r="W257">
        <f>_xlfn.XLOOKUP(B257,'[2]april-2025'!$A:$A,'[2]april-2025'!$D:$D,0,0)</f>
        <v>0</v>
      </c>
      <c r="X257">
        <f>_xlfn.XLOOKUP(B257,'[2]april-2025'!$A:$A,'[2]april-2025'!$G:$G,0,0)</f>
        <v>500</v>
      </c>
      <c r="Y257">
        <f>IF(T257&gt;0,SUM(T257:X257),0)</f>
        <v>38070</v>
      </c>
      <c r="Z257">
        <f>_xlfn.XLOOKUP(B257,'[2]april-2025'!$A:$A,'[2]april-2025'!$H:$H,0,0)</f>
        <v>2000</v>
      </c>
      <c r="AA257">
        <f>_xlfn.XLOOKUP(B257,'[2]april-2025'!$A:$A,'[2]april-2025'!$I:$I,0,0)</f>
        <v>0</v>
      </c>
      <c r="AB257">
        <f>IF($F257="YES",0,IF(Y257&gt;40000,200,IF(Y257&gt;25000,150,IF(Y257&gt;15000,130,IF(Y257&gt;10000,110,0)))))</f>
        <v>150</v>
      </c>
      <c r="AC257">
        <f>Y257-Z257-AA257-AB257</f>
        <v>35920</v>
      </c>
      <c r="AD257">
        <f>_xlfn.XLOOKUP(B257,'[3]may-2025'!$A:$A,'[3]may-2025'!$C:$C,0,0)</f>
        <v>28900</v>
      </c>
      <c r="AE257">
        <f>AD257*0.18</f>
        <v>5202</v>
      </c>
      <c r="AF257">
        <f>AD257*0.12</f>
        <v>3468</v>
      </c>
      <c r="AG257">
        <f>_xlfn.XLOOKUP(B257,'[3]may-2025'!$A:$A,'[3]may-2025'!$D:$D,0,0)</f>
        <v>0</v>
      </c>
      <c r="AH257">
        <f>_xlfn.XLOOKUP(B257,'[3]may-2025'!$A:$A,'[3]may-2025'!$G:$G,0,0)</f>
        <v>500</v>
      </c>
      <c r="AI257">
        <f>IF(AD257&gt;0,SUM(AD257:AH257),0)</f>
        <v>38070</v>
      </c>
      <c r="AJ257">
        <f>_xlfn.XLOOKUP(B257,'[3]may-2025'!$A:$A,'[3]may-2025'!$H:$H,0,0)</f>
        <v>2000</v>
      </c>
      <c r="AK257">
        <f>_xlfn.XLOOKUP(B257,'[3]may-2025'!$A:$A,'[3]may-2025'!$I:$I,0,0)</f>
        <v>0</v>
      </c>
      <c r="AL257">
        <f>IF($F257="YES",0,IF(AI257&gt;40000,200,IF(AI257&gt;25000,150,IF(AI257&gt;15000,130,IF(AI257&gt;10000,110,0)))))</f>
        <v>150</v>
      </c>
      <c r="AM257">
        <f>AI257-AJ257-AK257-AL257</f>
        <v>35920</v>
      </c>
      <c r="AN257">
        <f>_xlfn.XLOOKUP(B257,'[4]june-2025'!$A:$A,'[4]june-2025'!$C:$C,0,0)</f>
        <v>28900</v>
      </c>
      <c r="AO257">
        <f>AN257*0.18</f>
        <v>5202</v>
      </c>
      <c r="AP257">
        <f>AN257*0.12</f>
        <v>3468</v>
      </c>
      <c r="AQ257">
        <f>_xlfn.XLOOKUP(B257,'[4]june-2025'!$A:$A,'[4]june-2025'!$D:$D,0,0)</f>
        <v>0</v>
      </c>
      <c r="AR257">
        <f>_xlfn.XLOOKUP(B257,'[4]june-2025'!$A:$A,'[4]june-2025'!$G:$G,0,0)</f>
        <v>500</v>
      </c>
      <c r="AS257">
        <f>IF(AN257&gt;0,SUM(AN257:AR257),0)</f>
        <v>38070</v>
      </c>
      <c r="AT257">
        <f>_xlfn.XLOOKUP(B257,'[4]june-2025'!$A:$A,'[4]june-2025'!$H:$H,0,0)</f>
        <v>2000</v>
      </c>
      <c r="AU257">
        <f>_xlfn.XLOOKUP(B257,'[4]june-2025'!$A:$A,'[4]june-2025'!$I:$I,0,0)</f>
        <v>0</v>
      </c>
      <c r="AV257">
        <f>IF($F257="YES",0,IF(AS257&gt;40000,200,IF(AS257&gt;25000,150,IF(AS257&gt;15000,130,IF(AS257&gt;10000,110,0)))))</f>
        <v>150</v>
      </c>
      <c r="AW257">
        <f>AS257-AT257-AU257-AV257</f>
        <v>35920</v>
      </c>
      <c r="AX257">
        <f>_xlfn.XLOOKUP(B257,'[5]july-2025'!$A:$A,'[5]july-2025'!$C:$C,0,0)</f>
        <v>29800</v>
      </c>
      <c r="AY257">
        <f>AX257*0.18</f>
        <v>5364</v>
      </c>
      <c r="AZ257">
        <v>0</v>
      </c>
      <c r="BA257">
        <f>AX257*0.12</f>
        <v>3576</v>
      </c>
      <c r="BB257">
        <f>_xlfn.XLOOKUP(B257,'[5]july-2025'!$A:$A,'[5]july-2025'!$D:$D,0,0)</f>
        <v>0</v>
      </c>
      <c r="BC257">
        <f>_xlfn.XLOOKUP(B257,'[5]july-2025'!$A:$A,'[5]july-2025'!$G:$G,0,0)</f>
        <v>500</v>
      </c>
      <c r="BD257">
        <f>IF(AX257&gt;0,SUM(AX257:BC257),0)</f>
        <v>39240</v>
      </c>
      <c r="BE257">
        <f>_xlfn.XLOOKUP(B257,'[5]july-2025'!$A:$A,'[5]july-2025'!$H:$H,0,0)</f>
        <v>2000</v>
      </c>
      <c r="BF257">
        <f>_xlfn.XLOOKUP(B257,'[5]july-2025'!$A:$A,'[5]july-2025'!$I:$I,0,0)</f>
        <v>0</v>
      </c>
      <c r="BG257">
        <f>IF($F257="YES",0,IF(BD257&gt;40000,200,IF(BD257&gt;25000,150,IF(BD257&gt;15000,130,IF(BD257&gt;10000,110,0)))))</f>
        <v>150</v>
      </c>
      <c r="BH257">
        <f>BD257-BE257-BF257-BG257</f>
        <v>37090</v>
      </c>
      <c r="BI257">
        <f>_xlfn.XLOOKUP(B257,'[6]august-2025'!$A:$A,'[6]august-2025'!$C:$C,0,0)</f>
        <v>29800</v>
      </c>
      <c r="BJ257">
        <f>BI257*0.18</f>
        <v>5364</v>
      </c>
      <c r="BK257">
        <f>BI257*0.12</f>
        <v>3576</v>
      </c>
      <c r="BL257">
        <f>_xlfn.XLOOKUP(B257,'[6]august-2025'!$A:$A,'[6]august-2025'!$D:$D,0,0)</f>
        <v>0</v>
      </c>
      <c r="BM257">
        <f>_xlfn.XLOOKUP(B257,'[6]august-2025'!$A:$A,'[6]august-2025'!$G:$G,0,0)</f>
        <v>500</v>
      </c>
      <c r="BN257">
        <f>IF(BI257&gt;0,SUM(BI257:BM257),0)</f>
        <v>39240</v>
      </c>
      <c r="BO257">
        <f>_xlfn.XLOOKUP(B257,'[6]august-2025'!$A:$A,'[6]august-2025'!$H:$H,0,0)</f>
        <v>2000</v>
      </c>
      <c r="BP257">
        <f>_xlfn.XLOOKUP(B257,'[6]august-2025'!$A:$A,'[6]august-2025'!$I:$I,0,0)</f>
        <v>0</v>
      </c>
      <c r="BQ257">
        <f>IF($F257="YES",0,IF(BN257&gt;40000,200,IF(BN257&gt;25000,150,IF(BN257&gt;15000,130,IF(BN257&gt;10000,110,0)))))</f>
        <v>150</v>
      </c>
      <c r="BR257">
        <f>BN257-BO257-BP257-BQ257</f>
        <v>37090</v>
      </c>
      <c r="BS257">
        <f>_xlfn.XLOOKUP(B257,'[7]september-2025'!$A:$A,'[7]september-2025'!$C:$C,0,0)</f>
        <v>29800</v>
      </c>
      <c r="BT257">
        <f>BS257*0.18</f>
        <v>5364</v>
      </c>
      <c r="BU257">
        <f>BS257*0.12</f>
        <v>3576</v>
      </c>
      <c r="BV257">
        <f>_xlfn.XLOOKUP(B257,'[7]september-2025'!$A:$A,'[7]september-2025'!$D:$D,0,0)</f>
        <v>0</v>
      </c>
      <c r="BW257">
        <f>_xlfn.XLOOKUP(B257,'[7]september-2025'!$A:$A,'[7]september-2025'!$G:$G,0,0)</f>
        <v>500</v>
      </c>
      <c r="BX257">
        <f>IF(BS257&gt;0,SUM(BS257:BW257),0)</f>
        <v>39240</v>
      </c>
      <c r="BY257">
        <f>_xlfn.XLOOKUP(B257,'[7]september-2025'!$A:$A,'[7]september-2025'!$H:$H,0,0)</f>
        <v>2000</v>
      </c>
      <c r="BZ257">
        <f>_xlfn.XLOOKUP(B257,'[7]september-2025'!$A:$A,'[7]september-2025'!$I:$I,0,0)</f>
        <v>0</v>
      </c>
      <c r="CA257">
        <f>IF($F257="YES",0,IF(BX257&gt;40000,200,IF(BX257&gt;25000,150,IF(BX257&gt;15000,130,IF(BX257&gt;10000,110,0)))))</f>
        <v>150</v>
      </c>
      <c r="CB257">
        <f>BX257-BY257-BZ257-CA257</f>
        <v>37090</v>
      </c>
      <c r="CC257">
        <f>_xlfn.XLOOKUP(B257,'[8]october-2025'!$A:$A,'[8]october-2025'!$C:$C,0,0)</f>
        <v>29800</v>
      </c>
      <c r="CD257">
        <f>CC257*0.18</f>
        <v>5364</v>
      </c>
      <c r="CE257">
        <f>CC257*0.12</f>
        <v>3576</v>
      </c>
      <c r="CF257">
        <f>_xlfn.XLOOKUP(B257,'[8]october-2025'!$A:$A,'[8]october-2025'!$D:$D,0,0)</f>
        <v>0</v>
      </c>
      <c r="CG257">
        <f>_xlfn.XLOOKUP(B257,'[8]october-2025'!$A:$A,'[8]october-2025'!$G:$G,0,0)</f>
        <v>500</v>
      </c>
      <c r="CH257">
        <f>IF(CC257&gt;0,SUM(CC257:CG257),0)</f>
        <v>39240</v>
      </c>
      <c r="CI257">
        <f>_xlfn.XLOOKUP(B257,'[8]october-2025'!$A:$A,'[8]october-2025'!$H:$H,0,0)</f>
        <v>2000</v>
      </c>
      <c r="CJ257">
        <f>_xlfn.XLOOKUP(B257,'[8]october-2025'!$A:$A,'[8]october-2025'!$I:$I,0,0)</f>
        <v>0</v>
      </c>
      <c r="CK257">
        <f>IF($F257="YES",0,IF(CH257&gt;40000,200,IF(CH257&gt;25000,150,IF(CH257&gt;15000,130,IF(CH257&gt;10000,110,0)))))</f>
        <v>150</v>
      </c>
      <c r="CL257">
        <f>CH257-CI257-CJ257-CK257</f>
        <v>37090</v>
      </c>
      <c r="CM257">
        <f>_xlfn.XLOOKUP(B257,'[9]november-2025'!$A:$A,'[9]november-2025'!$C:$C,0,0)</f>
        <v>29800</v>
      </c>
      <c r="CN257">
        <f>CM257*0.18</f>
        <v>5364</v>
      </c>
      <c r="CO257">
        <f>CM257*0.12</f>
        <v>3576</v>
      </c>
      <c r="CP257">
        <f>_xlfn.XLOOKUP(B257,'[9]november-2025'!$A:$A,'[9]november-2025'!$D:$D,0,0)</f>
        <v>0</v>
      </c>
      <c r="CQ257">
        <f>_xlfn.XLOOKUP(B257,'[9]november-2025'!$A:$A,'[9]november-2025'!$G:$G,0,0)</f>
        <v>500</v>
      </c>
      <c r="CR257">
        <f>IF(CM257&gt;0,SUM(CM257:CQ257),0)</f>
        <v>39240</v>
      </c>
      <c r="CS257">
        <f>_xlfn.XLOOKUP(B257,'[9]november-2025'!$A:$A,'[9]november-2025'!$H:$H,0,0)</f>
        <v>2000</v>
      </c>
      <c r="CT257">
        <f>_xlfn.XLOOKUP(B257,'[9]november-2025'!$A:$A,'[9]november-2025'!$I:$I,0,0)</f>
        <v>0</v>
      </c>
      <c r="CU257">
        <f>IF($F257="YES",0,IF(CR257&gt;40000,200,IF(CR257&gt;25000,150,IF(CR257&gt;15000,130,IF(CR257&gt;10000,110,0)))))</f>
        <v>150</v>
      </c>
      <c r="CV257">
        <f>CR257-CS257-CT257-CU257</f>
        <v>37090</v>
      </c>
      <c r="CW257">
        <f>_xlfn.XLOOKUP(B257,'[10]december-2025'!$A:$A,'[10]december-2025'!$C:$C,0,0)</f>
        <v>29800</v>
      </c>
      <c r="CX257">
        <f>ROUND(CW257*0.18,0)</f>
        <v>5364</v>
      </c>
      <c r="CY257">
        <f>ROUND(CW257*0.12,0)</f>
        <v>3576</v>
      </c>
      <c r="CZ257">
        <f>_xlfn.XLOOKUP(B257,'[10]december-2025'!$A:$A,'[10]december-2025'!$D:$D,0,0)</f>
        <v>0</v>
      </c>
      <c r="DA257">
        <f>_xlfn.XLOOKUP(B257,'[10]december-2025'!$A:$A,'[10]december-2025'!$G:$G,0,0)</f>
        <v>500</v>
      </c>
      <c r="DB257">
        <f>IF(CW257&gt;0,SUM(CW257:DA257),0)</f>
        <v>39240</v>
      </c>
      <c r="DC257">
        <f>_xlfn.XLOOKUP(B257,'[10]december-2025'!$A:$A,'[10]december-2025'!$H:$H,0,0)</f>
        <v>2000</v>
      </c>
      <c r="DD257">
        <f>_xlfn.XLOOKUP(B257,'[10]december-2025'!$A:$A,'[10]december-2025'!$I:$I,0,0)</f>
        <v>0</v>
      </c>
      <c r="DE257">
        <f>IF($F257="YES",0,IF(DB257&gt;40000,200,IF(DB257&gt;25000,150,IF(DB257&gt;15000,130,IF(DB257&gt;10000,110,0)))))</f>
        <v>150</v>
      </c>
      <c r="DF257">
        <f>DB257-DC257-DD257-DE257</f>
        <v>37090</v>
      </c>
      <c r="DG257">
        <f>_xlfn.XLOOKUP(B257,'[11]january-2026'!$A:$A,'[11]january-2026'!$C:$C,0,0)</f>
        <v>29800</v>
      </c>
      <c r="DH257">
        <f>DG257*0.18</f>
        <v>5364</v>
      </c>
      <c r="DI257">
        <f>DG257*0.12</f>
        <v>3576</v>
      </c>
      <c r="DJ257">
        <f>_xlfn.XLOOKUP(B257,'[11]january-2026'!$A:$A,'[11]january-2026'!$D:$D,0,0)</f>
        <v>0</v>
      </c>
      <c r="DK257">
        <f>_xlfn.XLOOKUP(B257,'[11]january-2026'!$A:$A,'[11]january-2026'!$G:$G,0,0)</f>
        <v>500</v>
      </c>
      <c r="DL257">
        <f>IF(DG257&gt;0,SUM(DG257:DK257),0)</f>
        <v>39240</v>
      </c>
      <c r="DM257">
        <f>_xlfn.XLOOKUP(B257,'[11]january-2026'!$A:$A,'[11]january-2026'!$H:$H,0,0)</f>
        <v>2000</v>
      </c>
      <c r="DN257">
        <f>_xlfn.XLOOKUP(B257,'[11]january-2026'!$A:$A,'[11]january-2026'!$I:$I,0,0)</f>
        <v>0</v>
      </c>
      <c r="DO257">
        <f>IF($F257="YES",0,IF(DL257&gt;40000,200,IF(DL257&gt;25000,150,IF(DL257&gt;15000,130,IF(DL257&gt;10000,110,0)))))</f>
        <v>150</v>
      </c>
      <c r="DP257">
        <f>DL257-DM257-DN257-DO257</f>
        <v>37090</v>
      </c>
      <c r="DQ257">
        <f>_xlfn.XLOOKUP(B257,'[12]february-2026'!$A:$A,'[12]february-2026'!$C:$C,0,0)</f>
        <v>29800</v>
      </c>
      <c r="DR257">
        <f>DQ257*0.18</f>
        <v>5364</v>
      </c>
      <c r="DS257">
        <f>DQ257*0.12</f>
        <v>3576</v>
      </c>
      <c r="DT257">
        <f>_xlfn.XLOOKUP(B257,'[12]february-2026'!$A:$A,'[12]february-2026'!$D:$D,0,0)</f>
        <v>0</v>
      </c>
      <c r="DU257">
        <f>_xlfn.XLOOKUP(B257,'[12]february-2026'!$A:$A,'[12]february-2026'!$G:$G,0,0)</f>
        <v>500</v>
      </c>
      <c r="DV257">
        <f>IF(DQ257&gt;0,SUM(DQ257:DU257),0)</f>
        <v>39240</v>
      </c>
      <c r="DW257">
        <f>_xlfn.XLOOKUP(B257,'[12]february-2026'!$A:$A,'[12]february-2026'!$H:$H,0,0)</f>
        <v>2000</v>
      </c>
      <c r="DX257">
        <f>_xlfn.XLOOKUP(B257,'[12]february-2026'!$A:$A,'[12]february-2026'!$I:$I,0,0)</f>
        <v>0</v>
      </c>
      <c r="DY257">
        <f>IF($F257="YES",0,IF(DV257&gt;40000,200,IF(DV257&gt;25000,150,IF(DV257&gt;15000,130,IF(DV257&gt;10000,110,0)))))</f>
        <v>150</v>
      </c>
      <c r="DZ257">
        <f>DV257-DW257-DX257-DY257</f>
        <v>37090</v>
      </c>
      <c r="EA257">
        <f>DV257+DL257+DB257+CR257+CH257+BX257+BN257+BD257+AS257+AI257+Y257+O257+H257+I257</f>
        <v>471844</v>
      </c>
      <c r="EB257">
        <f>DY257+DO257+DE257+CU257+CK257+CA257+BQ257+BG257+AV257+AL257+AB257+R257</f>
        <v>1800</v>
      </c>
      <c r="EC257">
        <f>IF(EA257&gt;0,50000,0)</f>
        <v>50000</v>
      </c>
      <c r="ED257">
        <v>0</v>
      </c>
      <c r="EE257">
        <f>EA257-EB257-EC257</f>
        <v>420044</v>
      </c>
      <c r="EF257">
        <f>DW257+DM257+DC257+CS257+CI257+BY257+BO257+BE257+AT257+AJ257+Z257+P257</f>
        <v>24000</v>
      </c>
      <c r="EG257">
        <f>DX257+DN257+DD257+CT257+CJ257+BZ257+BP257+BF257+AU257+AK257+AA257+Q257</f>
        <v>0</v>
      </c>
      <c r="EH257">
        <v>0</v>
      </c>
      <c r="EI257">
        <v>0</v>
      </c>
      <c r="EJ257">
        <v>0</v>
      </c>
      <c r="EK257">
        <v>0</v>
      </c>
      <c r="EL257">
        <v>0</v>
      </c>
      <c r="EM257">
        <v>0</v>
      </c>
      <c r="EN257">
        <v>0</v>
      </c>
      <c r="EO257">
        <v>0</v>
      </c>
      <c r="EP257">
        <v>0</v>
      </c>
      <c r="EQ257">
        <v>0</v>
      </c>
      <c r="ER257">
        <f>SUM(EF257:EQ257)</f>
        <v>24000</v>
      </c>
      <c r="ES257">
        <f>IF(ER257&gt;=150000,150000,ER257)</f>
        <v>24000</v>
      </c>
      <c r="ET257">
        <f>EE257-ES257</f>
        <v>396044</v>
      </c>
      <c r="EU257">
        <v>0</v>
      </c>
      <c r="EV257">
        <v>0</v>
      </c>
      <c r="EW257">
        <v>0</v>
      </c>
      <c r="EX257">
        <v>0</v>
      </c>
      <c r="EY257">
        <v>0</v>
      </c>
      <c r="EZ257">
        <v>0</v>
      </c>
      <c r="FA257">
        <v>0</v>
      </c>
      <c r="FB257">
        <f>SUM(EU257:FA257)+(IF(F257="YES",50000,0))</f>
        <v>0</v>
      </c>
      <c r="FC257">
        <f>ET257-FB257</f>
        <v>396044</v>
      </c>
      <c r="FD257">
        <f>ROUND(IF(FC257&gt;0,IF(FC257&gt;500000,12500,(FC257-250000)*0.05),0),0)</f>
        <v>7302</v>
      </c>
      <c r="FE257">
        <f>IF(ROUND(IF(FC257&gt;0,IF(FC257&gt;1000000,25000,(FC257-500000)*0.2),0),0)&lt;0,0,ROUND(IF(FC257&gt;0,IF(FC257&gt;1000000,25000,(FC257-500000)*0.2),0),0))</f>
        <v>0</v>
      </c>
      <c r="FF257">
        <f>FD257+FE257</f>
        <v>7302</v>
      </c>
      <c r="FG257">
        <f>IF(FF257&lt;12500,0,FF257)</f>
        <v>0</v>
      </c>
      <c r="FH257">
        <f>FG257*0.04</f>
        <v>0</v>
      </c>
      <c r="FI257">
        <f>ROUND(FH257+FG257,0)</f>
        <v>0</v>
      </c>
      <c r="FJ257">
        <v>0</v>
      </c>
      <c r="FK257">
        <f>FI257-FJ257</f>
        <v>0</v>
      </c>
      <c r="FL257" t="b">
        <f>IF(EA257&gt;500000,TRUE,FALSE)</f>
        <v>0</v>
      </c>
      <c r="FM257">
        <f ca="1">IF(FL257,RANDBETWEEN(500,1000),RANDBETWEEN(1000,3000))</f>
        <v>1711</v>
      </c>
      <c r="FN257">
        <f ca="1">EA257+FM257</f>
        <v>473555</v>
      </c>
      <c r="FO257">
        <f>IF(EA257&gt;0,75000,0)</f>
        <v>75000</v>
      </c>
      <c r="FP257">
        <f ca="1">FN257-FO257</f>
        <v>398555</v>
      </c>
      <c r="FQ257">
        <f ca="1">IF(FP257&gt;2400000,FP257-2400000,0)</f>
        <v>0</v>
      </c>
      <c r="FR257">
        <f ca="1">FQ257*0.3</f>
        <v>0</v>
      </c>
      <c r="FS257">
        <f ca="1">IF(FP257&gt;2000000,FP257-2000000,0)</f>
        <v>0</v>
      </c>
      <c r="FT257">
        <f ca="1">FS257*0.25</f>
        <v>0</v>
      </c>
      <c r="FU257">
        <f ca="1">IF(FP257&gt;1600000,FP257-1600000-FQ257,0)</f>
        <v>0</v>
      </c>
      <c r="FV257">
        <f ca="1">FU257*0.2</f>
        <v>0</v>
      </c>
      <c r="FW257">
        <f ca="1">IF(FP257&gt;1200000,FP257-1200000-IF(F257="YES",50000,0)-FU257,0)</f>
        <v>0</v>
      </c>
      <c r="FX257">
        <f ca="1">FW257*0.15</f>
        <v>0</v>
      </c>
      <c r="FY257">
        <f ca="1">IF(FP257&gt;800000,FP257-800000-FQ257-FU257-FW257,0)</f>
        <v>0</v>
      </c>
      <c r="FZ257">
        <f ca="1">FY257*0.1</f>
        <v>0</v>
      </c>
      <c r="GA257">
        <f ca="1">IF(FP257&gt;400000,FP257-400000-FQ257-FU257-FW257-FY257,0)</f>
        <v>0</v>
      </c>
      <c r="GB257">
        <f ca="1">GA257*0.05</f>
        <v>0</v>
      </c>
      <c r="GC257">
        <f ca="1">ROUND(FR257+FT257+FV257+FX257+FZ257+GB257,0)</f>
        <v>0</v>
      </c>
      <c r="GD257">
        <f ca="1">IF(FP257&gt;1200000,FP257,0)</f>
        <v>0</v>
      </c>
      <c r="GE257">
        <f ca="1">IF(FP257&gt;1200000,GD257-1200000,0)</f>
        <v>0</v>
      </c>
      <c r="GF257">
        <f ca="1">IF(FP257&lt;1200001,MIN(GC257,60000),0)</f>
        <v>0</v>
      </c>
      <c r="GG257">
        <f ca="1">IF(FP257&gt;1200000,GC257-GE257,0)</f>
        <v>0</v>
      </c>
      <c r="GH257" t="b">
        <f ca="1">IF(GG257&gt;0,TRUE,FALSE)</f>
        <v>0</v>
      </c>
      <c r="GI257">
        <f ca="1">IF(GH257,GG257,0)</f>
        <v>0</v>
      </c>
      <c r="GJ257">
        <f ca="1">GF257+GI257</f>
        <v>0</v>
      </c>
      <c r="GK257">
        <f ca="1">ROUND(GC257-GJ257,0)</f>
        <v>0</v>
      </c>
      <c r="GL257">
        <f ca="1">GK257*0.04</f>
        <v>0</v>
      </c>
      <c r="GM257">
        <f ca="1">ROUNDUP(GK257+GL257,0)</f>
        <v>0</v>
      </c>
    </row>
    <row r="258" spans="1:195" x14ac:dyDescent="0.25">
      <c r="A258">
        <f>_xlfn.AGGREGATE(3,5,$B$2:B258)</f>
        <v>257</v>
      </c>
      <c r="B258" t="s">
        <v>625</v>
      </c>
      <c r="C258" t="s">
        <v>626</v>
      </c>
      <c r="D258" t="s">
        <v>819</v>
      </c>
      <c r="E258" t="s">
        <v>833</v>
      </c>
      <c r="F258" t="s">
        <v>959</v>
      </c>
      <c r="G258" t="s">
        <v>955</v>
      </c>
      <c r="H258">
        <f>IF(_xlfn.DAYS("31-03-2025",G258)&gt;=180,6800,0)</f>
        <v>6800</v>
      </c>
      <c r="I258">
        <f>_xlfn.XLOOKUP(B258,'[1]march-2025'!$A:$A,'[1]march-2025'!$J:$J,0,0)</f>
        <v>0</v>
      </c>
      <c r="J258">
        <f>_xlfn.XLOOKUP(B258,'[1]march-2025'!$A:$A,'[1]march-2025'!$C:$C,0,0)</f>
        <v>34500</v>
      </c>
      <c r="K258">
        <f>J258*0.14</f>
        <v>4830.0000000000009</v>
      </c>
      <c r="L258">
        <f>J258*0.12</f>
        <v>4140</v>
      </c>
      <c r="M258">
        <f>_xlfn.XLOOKUP(B258,'[1]march-2025'!$A:$A,'[1]march-2025'!$D:$D,0,0)</f>
        <v>400</v>
      </c>
      <c r="N258">
        <f>_xlfn.XLOOKUP(B258,'[1]march-2025'!$A:$A,'[1]march-2025'!$G:$G,0,0)</f>
        <v>500</v>
      </c>
      <c r="O258">
        <f>IF(J258&gt;0,SUM(J258:N258),0)</f>
        <v>44370</v>
      </c>
      <c r="P258">
        <f>_xlfn.XLOOKUP(B258,'[1]march-2025'!$A:$A,'[1]march-2025'!$H:$H,0,0)</f>
        <v>3000</v>
      </c>
      <c r="Q258">
        <f>_xlfn.XLOOKUP(B258,'[1]march-2025'!$A:$A,'[1]march-2025'!$I:$I,0,0)</f>
        <v>0</v>
      </c>
      <c r="R258">
        <f>IF($F258="YES",0,IF(O258&gt;40000,200,IF(O258&gt;25000,150,IF(O258&gt;15000,130,IF(O258&gt;10000,110,0)))))</f>
        <v>200</v>
      </c>
      <c r="S258">
        <f>O258-P258-Q258-R258</f>
        <v>41170</v>
      </c>
      <c r="T258">
        <f>_xlfn.XLOOKUP(B258,'[2]april-2025'!$A:$A,'[2]april-2025'!$C:$C,0,0)</f>
        <v>34500</v>
      </c>
      <c r="U258">
        <f>T258*0.18</f>
        <v>6210</v>
      </c>
      <c r="V258">
        <f>T258*0.12</f>
        <v>4140</v>
      </c>
      <c r="W258">
        <f>_xlfn.XLOOKUP(B258,'[2]april-2025'!$A:$A,'[2]april-2025'!$D:$D,0,0)</f>
        <v>400</v>
      </c>
      <c r="X258">
        <f>_xlfn.XLOOKUP(B258,'[2]april-2025'!$A:$A,'[2]april-2025'!$G:$G,0,0)</f>
        <v>500</v>
      </c>
      <c r="Y258">
        <f>IF(T258&gt;0,SUM(T258:X258),0)</f>
        <v>45750</v>
      </c>
      <c r="Z258">
        <f>_xlfn.XLOOKUP(B258,'[2]april-2025'!$A:$A,'[2]april-2025'!$H:$H,0,0)</f>
        <v>3000</v>
      </c>
      <c r="AA258">
        <f>_xlfn.XLOOKUP(B258,'[2]april-2025'!$A:$A,'[2]april-2025'!$I:$I,0,0)</f>
        <v>0</v>
      </c>
      <c r="AB258">
        <f>IF($F258="YES",0,IF(Y258&gt;40000,200,IF(Y258&gt;25000,150,IF(Y258&gt;15000,130,IF(Y258&gt;10000,110,0)))))</f>
        <v>200</v>
      </c>
      <c r="AC258">
        <f>Y258-Z258-AA258-AB258</f>
        <v>42550</v>
      </c>
      <c r="AD258">
        <f>_xlfn.XLOOKUP(B258,'[3]may-2025'!$A:$A,'[3]may-2025'!$C:$C,0,0)</f>
        <v>34500</v>
      </c>
      <c r="AE258">
        <f>AD258*0.18</f>
        <v>6210</v>
      </c>
      <c r="AF258">
        <f>AD258*0.12</f>
        <v>4140</v>
      </c>
      <c r="AG258">
        <f>_xlfn.XLOOKUP(B258,'[3]may-2025'!$A:$A,'[3]may-2025'!$D:$D,0,0)</f>
        <v>400</v>
      </c>
      <c r="AH258">
        <f>_xlfn.XLOOKUP(B258,'[3]may-2025'!$A:$A,'[3]may-2025'!$G:$G,0,0)</f>
        <v>500</v>
      </c>
      <c r="AI258">
        <f>IF(AD258&gt;0,SUM(AD258:AH258),0)</f>
        <v>45750</v>
      </c>
      <c r="AJ258">
        <f>_xlfn.XLOOKUP(B258,'[3]may-2025'!$A:$A,'[3]may-2025'!$H:$H,0,0)</f>
        <v>3000</v>
      </c>
      <c r="AK258">
        <f>_xlfn.XLOOKUP(B258,'[3]may-2025'!$A:$A,'[3]may-2025'!$I:$I,0,0)</f>
        <v>0</v>
      </c>
      <c r="AL258">
        <f>IF($F258="YES",0,IF(AI258&gt;40000,200,IF(AI258&gt;25000,150,IF(AI258&gt;15000,130,IF(AI258&gt;10000,110,0)))))</f>
        <v>200</v>
      </c>
      <c r="AM258">
        <f>AI258-AJ258-AK258-AL258</f>
        <v>42550</v>
      </c>
      <c r="AN258">
        <f>_xlfn.XLOOKUP(B258,'[4]june-2025'!$A:$A,'[4]june-2025'!$C:$C,0,0)</f>
        <v>34500</v>
      </c>
      <c r="AO258">
        <f>AN258*0.18</f>
        <v>6210</v>
      </c>
      <c r="AP258">
        <f>AN258*0.12</f>
        <v>4140</v>
      </c>
      <c r="AQ258">
        <f>_xlfn.XLOOKUP(B258,'[4]june-2025'!$A:$A,'[4]june-2025'!$D:$D,0,0)</f>
        <v>400</v>
      </c>
      <c r="AR258">
        <f>_xlfn.XLOOKUP(B258,'[4]june-2025'!$A:$A,'[4]june-2025'!$G:$G,0,0)</f>
        <v>500</v>
      </c>
      <c r="AS258">
        <f>IF(AN258&gt;0,SUM(AN258:AR258),0)</f>
        <v>45750</v>
      </c>
      <c r="AT258">
        <f>_xlfn.XLOOKUP(B258,'[4]june-2025'!$A:$A,'[4]june-2025'!$H:$H,0,0)</f>
        <v>3000</v>
      </c>
      <c r="AU258">
        <f>_xlfn.XLOOKUP(B258,'[4]june-2025'!$A:$A,'[4]june-2025'!$I:$I,0,0)</f>
        <v>0</v>
      </c>
      <c r="AV258">
        <f>IF($F258="YES",0,IF(AS258&gt;40000,200,IF(AS258&gt;25000,150,IF(AS258&gt;15000,130,IF(AS258&gt;10000,110,0)))))</f>
        <v>200</v>
      </c>
      <c r="AW258">
        <f>AS258-AT258-AU258-AV258</f>
        <v>42550</v>
      </c>
      <c r="AX258">
        <f>_xlfn.XLOOKUP(B258,'[5]july-2025'!$A:$A,'[5]july-2025'!$C:$C,0,0)</f>
        <v>35500</v>
      </c>
      <c r="AY258">
        <f>AX258*0.18</f>
        <v>6390</v>
      </c>
      <c r="AZ258">
        <v>0</v>
      </c>
      <c r="BA258">
        <f>AX258*0.12</f>
        <v>4260</v>
      </c>
      <c r="BB258">
        <f>_xlfn.XLOOKUP(B258,'[5]july-2025'!$A:$A,'[5]july-2025'!$D:$D,0,0)</f>
        <v>400</v>
      </c>
      <c r="BC258">
        <f>_xlfn.XLOOKUP(B258,'[5]july-2025'!$A:$A,'[5]july-2025'!$G:$G,0,0)</f>
        <v>500</v>
      </c>
      <c r="BD258">
        <f>IF(AX258&gt;0,SUM(AX258:BC258),0)</f>
        <v>47050</v>
      </c>
      <c r="BE258">
        <f>_xlfn.XLOOKUP(B258,'[5]july-2025'!$A:$A,'[5]july-2025'!$H:$H,0,0)</f>
        <v>3000</v>
      </c>
      <c r="BF258">
        <f>_xlfn.XLOOKUP(B258,'[5]july-2025'!$A:$A,'[5]july-2025'!$I:$I,0,0)</f>
        <v>0</v>
      </c>
      <c r="BG258">
        <f>IF($F258="YES",0,IF(BD258&gt;40000,200,IF(BD258&gt;25000,150,IF(BD258&gt;15000,130,IF(BD258&gt;10000,110,0)))))</f>
        <v>200</v>
      </c>
      <c r="BH258">
        <f>BD258-BE258-BF258-BG258</f>
        <v>43850</v>
      </c>
      <c r="BI258">
        <f>_xlfn.XLOOKUP(B258,'[6]august-2025'!$A:$A,'[6]august-2025'!$C:$C,0,0)</f>
        <v>35500</v>
      </c>
      <c r="BJ258">
        <f>BI258*0.18</f>
        <v>6390</v>
      </c>
      <c r="BK258">
        <f>BI258*0.12</f>
        <v>4260</v>
      </c>
      <c r="BL258">
        <f>_xlfn.XLOOKUP(B258,'[6]august-2025'!$A:$A,'[6]august-2025'!$D:$D,0,0)</f>
        <v>400</v>
      </c>
      <c r="BM258">
        <f>_xlfn.XLOOKUP(B258,'[6]august-2025'!$A:$A,'[6]august-2025'!$G:$G,0,0)</f>
        <v>500</v>
      </c>
      <c r="BN258">
        <f>IF(BI258&gt;0,SUM(BI258:BM258),0)</f>
        <v>47050</v>
      </c>
      <c r="BO258">
        <f>_xlfn.XLOOKUP(B258,'[6]august-2025'!$A:$A,'[6]august-2025'!$H:$H,0,0)</f>
        <v>3000</v>
      </c>
      <c r="BP258">
        <f>_xlfn.XLOOKUP(B258,'[6]august-2025'!$A:$A,'[6]august-2025'!$I:$I,0,0)</f>
        <v>0</v>
      </c>
      <c r="BQ258">
        <f>IF($F258="YES",0,IF(BN258&gt;40000,200,IF(BN258&gt;25000,150,IF(BN258&gt;15000,130,IF(BN258&gt;10000,110,0)))))</f>
        <v>200</v>
      </c>
      <c r="BR258">
        <f>BN258-BO258-BP258-BQ258</f>
        <v>43850</v>
      </c>
      <c r="BS258">
        <f>_xlfn.XLOOKUP(B258,'[7]september-2025'!$A:$A,'[7]september-2025'!$C:$C,0,0)</f>
        <v>35500</v>
      </c>
      <c r="BT258">
        <f>BS258*0.18</f>
        <v>6390</v>
      </c>
      <c r="BU258">
        <f>BS258*0.12</f>
        <v>4260</v>
      </c>
      <c r="BV258">
        <f>_xlfn.XLOOKUP(B258,'[7]september-2025'!$A:$A,'[7]september-2025'!$D:$D,0,0)</f>
        <v>400</v>
      </c>
      <c r="BW258">
        <f>_xlfn.XLOOKUP(B258,'[7]september-2025'!$A:$A,'[7]september-2025'!$G:$G,0,0)</f>
        <v>500</v>
      </c>
      <c r="BX258">
        <f>IF(BS258&gt;0,SUM(BS258:BW258),0)</f>
        <v>47050</v>
      </c>
      <c r="BY258">
        <f>_xlfn.XLOOKUP(B258,'[7]september-2025'!$A:$A,'[7]september-2025'!$H:$H,0,0)</f>
        <v>3000</v>
      </c>
      <c r="BZ258">
        <f>_xlfn.XLOOKUP(B258,'[7]september-2025'!$A:$A,'[7]september-2025'!$I:$I,0,0)</f>
        <v>0</v>
      </c>
      <c r="CA258">
        <f>IF($F258="YES",0,IF(BX258&gt;40000,200,IF(BX258&gt;25000,150,IF(BX258&gt;15000,130,IF(BX258&gt;10000,110,0)))))</f>
        <v>200</v>
      </c>
      <c r="CB258">
        <f>BX258-BY258-BZ258-CA258</f>
        <v>43850</v>
      </c>
      <c r="CC258">
        <f>_xlfn.XLOOKUP(B258,'[8]october-2025'!$A:$A,'[8]october-2025'!$C:$C,0,0)</f>
        <v>35500</v>
      </c>
      <c r="CD258">
        <f>CC258*0.18</f>
        <v>6390</v>
      </c>
      <c r="CE258">
        <f>CC258*0.12</f>
        <v>4260</v>
      </c>
      <c r="CF258">
        <f>_xlfn.XLOOKUP(B258,'[8]october-2025'!$A:$A,'[8]october-2025'!$D:$D,0,0)</f>
        <v>400</v>
      </c>
      <c r="CG258">
        <f>_xlfn.XLOOKUP(B258,'[8]october-2025'!$A:$A,'[8]october-2025'!$G:$G,0,0)</f>
        <v>500</v>
      </c>
      <c r="CH258">
        <f>IF(CC258&gt;0,SUM(CC258:CG258),0)</f>
        <v>47050</v>
      </c>
      <c r="CI258">
        <f>_xlfn.XLOOKUP(B258,'[8]october-2025'!$A:$A,'[8]october-2025'!$H:$H,0,0)</f>
        <v>3000</v>
      </c>
      <c r="CJ258">
        <f>_xlfn.XLOOKUP(B258,'[8]october-2025'!$A:$A,'[8]october-2025'!$I:$I,0,0)</f>
        <v>0</v>
      </c>
      <c r="CK258">
        <f>IF($F258="YES",0,IF(CH258&gt;40000,200,IF(CH258&gt;25000,150,IF(CH258&gt;15000,130,IF(CH258&gt;10000,110,0)))))</f>
        <v>200</v>
      </c>
      <c r="CL258">
        <f>CH258-CI258-CJ258-CK258</f>
        <v>43850</v>
      </c>
      <c r="CM258">
        <f>_xlfn.XLOOKUP(B258,'[9]november-2025'!$A:$A,'[9]november-2025'!$C:$C,0,0)</f>
        <v>35500</v>
      </c>
      <c r="CN258">
        <f>CM258*0.18</f>
        <v>6390</v>
      </c>
      <c r="CO258">
        <f>CM258*0.12</f>
        <v>4260</v>
      </c>
      <c r="CP258">
        <f>_xlfn.XLOOKUP(B258,'[9]november-2025'!$A:$A,'[9]november-2025'!$D:$D,0,0)</f>
        <v>400</v>
      </c>
      <c r="CQ258">
        <f>_xlfn.XLOOKUP(B258,'[9]november-2025'!$A:$A,'[9]november-2025'!$G:$G,0,0)</f>
        <v>500</v>
      </c>
      <c r="CR258">
        <f>IF(CM258&gt;0,SUM(CM258:CQ258),0)</f>
        <v>47050</v>
      </c>
      <c r="CS258">
        <f>_xlfn.XLOOKUP(B258,'[9]november-2025'!$A:$A,'[9]november-2025'!$H:$H,0,0)</f>
        <v>3000</v>
      </c>
      <c r="CT258">
        <f>_xlfn.XLOOKUP(B258,'[9]november-2025'!$A:$A,'[9]november-2025'!$I:$I,0,0)</f>
        <v>0</v>
      </c>
      <c r="CU258">
        <f>IF($F258="YES",0,IF(CR258&gt;40000,200,IF(CR258&gt;25000,150,IF(CR258&gt;15000,130,IF(CR258&gt;10000,110,0)))))</f>
        <v>200</v>
      </c>
      <c r="CV258">
        <f>CR258-CS258-CT258-CU258</f>
        <v>43850</v>
      </c>
      <c r="CW258">
        <f>_xlfn.XLOOKUP(B258,'[10]december-2025'!$A:$A,'[10]december-2025'!$C:$C,0,0)</f>
        <v>35500</v>
      </c>
      <c r="CX258">
        <f>ROUND(CW258*0.18,0)</f>
        <v>6390</v>
      </c>
      <c r="CY258">
        <f>ROUND(CW258*0.12,0)</f>
        <v>4260</v>
      </c>
      <c r="CZ258">
        <f>_xlfn.XLOOKUP(B258,'[10]december-2025'!$A:$A,'[10]december-2025'!$D:$D,0,0)</f>
        <v>400</v>
      </c>
      <c r="DA258">
        <f>_xlfn.XLOOKUP(B258,'[10]december-2025'!$A:$A,'[10]december-2025'!$G:$G,0,0)</f>
        <v>500</v>
      </c>
      <c r="DB258">
        <f>IF(CW258&gt;0,SUM(CW258:DA258),0)</f>
        <v>47050</v>
      </c>
      <c r="DC258">
        <f>_xlfn.XLOOKUP(B258,'[10]december-2025'!$A:$A,'[10]december-2025'!$H:$H,0,0)</f>
        <v>3000</v>
      </c>
      <c r="DD258">
        <f>_xlfn.XLOOKUP(B258,'[10]december-2025'!$A:$A,'[10]december-2025'!$I:$I,0,0)</f>
        <v>0</v>
      </c>
      <c r="DE258">
        <f>IF($F258="YES",0,IF(DB258&gt;40000,200,IF(DB258&gt;25000,150,IF(DB258&gt;15000,130,IF(DB258&gt;10000,110,0)))))</f>
        <v>200</v>
      </c>
      <c r="DF258">
        <f>DB258-DC258-DD258-DE258</f>
        <v>43850</v>
      </c>
      <c r="DG258">
        <f>_xlfn.XLOOKUP(B258,'[11]january-2026'!$A:$A,'[11]january-2026'!$C:$C,0,0)</f>
        <v>35500</v>
      </c>
      <c r="DH258">
        <f>DG258*0.18</f>
        <v>6390</v>
      </c>
      <c r="DI258">
        <f>DG258*0.12</f>
        <v>4260</v>
      </c>
      <c r="DJ258">
        <f>_xlfn.XLOOKUP(B258,'[11]january-2026'!$A:$A,'[11]january-2026'!$D:$D,0,0)</f>
        <v>400</v>
      </c>
      <c r="DK258">
        <f>_xlfn.XLOOKUP(B258,'[11]january-2026'!$A:$A,'[11]january-2026'!$G:$G,0,0)</f>
        <v>500</v>
      </c>
      <c r="DL258">
        <f>IF(DG258&gt;0,SUM(DG258:DK258),0)</f>
        <v>47050</v>
      </c>
      <c r="DM258">
        <f>_xlfn.XLOOKUP(B258,'[11]january-2026'!$A:$A,'[11]january-2026'!$H:$H,0,0)</f>
        <v>3000</v>
      </c>
      <c r="DN258">
        <f>_xlfn.XLOOKUP(B258,'[11]january-2026'!$A:$A,'[11]january-2026'!$I:$I,0,0)</f>
        <v>0</v>
      </c>
      <c r="DO258">
        <f>IF($F258="YES",0,IF(DL258&gt;40000,200,IF(DL258&gt;25000,150,IF(DL258&gt;15000,130,IF(DL258&gt;10000,110,0)))))</f>
        <v>200</v>
      </c>
      <c r="DP258">
        <f>DL258-DM258-DN258-DO258</f>
        <v>43850</v>
      </c>
      <c r="DQ258">
        <f>_xlfn.XLOOKUP(B258,'[12]february-2026'!$A:$A,'[12]february-2026'!$C:$C,0,0)</f>
        <v>35500</v>
      </c>
      <c r="DR258">
        <f>DQ258*0.18</f>
        <v>6390</v>
      </c>
      <c r="DS258">
        <f>DQ258*0.12</f>
        <v>4260</v>
      </c>
      <c r="DT258">
        <f>_xlfn.XLOOKUP(B258,'[12]february-2026'!$A:$A,'[12]february-2026'!$D:$D,0,0)</f>
        <v>400</v>
      </c>
      <c r="DU258">
        <f>_xlfn.XLOOKUP(B258,'[12]february-2026'!$A:$A,'[12]february-2026'!$G:$G,0,0)</f>
        <v>500</v>
      </c>
      <c r="DV258">
        <f>IF(DQ258&gt;0,SUM(DQ258:DU258),0)</f>
        <v>47050</v>
      </c>
      <c r="DW258">
        <f>_xlfn.XLOOKUP(B258,'[12]february-2026'!$A:$A,'[12]february-2026'!$H:$H,0,0)</f>
        <v>3000</v>
      </c>
      <c r="DX258">
        <f>_xlfn.XLOOKUP(B258,'[12]february-2026'!$A:$A,'[12]february-2026'!$I:$I,0,0)</f>
        <v>0</v>
      </c>
      <c r="DY258">
        <f>IF($F258="YES",0,IF(DV258&gt;40000,200,IF(DV258&gt;25000,150,IF(DV258&gt;15000,130,IF(DV258&gt;10000,110,0)))))</f>
        <v>200</v>
      </c>
      <c r="DZ258">
        <f>DV258-DW258-DX258-DY258</f>
        <v>43850</v>
      </c>
      <c r="EA258">
        <f>DV258+DL258+DB258+CR258+CH258+BX258+BN258+BD258+AS258+AI258+Y258+O258+H258+I258</f>
        <v>564820</v>
      </c>
      <c r="EB258">
        <f>DY258+DO258+DE258+CU258+CK258+CA258+BQ258+BG258+AV258+AL258+AB258+R258</f>
        <v>2400</v>
      </c>
      <c r="EC258">
        <f>IF(EA258&gt;0,50000,0)</f>
        <v>50000</v>
      </c>
      <c r="ED258">
        <v>0</v>
      </c>
      <c r="EE258">
        <f>EA258-EB258-EC258</f>
        <v>512420</v>
      </c>
      <c r="EF258">
        <f>DW258+DM258+DC258+CS258+CI258+BY258+BO258+BE258+AT258+AJ258+Z258+P258</f>
        <v>36000</v>
      </c>
      <c r="EG258">
        <f>DX258+DN258+DD258+CT258+CJ258+BZ258+BP258+BF258+AU258+AK258+AA258+Q258</f>
        <v>0</v>
      </c>
      <c r="EH258">
        <v>0</v>
      </c>
      <c r="EI258">
        <v>0</v>
      </c>
      <c r="EJ258">
        <v>0</v>
      </c>
      <c r="EK258">
        <v>0</v>
      </c>
      <c r="EL258">
        <v>0</v>
      </c>
      <c r="EM258">
        <v>0</v>
      </c>
      <c r="EN258">
        <v>0</v>
      </c>
      <c r="EO258">
        <v>0</v>
      </c>
      <c r="EP258">
        <v>0</v>
      </c>
      <c r="EQ258">
        <v>0</v>
      </c>
      <c r="ER258">
        <f>SUM(EF258:EQ258)</f>
        <v>36000</v>
      </c>
      <c r="ES258">
        <f>IF(ER258&gt;=150000,150000,ER258)</f>
        <v>36000</v>
      </c>
      <c r="ET258">
        <f>EE258-ES258</f>
        <v>476420</v>
      </c>
      <c r="EU258">
        <v>0</v>
      </c>
      <c r="EV258">
        <v>0</v>
      </c>
      <c r="EW258">
        <v>0</v>
      </c>
      <c r="EX258">
        <v>0</v>
      </c>
      <c r="EY258">
        <v>0</v>
      </c>
      <c r="EZ258">
        <v>0</v>
      </c>
      <c r="FA258">
        <v>0</v>
      </c>
      <c r="FB258">
        <f>SUM(EU258:FA258)+(IF(F258="YES",50000,0))</f>
        <v>0</v>
      </c>
      <c r="FC258">
        <f>ET258-FB258</f>
        <v>476420</v>
      </c>
      <c r="FD258">
        <f>ROUND(IF(FC258&gt;0,IF(FC258&gt;500000,12500,(FC258-250000)*0.05),0),0)</f>
        <v>11321</v>
      </c>
      <c r="FE258">
        <f>IF(ROUND(IF(FC258&gt;0,IF(FC258&gt;1000000,25000,(FC258-500000)*0.2),0),0)&lt;0,0,ROUND(IF(FC258&gt;0,IF(FC258&gt;1000000,25000,(FC258-500000)*0.2),0),0))</f>
        <v>0</v>
      </c>
      <c r="FF258">
        <f>FD258+FE258</f>
        <v>11321</v>
      </c>
      <c r="FG258">
        <f>IF(FF258&lt;12500,0,FF258)</f>
        <v>0</v>
      </c>
      <c r="FH258">
        <f>FG258*0.04</f>
        <v>0</v>
      </c>
      <c r="FI258">
        <f>ROUND(FH258+FG258,0)</f>
        <v>0</v>
      </c>
      <c r="FJ258">
        <v>0</v>
      </c>
      <c r="FK258">
        <f>FI258-FJ258</f>
        <v>0</v>
      </c>
      <c r="FL258" t="b">
        <f>IF(EA258&gt;500000,TRUE,FALSE)</f>
        <v>1</v>
      </c>
      <c r="FM258">
        <f ca="1">IF(FL258,RANDBETWEEN(500,1000),RANDBETWEEN(1000,3000))</f>
        <v>993</v>
      </c>
      <c r="FN258">
        <f ca="1">EA258+FM258</f>
        <v>565813</v>
      </c>
      <c r="FO258">
        <f>IF(EA258&gt;0,75000,0)</f>
        <v>75000</v>
      </c>
      <c r="FP258">
        <f ca="1">FN258-FO258</f>
        <v>490813</v>
      </c>
      <c r="FQ258">
        <f ca="1">IF(FP258&gt;2400000,FP258-2400000,0)</f>
        <v>0</v>
      </c>
      <c r="FR258">
        <f ca="1">FQ258*0.3</f>
        <v>0</v>
      </c>
      <c r="FS258">
        <f ca="1">IF(FP258&gt;2000000,FP258-2000000,0)</f>
        <v>0</v>
      </c>
      <c r="FT258">
        <f ca="1">FS258*0.25</f>
        <v>0</v>
      </c>
      <c r="FU258">
        <f ca="1">IF(FP258&gt;1600000,FP258-1600000-FQ258,0)</f>
        <v>0</v>
      </c>
      <c r="FV258">
        <f ca="1">FU258*0.2</f>
        <v>0</v>
      </c>
      <c r="FW258">
        <f ca="1">IF(FP258&gt;1200000,FP258-1200000-IF(F258="YES",50000,0)-FU258,0)</f>
        <v>0</v>
      </c>
      <c r="FX258">
        <f ca="1">FW258*0.15</f>
        <v>0</v>
      </c>
      <c r="FY258">
        <f ca="1">IF(FP258&gt;800000,FP258-800000-FQ258-FU258-FW258,0)</f>
        <v>0</v>
      </c>
      <c r="FZ258">
        <f ca="1">FY258*0.1</f>
        <v>0</v>
      </c>
      <c r="GA258">
        <f ca="1">IF(FP258&gt;400000,FP258-400000-FQ258-FU258-FW258-FY258,0)</f>
        <v>90813</v>
      </c>
      <c r="GB258">
        <f ca="1">GA258*0.05</f>
        <v>4540.6500000000005</v>
      </c>
      <c r="GC258">
        <f ca="1">ROUND(FR258+FT258+FV258+FX258+FZ258+GB258,0)</f>
        <v>4541</v>
      </c>
      <c r="GD258">
        <f ca="1">IF(FP258&gt;1200000,FP258,0)</f>
        <v>0</v>
      </c>
      <c r="GE258">
        <f ca="1">IF(FP258&gt;1200000,GD258-1200000,0)</f>
        <v>0</v>
      </c>
      <c r="GF258">
        <f ca="1">IF(FP258&lt;1200001,MIN(GC258,60000),0)</f>
        <v>4541</v>
      </c>
      <c r="GG258">
        <f ca="1">IF(FP258&gt;1200000,GC258-GE258,0)</f>
        <v>0</v>
      </c>
      <c r="GH258" t="b">
        <f ca="1">IF(GG258&gt;0,TRUE,FALSE)</f>
        <v>0</v>
      </c>
      <c r="GI258">
        <f ca="1">IF(GH258,GG258,0)</f>
        <v>0</v>
      </c>
      <c r="GJ258">
        <f ca="1">GF258+GI258</f>
        <v>4541</v>
      </c>
      <c r="GK258">
        <f ca="1">ROUND(GC258-GJ258,0)</f>
        <v>0</v>
      </c>
      <c r="GL258">
        <f ca="1">GK258*0.04</f>
        <v>0</v>
      </c>
      <c r="GM258">
        <f ca="1">ROUNDUP(GK258+GL258,0)</f>
        <v>0</v>
      </c>
    </row>
    <row r="259" spans="1:195" x14ac:dyDescent="0.25">
      <c r="A259">
        <f>_xlfn.AGGREGATE(3,5,$B$2:B259)</f>
        <v>258</v>
      </c>
      <c r="B259" t="s">
        <v>627</v>
      </c>
      <c r="C259" t="s">
        <v>628</v>
      </c>
      <c r="D259" t="s">
        <v>819</v>
      </c>
      <c r="E259" t="s">
        <v>833</v>
      </c>
      <c r="F259" t="s">
        <v>959</v>
      </c>
      <c r="G259" t="s">
        <v>884</v>
      </c>
      <c r="H259">
        <f>IF(_xlfn.DAYS("31-03-2025",G259)&gt;=180,6800,0)</f>
        <v>6800</v>
      </c>
      <c r="I259">
        <f>_xlfn.XLOOKUP(B259,'[1]march-2025'!$A:$A,'[1]march-2025'!$J:$J,0,0)</f>
        <v>0</v>
      </c>
      <c r="J259">
        <f>_xlfn.XLOOKUP(B259,'[1]march-2025'!$A:$A,'[1]march-2025'!$C:$C,0,0)</f>
        <v>31600</v>
      </c>
      <c r="K259">
        <f>J259*0.14</f>
        <v>4424</v>
      </c>
      <c r="L259">
        <f>J259*0.12</f>
        <v>3792</v>
      </c>
      <c r="M259">
        <f>_xlfn.XLOOKUP(B259,'[1]march-2025'!$A:$A,'[1]march-2025'!$D:$D,0,0)</f>
        <v>0</v>
      </c>
      <c r="N259">
        <f>_xlfn.XLOOKUP(B259,'[1]march-2025'!$A:$A,'[1]march-2025'!$G:$G,0,0)</f>
        <v>0</v>
      </c>
      <c r="O259">
        <f>IF(J259&gt;0,SUM(J259:N259),0)</f>
        <v>39816</v>
      </c>
      <c r="P259">
        <f>_xlfn.XLOOKUP(B259,'[1]march-2025'!$A:$A,'[1]march-2025'!$H:$H,0,0)</f>
        <v>2000</v>
      </c>
      <c r="Q259">
        <f>_xlfn.XLOOKUP(B259,'[1]march-2025'!$A:$A,'[1]march-2025'!$I:$I,0,0)</f>
        <v>0</v>
      </c>
      <c r="R259">
        <f>IF($F259="YES",0,IF(O259&gt;40000,200,IF(O259&gt;25000,150,IF(O259&gt;15000,130,IF(O259&gt;10000,110,0)))))</f>
        <v>150</v>
      </c>
      <c r="S259">
        <f>O259-P259-Q259-R259</f>
        <v>37666</v>
      </c>
      <c r="T259">
        <f>_xlfn.XLOOKUP(B259,'[2]april-2025'!$A:$A,'[2]april-2025'!$C:$C,0,0)</f>
        <v>31600</v>
      </c>
      <c r="U259">
        <f>T259*0.18</f>
        <v>5688</v>
      </c>
      <c r="V259">
        <f>T259*0.12</f>
        <v>3792</v>
      </c>
      <c r="W259">
        <f>_xlfn.XLOOKUP(B259,'[2]april-2025'!$A:$A,'[2]april-2025'!$D:$D,0,0)</f>
        <v>0</v>
      </c>
      <c r="X259">
        <f>_xlfn.XLOOKUP(B259,'[2]april-2025'!$A:$A,'[2]april-2025'!$G:$G,0,0)</f>
        <v>0</v>
      </c>
      <c r="Y259">
        <f>IF(T259&gt;0,SUM(T259:X259),0)</f>
        <v>41080</v>
      </c>
      <c r="Z259">
        <f>_xlfn.XLOOKUP(B259,'[2]april-2025'!$A:$A,'[2]april-2025'!$H:$H,0,0)</f>
        <v>2000</v>
      </c>
      <c r="AA259">
        <f>_xlfn.XLOOKUP(B259,'[2]april-2025'!$A:$A,'[2]april-2025'!$I:$I,0,0)</f>
        <v>0</v>
      </c>
      <c r="AB259">
        <f>IF($F259="YES",0,IF(Y259&gt;40000,200,IF(Y259&gt;25000,150,IF(Y259&gt;15000,130,IF(Y259&gt;10000,110,0)))))</f>
        <v>200</v>
      </c>
      <c r="AC259">
        <f>Y259-Z259-AA259-AB259</f>
        <v>38880</v>
      </c>
      <c r="AD259">
        <f>_xlfn.XLOOKUP(B259,'[3]may-2025'!$A:$A,'[3]may-2025'!$C:$C,0,0)</f>
        <v>31600</v>
      </c>
      <c r="AE259">
        <f>AD259*0.18</f>
        <v>5688</v>
      </c>
      <c r="AF259">
        <f>AD259*0.12</f>
        <v>3792</v>
      </c>
      <c r="AG259">
        <f>_xlfn.XLOOKUP(B259,'[3]may-2025'!$A:$A,'[3]may-2025'!$D:$D,0,0)</f>
        <v>0</v>
      </c>
      <c r="AH259">
        <f>_xlfn.XLOOKUP(B259,'[3]may-2025'!$A:$A,'[3]may-2025'!$G:$G,0,0)</f>
        <v>0</v>
      </c>
      <c r="AI259">
        <f>IF(AD259&gt;0,SUM(AD259:AH259),0)</f>
        <v>41080</v>
      </c>
      <c r="AJ259">
        <f>_xlfn.XLOOKUP(B259,'[3]may-2025'!$A:$A,'[3]may-2025'!$H:$H,0,0)</f>
        <v>2000</v>
      </c>
      <c r="AK259">
        <f>_xlfn.XLOOKUP(B259,'[3]may-2025'!$A:$A,'[3]may-2025'!$I:$I,0,0)</f>
        <v>0</v>
      </c>
      <c r="AL259">
        <f>IF($F259="YES",0,IF(AI259&gt;40000,200,IF(AI259&gt;25000,150,IF(AI259&gt;15000,130,IF(AI259&gt;10000,110,0)))))</f>
        <v>200</v>
      </c>
      <c r="AM259">
        <f>AI259-AJ259-AK259-AL259</f>
        <v>38880</v>
      </c>
      <c r="AN259">
        <f>_xlfn.XLOOKUP(B259,'[4]june-2025'!$A:$A,'[4]june-2025'!$C:$C,0,0)</f>
        <v>31600</v>
      </c>
      <c r="AO259">
        <f>AN259*0.18</f>
        <v>5688</v>
      </c>
      <c r="AP259">
        <f>AN259*0.12</f>
        <v>3792</v>
      </c>
      <c r="AQ259">
        <f>_xlfn.XLOOKUP(B259,'[4]june-2025'!$A:$A,'[4]june-2025'!$D:$D,0,0)</f>
        <v>0</v>
      </c>
      <c r="AR259">
        <f>_xlfn.XLOOKUP(B259,'[4]june-2025'!$A:$A,'[4]june-2025'!$G:$G,0,0)</f>
        <v>0</v>
      </c>
      <c r="AS259">
        <f>IF(AN259&gt;0,SUM(AN259:AR259),0)</f>
        <v>41080</v>
      </c>
      <c r="AT259">
        <f>_xlfn.XLOOKUP(B259,'[4]june-2025'!$A:$A,'[4]june-2025'!$H:$H,0,0)</f>
        <v>2000</v>
      </c>
      <c r="AU259">
        <f>_xlfn.XLOOKUP(B259,'[4]june-2025'!$A:$A,'[4]june-2025'!$I:$I,0,0)</f>
        <v>0</v>
      </c>
      <c r="AV259">
        <f>IF($F259="YES",0,IF(AS259&gt;40000,200,IF(AS259&gt;25000,150,IF(AS259&gt;15000,130,IF(AS259&gt;10000,110,0)))))</f>
        <v>200</v>
      </c>
      <c r="AW259">
        <f>AS259-AT259-AU259-AV259</f>
        <v>38880</v>
      </c>
      <c r="AX259">
        <f>_xlfn.XLOOKUP(B259,'[5]july-2025'!$A:$A,'[5]july-2025'!$C:$C,0,0)</f>
        <v>32500</v>
      </c>
      <c r="AY259">
        <f>AX259*0.18</f>
        <v>5850</v>
      </c>
      <c r="AZ259">
        <v>0</v>
      </c>
      <c r="BA259">
        <f>AX259*0.12</f>
        <v>3900</v>
      </c>
      <c r="BB259">
        <f>_xlfn.XLOOKUP(B259,'[5]july-2025'!$A:$A,'[5]july-2025'!$D:$D,0,0)</f>
        <v>0</v>
      </c>
      <c r="BC259">
        <f>_xlfn.XLOOKUP(B259,'[5]july-2025'!$A:$A,'[5]july-2025'!$G:$G,0,0)</f>
        <v>0</v>
      </c>
      <c r="BD259">
        <f>IF(AX259&gt;0,SUM(AX259:BC259),0)</f>
        <v>42250</v>
      </c>
      <c r="BE259">
        <f>_xlfn.XLOOKUP(B259,'[5]july-2025'!$A:$A,'[5]july-2025'!$H:$H,0,0)</f>
        <v>2000</v>
      </c>
      <c r="BF259">
        <f>_xlfn.XLOOKUP(B259,'[5]july-2025'!$A:$A,'[5]july-2025'!$I:$I,0,0)</f>
        <v>0</v>
      </c>
      <c r="BG259">
        <f>IF($F259="YES",0,IF(BD259&gt;40000,200,IF(BD259&gt;25000,150,IF(BD259&gt;15000,130,IF(BD259&gt;10000,110,0)))))</f>
        <v>200</v>
      </c>
      <c r="BH259">
        <f>BD259-BE259-BF259-BG259</f>
        <v>40050</v>
      </c>
      <c r="BI259">
        <f>_xlfn.XLOOKUP(B259,'[6]august-2025'!$A:$A,'[6]august-2025'!$C:$C,0,0)</f>
        <v>32500</v>
      </c>
      <c r="BJ259">
        <f>BI259*0.18</f>
        <v>5850</v>
      </c>
      <c r="BK259">
        <f>BI259*0.12</f>
        <v>3900</v>
      </c>
      <c r="BL259">
        <f>_xlfn.XLOOKUP(B259,'[6]august-2025'!$A:$A,'[6]august-2025'!$D:$D,0,0)</f>
        <v>0</v>
      </c>
      <c r="BM259">
        <f>_xlfn.XLOOKUP(B259,'[6]august-2025'!$A:$A,'[6]august-2025'!$G:$G,0,0)</f>
        <v>0</v>
      </c>
      <c r="BN259">
        <f>IF(BI259&gt;0,SUM(BI259:BM259),0)</f>
        <v>42250</v>
      </c>
      <c r="BO259">
        <f>_xlfn.XLOOKUP(B259,'[6]august-2025'!$A:$A,'[6]august-2025'!$H:$H,0,0)</f>
        <v>2000</v>
      </c>
      <c r="BP259">
        <f>_xlfn.XLOOKUP(B259,'[6]august-2025'!$A:$A,'[6]august-2025'!$I:$I,0,0)</f>
        <v>0</v>
      </c>
      <c r="BQ259">
        <f>IF($F259="YES",0,IF(BN259&gt;40000,200,IF(BN259&gt;25000,150,IF(BN259&gt;15000,130,IF(BN259&gt;10000,110,0)))))</f>
        <v>200</v>
      </c>
      <c r="BR259">
        <f>BN259-BO259-BP259-BQ259</f>
        <v>40050</v>
      </c>
      <c r="BS259">
        <f>_xlfn.XLOOKUP(B259,'[7]september-2025'!$A:$A,'[7]september-2025'!$C:$C,0,0)</f>
        <v>32500</v>
      </c>
      <c r="BT259">
        <f>BS259*0.18</f>
        <v>5850</v>
      </c>
      <c r="BU259">
        <f>BS259*0.12</f>
        <v>3900</v>
      </c>
      <c r="BV259">
        <f>_xlfn.XLOOKUP(B259,'[7]september-2025'!$A:$A,'[7]september-2025'!$D:$D,0,0)</f>
        <v>0</v>
      </c>
      <c r="BW259">
        <f>_xlfn.XLOOKUP(B259,'[7]september-2025'!$A:$A,'[7]september-2025'!$G:$G,0,0)</f>
        <v>0</v>
      </c>
      <c r="BX259">
        <f>IF(BS259&gt;0,SUM(BS259:BW259),0)</f>
        <v>42250</v>
      </c>
      <c r="BY259">
        <f>_xlfn.XLOOKUP(B259,'[7]september-2025'!$A:$A,'[7]september-2025'!$H:$H,0,0)</f>
        <v>2000</v>
      </c>
      <c r="BZ259">
        <f>_xlfn.XLOOKUP(B259,'[7]september-2025'!$A:$A,'[7]september-2025'!$I:$I,0,0)</f>
        <v>0</v>
      </c>
      <c r="CA259">
        <f>IF($F259="YES",0,IF(BX259&gt;40000,200,IF(BX259&gt;25000,150,IF(BX259&gt;15000,130,IF(BX259&gt;10000,110,0)))))</f>
        <v>200</v>
      </c>
      <c r="CB259">
        <f>BX259-BY259-BZ259-CA259</f>
        <v>40050</v>
      </c>
      <c r="CC259">
        <f>_xlfn.XLOOKUP(B259,'[8]october-2025'!$A:$A,'[8]october-2025'!$C:$C,0,0)</f>
        <v>32500</v>
      </c>
      <c r="CD259">
        <f>CC259*0.18</f>
        <v>5850</v>
      </c>
      <c r="CE259">
        <f>CC259*0.12</f>
        <v>3900</v>
      </c>
      <c r="CF259">
        <f>_xlfn.XLOOKUP(B259,'[8]october-2025'!$A:$A,'[8]october-2025'!$D:$D,0,0)</f>
        <v>0</v>
      </c>
      <c r="CG259">
        <f>_xlfn.XLOOKUP(B259,'[8]october-2025'!$A:$A,'[8]october-2025'!$G:$G,0,0)</f>
        <v>0</v>
      </c>
      <c r="CH259">
        <f>IF(CC259&gt;0,SUM(CC259:CG259),0)</f>
        <v>42250</v>
      </c>
      <c r="CI259">
        <f>_xlfn.XLOOKUP(B259,'[8]october-2025'!$A:$A,'[8]october-2025'!$H:$H,0,0)</f>
        <v>2000</v>
      </c>
      <c r="CJ259">
        <f>_xlfn.XLOOKUP(B259,'[8]october-2025'!$A:$A,'[8]october-2025'!$I:$I,0,0)</f>
        <v>0</v>
      </c>
      <c r="CK259">
        <f>IF($F259="YES",0,IF(CH259&gt;40000,200,IF(CH259&gt;25000,150,IF(CH259&gt;15000,130,IF(CH259&gt;10000,110,0)))))</f>
        <v>200</v>
      </c>
      <c r="CL259">
        <f>CH259-CI259-CJ259-CK259</f>
        <v>40050</v>
      </c>
      <c r="CM259">
        <f>_xlfn.XLOOKUP(B259,'[9]november-2025'!$A:$A,'[9]november-2025'!$C:$C,0,0)</f>
        <v>32500</v>
      </c>
      <c r="CN259">
        <f>CM259*0.18</f>
        <v>5850</v>
      </c>
      <c r="CO259">
        <f>CM259*0.12</f>
        <v>3900</v>
      </c>
      <c r="CP259">
        <f>_xlfn.XLOOKUP(B259,'[9]november-2025'!$A:$A,'[9]november-2025'!$D:$D,0,0)</f>
        <v>0</v>
      </c>
      <c r="CQ259">
        <f>_xlfn.XLOOKUP(B259,'[9]november-2025'!$A:$A,'[9]november-2025'!$G:$G,0,0)</f>
        <v>0</v>
      </c>
      <c r="CR259">
        <f>IF(CM259&gt;0,SUM(CM259:CQ259),0)</f>
        <v>42250</v>
      </c>
      <c r="CS259">
        <f>_xlfn.XLOOKUP(B259,'[9]november-2025'!$A:$A,'[9]november-2025'!$H:$H,0,0)</f>
        <v>2000</v>
      </c>
      <c r="CT259">
        <f>_xlfn.XLOOKUP(B259,'[9]november-2025'!$A:$A,'[9]november-2025'!$I:$I,0,0)</f>
        <v>0</v>
      </c>
      <c r="CU259">
        <f>IF($F259="YES",0,IF(CR259&gt;40000,200,IF(CR259&gt;25000,150,IF(CR259&gt;15000,130,IF(CR259&gt;10000,110,0)))))</f>
        <v>200</v>
      </c>
      <c r="CV259">
        <f>CR259-CS259-CT259-CU259</f>
        <v>40050</v>
      </c>
      <c r="CW259">
        <f>_xlfn.XLOOKUP(B259,'[10]december-2025'!$A:$A,'[10]december-2025'!$C:$C,0,0)</f>
        <v>32500</v>
      </c>
      <c r="CX259">
        <f>ROUND(CW259*0.18,0)</f>
        <v>5850</v>
      </c>
      <c r="CY259">
        <f>ROUND(CW259*0.12,0)</f>
        <v>3900</v>
      </c>
      <c r="CZ259">
        <f>_xlfn.XLOOKUP(B259,'[10]december-2025'!$A:$A,'[10]december-2025'!$D:$D,0,0)</f>
        <v>0</v>
      </c>
      <c r="DA259">
        <f>_xlfn.XLOOKUP(B259,'[10]december-2025'!$A:$A,'[10]december-2025'!$G:$G,0,0)</f>
        <v>0</v>
      </c>
      <c r="DB259">
        <f>IF(CW259&gt;0,SUM(CW259:DA259),0)</f>
        <v>42250</v>
      </c>
      <c r="DC259">
        <f>_xlfn.XLOOKUP(B259,'[10]december-2025'!$A:$A,'[10]december-2025'!$H:$H,0,0)</f>
        <v>2000</v>
      </c>
      <c r="DD259">
        <f>_xlfn.XLOOKUP(B259,'[10]december-2025'!$A:$A,'[10]december-2025'!$I:$I,0,0)</f>
        <v>0</v>
      </c>
      <c r="DE259">
        <f>IF($F259="YES",0,IF(DB259&gt;40000,200,IF(DB259&gt;25000,150,IF(DB259&gt;15000,130,IF(DB259&gt;10000,110,0)))))</f>
        <v>200</v>
      </c>
      <c r="DF259">
        <f>DB259-DC259-DD259-DE259</f>
        <v>40050</v>
      </c>
      <c r="DG259">
        <f>_xlfn.XLOOKUP(B259,'[11]january-2026'!$A:$A,'[11]january-2026'!$C:$C,0,0)</f>
        <v>32500</v>
      </c>
      <c r="DH259">
        <f>DG259*0.18</f>
        <v>5850</v>
      </c>
      <c r="DI259">
        <f>DG259*0.12</f>
        <v>3900</v>
      </c>
      <c r="DJ259">
        <f>_xlfn.XLOOKUP(B259,'[11]january-2026'!$A:$A,'[11]january-2026'!$D:$D,0,0)</f>
        <v>0</v>
      </c>
      <c r="DK259">
        <f>_xlfn.XLOOKUP(B259,'[11]january-2026'!$A:$A,'[11]january-2026'!$G:$G,0,0)</f>
        <v>0</v>
      </c>
      <c r="DL259">
        <f>IF(DG259&gt;0,SUM(DG259:DK259),0)</f>
        <v>42250</v>
      </c>
      <c r="DM259">
        <f>_xlfn.XLOOKUP(B259,'[11]january-2026'!$A:$A,'[11]january-2026'!$H:$H,0,0)</f>
        <v>2000</v>
      </c>
      <c r="DN259">
        <f>_xlfn.XLOOKUP(B259,'[11]january-2026'!$A:$A,'[11]january-2026'!$I:$I,0,0)</f>
        <v>0</v>
      </c>
      <c r="DO259">
        <f>IF($F259="YES",0,IF(DL259&gt;40000,200,IF(DL259&gt;25000,150,IF(DL259&gt;15000,130,IF(DL259&gt;10000,110,0)))))</f>
        <v>200</v>
      </c>
      <c r="DP259">
        <f>DL259-DM259-DN259-DO259</f>
        <v>40050</v>
      </c>
      <c r="DQ259">
        <f>_xlfn.XLOOKUP(B259,'[12]february-2026'!$A:$A,'[12]february-2026'!$C:$C,0,0)</f>
        <v>32500</v>
      </c>
      <c r="DR259">
        <f>DQ259*0.18</f>
        <v>5850</v>
      </c>
      <c r="DS259">
        <f>DQ259*0.12</f>
        <v>3900</v>
      </c>
      <c r="DT259">
        <f>_xlfn.XLOOKUP(B259,'[12]february-2026'!$A:$A,'[12]february-2026'!$D:$D,0,0)</f>
        <v>0</v>
      </c>
      <c r="DU259">
        <f>_xlfn.XLOOKUP(B259,'[12]february-2026'!$A:$A,'[12]february-2026'!$G:$G,0,0)</f>
        <v>0</v>
      </c>
      <c r="DV259">
        <f>IF(DQ259&gt;0,SUM(DQ259:DU259),0)</f>
        <v>42250</v>
      </c>
      <c r="DW259">
        <f>_xlfn.XLOOKUP(B259,'[12]february-2026'!$A:$A,'[12]february-2026'!$H:$H,0,0)</f>
        <v>2000</v>
      </c>
      <c r="DX259">
        <f>_xlfn.XLOOKUP(B259,'[12]february-2026'!$A:$A,'[12]february-2026'!$I:$I,0,0)</f>
        <v>0</v>
      </c>
      <c r="DY259">
        <f>IF($F259="YES",0,IF(DV259&gt;40000,200,IF(DV259&gt;25000,150,IF(DV259&gt;15000,130,IF(DV259&gt;10000,110,0)))))</f>
        <v>200</v>
      </c>
      <c r="DZ259">
        <f>DV259-DW259-DX259-DY259</f>
        <v>40050</v>
      </c>
      <c r="EA259">
        <f>DV259+DL259+DB259+CR259+CH259+BX259+BN259+BD259+AS259+AI259+Y259+O259+H259+I259</f>
        <v>507856</v>
      </c>
      <c r="EB259">
        <f>DY259+DO259+DE259+CU259+CK259+CA259+BQ259+BG259+AV259+AL259+AB259+R259</f>
        <v>2350</v>
      </c>
      <c r="EC259">
        <f>IF(EA259&gt;0,50000,0)</f>
        <v>50000</v>
      </c>
      <c r="ED259">
        <v>0</v>
      </c>
      <c r="EE259">
        <f>EA259-EB259-EC259</f>
        <v>455506</v>
      </c>
      <c r="EF259">
        <f>DW259+DM259+DC259+CS259+CI259+BY259+BO259+BE259+AT259+AJ259+Z259+P259</f>
        <v>24000</v>
      </c>
      <c r="EG259">
        <f>DX259+DN259+DD259+CT259+CJ259+BZ259+BP259+BF259+AU259+AK259+AA259+Q259</f>
        <v>0</v>
      </c>
      <c r="EH259">
        <v>0</v>
      </c>
      <c r="EI259">
        <v>0</v>
      </c>
      <c r="EJ259">
        <v>0</v>
      </c>
      <c r="EK259">
        <v>0</v>
      </c>
      <c r="EL259">
        <v>0</v>
      </c>
      <c r="EM259">
        <v>0</v>
      </c>
      <c r="EN259">
        <v>0</v>
      </c>
      <c r="EO259">
        <v>0</v>
      </c>
      <c r="EP259">
        <v>0</v>
      </c>
      <c r="EQ259">
        <v>0</v>
      </c>
      <c r="ER259">
        <f>SUM(EF259:EQ259)</f>
        <v>24000</v>
      </c>
      <c r="ES259">
        <f>IF(ER259&gt;=150000,150000,ER259)</f>
        <v>24000</v>
      </c>
      <c r="ET259">
        <f>EE259-ES259</f>
        <v>431506</v>
      </c>
      <c r="EU259">
        <v>0</v>
      </c>
      <c r="EV259">
        <v>0</v>
      </c>
      <c r="EW259">
        <v>0</v>
      </c>
      <c r="EX259">
        <v>0</v>
      </c>
      <c r="EY259">
        <v>0</v>
      </c>
      <c r="EZ259">
        <v>0</v>
      </c>
      <c r="FA259">
        <v>0</v>
      </c>
      <c r="FB259">
        <f>SUM(EU259:FA259)+(IF(F259="YES",50000,0))</f>
        <v>0</v>
      </c>
      <c r="FC259">
        <f>ET259-FB259</f>
        <v>431506</v>
      </c>
      <c r="FD259">
        <f>ROUND(IF(FC259&gt;0,IF(FC259&gt;500000,12500,(FC259-250000)*0.05),0),0)</f>
        <v>9075</v>
      </c>
      <c r="FE259">
        <f>IF(ROUND(IF(FC259&gt;0,IF(FC259&gt;1000000,25000,(FC259-500000)*0.2),0),0)&lt;0,0,ROUND(IF(FC259&gt;0,IF(FC259&gt;1000000,25000,(FC259-500000)*0.2),0),0))</f>
        <v>0</v>
      </c>
      <c r="FF259">
        <f>FD259+FE259</f>
        <v>9075</v>
      </c>
      <c r="FG259">
        <f>IF(FF259&lt;12500,0,FF259)</f>
        <v>0</v>
      </c>
      <c r="FH259">
        <f>FG259*0.04</f>
        <v>0</v>
      </c>
      <c r="FI259">
        <f>ROUND(FH259+FG259,0)</f>
        <v>0</v>
      </c>
      <c r="FJ259">
        <v>0</v>
      </c>
      <c r="FK259">
        <f>FI259-FJ259</f>
        <v>0</v>
      </c>
      <c r="FL259" t="b">
        <f>IF(EA259&gt;500000,TRUE,FALSE)</f>
        <v>1</v>
      </c>
      <c r="FM259">
        <f ca="1">IF(FL259,RANDBETWEEN(500,1000),RANDBETWEEN(1000,3000))</f>
        <v>711</v>
      </c>
      <c r="FN259">
        <f ca="1">EA259+FM259</f>
        <v>508567</v>
      </c>
      <c r="FO259">
        <f>IF(EA259&gt;0,75000,0)</f>
        <v>75000</v>
      </c>
      <c r="FP259">
        <f ca="1">FN259-FO259</f>
        <v>433567</v>
      </c>
      <c r="FQ259">
        <f ca="1">IF(FP259&gt;2400000,FP259-2400000,0)</f>
        <v>0</v>
      </c>
      <c r="FR259">
        <f ca="1">FQ259*0.3</f>
        <v>0</v>
      </c>
      <c r="FS259">
        <f ca="1">IF(FP259&gt;2000000,FP259-2000000,0)</f>
        <v>0</v>
      </c>
      <c r="FT259">
        <f ca="1">FS259*0.25</f>
        <v>0</v>
      </c>
      <c r="FU259">
        <f ca="1">IF(FP259&gt;1600000,FP259-1600000-FQ259,0)</f>
        <v>0</v>
      </c>
      <c r="FV259">
        <f ca="1">FU259*0.2</f>
        <v>0</v>
      </c>
      <c r="FW259">
        <f ca="1">IF(FP259&gt;1200000,FP259-1200000-IF(F259="YES",50000,0)-FU259,0)</f>
        <v>0</v>
      </c>
      <c r="FX259">
        <f ca="1">FW259*0.15</f>
        <v>0</v>
      </c>
      <c r="FY259">
        <f ca="1">IF(FP259&gt;800000,FP259-800000-FQ259-FU259-FW259,0)</f>
        <v>0</v>
      </c>
      <c r="FZ259">
        <f ca="1">FY259*0.1</f>
        <v>0</v>
      </c>
      <c r="GA259">
        <f ca="1">IF(FP259&gt;400000,FP259-400000-FQ259-FU259-FW259-FY259,0)</f>
        <v>33567</v>
      </c>
      <c r="GB259">
        <f ca="1">GA259*0.05</f>
        <v>1678.3500000000001</v>
      </c>
      <c r="GC259">
        <f ca="1">ROUND(FR259+FT259+FV259+FX259+FZ259+GB259,0)</f>
        <v>1678</v>
      </c>
      <c r="GD259">
        <f ca="1">IF(FP259&gt;1200000,FP259,0)</f>
        <v>0</v>
      </c>
      <c r="GE259">
        <f ca="1">IF(FP259&gt;1200000,GD259-1200000,0)</f>
        <v>0</v>
      </c>
      <c r="GF259">
        <f ca="1">IF(FP259&lt;1200001,MIN(GC259,60000),0)</f>
        <v>1678</v>
      </c>
      <c r="GG259">
        <f ca="1">IF(FP259&gt;1200000,GC259-GE259,0)</f>
        <v>0</v>
      </c>
      <c r="GH259" t="b">
        <f ca="1">IF(GG259&gt;0,TRUE,FALSE)</f>
        <v>0</v>
      </c>
      <c r="GI259">
        <f ca="1">IF(GH259,GG259,0)</f>
        <v>0</v>
      </c>
      <c r="GJ259">
        <f ca="1">GF259+GI259</f>
        <v>1678</v>
      </c>
      <c r="GK259">
        <f ca="1">ROUND(GC259-GJ259,0)</f>
        <v>0</v>
      </c>
      <c r="GL259">
        <f ca="1">GK259*0.04</f>
        <v>0</v>
      </c>
      <c r="GM259">
        <f ca="1">ROUNDUP(GK259+GL259,0)</f>
        <v>0</v>
      </c>
    </row>
    <row r="260" spans="1:195" x14ac:dyDescent="0.25">
      <c r="A260">
        <f>_xlfn.AGGREGATE(3,5,$B$2:B260)</f>
        <v>259</v>
      </c>
      <c r="B260" t="s">
        <v>629</v>
      </c>
      <c r="C260" t="s">
        <v>630</v>
      </c>
      <c r="D260" t="s">
        <v>819</v>
      </c>
      <c r="E260" t="s">
        <v>833</v>
      </c>
      <c r="F260" t="s">
        <v>959</v>
      </c>
      <c r="G260" t="s">
        <v>881</v>
      </c>
      <c r="H260">
        <f>IF(_xlfn.DAYS("31-03-2025",G260)&gt;=180,6800,0)</f>
        <v>6800</v>
      </c>
      <c r="I260">
        <f>_xlfn.XLOOKUP(B260,'[1]march-2025'!$A:$A,'[1]march-2025'!$J:$J,0,0)</f>
        <v>0</v>
      </c>
      <c r="J260">
        <f>_xlfn.XLOOKUP(B260,'[1]march-2025'!$A:$A,'[1]march-2025'!$C:$C,0,0)</f>
        <v>31600</v>
      </c>
      <c r="K260">
        <f>J260*0.14</f>
        <v>4424</v>
      </c>
      <c r="L260">
        <f>J260*0.12</f>
        <v>3792</v>
      </c>
      <c r="M260">
        <f>_xlfn.XLOOKUP(B260,'[1]march-2025'!$A:$A,'[1]march-2025'!$D:$D,0,0)</f>
        <v>0</v>
      </c>
      <c r="N260">
        <f>_xlfn.XLOOKUP(B260,'[1]march-2025'!$A:$A,'[1]march-2025'!$G:$G,0,0)</f>
        <v>500</v>
      </c>
      <c r="O260">
        <f>IF(J260&gt;0,SUM(J260:N260),0)</f>
        <v>40316</v>
      </c>
      <c r="P260">
        <f>_xlfn.XLOOKUP(B260,'[1]march-2025'!$A:$A,'[1]march-2025'!$H:$H,0,0)</f>
        <v>2000</v>
      </c>
      <c r="Q260">
        <f>_xlfn.XLOOKUP(B260,'[1]march-2025'!$A:$A,'[1]march-2025'!$I:$I,0,0)</f>
        <v>0</v>
      </c>
      <c r="R260">
        <f>IF($F260="YES",0,IF(O260&gt;40000,200,IF(O260&gt;25000,150,IF(O260&gt;15000,130,IF(O260&gt;10000,110,0)))))</f>
        <v>200</v>
      </c>
      <c r="S260">
        <f>O260-P260-Q260-R260</f>
        <v>38116</v>
      </c>
      <c r="T260">
        <f>_xlfn.XLOOKUP(B260,'[2]april-2025'!$A:$A,'[2]april-2025'!$C:$C,0,0)</f>
        <v>31600</v>
      </c>
      <c r="U260">
        <f>T260*0.18</f>
        <v>5688</v>
      </c>
      <c r="V260">
        <f>T260*0.12</f>
        <v>3792</v>
      </c>
      <c r="W260">
        <f>_xlfn.XLOOKUP(B260,'[2]april-2025'!$A:$A,'[2]april-2025'!$D:$D,0,0)</f>
        <v>0</v>
      </c>
      <c r="X260">
        <f>_xlfn.XLOOKUP(B260,'[2]april-2025'!$A:$A,'[2]april-2025'!$G:$G,0,0)</f>
        <v>500</v>
      </c>
      <c r="Y260">
        <f>IF(T260&gt;0,SUM(T260:X260),0)</f>
        <v>41580</v>
      </c>
      <c r="Z260">
        <f>_xlfn.XLOOKUP(B260,'[2]april-2025'!$A:$A,'[2]april-2025'!$H:$H,0,0)</f>
        <v>2000</v>
      </c>
      <c r="AA260">
        <f>_xlfn.XLOOKUP(B260,'[2]april-2025'!$A:$A,'[2]april-2025'!$I:$I,0,0)</f>
        <v>0</v>
      </c>
      <c r="AB260">
        <f>IF($F260="YES",0,IF(Y260&gt;40000,200,IF(Y260&gt;25000,150,IF(Y260&gt;15000,130,IF(Y260&gt;10000,110,0)))))</f>
        <v>200</v>
      </c>
      <c r="AC260">
        <f>Y260-Z260-AA260-AB260</f>
        <v>39380</v>
      </c>
      <c r="AD260">
        <f>_xlfn.XLOOKUP(B260,'[3]may-2025'!$A:$A,'[3]may-2025'!$C:$C,0,0)</f>
        <v>31600</v>
      </c>
      <c r="AE260">
        <f>AD260*0.18</f>
        <v>5688</v>
      </c>
      <c r="AF260">
        <f>AD260*0.12</f>
        <v>3792</v>
      </c>
      <c r="AG260">
        <f>_xlfn.XLOOKUP(B260,'[3]may-2025'!$A:$A,'[3]may-2025'!$D:$D,0,0)</f>
        <v>0</v>
      </c>
      <c r="AH260">
        <f>_xlfn.XLOOKUP(B260,'[3]may-2025'!$A:$A,'[3]may-2025'!$G:$G,0,0)</f>
        <v>500</v>
      </c>
      <c r="AI260">
        <f>IF(AD260&gt;0,SUM(AD260:AH260),0)</f>
        <v>41580</v>
      </c>
      <c r="AJ260">
        <f>_xlfn.XLOOKUP(B260,'[3]may-2025'!$A:$A,'[3]may-2025'!$H:$H,0,0)</f>
        <v>2000</v>
      </c>
      <c r="AK260">
        <f>_xlfn.XLOOKUP(B260,'[3]may-2025'!$A:$A,'[3]may-2025'!$I:$I,0,0)</f>
        <v>0</v>
      </c>
      <c r="AL260">
        <f>IF($F260="YES",0,IF(AI260&gt;40000,200,IF(AI260&gt;25000,150,IF(AI260&gt;15000,130,IF(AI260&gt;10000,110,0)))))</f>
        <v>200</v>
      </c>
      <c r="AM260">
        <f>AI260-AJ260-AK260-AL260</f>
        <v>39380</v>
      </c>
      <c r="AN260">
        <f>_xlfn.XLOOKUP(B260,'[4]june-2025'!$A:$A,'[4]june-2025'!$C:$C,0,0)</f>
        <v>31600</v>
      </c>
      <c r="AO260">
        <f>AN260*0.18</f>
        <v>5688</v>
      </c>
      <c r="AP260">
        <f>AN260*0.12</f>
        <v>3792</v>
      </c>
      <c r="AQ260">
        <f>_xlfn.XLOOKUP(B260,'[4]june-2025'!$A:$A,'[4]june-2025'!$D:$D,0,0)</f>
        <v>0</v>
      </c>
      <c r="AR260">
        <f>_xlfn.XLOOKUP(B260,'[4]june-2025'!$A:$A,'[4]june-2025'!$G:$G,0,0)</f>
        <v>500</v>
      </c>
      <c r="AS260">
        <f>IF(AN260&gt;0,SUM(AN260:AR260),0)</f>
        <v>41580</v>
      </c>
      <c r="AT260">
        <f>_xlfn.XLOOKUP(B260,'[4]june-2025'!$A:$A,'[4]june-2025'!$H:$H,0,0)</f>
        <v>2000</v>
      </c>
      <c r="AU260">
        <f>_xlfn.XLOOKUP(B260,'[4]june-2025'!$A:$A,'[4]june-2025'!$I:$I,0,0)</f>
        <v>0</v>
      </c>
      <c r="AV260">
        <f>IF($F260="YES",0,IF(AS260&gt;40000,200,IF(AS260&gt;25000,150,IF(AS260&gt;15000,130,IF(AS260&gt;10000,110,0)))))</f>
        <v>200</v>
      </c>
      <c r="AW260">
        <f>AS260-AT260-AU260-AV260</f>
        <v>39380</v>
      </c>
      <c r="AX260">
        <f>_xlfn.XLOOKUP(B260,'[5]july-2025'!$A:$A,'[5]july-2025'!$C:$C,0,0)</f>
        <v>32500</v>
      </c>
      <c r="AY260">
        <f>AX260*0.18</f>
        <v>5850</v>
      </c>
      <c r="AZ260">
        <v>0</v>
      </c>
      <c r="BA260">
        <f>AX260*0.12</f>
        <v>3900</v>
      </c>
      <c r="BB260">
        <f>_xlfn.XLOOKUP(B260,'[5]july-2025'!$A:$A,'[5]july-2025'!$D:$D,0,0)</f>
        <v>0</v>
      </c>
      <c r="BC260">
        <f>_xlfn.XLOOKUP(B260,'[5]july-2025'!$A:$A,'[5]july-2025'!$G:$G,0,0)</f>
        <v>500</v>
      </c>
      <c r="BD260">
        <f>IF(AX260&gt;0,SUM(AX260:BC260),0)</f>
        <v>42750</v>
      </c>
      <c r="BE260">
        <f>_xlfn.XLOOKUP(B260,'[5]july-2025'!$A:$A,'[5]july-2025'!$H:$H,0,0)</f>
        <v>2000</v>
      </c>
      <c r="BF260">
        <f>_xlfn.XLOOKUP(B260,'[5]july-2025'!$A:$A,'[5]july-2025'!$I:$I,0,0)</f>
        <v>0</v>
      </c>
      <c r="BG260">
        <f>IF($F260="YES",0,IF(BD260&gt;40000,200,IF(BD260&gt;25000,150,IF(BD260&gt;15000,130,IF(BD260&gt;10000,110,0)))))</f>
        <v>200</v>
      </c>
      <c r="BH260">
        <f>BD260-BE260-BF260-BG260</f>
        <v>40550</v>
      </c>
      <c r="BI260">
        <f>_xlfn.XLOOKUP(B260,'[6]august-2025'!$A:$A,'[6]august-2025'!$C:$C,0,0)</f>
        <v>32500</v>
      </c>
      <c r="BJ260">
        <f>BI260*0.18</f>
        <v>5850</v>
      </c>
      <c r="BK260">
        <f>BI260*0.12</f>
        <v>3900</v>
      </c>
      <c r="BL260">
        <f>_xlfn.XLOOKUP(B260,'[6]august-2025'!$A:$A,'[6]august-2025'!$D:$D,0,0)</f>
        <v>0</v>
      </c>
      <c r="BM260">
        <f>_xlfn.XLOOKUP(B260,'[6]august-2025'!$A:$A,'[6]august-2025'!$G:$G,0,0)</f>
        <v>500</v>
      </c>
      <c r="BN260">
        <f>IF(BI260&gt;0,SUM(BI260:BM260),0)</f>
        <v>42750</v>
      </c>
      <c r="BO260">
        <f>_xlfn.XLOOKUP(B260,'[6]august-2025'!$A:$A,'[6]august-2025'!$H:$H,0,0)</f>
        <v>2000</v>
      </c>
      <c r="BP260">
        <f>_xlfn.XLOOKUP(B260,'[6]august-2025'!$A:$A,'[6]august-2025'!$I:$I,0,0)</f>
        <v>0</v>
      </c>
      <c r="BQ260">
        <f>IF($F260="YES",0,IF(BN260&gt;40000,200,IF(BN260&gt;25000,150,IF(BN260&gt;15000,130,IF(BN260&gt;10000,110,0)))))</f>
        <v>200</v>
      </c>
      <c r="BR260">
        <f>BN260-BO260-BP260-BQ260</f>
        <v>40550</v>
      </c>
      <c r="BS260">
        <f>_xlfn.XLOOKUP(B260,'[7]september-2025'!$A:$A,'[7]september-2025'!$C:$C,0,0)</f>
        <v>32500</v>
      </c>
      <c r="BT260">
        <f>BS260*0.18</f>
        <v>5850</v>
      </c>
      <c r="BU260">
        <f>BS260*0.12</f>
        <v>3900</v>
      </c>
      <c r="BV260">
        <f>_xlfn.XLOOKUP(B260,'[7]september-2025'!$A:$A,'[7]september-2025'!$D:$D,0,0)</f>
        <v>0</v>
      </c>
      <c r="BW260">
        <f>_xlfn.XLOOKUP(B260,'[7]september-2025'!$A:$A,'[7]september-2025'!$G:$G,0,0)</f>
        <v>500</v>
      </c>
      <c r="BX260">
        <f>IF(BS260&gt;0,SUM(BS260:BW260),0)</f>
        <v>42750</v>
      </c>
      <c r="BY260">
        <f>_xlfn.XLOOKUP(B260,'[7]september-2025'!$A:$A,'[7]september-2025'!$H:$H,0,0)</f>
        <v>2000</v>
      </c>
      <c r="BZ260">
        <f>_xlfn.XLOOKUP(B260,'[7]september-2025'!$A:$A,'[7]september-2025'!$I:$I,0,0)</f>
        <v>0</v>
      </c>
      <c r="CA260">
        <f>IF($F260="YES",0,IF(BX260&gt;40000,200,IF(BX260&gt;25000,150,IF(BX260&gt;15000,130,IF(BX260&gt;10000,110,0)))))</f>
        <v>200</v>
      </c>
      <c r="CB260">
        <f>BX260-BY260-BZ260-CA260</f>
        <v>40550</v>
      </c>
      <c r="CC260">
        <f>_xlfn.XLOOKUP(B260,'[8]october-2025'!$A:$A,'[8]october-2025'!$C:$C,0,0)</f>
        <v>32500</v>
      </c>
      <c r="CD260">
        <f>CC260*0.18</f>
        <v>5850</v>
      </c>
      <c r="CE260">
        <f>CC260*0.12</f>
        <v>3900</v>
      </c>
      <c r="CF260">
        <f>_xlfn.XLOOKUP(B260,'[8]october-2025'!$A:$A,'[8]october-2025'!$D:$D,0,0)</f>
        <v>0</v>
      </c>
      <c r="CG260">
        <f>_xlfn.XLOOKUP(B260,'[8]october-2025'!$A:$A,'[8]october-2025'!$G:$G,0,0)</f>
        <v>500</v>
      </c>
      <c r="CH260">
        <f>IF(CC260&gt;0,SUM(CC260:CG260),0)</f>
        <v>42750</v>
      </c>
      <c r="CI260">
        <f>_xlfn.XLOOKUP(B260,'[8]october-2025'!$A:$A,'[8]october-2025'!$H:$H,0,0)</f>
        <v>2000</v>
      </c>
      <c r="CJ260">
        <f>_xlfn.XLOOKUP(B260,'[8]october-2025'!$A:$A,'[8]october-2025'!$I:$I,0,0)</f>
        <v>0</v>
      </c>
      <c r="CK260">
        <f>IF($F260="YES",0,IF(CH260&gt;40000,200,IF(CH260&gt;25000,150,IF(CH260&gt;15000,130,IF(CH260&gt;10000,110,0)))))</f>
        <v>200</v>
      </c>
      <c r="CL260">
        <f>CH260-CI260-CJ260-CK260</f>
        <v>40550</v>
      </c>
      <c r="CM260">
        <f>_xlfn.XLOOKUP(B260,'[9]november-2025'!$A:$A,'[9]november-2025'!$C:$C,0,0)</f>
        <v>32500</v>
      </c>
      <c r="CN260">
        <f>CM260*0.18</f>
        <v>5850</v>
      </c>
      <c r="CO260">
        <f>CM260*0.12</f>
        <v>3900</v>
      </c>
      <c r="CP260">
        <f>_xlfn.XLOOKUP(B260,'[9]november-2025'!$A:$A,'[9]november-2025'!$D:$D,0,0)</f>
        <v>0</v>
      </c>
      <c r="CQ260">
        <f>_xlfn.XLOOKUP(B260,'[9]november-2025'!$A:$A,'[9]november-2025'!$G:$G,0,0)</f>
        <v>500</v>
      </c>
      <c r="CR260">
        <f>IF(CM260&gt;0,SUM(CM260:CQ260),0)</f>
        <v>42750</v>
      </c>
      <c r="CS260">
        <f>_xlfn.XLOOKUP(B260,'[9]november-2025'!$A:$A,'[9]november-2025'!$H:$H,0,0)</f>
        <v>2000</v>
      </c>
      <c r="CT260">
        <f>_xlfn.XLOOKUP(B260,'[9]november-2025'!$A:$A,'[9]november-2025'!$I:$I,0,0)</f>
        <v>0</v>
      </c>
      <c r="CU260">
        <f>IF($F260="YES",0,IF(CR260&gt;40000,200,IF(CR260&gt;25000,150,IF(CR260&gt;15000,130,IF(CR260&gt;10000,110,0)))))</f>
        <v>200</v>
      </c>
      <c r="CV260">
        <f>CR260-CS260-CT260-CU260</f>
        <v>40550</v>
      </c>
      <c r="CW260">
        <f>_xlfn.XLOOKUP(B260,'[10]december-2025'!$A:$A,'[10]december-2025'!$C:$C,0,0)</f>
        <v>32500</v>
      </c>
      <c r="CX260">
        <f>ROUND(CW260*0.18,0)</f>
        <v>5850</v>
      </c>
      <c r="CY260">
        <f>ROUND(CW260*0.12,0)</f>
        <v>3900</v>
      </c>
      <c r="CZ260">
        <f>_xlfn.XLOOKUP(B260,'[10]december-2025'!$A:$A,'[10]december-2025'!$D:$D,0,0)</f>
        <v>0</v>
      </c>
      <c r="DA260">
        <f>_xlfn.XLOOKUP(B260,'[10]december-2025'!$A:$A,'[10]december-2025'!$G:$G,0,0)</f>
        <v>500</v>
      </c>
      <c r="DB260">
        <f>IF(CW260&gt;0,SUM(CW260:DA260),0)</f>
        <v>42750</v>
      </c>
      <c r="DC260">
        <f>_xlfn.XLOOKUP(B260,'[10]december-2025'!$A:$A,'[10]december-2025'!$H:$H,0,0)</f>
        <v>2000</v>
      </c>
      <c r="DD260">
        <f>_xlfn.XLOOKUP(B260,'[10]december-2025'!$A:$A,'[10]december-2025'!$I:$I,0,0)</f>
        <v>0</v>
      </c>
      <c r="DE260">
        <f>IF($F260="YES",0,IF(DB260&gt;40000,200,IF(DB260&gt;25000,150,IF(DB260&gt;15000,130,IF(DB260&gt;10000,110,0)))))</f>
        <v>200</v>
      </c>
      <c r="DF260">
        <f>DB260-DC260-DD260-DE260</f>
        <v>40550</v>
      </c>
      <c r="DG260">
        <f>_xlfn.XLOOKUP(B260,'[11]january-2026'!$A:$A,'[11]january-2026'!$C:$C,0,0)</f>
        <v>32500</v>
      </c>
      <c r="DH260">
        <f>DG260*0.18</f>
        <v>5850</v>
      </c>
      <c r="DI260">
        <f>DG260*0.12</f>
        <v>3900</v>
      </c>
      <c r="DJ260">
        <f>_xlfn.XLOOKUP(B260,'[11]january-2026'!$A:$A,'[11]january-2026'!$D:$D,0,0)</f>
        <v>0</v>
      </c>
      <c r="DK260">
        <f>_xlfn.XLOOKUP(B260,'[11]january-2026'!$A:$A,'[11]january-2026'!$G:$G,0,0)</f>
        <v>500</v>
      </c>
      <c r="DL260">
        <f>IF(DG260&gt;0,SUM(DG260:DK260),0)</f>
        <v>42750</v>
      </c>
      <c r="DM260">
        <f>_xlfn.XLOOKUP(B260,'[11]january-2026'!$A:$A,'[11]january-2026'!$H:$H,0,0)</f>
        <v>2000</v>
      </c>
      <c r="DN260">
        <f>_xlfn.XLOOKUP(B260,'[11]january-2026'!$A:$A,'[11]january-2026'!$I:$I,0,0)</f>
        <v>0</v>
      </c>
      <c r="DO260">
        <f>IF($F260="YES",0,IF(DL260&gt;40000,200,IF(DL260&gt;25000,150,IF(DL260&gt;15000,130,IF(DL260&gt;10000,110,0)))))</f>
        <v>200</v>
      </c>
      <c r="DP260">
        <f>DL260-DM260-DN260-DO260</f>
        <v>40550</v>
      </c>
      <c r="DQ260">
        <f>_xlfn.XLOOKUP(B260,'[12]february-2026'!$A:$A,'[12]february-2026'!$C:$C,0,0)</f>
        <v>32500</v>
      </c>
      <c r="DR260">
        <f>DQ260*0.18</f>
        <v>5850</v>
      </c>
      <c r="DS260">
        <f>DQ260*0.12</f>
        <v>3900</v>
      </c>
      <c r="DT260">
        <f>_xlfn.XLOOKUP(B260,'[12]february-2026'!$A:$A,'[12]february-2026'!$D:$D,0,0)</f>
        <v>0</v>
      </c>
      <c r="DU260">
        <f>_xlfn.XLOOKUP(B260,'[12]february-2026'!$A:$A,'[12]february-2026'!$G:$G,0,0)</f>
        <v>500</v>
      </c>
      <c r="DV260">
        <f>IF(DQ260&gt;0,SUM(DQ260:DU260),0)</f>
        <v>42750</v>
      </c>
      <c r="DW260">
        <f>_xlfn.XLOOKUP(B260,'[12]february-2026'!$A:$A,'[12]february-2026'!$H:$H,0,0)</f>
        <v>2000</v>
      </c>
      <c r="DX260">
        <f>_xlfn.XLOOKUP(B260,'[12]february-2026'!$A:$A,'[12]february-2026'!$I:$I,0,0)</f>
        <v>0</v>
      </c>
      <c r="DY260">
        <f>IF($F260="YES",0,IF(DV260&gt;40000,200,IF(DV260&gt;25000,150,IF(DV260&gt;15000,130,IF(DV260&gt;10000,110,0)))))</f>
        <v>200</v>
      </c>
      <c r="DZ260">
        <f>DV260-DW260-DX260-DY260</f>
        <v>40550</v>
      </c>
      <c r="EA260">
        <f>DV260+DL260+DB260+CR260+CH260+BX260+BN260+BD260+AS260+AI260+Y260+O260+H260+I260</f>
        <v>513856</v>
      </c>
      <c r="EB260">
        <f>DY260+DO260+DE260+CU260+CK260+CA260+BQ260+BG260+AV260+AL260+AB260+R260</f>
        <v>2400</v>
      </c>
      <c r="EC260">
        <f>IF(EA260&gt;0,50000,0)</f>
        <v>50000</v>
      </c>
      <c r="ED260">
        <v>0</v>
      </c>
      <c r="EE260">
        <f>EA260-EB260-EC260</f>
        <v>461456</v>
      </c>
      <c r="EF260">
        <f>DW260+DM260+DC260+CS260+CI260+BY260+BO260+BE260+AT260+AJ260+Z260+P260</f>
        <v>24000</v>
      </c>
      <c r="EG260">
        <f>DX260+DN260+DD260+CT260+CJ260+BZ260+BP260+BF260+AU260+AK260+AA260+Q260</f>
        <v>0</v>
      </c>
      <c r="EH260">
        <v>0</v>
      </c>
      <c r="EI260">
        <v>0</v>
      </c>
      <c r="EJ260">
        <v>0</v>
      </c>
      <c r="EK260">
        <v>0</v>
      </c>
      <c r="EL260">
        <v>0</v>
      </c>
      <c r="EM260">
        <v>0</v>
      </c>
      <c r="EN260">
        <v>0</v>
      </c>
      <c r="EO260">
        <v>0</v>
      </c>
      <c r="EP260">
        <v>0</v>
      </c>
      <c r="EQ260">
        <v>0</v>
      </c>
      <c r="ER260">
        <f>SUM(EF260:EQ260)</f>
        <v>24000</v>
      </c>
      <c r="ES260">
        <f>IF(ER260&gt;=150000,150000,ER260)</f>
        <v>24000</v>
      </c>
      <c r="ET260">
        <f>EE260-ES260</f>
        <v>437456</v>
      </c>
      <c r="EU260">
        <v>0</v>
      </c>
      <c r="EV260">
        <v>0</v>
      </c>
      <c r="EW260">
        <v>0</v>
      </c>
      <c r="EX260">
        <v>0</v>
      </c>
      <c r="EY260">
        <v>0</v>
      </c>
      <c r="EZ260">
        <v>0</v>
      </c>
      <c r="FA260">
        <v>0</v>
      </c>
      <c r="FB260">
        <f>SUM(EU260:FA260)+(IF(F260="YES",50000,0))</f>
        <v>0</v>
      </c>
      <c r="FC260">
        <f>ET260-FB260</f>
        <v>437456</v>
      </c>
      <c r="FD260">
        <f>ROUND(IF(FC260&gt;0,IF(FC260&gt;500000,12500,(FC260-250000)*0.05),0),0)</f>
        <v>9373</v>
      </c>
      <c r="FE260">
        <f>IF(ROUND(IF(FC260&gt;0,IF(FC260&gt;1000000,25000,(FC260-500000)*0.2),0),0)&lt;0,0,ROUND(IF(FC260&gt;0,IF(FC260&gt;1000000,25000,(FC260-500000)*0.2),0),0))</f>
        <v>0</v>
      </c>
      <c r="FF260">
        <f>FD260+FE260</f>
        <v>9373</v>
      </c>
      <c r="FG260">
        <f>IF(FF260&lt;12500,0,FF260)</f>
        <v>0</v>
      </c>
      <c r="FH260">
        <f>FG260*0.04</f>
        <v>0</v>
      </c>
      <c r="FI260">
        <f>ROUND(FH260+FG260,0)</f>
        <v>0</v>
      </c>
      <c r="FJ260">
        <v>0</v>
      </c>
      <c r="FK260">
        <f>FI260-FJ260</f>
        <v>0</v>
      </c>
      <c r="FL260" t="b">
        <f>IF(EA260&gt;500000,TRUE,FALSE)</f>
        <v>1</v>
      </c>
      <c r="FM260">
        <f ca="1">IF(FL260,RANDBETWEEN(500,1000),RANDBETWEEN(1000,3000))</f>
        <v>629</v>
      </c>
      <c r="FN260">
        <f ca="1">EA260+FM260</f>
        <v>514485</v>
      </c>
      <c r="FO260">
        <f>IF(EA260&gt;0,75000,0)</f>
        <v>75000</v>
      </c>
      <c r="FP260">
        <f ca="1">FN260-FO260</f>
        <v>439485</v>
      </c>
      <c r="FQ260">
        <f ca="1">IF(FP260&gt;2400000,FP260-2400000,0)</f>
        <v>0</v>
      </c>
      <c r="FR260">
        <f ca="1">FQ260*0.3</f>
        <v>0</v>
      </c>
      <c r="FS260">
        <f ca="1">IF(FP260&gt;2000000,FP260-2000000,0)</f>
        <v>0</v>
      </c>
      <c r="FT260">
        <f ca="1">FS260*0.25</f>
        <v>0</v>
      </c>
      <c r="FU260">
        <f ca="1">IF(FP260&gt;1600000,FP260-1600000-FQ260,0)</f>
        <v>0</v>
      </c>
      <c r="FV260">
        <f ca="1">FU260*0.2</f>
        <v>0</v>
      </c>
      <c r="FW260">
        <f ca="1">IF(FP260&gt;1200000,FP260-1200000-IF(F260="YES",50000,0)-FU260,0)</f>
        <v>0</v>
      </c>
      <c r="FX260">
        <f ca="1">FW260*0.15</f>
        <v>0</v>
      </c>
      <c r="FY260">
        <f ca="1">IF(FP260&gt;800000,FP260-800000-FQ260-FU260-FW260,0)</f>
        <v>0</v>
      </c>
      <c r="FZ260">
        <f ca="1">FY260*0.1</f>
        <v>0</v>
      </c>
      <c r="GA260">
        <f ca="1">IF(FP260&gt;400000,FP260-400000-FQ260-FU260-FW260-FY260,0)</f>
        <v>39485</v>
      </c>
      <c r="GB260">
        <f ca="1">GA260*0.05</f>
        <v>1974.25</v>
      </c>
      <c r="GC260">
        <f ca="1">ROUND(FR260+FT260+FV260+FX260+FZ260+GB260,0)</f>
        <v>1974</v>
      </c>
      <c r="GD260">
        <f ca="1">IF(FP260&gt;1200000,FP260,0)</f>
        <v>0</v>
      </c>
      <c r="GE260">
        <f ca="1">IF(FP260&gt;1200000,GD260-1200000,0)</f>
        <v>0</v>
      </c>
      <c r="GF260">
        <f ca="1">IF(FP260&lt;1200001,MIN(GC260,60000),0)</f>
        <v>1974</v>
      </c>
      <c r="GG260">
        <f ca="1">IF(FP260&gt;1200000,GC260-GE260,0)</f>
        <v>0</v>
      </c>
      <c r="GH260" t="b">
        <f ca="1">IF(GG260&gt;0,TRUE,FALSE)</f>
        <v>0</v>
      </c>
      <c r="GI260">
        <f ca="1">IF(GH260,GG260,0)</f>
        <v>0</v>
      </c>
      <c r="GJ260">
        <f ca="1">GF260+GI260</f>
        <v>1974</v>
      </c>
      <c r="GK260">
        <f ca="1">ROUND(GC260-GJ260,0)</f>
        <v>0</v>
      </c>
      <c r="GL260">
        <f ca="1">GK260*0.04</f>
        <v>0</v>
      </c>
      <c r="GM260">
        <f ca="1">ROUNDUP(GK260+GL260,0)</f>
        <v>0</v>
      </c>
    </row>
    <row r="261" spans="1:195" x14ac:dyDescent="0.25">
      <c r="A261">
        <f>_xlfn.AGGREGATE(3,5,$B$2:B261)</f>
        <v>260</v>
      </c>
      <c r="B261" t="s">
        <v>968</v>
      </c>
      <c r="C261" t="s">
        <v>971</v>
      </c>
      <c r="D261" t="s">
        <v>819</v>
      </c>
      <c r="E261" t="s">
        <v>833</v>
      </c>
      <c r="F261" t="s">
        <v>959</v>
      </c>
      <c r="G261" s="1">
        <v>42781</v>
      </c>
      <c r="H261">
        <f>IF(_xlfn.DAYS("31-03-2025",G261)&gt;=180,6800,0)</f>
        <v>6800</v>
      </c>
      <c r="I261">
        <f>_xlfn.XLOOKUP(B261,'[1]march-2025'!$A:$A,'[1]march-2025'!$J:$J,0,0)</f>
        <v>0</v>
      </c>
      <c r="J261">
        <f>_xlfn.XLOOKUP(B261,'[1]march-2025'!$A:$A,'[1]march-2025'!$C:$C,0,0)</f>
        <v>33500</v>
      </c>
      <c r="K261">
        <f>J261*0.14</f>
        <v>4690</v>
      </c>
      <c r="L261">
        <f>J261*0.12</f>
        <v>4020</v>
      </c>
      <c r="M261">
        <f>_xlfn.XLOOKUP(B261,'[1]march-2025'!$A:$A,'[1]march-2025'!$D:$D,0,0)</f>
        <v>0</v>
      </c>
      <c r="N261">
        <f>_xlfn.XLOOKUP(B261,'[1]march-2025'!$A:$A,'[1]march-2025'!$G:$G,0,0)</f>
        <v>500</v>
      </c>
      <c r="O261">
        <f>IF(J261&gt;0,SUM(J261:N261),0)</f>
        <v>42710</v>
      </c>
      <c r="P261">
        <f>_xlfn.XLOOKUP(B261,'[1]march-2025'!$A:$A,'[1]march-2025'!$H:$H,0,0)</f>
        <v>3000</v>
      </c>
      <c r="Q261">
        <f>_xlfn.XLOOKUP(B261,'[1]march-2025'!$A:$A,'[1]march-2025'!$I:$I,0,0)</f>
        <v>0</v>
      </c>
      <c r="R261">
        <f>IF($F261="YES",0,IF(O261&gt;40000,200,IF(O261&gt;25000,150,IF(O261&gt;15000,130,IF(O261&gt;10000,110,0)))))</f>
        <v>200</v>
      </c>
      <c r="S261">
        <f>O261-P261-Q261-R261</f>
        <v>39510</v>
      </c>
      <c r="T261">
        <f>_xlfn.XLOOKUP(B261,'[2]april-2025'!$A:$A,'[2]april-2025'!$C:$C,0,0)</f>
        <v>33500</v>
      </c>
      <c r="U261">
        <f>T261*0.18</f>
        <v>6030</v>
      </c>
      <c r="V261">
        <f>T261*0.12</f>
        <v>4020</v>
      </c>
      <c r="W261">
        <f>_xlfn.XLOOKUP(B261,'[2]april-2025'!$A:$A,'[2]april-2025'!$D:$D,0,0)</f>
        <v>0</v>
      </c>
      <c r="X261">
        <f>_xlfn.XLOOKUP(B261,'[2]april-2025'!$A:$A,'[2]april-2025'!$G:$G,0,0)</f>
        <v>500</v>
      </c>
      <c r="Y261">
        <f>IF(T261&gt;0,SUM(T261:X261),0)</f>
        <v>44050</v>
      </c>
      <c r="Z261">
        <f>_xlfn.XLOOKUP(B261,'[2]april-2025'!$A:$A,'[2]april-2025'!$H:$H,0,0)</f>
        <v>3000</v>
      </c>
      <c r="AA261">
        <f>_xlfn.XLOOKUP(B261,'[2]april-2025'!$A:$A,'[2]april-2025'!$I:$I,0,0)</f>
        <v>0</v>
      </c>
      <c r="AB261">
        <f>IF($F261="YES",0,IF(Y261&gt;40000,200,IF(Y261&gt;25000,150,IF(Y261&gt;15000,130,IF(Y261&gt;10000,110,0)))))</f>
        <v>200</v>
      </c>
      <c r="AC261">
        <f>Y261-Z261-AA261-AB261</f>
        <v>40850</v>
      </c>
      <c r="AD261">
        <f>_xlfn.XLOOKUP(B261,'[3]may-2025'!$A:$A,'[3]may-2025'!$C:$C,0,0)</f>
        <v>33500</v>
      </c>
      <c r="AE261">
        <f>AD261*0.18</f>
        <v>6030</v>
      </c>
      <c r="AF261">
        <f>AD261*0.12</f>
        <v>4020</v>
      </c>
      <c r="AG261">
        <f>_xlfn.XLOOKUP(B261,'[3]may-2025'!$A:$A,'[3]may-2025'!$D:$D,0,0)</f>
        <v>0</v>
      </c>
      <c r="AH261">
        <f>_xlfn.XLOOKUP(B261,'[3]may-2025'!$A:$A,'[3]may-2025'!$G:$G,0,0)</f>
        <v>500</v>
      </c>
      <c r="AI261">
        <f>IF(AD261&gt;0,SUM(AD261:AH261),0)</f>
        <v>44050</v>
      </c>
      <c r="AJ261">
        <f>_xlfn.XLOOKUP(B261,'[3]may-2025'!$A:$A,'[3]may-2025'!$H:$H,0,0)</f>
        <v>3000</v>
      </c>
      <c r="AK261">
        <f>_xlfn.XLOOKUP(B261,'[3]may-2025'!$A:$A,'[3]may-2025'!$I:$I,0,0)</f>
        <v>0</v>
      </c>
      <c r="AL261">
        <f>IF($F261="YES",0,IF(AI261&gt;40000,200,IF(AI261&gt;25000,150,IF(AI261&gt;15000,130,IF(AI261&gt;10000,110,0)))))</f>
        <v>200</v>
      </c>
      <c r="AM261">
        <f>AI261-AJ261-AK261-AL261</f>
        <v>40850</v>
      </c>
      <c r="AN261">
        <f>_xlfn.XLOOKUP(B261,'[4]june-2025'!$A:$A,'[4]june-2025'!$C:$C,0,0)</f>
        <v>33500</v>
      </c>
      <c r="AO261">
        <f>AN261*0.18</f>
        <v>6030</v>
      </c>
      <c r="AP261">
        <f>AN261*0.12</f>
        <v>4020</v>
      </c>
      <c r="AQ261">
        <f>_xlfn.XLOOKUP(B261,'[4]june-2025'!$A:$A,'[4]june-2025'!$D:$D,0,0)</f>
        <v>0</v>
      </c>
      <c r="AR261">
        <f>_xlfn.XLOOKUP(B261,'[4]june-2025'!$A:$A,'[4]june-2025'!$G:$G,0,0)</f>
        <v>500</v>
      </c>
      <c r="AS261">
        <f>IF(AN261&gt;0,SUM(AN261:AR261),0)</f>
        <v>44050</v>
      </c>
      <c r="AT261">
        <f>_xlfn.XLOOKUP(B261,'[4]june-2025'!$A:$A,'[4]june-2025'!$H:$H,0,0)</f>
        <v>3000</v>
      </c>
      <c r="AU261">
        <f>_xlfn.XLOOKUP(B261,'[4]june-2025'!$A:$A,'[4]june-2025'!$I:$I,0,0)</f>
        <v>0</v>
      </c>
      <c r="AV261">
        <f>IF($F261="YES",0,IF(AS261&gt;40000,200,IF(AS261&gt;25000,150,IF(AS261&gt;15000,130,IF(AS261&gt;10000,110,0)))))</f>
        <v>200</v>
      </c>
      <c r="AW261">
        <f>AS261-AT261-AU261-AV261</f>
        <v>40850</v>
      </c>
      <c r="AX261">
        <f>_xlfn.XLOOKUP(B261,'[5]july-2025'!$A:$A,'[5]july-2025'!$C:$C,0,0)</f>
        <v>34500</v>
      </c>
      <c r="AY261">
        <f>AX261*0.18</f>
        <v>6210</v>
      </c>
      <c r="AZ261">
        <v>0</v>
      </c>
      <c r="BA261">
        <f>AX261*0.12</f>
        <v>4140</v>
      </c>
      <c r="BB261">
        <f>_xlfn.XLOOKUP(B261,'[5]july-2025'!$A:$A,'[5]july-2025'!$D:$D,0,0)</f>
        <v>0</v>
      </c>
      <c r="BC261">
        <f>_xlfn.XLOOKUP(B261,'[5]july-2025'!$A:$A,'[5]july-2025'!$G:$G,0,0)</f>
        <v>500</v>
      </c>
      <c r="BD261">
        <f>IF(AX261&gt;0,SUM(AX261:BC261),0)</f>
        <v>45350</v>
      </c>
      <c r="BE261">
        <f>_xlfn.XLOOKUP(B261,'[5]july-2025'!$A:$A,'[5]july-2025'!$H:$H,0,0)</f>
        <v>3000</v>
      </c>
      <c r="BF261">
        <f>_xlfn.XLOOKUP(B261,'[5]july-2025'!$A:$A,'[5]july-2025'!$I:$I,0,0)</f>
        <v>0</v>
      </c>
      <c r="BG261">
        <f>IF($F261="YES",0,IF(BD261&gt;40000,200,IF(BD261&gt;25000,150,IF(BD261&gt;15000,130,IF(BD261&gt;10000,110,0)))))</f>
        <v>200</v>
      </c>
      <c r="BH261">
        <f>BD261-BE261-BF261-BG261</f>
        <v>42150</v>
      </c>
      <c r="BI261">
        <f>_xlfn.XLOOKUP(B261,'[6]august-2025'!$A:$A,'[6]august-2025'!$C:$C,0,0)</f>
        <v>34500</v>
      </c>
      <c r="BJ261">
        <f>BI261*0.18</f>
        <v>6210</v>
      </c>
      <c r="BK261">
        <f>BI261*0.12</f>
        <v>4140</v>
      </c>
      <c r="BL261">
        <f>_xlfn.XLOOKUP(B261,'[6]august-2025'!$A:$A,'[6]august-2025'!$D:$D,0,0)</f>
        <v>0</v>
      </c>
      <c r="BM261">
        <f>_xlfn.XLOOKUP(B261,'[6]august-2025'!$A:$A,'[6]august-2025'!$G:$G,0,0)</f>
        <v>500</v>
      </c>
      <c r="BN261">
        <f>IF(BI261&gt;0,SUM(BI261:BM261),0)</f>
        <v>45350</v>
      </c>
      <c r="BO261">
        <f>_xlfn.XLOOKUP(B261,'[6]august-2025'!$A:$A,'[6]august-2025'!$H:$H,0,0)</f>
        <v>3000</v>
      </c>
      <c r="BP261">
        <f>_xlfn.XLOOKUP(B261,'[6]august-2025'!$A:$A,'[6]august-2025'!$I:$I,0,0)</f>
        <v>0</v>
      </c>
      <c r="BQ261">
        <f>IF($F261="YES",0,IF(BN261&gt;40000,200,IF(BN261&gt;25000,150,IF(BN261&gt;15000,130,IF(BN261&gt;10000,110,0)))))</f>
        <v>200</v>
      </c>
      <c r="BR261">
        <f>BN261-BO261-BP261-BQ261</f>
        <v>42150</v>
      </c>
      <c r="BS261">
        <f>_xlfn.XLOOKUP(B261,'[7]september-2025'!$A:$A,'[7]september-2025'!$C:$C,0,0)</f>
        <v>34500</v>
      </c>
      <c r="BT261">
        <f>BS261*0.18</f>
        <v>6210</v>
      </c>
      <c r="BU261">
        <f>BS261*0.12</f>
        <v>4140</v>
      </c>
      <c r="BV261">
        <f>_xlfn.XLOOKUP(B261,'[7]september-2025'!$A:$A,'[7]september-2025'!$D:$D,0,0)</f>
        <v>0</v>
      </c>
      <c r="BW261">
        <f>_xlfn.XLOOKUP(B261,'[7]september-2025'!$A:$A,'[7]september-2025'!$G:$G,0,0)</f>
        <v>500</v>
      </c>
      <c r="BX261">
        <f>IF(BS261&gt;0,SUM(BS261:BW261),0)</f>
        <v>45350</v>
      </c>
      <c r="BY261">
        <f>_xlfn.XLOOKUP(B261,'[7]september-2025'!$A:$A,'[7]september-2025'!$H:$H,0,0)</f>
        <v>3000</v>
      </c>
      <c r="BZ261">
        <f>_xlfn.XLOOKUP(B261,'[7]september-2025'!$A:$A,'[7]september-2025'!$I:$I,0,0)</f>
        <v>0</v>
      </c>
      <c r="CA261">
        <f>IF($F261="YES",0,IF(BX261&gt;40000,200,IF(BX261&gt;25000,150,IF(BX261&gt;15000,130,IF(BX261&gt;10000,110,0)))))</f>
        <v>200</v>
      </c>
      <c r="CB261">
        <f>BX261-BY261-BZ261-CA261</f>
        <v>42150</v>
      </c>
      <c r="CC261">
        <f>_xlfn.XLOOKUP(B261,'[8]october-2025'!$A:$A,'[8]october-2025'!$C:$C,0,0)</f>
        <v>34500</v>
      </c>
      <c r="CD261">
        <f>CC261*0.18</f>
        <v>6210</v>
      </c>
      <c r="CE261">
        <f>CC261*0.12</f>
        <v>4140</v>
      </c>
      <c r="CF261">
        <f>_xlfn.XLOOKUP(B261,'[8]october-2025'!$A:$A,'[8]october-2025'!$D:$D,0,0)</f>
        <v>0</v>
      </c>
      <c r="CG261">
        <f>_xlfn.XLOOKUP(B261,'[8]october-2025'!$A:$A,'[8]october-2025'!$G:$G,0,0)</f>
        <v>500</v>
      </c>
      <c r="CH261">
        <f>IF(CC261&gt;0,SUM(CC261:CG261),0)</f>
        <v>45350</v>
      </c>
      <c r="CI261">
        <f>_xlfn.XLOOKUP(B261,'[8]october-2025'!$A:$A,'[8]october-2025'!$H:$H,0,0)</f>
        <v>3000</v>
      </c>
      <c r="CJ261">
        <f>_xlfn.XLOOKUP(B261,'[8]october-2025'!$A:$A,'[8]october-2025'!$I:$I,0,0)</f>
        <v>0</v>
      </c>
      <c r="CK261">
        <f>IF($F261="YES",0,IF(CH261&gt;40000,200,IF(CH261&gt;25000,150,IF(CH261&gt;15000,130,IF(CH261&gt;10000,110,0)))))</f>
        <v>200</v>
      </c>
      <c r="CL261">
        <f>CH261-CI261-CJ261-CK261</f>
        <v>42150</v>
      </c>
      <c r="CM261">
        <f>_xlfn.XLOOKUP(B261,'[9]november-2025'!$A:$A,'[9]november-2025'!$C:$C,0,0)</f>
        <v>34500</v>
      </c>
      <c r="CN261">
        <f>CM261*0.18</f>
        <v>6210</v>
      </c>
      <c r="CO261">
        <f>CM261*0.12</f>
        <v>4140</v>
      </c>
      <c r="CP261">
        <f>_xlfn.XLOOKUP(B261,'[9]november-2025'!$A:$A,'[9]november-2025'!$D:$D,0,0)</f>
        <v>0</v>
      </c>
      <c r="CQ261">
        <f>_xlfn.XLOOKUP(B261,'[9]november-2025'!$A:$A,'[9]november-2025'!$G:$G,0,0)</f>
        <v>500</v>
      </c>
      <c r="CR261">
        <f>IF(CM261&gt;0,SUM(CM261:CQ261),0)</f>
        <v>45350</v>
      </c>
      <c r="CS261">
        <f>_xlfn.XLOOKUP(B261,'[9]november-2025'!$A:$A,'[9]november-2025'!$H:$H,0,0)</f>
        <v>3000</v>
      </c>
      <c r="CT261">
        <f>_xlfn.XLOOKUP(B261,'[9]november-2025'!$A:$A,'[9]november-2025'!$I:$I,0,0)</f>
        <v>0</v>
      </c>
      <c r="CU261">
        <f>IF($F261="YES",0,IF(CR261&gt;40000,200,IF(CR261&gt;25000,150,IF(CR261&gt;15000,130,IF(CR261&gt;10000,110,0)))))</f>
        <v>200</v>
      </c>
      <c r="CV261">
        <f>CR261-CS261-CT261-CU261</f>
        <v>42150</v>
      </c>
      <c r="CW261">
        <f>_xlfn.XLOOKUP(B261,'[10]december-2025'!$A:$A,'[10]december-2025'!$C:$C,0,0)</f>
        <v>34500</v>
      </c>
      <c r="CX261">
        <f>ROUND(CW261*0.18,0)</f>
        <v>6210</v>
      </c>
      <c r="CY261">
        <f>ROUND(CW261*0.12,0)</f>
        <v>4140</v>
      </c>
      <c r="CZ261">
        <f>_xlfn.XLOOKUP(B261,'[10]december-2025'!$A:$A,'[10]december-2025'!$D:$D,0,0)</f>
        <v>0</v>
      </c>
      <c r="DA261">
        <f>_xlfn.XLOOKUP(B261,'[10]december-2025'!$A:$A,'[10]december-2025'!$G:$G,0,0)</f>
        <v>500</v>
      </c>
      <c r="DB261">
        <f>IF(CW261&gt;0,SUM(CW261:DA261),0)</f>
        <v>45350</v>
      </c>
      <c r="DC261">
        <f>_xlfn.XLOOKUP(B261,'[10]december-2025'!$A:$A,'[10]december-2025'!$H:$H,0,0)</f>
        <v>3000</v>
      </c>
      <c r="DD261">
        <f>_xlfn.XLOOKUP(B261,'[10]december-2025'!$A:$A,'[10]december-2025'!$I:$I,0,0)</f>
        <v>0</v>
      </c>
      <c r="DE261">
        <f>IF($F261="YES",0,IF(DB261&gt;40000,200,IF(DB261&gt;25000,150,IF(DB261&gt;15000,130,IF(DB261&gt;10000,110,0)))))</f>
        <v>200</v>
      </c>
      <c r="DF261">
        <f>DB261-DC261-DD261-DE261</f>
        <v>42150</v>
      </c>
      <c r="DG261">
        <f>_xlfn.XLOOKUP(B261,'[11]january-2026'!$A:$A,'[11]january-2026'!$C:$C,0,0)</f>
        <v>34500</v>
      </c>
      <c r="DH261">
        <f>DG261*0.18</f>
        <v>6210</v>
      </c>
      <c r="DI261">
        <f>DG261*0.12</f>
        <v>4140</v>
      </c>
      <c r="DJ261">
        <f>_xlfn.XLOOKUP(B261,'[11]january-2026'!$A:$A,'[11]january-2026'!$D:$D,0,0)</f>
        <v>0</v>
      </c>
      <c r="DK261">
        <f>_xlfn.XLOOKUP(B261,'[11]january-2026'!$A:$A,'[11]january-2026'!$G:$G,0,0)</f>
        <v>500</v>
      </c>
      <c r="DL261">
        <f>IF(DG261&gt;0,SUM(DG261:DK261),0)</f>
        <v>45350</v>
      </c>
      <c r="DM261">
        <f>_xlfn.XLOOKUP(B261,'[11]january-2026'!$A:$A,'[11]january-2026'!$H:$H,0,0)</f>
        <v>3000</v>
      </c>
      <c r="DN261">
        <f>_xlfn.XLOOKUP(B261,'[11]january-2026'!$A:$A,'[11]january-2026'!$I:$I,0,0)</f>
        <v>0</v>
      </c>
      <c r="DO261">
        <f>IF($F261="YES",0,IF(DL261&gt;40000,200,IF(DL261&gt;25000,150,IF(DL261&gt;15000,130,IF(DL261&gt;10000,110,0)))))</f>
        <v>200</v>
      </c>
      <c r="DP261">
        <f>DL261-DM261-DN261-DO261</f>
        <v>42150</v>
      </c>
      <c r="DQ261">
        <f>_xlfn.XLOOKUP(B261,'[12]february-2026'!$A:$A,'[12]february-2026'!$C:$C,0,0)</f>
        <v>34500</v>
      </c>
      <c r="DR261">
        <f>DQ261*0.18</f>
        <v>6210</v>
      </c>
      <c r="DS261">
        <f>DQ261*0.12</f>
        <v>4140</v>
      </c>
      <c r="DT261">
        <f>_xlfn.XLOOKUP(B261,'[12]february-2026'!$A:$A,'[12]february-2026'!$D:$D,0,0)</f>
        <v>0</v>
      </c>
      <c r="DU261">
        <f>_xlfn.XLOOKUP(B261,'[12]february-2026'!$A:$A,'[12]february-2026'!$G:$G,0,0)</f>
        <v>500</v>
      </c>
      <c r="DV261">
        <f>IF(DQ261&gt;0,SUM(DQ261:DU261),0)</f>
        <v>45350</v>
      </c>
      <c r="DW261">
        <f>_xlfn.XLOOKUP(B261,'[12]february-2026'!$A:$A,'[12]february-2026'!$H:$H,0,0)</f>
        <v>3000</v>
      </c>
      <c r="DX261">
        <f>_xlfn.XLOOKUP(B261,'[12]february-2026'!$A:$A,'[12]february-2026'!$I:$I,0,0)</f>
        <v>0</v>
      </c>
      <c r="DY261">
        <f>IF($F261="YES",0,IF(DV261&gt;40000,200,IF(DV261&gt;25000,150,IF(DV261&gt;15000,130,IF(DV261&gt;10000,110,0)))))</f>
        <v>200</v>
      </c>
      <c r="DZ261">
        <f>DV261-DW261-DX261-DY261</f>
        <v>42150</v>
      </c>
      <c r="EA261">
        <f>DV261+DL261+DB261+CR261+CH261+BX261+BN261+BD261+AS261+AI261+Y261+O261+H261+I261</f>
        <v>544460</v>
      </c>
      <c r="EB261">
        <f>DY261+DO261+DE261+CU261+CK261+CA261+BQ261+BG261+AV261+AL261+AB261+R261</f>
        <v>2400</v>
      </c>
      <c r="EC261">
        <f>IF(EA261&gt;0,50000,0)</f>
        <v>50000</v>
      </c>
      <c r="ED261">
        <v>0</v>
      </c>
      <c r="EE261">
        <f>EA261-EB261-EC261</f>
        <v>492060</v>
      </c>
      <c r="EF261">
        <f>DW261+DM261+DC261+CS261+CI261+BY261+BO261+BE261+AT261+AJ261+Z261+P261</f>
        <v>36000</v>
      </c>
      <c r="EG261">
        <f>DX261+DN261+DD261+CT261+CJ261+BZ261+BP261+BF261+AU261+AK261+AA261+Q261</f>
        <v>0</v>
      </c>
      <c r="EH261">
        <v>0</v>
      </c>
      <c r="EI261">
        <v>0</v>
      </c>
      <c r="EJ261">
        <v>0</v>
      </c>
      <c r="EK261">
        <v>0</v>
      </c>
      <c r="EL261">
        <v>0</v>
      </c>
      <c r="EM261">
        <v>0</v>
      </c>
      <c r="EN261">
        <v>0</v>
      </c>
      <c r="EO261">
        <v>0</v>
      </c>
      <c r="EP261">
        <v>0</v>
      </c>
      <c r="EQ261">
        <v>0</v>
      </c>
      <c r="ER261">
        <f>SUM(EF261:EQ261)</f>
        <v>36000</v>
      </c>
      <c r="ES261">
        <f>IF(ER261&gt;=150000,150000,ER261)</f>
        <v>36000</v>
      </c>
      <c r="ET261">
        <f>EE261-ES261</f>
        <v>456060</v>
      </c>
      <c r="EU261">
        <v>0</v>
      </c>
      <c r="EV261">
        <v>0</v>
      </c>
      <c r="EW261">
        <v>0</v>
      </c>
      <c r="EX261">
        <v>0</v>
      </c>
      <c r="EY261">
        <v>0</v>
      </c>
      <c r="EZ261">
        <v>0</v>
      </c>
      <c r="FA261">
        <v>0</v>
      </c>
      <c r="FB261">
        <f>SUM(EU261:FA261)+(IF(F261="YES",50000,0))</f>
        <v>0</v>
      </c>
      <c r="FC261">
        <f>ET261-FB261</f>
        <v>456060</v>
      </c>
      <c r="FD261">
        <f>ROUND(IF(FC261&gt;0,IF(FC261&gt;500000,12500,(FC261-250000)*0.05),0),0)</f>
        <v>10303</v>
      </c>
      <c r="FE261">
        <f>IF(ROUND(IF(FC261&gt;0,IF(FC261&gt;1000000,25000,(FC261-500000)*0.2),0),0)&lt;0,0,ROUND(IF(FC261&gt;0,IF(FC261&gt;1000000,25000,(FC261-500000)*0.2),0),0))</f>
        <v>0</v>
      </c>
      <c r="FF261">
        <f>FD261+FE261</f>
        <v>10303</v>
      </c>
      <c r="FG261">
        <f>IF(FF261&lt;12500,0,FF261)</f>
        <v>0</v>
      </c>
      <c r="FH261">
        <f>FG261*0.04</f>
        <v>0</v>
      </c>
      <c r="FI261">
        <f>ROUND(FH261+FG261,0)</f>
        <v>0</v>
      </c>
      <c r="FJ261">
        <v>0</v>
      </c>
      <c r="FK261">
        <f>FI261-FJ261</f>
        <v>0</v>
      </c>
      <c r="FL261" t="b">
        <f>IF(EA261&gt;500000,TRUE,FALSE)</f>
        <v>1</v>
      </c>
      <c r="FM261">
        <f ca="1">IF(FL261,RANDBETWEEN(500,1000),RANDBETWEEN(1000,3000))</f>
        <v>677</v>
      </c>
      <c r="FN261">
        <f ca="1">EA261+FM261</f>
        <v>545137</v>
      </c>
      <c r="FO261">
        <f>IF(EA261&gt;0,75000,0)</f>
        <v>75000</v>
      </c>
      <c r="FP261">
        <f ca="1">FN261-FO261</f>
        <v>470137</v>
      </c>
      <c r="FQ261">
        <f ca="1">IF(FP261&gt;2400000,FP261-2400000,0)</f>
        <v>0</v>
      </c>
      <c r="FR261">
        <f ca="1">FQ261*0.3</f>
        <v>0</v>
      </c>
      <c r="FS261">
        <f ca="1">IF(FP261&gt;2000000,FP261-2000000,0)</f>
        <v>0</v>
      </c>
      <c r="FT261">
        <f ca="1">FS261*0.25</f>
        <v>0</v>
      </c>
      <c r="FU261">
        <f ca="1">IF(FP261&gt;1600000,FP261-1600000-FQ261,0)</f>
        <v>0</v>
      </c>
      <c r="FV261">
        <f ca="1">FU261*0.2</f>
        <v>0</v>
      </c>
      <c r="FW261">
        <f ca="1">IF(FP261&gt;1200000,FP261-1200000-IF(F261="YES",50000,0)-FU261,0)</f>
        <v>0</v>
      </c>
      <c r="FX261">
        <f ca="1">FW261*0.15</f>
        <v>0</v>
      </c>
      <c r="FY261">
        <f ca="1">IF(FP261&gt;800000,FP261-800000-FQ261-FU261-FW261,0)</f>
        <v>0</v>
      </c>
      <c r="FZ261">
        <f ca="1">FY261*0.1</f>
        <v>0</v>
      </c>
      <c r="GA261">
        <f ca="1">IF(FP261&gt;400000,FP261-400000-FQ261-FU261-FW261-FY261,0)</f>
        <v>70137</v>
      </c>
      <c r="GB261">
        <f ca="1">GA261*0.05</f>
        <v>3506.8500000000004</v>
      </c>
      <c r="GC261">
        <f ca="1">ROUND(FR261+FT261+FV261+FX261+FZ261+GB261,0)</f>
        <v>3507</v>
      </c>
      <c r="GD261">
        <f ca="1">IF(FP261&gt;1200000,FP261,0)</f>
        <v>0</v>
      </c>
      <c r="GE261">
        <f ca="1">IF(FP261&gt;1200000,GD261-1200000,0)</f>
        <v>0</v>
      </c>
      <c r="GF261">
        <f ca="1">IF(FP261&lt;1200001,MIN(GC261,60000),0)</f>
        <v>3507</v>
      </c>
      <c r="GG261">
        <f ca="1">IF(FP261&gt;1200000,GC261-GE261,0)</f>
        <v>0</v>
      </c>
      <c r="GH261" t="b">
        <f ca="1">IF(GG261&gt;0,TRUE,FALSE)</f>
        <v>0</v>
      </c>
      <c r="GI261">
        <f ca="1">IF(GH261,GG261,0)</f>
        <v>0</v>
      </c>
      <c r="GJ261">
        <f ca="1">GF261+GI261</f>
        <v>3507</v>
      </c>
      <c r="GK261">
        <f ca="1">ROUND(GC261-GJ261,0)</f>
        <v>0</v>
      </c>
      <c r="GL261">
        <f ca="1">GK261*0.04</f>
        <v>0</v>
      </c>
      <c r="GM261">
        <f ca="1">ROUNDUP(GK261+GL261,0)</f>
        <v>0</v>
      </c>
    </row>
    <row r="262" spans="1:195" x14ac:dyDescent="0.25">
      <c r="A262">
        <f>_xlfn.AGGREGATE(3,5,$B$2:B262)</f>
        <v>261</v>
      </c>
      <c r="B262" t="s">
        <v>631</v>
      </c>
      <c r="C262" t="s">
        <v>632</v>
      </c>
      <c r="D262" t="s">
        <v>820</v>
      </c>
      <c r="E262" t="s">
        <v>834</v>
      </c>
      <c r="F262" t="s">
        <v>959</v>
      </c>
      <c r="G262" t="s">
        <v>956</v>
      </c>
      <c r="H262">
        <f>IF(_xlfn.DAYS("31-03-2025",G262)&gt;=180,6800,0)</f>
        <v>6800</v>
      </c>
      <c r="I262">
        <f>_xlfn.XLOOKUP(B262,'[1]march-2025'!$A:$A,'[1]march-2025'!$J:$J,0,0)</f>
        <v>0</v>
      </c>
      <c r="J262">
        <f>_xlfn.XLOOKUP(B262,'[1]march-2025'!$A:$A,'[1]march-2025'!$C:$C,0,0)</f>
        <v>47300</v>
      </c>
      <c r="K262">
        <f>J262*0.14</f>
        <v>6622.0000000000009</v>
      </c>
      <c r="L262">
        <f>J262*0.12</f>
        <v>5676</v>
      </c>
      <c r="M262">
        <f>_xlfn.XLOOKUP(B262,'[1]march-2025'!$A:$A,'[1]march-2025'!$D:$D,0,0)</f>
        <v>400</v>
      </c>
      <c r="N262">
        <f>_xlfn.XLOOKUP(B262,'[1]march-2025'!$A:$A,'[1]march-2025'!$G:$G,0,0)</f>
        <v>0</v>
      </c>
      <c r="O262">
        <f>IF(J262&gt;0,SUM(J262:N262),0)</f>
        <v>59998</v>
      </c>
      <c r="P262">
        <f>_xlfn.XLOOKUP(B262,'[1]march-2025'!$A:$A,'[1]march-2025'!$H:$H,0,0)</f>
        <v>0</v>
      </c>
      <c r="Q262">
        <f>_xlfn.XLOOKUP(B262,'[1]march-2025'!$A:$A,'[1]march-2025'!$I:$I,0,0)</f>
        <v>0</v>
      </c>
      <c r="R262">
        <f>IF($F262="YES",0,IF(O262&gt;40000,200,IF(O262&gt;25000,150,IF(O262&gt;15000,130,IF(O262&gt;10000,110,0)))))</f>
        <v>200</v>
      </c>
      <c r="S262">
        <f>O262-P262-Q262-R262</f>
        <v>59798</v>
      </c>
      <c r="T262">
        <f>_xlfn.XLOOKUP(B262,'[2]april-2025'!$A:$A,'[2]april-2025'!$C:$C,0,0)</f>
        <v>34500</v>
      </c>
      <c r="U262">
        <f>T262*0.18</f>
        <v>6210</v>
      </c>
      <c r="V262">
        <f>T262*0.12</f>
        <v>4140</v>
      </c>
      <c r="W262">
        <f>_xlfn.XLOOKUP(B262,'[2]april-2025'!$A:$A,'[2]april-2025'!$D:$D,0,0)</f>
        <v>0</v>
      </c>
      <c r="X262">
        <f>_xlfn.XLOOKUP(B262,'[2]april-2025'!$A:$A,'[2]april-2025'!$G:$G,0,0)</f>
        <v>0</v>
      </c>
      <c r="Y262">
        <f>IF(T262&gt;0,SUM(T262:X262),0)</f>
        <v>44850</v>
      </c>
      <c r="Z262">
        <f>_xlfn.XLOOKUP(B262,'[2]april-2025'!$A:$A,'[2]april-2025'!$H:$H,0,0)</f>
        <v>0</v>
      </c>
      <c r="AA262">
        <f>_xlfn.XLOOKUP(B262,'[2]april-2025'!$A:$A,'[2]april-2025'!$I:$I,0,0)</f>
        <v>0</v>
      </c>
      <c r="AB262">
        <f>IF($F262="YES",0,IF(Y262&gt;40000,200,IF(Y262&gt;25000,150,IF(Y262&gt;15000,130,IF(Y262&gt;10000,110,0)))))</f>
        <v>200</v>
      </c>
      <c r="AC262">
        <f>Y262-Z262-AA262-AB262</f>
        <v>44650</v>
      </c>
      <c r="AD262">
        <f>_xlfn.XLOOKUP(B262,'[3]may-2025'!$A:$A,'[3]may-2025'!$C:$C,0,0)</f>
        <v>34500</v>
      </c>
      <c r="AE262">
        <f>AD262*0.18</f>
        <v>6210</v>
      </c>
      <c r="AF262">
        <f>AD262*0.12</f>
        <v>4140</v>
      </c>
      <c r="AG262">
        <f>_xlfn.XLOOKUP(B262,'[3]may-2025'!$A:$A,'[3]may-2025'!$D:$D,0,0)</f>
        <v>0</v>
      </c>
      <c r="AH262">
        <f>_xlfn.XLOOKUP(B262,'[3]may-2025'!$A:$A,'[3]may-2025'!$G:$G,0,0)</f>
        <v>0</v>
      </c>
      <c r="AI262">
        <f>IF(AD262&gt;0,SUM(AD262:AH262),0)</f>
        <v>44850</v>
      </c>
      <c r="AJ262">
        <f>_xlfn.XLOOKUP(B262,'[3]may-2025'!$A:$A,'[3]may-2025'!$H:$H,0,0)</f>
        <v>0</v>
      </c>
      <c r="AK262">
        <f>_xlfn.XLOOKUP(B262,'[3]may-2025'!$A:$A,'[3]may-2025'!$I:$I,0,0)</f>
        <v>0</v>
      </c>
      <c r="AL262">
        <f>IF($F262="YES",0,IF(AI262&gt;40000,200,IF(AI262&gt;25000,150,IF(AI262&gt;15000,130,IF(AI262&gt;10000,110,0)))))</f>
        <v>200</v>
      </c>
      <c r="AM262">
        <f>AI262-AJ262-AK262-AL262</f>
        <v>44650</v>
      </c>
      <c r="AN262">
        <f>_xlfn.XLOOKUP(B262,'[4]june-2025'!$A:$A,'[4]june-2025'!$C:$C,0,0)</f>
        <v>34500</v>
      </c>
      <c r="AO262">
        <f>AN262*0.18</f>
        <v>6210</v>
      </c>
      <c r="AP262">
        <f>AN262*0.12</f>
        <v>4140</v>
      </c>
      <c r="AQ262">
        <f>_xlfn.XLOOKUP(B262,'[4]june-2025'!$A:$A,'[4]june-2025'!$D:$D,0,0)</f>
        <v>0</v>
      </c>
      <c r="AR262">
        <f>_xlfn.XLOOKUP(B262,'[4]june-2025'!$A:$A,'[4]june-2025'!$G:$G,0,0)</f>
        <v>0</v>
      </c>
      <c r="AS262">
        <f>IF(AN262&gt;0,SUM(AN262:AR262),0)</f>
        <v>44850</v>
      </c>
      <c r="AT262">
        <f>_xlfn.XLOOKUP(B262,'[4]june-2025'!$A:$A,'[4]june-2025'!$H:$H,0,0)</f>
        <v>0</v>
      </c>
      <c r="AU262">
        <f>_xlfn.XLOOKUP(B262,'[4]june-2025'!$A:$A,'[4]june-2025'!$I:$I,0,0)</f>
        <v>0</v>
      </c>
      <c r="AV262">
        <f>IF($F262="YES",0,IF(AS262&gt;40000,200,IF(AS262&gt;25000,150,IF(AS262&gt;15000,130,IF(AS262&gt;10000,110,0)))))</f>
        <v>200</v>
      </c>
      <c r="AW262">
        <f>AS262-AT262-AU262-AV262</f>
        <v>44650</v>
      </c>
      <c r="AX262">
        <f>_xlfn.XLOOKUP(B262,'[5]july-2025'!$A:$A,'[5]july-2025'!$C:$C,0,0)</f>
        <v>35500</v>
      </c>
      <c r="AY262">
        <f>AX262*0.18</f>
        <v>6390</v>
      </c>
      <c r="AZ262">
        <v>0</v>
      </c>
      <c r="BA262">
        <f>AX262*0.12</f>
        <v>4260</v>
      </c>
      <c r="BB262">
        <f>_xlfn.XLOOKUP(B262,'[5]july-2025'!$A:$A,'[5]july-2025'!$D:$D,0,0)</f>
        <v>0</v>
      </c>
      <c r="BC262">
        <f>_xlfn.XLOOKUP(B262,'[5]july-2025'!$A:$A,'[5]july-2025'!$G:$G,0,0)</f>
        <v>0</v>
      </c>
      <c r="BD262">
        <f>IF(AX262&gt;0,SUM(AX262:BC262),0)</f>
        <v>46150</v>
      </c>
      <c r="BE262">
        <f>_xlfn.XLOOKUP(B262,'[5]july-2025'!$A:$A,'[5]july-2025'!$H:$H,0,0)</f>
        <v>0</v>
      </c>
      <c r="BF262">
        <f>_xlfn.XLOOKUP(B262,'[5]july-2025'!$A:$A,'[5]july-2025'!$I:$I,0,0)</f>
        <v>0</v>
      </c>
      <c r="BG262">
        <f>IF($F262="YES",0,IF(BD262&gt;40000,200,IF(BD262&gt;25000,150,IF(BD262&gt;15000,130,IF(BD262&gt;10000,110,0)))))</f>
        <v>200</v>
      </c>
      <c r="BH262">
        <f>BD262-BE262-BF262-BG262</f>
        <v>45950</v>
      </c>
      <c r="BI262">
        <f>_xlfn.XLOOKUP(B262,'[6]august-2025'!$A:$A,'[6]august-2025'!$C:$C,0,0)</f>
        <v>35500</v>
      </c>
      <c r="BJ262">
        <f>BI262*0.18</f>
        <v>6390</v>
      </c>
      <c r="BK262">
        <f>BI262*0.12</f>
        <v>4260</v>
      </c>
      <c r="BL262">
        <f>_xlfn.XLOOKUP(B262,'[6]august-2025'!$A:$A,'[6]august-2025'!$D:$D,0,0)</f>
        <v>0</v>
      </c>
      <c r="BM262">
        <f>_xlfn.XLOOKUP(B262,'[6]august-2025'!$A:$A,'[6]august-2025'!$G:$G,0,0)</f>
        <v>0</v>
      </c>
      <c r="BN262">
        <f>IF(BI262&gt;0,SUM(BI262:BM262),0)</f>
        <v>46150</v>
      </c>
      <c r="BO262">
        <f>_xlfn.XLOOKUP(B262,'[6]august-2025'!$A:$A,'[6]august-2025'!$H:$H,0,0)</f>
        <v>0</v>
      </c>
      <c r="BP262">
        <f>_xlfn.XLOOKUP(B262,'[6]august-2025'!$A:$A,'[6]august-2025'!$I:$I,0,0)</f>
        <v>0</v>
      </c>
      <c r="BQ262">
        <f>IF($F262="YES",0,IF(BN262&gt;40000,200,IF(BN262&gt;25000,150,IF(BN262&gt;15000,130,IF(BN262&gt;10000,110,0)))))</f>
        <v>200</v>
      </c>
      <c r="BR262">
        <f>BN262-BO262-BP262-BQ262</f>
        <v>45950</v>
      </c>
      <c r="BS262">
        <f>_xlfn.XLOOKUP(B262,'[7]september-2025'!$A:$A,'[7]september-2025'!$C:$C,0,0)</f>
        <v>35500</v>
      </c>
      <c r="BT262">
        <f>BS262*0.18</f>
        <v>6390</v>
      </c>
      <c r="BU262">
        <f>BS262*0.12</f>
        <v>4260</v>
      </c>
      <c r="BV262">
        <f>_xlfn.XLOOKUP(B262,'[7]september-2025'!$A:$A,'[7]september-2025'!$D:$D,0,0)</f>
        <v>0</v>
      </c>
      <c r="BW262">
        <f>_xlfn.XLOOKUP(B262,'[7]september-2025'!$A:$A,'[7]september-2025'!$G:$G,0,0)</f>
        <v>0</v>
      </c>
      <c r="BX262">
        <f>IF(BS262&gt;0,SUM(BS262:BW262),0)</f>
        <v>46150</v>
      </c>
      <c r="BY262">
        <f>_xlfn.XLOOKUP(B262,'[7]september-2025'!$A:$A,'[7]september-2025'!$H:$H,0,0)</f>
        <v>0</v>
      </c>
      <c r="BZ262">
        <f>_xlfn.XLOOKUP(B262,'[7]september-2025'!$A:$A,'[7]september-2025'!$I:$I,0,0)</f>
        <v>0</v>
      </c>
      <c r="CA262">
        <f>IF($F262="YES",0,IF(BX262&gt;40000,200,IF(BX262&gt;25000,150,IF(BX262&gt;15000,130,IF(BX262&gt;10000,110,0)))))</f>
        <v>200</v>
      </c>
      <c r="CB262">
        <f>BX262-BY262-BZ262-CA262</f>
        <v>45950</v>
      </c>
      <c r="CC262">
        <f>_xlfn.XLOOKUP(B262,'[8]october-2025'!$A:$A,'[8]october-2025'!$C:$C,0,0)</f>
        <v>35500</v>
      </c>
      <c r="CD262">
        <f>CC262*0.18</f>
        <v>6390</v>
      </c>
      <c r="CE262">
        <f>CC262*0.12</f>
        <v>4260</v>
      </c>
      <c r="CF262">
        <f>_xlfn.XLOOKUP(B262,'[8]october-2025'!$A:$A,'[8]october-2025'!$D:$D,0,0)</f>
        <v>0</v>
      </c>
      <c r="CG262">
        <f>_xlfn.XLOOKUP(B262,'[8]october-2025'!$A:$A,'[8]october-2025'!$G:$G,0,0)</f>
        <v>0</v>
      </c>
      <c r="CH262">
        <f>IF(CC262&gt;0,SUM(CC262:CG262),0)</f>
        <v>46150</v>
      </c>
      <c r="CI262">
        <f>_xlfn.XLOOKUP(B262,'[8]october-2025'!$A:$A,'[8]october-2025'!$H:$H,0,0)</f>
        <v>0</v>
      </c>
      <c r="CJ262">
        <f>_xlfn.XLOOKUP(B262,'[8]october-2025'!$A:$A,'[8]october-2025'!$I:$I,0,0)</f>
        <v>0</v>
      </c>
      <c r="CK262">
        <f>IF($F262="YES",0,IF(CH262&gt;40000,200,IF(CH262&gt;25000,150,IF(CH262&gt;15000,130,IF(CH262&gt;10000,110,0)))))</f>
        <v>200</v>
      </c>
      <c r="CL262">
        <f>CH262-CI262-CJ262-CK262</f>
        <v>45950</v>
      </c>
      <c r="CM262">
        <f>_xlfn.XLOOKUP(B262,'[9]november-2025'!$A:$A,'[9]november-2025'!$C:$C,0,0)</f>
        <v>35500</v>
      </c>
      <c r="CN262">
        <f>CM262*0.18</f>
        <v>6390</v>
      </c>
      <c r="CO262">
        <f>CM262*0.12</f>
        <v>4260</v>
      </c>
      <c r="CP262">
        <f>_xlfn.XLOOKUP(B262,'[9]november-2025'!$A:$A,'[9]november-2025'!$D:$D,0,0)</f>
        <v>0</v>
      </c>
      <c r="CQ262">
        <f>_xlfn.XLOOKUP(B262,'[9]november-2025'!$A:$A,'[9]november-2025'!$G:$G,0,0)</f>
        <v>0</v>
      </c>
      <c r="CR262">
        <f>IF(CM262&gt;0,SUM(CM262:CQ262),0)</f>
        <v>46150</v>
      </c>
      <c r="CS262">
        <f>_xlfn.XLOOKUP(B262,'[9]november-2025'!$A:$A,'[9]november-2025'!$H:$H,0,0)</f>
        <v>0</v>
      </c>
      <c r="CT262">
        <f>_xlfn.XLOOKUP(B262,'[9]november-2025'!$A:$A,'[9]november-2025'!$I:$I,0,0)</f>
        <v>0</v>
      </c>
      <c r="CU262">
        <f>IF($F262="YES",0,IF(CR262&gt;40000,200,IF(CR262&gt;25000,150,IF(CR262&gt;15000,130,IF(CR262&gt;10000,110,0)))))</f>
        <v>200</v>
      </c>
      <c r="CV262">
        <f>CR262-CS262-CT262-CU262</f>
        <v>45950</v>
      </c>
      <c r="CW262">
        <f>_xlfn.XLOOKUP(B262,'[10]december-2025'!$A:$A,'[10]december-2025'!$C:$C,0,0)</f>
        <v>35500</v>
      </c>
      <c r="CX262">
        <f>ROUND(CW262*0.18,0)</f>
        <v>6390</v>
      </c>
      <c r="CY262">
        <f>ROUND(CW262*0.12,0)</f>
        <v>4260</v>
      </c>
      <c r="CZ262">
        <f>_xlfn.XLOOKUP(B262,'[10]december-2025'!$A:$A,'[10]december-2025'!$D:$D,0,0)</f>
        <v>0</v>
      </c>
      <c r="DA262">
        <f>_xlfn.XLOOKUP(B262,'[10]december-2025'!$A:$A,'[10]december-2025'!$G:$G,0,0)</f>
        <v>0</v>
      </c>
      <c r="DB262">
        <f>IF(CW262&gt;0,SUM(CW262:DA262),0)</f>
        <v>46150</v>
      </c>
      <c r="DC262">
        <f>_xlfn.XLOOKUP(B262,'[10]december-2025'!$A:$A,'[10]december-2025'!$H:$H,0,0)</f>
        <v>0</v>
      </c>
      <c r="DD262">
        <f>_xlfn.XLOOKUP(B262,'[10]december-2025'!$A:$A,'[10]december-2025'!$I:$I,0,0)</f>
        <v>0</v>
      </c>
      <c r="DE262">
        <f>IF($F262="YES",0,IF(DB262&gt;40000,200,IF(DB262&gt;25000,150,IF(DB262&gt;15000,130,IF(DB262&gt;10000,110,0)))))</f>
        <v>200</v>
      </c>
      <c r="DF262">
        <f>DB262-DC262-DD262-DE262</f>
        <v>45950</v>
      </c>
      <c r="DG262">
        <f>_xlfn.XLOOKUP(B262,'[11]january-2026'!$A:$A,'[11]january-2026'!$C:$C,0,0)</f>
        <v>35500</v>
      </c>
      <c r="DH262">
        <f>DG262*0.18</f>
        <v>6390</v>
      </c>
      <c r="DI262">
        <f>DG262*0.12</f>
        <v>4260</v>
      </c>
      <c r="DJ262">
        <f>_xlfn.XLOOKUP(B262,'[11]january-2026'!$A:$A,'[11]january-2026'!$D:$D,0,0)</f>
        <v>0</v>
      </c>
      <c r="DK262">
        <f>_xlfn.XLOOKUP(B262,'[11]january-2026'!$A:$A,'[11]january-2026'!$G:$G,0,0)</f>
        <v>0</v>
      </c>
      <c r="DL262">
        <f>IF(DG262&gt;0,SUM(DG262:DK262),0)</f>
        <v>46150</v>
      </c>
      <c r="DM262">
        <f>_xlfn.XLOOKUP(B262,'[11]january-2026'!$A:$A,'[11]january-2026'!$H:$H,0,0)</f>
        <v>0</v>
      </c>
      <c r="DN262">
        <f>_xlfn.XLOOKUP(B262,'[11]january-2026'!$A:$A,'[11]january-2026'!$I:$I,0,0)</f>
        <v>0</v>
      </c>
      <c r="DO262">
        <f>IF($F262="YES",0,IF(DL262&gt;40000,200,IF(DL262&gt;25000,150,IF(DL262&gt;15000,130,IF(DL262&gt;10000,110,0)))))</f>
        <v>200</v>
      </c>
      <c r="DP262">
        <f>DL262-DM262-DN262-DO262</f>
        <v>45950</v>
      </c>
      <c r="DQ262">
        <f>_xlfn.XLOOKUP(B262,'[12]february-2026'!$A:$A,'[12]february-2026'!$C:$C,0,0)</f>
        <v>35500</v>
      </c>
      <c r="DR262">
        <f>DQ262*0.18</f>
        <v>6390</v>
      </c>
      <c r="DS262">
        <f>DQ262*0.12</f>
        <v>4260</v>
      </c>
      <c r="DT262">
        <f>_xlfn.XLOOKUP(B262,'[12]february-2026'!$A:$A,'[12]february-2026'!$D:$D,0,0)</f>
        <v>0</v>
      </c>
      <c r="DU262">
        <f>_xlfn.XLOOKUP(B262,'[12]february-2026'!$A:$A,'[12]february-2026'!$G:$G,0,0)</f>
        <v>0</v>
      </c>
      <c r="DV262">
        <f>IF(DQ262&gt;0,SUM(DQ262:DU262),0)</f>
        <v>46150</v>
      </c>
      <c r="DW262">
        <f>_xlfn.XLOOKUP(B262,'[12]february-2026'!$A:$A,'[12]february-2026'!$H:$H,0,0)</f>
        <v>0</v>
      </c>
      <c r="DX262">
        <f>_xlfn.XLOOKUP(B262,'[12]february-2026'!$A:$A,'[12]february-2026'!$I:$I,0,0)</f>
        <v>0</v>
      </c>
      <c r="DY262">
        <f>IF($F262="YES",0,IF(DV262&gt;40000,200,IF(DV262&gt;25000,150,IF(DV262&gt;15000,130,IF(DV262&gt;10000,110,0)))))</f>
        <v>200</v>
      </c>
      <c r="DZ262">
        <f>DV262-DW262-DX262-DY262</f>
        <v>45950</v>
      </c>
      <c r="EA262">
        <f>DV262+DL262+DB262+CR262+CH262+BX262+BN262+BD262+AS262+AI262+Y262+O262+H262+I262</f>
        <v>570548</v>
      </c>
      <c r="EB262">
        <f>DY262+DO262+DE262+CU262+CK262+CA262+BQ262+BG262+AV262+AL262+AB262+R262</f>
        <v>2400</v>
      </c>
      <c r="EC262">
        <f>IF(EA262&gt;0,50000,0)</f>
        <v>50000</v>
      </c>
      <c r="ED262">
        <v>0</v>
      </c>
      <c r="EE262">
        <f>EA262-EB262-EC262</f>
        <v>518148</v>
      </c>
      <c r="EF262">
        <f>DW262+DM262+DC262+CS262+CI262+BY262+BO262+BE262+AT262+AJ262+Z262+P262</f>
        <v>0</v>
      </c>
      <c r="EG262">
        <f>DX262+DN262+DD262+CT262+CJ262+BZ262+BP262+BF262+AU262+AK262+AA262+Q262</f>
        <v>0</v>
      </c>
      <c r="EH262">
        <v>0</v>
      </c>
      <c r="EI262">
        <v>0</v>
      </c>
      <c r="EJ262">
        <v>0</v>
      </c>
      <c r="EK262">
        <v>0</v>
      </c>
      <c r="EL262">
        <v>0</v>
      </c>
      <c r="EM262">
        <v>0</v>
      </c>
      <c r="EN262">
        <v>0</v>
      </c>
      <c r="EO262">
        <v>0</v>
      </c>
      <c r="EP262">
        <v>0</v>
      </c>
      <c r="EQ262">
        <v>0</v>
      </c>
      <c r="ER262">
        <f>SUM(EF262:EQ262)</f>
        <v>0</v>
      </c>
      <c r="ES262">
        <f>IF(ER262&gt;=150000,150000,ER262)</f>
        <v>0</v>
      </c>
      <c r="ET262">
        <f>EE262-ES262</f>
        <v>518148</v>
      </c>
      <c r="EU262">
        <v>0</v>
      </c>
      <c r="EV262">
        <v>0</v>
      </c>
      <c r="EW262">
        <v>0</v>
      </c>
      <c r="EX262">
        <v>0</v>
      </c>
      <c r="EY262">
        <v>0</v>
      </c>
      <c r="EZ262">
        <v>0</v>
      </c>
      <c r="FA262">
        <v>0</v>
      </c>
      <c r="FB262">
        <f>SUM(EU262:FA262)+(IF(F262="YES",50000,0))</f>
        <v>0</v>
      </c>
      <c r="FC262">
        <f>ET262-FB262</f>
        <v>518148</v>
      </c>
      <c r="FD262">
        <f>ROUND(IF(FC262&gt;0,IF(FC262&gt;500000,12500,(FC262-250000)*0.05),0),0)</f>
        <v>12500</v>
      </c>
      <c r="FE262">
        <f>IF(ROUND(IF(FC262&gt;0,IF(FC262&gt;1000000,25000,(FC262-500000)*0.2),0),0)&lt;0,0,ROUND(IF(FC262&gt;0,IF(FC262&gt;1000000,25000,(FC262-500000)*0.2),0),0))</f>
        <v>3630</v>
      </c>
      <c r="FF262">
        <f>FD262+FE262</f>
        <v>16130</v>
      </c>
      <c r="FG262">
        <f>IF(FF262&lt;12500,0,FF262)</f>
        <v>16130</v>
      </c>
      <c r="FH262">
        <f>FG262*0.04</f>
        <v>645.20000000000005</v>
      </c>
      <c r="FI262">
        <f>ROUND(FH262+FG262,0)</f>
        <v>16775</v>
      </c>
      <c r="FJ262">
        <v>0</v>
      </c>
      <c r="FK262">
        <f>FI262-FJ262</f>
        <v>16775</v>
      </c>
      <c r="FL262" t="b">
        <f>IF(EA262&gt;500000,TRUE,FALSE)</f>
        <v>1</v>
      </c>
      <c r="FM262">
        <f ca="1">IF(FL262,RANDBETWEEN(500,1000),RANDBETWEEN(1000,3000))</f>
        <v>610</v>
      </c>
      <c r="FN262">
        <f ca="1">EA262+FM262</f>
        <v>571158</v>
      </c>
      <c r="FO262">
        <f>IF(EA262&gt;0,75000,0)</f>
        <v>75000</v>
      </c>
      <c r="FP262">
        <f ca="1">FN262-FO262</f>
        <v>496158</v>
      </c>
      <c r="FQ262">
        <f ca="1">IF(FP262&gt;2400000,FP262-2400000,0)</f>
        <v>0</v>
      </c>
      <c r="FR262">
        <f ca="1">FQ262*0.3</f>
        <v>0</v>
      </c>
      <c r="FS262">
        <f ca="1">IF(FP262&gt;2000000,FP262-2000000,0)</f>
        <v>0</v>
      </c>
      <c r="FT262">
        <f ca="1">FS262*0.25</f>
        <v>0</v>
      </c>
      <c r="FU262">
        <f ca="1">IF(FP262&gt;1600000,FP262-1600000-FQ262,0)</f>
        <v>0</v>
      </c>
      <c r="FV262">
        <f ca="1">FU262*0.2</f>
        <v>0</v>
      </c>
      <c r="FW262">
        <f ca="1">IF(FP262&gt;1200000,FP262-1200000-IF(F262="YES",50000,0)-FU262,0)</f>
        <v>0</v>
      </c>
      <c r="FX262">
        <f ca="1">FW262*0.15</f>
        <v>0</v>
      </c>
      <c r="FY262">
        <f ca="1">IF(FP262&gt;800000,FP262-800000-FQ262-FU262-FW262,0)</f>
        <v>0</v>
      </c>
      <c r="FZ262">
        <f ca="1">FY262*0.1</f>
        <v>0</v>
      </c>
      <c r="GA262">
        <f ca="1">IF(FP262&gt;400000,FP262-400000-FQ262-FU262-FW262-FY262,0)</f>
        <v>96158</v>
      </c>
      <c r="GB262">
        <f ca="1">GA262*0.05</f>
        <v>4807.9000000000005</v>
      </c>
      <c r="GC262">
        <f ca="1">ROUND(FR262+FT262+FV262+FX262+FZ262+GB262,0)</f>
        <v>4808</v>
      </c>
      <c r="GD262">
        <f ca="1">IF(FP262&gt;1200000,FP262,0)</f>
        <v>0</v>
      </c>
      <c r="GE262">
        <f ca="1">IF(FP262&gt;1200000,GD262-1200000,0)</f>
        <v>0</v>
      </c>
      <c r="GF262">
        <f ca="1">IF(FP262&lt;1200001,MIN(GC262,60000),0)</f>
        <v>4808</v>
      </c>
      <c r="GG262">
        <f ca="1">IF(FP262&gt;1200000,GC262-GE262,0)</f>
        <v>0</v>
      </c>
      <c r="GH262" t="b">
        <f ca="1">IF(GG262&gt;0,TRUE,FALSE)</f>
        <v>0</v>
      </c>
      <c r="GI262">
        <f ca="1">IF(GH262,GG262,0)</f>
        <v>0</v>
      </c>
      <c r="GJ262">
        <f ca="1">GF262+GI262</f>
        <v>4808</v>
      </c>
      <c r="GK262">
        <f ca="1">ROUND(GC262-GJ262,0)</f>
        <v>0</v>
      </c>
      <c r="GL262">
        <f ca="1">GK262*0.04</f>
        <v>0</v>
      </c>
      <c r="GM262">
        <f ca="1">ROUNDUP(GK262+GL262,0)</f>
        <v>0</v>
      </c>
    </row>
    <row r="263" spans="1:195" x14ac:dyDescent="0.25">
      <c r="A263">
        <f>_xlfn.AGGREGATE(3,5,$B$2:B263)</f>
        <v>262</v>
      </c>
      <c r="B263" t="s">
        <v>633</v>
      </c>
      <c r="C263" t="s">
        <v>634</v>
      </c>
      <c r="D263" t="s">
        <v>820</v>
      </c>
      <c r="E263" t="s">
        <v>833</v>
      </c>
      <c r="F263" t="s">
        <v>959</v>
      </c>
      <c r="G263" t="s">
        <v>881</v>
      </c>
      <c r="H263">
        <f>IF(_xlfn.DAYS("31-03-2025",G263)&gt;=180,6800,0)</f>
        <v>6800</v>
      </c>
      <c r="I263">
        <f>_xlfn.XLOOKUP(B263,'[1]march-2025'!$A:$A,'[1]march-2025'!$J:$J,0,0)</f>
        <v>0</v>
      </c>
      <c r="J263">
        <f>_xlfn.XLOOKUP(B263,'[1]march-2025'!$A:$A,'[1]march-2025'!$C:$C,0,0)</f>
        <v>27000</v>
      </c>
      <c r="K263">
        <f>J263*0.14</f>
        <v>3780.0000000000005</v>
      </c>
      <c r="L263">
        <f>J263*0.12</f>
        <v>3240</v>
      </c>
      <c r="M263">
        <f>_xlfn.XLOOKUP(B263,'[1]march-2025'!$A:$A,'[1]march-2025'!$D:$D,0,0)</f>
        <v>0</v>
      </c>
      <c r="N263">
        <f>_xlfn.XLOOKUP(B263,'[1]march-2025'!$A:$A,'[1]march-2025'!$G:$G,0,0)</f>
        <v>0</v>
      </c>
      <c r="O263">
        <f>IF(J263&gt;0,SUM(J263:N263),0)</f>
        <v>34020</v>
      </c>
      <c r="P263">
        <f>_xlfn.XLOOKUP(B263,'[1]march-2025'!$A:$A,'[1]march-2025'!$H:$H,0,0)</f>
        <v>5000</v>
      </c>
      <c r="Q263">
        <f>_xlfn.XLOOKUP(B263,'[1]march-2025'!$A:$A,'[1]march-2025'!$I:$I,0,0)</f>
        <v>0</v>
      </c>
      <c r="R263">
        <f>IF($F263="YES",0,IF(O263&gt;40000,200,IF(O263&gt;25000,150,IF(O263&gt;15000,130,IF(O263&gt;10000,110,0)))))</f>
        <v>150</v>
      </c>
      <c r="S263">
        <f>O263-P263-Q263-R263</f>
        <v>28870</v>
      </c>
      <c r="T263">
        <f>_xlfn.XLOOKUP(B263,'[2]april-2025'!$A:$A,'[2]april-2025'!$C:$C,0,0)</f>
        <v>27000</v>
      </c>
      <c r="U263">
        <f>T263*0.18</f>
        <v>4860</v>
      </c>
      <c r="V263">
        <f>T263*0.12</f>
        <v>3240</v>
      </c>
      <c r="W263">
        <f>_xlfn.XLOOKUP(B263,'[2]april-2025'!$A:$A,'[2]april-2025'!$D:$D,0,0)</f>
        <v>0</v>
      </c>
      <c r="X263">
        <f>_xlfn.XLOOKUP(B263,'[2]april-2025'!$A:$A,'[2]april-2025'!$G:$G,0,0)</f>
        <v>0</v>
      </c>
      <c r="Y263">
        <f>IF(T263&gt;0,SUM(T263:X263),0)</f>
        <v>35100</v>
      </c>
      <c r="Z263">
        <f>_xlfn.XLOOKUP(B263,'[2]april-2025'!$A:$A,'[2]april-2025'!$H:$H,0,0)</f>
        <v>5000</v>
      </c>
      <c r="AA263">
        <f>_xlfn.XLOOKUP(B263,'[2]april-2025'!$A:$A,'[2]april-2025'!$I:$I,0,0)</f>
        <v>0</v>
      </c>
      <c r="AB263">
        <f>IF($F263="YES",0,IF(Y263&gt;40000,200,IF(Y263&gt;25000,150,IF(Y263&gt;15000,130,IF(Y263&gt;10000,110,0)))))</f>
        <v>150</v>
      </c>
      <c r="AC263">
        <f>Y263-Z263-AA263-AB263</f>
        <v>29950</v>
      </c>
      <c r="AD263">
        <f>_xlfn.XLOOKUP(B263,'[3]may-2025'!$A:$A,'[3]may-2025'!$C:$C,0,0)</f>
        <v>31600</v>
      </c>
      <c r="AE263">
        <f>AD263*0.18</f>
        <v>5688</v>
      </c>
      <c r="AF263">
        <f>AD263*0.12</f>
        <v>3792</v>
      </c>
      <c r="AG263">
        <f>_xlfn.XLOOKUP(B263,'[3]may-2025'!$A:$A,'[3]may-2025'!$D:$D,0,0)</f>
        <v>0</v>
      </c>
      <c r="AH263">
        <f>_xlfn.XLOOKUP(B263,'[3]may-2025'!$A:$A,'[3]may-2025'!$G:$G,0,0)</f>
        <v>0</v>
      </c>
      <c r="AI263">
        <f>IF(AD263&gt;0,SUM(AD263:AH263),0)</f>
        <v>41080</v>
      </c>
      <c r="AJ263">
        <f>_xlfn.XLOOKUP(B263,'[3]may-2025'!$A:$A,'[3]may-2025'!$H:$H,0,0)</f>
        <v>5000</v>
      </c>
      <c r="AK263">
        <f>_xlfn.XLOOKUP(B263,'[3]may-2025'!$A:$A,'[3]may-2025'!$I:$I,0,0)</f>
        <v>0</v>
      </c>
      <c r="AL263">
        <f>IF($F263="YES",0,IF(AI263&gt;40000,200,IF(AI263&gt;25000,150,IF(AI263&gt;15000,130,IF(AI263&gt;10000,110,0)))))</f>
        <v>200</v>
      </c>
      <c r="AM263">
        <f>AI263-AJ263-AK263-AL263</f>
        <v>35880</v>
      </c>
      <c r="AN263">
        <f>_xlfn.XLOOKUP(B263,'[4]june-2025'!$A:$A,'[4]june-2025'!$C:$C,0,0)</f>
        <v>31600</v>
      </c>
      <c r="AO263">
        <f>AN263*0.18</f>
        <v>5688</v>
      </c>
      <c r="AP263">
        <f>AN263*0.12</f>
        <v>3792</v>
      </c>
      <c r="AQ263">
        <f>_xlfn.XLOOKUP(B263,'[4]june-2025'!$A:$A,'[4]june-2025'!$D:$D,0,0)</f>
        <v>0</v>
      </c>
      <c r="AR263">
        <f>_xlfn.XLOOKUP(B263,'[4]june-2025'!$A:$A,'[4]june-2025'!$G:$G,0,0)</f>
        <v>0</v>
      </c>
      <c r="AS263">
        <f>IF(AN263&gt;0,SUM(AN263:AR263),0)</f>
        <v>41080</v>
      </c>
      <c r="AT263">
        <f>_xlfn.XLOOKUP(B263,'[4]june-2025'!$A:$A,'[4]june-2025'!$H:$H,0,0)</f>
        <v>5000</v>
      </c>
      <c r="AU263">
        <f>_xlfn.XLOOKUP(B263,'[4]june-2025'!$A:$A,'[4]june-2025'!$I:$I,0,0)</f>
        <v>0</v>
      </c>
      <c r="AV263">
        <f>IF($F263="YES",0,IF(AS263&gt;40000,200,IF(AS263&gt;25000,150,IF(AS263&gt;15000,130,IF(AS263&gt;10000,110,0)))))</f>
        <v>200</v>
      </c>
      <c r="AW263">
        <f>AS263-AT263-AU263-AV263</f>
        <v>35880</v>
      </c>
      <c r="AX263">
        <f>_xlfn.XLOOKUP(B263,'[5]july-2025'!$A:$A,'[5]july-2025'!$C:$C,0,0)</f>
        <v>32500</v>
      </c>
      <c r="AY263">
        <f>AX263*0.18</f>
        <v>5850</v>
      </c>
      <c r="AZ263">
        <v>0</v>
      </c>
      <c r="BA263">
        <f>AX263*0.12</f>
        <v>3900</v>
      </c>
      <c r="BB263">
        <f>_xlfn.XLOOKUP(B263,'[5]july-2025'!$A:$A,'[5]july-2025'!$D:$D,0,0)</f>
        <v>0</v>
      </c>
      <c r="BC263">
        <f>_xlfn.XLOOKUP(B263,'[5]july-2025'!$A:$A,'[5]july-2025'!$G:$G,0,0)</f>
        <v>0</v>
      </c>
      <c r="BD263">
        <f>IF(AX263&gt;0,SUM(AX263:BC263),0)</f>
        <v>42250</v>
      </c>
      <c r="BE263">
        <f>_xlfn.XLOOKUP(B263,'[5]july-2025'!$A:$A,'[5]july-2025'!$H:$H,0,0)</f>
        <v>5000</v>
      </c>
      <c r="BF263">
        <f>_xlfn.XLOOKUP(B263,'[5]july-2025'!$A:$A,'[5]july-2025'!$I:$I,0,0)</f>
        <v>0</v>
      </c>
      <c r="BG263">
        <f>IF($F263="YES",0,IF(BD263&gt;40000,200,IF(BD263&gt;25000,150,IF(BD263&gt;15000,130,IF(BD263&gt;10000,110,0)))))</f>
        <v>200</v>
      </c>
      <c r="BH263">
        <f>BD263-BE263-BF263-BG263</f>
        <v>37050</v>
      </c>
      <c r="BI263">
        <f>_xlfn.XLOOKUP(B263,'[6]august-2025'!$A:$A,'[6]august-2025'!$C:$C,0,0)</f>
        <v>32500</v>
      </c>
      <c r="BJ263">
        <f>BI263*0.18</f>
        <v>5850</v>
      </c>
      <c r="BK263">
        <f>BI263*0.12</f>
        <v>3900</v>
      </c>
      <c r="BL263">
        <f>_xlfn.XLOOKUP(B263,'[6]august-2025'!$A:$A,'[6]august-2025'!$D:$D,0,0)</f>
        <v>0</v>
      </c>
      <c r="BM263">
        <f>_xlfn.XLOOKUP(B263,'[6]august-2025'!$A:$A,'[6]august-2025'!$G:$G,0,0)</f>
        <v>0</v>
      </c>
      <c r="BN263">
        <f>IF(BI263&gt;0,SUM(BI263:BM263),0)</f>
        <v>42250</v>
      </c>
      <c r="BO263">
        <f>_xlfn.XLOOKUP(B263,'[6]august-2025'!$A:$A,'[6]august-2025'!$H:$H,0,0)</f>
        <v>5000</v>
      </c>
      <c r="BP263">
        <f>_xlfn.XLOOKUP(B263,'[6]august-2025'!$A:$A,'[6]august-2025'!$I:$I,0,0)</f>
        <v>0</v>
      </c>
      <c r="BQ263">
        <f>IF($F263="YES",0,IF(BN263&gt;40000,200,IF(BN263&gt;25000,150,IF(BN263&gt;15000,130,IF(BN263&gt;10000,110,0)))))</f>
        <v>200</v>
      </c>
      <c r="BR263">
        <f>BN263-BO263-BP263-BQ263</f>
        <v>37050</v>
      </c>
      <c r="BS263">
        <f>_xlfn.XLOOKUP(B263,'[7]september-2025'!$A:$A,'[7]september-2025'!$C:$C,0,0)</f>
        <v>32500</v>
      </c>
      <c r="BT263">
        <f>BS263*0.18</f>
        <v>5850</v>
      </c>
      <c r="BU263">
        <f>BS263*0.12</f>
        <v>3900</v>
      </c>
      <c r="BV263">
        <f>_xlfn.XLOOKUP(B263,'[7]september-2025'!$A:$A,'[7]september-2025'!$D:$D,0,0)</f>
        <v>0</v>
      </c>
      <c r="BW263">
        <f>_xlfn.XLOOKUP(B263,'[7]september-2025'!$A:$A,'[7]september-2025'!$G:$G,0,0)</f>
        <v>0</v>
      </c>
      <c r="BX263">
        <f>IF(BS263&gt;0,SUM(BS263:BW263),0)</f>
        <v>42250</v>
      </c>
      <c r="BY263">
        <f>_xlfn.XLOOKUP(B263,'[7]september-2025'!$A:$A,'[7]september-2025'!$H:$H,0,0)</f>
        <v>5000</v>
      </c>
      <c r="BZ263">
        <f>_xlfn.XLOOKUP(B263,'[7]september-2025'!$A:$A,'[7]september-2025'!$I:$I,0,0)</f>
        <v>0</v>
      </c>
      <c r="CA263">
        <f>IF($F263="YES",0,IF(BX263&gt;40000,200,IF(BX263&gt;25000,150,IF(BX263&gt;15000,130,IF(BX263&gt;10000,110,0)))))</f>
        <v>200</v>
      </c>
      <c r="CB263">
        <f>BX263-BY263-BZ263-CA263</f>
        <v>37050</v>
      </c>
      <c r="CC263">
        <f>_xlfn.XLOOKUP(B263,'[8]october-2025'!$A:$A,'[8]october-2025'!$C:$C,0,0)</f>
        <v>32500</v>
      </c>
      <c r="CD263">
        <f>CC263*0.18</f>
        <v>5850</v>
      </c>
      <c r="CE263">
        <f>CC263*0.12</f>
        <v>3900</v>
      </c>
      <c r="CF263">
        <f>_xlfn.XLOOKUP(B263,'[8]october-2025'!$A:$A,'[8]october-2025'!$D:$D,0,0)</f>
        <v>0</v>
      </c>
      <c r="CG263">
        <f>_xlfn.XLOOKUP(B263,'[8]october-2025'!$A:$A,'[8]october-2025'!$G:$G,0,0)</f>
        <v>0</v>
      </c>
      <c r="CH263">
        <f>IF(CC263&gt;0,SUM(CC263:CG263),0)</f>
        <v>42250</v>
      </c>
      <c r="CI263">
        <f>_xlfn.XLOOKUP(B263,'[8]october-2025'!$A:$A,'[8]october-2025'!$H:$H,0,0)</f>
        <v>5000</v>
      </c>
      <c r="CJ263">
        <f>_xlfn.XLOOKUP(B263,'[8]october-2025'!$A:$A,'[8]october-2025'!$I:$I,0,0)</f>
        <v>0</v>
      </c>
      <c r="CK263">
        <f>IF($F263="YES",0,IF(CH263&gt;40000,200,IF(CH263&gt;25000,150,IF(CH263&gt;15000,130,IF(CH263&gt;10000,110,0)))))</f>
        <v>200</v>
      </c>
      <c r="CL263">
        <f>CH263-CI263-CJ263-CK263</f>
        <v>37050</v>
      </c>
      <c r="CM263">
        <f>_xlfn.XLOOKUP(B263,'[9]november-2025'!$A:$A,'[9]november-2025'!$C:$C,0,0)</f>
        <v>32500</v>
      </c>
      <c r="CN263">
        <f>CM263*0.18</f>
        <v>5850</v>
      </c>
      <c r="CO263">
        <f>CM263*0.12</f>
        <v>3900</v>
      </c>
      <c r="CP263">
        <f>_xlfn.XLOOKUP(B263,'[9]november-2025'!$A:$A,'[9]november-2025'!$D:$D,0,0)</f>
        <v>0</v>
      </c>
      <c r="CQ263">
        <f>_xlfn.XLOOKUP(B263,'[9]november-2025'!$A:$A,'[9]november-2025'!$G:$G,0,0)</f>
        <v>0</v>
      </c>
      <c r="CR263">
        <f>IF(CM263&gt;0,SUM(CM263:CQ263),0)</f>
        <v>42250</v>
      </c>
      <c r="CS263">
        <f>_xlfn.XLOOKUP(B263,'[9]november-2025'!$A:$A,'[9]november-2025'!$H:$H,0,0)</f>
        <v>5000</v>
      </c>
      <c r="CT263">
        <f>_xlfn.XLOOKUP(B263,'[9]november-2025'!$A:$A,'[9]november-2025'!$I:$I,0,0)</f>
        <v>0</v>
      </c>
      <c r="CU263">
        <f>IF($F263="YES",0,IF(CR263&gt;40000,200,IF(CR263&gt;25000,150,IF(CR263&gt;15000,130,IF(CR263&gt;10000,110,0)))))</f>
        <v>200</v>
      </c>
      <c r="CV263">
        <f>CR263-CS263-CT263-CU263</f>
        <v>37050</v>
      </c>
      <c r="CW263">
        <f>_xlfn.XLOOKUP(B263,'[10]december-2025'!$A:$A,'[10]december-2025'!$C:$C,0,0)</f>
        <v>32500</v>
      </c>
      <c r="CX263">
        <f>ROUND(CW263*0.18,0)</f>
        <v>5850</v>
      </c>
      <c r="CY263">
        <f>ROUND(CW263*0.12,0)</f>
        <v>3900</v>
      </c>
      <c r="CZ263">
        <f>_xlfn.XLOOKUP(B263,'[10]december-2025'!$A:$A,'[10]december-2025'!$D:$D,0,0)</f>
        <v>0</v>
      </c>
      <c r="DA263">
        <f>_xlfn.XLOOKUP(B263,'[10]december-2025'!$A:$A,'[10]december-2025'!$G:$G,0,0)</f>
        <v>0</v>
      </c>
      <c r="DB263">
        <f>IF(CW263&gt;0,SUM(CW263:DA263),0)</f>
        <v>42250</v>
      </c>
      <c r="DC263">
        <f>_xlfn.XLOOKUP(B263,'[10]december-2025'!$A:$A,'[10]december-2025'!$H:$H,0,0)</f>
        <v>5000</v>
      </c>
      <c r="DD263">
        <f>_xlfn.XLOOKUP(B263,'[10]december-2025'!$A:$A,'[10]december-2025'!$I:$I,0,0)</f>
        <v>0</v>
      </c>
      <c r="DE263">
        <f>IF($F263="YES",0,IF(DB263&gt;40000,200,IF(DB263&gt;25000,150,IF(DB263&gt;15000,130,IF(DB263&gt;10000,110,0)))))</f>
        <v>200</v>
      </c>
      <c r="DF263">
        <f>DB263-DC263-DD263-DE263</f>
        <v>37050</v>
      </c>
      <c r="DG263">
        <f>_xlfn.XLOOKUP(B263,'[11]january-2026'!$A:$A,'[11]january-2026'!$C:$C,0,0)</f>
        <v>32500</v>
      </c>
      <c r="DH263">
        <f>DG263*0.18</f>
        <v>5850</v>
      </c>
      <c r="DI263">
        <f>DG263*0.12</f>
        <v>3900</v>
      </c>
      <c r="DJ263">
        <f>_xlfn.XLOOKUP(B263,'[11]january-2026'!$A:$A,'[11]january-2026'!$D:$D,0,0)</f>
        <v>0</v>
      </c>
      <c r="DK263">
        <f>_xlfn.XLOOKUP(B263,'[11]january-2026'!$A:$A,'[11]january-2026'!$G:$G,0,0)</f>
        <v>0</v>
      </c>
      <c r="DL263">
        <f>IF(DG263&gt;0,SUM(DG263:DK263),0)</f>
        <v>42250</v>
      </c>
      <c r="DM263">
        <f>_xlfn.XLOOKUP(B263,'[11]january-2026'!$A:$A,'[11]january-2026'!$H:$H,0,0)</f>
        <v>5000</v>
      </c>
      <c r="DN263">
        <f>_xlfn.XLOOKUP(B263,'[11]january-2026'!$A:$A,'[11]january-2026'!$I:$I,0,0)</f>
        <v>0</v>
      </c>
      <c r="DO263">
        <f>IF($F263="YES",0,IF(DL263&gt;40000,200,IF(DL263&gt;25000,150,IF(DL263&gt;15000,130,IF(DL263&gt;10000,110,0)))))</f>
        <v>200</v>
      </c>
      <c r="DP263">
        <f>DL263-DM263-DN263-DO263</f>
        <v>37050</v>
      </c>
      <c r="DQ263">
        <f>_xlfn.XLOOKUP(B263,'[12]february-2026'!$A:$A,'[12]february-2026'!$C:$C,0,0)</f>
        <v>32500</v>
      </c>
      <c r="DR263">
        <f>DQ263*0.18</f>
        <v>5850</v>
      </c>
      <c r="DS263">
        <f>DQ263*0.12</f>
        <v>3900</v>
      </c>
      <c r="DT263">
        <f>_xlfn.XLOOKUP(B263,'[12]february-2026'!$A:$A,'[12]february-2026'!$D:$D,0,0)</f>
        <v>0</v>
      </c>
      <c r="DU263">
        <f>_xlfn.XLOOKUP(B263,'[12]february-2026'!$A:$A,'[12]february-2026'!$G:$G,0,0)</f>
        <v>0</v>
      </c>
      <c r="DV263">
        <f>IF(DQ263&gt;0,SUM(DQ263:DU263),0)</f>
        <v>42250</v>
      </c>
      <c r="DW263">
        <f>_xlfn.XLOOKUP(B263,'[12]february-2026'!$A:$A,'[12]february-2026'!$H:$H,0,0)</f>
        <v>5000</v>
      </c>
      <c r="DX263">
        <f>_xlfn.XLOOKUP(B263,'[12]february-2026'!$A:$A,'[12]february-2026'!$I:$I,0,0)</f>
        <v>0</v>
      </c>
      <c r="DY263">
        <f>IF($F263="YES",0,IF(DV263&gt;40000,200,IF(DV263&gt;25000,150,IF(DV263&gt;15000,130,IF(DV263&gt;10000,110,0)))))</f>
        <v>200</v>
      </c>
      <c r="DZ263">
        <f>DV263-DW263-DX263-DY263</f>
        <v>37050</v>
      </c>
      <c r="EA263">
        <f>DV263+DL263+DB263+CR263+CH263+BX263+BN263+BD263+AS263+AI263+Y263+O263+H263+I263</f>
        <v>496080</v>
      </c>
      <c r="EB263">
        <f>DY263+DO263+DE263+CU263+CK263+CA263+BQ263+BG263+AV263+AL263+AB263+R263</f>
        <v>2300</v>
      </c>
      <c r="EC263">
        <f>IF(EA263&gt;0,50000,0)</f>
        <v>50000</v>
      </c>
      <c r="ED263">
        <v>0</v>
      </c>
      <c r="EE263">
        <f>EA263-EB263-EC263</f>
        <v>443780</v>
      </c>
      <c r="EF263">
        <f>DW263+DM263+DC263+CS263+CI263+BY263+BO263+BE263+AT263+AJ263+Z263+P263</f>
        <v>60000</v>
      </c>
      <c r="EG263">
        <f>DX263+DN263+DD263+CT263+CJ263+BZ263+BP263+BF263+AU263+AK263+AA263+Q263</f>
        <v>0</v>
      </c>
      <c r="EH263">
        <v>0</v>
      </c>
      <c r="EI263">
        <v>0</v>
      </c>
      <c r="EJ263">
        <v>0</v>
      </c>
      <c r="EK263">
        <v>0</v>
      </c>
      <c r="EL263">
        <v>0</v>
      </c>
      <c r="EM263">
        <v>0</v>
      </c>
      <c r="EN263">
        <v>0</v>
      </c>
      <c r="EO263">
        <v>0</v>
      </c>
      <c r="EP263">
        <v>0</v>
      </c>
      <c r="EQ263">
        <v>0</v>
      </c>
      <c r="ER263">
        <f>SUM(EF263:EQ263)</f>
        <v>60000</v>
      </c>
      <c r="ES263">
        <f>IF(ER263&gt;=150000,150000,ER263)</f>
        <v>60000</v>
      </c>
      <c r="ET263">
        <f>EE263-ES263</f>
        <v>383780</v>
      </c>
      <c r="EU263">
        <v>0</v>
      </c>
      <c r="EV263">
        <v>0</v>
      </c>
      <c r="EW263">
        <v>0</v>
      </c>
      <c r="EX263">
        <v>0</v>
      </c>
      <c r="EY263">
        <v>0</v>
      </c>
      <c r="EZ263">
        <v>0</v>
      </c>
      <c r="FA263">
        <v>0</v>
      </c>
      <c r="FB263">
        <f>SUM(EU263:FA263)+(IF(F263="YES",50000,0))</f>
        <v>0</v>
      </c>
      <c r="FC263">
        <f>ET263-FB263</f>
        <v>383780</v>
      </c>
      <c r="FD263">
        <f>ROUND(IF(FC263&gt;0,IF(FC263&gt;500000,12500,(FC263-250000)*0.05),0),0)</f>
        <v>6689</v>
      </c>
      <c r="FE263">
        <f>IF(ROUND(IF(FC263&gt;0,IF(FC263&gt;1000000,25000,(FC263-500000)*0.2),0),0)&lt;0,0,ROUND(IF(FC263&gt;0,IF(FC263&gt;1000000,25000,(FC263-500000)*0.2),0),0))</f>
        <v>0</v>
      </c>
      <c r="FF263">
        <f>FD263+FE263</f>
        <v>6689</v>
      </c>
      <c r="FG263">
        <f>IF(FF263&lt;12500,0,FF263)</f>
        <v>0</v>
      </c>
      <c r="FH263">
        <f>FG263*0.04</f>
        <v>0</v>
      </c>
      <c r="FI263">
        <f>ROUND(FH263+FG263,0)</f>
        <v>0</v>
      </c>
      <c r="FJ263">
        <v>0</v>
      </c>
      <c r="FK263">
        <f>FI263-FJ263</f>
        <v>0</v>
      </c>
      <c r="FL263" t="b">
        <f>IF(EA263&gt;500000,TRUE,FALSE)</f>
        <v>0</v>
      </c>
      <c r="FM263">
        <f ca="1">IF(FL263,RANDBETWEEN(500,1000),RANDBETWEEN(1000,3000))</f>
        <v>1280</v>
      </c>
      <c r="FN263">
        <f ca="1">EA263+FM263</f>
        <v>497360</v>
      </c>
      <c r="FO263">
        <f>IF(EA263&gt;0,75000,0)</f>
        <v>75000</v>
      </c>
      <c r="FP263">
        <f ca="1">FN263-FO263</f>
        <v>422360</v>
      </c>
      <c r="FQ263">
        <f ca="1">IF(FP263&gt;2400000,FP263-2400000,0)</f>
        <v>0</v>
      </c>
      <c r="FR263">
        <f ca="1">FQ263*0.3</f>
        <v>0</v>
      </c>
      <c r="FS263">
        <f ca="1">IF(FP263&gt;2000000,FP263-2000000,0)</f>
        <v>0</v>
      </c>
      <c r="FT263">
        <f ca="1">FS263*0.25</f>
        <v>0</v>
      </c>
      <c r="FU263">
        <f ca="1">IF(FP263&gt;1600000,FP263-1600000-FQ263,0)</f>
        <v>0</v>
      </c>
      <c r="FV263">
        <f ca="1">FU263*0.2</f>
        <v>0</v>
      </c>
      <c r="FW263">
        <f ca="1">IF(FP263&gt;1200000,FP263-1200000-IF(F263="YES",50000,0)-FU263,0)</f>
        <v>0</v>
      </c>
      <c r="FX263">
        <f ca="1">FW263*0.15</f>
        <v>0</v>
      </c>
      <c r="FY263">
        <f ca="1">IF(FP263&gt;800000,FP263-800000-FQ263-FU263-FW263,0)</f>
        <v>0</v>
      </c>
      <c r="FZ263">
        <f ca="1">FY263*0.1</f>
        <v>0</v>
      </c>
      <c r="GA263">
        <f ca="1">IF(FP263&gt;400000,FP263-400000-FQ263-FU263-FW263-FY263,0)</f>
        <v>22360</v>
      </c>
      <c r="GB263">
        <f ca="1">GA263*0.05</f>
        <v>1118</v>
      </c>
      <c r="GC263">
        <f ca="1">ROUND(FR263+FT263+FV263+FX263+FZ263+GB263,0)</f>
        <v>1118</v>
      </c>
      <c r="GD263">
        <f ca="1">IF(FP263&gt;1200000,FP263,0)</f>
        <v>0</v>
      </c>
      <c r="GE263">
        <f ca="1">IF(FP263&gt;1200000,GD263-1200000,0)</f>
        <v>0</v>
      </c>
      <c r="GF263">
        <f ca="1">IF(FP263&lt;1200001,MIN(GC263,60000),0)</f>
        <v>1118</v>
      </c>
      <c r="GG263">
        <f ca="1">IF(FP263&gt;1200000,GC263-GE263,0)</f>
        <v>0</v>
      </c>
      <c r="GH263" t="b">
        <f ca="1">IF(GG263&gt;0,TRUE,FALSE)</f>
        <v>0</v>
      </c>
      <c r="GI263">
        <f ca="1">IF(GH263,GG263,0)</f>
        <v>0</v>
      </c>
      <c r="GJ263">
        <f ca="1">GF263+GI263</f>
        <v>1118</v>
      </c>
      <c r="GK263">
        <f ca="1">ROUND(GC263-GJ263,0)</f>
        <v>0</v>
      </c>
      <c r="GL263">
        <f ca="1">GK263*0.04</f>
        <v>0</v>
      </c>
      <c r="GM263">
        <f ca="1">ROUNDUP(GK263+GL263,0)</f>
        <v>0</v>
      </c>
    </row>
    <row r="264" spans="1:195" x14ac:dyDescent="0.25">
      <c r="A264">
        <f>_xlfn.AGGREGATE(3,5,$B$2:B264)</f>
        <v>263</v>
      </c>
      <c r="B264" t="s">
        <v>635</v>
      </c>
      <c r="C264" t="s">
        <v>636</v>
      </c>
      <c r="D264" t="s">
        <v>820</v>
      </c>
      <c r="E264" t="s">
        <v>833</v>
      </c>
      <c r="F264" t="s">
        <v>959</v>
      </c>
      <c r="G264" t="s">
        <v>957</v>
      </c>
      <c r="H264">
        <f>IF(_xlfn.DAYS("31-03-2025",G264)&gt;=180,6800,0)</f>
        <v>6800</v>
      </c>
      <c r="I264">
        <f>_xlfn.XLOOKUP(B264,'[1]march-2025'!$A:$A,'[1]march-2025'!$J:$J,0,0)</f>
        <v>0</v>
      </c>
      <c r="J264">
        <f>_xlfn.XLOOKUP(B264,'[1]march-2025'!$A:$A,'[1]march-2025'!$C:$C,0,0)</f>
        <v>28900</v>
      </c>
      <c r="K264">
        <f>J264*0.14</f>
        <v>4046.0000000000005</v>
      </c>
      <c r="L264">
        <f>J264*0.12</f>
        <v>3468</v>
      </c>
      <c r="M264">
        <f>_xlfn.XLOOKUP(B264,'[1]march-2025'!$A:$A,'[1]march-2025'!$D:$D,0,0)</f>
        <v>0</v>
      </c>
      <c r="N264">
        <f>_xlfn.XLOOKUP(B264,'[1]march-2025'!$A:$A,'[1]march-2025'!$G:$G,0,0)</f>
        <v>500</v>
      </c>
      <c r="O264">
        <f>IF(J264&gt;0,SUM(J264:N264),0)</f>
        <v>36914</v>
      </c>
      <c r="P264">
        <f>_xlfn.XLOOKUP(B264,'[1]march-2025'!$A:$A,'[1]march-2025'!$H:$H,0,0)</f>
        <v>2000</v>
      </c>
      <c r="Q264">
        <f>_xlfn.XLOOKUP(B264,'[1]march-2025'!$A:$A,'[1]march-2025'!$I:$I,0,0)</f>
        <v>0</v>
      </c>
      <c r="R264">
        <f>IF($F264="YES",0,IF(O264&gt;40000,200,IF(O264&gt;25000,150,IF(O264&gt;15000,130,IF(O264&gt;10000,110,0)))))</f>
        <v>150</v>
      </c>
      <c r="S264">
        <f>O264-P264-Q264-R264</f>
        <v>34764</v>
      </c>
      <c r="T264">
        <f>_xlfn.XLOOKUP(B264,'[2]april-2025'!$A:$A,'[2]april-2025'!$C:$C,0,0)</f>
        <v>28900</v>
      </c>
      <c r="U264">
        <f>T264*0.18</f>
        <v>5202</v>
      </c>
      <c r="V264">
        <f>T264*0.12</f>
        <v>3468</v>
      </c>
      <c r="W264">
        <f>_xlfn.XLOOKUP(B264,'[2]april-2025'!$A:$A,'[2]april-2025'!$D:$D,0,0)</f>
        <v>0</v>
      </c>
      <c r="X264">
        <f>_xlfn.XLOOKUP(B264,'[2]april-2025'!$A:$A,'[2]april-2025'!$G:$G,0,0)</f>
        <v>500</v>
      </c>
      <c r="Y264">
        <f>IF(T264&gt;0,SUM(T264:X264),0)</f>
        <v>38070</v>
      </c>
      <c r="Z264">
        <f>_xlfn.XLOOKUP(B264,'[2]april-2025'!$A:$A,'[2]april-2025'!$H:$H,0,0)</f>
        <v>2000</v>
      </c>
      <c r="AA264">
        <f>_xlfn.XLOOKUP(B264,'[2]april-2025'!$A:$A,'[2]april-2025'!$I:$I,0,0)</f>
        <v>0</v>
      </c>
      <c r="AB264">
        <f>IF($F264="YES",0,IF(Y264&gt;40000,200,IF(Y264&gt;25000,150,IF(Y264&gt;15000,130,IF(Y264&gt;10000,110,0)))))</f>
        <v>150</v>
      </c>
      <c r="AC264">
        <f>Y264-Z264-AA264-AB264</f>
        <v>35920</v>
      </c>
      <c r="AD264">
        <f>_xlfn.XLOOKUP(B264,'[3]may-2025'!$A:$A,'[3]may-2025'!$C:$C,0,0)</f>
        <v>28900</v>
      </c>
      <c r="AE264">
        <f>AD264*0.18</f>
        <v>5202</v>
      </c>
      <c r="AF264">
        <f>AD264*0.12</f>
        <v>3468</v>
      </c>
      <c r="AG264">
        <f>_xlfn.XLOOKUP(B264,'[3]may-2025'!$A:$A,'[3]may-2025'!$D:$D,0,0)</f>
        <v>0</v>
      </c>
      <c r="AH264">
        <f>_xlfn.XLOOKUP(B264,'[3]may-2025'!$A:$A,'[3]may-2025'!$G:$G,0,0)</f>
        <v>500</v>
      </c>
      <c r="AI264">
        <f>IF(AD264&gt;0,SUM(AD264:AH264),0)</f>
        <v>38070</v>
      </c>
      <c r="AJ264">
        <f>_xlfn.XLOOKUP(B264,'[3]may-2025'!$A:$A,'[3]may-2025'!$H:$H,0,0)</f>
        <v>2000</v>
      </c>
      <c r="AK264">
        <f>_xlfn.XLOOKUP(B264,'[3]may-2025'!$A:$A,'[3]may-2025'!$I:$I,0,0)</f>
        <v>0</v>
      </c>
      <c r="AL264">
        <f>IF($F264="YES",0,IF(AI264&gt;40000,200,IF(AI264&gt;25000,150,IF(AI264&gt;15000,130,IF(AI264&gt;10000,110,0)))))</f>
        <v>150</v>
      </c>
      <c r="AM264">
        <f>AI264-AJ264-AK264-AL264</f>
        <v>35920</v>
      </c>
      <c r="AN264">
        <f>_xlfn.XLOOKUP(B264,'[4]june-2025'!$A:$A,'[4]june-2025'!$C:$C,0,0)</f>
        <v>28900</v>
      </c>
      <c r="AO264">
        <f>AN264*0.18</f>
        <v>5202</v>
      </c>
      <c r="AP264">
        <f>AN264*0.12</f>
        <v>3468</v>
      </c>
      <c r="AQ264">
        <f>_xlfn.XLOOKUP(B264,'[4]june-2025'!$A:$A,'[4]june-2025'!$D:$D,0,0)</f>
        <v>0</v>
      </c>
      <c r="AR264">
        <f>_xlfn.XLOOKUP(B264,'[4]june-2025'!$A:$A,'[4]june-2025'!$G:$G,0,0)</f>
        <v>500</v>
      </c>
      <c r="AS264">
        <f>IF(AN264&gt;0,SUM(AN264:AR264),0)</f>
        <v>38070</v>
      </c>
      <c r="AT264">
        <f>_xlfn.XLOOKUP(B264,'[4]june-2025'!$A:$A,'[4]june-2025'!$H:$H,0,0)</f>
        <v>2000</v>
      </c>
      <c r="AU264">
        <f>_xlfn.XLOOKUP(B264,'[4]june-2025'!$A:$A,'[4]june-2025'!$I:$I,0,0)</f>
        <v>0</v>
      </c>
      <c r="AV264">
        <f>IF($F264="YES",0,IF(AS264&gt;40000,200,IF(AS264&gt;25000,150,IF(AS264&gt;15000,130,IF(AS264&gt;10000,110,0)))))</f>
        <v>150</v>
      </c>
      <c r="AW264">
        <f>AS264-AT264-AU264-AV264</f>
        <v>35920</v>
      </c>
      <c r="AX264">
        <f>_xlfn.XLOOKUP(B264,'[5]july-2025'!$A:$A,'[5]july-2025'!$C:$C,0,0)</f>
        <v>29800</v>
      </c>
      <c r="AY264">
        <f>AX264*0.18</f>
        <v>5364</v>
      </c>
      <c r="AZ264">
        <v>0</v>
      </c>
      <c r="BA264">
        <f>AX264*0.12</f>
        <v>3576</v>
      </c>
      <c r="BB264">
        <f>_xlfn.XLOOKUP(B264,'[5]july-2025'!$A:$A,'[5]july-2025'!$D:$D,0,0)</f>
        <v>0</v>
      </c>
      <c r="BC264">
        <f>_xlfn.XLOOKUP(B264,'[5]july-2025'!$A:$A,'[5]july-2025'!$G:$G,0,0)</f>
        <v>500</v>
      </c>
      <c r="BD264">
        <f>IF(AX264&gt;0,SUM(AX264:BC264),0)</f>
        <v>39240</v>
      </c>
      <c r="BE264">
        <f>_xlfn.XLOOKUP(B264,'[5]july-2025'!$A:$A,'[5]july-2025'!$H:$H,0,0)</f>
        <v>2000</v>
      </c>
      <c r="BF264">
        <f>_xlfn.XLOOKUP(B264,'[5]july-2025'!$A:$A,'[5]july-2025'!$I:$I,0,0)</f>
        <v>0</v>
      </c>
      <c r="BG264">
        <f>IF($F264="YES",0,IF(BD264&gt;40000,200,IF(BD264&gt;25000,150,IF(BD264&gt;15000,130,IF(BD264&gt;10000,110,0)))))</f>
        <v>150</v>
      </c>
      <c r="BH264">
        <f>BD264-BE264-BF264-BG264</f>
        <v>37090</v>
      </c>
      <c r="BI264">
        <f>_xlfn.XLOOKUP(B264,'[6]august-2025'!$A:$A,'[6]august-2025'!$C:$C,0,0)</f>
        <v>29800</v>
      </c>
      <c r="BJ264">
        <f>BI264*0.18</f>
        <v>5364</v>
      </c>
      <c r="BK264">
        <f>BI264*0.12</f>
        <v>3576</v>
      </c>
      <c r="BL264">
        <f>_xlfn.XLOOKUP(B264,'[6]august-2025'!$A:$A,'[6]august-2025'!$D:$D,0,0)</f>
        <v>0</v>
      </c>
      <c r="BM264">
        <f>_xlfn.XLOOKUP(B264,'[6]august-2025'!$A:$A,'[6]august-2025'!$G:$G,0,0)</f>
        <v>500</v>
      </c>
      <c r="BN264">
        <f>IF(BI264&gt;0,SUM(BI264:BM264),0)</f>
        <v>39240</v>
      </c>
      <c r="BO264">
        <f>_xlfn.XLOOKUP(B264,'[6]august-2025'!$A:$A,'[6]august-2025'!$H:$H,0,0)</f>
        <v>2000</v>
      </c>
      <c r="BP264">
        <f>_xlfn.XLOOKUP(B264,'[6]august-2025'!$A:$A,'[6]august-2025'!$I:$I,0,0)</f>
        <v>0</v>
      </c>
      <c r="BQ264">
        <f>IF($F264="YES",0,IF(BN264&gt;40000,200,IF(BN264&gt;25000,150,IF(BN264&gt;15000,130,IF(BN264&gt;10000,110,0)))))</f>
        <v>150</v>
      </c>
      <c r="BR264">
        <f>BN264-BO264-BP264-BQ264</f>
        <v>37090</v>
      </c>
      <c r="BS264">
        <f>_xlfn.XLOOKUP(B264,'[7]september-2025'!$A:$A,'[7]september-2025'!$C:$C,0,0)</f>
        <v>29800</v>
      </c>
      <c r="BT264">
        <f>BS264*0.18</f>
        <v>5364</v>
      </c>
      <c r="BU264">
        <f>BS264*0.12</f>
        <v>3576</v>
      </c>
      <c r="BV264">
        <f>_xlfn.XLOOKUP(B264,'[7]september-2025'!$A:$A,'[7]september-2025'!$D:$D,0,0)</f>
        <v>0</v>
      </c>
      <c r="BW264">
        <f>_xlfn.XLOOKUP(B264,'[7]september-2025'!$A:$A,'[7]september-2025'!$G:$G,0,0)</f>
        <v>500</v>
      </c>
      <c r="BX264">
        <f>IF(BS264&gt;0,SUM(BS264:BW264),0)</f>
        <v>39240</v>
      </c>
      <c r="BY264">
        <f>_xlfn.XLOOKUP(B264,'[7]september-2025'!$A:$A,'[7]september-2025'!$H:$H,0,0)</f>
        <v>2000</v>
      </c>
      <c r="BZ264">
        <f>_xlfn.XLOOKUP(B264,'[7]september-2025'!$A:$A,'[7]september-2025'!$I:$I,0,0)</f>
        <v>0</v>
      </c>
      <c r="CA264">
        <f>IF($F264="YES",0,IF(BX264&gt;40000,200,IF(BX264&gt;25000,150,IF(BX264&gt;15000,130,IF(BX264&gt;10000,110,0)))))</f>
        <v>150</v>
      </c>
      <c r="CB264">
        <f>BX264-BY264-BZ264-CA264</f>
        <v>37090</v>
      </c>
      <c r="CC264">
        <f>_xlfn.XLOOKUP(B264,'[8]october-2025'!$A:$A,'[8]october-2025'!$C:$C,0,0)</f>
        <v>29800</v>
      </c>
      <c r="CD264">
        <f>CC264*0.18</f>
        <v>5364</v>
      </c>
      <c r="CE264">
        <f>CC264*0.12</f>
        <v>3576</v>
      </c>
      <c r="CF264">
        <f>_xlfn.XLOOKUP(B264,'[8]october-2025'!$A:$A,'[8]october-2025'!$D:$D,0,0)</f>
        <v>0</v>
      </c>
      <c r="CG264">
        <f>_xlfn.XLOOKUP(B264,'[8]october-2025'!$A:$A,'[8]october-2025'!$G:$G,0,0)</f>
        <v>500</v>
      </c>
      <c r="CH264">
        <f>IF(CC264&gt;0,SUM(CC264:CG264),0)</f>
        <v>39240</v>
      </c>
      <c r="CI264">
        <f>_xlfn.XLOOKUP(B264,'[8]october-2025'!$A:$A,'[8]october-2025'!$H:$H,0,0)</f>
        <v>2000</v>
      </c>
      <c r="CJ264">
        <f>_xlfn.XLOOKUP(B264,'[8]october-2025'!$A:$A,'[8]october-2025'!$I:$I,0,0)</f>
        <v>0</v>
      </c>
      <c r="CK264">
        <f>IF($F264="YES",0,IF(CH264&gt;40000,200,IF(CH264&gt;25000,150,IF(CH264&gt;15000,130,IF(CH264&gt;10000,110,0)))))</f>
        <v>150</v>
      </c>
      <c r="CL264">
        <f>CH264-CI264-CJ264-CK264</f>
        <v>37090</v>
      </c>
      <c r="CM264">
        <f>_xlfn.XLOOKUP(B264,'[9]november-2025'!$A:$A,'[9]november-2025'!$C:$C,0,0)</f>
        <v>29800</v>
      </c>
      <c r="CN264">
        <f>CM264*0.18</f>
        <v>5364</v>
      </c>
      <c r="CO264">
        <f>CM264*0.12</f>
        <v>3576</v>
      </c>
      <c r="CP264">
        <f>_xlfn.XLOOKUP(B264,'[9]november-2025'!$A:$A,'[9]november-2025'!$D:$D,0,0)</f>
        <v>0</v>
      </c>
      <c r="CQ264">
        <f>_xlfn.XLOOKUP(B264,'[9]november-2025'!$A:$A,'[9]november-2025'!$G:$G,0,0)</f>
        <v>500</v>
      </c>
      <c r="CR264">
        <f>IF(CM264&gt;0,SUM(CM264:CQ264),0)</f>
        <v>39240</v>
      </c>
      <c r="CS264">
        <f>_xlfn.XLOOKUP(B264,'[9]november-2025'!$A:$A,'[9]november-2025'!$H:$H,0,0)</f>
        <v>2000</v>
      </c>
      <c r="CT264">
        <f>_xlfn.XLOOKUP(B264,'[9]november-2025'!$A:$A,'[9]november-2025'!$I:$I,0,0)</f>
        <v>0</v>
      </c>
      <c r="CU264">
        <f>IF($F264="YES",0,IF(CR264&gt;40000,200,IF(CR264&gt;25000,150,IF(CR264&gt;15000,130,IF(CR264&gt;10000,110,0)))))</f>
        <v>150</v>
      </c>
      <c r="CV264">
        <f>CR264-CS264-CT264-CU264</f>
        <v>37090</v>
      </c>
      <c r="CW264">
        <f>_xlfn.XLOOKUP(B264,'[10]december-2025'!$A:$A,'[10]december-2025'!$C:$C,0,0)</f>
        <v>29800</v>
      </c>
      <c r="CX264">
        <f>ROUND(CW264*0.18,0)</f>
        <v>5364</v>
      </c>
      <c r="CY264">
        <f>ROUND(CW264*0.12,0)</f>
        <v>3576</v>
      </c>
      <c r="CZ264">
        <f>_xlfn.XLOOKUP(B264,'[10]december-2025'!$A:$A,'[10]december-2025'!$D:$D,0,0)</f>
        <v>0</v>
      </c>
      <c r="DA264">
        <f>_xlfn.XLOOKUP(B264,'[10]december-2025'!$A:$A,'[10]december-2025'!$G:$G,0,0)</f>
        <v>500</v>
      </c>
      <c r="DB264">
        <f>IF(CW264&gt;0,SUM(CW264:DA264),0)</f>
        <v>39240</v>
      </c>
      <c r="DC264">
        <f>_xlfn.XLOOKUP(B264,'[10]december-2025'!$A:$A,'[10]december-2025'!$H:$H,0,0)</f>
        <v>2000</v>
      </c>
      <c r="DD264">
        <f>_xlfn.XLOOKUP(B264,'[10]december-2025'!$A:$A,'[10]december-2025'!$I:$I,0,0)</f>
        <v>0</v>
      </c>
      <c r="DE264">
        <f>IF($F264="YES",0,IF(DB264&gt;40000,200,IF(DB264&gt;25000,150,IF(DB264&gt;15000,130,IF(DB264&gt;10000,110,0)))))</f>
        <v>150</v>
      </c>
      <c r="DF264">
        <f>DB264-DC264-DD264-DE264</f>
        <v>37090</v>
      </c>
      <c r="DG264">
        <f>_xlfn.XLOOKUP(B264,'[11]january-2026'!$A:$A,'[11]january-2026'!$C:$C,0,0)</f>
        <v>29800</v>
      </c>
      <c r="DH264">
        <f>DG264*0.18</f>
        <v>5364</v>
      </c>
      <c r="DI264">
        <f>DG264*0.12</f>
        <v>3576</v>
      </c>
      <c r="DJ264">
        <f>_xlfn.XLOOKUP(B264,'[11]january-2026'!$A:$A,'[11]january-2026'!$D:$D,0,0)</f>
        <v>0</v>
      </c>
      <c r="DK264">
        <f>_xlfn.XLOOKUP(B264,'[11]january-2026'!$A:$A,'[11]january-2026'!$G:$G,0,0)</f>
        <v>500</v>
      </c>
      <c r="DL264">
        <f>IF(DG264&gt;0,SUM(DG264:DK264),0)</f>
        <v>39240</v>
      </c>
      <c r="DM264">
        <f>_xlfn.XLOOKUP(B264,'[11]january-2026'!$A:$A,'[11]january-2026'!$H:$H,0,0)</f>
        <v>2000</v>
      </c>
      <c r="DN264">
        <f>_xlfn.XLOOKUP(B264,'[11]january-2026'!$A:$A,'[11]january-2026'!$I:$I,0,0)</f>
        <v>0</v>
      </c>
      <c r="DO264">
        <f>IF($F264="YES",0,IF(DL264&gt;40000,200,IF(DL264&gt;25000,150,IF(DL264&gt;15000,130,IF(DL264&gt;10000,110,0)))))</f>
        <v>150</v>
      </c>
      <c r="DP264">
        <f>DL264-DM264-DN264-DO264</f>
        <v>37090</v>
      </c>
      <c r="DQ264">
        <f>_xlfn.XLOOKUP(B264,'[12]february-2026'!$A:$A,'[12]february-2026'!$C:$C,0,0)</f>
        <v>29800</v>
      </c>
      <c r="DR264">
        <f>DQ264*0.18</f>
        <v>5364</v>
      </c>
      <c r="DS264">
        <f>DQ264*0.12</f>
        <v>3576</v>
      </c>
      <c r="DT264">
        <f>_xlfn.XLOOKUP(B264,'[12]february-2026'!$A:$A,'[12]february-2026'!$D:$D,0,0)</f>
        <v>0</v>
      </c>
      <c r="DU264">
        <f>_xlfn.XLOOKUP(B264,'[12]february-2026'!$A:$A,'[12]february-2026'!$G:$G,0,0)</f>
        <v>500</v>
      </c>
      <c r="DV264">
        <f>IF(DQ264&gt;0,SUM(DQ264:DU264),0)</f>
        <v>39240</v>
      </c>
      <c r="DW264">
        <f>_xlfn.XLOOKUP(B264,'[12]february-2026'!$A:$A,'[12]february-2026'!$H:$H,0,0)</f>
        <v>2000</v>
      </c>
      <c r="DX264">
        <f>_xlfn.XLOOKUP(B264,'[12]february-2026'!$A:$A,'[12]february-2026'!$I:$I,0,0)</f>
        <v>0</v>
      </c>
      <c r="DY264">
        <f>IF($F264="YES",0,IF(DV264&gt;40000,200,IF(DV264&gt;25000,150,IF(DV264&gt;15000,130,IF(DV264&gt;10000,110,0)))))</f>
        <v>150</v>
      </c>
      <c r="DZ264">
        <f>DV264-DW264-DX264-DY264</f>
        <v>37090</v>
      </c>
      <c r="EA264">
        <f>DV264+DL264+DB264+CR264+CH264+BX264+BN264+BD264+AS264+AI264+Y264+O264+H264+I264</f>
        <v>471844</v>
      </c>
      <c r="EB264">
        <f>DY264+DO264+DE264+CU264+CK264+CA264+BQ264+BG264+AV264+AL264+AB264+R264</f>
        <v>1800</v>
      </c>
      <c r="EC264">
        <f>IF(EA264&gt;0,50000,0)</f>
        <v>50000</v>
      </c>
      <c r="ED264">
        <v>0</v>
      </c>
      <c r="EE264">
        <f>EA264-EB264-EC264</f>
        <v>420044</v>
      </c>
      <c r="EF264">
        <f>DW264+DM264+DC264+CS264+CI264+BY264+BO264+BE264+AT264+AJ264+Z264+P264</f>
        <v>24000</v>
      </c>
      <c r="EG264">
        <f>DX264+DN264+DD264+CT264+CJ264+BZ264+BP264+BF264+AU264+AK264+AA264+Q264</f>
        <v>0</v>
      </c>
      <c r="EH264">
        <v>0</v>
      </c>
      <c r="EI264">
        <v>0</v>
      </c>
      <c r="EJ264">
        <v>0</v>
      </c>
      <c r="EK264">
        <v>0</v>
      </c>
      <c r="EL264">
        <v>0</v>
      </c>
      <c r="EM264">
        <v>0</v>
      </c>
      <c r="EN264">
        <v>0</v>
      </c>
      <c r="EO264">
        <v>0</v>
      </c>
      <c r="EP264">
        <v>0</v>
      </c>
      <c r="EQ264">
        <v>0</v>
      </c>
      <c r="ER264">
        <f>SUM(EF264:EQ264)</f>
        <v>24000</v>
      </c>
      <c r="ES264">
        <f>IF(ER264&gt;=150000,150000,ER264)</f>
        <v>24000</v>
      </c>
      <c r="ET264">
        <f>EE264-ES264</f>
        <v>396044</v>
      </c>
      <c r="EU264">
        <v>0</v>
      </c>
      <c r="EV264">
        <v>0</v>
      </c>
      <c r="EW264">
        <v>0</v>
      </c>
      <c r="EX264">
        <v>0</v>
      </c>
      <c r="EY264">
        <v>0</v>
      </c>
      <c r="EZ264">
        <v>0</v>
      </c>
      <c r="FA264">
        <v>0</v>
      </c>
      <c r="FB264">
        <f>SUM(EU264:FA264)+(IF(F264="YES",50000,0))</f>
        <v>0</v>
      </c>
      <c r="FC264">
        <f>ET264-FB264</f>
        <v>396044</v>
      </c>
      <c r="FD264">
        <f>ROUND(IF(FC264&gt;0,IF(FC264&gt;500000,12500,(FC264-250000)*0.05),0),0)</f>
        <v>7302</v>
      </c>
      <c r="FE264">
        <f>IF(ROUND(IF(FC264&gt;0,IF(FC264&gt;1000000,25000,(FC264-500000)*0.2),0),0)&lt;0,0,ROUND(IF(FC264&gt;0,IF(FC264&gt;1000000,25000,(FC264-500000)*0.2),0),0))</f>
        <v>0</v>
      </c>
      <c r="FF264">
        <f>FD264+FE264</f>
        <v>7302</v>
      </c>
      <c r="FG264">
        <f>IF(FF264&lt;12500,0,FF264)</f>
        <v>0</v>
      </c>
      <c r="FH264">
        <f>FG264*0.04</f>
        <v>0</v>
      </c>
      <c r="FI264">
        <f>ROUND(FH264+FG264,0)</f>
        <v>0</v>
      </c>
      <c r="FJ264">
        <v>0</v>
      </c>
      <c r="FK264">
        <f>FI264-FJ264</f>
        <v>0</v>
      </c>
      <c r="FL264" t="b">
        <f>IF(EA264&gt;500000,TRUE,FALSE)</f>
        <v>0</v>
      </c>
      <c r="FM264">
        <f ca="1">IF(FL264,RANDBETWEEN(500,1000),RANDBETWEEN(1000,3000))</f>
        <v>1203</v>
      </c>
      <c r="FN264">
        <f ca="1">EA264+FM264</f>
        <v>473047</v>
      </c>
      <c r="FO264">
        <f>IF(EA264&gt;0,75000,0)</f>
        <v>75000</v>
      </c>
      <c r="FP264">
        <f ca="1">FN264-FO264</f>
        <v>398047</v>
      </c>
      <c r="FQ264">
        <f ca="1">IF(FP264&gt;2400000,FP264-2400000,0)</f>
        <v>0</v>
      </c>
      <c r="FR264">
        <f ca="1">FQ264*0.3</f>
        <v>0</v>
      </c>
      <c r="FS264">
        <f ca="1">IF(FP264&gt;2000000,FP264-2000000,0)</f>
        <v>0</v>
      </c>
      <c r="FT264">
        <f ca="1">FS264*0.25</f>
        <v>0</v>
      </c>
      <c r="FU264">
        <f ca="1">IF(FP264&gt;1600000,FP264-1600000-FQ264,0)</f>
        <v>0</v>
      </c>
      <c r="FV264">
        <f ca="1">FU264*0.2</f>
        <v>0</v>
      </c>
      <c r="FW264">
        <f ca="1">IF(FP264&gt;1200000,FP264-1200000-IF(F264="YES",50000,0)-FU264,0)</f>
        <v>0</v>
      </c>
      <c r="FX264">
        <f ca="1">FW264*0.15</f>
        <v>0</v>
      </c>
      <c r="FY264">
        <f ca="1">IF(FP264&gt;800000,FP264-800000-FQ264-FU264-FW264,0)</f>
        <v>0</v>
      </c>
      <c r="FZ264">
        <f ca="1">FY264*0.1</f>
        <v>0</v>
      </c>
      <c r="GA264">
        <f ca="1">IF(FP264&gt;400000,FP264-400000-FQ264-FU264-FW264-FY264,0)</f>
        <v>0</v>
      </c>
      <c r="GB264">
        <f ca="1">GA264*0.05</f>
        <v>0</v>
      </c>
      <c r="GC264">
        <f ca="1">ROUND(FR264+FT264+FV264+FX264+FZ264+GB264,0)</f>
        <v>0</v>
      </c>
      <c r="GD264">
        <f ca="1">IF(FP264&gt;1200000,FP264,0)</f>
        <v>0</v>
      </c>
      <c r="GE264">
        <f ca="1">IF(FP264&gt;1200000,GD264-1200000,0)</f>
        <v>0</v>
      </c>
      <c r="GF264">
        <f ca="1">IF(FP264&lt;1200001,MIN(GC264,60000),0)</f>
        <v>0</v>
      </c>
      <c r="GG264">
        <f ca="1">IF(FP264&gt;1200000,GC264-GE264,0)</f>
        <v>0</v>
      </c>
      <c r="GH264" t="b">
        <f ca="1">IF(GG264&gt;0,TRUE,FALSE)</f>
        <v>0</v>
      </c>
      <c r="GI264">
        <f ca="1">IF(GH264,GG264,0)</f>
        <v>0</v>
      </c>
      <c r="GJ264">
        <f ca="1">GF264+GI264</f>
        <v>0</v>
      </c>
      <c r="GK264">
        <f ca="1">ROUND(GC264-GJ264,0)</f>
        <v>0</v>
      </c>
      <c r="GL264">
        <f ca="1">GK264*0.04</f>
        <v>0</v>
      </c>
      <c r="GM264">
        <f ca="1">ROUNDUP(GK264+GL264,0)</f>
        <v>0</v>
      </c>
    </row>
    <row r="265" spans="1:195" x14ac:dyDescent="0.25">
      <c r="A265">
        <f>_xlfn.AGGREGATE(3,5,$B$2:B265)</f>
        <v>264</v>
      </c>
      <c r="B265" t="s">
        <v>637</v>
      </c>
      <c r="C265" t="s">
        <v>638</v>
      </c>
      <c r="D265" t="s">
        <v>821</v>
      </c>
      <c r="E265" t="s">
        <v>833</v>
      </c>
      <c r="F265" t="s">
        <v>959</v>
      </c>
      <c r="G265" t="s">
        <v>878</v>
      </c>
      <c r="H265">
        <f>IF(_xlfn.DAYS("31-03-2025",G265)&gt;=180,6800,0)</f>
        <v>6800</v>
      </c>
      <c r="I265">
        <f>_xlfn.XLOOKUP(B265,'[1]march-2025'!$A:$A,'[1]march-2025'!$J:$J,0,0)</f>
        <v>0</v>
      </c>
      <c r="J265">
        <f>_xlfn.XLOOKUP(B265,'[1]march-2025'!$A:$A,'[1]march-2025'!$C:$C,0,0)</f>
        <v>47300</v>
      </c>
      <c r="K265">
        <f>J265*0.14</f>
        <v>6622.0000000000009</v>
      </c>
      <c r="L265">
        <f>J265*0.12</f>
        <v>5676</v>
      </c>
      <c r="M265">
        <f>_xlfn.XLOOKUP(B265,'[1]march-2025'!$A:$A,'[1]march-2025'!$D:$D,0,0)</f>
        <v>400</v>
      </c>
      <c r="N265">
        <f>_xlfn.XLOOKUP(B265,'[1]march-2025'!$A:$A,'[1]march-2025'!$G:$G,0,0)</f>
        <v>500</v>
      </c>
      <c r="O265">
        <f>IF(J265&gt;0,SUM(J265:N265),0)</f>
        <v>60498</v>
      </c>
      <c r="P265">
        <f>_xlfn.XLOOKUP(B265,'[1]march-2025'!$A:$A,'[1]march-2025'!$H:$H,0,0)</f>
        <v>4000</v>
      </c>
      <c r="Q265">
        <f>_xlfn.XLOOKUP(B265,'[1]march-2025'!$A:$A,'[1]march-2025'!$I:$I,0,0)</f>
        <v>60</v>
      </c>
      <c r="R265">
        <f>IF($F265="YES",0,IF(O265&gt;40000,200,IF(O265&gt;25000,150,IF(O265&gt;15000,130,IF(O265&gt;10000,110,0)))))</f>
        <v>200</v>
      </c>
      <c r="S265">
        <f>O265-P265-Q265-R265</f>
        <v>56238</v>
      </c>
      <c r="T265">
        <f>_xlfn.XLOOKUP(B265,'[2]april-2025'!$A:$A,'[2]april-2025'!$C:$C,0,0)</f>
        <v>47300</v>
      </c>
      <c r="U265">
        <f>T265*0.18</f>
        <v>8514</v>
      </c>
      <c r="V265">
        <f>T265*0.12</f>
        <v>5676</v>
      </c>
      <c r="W265">
        <f>_xlfn.XLOOKUP(B265,'[2]april-2025'!$A:$A,'[2]april-2025'!$D:$D,0,0)</f>
        <v>400</v>
      </c>
      <c r="X265">
        <f>_xlfn.XLOOKUP(B265,'[2]april-2025'!$A:$A,'[2]april-2025'!$G:$G,0,0)</f>
        <v>500</v>
      </c>
      <c r="Y265">
        <f>IF(T265&gt;0,SUM(T265:X265),0)</f>
        <v>62390</v>
      </c>
      <c r="Z265">
        <f>_xlfn.XLOOKUP(B265,'[2]april-2025'!$A:$A,'[2]april-2025'!$H:$H,0,0)</f>
        <v>4000</v>
      </c>
      <c r="AA265">
        <f>_xlfn.XLOOKUP(B265,'[2]april-2025'!$A:$A,'[2]april-2025'!$I:$I,0,0)</f>
        <v>60</v>
      </c>
      <c r="AB265">
        <f>IF($F265="YES",0,IF(Y265&gt;40000,200,IF(Y265&gt;25000,150,IF(Y265&gt;15000,130,IF(Y265&gt;10000,110,0)))))</f>
        <v>200</v>
      </c>
      <c r="AC265">
        <f>Y265-Z265-AA265-AB265</f>
        <v>58130</v>
      </c>
      <c r="AD265">
        <f>_xlfn.XLOOKUP(B265,'[3]may-2025'!$A:$A,'[3]may-2025'!$C:$C,0,0)</f>
        <v>47300</v>
      </c>
      <c r="AE265">
        <f>AD265*0.18</f>
        <v>8514</v>
      </c>
      <c r="AF265">
        <f>AD265*0.12</f>
        <v>5676</v>
      </c>
      <c r="AG265">
        <f>_xlfn.XLOOKUP(B265,'[3]may-2025'!$A:$A,'[3]may-2025'!$D:$D,0,0)</f>
        <v>400</v>
      </c>
      <c r="AH265">
        <f>_xlfn.XLOOKUP(B265,'[3]may-2025'!$A:$A,'[3]may-2025'!$G:$G,0,0)</f>
        <v>500</v>
      </c>
      <c r="AI265">
        <f>IF(AD265&gt;0,SUM(AD265:AH265),0)</f>
        <v>62390</v>
      </c>
      <c r="AJ265">
        <f>_xlfn.XLOOKUP(B265,'[3]may-2025'!$A:$A,'[3]may-2025'!$H:$H,0,0)</f>
        <v>4000</v>
      </c>
      <c r="AK265">
        <f>_xlfn.XLOOKUP(B265,'[3]may-2025'!$A:$A,'[3]may-2025'!$I:$I,0,0)</f>
        <v>60</v>
      </c>
      <c r="AL265">
        <f>IF($F265="YES",0,IF(AI265&gt;40000,200,IF(AI265&gt;25000,150,IF(AI265&gt;15000,130,IF(AI265&gt;10000,110,0)))))</f>
        <v>200</v>
      </c>
      <c r="AM265">
        <f>AI265-AJ265-AK265-AL265</f>
        <v>58130</v>
      </c>
      <c r="AN265">
        <f>_xlfn.XLOOKUP(B265,'[4]june-2025'!$A:$A,'[4]june-2025'!$C:$C,0,0)</f>
        <v>47300</v>
      </c>
      <c r="AO265">
        <f>AN265*0.18</f>
        <v>8514</v>
      </c>
      <c r="AP265">
        <f>AN265*0.12</f>
        <v>5676</v>
      </c>
      <c r="AQ265">
        <f>_xlfn.XLOOKUP(B265,'[4]june-2025'!$A:$A,'[4]june-2025'!$D:$D,0,0)</f>
        <v>400</v>
      </c>
      <c r="AR265">
        <f>_xlfn.XLOOKUP(B265,'[4]june-2025'!$A:$A,'[4]june-2025'!$G:$G,0,0)</f>
        <v>500</v>
      </c>
      <c r="AS265">
        <f>IF(AN265&gt;0,SUM(AN265:AR265),0)</f>
        <v>62390</v>
      </c>
      <c r="AT265">
        <f>_xlfn.XLOOKUP(B265,'[4]june-2025'!$A:$A,'[4]june-2025'!$H:$H,0,0)</f>
        <v>4000</v>
      </c>
      <c r="AU265">
        <f>_xlfn.XLOOKUP(B265,'[4]june-2025'!$A:$A,'[4]june-2025'!$I:$I,0,0)</f>
        <v>60</v>
      </c>
      <c r="AV265">
        <f>IF($F265="YES",0,IF(AS265&gt;40000,200,IF(AS265&gt;25000,150,IF(AS265&gt;15000,130,IF(AS265&gt;10000,110,0)))))</f>
        <v>200</v>
      </c>
      <c r="AW265">
        <f>AS265-AT265-AU265-AV265</f>
        <v>58130</v>
      </c>
      <c r="AX265">
        <f>_xlfn.XLOOKUP(B265,'[5]july-2025'!$A:$A,'[5]july-2025'!$C:$C,0,0)</f>
        <v>48700</v>
      </c>
      <c r="AY265">
        <f>AX265*0.18</f>
        <v>8766</v>
      </c>
      <c r="AZ265">
        <v>0</v>
      </c>
      <c r="BA265">
        <f>AX265*0.12</f>
        <v>5844</v>
      </c>
      <c r="BB265">
        <f>_xlfn.XLOOKUP(B265,'[5]july-2025'!$A:$A,'[5]july-2025'!$D:$D,0,0)</f>
        <v>400</v>
      </c>
      <c r="BC265">
        <f>_xlfn.XLOOKUP(B265,'[5]july-2025'!$A:$A,'[5]july-2025'!$G:$G,0,0)</f>
        <v>500</v>
      </c>
      <c r="BD265">
        <f>IF(AX265&gt;0,SUM(AX265:BC265),0)</f>
        <v>64210</v>
      </c>
      <c r="BE265">
        <f>_xlfn.XLOOKUP(B265,'[5]july-2025'!$A:$A,'[5]july-2025'!$H:$H,0,0)</f>
        <v>4000</v>
      </c>
      <c r="BF265">
        <f>_xlfn.XLOOKUP(B265,'[5]july-2025'!$A:$A,'[5]july-2025'!$I:$I,0,0)</f>
        <v>60</v>
      </c>
      <c r="BG265">
        <f>IF($F265="YES",0,IF(BD265&gt;40000,200,IF(BD265&gt;25000,150,IF(BD265&gt;15000,130,IF(BD265&gt;10000,110,0)))))</f>
        <v>200</v>
      </c>
      <c r="BH265">
        <f>BD265-BE265-BF265-BG265</f>
        <v>59950</v>
      </c>
      <c r="BI265">
        <f>_xlfn.XLOOKUP(B265,'[6]august-2025'!$A:$A,'[6]august-2025'!$C:$C,0,0)</f>
        <v>48700</v>
      </c>
      <c r="BJ265">
        <f>BI265*0.18</f>
        <v>8766</v>
      </c>
      <c r="BK265">
        <f>BI265*0.12</f>
        <v>5844</v>
      </c>
      <c r="BL265">
        <f>_xlfn.XLOOKUP(B265,'[6]august-2025'!$A:$A,'[6]august-2025'!$D:$D,0,0)</f>
        <v>400</v>
      </c>
      <c r="BM265">
        <f>_xlfn.XLOOKUP(B265,'[6]august-2025'!$A:$A,'[6]august-2025'!$G:$G,0,0)</f>
        <v>500</v>
      </c>
      <c r="BN265">
        <f>IF(BI265&gt;0,SUM(BI265:BM265),0)</f>
        <v>64210</v>
      </c>
      <c r="BO265">
        <f>_xlfn.XLOOKUP(B265,'[6]august-2025'!$A:$A,'[6]august-2025'!$H:$H,0,0)</f>
        <v>4000</v>
      </c>
      <c r="BP265">
        <f>_xlfn.XLOOKUP(B265,'[6]august-2025'!$A:$A,'[6]august-2025'!$I:$I,0,0)</f>
        <v>60</v>
      </c>
      <c r="BQ265">
        <f>IF($F265="YES",0,IF(BN265&gt;40000,200,IF(BN265&gt;25000,150,IF(BN265&gt;15000,130,IF(BN265&gt;10000,110,0)))))</f>
        <v>200</v>
      </c>
      <c r="BR265">
        <f>BN265-BO265-BP265-BQ265</f>
        <v>59950</v>
      </c>
      <c r="BS265">
        <f>_xlfn.XLOOKUP(B265,'[7]september-2025'!$A:$A,'[7]september-2025'!$C:$C,0,0)</f>
        <v>48700</v>
      </c>
      <c r="BT265">
        <f>BS265*0.18</f>
        <v>8766</v>
      </c>
      <c r="BU265">
        <f>BS265*0.12</f>
        <v>5844</v>
      </c>
      <c r="BV265">
        <f>_xlfn.XLOOKUP(B265,'[7]september-2025'!$A:$A,'[7]september-2025'!$D:$D,0,0)</f>
        <v>400</v>
      </c>
      <c r="BW265">
        <f>_xlfn.XLOOKUP(B265,'[7]september-2025'!$A:$A,'[7]september-2025'!$G:$G,0,0)</f>
        <v>500</v>
      </c>
      <c r="BX265">
        <f>IF(BS265&gt;0,SUM(BS265:BW265),0)</f>
        <v>64210</v>
      </c>
      <c r="BY265">
        <f>_xlfn.XLOOKUP(B265,'[7]september-2025'!$A:$A,'[7]september-2025'!$H:$H,0,0)</f>
        <v>4000</v>
      </c>
      <c r="BZ265">
        <f>_xlfn.XLOOKUP(B265,'[7]september-2025'!$A:$A,'[7]september-2025'!$I:$I,0,0)</f>
        <v>60</v>
      </c>
      <c r="CA265">
        <f>IF($F265="YES",0,IF(BX265&gt;40000,200,IF(BX265&gt;25000,150,IF(BX265&gt;15000,130,IF(BX265&gt;10000,110,0)))))</f>
        <v>200</v>
      </c>
      <c r="CB265">
        <f>BX265-BY265-BZ265-CA265</f>
        <v>59950</v>
      </c>
      <c r="CC265">
        <f>_xlfn.XLOOKUP(B265,'[8]october-2025'!$A:$A,'[8]october-2025'!$C:$C,0,0)</f>
        <v>48700</v>
      </c>
      <c r="CD265">
        <f>CC265*0.18</f>
        <v>8766</v>
      </c>
      <c r="CE265">
        <f>CC265*0.12</f>
        <v>5844</v>
      </c>
      <c r="CF265">
        <f>_xlfn.XLOOKUP(B265,'[8]october-2025'!$A:$A,'[8]october-2025'!$D:$D,0,0)</f>
        <v>400</v>
      </c>
      <c r="CG265">
        <f>_xlfn.XLOOKUP(B265,'[8]october-2025'!$A:$A,'[8]october-2025'!$G:$G,0,0)</f>
        <v>500</v>
      </c>
      <c r="CH265">
        <f>IF(CC265&gt;0,SUM(CC265:CG265),0)</f>
        <v>64210</v>
      </c>
      <c r="CI265">
        <f>_xlfn.XLOOKUP(B265,'[8]october-2025'!$A:$A,'[8]october-2025'!$H:$H,0,0)</f>
        <v>4000</v>
      </c>
      <c r="CJ265">
        <f>_xlfn.XLOOKUP(B265,'[8]october-2025'!$A:$A,'[8]october-2025'!$I:$I,0,0)</f>
        <v>60</v>
      </c>
      <c r="CK265">
        <f>IF($F265="YES",0,IF(CH265&gt;40000,200,IF(CH265&gt;25000,150,IF(CH265&gt;15000,130,IF(CH265&gt;10000,110,0)))))</f>
        <v>200</v>
      </c>
      <c r="CL265">
        <f>CH265-CI265-CJ265-CK265</f>
        <v>59950</v>
      </c>
      <c r="CM265">
        <f>_xlfn.XLOOKUP(B265,'[9]november-2025'!$A:$A,'[9]november-2025'!$C:$C,0,0)</f>
        <v>48700</v>
      </c>
      <c r="CN265">
        <f>CM265*0.18</f>
        <v>8766</v>
      </c>
      <c r="CO265">
        <f>CM265*0.12</f>
        <v>5844</v>
      </c>
      <c r="CP265">
        <f>_xlfn.XLOOKUP(B265,'[9]november-2025'!$A:$A,'[9]november-2025'!$D:$D,0,0)</f>
        <v>400</v>
      </c>
      <c r="CQ265">
        <f>_xlfn.XLOOKUP(B265,'[9]november-2025'!$A:$A,'[9]november-2025'!$G:$G,0,0)</f>
        <v>500</v>
      </c>
      <c r="CR265">
        <f>IF(CM265&gt;0,SUM(CM265:CQ265),0)</f>
        <v>64210</v>
      </c>
      <c r="CS265">
        <f>_xlfn.XLOOKUP(B265,'[9]november-2025'!$A:$A,'[9]november-2025'!$H:$H,0,0)</f>
        <v>4000</v>
      </c>
      <c r="CT265">
        <f>_xlfn.XLOOKUP(B265,'[9]november-2025'!$A:$A,'[9]november-2025'!$I:$I,0,0)</f>
        <v>60</v>
      </c>
      <c r="CU265">
        <f>IF($F265="YES",0,IF(CR265&gt;40000,200,IF(CR265&gt;25000,150,IF(CR265&gt;15000,130,IF(CR265&gt;10000,110,0)))))</f>
        <v>200</v>
      </c>
      <c r="CV265">
        <f>CR265-CS265-CT265-CU265</f>
        <v>59950</v>
      </c>
      <c r="CW265">
        <f>_xlfn.XLOOKUP(B265,'[10]december-2025'!$A:$A,'[10]december-2025'!$C:$C,0,0)</f>
        <v>48700</v>
      </c>
      <c r="CX265">
        <f>ROUND(CW265*0.18,0)</f>
        <v>8766</v>
      </c>
      <c r="CY265">
        <f>ROUND(CW265*0.12,0)</f>
        <v>5844</v>
      </c>
      <c r="CZ265">
        <f>_xlfn.XLOOKUP(B265,'[10]december-2025'!$A:$A,'[10]december-2025'!$D:$D,0,0)</f>
        <v>400</v>
      </c>
      <c r="DA265">
        <f>_xlfn.XLOOKUP(B265,'[10]december-2025'!$A:$A,'[10]december-2025'!$G:$G,0,0)</f>
        <v>500</v>
      </c>
      <c r="DB265">
        <f>IF(CW265&gt;0,SUM(CW265:DA265),0)</f>
        <v>64210</v>
      </c>
      <c r="DC265">
        <f>_xlfn.XLOOKUP(B265,'[10]december-2025'!$A:$A,'[10]december-2025'!$H:$H,0,0)</f>
        <v>4000</v>
      </c>
      <c r="DD265">
        <f>_xlfn.XLOOKUP(B265,'[10]december-2025'!$A:$A,'[10]december-2025'!$I:$I,0,0)</f>
        <v>60</v>
      </c>
      <c r="DE265">
        <f>IF($F265="YES",0,IF(DB265&gt;40000,200,IF(DB265&gt;25000,150,IF(DB265&gt;15000,130,IF(DB265&gt;10000,110,0)))))</f>
        <v>200</v>
      </c>
      <c r="DF265">
        <f>DB265-DC265-DD265-DE265</f>
        <v>59950</v>
      </c>
      <c r="DG265">
        <f>_xlfn.XLOOKUP(B265,'[11]january-2026'!$A:$A,'[11]january-2026'!$C:$C,0,0)</f>
        <v>48700</v>
      </c>
      <c r="DH265">
        <f>DG265*0.18</f>
        <v>8766</v>
      </c>
      <c r="DI265">
        <f>DG265*0.12</f>
        <v>5844</v>
      </c>
      <c r="DJ265">
        <f>_xlfn.XLOOKUP(B265,'[11]january-2026'!$A:$A,'[11]january-2026'!$D:$D,0,0)</f>
        <v>400</v>
      </c>
      <c r="DK265">
        <f>_xlfn.XLOOKUP(B265,'[11]january-2026'!$A:$A,'[11]january-2026'!$G:$G,0,0)</f>
        <v>500</v>
      </c>
      <c r="DL265">
        <f>IF(DG265&gt;0,SUM(DG265:DK265),0)</f>
        <v>64210</v>
      </c>
      <c r="DM265">
        <f>_xlfn.XLOOKUP(B265,'[11]january-2026'!$A:$A,'[11]january-2026'!$H:$H,0,0)</f>
        <v>4000</v>
      </c>
      <c r="DN265">
        <f>_xlfn.XLOOKUP(B265,'[11]january-2026'!$A:$A,'[11]january-2026'!$I:$I,0,0)</f>
        <v>60</v>
      </c>
      <c r="DO265">
        <f>IF($F265="YES",0,IF(DL265&gt;40000,200,IF(DL265&gt;25000,150,IF(DL265&gt;15000,130,IF(DL265&gt;10000,110,0)))))</f>
        <v>200</v>
      </c>
      <c r="DP265">
        <f>DL265-DM265-DN265-DO265</f>
        <v>59950</v>
      </c>
      <c r="DQ265">
        <f>_xlfn.XLOOKUP(B265,'[12]february-2026'!$A:$A,'[12]february-2026'!$C:$C,0,0)</f>
        <v>48700</v>
      </c>
      <c r="DR265">
        <f>DQ265*0.18</f>
        <v>8766</v>
      </c>
      <c r="DS265">
        <f>DQ265*0.12</f>
        <v>5844</v>
      </c>
      <c r="DT265">
        <f>_xlfn.XLOOKUP(B265,'[12]february-2026'!$A:$A,'[12]february-2026'!$D:$D,0,0)</f>
        <v>400</v>
      </c>
      <c r="DU265">
        <f>_xlfn.XLOOKUP(B265,'[12]february-2026'!$A:$A,'[12]february-2026'!$G:$G,0,0)</f>
        <v>500</v>
      </c>
      <c r="DV265">
        <f>IF(DQ265&gt;0,SUM(DQ265:DU265),0)</f>
        <v>64210</v>
      </c>
      <c r="DW265">
        <f>_xlfn.XLOOKUP(B265,'[12]february-2026'!$A:$A,'[12]february-2026'!$H:$H,0,0)</f>
        <v>4000</v>
      </c>
      <c r="DX265">
        <f>_xlfn.XLOOKUP(B265,'[12]february-2026'!$A:$A,'[12]february-2026'!$I:$I,0,0)</f>
        <v>60</v>
      </c>
      <c r="DY265">
        <f>IF($F265="YES",0,IF(DV265&gt;40000,200,IF(DV265&gt;25000,150,IF(DV265&gt;15000,130,IF(DV265&gt;10000,110,0)))))</f>
        <v>200</v>
      </c>
      <c r="DZ265">
        <f>DV265-DW265-DX265-DY265</f>
        <v>59950</v>
      </c>
      <c r="EA265">
        <f>DV265+DL265+DB265+CR265+CH265+BX265+BN265+BD265+AS265+AI265+Y265+O265+H265+I265</f>
        <v>768148</v>
      </c>
      <c r="EB265">
        <f>DY265+DO265+DE265+CU265+CK265+CA265+BQ265+BG265+AV265+AL265+AB265+R265</f>
        <v>2400</v>
      </c>
      <c r="EC265">
        <f>IF(EA265&gt;0,50000,0)</f>
        <v>50000</v>
      </c>
      <c r="ED265">
        <v>0</v>
      </c>
      <c r="EE265">
        <f>EA265-EB265-EC265</f>
        <v>715748</v>
      </c>
      <c r="EF265">
        <f>DW265+DM265+DC265+CS265+CI265+BY265+BO265+BE265+AT265+AJ265+Z265+P265</f>
        <v>48000</v>
      </c>
      <c r="EG265">
        <f>DX265+DN265+DD265+CT265+CJ265+BZ265+BP265+BF265+AU265+AK265+AA265+Q265</f>
        <v>720</v>
      </c>
      <c r="EH265">
        <v>0</v>
      </c>
      <c r="EI265">
        <v>0</v>
      </c>
      <c r="EJ265">
        <v>0</v>
      </c>
      <c r="EK265">
        <v>0</v>
      </c>
      <c r="EL265">
        <v>0</v>
      </c>
      <c r="EM265">
        <v>0</v>
      </c>
      <c r="EN265">
        <v>0</v>
      </c>
      <c r="EO265">
        <v>0</v>
      </c>
      <c r="EP265">
        <v>0</v>
      </c>
      <c r="EQ265">
        <v>0</v>
      </c>
      <c r="ER265">
        <f>SUM(EF265:EQ265)</f>
        <v>48720</v>
      </c>
      <c r="ES265">
        <f>IF(ER265&gt;=150000,150000,ER265)</f>
        <v>48720</v>
      </c>
      <c r="ET265">
        <f>EE265-ES265</f>
        <v>667028</v>
      </c>
      <c r="EU265">
        <v>0</v>
      </c>
      <c r="EV265">
        <v>0</v>
      </c>
      <c r="EW265">
        <v>0</v>
      </c>
      <c r="EX265">
        <v>0</v>
      </c>
      <c r="EY265">
        <v>0</v>
      </c>
      <c r="EZ265">
        <v>0</v>
      </c>
      <c r="FA265">
        <v>0</v>
      </c>
      <c r="FB265">
        <f>SUM(EU265:FA265)+(IF(F265="YES",50000,0))</f>
        <v>0</v>
      </c>
      <c r="FC265">
        <f>ET265-FB265</f>
        <v>667028</v>
      </c>
      <c r="FD265">
        <f>ROUND(IF(FC265&gt;0,IF(FC265&gt;500000,12500,(FC265-250000)*0.05),0),0)</f>
        <v>12500</v>
      </c>
      <c r="FE265">
        <f>IF(ROUND(IF(FC265&gt;0,IF(FC265&gt;1000000,25000,(FC265-500000)*0.2),0),0)&lt;0,0,ROUND(IF(FC265&gt;0,IF(FC265&gt;1000000,25000,(FC265-500000)*0.2),0),0))</f>
        <v>33406</v>
      </c>
      <c r="FF265">
        <f>FD265+FE265</f>
        <v>45906</v>
      </c>
      <c r="FG265">
        <f>IF(FF265&lt;12500,0,FF265)</f>
        <v>45906</v>
      </c>
      <c r="FH265">
        <f>FG265*0.04</f>
        <v>1836.24</v>
      </c>
      <c r="FI265">
        <f>ROUND(FH265+FG265,0)</f>
        <v>47742</v>
      </c>
      <c r="FJ265">
        <v>0</v>
      </c>
      <c r="FK265">
        <f>FI265-FJ265</f>
        <v>47742</v>
      </c>
      <c r="FL265" t="b">
        <f>IF(EA265&gt;500000,TRUE,FALSE)</f>
        <v>1</v>
      </c>
      <c r="FM265">
        <f ca="1">IF(FL265,RANDBETWEEN(500,1000),RANDBETWEEN(1000,3000))</f>
        <v>690</v>
      </c>
      <c r="FN265">
        <f ca="1">EA265+FM265</f>
        <v>768838</v>
      </c>
      <c r="FO265">
        <f>IF(EA265&gt;0,75000,0)</f>
        <v>75000</v>
      </c>
      <c r="FP265">
        <f ca="1">FN265-FO265</f>
        <v>693838</v>
      </c>
      <c r="FQ265">
        <f ca="1">IF(FP265&gt;2400000,FP265-2400000,0)</f>
        <v>0</v>
      </c>
      <c r="FR265">
        <f ca="1">FQ265*0.3</f>
        <v>0</v>
      </c>
      <c r="FS265">
        <f ca="1">IF(FP265&gt;2000000,FP265-2000000,0)</f>
        <v>0</v>
      </c>
      <c r="FT265">
        <f ca="1">FS265*0.25</f>
        <v>0</v>
      </c>
      <c r="FU265">
        <f ca="1">IF(FP265&gt;1600000,FP265-1600000-FQ265,0)</f>
        <v>0</v>
      </c>
      <c r="FV265">
        <f ca="1">FU265*0.2</f>
        <v>0</v>
      </c>
      <c r="FW265">
        <f ca="1">IF(FP265&gt;1200000,FP265-1200000-IF(F265="YES",50000,0)-FU265,0)</f>
        <v>0</v>
      </c>
      <c r="FX265">
        <f ca="1">FW265*0.15</f>
        <v>0</v>
      </c>
      <c r="FY265">
        <f ca="1">IF(FP265&gt;800000,FP265-800000-FQ265-FU265-FW265,0)</f>
        <v>0</v>
      </c>
      <c r="FZ265">
        <f ca="1">FY265*0.1</f>
        <v>0</v>
      </c>
      <c r="GA265">
        <f ca="1">IF(FP265&gt;400000,FP265-400000-FQ265-FU265-FW265-FY265,0)</f>
        <v>293838</v>
      </c>
      <c r="GB265">
        <f ca="1">GA265*0.05</f>
        <v>14691.900000000001</v>
      </c>
      <c r="GC265">
        <f ca="1">ROUND(FR265+FT265+FV265+FX265+FZ265+GB265,0)</f>
        <v>14692</v>
      </c>
      <c r="GD265">
        <f ca="1">IF(FP265&gt;1200000,FP265,0)</f>
        <v>0</v>
      </c>
      <c r="GE265">
        <f ca="1">IF(FP265&gt;1200000,GD265-1200000,0)</f>
        <v>0</v>
      </c>
      <c r="GF265">
        <f ca="1">IF(FP265&lt;1200001,MIN(GC265,60000),0)</f>
        <v>14692</v>
      </c>
      <c r="GG265">
        <f ca="1">IF(FP265&gt;1200000,GC265-GE265,0)</f>
        <v>0</v>
      </c>
      <c r="GH265" t="b">
        <f ca="1">IF(GG265&gt;0,TRUE,FALSE)</f>
        <v>0</v>
      </c>
      <c r="GI265">
        <f ca="1">IF(GH265,GG265,0)</f>
        <v>0</v>
      </c>
      <c r="GJ265">
        <f ca="1">GF265+GI265</f>
        <v>14692</v>
      </c>
      <c r="GK265">
        <f ca="1">ROUND(GC265-GJ265,0)</f>
        <v>0</v>
      </c>
      <c r="GL265">
        <f ca="1">GK265*0.04</f>
        <v>0</v>
      </c>
      <c r="GM265">
        <f ca="1">ROUNDUP(GK265+GL265,0)</f>
        <v>0</v>
      </c>
    </row>
    <row r="266" spans="1:195" x14ac:dyDescent="0.25">
      <c r="A266">
        <f>_xlfn.AGGREGATE(3,5,$B$2:B266)</f>
        <v>265</v>
      </c>
      <c r="B266" t="s">
        <v>639</v>
      </c>
      <c r="C266" t="s">
        <v>640</v>
      </c>
      <c r="D266" t="s">
        <v>821</v>
      </c>
      <c r="E266" t="s">
        <v>833</v>
      </c>
      <c r="F266" t="s">
        <v>959</v>
      </c>
      <c r="G266" t="s">
        <v>884</v>
      </c>
      <c r="H266">
        <f>IF(_xlfn.DAYS("31-03-2025",G266)&gt;=180,6800,0)</f>
        <v>6800</v>
      </c>
      <c r="I266">
        <f>_xlfn.XLOOKUP(B266,'[1]march-2025'!$A:$A,'[1]march-2025'!$J:$J,0,0)</f>
        <v>0</v>
      </c>
      <c r="J266">
        <f>_xlfn.XLOOKUP(B266,'[1]march-2025'!$A:$A,'[1]march-2025'!$C:$C,0,0)</f>
        <v>27000</v>
      </c>
      <c r="K266">
        <f>J266*0.14</f>
        <v>3780.0000000000005</v>
      </c>
      <c r="L266">
        <f>J266*0.12</f>
        <v>3240</v>
      </c>
      <c r="M266">
        <f>_xlfn.XLOOKUP(B266,'[1]march-2025'!$A:$A,'[1]march-2025'!$D:$D,0,0)</f>
        <v>0</v>
      </c>
      <c r="N266">
        <f>_xlfn.XLOOKUP(B266,'[1]march-2025'!$A:$A,'[1]march-2025'!$G:$G,0,0)</f>
        <v>500</v>
      </c>
      <c r="O266">
        <f>IF(J266&gt;0,SUM(J266:N266),0)</f>
        <v>34520</v>
      </c>
      <c r="P266">
        <f>_xlfn.XLOOKUP(B266,'[1]march-2025'!$A:$A,'[1]march-2025'!$H:$H,0,0)</f>
        <v>2000</v>
      </c>
      <c r="Q266">
        <f>_xlfn.XLOOKUP(B266,'[1]march-2025'!$A:$A,'[1]march-2025'!$I:$I,0,0)</f>
        <v>0</v>
      </c>
      <c r="R266">
        <f>IF($F266="YES",0,IF(O266&gt;40000,200,IF(O266&gt;25000,150,IF(O266&gt;15000,130,IF(O266&gt;10000,110,0)))))</f>
        <v>150</v>
      </c>
      <c r="S266">
        <f>O266-P266-Q266-R266</f>
        <v>32370</v>
      </c>
      <c r="T266">
        <f>_xlfn.XLOOKUP(B266,'[2]april-2025'!$A:$A,'[2]april-2025'!$C:$C,0,0)</f>
        <v>27000</v>
      </c>
      <c r="U266">
        <f>T266*0.18</f>
        <v>4860</v>
      </c>
      <c r="V266">
        <f>T266*0.12</f>
        <v>3240</v>
      </c>
      <c r="W266">
        <f>_xlfn.XLOOKUP(B266,'[2]april-2025'!$A:$A,'[2]april-2025'!$D:$D,0,0)</f>
        <v>0</v>
      </c>
      <c r="X266">
        <f>_xlfn.XLOOKUP(B266,'[2]april-2025'!$A:$A,'[2]april-2025'!$G:$G,0,0)</f>
        <v>500</v>
      </c>
      <c r="Y266">
        <f>IF(T266&gt;0,SUM(T266:X266),0)</f>
        <v>35600</v>
      </c>
      <c r="Z266">
        <f>_xlfn.XLOOKUP(B266,'[2]april-2025'!$A:$A,'[2]april-2025'!$H:$H,0,0)</f>
        <v>2000</v>
      </c>
      <c r="AA266">
        <f>_xlfn.XLOOKUP(B266,'[2]april-2025'!$A:$A,'[2]april-2025'!$I:$I,0,0)</f>
        <v>0</v>
      </c>
      <c r="AB266">
        <f>IF($F266="YES",0,IF(Y266&gt;40000,200,IF(Y266&gt;25000,150,IF(Y266&gt;15000,130,IF(Y266&gt;10000,110,0)))))</f>
        <v>150</v>
      </c>
      <c r="AC266">
        <f>Y266-Z266-AA266-AB266</f>
        <v>33450</v>
      </c>
      <c r="AD266">
        <f>_xlfn.XLOOKUP(B266,'[3]may-2025'!$A:$A,'[3]may-2025'!$C:$C,0,0)</f>
        <v>31600</v>
      </c>
      <c r="AE266">
        <f>AD266*0.18</f>
        <v>5688</v>
      </c>
      <c r="AF266">
        <f>AD266*0.12</f>
        <v>3792</v>
      </c>
      <c r="AG266">
        <f>_xlfn.XLOOKUP(B266,'[3]may-2025'!$A:$A,'[3]may-2025'!$D:$D,0,0)</f>
        <v>0</v>
      </c>
      <c r="AH266">
        <f>_xlfn.XLOOKUP(B266,'[3]may-2025'!$A:$A,'[3]may-2025'!$G:$G,0,0)</f>
        <v>500</v>
      </c>
      <c r="AI266">
        <f>IF(AD266&gt;0,SUM(AD266:AH266),0)</f>
        <v>41580</v>
      </c>
      <c r="AJ266">
        <f>_xlfn.XLOOKUP(B266,'[3]may-2025'!$A:$A,'[3]may-2025'!$H:$H,0,0)</f>
        <v>2000</v>
      </c>
      <c r="AK266">
        <f>_xlfn.XLOOKUP(B266,'[3]may-2025'!$A:$A,'[3]may-2025'!$I:$I,0,0)</f>
        <v>0</v>
      </c>
      <c r="AL266">
        <f>IF($F266="YES",0,IF(AI266&gt;40000,200,IF(AI266&gt;25000,150,IF(AI266&gt;15000,130,IF(AI266&gt;10000,110,0)))))</f>
        <v>200</v>
      </c>
      <c r="AM266">
        <f>AI266-AJ266-AK266-AL266</f>
        <v>39380</v>
      </c>
      <c r="AN266">
        <f>_xlfn.XLOOKUP(B266,'[4]june-2025'!$A:$A,'[4]june-2025'!$C:$C,0,0)</f>
        <v>31600</v>
      </c>
      <c r="AO266">
        <f>AN266*0.18</f>
        <v>5688</v>
      </c>
      <c r="AP266">
        <f>AN266*0.12</f>
        <v>3792</v>
      </c>
      <c r="AQ266">
        <f>_xlfn.XLOOKUP(B266,'[4]june-2025'!$A:$A,'[4]june-2025'!$D:$D,0,0)</f>
        <v>0</v>
      </c>
      <c r="AR266">
        <f>_xlfn.XLOOKUP(B266,'[4]june-2025'!$A:$A,'[4]june-2025'!$G:$G,0,0)</f>
        <v>500</v>
      </c>
      <c r="AS266">
        <f>IF(AN266&gt;0,SUM(AN266:AR266),0)</f>
        <v>41580</v>
      </c>
      <c r="AT266">
        <f>_xlfn.XLOOKUP(B266,'[4]june-2025'!$A:$A,'[4]june-2025'!$H:$H,0,0)</f>
        <v>2000</v>
      </c>
      <c r="AU266">
        <f>_xlfn.XLOOKUP(B266,'[4]june-2025'!$A:$A,'[4]june-2025'!$I:$I,0,0)</f>
        <v>0</v>
      </c>
      <c r="AV266">
        <f>IF($F266="YES",0,IF(AS266&gt;40000,200,IF(AS266&gt;25000,150,IF(AS266&gt;15000,130,IF(AS266&gt;10000,110,0)))))</f>
        <v>200</v>
      </c>
      <c r="AW266">
        <f>AS266-AT266-AU266-AV266</f>
        <v>39380</v>
      </c>
      <c r="AX266">
        <f>_xlfn.XLOOKUP(B266,'[5]july-2025'!$A:$A,'[5]july-2025'!$C:$C,0,0)</f>
        <v>32500</v>
      </c>
      <c r="AY266">
        <f>AX266*0.18</f>
        <v>5850</v>
      </c>
      <c r="AZ266">
        <v>0</v>
      </c>
      <c r="BA266">
        <f>AX266*0.12</f>
        <v>3900</v>
      </c>
      <c r="BB266">
        <f>_xlfn.XLOOKUP(B266,'[5]july-2025'!$A:$A,'[5]july-2025'!$D:$D,0,0)</f>
        <v>0</v>
      </c>
      <c r="BC266">
        <f>_xlfn.XLOOKUP(B266,'[5]july-2025'!$A:$A,'[5]july-2025'!$G:$G,0,0)</f>
        <v>500</v>
      </c>
      <c r="BD266">
        <f>IF(AX266&gt;0,SUM(AX266:BC266),0)</f>
        <v>42750</v>
      </c>
      <c r="BE266">
        <f>_xlfn.XLOOKUP(B266,'[5]july-2025'!$A:$A,'[5]july-2025'!$H:$H,0,0)</f>
        <v>2000</v>
      </c>
      <c r="BF266">
        <f>_xlfn.XLOOKUP(B266,'[5]july-2025'!$A:$A,'[5]july-2025'!$I:$I,0,0)</f>
        <v>0</v>
      </c>
      <c r="BG266">
        <f>IF($F266="YES",0,IF(BD266&gt;40000,200,IF(BD266&gt;25000,150,IF(BD266&gt;15000,130,IF(BD266&gt;10000,110,0)))))</f>
        <v>200</v>
      </c>
      <c r="BH266">
        <f>BD266-BE266-BF266-BG266</f>
        <v>40550</v>
      </c>
      <c r="BI266">
        <f>_xlfn.XLOOKUP(B266,'[6]august-2025'!$A:$A,'[6]august-2025'!$C:$C,0,0)</f>
        <v>32500</v>
      </c>
      <c r="BJ266">
        <f>BI266*0.18</f>
        <v>5850</v>
      </c>
      <c r="BK266">
        <f>BI266*0.12</f>
        <v>3900</v>
      </c>
      <c r="BL266">
        <f>_xlfn.XLOOKUP(B266,'[6]august-2025'!$A:$A,'[6]august-2025'!$D:$D,0,0)</f>
        <v>0</v>
      </c>
      <c r="BM266">
        <f>_xlfn.XLOOKUP(B266,'[6]august-2025'!$A:$A,'[6]august-2025'!$G:$G,0,0)</f>
        <v>500</v>
      </c>
      <c r="BN266">
        <f>IF(BI266&gt;0,SUM(BI266:BM266),0)</f>
        <v>42750</v>
      </c>
      <c r="BO266">
        <f>_xlfn.XLOOKUP(B266,'[6]august-2025'!$A:$A,'[6]august-2025'!$H:$H,0,0)</f>
        <v>2000</v>
      </c>
      <c r="BP266">
        <f>_xlfn.XLOOKUP(B266,'[6]august-2025'!$A:$A,'[6]august-2025'!$I:$I,0,0)</f>
        <v>0</v>
      </c>
      <c r="BQ266">
        <f>IF($F266="YES",0,IF(BN266&gt;40000,200,IF(BN266&gt;25000,150,IF(BN266&gt;15000,130,IF(BN266&gt;10000,110,0)))))</f>
        <v>200</v>
      </c>
      <c r="BR266">
        <f>BN266-BO266-BP266-BQ266</f>
        <v>40550</v>
      </c>
      <c r="BS266">
        <f>_xlfn.XLOOKUP(B266,'[7]september-2025'!$A:$A,'[7]september-2025'!$C:$C,0,0)</f>
        <v>32500</v>
      </c>
      <c r="BT266">
        <f>BS266*0.18</f>
        <v>5850</v>
      </c>
      <c r="BU266">
        <f>BS266*0.12</f>
        <v>3900</v>
      </c>
      <c r="BV266">
        <f>_xlfn.XLOOKUP(B266,'[7]september-2025'!$A:$A,'[7]september-2025'!$D:$D,0,0)</f>
        <v>0</v>
      </c>
      <c r="BW266">
        <f>_xlfn.XLOOKUP(B266,'[7]september-2025'!$A:$A,'[7]september-2025'!$G:$G,0,0)</f>
        <v>500</v>
      </c>
      <c r="BX266">
        <f>IF(BS266&gt;0,SUM(BS266:BW266),0)</f>
        <v>42750</v>
      </c>
      <c r="BY266">
        <f>_xlfn.XLOOKUP(B266,'[7]september-2025'!$A:$A,'[7]september-2025'!$H:$H,0,0)</f>
        <v>2000</v>
      </c>
      <c r="BZ266">
        <f>_xlfn.XLOOKUP(B266,'[7]september-2025'!$A:$A,'[7]september-2025'!$I:$I,0,0)</f>
        <v>0</v>
      </c>
      <c r="CA266">
        <f>IF($F266="YES",0,IF(BX266&gt;40000,200,IF(BX266&gt;25000,150,IF(BX266&gt;15000,130,IF(BX266&gt;10000,110,0)))))</f>
        <v>200</v>
      </c>
      <c r="CB266">
        <f>BX266-BY266-BZ266-CA266</f>
        <v>40550</v>
      </c>
      <c r="CC266">
        <f>_xlfn.XLOOKUP(B266,'[8]october-2025'!$A:$A,'[8]october-2025'!$C:$C,0,0)</f>
        <v>32500</v>
      </c>
      <c r="CD266">
        <f>CC266*0.18</f>
        <v>5850</v>
      </c>
      <c r="CE266">
        <f>CC266*0.12</f>
        <v>3900</v>
      </c>
      <c r="CF266">
        <f>_xlfn.XLOOKUP(B266,'[8]october-2025'!$A:$A,'[8]october-2025'!$D:$D,0,0)</f>
        <v>0</v>
      </c>
      <c r="CG266">
        <f>_xlfn.XLOOKUP(B266,'[8]october-2025'!$A:$A,'[8]october-2025'!$G:$G,0,0)</f>
        <v>500</v>
      </c>
      <c r="CH266">
        <f>IF(CC266&gt;0,SUM(CC266:CG266),0)</f>
        <v>42750</v>
      </c>
      <c r="CI266">
        <f>_xlfn.XLOOKUP(B266,'[8]october-2025'!$A:$A,'[8]october-2025'!$H:$H,0,0)</f>
        <v>2000</v>
      </c>
      <c r="CJ266">
        <f>_xlfn.XLOOKUP(B266,'[8]october-2025'!$A:$A,'[8]october-2025'!$I:$I,0,0)</f>
        <v>0</v>
      </c>
      <c r="CK266">
        <f>IF($F266="YES",0,IF(CH266&gt;40000,200,IF(CH266&gt;25000,150,IF(CH266&gt;15000,130,IF(CH266&gt;10000,110,0)))))</f>
        <v>200</v>
      </c>
      <c r="CL266">
        <f>CH266-CI266-CJ266-CK266</f>
        <v>40550</v>
      </c>
      <c r="CM266">
        <f>_xlfn.XLOOKUP(B266,'[9]november-2025'!$A:$A,'[9]november-2025'!$C:$C,0,0)</f>
        <v>32500</v>
      </c>
      <c r="CN266">
        <f>CM266*0.18</f>
        <v>5850</v>
      </c>
      <c r="CO266">
        <f>CM266*0.12</f>
        <v>3900</v>
      </c>
      <c r="CP266">
        <f>_xlfn.XLOOKUP(B266,'[9]november-2025'!$A:$A,'[9]november-2025'!$D:$D,0,0)</f>
        <v>0</v>
      </c>
      <c r="CQ266">
        <f>_xlfn.XLOOKUP(B266,'[9]november-2025'!$A:$A,'[9]november-2025'!$G:$G,0,0)</f>
        <v>500</v>
      </c>
      <c r="CR266">
        <f>IF(CM266&gt;0,SUM(CM266:CQ266),0)</f>
        <v>42750</v>
      </c>
      <c r="CS266">
        <f>_xlfn.XLOOKUP(B266,'[9]november-2025'!$A:$A,'[9]november-2025'!$H:$H,0,0)</f>
        <v>2000</v>
      </c>
      <c r="CT266">
        <f>_xlfn.XLOOKUP(B266,'[9]november-2025'!$A:$A,'[9]november-2025'!$I:$I,0,0)</f>
        <v>0</v>
      </c>
      <c r="CU266">
        <f>IF($F266="YES",0,IF(CR266&gt;40000,200,IF(CR266&gt;25000,150,IF(CR266&gt;15000,130,IF(CR266&gt;10000,110,0)))))</f>
        <v>200</v>
      </c>
      <c r="CV266">
        <f>CR266-CS266-CT266-CU266</f>
        <v>40550</v>
      </c>
      <c r="CW266">
        <f>_xlfn.XLOOKUP(B266,'[10]december-2025'!$A:$A,'[10]december-2025'!$C:$C,0,0)</f>
        <v>32500</v>
      </c>
      <c r="CX266">
        <f>ROUND(CW266*0.18,0)</f>
        <v>5850</v>
      </c>
      <c r="CY266">
        <f>ROUND(CW266*0.12,0)</f>
        <v>3900</v>
      </c>
      <c r="CZ266">
        <f>_xlfn.XLOOKUP(B266,'[10]december-2025'!$A:$A,'[10]december-2025'!$D:$D,0,0)</f>
        <v>0</v>
      </c>
      <c r="DA266">
        <f>_xlfn.XLOOKUP(B266,'[10]december-2025'!$A:$A,'[10]december-2025'!$G:$G,0,0)</f>
        <v>500</v>
      </c>
      <c r="DB266">
        <f>IF(CW266&gt;0,SUM(CW266:DA266),0)</f>
        <v>42750</v>
      </c>
      <c r="DC266">
        <f>_xlfn.XLOOKUP(B266,'[10]december-2025'!$A:$A,'[10]december-2025'!$H:$H,0,0)</f>
        <v>2000</v>
      </c>
      <c r="DD266">
        <f>_xlfn.XLOOKUP(B266,'[10]december-2025'!$A:$A,'[10]december-2025'!$I:$I,0,0)</f>
        <v>0</v>
      </c>
      <c r="DE266">
        <f>IF($F266="YES",0,IF(DB266&gt;40000,200,IF(DB266&gt;25000,150,IF(DB266&gt;15000,130,IF(DB266&gt;10000,110,0)))))</f>
        <v>200</v>
      </c>
      <c r="DF266">
        <f>DB266-DC266-DD266-DE266</f>
        <v>40550</v>
      </c>
      <c r="DG266">
        <f>_xlfn.XLOOKUP(B266,'[11]january-2026'!$A:$A,'[11]january-2026'!$C:$C,0,0)</f>
        <v>32500</v>
      </c>
      <c r="DH266">
        <f>DG266*0.18</f>
        <v>5850</v>
      </c>
      <c r="DI266">
        <f>DG266*0.12</f>
        <v>3900</v>
      </c>
      <c r="DJ266">
        <f>_xlfn.XLOOKUP(B266,'[11]january-2026'!$A:$A,'[11]january-2026'!$D:$D,0,0)</f>
        <v>0</v>
      </c>
      <c r="DK266">
        <f>_xlfn.XLOOKUP(B266,'[11]january-2026'!$A:$A,'[11]january-2026'!$G:$G,0,0)</f>
        <v>500</v>
      </c>
      <c r="DL266">
        <f>IF(DG266&gt;0,SUM(DG266:DK266),0)</f>
        <v>42750</v>
      </c>
      <c r="DM266">
        <f>_xlfn.XLOOKUP(B266,'[11]january-2026'!$A:$A,'[11]january-2026'!$H:$H,0,0)</f>
        <v>2000</v>
      </c>
      <c r="DN266">
        <f>_xlfn.XLOOKUP(B266,'[11]january-2026'!$A:$A,'[11]january-2026'!$I:$I,0,0)</f>
        <v>0</v>
      </c>
      <c r="DO266">
        <f>IF($F266="YES",0,IF(DL266&gt;40000,200,IF(DL266&gt;25000,150,IF(DL266&gt;15000,130,IF(DL266&gt;10000,110,0)))))</f>
        <v>200</v>
      </c>
      <c r="DP266">
        <f>DL266-DM266-DN266-DO266</f>
        <v>40550</v>
      </c>
      <c r="DQ266">
        <f>_xlfn.XLOOKUP(B266,'[12]february-2026'!$A:$A,'[12]february-2026'!$C:$C,0,0)</f>
        <v>32500</v>
      </c>
      <c r="DR266">
        <f>DQ266*0.18</f>
        <v>5850</v>
      </c>
      <c r="DS266">
        <f>DQ266*0.12</f>
        <v>3900</v>
      </c>
      <c r="DT266">
        <f>_xlfn.XLOOKUP(B266,'[12]february-2026'!$A:$A,'[12]february-2026'!$D:$D,0,0)</f>
        <v>0</v>
      </c>
      <c r="DU266">
        <f>_xlfn.XLOOKUP(B266,'[12]february-2026'!$A:$A,'[12]february-2026'!$G:$G,0,0)</f>
        <v>500</v>
      </c>
      <c r="DV266">
        <f>IF(DQ266&gt;0,SUM(DQ266:DU266),0)</f>
        <v>42750</v>
      </c>
      <c r="DW266">
        <f>_xlfn.XLOOKUP(B266,'[12]february-2026'!$A:$A,'[12]february-2026'!$H:$H,0,0)</f>
        <v>2000</v>
      </c>
      <c r="DX266">
        <f>_xlfn.XLOOKUP(B266,'[12]february-2026'!$A:$A,'[12]february-2026'!$I:$I,0,0)</f>
        <v>0</v>
      </c>
      <c r="DY266">
        <f>IF($F266="YES",0,IF(DV266&gt;40000,200,IF(DV266&gt;25000,150,IF(DV266&gt;15000,130,IF(DV266&gt;10000,110,0)))))</f>
        <v>200</v>
      </c>
      <c r="DZ266">
        <f>DV266-DW266-DX266-DY266</f>
        <v>40550</v>
      </c>
      <c r="EA266">
        <f>DV266+DL266+DB266+CR266+CH266+BX266+BN266+BD266+AS266+AI266+Y266+O266+H266+I266</f>
        <v>502080</v>
      </c>
      <c r="EB266">
        <f>DY266+DO266+DE266+CU266+CK266+CA266+BQ266+BG266+AV266+AL266+AB266+R266</f>
        <v>2300</v>
      </c>
      <c r="EC266">
        <f>IF(EA266&gt;0,50000,0)</f>
        <v>50000</v>
      </c>
      <c r="ED266">
        <v>0</v>
      </c>
      <c r="EE266">
        <f>EA266-EB266-EC266</f>
        <v>449780</v>
      </c>
      <c r="EF266">
        <f>DW266+DM266+DC266+CS266+CI266+BY266+BO266+BE266+AT266+AJ266+Z266+P266</f>
        <v>24000</v>
      </c>
      <c r="EG266">
        <f>DX266+DN266+DD266+CT266+CJ266+BZ266+BP266+BF266+AU266+AK266+AA266+Q266</f>
        <v>0</v>
      </c>
      <c r="EH266">
        <v>0</v>
      </c>
      <c r="EI266">
        <v>0</v>
      </c>
      <c r="EJ266">
        <v>0</v>
      </c>
      <c r="EK266">
        <v>0</v>
      </c>
      <c r="EL266">
        <v>0</v>
      </c>
      <c r="EM266">
        <v>0</v>
      </c>
      <c r="EN266">
        <v>0</v>
      </c>
      <c r="EO266">
        <v>0</v>
      </c>
      <c r="EP266">
        <v>0</v>
      </c>
      <c r="EQ266">
        <v>0</v>
      </c>
      <c r="ER266">
        <f>SUM(EF266:EQ266)</f>
        <v>24000</v>
      </c>
      <c r="ES266">
        <f>IF(ER266&gt;=150000,150000,ER266)</f>
        <v>24000</v>
      </c>
      <c r="ET266">
        <f>EE266-ES266</f>
        <v>425780</v>
      </c>
      <c r="EU266">
        <v>0</v>
      </c>
      <c r="EV266">
        <v>0</v>
      </c>
      <c r="EW266">
        <v>0</v>
      </c>
      <c r="EX266">
        <v>0</v>
      </c>
      <c r="EY266">
        <v>0</v>
      </c>
      <c r="EZ266">
        <v>0</v>
      </c>
      <c r="FA266">
        <v>0</v>
      </c>
      <c r="FB266">
        <f>SUM(EU266:FA266)+(IF(F266="YES",50000,0))</f>
        <v>0</v>
      </c>
      <c r="FC266">
        <f>ET266-FB266</f>
        <v>425780</v>
      </c>
      <c r="FD266">
        <f>ROUND(IF(FC266&gt;0,IF(FC266&gt;500000,12500,(FC266-250000)*0.05),0),0)</f>
        <v>8789</v>
      </c>
      <c r="FE266">
        <f>IF(ROUND(IF(FC266&gt;0,IF(FC266&gt;1000000,25000,(FC266-500000)*0.2),0),0)&lt;0,0,ROUND(IF(FC266&gt;0,IF(FC266&gt;1000000,25000,(FC266-500000)*0.2),0),0))</f>
        <v>0</v>
      </c>
      <c r="FF266">
        <f>FD266+FE266</f>
        <v>8789</v>
      </c>
      <c r="FG266">
        <f>IF(FF266&lt;12500,0,FF266)</f>
        <v>0</v>
      </c>
      <c r="FH266">
        <f>FG266*0.04</f>
        <v>0</v>
      </c>
      <c r="FI266">
        <f>ROUND(FH266+FG266,0)</f>
        <v>0</v>
      </c>
      <c r="FJ266">
        <v>0</v>
      </c>
      <c r="FK266">
        <f>FI266-FJ266</f>
        <v>0</v>
      </c>
      <c r="FL266" t="b">
        <f>IF(EA266&gt;500000,TRUE,FALSE)</f>
        <v>1</v>
      </c>
      <c r="FM266">
        <f ca="1">IF(FL266,RANDBETWEEN(500,1000),RANDBETWEEN(1000,3000))</f>
        <v>979</v>
      </c>
      <c r="FN266">
        <f ca="1">EA266+FM266</f>
        <v>503059</v>
      </c>
      <c r="FO266">
        <f>IF(EA266&gt;0,75000,0)</f>
        <v>75000</v>
      </c>
      <c r="FP266">
        <f ca="1">FN266-FO266</f>
        <v>428059</v>
      </c>
      <c r="FQ266">
        <f ca="1">IF(FP266&gt;2400000,FP266-2400000,0)</f>
        <v>0</v>
      </c>
      <c r="FR266">
        <f ca="1">FQ266*0.3</f>
        <v>0</v>
      </c>
      <c r="FS266">
        <f ca="1">IF(FP266&gt;2000000,FP266-2000000,0)</f>
        <v>0</v>
      </c>
      <c r="FT266">
        <f ca="1">FS266*0.25</f>
        <v>0</v>
      </c>
      <c r="FU266">
        <f ca="1">IF(FP266&gt;1600000,FP266-1600000-FQ266,0)</f>
        <v>0</v>
      </c>
      <c r="FV266">
        <f ca="1">FU266*0.2</f>
        <v>0</v>
      </c>
      <c r="FW266">
        <f ca="1">IF(FP266&gt;1200000,FP266-1200000-IF(F266="YES",50000,0)-FU266,0)</f>
        <v>0</v>
      </c>
      <c r="FX266">
        <f ca="1">FW266*0.15</f>
        <v>0</v>
      </c>
      <c r="FY266">
        <f ca="1">IF(FP266&gt;800000,FP266-800000-FQ266-FU266-FW266,0)</f>
        <v>0</v>
      </c>
      <c r="FZ266">
        <f ca="1">FY266*0.1</f>
        <v>0</v>
      </c>
      <c r="GA266">
        <f ca="1">IF(FP266&gt;400000,FP266-400000-FQ266-FU266-FW266-FY266,0)</f>
        <v>28059</v>
      </c>
      <c r="GB266">
        <f ca="1">GA266*0.05</f>
        <v>1402.95</v>
      </c>
      <c r="GC266">
        <f ca="1">ROUND(FR266+FT266+FV266+FX266+FZ266+GB266,0)</f>
        <v>1403</v>
      </c>
      <c r="GD266">
        <f ca="1">IF(FP266&gt;1200000,FP266,0)</f>
        <v>0</v>
      </c>
      <c r="GE266">
        <f ca="1">IF(FP266&gt;1200000,GD266-1200000,0)</f>
        <v>0</v>
      </c>
      <c r="GF266">
        <f ca="1">IF(FP266&lt;1200001,MIN(GC266,60000),0)</f>
        <v>1403</v>
      </c>
      <c r="GG266">
        <f ca="1">IF(FP266&gt;1200000,GC266-GE266,0)</f>
        <v>0</v>
      </c>
      <c r="GH266" t="b">
        <f ca="1">IF(GG266&gt;0,TRUE,FALSE)</f>
        <v>0</v>
      </c>
      <c r="GI266">
        <f ca="1">IF(GH266,GG266,0)</f>
        <v>0</v>
      </c>
      <c r="GJ266">
        <f ca="1">GF266+GI266</f>
        <v>1403</v>
      </c>
      <c r="GK266">
        <f ca="1">ROUND(GC266-GJ266,0)</f>
        <v>0</v>
      </c>
      <c r="GL266">
        <f ca="1">GK266*0.04</f>
        <v>0</v>
      </c>
      <c r="GM266">
        <f ca="1">ROUNDUP(GK266+GL266,0)</f>
        <v>0</v>
      </c>
    </row>
    <row r="267" spans="1:195" x14ac:dyDescent="0.25">
      <c r="A267">
        <f>_xlfn.AGGREGATE(3,5,$B$2:B267)</f>
        <v>266</v>
      </c>
      <c r="B267" t="s">
        <v>641</v>
      </c>
      <c r="C267" t="s">
        <v>642</v>
      </c>
      <c r="D267" t="s">
        <v>821</v>
      </c>
      <c r="E267" t="s">
        <v>833</v>
      </c>
      <c r="F267" t="s">
        <v>959</v>
      </c>
      <c r="G267" t="s">
        <v>891</v>
      </c>
      <c r="H267">
        <f>IF(_xlfn.DAYS("31-03-2025",G267)&gt;=180,6800,0)</f>
        <v>6800</v>
      </c>
      <c r="I267">
        <f>_xlfn.XLOOKUP(B267,'[1]march-2025'!$A:$A,'[1]march-2025'!$J:$J,0,0)</f>
        <v>0</v>
      </c>
      <c r="J267">
        <f>_xlfn.XLOOKUP(B267,'[1]march-2025'!$A:$A,'[1]march-2025'!$C:$C,0,0)</f>
        <v>28900</v>
      </c>
      <c r="K267">
        <f>J267*0.14</f>
        <v>4046.0000000000005</v>
      </c>
      <c r="L267">
        <f>J267*0.12</f>
        <v>3468</v>
      </c>
      <c r="M267">
        <f>_xlfn.XLOOKUP(B267,'[1]march-2025'!$A:$A,'[1]march-2025'!$D:$D,0,0)</f>
        <v>0</v>
      </c>
      <c r="N267">
        <f>_xlfn.XLOOKUP(B267,'[1]march-2025'!$A:$A,'[1]march-2025'!$G:$G,0,0)</f>
        <v>500</v>
      </c>
      <c r="O267">
        <f>IF(J267&gt;0,SUM(J267:N267),0)</f>
        <v>36914</v>
      </c>
      <c r="P267">
        <f>_xlfn.XLOOKUP(B267,'[1]march-2025'!$A:$A,'[1]march-2025'!$H:$H,0,0)</f>
        <v>2000</v>
      </c>
      <c r="Q267">
        <f>_xlfn.XLOOKUP(B267,'[1]march-2025'!$A:$A,'[1]march-2025'!$I:$I,0,0)</f>
        <v>0</v>
      </c>
      <c r="R267">
        <f>IF($F267="YES",0,IF(O267&gt;40000,200,IF(O267&gt;25000,150,IF(O267&gt;15000,130,IF(O267&gt;10000,110,0)))))</f>
        <v>150</v>
      </c>
      <c r="S267">
        <f>O267-P267-Q267-R267</f>
        <v>34764</v>
      </c>
      <c r="T267">
        <f>_xlfn.XLOOKUP(B267,'[2]april-2025'!$A:$A,'[2]april-2025'!$C:$C,0,0)</f>
        <v>28900</v>
      </c>
      <c r="U267">
        <f>T267*0.18</f>
        <v>5202</v>
      </c>
      <c r="V267">
        <f>T267*0.12</f>
        <v>3468</v>
      </c>
      <c r="W267">
        <f>_xlfn.XLOOKUP(B267,'[2]april-2025'!$A:$A,'[2]april-2025'!$D:$D,0,0)</f>
        <v>0</v>
      </c>
      <c r="X267">
        <f>_xlfn.XLOOKUP(B267,'[2]april-2025'!$A:$A,'[2]april-2025'!$G:$G,0,0)</f>
        <v>500</v>
      </c>
      <c r="Y267">
        <f>IF(T267&gt;0,SUM(T267:X267),0)</f>
        <v>38070</v>
      </c>
      <c r="Z267">
        <f>_xlfn.XLOOKUP(B267,'[2]april-2025'!$A:$A,'[2]april-2025'!$H:$H,0,0)</f>
        <v>2000</v>
      </c>
      <c r="AA267">
        <f>_xlfn.XLOOKUP(B267,'[2]april-2025'!$A:$A,'[2]april-2025'!$I:$I,0,0)</f>
        <v>0</v>
      </c>
      <c r="AB267">
        <f>IF($F267="YES",0,IF(Y267&gt;40000,200,IF(Y267&gt;25000,150,IF(Y267&gt;15000,130,IF(Y267&gt;10000,110,0)))))</f>
        <v>150</v>
      </c>
      <c r="AC267">
        <f>Y267-Z267-AA267-AB267</f>
        <v>35920</v>
      </c>
      <c r="AD267">
        <f>_xlfn.XLOOKUP(B267,'[3]may-2025'!$A:$A,'[3]may-2025'!$C:$C,0,0)</f>
        <v>28900</v>
      </c>
      <c r="AE267">
        <f>AD267*0.18</f>
        <v>5202</v>
      </c>
      <c r="AF267">
        <f>AD267*0.12</f>
        <v>3468</v>
      </c>
      <c r="AG267">
        <f>_xlfn.XLOOKUP(B267,'[3]may-2025'!$A:$A,'[3]may-2025'!$D:$D,0,0)</f>
        <v>0</v>
      </c>
      <c r="AH267">
        <f>_xlfn.XLOOKUP(B267,'[3]may-2025'!$A:$A,'[3]may-2025'!$G:$G,0,0)</f>
        <v>500</v>
      </c>
      <c r="AI267">
        <f>IF(AD267&gt;0,SUM(AD267:AH267),0)</f>
        <v>38070</v>
      </c>
      <c r="AJ267">
        <f>_xlfn.XLOOKUP(B267,'[3]may-2025'!$A:$A,'[3]may-2025'!$H:$H,0,0)</f>
        <v>2000</v>
      </c>
      <c r="AK267">
        <f>_xlfn.XLOOKUP(B267,'[3]may-2025'!$A:$A,'[3]may-2025'!$I:$I,0,0)</f>
        <v>0</v>
      </c>
      <c r="AL267">
        <f>IF($F267="YES",0,IF(AI267&gt;40000,200,IF(AI267&gt;25000,150,IF(AI267&gt;15000,130,IF(AI267&gt;10000,110,0)))))</f>
        <v>150</v>
      </c>
      <c r="AM267">
        <f>AI267-AJ267-AK267-AL267</f>
        <v>35920</v>
      </c>
      <c r="AN267">
        <f>_xlfn.XLOOKUP(B267,'[4]june-2025'!$A:$A,'[4]june-2025'!$C:$C,0,0)</f>
        <v>28900</v>
      </c>
      <c r="AO267">
        <f>AN267*0.18</f>
        <v>5202</v>
      </c>
      <c r="AP267">
        <f>AN267*0.12</f>
        <v>3468</v>
      </c>
      <c r="AQ267">
        <f>_xlfn.XLOOKUP(B267,'[4]june-2025'!$A:$A,'[4]june-2025'!$D:$D,0,0)</f>
        <v>0</v>
      </c>
      <c r="AR267">
        <f>_xlfn.XLOOKUP(B267,'[4]june-2025'!$A:$A,'[4]june-2025'!$G:$G,0,0)</f>
        <v>500</v>
      </c>
      <c r="AS267">
        <f>IF(AN267&gt;0,SUM(AN267:AR267),0)</f>
        <v>38070</v>
      </c>
      <c r="AT267">
        <f>_xlfn.XLOOKUP(B267,'[4]june-2025'!$A:$A,'[4]june-2025'!$H:$H,0,0)</f>
        <v>2000</v>
      </c>
      <c r="AU267">
        <f>_xlfn.XLOOKUP(B267,'[4]june-2025'!$A:$A,'[4]june-2025'!$I:$I,0,0)</f>
        <v>0</v>
      </c>
      <c r="AV267">
        <f>IF($F267="YES",0,IF(AS267&gt;40000,200,IF(AS267&gt;25000,150,IF(AS267&gt;15000,130,IF(AS267&gt;10000,110,0)))))</f>
        <v>150</v>
      </c>
      <c r="AW267">
        <f>AS267-AT267-AU267-AV267</f>
        <v>35920</v>
      </c>
      <c r="AX267">
        <f>_xlfn.XLOOKUP(B267,'[5]july-2025'!$A:$A,'[5]july-2025'!$C:$C,0,0)</f>
        <v>29800</v>
      </c>
      <c r="AY267">
        <f>AX267*0.18</f>
        <v>5364</v>
      </c>
      <c r="AZ267">
        <v>0</v>
      </c>
      <c r="BA267">
        <f>AX267*0.12</f>
        <v>3576</v>
      </c>
      <c r="BB267">
        <f>_xlfn.XLOOKUP(B267,'[5]july-2025'!$A:$A,'[5]july-2025'!$D:$D,0,0)</f>
        <v>0</v>
      </c>
      <c r="BC267">
        <f>_xlfn.XLOOKUP(B267,'[5]july-2025'!$A:$A,'[5]july-2025'!$G:$G,0,0)</f>
        <v>500</v>
      </c>
      <c r="BD267">
        <f>IF(AX267&gt;0,SUM(AX267:BC267),0)</f>
        <v>39240</v>
      </c>
      <c r="BE267">
        <f>_xlfn.XLOOKUP(B267,'[5]july-2025'!$A:$A,'[5]july-2025'!$H:$H,0,0)</f>
        <v>2000</v>
      </c>
      <c r="BF267">
        <f>_xlfn.XLOOKUP(B267,'[5]july-2025'!$A:$A,'[5]july-2025'!$I:$I,0,0)</f>
        <v>0</v>
      </c>
      <c r="BG267">
        <f>IF($F267="YES",0,IF(BD267&gt;40000,200,IF(BD267&gt;25000,150,IF(BD267&gt;15000,130,IF(BD267&gt;10000,110,0)))))</f>
        <v>150</v>
      </c>
      <c r="BH267">
        <f>BD267-BE267-BF267-BG267</f>
        <v>37090</v>
      </c>
      <c r="BI267">
        <f>_xlfn.XLOOKUP(B267,'[6]august-2025'!$A:$A,'[6]august-2025'!$C:$C,0,0)</f>
        <v>29800</v>
      </c>
      <c r="BJ267">
        <f>BI267*0.18</f>
        <v>5364</v>
      </c>
      <c r="BK267">
        <f>BI267*0.12</f>
        <v>3576</v>
      </c>
      <c r="BL267">
        <f>_xlfn.XLOOKUP(B267,'[6]august-2025'!$A:$A,'[6]august-2025'!$D:$D,0,0)</f>
        <v>0</v>
      </c>
      <c r="BM267">
        <f>_xlfn.XLOOKUP(B267,'[6]august-2025'!$A:$A,'[6]august-2025'!$G:$G,0,0)</f>
        <v>500</v>
      </c>
      <c r="BN267">
        <f>IF(BI267&gt;0,SUM(BI267:BM267),0)</f>
        <v>39240</v>
      </c>
      <c r="BO267">
        <f>_xlfn.XLOOKUP(B267,'[6]august-2025'!$A:$A,'[6]august-2025'!$H:$H,0,0)</f>
        <v>2000</v>
      </c>
      <c r="BP267">
        <f>_xlfn.XLOOKUP(B267,'[6]august-2025'!$A:$A,'[6]august-2025'!$I:$I,0,0)</f>
        <v>0</v>
      </c>
      <c r="BQ267">
        <f>IF($F267="YES",0,IF(BN267&gt;40000,200,IF(BN267&gt;25000,150,IF(BN267&gt;15000,130,IF(BN267&gt;10000,110,0)))))</f>
        <v>150</v>
      </c>
      <c r="BR267">
        <f>BN267-BO267-BP267-BQ267</f>
        <v>37090</v>
      </c>
      <c r="BS267">
        <f>_xlfn.XLOOKUP(B267,'[7]september-2025'!$A:$A,'[7]september-2025'!$C:$C,0,0)</f>
        <v>29800</v>
      </c>
      <c r="BT267">
        <f>BS267*0.18</f>
        <v>5364</v>
      </c>
      <c r="BU267">
        <f>BS267*0.12</f>
        <v>3576</v>
      </c>
      <c r="BV267">
        <f>_xlfn.XLOOKUP(B267,'[7]september-2025'!$A:$A,'[7]september-2025'!$D:$D,0,0)</f>
        <v>0</v>
      </c>
      <c r="BW267">
        <f>_xlfn.XLOOKUP(B267,'[7]september-2025'!$A:$A,'[7]september-2025'!$G:$G,0,0)</f>
        <v>500</v>
      </c>
      <c r="BX267">
        <f>IF(BS267&gt;0,SUM(BS267:BW267),0)</f>
        <v>39240</v>
      </c>
      <c r="BY267">
        <f>_xlfn.XLOOKUP(B267,'[7]september-2025'!$A:$A,'[7]september-2025'!$H:$H,0,0)</f>
        <v>2000</v>
      </c>
      <c r="BZ267">
        <f>_xlfn.XLOOKUP(B267,'[7]september-2025'!$A:$A,'[7]september-2025'!$I:$I,0,0)</f>
        <v>0</v>
      </c>
      <c r="CA267">
        <f>IF($F267="YES",0,IF(BX267&gt;40000,200,IF(BX267&gt;25000,150,IF(BX267&gt;15000,130,IF(BX267&gt;10000,110,0)))))</f>
        <v>150</v>
      </c>
      <c r="CB267">
        <f>BX267-BY267-BZ267-CA267</f>
        <v>37090</v>
      </c>
      <c r="CC267">
        <f>_xlfn.XLOOKUP(B267,'[8]october-2025'!$A:$A,'[8]october-2025'!$C:$C,0,0)</f>
        <v>29800</v>
      </c>
      <c r="CD267">
        <f>CC267*0.18</f>
        <v>5364</v>
      </c>
      <c r="CE267">
        <f>CC267*0.12</f>
        <v>3576</v>
      </c>
      <c r="CF267">
        <f>_xlfn.XLOOKUP(B267,'[8]october-2025'!$A:$A,'[8]october-2025'!$D:$D,0,0)</f>
        <v>0</v>
      </c>
      <c r="CG267">
        <f>_xlfn.XLOOKUP(B267,'[8]october-2025'!$A:$A,'[8]october-2025'!$G:$G,0,0)</f>
        <v>500</v>
      </c>
      <c r="CH267">
        <f>IF(CC267&gt;0,SUM(CC267:CG267),0)</f>
        <v>39240</v>
      </c>
      <c r="CI267">
        <f>_xlfn.XLOOKUP(B267,'[8]october-2025'!$A:$A,'[8]october-2025'!$H:$H,0,0)</f>
        <v>2000</v>
      </c>
      <c r="CJ267">
        <f>_xlfn.XLOOKUP(B267,'[8]october-2025'!$A:$A,'[8]october-2025'!$I:$I,0,0)</f>
        <v>0</v>
      </c>
      <c r="CK267">
        <f>IF($F267="YES",0,IF(CH267&gt;40000,200,IF(CH267&gt;25000,150,IF(CH267&gt;15000,130,IF(CH267&gt;10000,110,0)))))</f>
        <v>150</v>
      </c>
      <c r="CL267">
        <f>CH267-CI267-CJ267-CK267</f>
        <v>37090</v>
      </c>
      <c r="CM267">
        <f>_xlfn.XLOOKUP(B267,'[9]november-2025'!$A:$A,'[9]november-2025'!$C:$C,0,0)</f>
        <v>29800</v>
      </c>
      <c r="CN267">
        <f>CM267*0.18</f>
        <v>5364</v>
      </c>
      <c r="CO267">
        <f>CM267*0.12</f>
        <v>3576</v>
      </c>
      <c r="CP267">
        <f>_xlfn.XLOOKUP(B267,'[9]november-2025'!$A:$A,'[9]november-2025'!$D:$D,0,0)</f>
        <v>0</v>
      </c>
      <c r="CQ267">
        <f>_xlfn.XLOOKUP(B267,'[9]november-2025'!$A:$A,'[9]november-2025'!$G:$G,0,0)</f>
        <v>500</v>
      </c>
      <c r="CR267">
        <f>IF(CM267&gt;0,SUM(CM267:CQ267),0)</f>
        <v>39240</v>
      </c>
      <c r="CS267">
        <f>_xlfn.XLOOKUP(B267,'[9]november-2025'!$A:$A,'[9]november-2025'!$H:$H,0,0)</f>
        <v>2000</v>
      </c>
      <c r="CT267">
        <f>_xlfn.XLOOKUP(B267,'[9]november-2025'!$A:$A,'[9]november-2025'!$I:$I,0,0)</f>
        <v>0</v>
      </c>
      <c r="CU267">
        <f>IF($F267="YES",0,IF(CR267&gt;40000,200,IF(CR267&gt;25000,150,IF(CR267&gt;15000,130,IF(CR267&gt;10000,110,0)))))</f>
        <v>150</v>
      </c>
      <c r="CV267">
        <f>CR267-CS267-CT267-CU267</f>
        <v>37090</v>
      </c>
      <c r="CW267">
        <f>_xlfn.XLOOKUP(B267,'[10]december-2025'!$A:$A,'[10]december-2025'!$C:$C,0,0)</f>
        <v>29800</v>
      </c>
      <c r="CX267">
        <f>ROUND(CW267*0.18,0)</f>
        <v>5364</v>
      </c>
      <c r="CY267">
        <f>ROUND(CW267*0.12,0)</f>
        <v>3576</v>
      </c>
      <c r="CZ267">
        <f>_xlfn.XLOOKUP(B267,'[10]december-2025'!$A:$A,'[10]december-2025'!$D:$D,0,0)</f>
        <v>0</v>
      </c>
      <c r="DA267">
        <f>_xlfn.XLOOKUP(B267,'[10]december-2025'!$A:$A,'[10]december-2025'!$G:$G,0,0)</f>
        <v>500</v>
      </c>
      <c r="DB267">
        <f>IF(CW267&gt;0,SUM(CW267:DA267),0)</f>
        <v>39240</v>
      </c>
      <c r="DC267">
        <f>_xlfn.XLOOKUP(B267,'[10]december-2025'!$A:$A,'[10]december-2025'!$H:$H,0,0)</f>
        <v>2000</v>
      </c>
      <c r="DD267">
        <f>_xlfn.XLOOKUP(B267,'[10]december-2025'!$A:$A,'[10]december-2025'!$I:$I,0,0)</f>
        <v>0</v>
      </c>
      <c r="DE267">
        <f>IF($F267="YES",0,IF(DB267&gt;40000,200,IF(DB267&gt;25000,150,IF(DB267&gt;15000,130,IF(DB267&gt;10000,110,0)))))</f>
        <v>150</v>
      </c>
      <c r="DF267">
        <f>DB267-DC267-DD267-DE267</f>
        <v>37090</v>
      </c>
      <c r="DG267">
        <f>_xlfn.XLOOKUP(B267,'[11]january-2026'!$A:$A,'[11]january-2026'!$C:$C,0,0)</f>
        <v>29800</v>
      </c>
      <c r="DH267">
        <f>DG267*0.18</f>
        <v>5364</v>
      </c>
      <c r="DI267">
        <f>DG267*0.12</f>
        <v>3576</v>
      </c>
      <c r="DJ267">
        <f>_xlfn.XLOOKUP(B267,'[11]january-2026'!$A:$A,'[11]january-2026'!$D:$D,0,0)</f>
        <v>0</v>
      </c>
      <c r="DK267">
        <f>_xlfn.XLOOKUP(B267,'[11]january-2026'!$A:$A,'[11]january-2026'!$G:$G,0,0)</f>
        <v>500</v>
      </c>
      <c r="DL267">
        <f>IF(DG267&gt;0,SUM(DG267:DK267),0)</f>
        <v>39240</v>
      </c>
      <c r="DM267">
        <f>_xlfn.XLOOKUP(B267,'[11]january-2026'!$A:$A,'[11]january-2026'!$H:$H,0,0)</f>
        <v>2000</v>
      </c>
      <c r="DN267">
        <f>_xlfn.XLOOKUP(B267,'[11]january-2026'!$A:$A,'[11]january-2026'!$I:$I,0,0)</f>
        <v>0</v>
      </c>
      <c r="DO267">
        <f>IF($F267="YES",0,IF(DL267&gt;40000,200,IF(DL267&gt;25000,150,IF(DL267&gt;15000,130,IF(DL267&gt;10000,110,0)))))</f>
        <v>150</v>
      </c>
      <c r="DP267">
        <f>DL267-DM267-DN267-DO267</f>
        <v>37090</v>
      </c>
      <c r="DQ267">
        <f>_xlfn.XLOOKUP(B267,'[12]february-2026'!$A:$A,'[12]february-2026'!$C:$C,0,0)</f>
        <v>29800</v>
      </c>
      <c r="DR267">
        <f>DQ267*0.18</f>
        <v>5364</v>
      </c>
      <c r="DS267">
        <f>DQ267*0.12</f>
        <v>3576</v>
      </c>
      <c r="DT267">
        <f>_xlfn.XLOOKUP(B267,'[12]february-2026'!$A:$A,'[12]february-2026'!$D:$D,0,0)</f>
        <v>0</v>
      </c>
      <c r="DU267">
        <f>_xlfn.XLOOKUP(B267,'[12]february-2026'!$A:$A,'[12]february-2026'!$G:$G,0,0)</f>
        <v>500</v>
      </c>
      <c r="DV267">
        <f>IF(DQ267&gt;0,SUM(DQ267:DU267),0)</f>
        <v>39240</v>
      </c>
      <c r="DW267">
        <f>_xlfn.XLOOKUP(B267,'[12]february-2026'!$A:$A,'[12]february-2026'!$H:$H,0,0)</f>
        <v>2000</v>
      </c>
      <c r="DX267">
        <f>_xlfn.XLOOKUP(B267,'[12]february-2026'!$A:$A,'[12]february-2026'!$I:$I,0,0)</f>
        <v>0</v>
      </c>
      <c r="DY267">
        <f>IF($F267="YES",0,IF(DV267&gt;40000,200,IF(DV267&gt;25000,150,IF(DV267&gt;15000,130,IF(DV267&gt;10000,110,0)))))</f>
        <v>150</v>
      </c>
      <c r="DZ267">
        <f>DV267-DW267-DX267-DY267</f>
        <v>37090</v>
      </c>
      <c r="EA267">
        <f>DV267+DL267+DB267+CR267+CH267+BX267+BN267+BD267+AS267+AI267+Y267+O267+H267+I267</f>
        <v>471844</v>
      </c>
      <c r="EB267">
        <f>DY267+DO267+DE267+CU267+CK267+CA267+BQ267+BG267+AV267+AL267+AB267+R267</f>
        <v>1800</v>
      </c>
      <c r="EC267">
        <f>IF(EA267&gt;0,50000,0)</f>
        <v>50000</v>
      </c>
      <c r="ED267">
        <v>0</v>
      </c>
      <c r="EE267">
        <f>EA267-EB267-EC267</f>
        <v>420044</v>
      </c>
      <c r="EF267">
        <f>DW267+DM267+DC267+CS267+CI267+BY267+BO267+BE267+AT267+AJ267+Z267+P267</f>
        <v>24000</v>
      </c>
      <c r="EG267">
        <f>DX267+DN267+DD267+CT267+CJ267+BZ267+BP267+BF267+AU267+AK267+AA267+Q267</f>
        <v>0</v>
      </c>
      <c r="EH267">
        <v>0</v>
      </c>
      <c r="EI267">
        <v>0</v>
      </c>
      <c r="EJ267">
        <v>0</v>
      </c>
      <c r="EK267">
        <v>0</v>
      </c>
      <c r="EL267">
        <v>0</v>
      </c>
      <c r="EM267">
        <v>0</v>
      </c>
      <c r="EN267">
        <v>0</v>
      </c>
      <c r="EO267">
        <v>0</v>
      </c>
      <c r="EP267">
        <v>0</v>
      </c>
      <c r="EQ267">
        <v>0</v>
      </c>
      <c r="ER267">
        <f>SUM(EF267:EQ267)</f>
        <v>24000</v>
      </c>
      <c r="ES267">
        <f>IF(ER267&gt;=150000,150000,ER267)</f>
        <v>24000</v>
      </c>
      <c r="ET267">
        <f>EE267-ES267</f>
        <v>396044</v>
      </c>
      <c r="EU267">
        <v>0</v>
      </c>
      <c r="EV267">
        <v>0</v>
      </c>
      <c r="EW267">
        <v>0</v>
      </c>
      <c r="EX267">
        <v>0</v>
      </c>
      <c r="EY267">
        <v>0</v>
      </c>
      <c r="EZ267">
        <v>0</v>
      </c>
      <c r="FA267">
        <v>0</v>
      </c>
      <c r="FB267">
        <f>SUM(EU267:FA267)+(IF(F267="YES",50000,0))</f>
        <v>0</v>
      </c>
      <c r="FC267">
        <f>ET267-FB267</f>
        <v>396044</v>
      </c>
      <c r="FD267">
        <f>ROUND(IF(FC267&gt;0,IF(FC267&gt;500000,12500,(FC267-250000)*0.05),0),0)</f>
        <v>7302</v>
      </c>
      <c r="FE267">
        <f>IF(ROUND(IF(FC267&gt;0,IF(FC267&gt;1000000,25000,(FC267-500000)*0.2),0),0)&lt;0,0,ROUND(IF(FC267&gt;0,IF(FC267&gt;1000000,25000,(FC267-500000)*0.2),0),0))</f>
        <v>0</v>
      </c>
      <c r="FF267">
        <f>FD267+FE267</f>
        <v>7302</v>
      </c>
      <c r="FG267">
        <f>IF(FF267&lt;12500,0,FF267)</f>
        <v>0</v>
      </c>
      <c r="FH267">
        <f>FG267*0.04</f>
        <v>0</v>
      </c>
      <c r="FI267">
        <f>ROUND(FH267+FG267,0)</f>
        <v>0</v>
      </c>
      <c r="FJ267">
        <v>0</v>
      </c>
      <c r="FK267">
        <f>FI267-FJ267</f>
        <v>0</v>
      </c>
      <c r="FL267" t="b">
        <f>IF(EA267&gt;500000,TRUE,FALSE)</f>
        <v>0</v>
      </c>
      <c r="FM267">
        <f ca="1">IF(FL267,RANDBETWEEN(500,1000),RANDBETWEEN(1000,3000))</f>
        <v>2589</v>
      </c>
      <c r="FN267">
        <f ca="1">EA267+FM267</f>
        <v>474433</v>
      </c>
      <c r="FO267">
        <f>IF(EA267&gt;0,75000,0)</f>
        <v>75000</v>
      </c>
      <c r="FP267">
        <f ca="1">FN267-FO267</f>
        <v>399433</v>
      </c>
      <c r="FQ267">
        <f ca="1">IF(FP267&gt;2400000,FP267-2400000,0)</f>
        <v>0</v>
      </c>
      <c r="FR267">
        <f ca="1">FQ267*0.3</f>
        <v>0</v>
      </c>
      <c r="FS267">
        <f ca="1">IF(FP267&gt;2000000,FP267-2000000,0)</f>
        <v>0</v>
      </c>
      <c r="FT267">
        <f ca="1">FS267*0.25</f>
        <v>0</v>
      </c>
      <c r="FU267">
        <f ca="1">IF(FP267&gt;1600000,FP267-1600000-FQ267,0)</f>
        <v>0</v>
      </c>
      <c r="FV267">
        <f ca="1">FU267*0.2</f>
        <v>0</v>
      </c>
      <c r="FW267">
        <f ca="1">IF(FP267&gt;1200000,FP267-1200000-IF(F267="YES",50000,0)-FU267,0)</f>
        <v>0</v>
      </c>
      <c r="FX267">
        <f ca="1">FW267*0.15</f>
        <v>0</v>
      </c>
      <c r="FY267">
        <f ca="1">IF(FP267&gt;800000,FP267-800000-FQ267-FU267-FW267,0)</f>
        <v>0</v>
      </c>
      <c r="FZ267">
        <f ca="1">FY267*0.1</f>
        <v>0</v>
      </c>
      <c r="GA267">
        <f ca="1">IF(FP267&gt;400000,FP267-400000-FQ267-FU267-FW267-FY267,0)</f>
        <v>0</v>
      </c>
      <c r="GB267">
        <f ca="1">GA267*0.05</f>
        <v>0</v>
      </c>
      <c r="GC267">
        <f ca="1">ROUND(FR267+FT267+FV267+FX267+FZ267+GB267,0)</f>
        <v>0</v>
      </c>
      <c r="GD267">
        <f ca="1">IF(FP267&gt;1200000,FP267,0)</f>
        <v>0</v>
      </c>
      <c r="GE267">
        <f ca="1">IF(FP267&gt;1200000,GD267-1200000,0)</f>
        <v>0</v>
      </c>
      <c r="GF267">
        <f ca="1">IF(FP267&lt;1200001,MIN(GC267,60000),0)</f>
        <v>0</v>
      </c>
      <c r="GG267">
        <f ca="1">IF(FP267&gt;1200000,GC267-GE267,0)</f>
        <v>0</v>
      </c>
      <c r="GH267" t="b">
        <f ca="1">IF(GG267&gt;0,TRUE,FALSE)</f>
        <v>0</v>
      </c>
      <c r="GI267">
        <f ca="1">IF(GH267,GG267,0)</f>
        <v>0</v>
      </c>
      <c r="GJ267">
        <f ca="1">GF267+GI267</f>
        <v>0</v>
      </c>
      <c r="GK267">
        <f ca="1">ROUND(GC267-GJ267,0)</f>
        <v>0</v>
      </c>
      <c r="GL267">
        <f ca="1">GK267*0.04</f>
        <v>0</v>
      </c>
      <c r="GM267">
        <f ca="1">ROUNDUP(GK267+GL267,0)</f>
        <v>0</v>
      </c>
    </row>
    <row r="268" spans="1:195" x14ac:dyDescent="0.25">
      <c r="A268">
        <f>_xlfn.AGGREGATE(3,5,$B$2:B268)</f>
        <v>267</v>
      </c>
      <c r="B268" t="s">
        <v>871</v>
      </c>
      <c r="C268" t="s">
        <v>872</v>
      </c>
      <c r="D268" t="s">
        <v>821</v>
      </c>
      <c r="E268" t="s">
        <v>834</v>
      </c>
      <c r="F268" t="s">
        <v>960</v>
      </c>
      <c r="G268" t="s">
        <v>958</v>
      </c>
      <c r="H268">
        <f>IF(_xlfn.DAYS("31-03-2025",G268)&gt;=180,6800,0)</f>
        <v>6800</v>
      </c>
      <c r="I268">
        <f>_xlfn.XLOOKUP(B268,'[1]march-2025'!$A:$A,'[1]march-2025'!$J:$J,0,0)</f>
        <v>0</v>
      </c>
      <c r="J268">
        <f>_xlfn.XLOOKUP(B268,'[1]march-2025'!$A:$A,'[1]march-2025'!$C:$C,0,0)</f>
        <v>0</v>
      </c>
      <c r="K268">
        <f>J268*0.14</f>
        <v>0</v>
      </c>
      <c r="L268">
        <f>J268*0.12</f>
        <v>0</v>
      </c>
      <c r="M268">
        <f>_xlfn.XLOOKUP(B268,'[1]march-2025'!$A:$A,'[1]march-2025'!$D:$D,0,0)</f>
        <v>0</v>
      </c>
      <c r="N268">
        <f>_xlfn.XLOOKUP(B268,'[1]march-2025'!$A:$A,'[1]march-2025'!$G:$G,0,0)</f>
        <v>0</v>
      </c>
      <c r="O268">
        <f>IF(J268&gt;0,SUM(J268:N268),0)</f>
        <v>0</v>
      </c>
      <c r="P268">
        <f>_xlfn.XLOOKUP(B268,'[1]march-2025'!$A:$A,'[1]march-2025'!$H:$H,0,0)</f>
        <v>0</v>
      </c>
      <c r="Q268">
        <f>_xlfn.XLOOKUP(B268,'[1]march-2025'!$A:$A,'[1]march-2025'!$I:$I,0,0)</f>
        <v>0</v>
      </c>
      <c r="R268">
        <f>IF($F268="YES",0,IF(O268&gt;40000,200,IF(O268&gt;25000,150,IF(O268&gt;15000,130,IF(O268&gt;10000,110,0)))))</f>
        <v>0</v>
      </c>
      <c r="S268">
        <f>O268-P268-Q268-R268</f>
        <v>0</v>
      </c>
      <c r="T268">
        <f>_xlfn.XLOOKUP(B268,'[2]april-2025'!$A:$A,'[2]april-2025'!$C:$C,0,0)</f>
        <v>0</v>
      </c>
      <c r="U268">
        <f>T268*0.18</f>
        <v>0</v>
      </c>
      <c r="V268">
        <f>T268*0.12</f>
        <v>0</v>
      </c>
      <c r="W268">
        <f>_xlfn.XLOOKUP(B268,'[2]april-2025'!$A:$A,'[2]april-2025'!$D:$D,0,0)</f>
        <v>0</v>
      </c>
      <c r="X268">
        <f>_xlfn.XLOOKUP(B268,'[2]april-2025'!$A:$A,'[2]april-2025'!$G:$G,0,0)</f>
        <v>0</v>
      </c>
      <c r="Y268">
        <f>IF(T268&gt;0,SUM(T268:X268),0)</f>
        <v>0</v>
      </c>
      <c r="Z268">
        <f>_xlfn.XLOOKUP(B268,'[2]april-2025'!$A:$A,'[2]april-2025'!$H:$H,0,0)</f>
        <v>0</v>
      </c>
      <c r="AA268">
        <f>_xlfn.XLOOKUP(B268,'[2]april-2025'!$A:$A,'[2]april-2025'!$I:$I,0,0)</f>
        <v>0</v>
      </c>
      <c r="AB268">
        <f>IF($F268="YES",0,IF(Y268&gt;40000,200,IF(Y268&gt;25000,150,IF(Y268&gt;15000,130,IF(Y268&gt;10000,110,0)))))</f>
        <v>0</v>
      </c>
      <c r="AC268">
        <f>Y268-Z268-AA268-AB268</f>
        <v>0</v>
      </c>
      <c r="AD268">
        <f>_xlfn.XLOOKUP(B268,'[3]may-2025'!$A:$A,'[3]may-2025'!$C:$C,0,0)</f>
        <v>24700</v>
      </c>
      <c r="AE268">
        <f>AD268*0.18</f>
        <v>4446</v>
      </c>
      <c r="AF268">
        <f>AD268*0.12</f>
        <v>2964</v>
      </c>
      <c r="AG268">
        <f>_xlfn.XLOOKUP(B268,'[3]may-2025'!$A:$A,'[3]may-2025'!$D:$D,0,0)</f>
        <v>0</v>
      </c>
      <c r="AH268">
        <f>_xlfn.XLOOKUP(B268,'[3]may-2025'!$A:$A,'[3]may-2025'!$G:$G,0,0)</f>
        <v>0</v>
      </c>
      <c r="AI268">
        <f>IF(AD268&gt;0,SUM(AD268:AH268),0)</f>
        <v>32110</v>
      </c>
      <c r="AJ268">
        <f>_xlfn.XLOOKUP(B268,'[3]may-2025'!$A:$A,'[3]may-2025'!$H:$H,0,0)</f>
        <v>0</v>
      </c>
      <c r="AK268">
        <f>_xlfn.XLOOKUP(B268,'[3]may-2025'!$A:$A,'[3]may-2025'!$I:$I,0,0)</f>
        <v>0</v>
      </c>
      <c r="AL268">
        <f>IF($F268="YES",0,IF(AI268&gt;40000,200,IF(AI268&gt;25000,150,IF(AI268&gt;15000,130,IF(AI268&gt;10000,110,0)))))</f>
        <v>0</v>
      </c>
      <c r="AM268">
        <f>AI268-AJ268-AK268-AL268</f>
        <v>32110</v>
      </c>
      <c r="AN268">
        <f>_xlfn.XLOOKUP(B268,'[4]june-2025'!$A:$A,'[4]june-2025'!$C:$C,0,0)</f>
        <v>24700</v>
      </c>
      <c r="AO268">
        <f>AN268*0.18</f>
        <v>4446</v>
      </c>
      <c r="AP268">
        <f>AN268*0.12</f>
        <v>2964</v>
      </c>
      <c r="AQ268">
        <f>_xlfn.XLOOKUP(B268,'[4]june-2025'!$A:$A,'[4]june-2025'!$D:$D,0,0)</f>
        <v>0</v>
      </c>
      <c r="AR268">
        <f>_xlfn.XLOOKUP(B268,'[4]june-2025'!$A:$A,'[4]june-2025'!$G:$G,0,0)</f>
        <v>0</v>
      </c>
      <c r="AS268">
        <f>IF(AN268&gt;0,SUM(AN268:AR268),0)</f>
        <v>32110</v>
      </c>
      <c r="AT268">
        <f>_xlfn.XLOOKUP(B268,'[4]june-2025'!$A:$A,'[4]june-2025'!$H:$H,0,0)</f>
        <v>0</v>
      </c>
      <c r="AU268">
        <f>_xlfn.XLOOKUP(B268,'[4]june-2025'!$A:$A,'[4]june-2025'!$I:$I,0,0)</f>
        <v>0</v>
      </c>
      <c r="AV268">
        <f>IF($F268="YES",0,IF(AS268&gt;40000,200,IF(AS268&gt;25000,150,IF(AS268&gt;15000,130,IF(AS268&gt;10000,110,0)))))</f>
        <v>0</v>
      </c>
      <c r="AW268">
        <f>AS268-AT268-AU268-AV268</f>
        <v>32110</v>
      </c>
      <c r="AX268">
        <f>_xlfn.XLOOKUP(B268,'[5]july-2025'!$A:$A,'[5]july-2025'!$C:$C,0,0)</f>
        <v>25400</v>
      </c>
      <c r="AY268">
        <f>AX268*0.18</f>
        <v>4572</v>
      </c>
      <c r="AZ268">
        <v>0</v>
      </c>
      <c r="BA268">
        <f>AX268*0.12</f>
        <v>3048</v>
      </c>
      <c r="BB268">
        <f>_xlfn.XLOOKUP(B268,'[5]july-2025'!$A:$A,'[5]july-2025'!$D:$D,0,0)</f>
        <v>0</v>
      </c>
      <c r="BC268">
        <f>_xlfn.XLOOKUP(B268,'[5]july-2025'!$A:$A,'[5]july-2025'!$G:$G,0,0)</f>
        <v>0</v>
      </c>
      <c r="BD268">
        <f>IF(AX268&gt;0,SUM(AX268:BC268),0)</f>
        <v>33020</v>
      </c>
      <c r="BE268">
        <f>_xlfn.XLOOKUP(B268,'[5]july-2025'!$A:$A,'[5]july-2025'!$H:$H,0,0)</f>
        <v>0</v>
      </c>
      <c r="BF268">
        <f>_xlfn.XLOOKUP(B268,'[5]july-2025'!$A:$A,'[5]july-2025'!$I:$I,0,0)</f>
        <v>0</v>
      </c>
      <c r="BG268">
        <f>IF($F268="YES",0,IF(BD268&gt;40000,200,IF(BD268&gt;25000,150,IF(BD268&gt;15000,130,IF(BD268&gt;10000,110,0)))))</f>
        <v>0</v>
      </c>
      <c r="BH268">
        <f>BD268-BE268-BF268-BG268</f>
        <v>33020</v>
      </c>
      <c r="BI268">
        <f>_xlfn.XLOOKUP(B268,'[6]august-2025'!$A:$A,'[6]august-2025'!$C:$C,0,0)</f>
        <v>25400</v>
      </c>
      <c r="BJ268">
        <f>BI268*0.18</f>
        <v>4572</v>
      </c>
      <c r="BK268">
        <f>BI268*0.12</f>
        <v>3048</v>
      </c>
      <c r="BL268">
        <f>_xlfn.XLOOKUP(B268,'[6]august-2025'!$A:$A,'[6]august-2025'!$D:$D,0,0)</f>
        <v>0</v>
      </c>
      <c r="BM268">
        <f>_xlfn.XLOOKUP(B268,'[6]august-2025'!$A:$A,'[6]august-2025'!$G:$G,0,0)</f>
        <v>0</v>
      </c>
      <c r="BN268">
        <f>IF(BI268&gt;0,SUM(BI268:BM268),0)</f>
        <v>33020</v>
      </c>
      <c r="BO268">
        <f>_xlfn.XLOOKUP(B268,'[6]august-2025'!$A:$A,'[6]august-2025'!$H:$H,0,0)</f>
        <v>2000</v>
      </c>
      <c r="BP268">
        <f>_xlfn.XLOOKUP(B268,'[6]august-2025'!$A:$A,'[6]august-2025'!$I:$I,0,0)</f>
        <v>0</v>
      </c>
      <c r="BQ268">
        <f>IF($F268="YES",0,IF(BN268&gt;40000,200,IF(BN268&gt;25000,150,IF(BN268&gt;15000,130,IF(BN268&gt;10000,110,0)))))</f>
        <v>0</v>
      </c>
      <c r="BR268">
        <f>BN268-BO268-BP268-BQ268</f>
        <v>31020</v>
      </c>
      <c r="BS268">
        <f>_xlfn.XLOOKUP(B268,'[7]september-2025'!$A:$A,'[7]september-2025'!$C:$C,0,0)</f>
        <v>25400</v>
      </c>
      <c r="BT268">
        <f>BS268*0.18</f>
        <v>4572</v>
      </c>
      <c r="BU268">
        <f>BS268*0.12</f>
        <v>3048</v>
      </c>
      <c r="BV268">
        <f>_xlfn.XLOOKUP(B268,'[7]september-2025'!$A:$A,'[7]september-2025'!$D:$D,0,0)</f>
        <v>0</v>
      </c>
      <c r="BW268">
        <f>_xlfn.XLOOKUP(B268,'[7]september-2025'!$A:$A,'[7]september-2025'!$G:$G,0,0)</f>
        <v>0</v>
      </c>
      <c r="BX268">
        <f>IF(BS268&gt;0,SUM(BS268:BW268),0)</f>
        <v>33020</v>
      </c>
      <c r="BY268">
        <f>_xlfn.XLOOKUP(B268,'[7]september-2025'!$A:$A,'[7]september-2025'!$H:$H,0,0)</f>
        <v>2000</v>
      </c>
      <c r="BZ268">
        <f>_xlfn.XLOOKUP(B268,'[7]september-2025'!$A:$A,'[7]september-2025'!$I:$I,0,0)</f>
        <v>0</v>
      </c>
      <c r="CA268">
        <f>IF($F268="YES",0,IF(BX268&gt;40000,200,IF(BX268&gt;25000,150,IF(BX268&gt;15000,130,IF(BX268&gt;10000,110,0)))))</f>
        <v>0</v>
      </c>
      <c r="CB268">
        <f>BX268-BY268-BZ268-CA268</f>
        <v>31020</v>
      </c>
      <c r="CC268">
        <f>_xlfn.XLOOKUP(B268,'[8]october-2025'!$A:$A,'[8]october-2025'!$C:$C,0,0)</f>
        <v>25400</v>
      </c>
      <c r="CD268">
        <f>CC268*0.18</f>
        <v>4572</v>
      </c>
      <c r="CE268">
        <f>CC268*0.12</f>
        <v>3048</v>
      </c>
      <c r="CF268">
        <f>_xlfn.XLOOKUP(B268,'[8]october-2025'!$A:$A,'[8]october-2025'!$D:$D,0,0)</f>
        <v>0</v>
      </c>
      <c r="CG268">
        <f>_xlfn.XLOOKUP(B268,'[8]october-2025'!$A:$A,'[8]october-2025'!$G:$G,0,0)</f>
        <v>0</v>
      </c>
      <c r="CH268">
        <f>IF(CC268&gt;0,SUM(CC268:CG268),0)</f>
        <v>33020</v>
      </c>
      <c r="CI268">
        <f>_xlfn.XLOOKUP(B268,'[8]october-2025'!$A:$A,'[8]october-2025'!$H:$H,0,0)</f>
        <v>2000</v>
      </c>
      <c r="CJ268">
        <f>_xlfn.XLOOKUP(B268,'[8]october-2025'!$A:$A,'[8]october-2025'!$I:$I,0,0)</f>
        <v>0</v>
      </c>
      <c r="CK268">
        <f>IF($F268="YES",0,IF(CH268&gt;40000,200,IF(CH268&gt;25000,150,IF(CH268&gt;15000,130,IF(CH268&gt;10000,110,0)))))</f>
        <v>0</v>
      </c>
      <c r="CL268">
        <f>CH268-CI268-CJ268-CK268</f>
        <v>31020</v>
      </c>
      <c r="CM268">
        <f>_xlfn.XLOOKUP(B268,'[9]november-2025'!$A:$A,'[9]november-2025'!$C:$C,0,0)</f>
        <v>25400</v>
      </c>
      <c r="CN268">
        <f>CM268*0.18</f>
        <v>4572</v>
      </c>
      <c r="CO268">
        <f>CM268*0.12</f>
        <v>3048</v>
      </c>
      <c r="CP268">
        <f>_xlfn.XLOOKUP(B268,'[9]november-2025'!$A:$A,'[9]november-2025'!$D:$D,0,0)</f>
        <v>0</v>
      </c>
      <c r="CQ268">
        <f>_xlfn.XLOOKUP(B268,'[9]november-2025'!$A:$A,'[9]november-2025'!$G:$G,0,0)</f>
        <v>0</v>
      </c>
      <c r="CR268">
        <f>IF(CM268&gt;0,SUM(CM268:CQ268),0)</f>
        <v>33020</v>
      </c>
      <c r="CS268">
        <f>_xlfn.XLOOKUP(B268,'[9]november-2025'!$A:$A,'[9]november-2025'!$H:$H,0,0)</f>
        <v>2000</v>
      </c>
      <c r="CT268">
        <f>_xlfn.XLOOKUP(B268,'[9]november-2025'!$A:$A,'[9]november-2025'!$I:$I,0,0)</f>
        <v>0</v>
      </c>
      <c r="CU268">
        <f>IF($F268="YES",0,IF(CR268&gt;40000,200,IF(CR268&gt;25000,150,IF(CR268&gt;15000,130,IF(CR268&gt;10000,110,0)))))</f>
        <v>0</v>
      </c>
      <c r="CV268">
        <f>CR268-CS268-CT268-CU268</f>
        <v>31020</v>
      </c>
      <c r="CW268">
        <f>_xlfn.XLOOKUP(B268,'[10]december-2025'!$A:$A,'[10]december-2025'!$C:$C,0,0)</f>
        <v>25400</v>
      </c>
      <c r="CX268">
        <f>ROUND(CW268*0.18,0)</f>
        <v>4572</v>
      </c>
      <c r="CY268">
        <f>ROUND(CW268*0.12,0)</f>
        <v>3048</v>
      </c>
      <c r="CZ268">
        <f>_xlfn.XLOOKUP(B268,'[10]december-2025'!$A:$A,'[10]december-2025'!$D:$D,0,0)</f>
        <v>0</v>
      </c>
      <c r="DA268">
        <f>_xlfn.XLOOKUP(B268,'[10]december-2025'!$A:$A,'[10]december-2025'!$G:$G,0,0)</f>
        <v>0</v>
      </c>
      <c r="DB268">
        <f>IF(CW268&gt;0,SUM(CW268:DA268),0)</f>
        <v>33020</v>
      </c>
      <c r="DC268">
        <f>_xlfn.XLOOKUP(B268,'[10]december-2025'!$A:$A,'[10]december-2025'!$H:$H,0,0)</f>
        <v>2000</v>
      </c>
      <c r="DD268">
        <f>_xlfn.XLOOKUP(B268,'[10]december-2025'!$A:$A,'[10]december-2025'!$I:$I,0,0)</f>
        <v>0</v>
      </c>
      <c r="DE268">
        <f>IF($F268="YES",0,IF(DB268&gt;40000,200,IF(DB268&gt;25000,150,IF(DB268&gt;15000,130,IF(DB268&gt;10000,110,0)))))</f>
        <v>0</v>
      </c>
      <c r="DF268">
        <f>DB268-DC268-DD268-DE268</f>
        <v>31020</v>
      </c>
      <c r="DG268">
        <f>_xlfn.XLOOKUP(B268,'[11]january-2026'!$A:$A,'[11]january-2026'!$C:$C,0,0)</f>
        <v>25400</v>
      </c>
      <c r="DH268">
        <f>DG268*0.18</f>
        <v>4572</v>
      </c>
      <c r="DI268">
        <f>DG268*0.12</f>
        <v>3048</v>
      </c>
      <c r="DJ268">
        <f>_xlfn.XLOOKUP(B268,'[11]january-2026'!$A:$A,'[11]january-2026'!$D:$D,0,0)</f>
        <v>0</v>
      </c>
      <c r="DK268">
        <f>_xlfn.XLOOKUP(B268,'[11]january-2026'!$A:$A,'[11]january-2026'!$G:$G,0,0)</f>
        <v>0</v>
      </c>
      <c r="DL268">
        <f>IF(DG268&gt;0,SUM(DG268:DK268),0)</f>
        <v>33020</v>
      </c>
      <c r="DM268">
        <f>_xlfn.XLOOKUP(B268,'[11]january-2026'!$A:$A,'[11]january-2026'!$H:$H,0,0)</f>
        <v>2000</v>
      </c>
      <c r="DN268">
        <f>_xlfn.XLOOKUP(B268,'[11]january-2026'!$A:$A,'[11]january-2026'!$I:$I,0,0)</f>
        <v>0</v>
      </c>
      <c r="DO268">
        <f>IF($F268="YES",0,IF(DL268&gt;40000,200,IF(DL268&gt;25000,150,IF(DL268&gt;15000,130,IF(DL268&gt;10000,110,0)))))</f>
        <v>0</v>
      </c>
      <c r="DP268">
        <f>DL268-DM268-DN268-DO268</f>
        <v>31020</v>
      </c>
      <c r="DQ268">
        <f>_xlfn.XLOOKUP(B268,'[12]february-2026'!$A:$A,'[12]february-2026'!$C:$C,0,0)</f>
        <v>25400</v>
      </c>
      <c r="DR268">
        <f>DQ268*0.18</f>
        <v>4572</v>
      </c>
      <c r="DS268">
        <f>DQ268*0.12</f>
        <v>3048</v>
      </c>
      <c r="DT268">
        <f>_xlfn.XLOOKUP(B268,'[12]february-2026'!$A:$A,'[12]february-2026'!$D:$D,0,0)</f>
        <v>0</v>
      </c>
      <c r="DU268">
        <f>_xlfn.XLOOKUP(B268,'[12]february-2026'!$A:$A,'[12]february-2026'!$G:$G,0,0)</f>
        <v>0</v>
      </c>
      <c r="DV268">
        <f>IF(DQ268&gt;0,SUM(DQ268:DU268),0)</f>
        <v>33020</v>
      </c>
      <c r="DW268">
        <f>_xlfn.XLOOKUP(B268,'[12]february-2026'!$A:$A,'[12]february-2026'!$H:$H,0,0)</f>
        <v>2000</v>
      </c>
      <c r="DX268">
        <f>_xlfn.XLOOKUP(B268,'[12]february-2026'!$A:$A,'[12]february-2026'!$I:$I,0,0)</f>
        <v>0</v>
      </c>
      <c r="DY268">
        <f>IF($F268="YES",0,IF(DV268&gt;40000,200,IF(DV268&gt;25000,150,IF(DV268&gt;15000,130,IF(DV268&gt;10000,110,0)))))</f>
        <v>0</v>
      </c>
      <c r="DZ268">
        <f>DV268-DW268-DX268-DY268</f>
        <v>31020</v>
      </c>
      <c r="EA268">
        <f>DV268+DL268+DB268+CR268+CH268+BX268+BN268+BD268+AS268+AI268+Y268+O268+H268+I268</f>
        <v>335180</v>
      </c>
      <c r="EB268">
        <f>DY268+DO268+DE268+CU268+CK268+CA268+BQ268+BG268+AV268+AL268+AB268+R268</f>
        <v>0</v>
      </c>
      <c r="EC268">
        <f>IF(EA268&gt;0,50000,0)</f>
        <v>50000</v>
      </c>
      <c r="ED268">
        <v>0</v>
      </c>
      <c r="EE268">
        <f>EA268-EB268-EC268</f>
        <v>285180</v>
      </c>
      <c r="EF268">
        <f>DW268+DM268+DC268+CS268+CI268+BY268+BO268+BE268+AT268+AJ268+Z268+P268</f>
        <v>14000</v>
      </c>
      <c r="EG268">
        <f>DX268+DN268+DD268+CT268+CJ268+BZ268+BP268+BF268+AU268+AK268+AA268+Q268</f>
        <v>0</v>
      </c>
      <c r="EH268">
        <v>0</v>
      </c>
      <c r="EI268">
        <v>0</v>
      </c>
      <c r="EJ268">
        <v>0</v>
      </c>
      <c r="EK268">
        <v>0</v>
      </c>
      <c r="EL268">
        <v>0</v>
      </c>
      <c r="EM268">
        <v>0</v>
      </c>
      <c r="EN268">
        <v>0</v>
      </c>
      <c r="EO268">
        <v>0</v>
      </c>
      <c r="EP268">
        <v>0</v>
      </c>
      <c r="EQ268">
        <v>0</v>
      </c>
      <c r="ER268">
        <f>SUM(EF268:EQ268)</f>
        <v>14000</v>
      </c>
      <c r="ES268">
        <f>IF(ER268&gt;=150000,150000,ER268)</f>
        <v>14000</v>
      </c>
      <c r="ET268">
        <f>EE268-ES268</f>
        <v>271180</v>
      </c>
      <c r="EU268">
        <v>0</v>
      </c>
      <c r="EV268">
        <v>0</v>
      </c>
      <c r="EW268">
        <v>0</v>
      </c>
      <c r="EX268">
        <v>0</v>
      </c>
      <c r="EY268">
        <v>0</v>
      </c>
      <c r="EZ268">
        <v>0</v>
      </c>
      <c r="FA268">
        <v>0</v>
      </c>
      <c r="FB268">
        <f>SUM(EU268:FA268)+(IF(F268="YES",50000,0))</f>
        <v>50000</v>
      </c>
      <c r="FC268">
        <f>ET268-FB268</f>
        <v>221180</v>
      </c>
      <c r="FD268">
        <f>ROUND(IF(FC268&gt;0,IF(FC268&gt;500000,12500,(FC268-250000)*0.05),0),0)</f>
        <v>-1441</v>
      </c>
      <c r="FE268">
        <f>IF(ROUND(IF(FC268&gt;0,IF(FC268&gt;1000000,25000,(FC268-500000)*0.2),0),0)&lt;0,0,ROUND(IF(FC268&gt;0,IF(FC268&gt;1000000,25000,(FC268-500000)*0.2),0),0))</f>
        <v>0</v>
      </c>
      <c r="FF268">
        <f>FD268+FE268</f>
        <v>-1441</v>
      </c>
      <c r="FG268">
        <f>IF(FF268&lt;12500,0,FF268)</f>
        <v>0</v>
      </c>
      <c r="FH268">
        <f>FG268*0.04</f>
        <v>0</v>
      </c>
      <c r="FI268">
        <f>ROUND(FH268+FG268,0)</f>
        <v>0</v>
      </c>
      <c r="FJ268">
        <v>0</v>
      </c>
      <c r="FK268">
        <f>FI268-FJ268</f>
        <v>0</v>
      </c>
      <c r="FL268" t="b">
        <f>IF(EA268&gt;500000,TRUE,FALSE)</f>
        <v>0</v>
      </c>
      <c r="FM268">
        <f ca="1">IF(FL268,RANDBETWEEN(500,1000),RANDBETWEEN(1000,3000))</f>
        <v>1982</v>
      </c>
      <c r="FN268">
        <f ca="1">EA268+FM268</f>
        <v>337162</v>
      </c>
      <c r="FO268">
        <f>IF(EA268&gt;0,75000,0)</f>
        <v>75000</v>
      </c>
      <c r="FP268">
        <f ca="1">FN268-FO268</f>
        <v>262162</v>
      </c>
      <c r="FQ268">
        <f ca="1">IF(FP268&gt;2400000,FP268-2400000,0)</f>
        <v>0</v>
      </c>
      <c r="FR268">
        <f ca="1">FQ268*0.3</f>
        <v>0</v>
      </c>
      <c r="FS268">
        <f ca="1">IF(FP268&gt;2000000,FP268-2000000,0)</f>
        <v>0</v>
      </c>
      <c r="FT268">
        <f ca="1">FS268*0.25</f>
        <v>0</v>
      </c>
      <c r="FU268">
        <f ca="1">IF(FP268&gt;1600000,FP268-1600000-FQ268,0)</f>
        <v>0</v>
      </c>
      <c r="FV268">
        <f ca="1">FU268*0.2</f>
        <v>0</v>
      </c>
      <c r="FW268">
        <f ca="1">IF(FP268&gt;1200000,FP268-1200000-IF(F268="YES",50000,0)-FU268,0)</f>
        <v>0</v>
      </c>
      <c r="FX268">
        <f ca="1">FW268*0.15</f>
        <v>0</v>
      </c>
      <c r="FY268">
        <f ca="1">IF(FP268&gt;800000,FP268-800000-FQ268-FU268-FW268,0)</f>
        <v>0</v>
      </c>
      <c r="FZ268">
        <f ca="1">FY268*0.1</f>
        <v>0</v>
      </c>
      <c r="GA268">
        <f ca="1">IF(FP268&gt;400000,FP268-400000-FQ268-FU268-FW268-FY268,0)</f>
        <v>0</v>
      </c>
      <c r="GB268">
        <f ca="1">GA268*0.05</f>
        <v>0</v>
      </c>
      <c r="GC268">
        <f ca="1">ROUND(FR268+FT268+FV268+FX268+FZ268+GB268,0)</f>
        <v>0</v>
      </c>
      <c r="GD268">
        <f ca="1">IF(FP268&gt;1200000,FP268,0)</f>
        <v>0</v>
      </c>
      <c r="GE268">
        <f ca="1">IF(FP268&gt;1200000,GD268-1200000,0)</f>
        <v>0</v>
      </c>
      <c r="GF268">
        <f ca="1">IF(FP268&lt;1200001,MIN(GC268,60000),0)</f>
        <v>0</v>
      </c>
      <c r="GG268">
        <f ca="1">IF(FP268&gt;1200000,GC268-GE268,0)</f>
        <v>0</v>
      </c>
      <c r="GH268" t="b">
        <f ca="1">IF(GG268&gt;0,TRUE,FALSE)</f>
        <v>0</v>
      </c>
      <c r="GI268">
        <f ca="1">IF(GH268,GG268,0)</f>
        <v>0</v>
      </c>
      <c r="GJ268">
        <f ca="1">GF268+GI268</f>
        <v>0</v>
      </c>
      <c r="GK268">
        <f ca="1">ROUND(GC268-GJ268,0)</f>
        <v>0</v>
      </c>
      <c r="GL268">
        <f ca="1">GK268*0.04</f>
        <v>0</v>
      </c>
      <c r="GM268">
        <f ca="1">ROUNDUP(GK268+GL268,0)</f>
        <v>0</v>
      </c>
    </row>
    <row r="269" spans="1:195" x14ac:dyDescent="0.25">
      <c r="A269">
        <f>_xlfn.AGGREGATE(3,5,$B$2:B269)</f>
        <v>268</v>
      </c>
      <c r="B269" t="s">
        <v>643</v>
      </c>
      <c r="C269" t="s">
        <v>644</v>
      </c>
      <c r="D269" t="s">
        <v>822</v>
      </c>
      <c r="E269" t="s">
        <v>833</v>
      </c>
      <c r="F269" t="s">
        <v>959</v>
      </c>
      <c r="G269" t="s">
        <v>887</v>
      </c>
      <c r="H269">
        <f>IF(_xlfn.DAYS("31-03-2025",G269)&gt;=180,6800,0)</f>
        <v>6800</v>
      </c>
      <c r="I269">
        <f>_xlfn.XLOOKUP(B269,'[1]march-2025'!$A:$A,'[1]march-2025'!$J:$J,0,0)</f>
        <v>0</v>
      </c>
      <c r="J269">
        <f>_xlfn.XLOOKUP(B269,'[1]march-2025'!$A:$A,'[1]march-2025'!$C:$C,0,0)</f>
        <v>48700</v>
      </c>
      <c r="K269">
        <f>J269*0.14</f>
        <v>6818.0000000000009</v>
      </c>
      <c r="L269">
        <f>J269*0.12</f>
        <v>5844</v>
      </c>
      <c r="M269">
        <f>_xlfn.XLOOKUP(B269,'[1]march-2025'!$A:$A,'[1]march-2025'!$D:$D,0,0)</f>
        <v>400</v>
      </c>
      <c r="N269">
        <f>_xlfn.XLOOKUP(B269,'[1]march-2025'!$A:$A,'[1]march-2025'!$G:$G,0,0)</f>
        <v>0</v>
      </c>
      <c r="O269">
        <f>IF(J269&gt;0,SUM(J269:N269),0)</f>
        <v>61762</v>
      </c>
      <c r="P269">
        <f>_xlfn.XLOOKUP(B269,'[1]march-2025'!$A:$A,'[1]march-2025'!$H:$H,0,0)</f>
        <v>5000</v>
      </c>
      <c r="Q269">
        <f>_xlfn.XLOOKUP(B269,'[1]march-2025'!$A:$A,'[1]march-2025'!$I:$I,0,0)</f>
        <v>60</v>
      </c>
      <c r="R269">
        <f>IF($F269="YES",0,IF(O269&gt;40000,200,IF(O269&gt;25000,150,IF(O269&gt;15000,130,IF(O269&gt;10000,110,0)))))</f>
        <v>200</v>
      </c>
      <c r="S269">
        <f>O269-P269-Q269-R269</f>
        <v>56502</v>
      </c>
      <c r="T269">
        <f>_xlfn.XLOOKUP(B269,'[2]april-2025'!$A:$A,'[2]april-2025'!$C:$C,0,0)</f>
        <v>48700</v>
      </c>
      <c r="U269">
        <f>T269*0.18</f>
        <v>8766</v>
      </c>
      <c r="V269">
        <f>T269*0.12</f>
        <v>5844</v>
      </c>
      <c r="W269">
        <f>_xlfn.XLOOKUP(B269,'[2]april-2025'!$A:$A,'[2]april-2025'!$D:$D,0,0)</f>
        <v>400</v>
      </c>
      <c r="X269">
        <f>_xlfn.XLOOKUP(B269,'[2]april-2025'!$A:$A,'[2]april-2025'!$G:$G,0,0)</f>
        <v>0</v>
      </c>
      <c r="Y269">
        <f>IF(T269&gt;0,SUM(T269:X269),0)</f>
        <v>63710</v>
      </c>
      <c r="Z269">
        <f>_xlfn.XLOOKUP(B269,'[2]april-2025'!$A:$A,'[2]april-2025'!$H:$H,0,0)</f>
        <v>5000</v>
      </c>
      <c r="AA269">
        <f>_xlfn.XLOOKUP(B269,'[2]april-2025'!$A:$A,'[2]april-2025'!$I:$I,0,0)</f>
        <v>60</v>
      </c>
      <c r="AB269">
        <f>IF($F269="YES",0,IF(Y269&gt;40000,200,IF(Y269&gt;25000,150,IF(Y269&gt;15000,130,IF(Y269&gt;10000,110,0)))))</f>
        <v>200</v>
      </c>
      <c r="AC269">
        <f>Y269-Z269-AA269-AB269</f>
        <v>58450</v>
      </c>
      <c r="AD269">
        <f>_xlfn.XLOOKUP(B269,'[3]may-2025'!$A:$A,'[3]may-2025'!$C:$C,0,0)</f>
        <v>48700</v>
      </c>
      <c r="AE269">
        <f>AD269*0.18</f>
        <v>8766</v>
      </c>
      <c r="AF269">
        <f>AD269*0.12</f>
        <v>5844</v>
      </c>
      <c r="AG269">
        <f>_xlfn.XLOOKUP(B269,'[3]may-2025'!$A:$A,'[3]may-2025'!$D:$D,0,0)</f>
        <v>400</v>
      </c>
      <c r="AH269">
        <f>_xlfn.XLOOKUP(B269,'[3]may-2025'!$A:$A,'[3]may-2025'!$G:$G,0,0)</f>
        <v>0</v>
      </c>
      <c r="AI269">
        <f>IF(AD269&gt;0,SUM(AD269:AH269),0)</f>
        <v>63710</v>
      </c>
      <c r="AJ269">
        <f>_xlfn.XLOOKUP(B269,'[3]may-2025'!$A:$A,'[3]may-2025'!$H:$H,0,0)</f>
        <v>5000</v>
      </c>
      <c r="AK269">
        <f>_xlfn.XLOOKUP(B269,'[3]may-2025'!$A:$A,'[3]may-2025'!$I:$I,0,0)</f>
        <v>60</v>
      </c>
      <c r="AL269">
        <f>IF($F269="YES",0,IF(AI269&gt;40000,200,IF(AI269&gt;25000,150,IF(AI269&gt;15000,130,IF(AI269&gt;10000,110,0)))))</f>
        <v>200</v>
      </c>
      <c r="AM269">
        <f>AI269-AJ269-AK269-AL269</f>
        <v>58450</v>
      </c>
      <c r="AN269">
        <f>_xlfn.XLOOKUP(B269,'[4]june-2025'!$A:$A,'[4]june-2025'!$C:$C,0,0)</f>
        <v>48700</v>
      </c>
      <c r="AO269">
        <f>AN269*0.18</f>
        <v>8766</v>
      </c>
      <c r="AP269">
        <f>AN269*0.12</f>
        <v>5844</v>
      </c>
      <c r="AQ269">
        <f>_xlfn.XLOOKUP(B269,'[4]june-2025'!$A:$A,'[4]june-2025'!$D:$D,0,0)</f>
        <v>400</v>
      </c>
      <c r="AR269">
        <f>_xlfn.XLOOKUP(B269,'[4]june-2025'!$A:$A,'[4]june-2025'!$G:$G,0,0)</f>
        <v>0</v>
      </c>
      <c r="AS269">
        <f>IF(AN269&gt;0,SUM(AN269:AR269),0)</f>
        <v>63710</v>
      </c>
      <c r="AT269">
        <f>_xlfn.XLOOKUP(B269,'[4]june-2025'!$A:$A,'[4]june-2025'!$H:$H,0,0)</f>
        <v>5000</v>
      </c>
      <c r="AU269">
        <f>_xlfn.XLOOKUP(B269,'[4]june-2025'!$A:$A,'[4]june-2025'!$I:$I,0,0)</f>
        <v>60</v>
      </c>
      <c r="AV269">
        <f>IF($F269="YES",0,IF(AS269&gt;40000,200,IF(AS269&gt;25000,150,IF(AS269&gt;15000,130,IF(AS269&gt;10000,110,0)))))</f>
        <v>200</v>
      </c>
      <c r="AW269">
        <f>AS269-AT269-AU269-AV269</f>
        <v>58450</v>
      </c>
      <c r="AX269">
        <f>_xlfn.XLOOKUP(B269,'[5]july-2025'!$A:$A,'[5]july-2025'!$C:$C,0,0)</f>
        <v>50200</v>
      </c>
      <c r="AY269">
        <f>AX269*0.18</f>
        <v>9036</v>
      </c>
      <c r="AZ269">
        <v>0</v>
      </c>
      <c r="BA269">
        <f>AX269*0.12</f>
        <v>6024</v>
      </c>
      <c r="BB269">
        <f>_xlfn.XLOOKUP(B269,'[5]july-2025'!$A:$A,'[5]july-2025'!$D:$D,0,0)</f>
        <v>400</v>
      </c>
      <c r="BC269">
        <f>_xlfn.XLOOKUP(B269,'[5]july-2025'!$A:$A,'[5]july-2025'!$G:$G,0,0)</f>
        <v>0</v>
      </c>
      <c r="BD269">
        <f>IF(AX269&gt;0,SUM(AX269:BC269),0)</f>
        <v>65660</v>
      </c>
      <c r="BE269">
        <f>_xlfn.XLOOKUP(B269,'[5]july-2025'!$A:$A,'[5]july-2025'!$H:$H,0,0)</f>
        <v>5000</v>
      </c>
      <c r="BF269">
        <f>_xlfn.XLOOKUP(B269,'[5]july-2025'!$A:$A,'[5]july-2025'!$I:$I,0,0)</f>
        <v>60</v>
      </c>
      <c r="BG269">
        <f>IF($F269="YES",0,IF(BD269&gt;40000,200,IF(BD269&gt;25000,150,IF(BD269&gt;15000,130,IF(BD269&gt;10000,110,0)))))</f>
        <v>200</v>
      </c>
      <c r="BH269">
        <f>BD269-BE269-BF269-BG269</f>
        <v>60400</v>
      </c>
      <c r="BI269">
        <f>_xlfn.XLOOKUP(B269,'[6]august-2025'!$A:$A,'[6]august-2025'!$C:$C,0,0)</f>
        <v>50200</v>
      </c>
      <c r="BJ269">
        <f>BI269*0.18</f>
        <v>9036</v>
      </c>
      <c r="BK269">
        <f>BI269*0.12</f>
        <v>6024</v>
      </c>
      <c r="BL269">
        <f>_xlfn.XLOOKUP(B269,'[6]august-2025'!$A:$A,'[6]august-2025'!$D:$D,0,0)</f>
        <v>400</v>
      </c>
      <c r="BM269">
        <f>_xlfn.XLOOKUP(B269,'[6]august-2025'!$A:$A,'[6]august-2025'!$G:$G,0,0)</f>
        <v>0</v>
      </c>
      <c r="BN269">
        <f>IF(BI269&gt;0,SUM(BI269:BM269),0)</f>
        <v>65660</v>
      </c>
      <c r="BO269">
        <f>_xlfn.XLOOKUP(B269,'[6]august-2025'!$A:$A,'[6]august-2025'!$H:$H,0,0)</f>
        <v>5000</v>
      </c>
      <c r="BP269">
        <f>_xlfn.XLOOKUP(B269,'[6]august-2025'!$A:$A,'[6]august-2025'!$I:$I,0,0)</f>
        <v>60</v>
      </c>
      <c r="BQ269">
        <f>IF($F269="YES",0,IF(BN269&gt;40000,200,IF(BN269&gt;25000,150,IF(BN269&gt;15000,130,IF(BN269&gt;10000,110,0)))))</f>
        <v>200</v>
      </c>
      <c r="BR269">
        <f>BN269-BO269-BP269-BQ269</f>
        <v>60400</v>
      </c>
      <c r="BS269">
        <f>_xlfn.XLOOKUP(B269,'[7]september-2025'!$A:$A,'[7]september-2025'!$C:$C,0,0)</f>
        <v>50200</v>
      </c>
      <c r="BT269">
        <f>BS269*0.18</f>
        <v>9036</v>
      </c>
      <c r="BU269">
        <f>BS269*0.12</f>
        <v>6024</v>
      </c>
      <c r="BV269">
        <f>_xlfn.XLOOKUP(B269,'[7]september-2025'!$A:$A,'[7]september-2025'!$D:$D,0,0)</f>
        <v>400</v>
      </c>
      <c r="BW269">
        <f>_xlfn.XLOOKUP(B269,'[7]september-2025'!$A:$A,'[7]september-2025'!$G:$G,0,0)</f>
        <v>0</v>
      </c>
      <c r="BX269">
        <f>IF(BS269&gt;0,SUM(BS269:BW269),0)</f>
        <v>65660</v>
      </c>
      <c r="BY269">
        <f>_xlfn.XLOOKUP(B269,'[7]september-2025'!$A:$A,'[7]september-2025'!$H:$H,0,0)</f>
        <v>5000</v>
      </c>
      <c r="BZ269">
        <f>_xlfn.XLOOKUP(B269,'[7]september-2025'!$A:$A,'[7]september-2025'!$I:$I,0,0)</f>
        <v>60</v>
      </c>
      <c r="CA269">
        <f>IF($F269="YES",0,IF(BX269&gt;40000,200,IF(BX269&gt;25000,150,IF(BX269&gt;15000,130,IF(BX269&gt;10000,110,0)))))</f>
        <v>200</v>
      </c>
      <c r="CB269">
        <f>BX269-BY269-BZ269-CA269</f>
        <v>60400</v>
      </c>
      <c r="CC269">
        <f>_xlfn.XLOOKUP(B269,'[8]october-2025'!$A:$A,'[8]october-2025'!$C:$C,0,0)</f>
        <v>50200</v>
      </c>
      <c r="CD269">
        <f>CC269*0.18</f>
        <v>9036</v>
      </c>
      <c r="CE269">
        <f>CC269*0.12</f>
        <v>6024</v>
      </c>
      <c r="CF269">
        <f>_xlfn.XLOOKUP(B269,'[8]october-2025'!$A:$A,'[8]october-2025'!$D:$D,0,0)</f>
        <v>400</v>
      </c>
      <c r="CG269">
        <f>_xlfn.XLOOKUP(B269,'[8]october-2025'!$A:$A,'[8]october-2025'!$G:$G,0,0)</f>
        <v>0</v>
      </c>
      <c r="CH269">
        <f>IF(CC269&gt;0,SUM(CC269:CG269),0)</f>
        <v>65660</v>
      </c>
      <c r="CI269">
        <f>_xlfn.XLOOKUP(B269,'[8]october-2025'!$A:$A,'[8]october-2025'!$H:$H,0,0)</f>
        <v>5000</v>
      </c>
      <c r="CJ269">
        <f>_xlfn.XLOOKUP(B269,'[8]october-2025'!$A:$A,'[8]october-2025'!$I:$I,0,0)</f>
        <v>60</v>
      </c>
      <c r="CK269">
        <f>IF($F269="YES",0,IF(CH269&gt;40000,200,IF(CH269&gt;25000,150,IF(CH269&gt;15000,130,IF(CH269&gt;10000,110,0)))))</f>
        <v>200</v>
      </c>
      <c r="CL269">
        <f>CH269-CI269-CJ269-CK269</f>
        <v>60400</v>
      </c>
      <c r="CM269">
        <f>_xlfn.XLOOKUP(B269,'[9]november-2025'!$A:$A,'[9]november-2025'!$C:$C,0,0)</f>
        <v>50200</v>
      </c>
      <c r="CN269">
        <f>CM269*0.18</f>
        <v>9036</v>
      </c>
      <c r="CO269">
        <f>CM269*0.12</f>
        <v>6024</v>
      </c>
      <c r="CP269">
        <f>_xlfn.XLOOKUP(B269,'[9]november-2025'!$A:$A,'[9]november-2025'!$D:$D,0,0)</f>
        <v>400</v>
      </c>
      <c r="CQ269">
        <f>_xlfn.XLOOKUP(B269,'[9]november-2025'!$A:$A,'[9]november-2025'!$G:$G,0,0)</f>
        <v>0</v>
      </c>
      <c r="CR269">
        <f>IF(CM269&gt;0,SUM(CM269:CQ269),0)</f>
        <v>65660</v>
      </c>
      <c r="CS269">
        <f>_xlfn.XLOOKUP(B269,'[9]november-2025'!$A:$A,'[9]november-2025'!$H:$H,0,0)</f>
        <v>5000</v>
      </c>
      <c r="CT269">
        <f>_xlfn.XLOOKUP(B269,'[9]november-2025'!$A:$A,'[9]november-2025'!$I:$I,0,0)</f>
        <v>60</v>
      </c>
      <c r="CU269">
        <f>IF($F269="YES",0,IF(CR269&gt;40000,200,IF(CR269&gt;25000,150,IF(CR269&gt;15000,130,IF(CR269&gt;10000,110,0)))))</f>
        <v>200</v>
      </c>
      <c r="CV269">
        <f>CR269-CS269-CT269-CU269</f>
        <v>60400</v>
      </c>
      <c r="CW269">
        <f>_xlfn.XLOOKUP(B269,'[10]december-2025'!$A:$A,'[10]december-2025'!$C:$C,0,0)</f>
        <v>50200</v>
      </c>
      <c r="CX269">
        <f>ROUND(CW269*0.18,0)</f>
        <v>9036</v>
      </c>
      <c r="CY269">
        <f>ROUND(CW269*0.12,0)</f>
        <v>6024</v>
      </c>
      <c r="CZ269">
        <f>_xlfn.XLOOKUP(B269,'[10]december-2025'!$A:$A,'[10]december-2025'!$D:$D,0,0)</f>
        <v>400</v>
      </c>
      <c r="DA269">
        <f>_xlfn.XLOOKUP(B269,'[10]december-2025'!$A:$A,'[10]december-2025'!$G:$G,0,0)</f>
        <v>0</v>
      </c>
      <c r="DB269">
        <f>IF(CW269&gt;0,SUM(CW269:DA269),0)</f>
        <v>65660</v>
      </c>
      <c r="DC269">
        <f>_xlfn.XLOOKUP(B269,'[10]december-2025'!$A:$A,'[10]december-2025'!$H:$H,0,0)</f>
        <v>5000</v>
      </c>
      <c r="DD269">
        <f>_xlfn.XLOOKUP(B269,'[10]december-2025'!$A:$A,'[10]december-2025'!$I:$I,0,0)</f>
        <v>60</v>
      </c>
      <c r="DE269">
        <f>IF($F269="YES",0,IF(DB269&gt;40000,200,IF(DB269&gt;25000,150,IF(DB269&gt;15000,130,IF(DB269&gt;10000,110,0)))))</f>
        <v>200</v>
      </c>
      <c r="DF269">
        <f>DB269-DC269-DD269-DE269</f>
        <v>60400</v>
      </c>
      <c r="DG269">
        <f>_xlfn.XLOOKUP(B269,'[11]january-2026'!$A:$A,'[11]january-2026'!$C:$C,0,0)</f>
        <v>50200</v>
      </c>
      <c r="DH269">
        <f>DG269*0.18</f>
        <v>9036</v>
      </c>
      <c r="DI269">
        <f>DG269*0.12</f>
        <v>6024</v>
      </c>
      <c r="DJ269">
        <f>_xlfn.XLOOKUP(B269,'[11]january-2026'!$A:$A,'[11]january-2026'!$D:$D,0,0)</f>
        <v>400</v>
      </c>
      <c r="DK269">
        <f>_xlfn.XLOOKUP(B269,'[11]january-2026'!$A:$A,'[11]january-2026'!$G:$G,0,0)</f>
        <v>0</v>
      </c>
      <c r="DL269">
        <f>IF(DG269&gt;0,SUM(DG269:DK269),0)</f>
        <v>65660</v>
      </c>
      <c r="DM269">
        <f>_xlfn.XLOOKUP(B269,'[11]january-2026'!$A:$A,'[11]january-2026'!$H:$H,0,0)</f>
        <v>5000</v>
      </c>
      <c r="DN269">
        <f>_xlfn.XLOOKUP(B269,'[11]january-2026'!$A:$A,'[11]january-2026'!$I:$I,0,0)</f>
        <v>60</v>
      </c>
      <c r="DO269">
        <f>IF($F269="YES",0,IF(DL269&gt;40000,200,IF(DL269&gt;25000,150,IF(DL269&gt;15000,130,IF(DL269&gt;10000,110,0)))))</f>
        <v>200</v>
      </c>
      <c r="DP269">
        <f>DL269-DM269-DN269-DO269</f>
        <v>60400</v>
      </c>
      <c r="DQ269">
        <f>_xlfn.XLOOKUP(B269,'[12]february-2026'!$A:$A,'[12]february-2026'!$C:$C,0,0)</f>
        <v>50200</v>
      </c>
      <c r="DR269">
        <f>DQ269*0.18</f>
        <v>9036</v>
      </c>
      <c r="DS269">
        <f>DQ269*0.12</f>
        <v>6024</v>
      </c>
      <c r="DT269">
        <f>_xlfn.XLOOKUP(B269,'[12]february-2026'!$A:$A,'[12]february-2026'!$D:$D,0,0)</f>
        <v>400</v>
      </c>
      <c r="DU269">
        <f>_xlfn.XLOOKUP(B269,'[12]february-2026'!$A:$A,'[12]february-2026'!$G:$G,0,0)</f>
        <v>0</v>
      </c>
      <c r="DV269">
        <f>IF(DQ269&gt;0,SUM(DQ269:DU269),0)</f>
        <v>65660</v>
      </c>
      <c r="DW269">
        <f>_xlfn.XLOOKUP(B269,'[12]february-2026'!$A:$A,'[12]february-2026'!$H:$H,0,0)</f>
        <v>5000</v>
      </c>
      <c r="DX269">
        <f>_xlfn.XLOOKUP(B269,'[12]february-2026'!$A:$A,'[12]february-2026'!$I:$I,0,0)</f>
        <v>60</v>
      </c>
      <c r="DY269">
        <f>IF($F269="YES",0,IF(DV269&gt;40000,200,IF(DV269&gt;25000,150,IF(DV269&gt;15000,130,IF(DV269&gt;10000,110,0)))))</f>
        <v>200</v>
      </c>
      <c r="DZ269">
        <f>DV269-DW269-DX269-DY269</f>
        <v>60400</v>
      </c>
      <c r="EA269">
        <f>DV269+DL269+DB269+CR269+CH269+BX269+BN269+BD269+AS269+AI269+Y269+O269+H269+I269</f>
        <v>784972</v>
      </c>
      <c r="EB269">
        <f>DY269+DO269+DE269+CU269+CK269+CA269+BQ269+BG269+AV269+AL269+AB269+R269</f>
        <v>2400</v>
      </c>
      <c r="EC269">
        <f>IF(EA269&gt;0,50000,0)</f>
        <v>50000</v>
      </c>
      <c r="ED269">
        <v>0</v>
      </c>
      <c r="EE269">
        <f>EA269-EB269-EC269</f>
        <v>732572</v>
      </c>
      <c r="EF269">
        <f>DW269+DM269+DC269+CS269+CI269+BY269+BO269+BE269+AT269+AJ269+Z269+P269</f>
        <v>60000</v>
      </c>
      <c r="EG269">
        <f>DX269+DN269+DD269+CT269+CJ269+BZ269+BP269+BF269+AU269+AK269+AA269+Q269</f>
        <v>720</v>
      </c>
      <c r="EH269">
        <v>0</v>
      </c>
      <c r="EI269">
        <v>0</v>
      </c>
      <c r="EJ269">
        <v>0</v>
      </c>
      <c r="EK269">
        <v>0</v>
      </c>
      <c r="EL269">
        <v>0</v>
      </c>
      <c r="EM269">
        <v>0</v>
      </c>
      <c r="EN269">
        <v>0</v>
      </c>
      <c r="EO269">
        <v>0</v>
      </c>
      <c r="EP269">
        <v>0</v>
      </c>
      <c r="EQ269">
        <v>0</v>
      </c>
      <c r="ER269">
        <f>SUM(EF269:EQ269)</f>
        <v>60720</v>
      </c>
      <c r="ES269">
        <f>IF(ER269&gt;=150000,150000,ER269)</f>
        <v>60720</v>
      </c>
      <c r="ET269">
        <f>EE269-ES269</f>
        <v>671852</v>
      </c>
      <c r="EU269">
        <v>0</v>
      </c>
      <c r="EV269">
        <v>0</v>
      </c>
      <c r="EW269">
        <v>0</v>
      </c>
      <c r="EX269">
        <v>0</v>
      </c>
      <c r="EY269">
        <v>0</v>
      </c>
      <c r="EZ269">
        <v>0</v>
      </c>
      <c r="FA269">
        <v>0</v>
      </c>
      <c r="FB269">
        <f>SUM(EU269:FA269)+(IF(F269="YES",50000,0))</f>
        <v>0</v>
      </c>
      <c r="FC269">
        <f>ET269-FB269</f>
        <v>671852</v>
      </c>
      <c r="FD269">
        <f>ROUND(IF(FC269&gt;0,IF(FC269&gt;500000,12500,(FC269-250000)*0.05),0),0)</f>
        <v>12500</v>
      </c>
      <c r="FE269">
        <f>IF(ROUND(IF(FC269&gt;0,IF(FC269&gt;1000000,25000,(FC269-500000)*0.2),0),0)&lt;0,0,ROUND(IF(FC269&gt;0,IF(FC269&gt;1000000,25000,(FC269-500000)*0.2),0),0))</f>
        <v>34370</v>
      </c>
      <c r="FF269">
        <f>FD269+FE269</f>
        <v>46870</v>
      </c>
      <c r="FG269">
        <f>IF(FF269&lt;12500,0,FF269)</f>
        <v>46870</v>
      </c>
      <c r="FH269">
        <f>FG269*0.04</f>
        <v>1874.8</v>
      </c>
      <c r="FI269">
        <f>ROUND(FH269+FG269,0)</f>
        <v>48745</v>
      </c>
      <c r="FJ269">
        <v>0</v>
      </c>
      <c r="FK269">
        <f>FI269-FJ269</f>
        <v>48745</v>
      </c>
      <c r="FL269" t="b">
        <f>IF(EA269&gt;500000,TRUE,FALSE)</f>
        <v>1</v>
      </c>
      <c r="FM269">
        <f ca="1">IF(FL269,RANDBETWEEN(500,1000),RANDBETWEEN(1000,3000))</f>
        <v>926</v>
      </c>
      <c r="FN269">
        <f ca="1">EA269+FM269</f>
        <v>785898</v>
      </c>
      <c r="FO269">
        <f>IF(EA269&gt;0,75000,0)</f>
        <v>75000</v>
      </c>
      <c r="FP269">
        <f ca="1">FN269-FO269</f>
        <v>710898</v>
      </c>
      <c r="FQ269">
        <f ca="1">IF(FP269&gt;2400000,FP269-2400000,0)</f>
        <v>0</v>
      </c>
      <c r="FR269">
        <f ca="1">FQ269*0.3</f>
        <v>0</v>
      </c>
      <c r="FS269">
        <f ca="1">IF(FP269&gt;2000000,FP269-2000000,0)</f>
        <v>0</v>
      </c>
      <c r="FT269">
        <f ca="1">FS269*0.25</f>
        <v>0</v>
      </c>
      <c r="FU269">
        <f ca="1">IF(FP269&gt;1600000,FP269-1600000-FQ269,0)</f>
        <v>0</v>
      </c>
      <c r="FV269">
        <f ca="1">FU269*0.2</f>
        <v>0</v>
      </c>
      <c r="FW269">
        <f ca="1">IF(FP269&gt;1200000,FP269-1200000-IF(F269="YES",50000,0)-FU269,0)</f>
        <v>0</v>
      </c>
      <c r="FX269">
        <f ca="1">FW269*0.15</f>
        <v>0</v>
      </c>
      <c r="FY269">
        <f ca="1">IF(FP269&gt;800000,FP269-800000-FQ269-FU269-FW269,0)</f>
        <v>0</v>
      </c>
      <c r="FZ269">
        <f ca="1">FY269*0.1</f>
        <v>0</v>
      </c>
      <c r="GA269">
        <f ca="1">IF(FP269&gt;400000,FP269-400000-FQ269-FU269-FW269-FY269,0)</f>
        <v>310898</v>
      </c>
      <c r="GB269">
        <f ca="1">GA269*0.05</f>
        <v>15544.900000000001</v>
      </c>
      <c r="GC269">
        <f ca="1">ROUND(FR269+FT269+FV269+FX269+FZ269+GB269,0)</f>
        <v>15545</v>
      </c>
      <c r="GD269">
        <f ca="1">IF(FP269&gt;1200000,FP269,0)</f>
        <v>0</v>
      </c>
      <c r="GE269">
        <f ca="1">IF(FP269&gt;1200000,GD269-1200000,0)</f>
        <v>0</v>
      </c>
      <c r="GF269">
        <f ca="1">IF(FP269&lt;1200001,MIN(GC269,60000),0)</f>
        <v>15545</v>
      </c>
      <c r="GG269">
        <f ca="1">IF(FP269&gt;1200000,GC269-GE269,0)</f>
        <v>0</v>
      </c>
      <c r="GH269" t="b">
        <f ca="1">IF(GG269&gt;0,TRUE,FALSE)</f>
        <v>0</v>
      </c>
      <c r="GI269">
        <f ca="1">IF(GH269,GG269,0)</f>
        <v>0</v>
      </c>
      <c r="GJ269">
        <f ca="1">GF269+GI269</f>
        <v>15545</v>
      </c>
      <c r="GK269">
        <f ca="1">ROUND(GC269-GJ269,0)</f>
        <v>0</v>
      </c>
      <c r="GL269">
        <f ca="1">GK269*0.04</f>
        <v>0</v>
      </c>
      <c r="GM269">
        <f ca="1">ROUNDUP(GK269+GL269,0)</f>
        <v>0</v>
      </c>
    </row>
    <row r="270" spans="1:195" x14ac:dyDescent="0.25">
      <c r="A270">
        <f>_xlfn.AGGREGATE(3,5,$B$2:B270)</f>
        <v>269</v>
      </c>
      <c r="B270" t="s">
        <v>645</v>
      </c>
      <c r="C270" t="s">
        <v>646</v>
      </c>
      <c r="D270" t="s">
        <v>822</v>
      </c>
      <c r="E270" t="s">
        <v>833</v>
      </c>
      <c r="F270" t="s">
        <v>959</v>
      </c>
      <c r="G270" t="s">
        <v>882</v>
      </c>
      <c r="H270">
        <f>IF(_xlfn.DAYS("31-03-2025",G270)&gt;=180,6800,0)</f>
        <v>6800</v>
      </c>
      <c r="I270">
        <f>_xlfn.XLOOKUP(B270,'[1]march-2025'!$A:$A,'[1]march-2025'!$J:$J,0,0)</f>
        <v>0</v>
      </c>
      <c r="J270">
        <f>_xlfn.XLOOKUP(B270,'[1]march-2025'!$A:$A,'[1]march-2025'!$C:$C,0,0)</f>
        <v>47300</v>
      </c>
      <c r="K270">
        <f>J270*0.14</f>
        <v>6622.0000000000009</v>
      </c>
      <c r="L270">
        <f>J270*0.12</f>
        <v>5676</v>
      </c>
      <c r="M270">
        <f>_xlfn.XLOOKUP(B270,'[1]march-2025'!$A:$A,'[1]march-2025'!$D:$D,0,0)</f>
        <v>0</v>
      </c>
      <c r="N270">
        <f>_xlfn.XLOOKUP(B270,'[1]march-2025'!$A:$A,'[1]march-2025'!$G:$G,0,0)</f>
        <v>500</v>
      </c>
      <c r="O270">
        <f>IF(J270&gt;0,SUM(J270:N270),0)</f>
        <v>60098</v>
      </c>
      <c r="P270">
        <f>_xlfn.XLOOKUP(B270,'[1]march-2025'!$A:$A,'[1]march-2025'!$H:$H,0,0)</f>
        <v>12000</v>
      </c>
      <c r="Q270">
        <f>_xlfn.XLOOKUP(B270,'[1]march-2025'!$A:$A,'[1]march-2025'!$I:$I,0,0)</f>
        <v>0</v>
      </c>
      <c r="R270">
        <f>IF($F270="YES",0,IF(O270&gt;40000,200,IF(O270&gt;25000,150,IF(O270&gt;15000,130,IF(O270&gt;10000,110,0)))))</f>
        <v>200</v>
      </c>
      <c r="S270">
        <f>O270-P270-Q270-R270</f>
        <v>47898</v>
      </c>
      <c r="T270">
        <f>_xlfn.XLOOKUP(B270,'[2]april-2025'!$A:$A,'[2]april-2025'!$C:$C,0,0)</f>
        <v>47300</v>
      </c>
      <c r="U270">
        <f>T270*0.18</f>
        <v>8514</v>
      </c>
      <c r="V270">
        <f>T270*0.12</f>
        <v>5676</v>
      </c>
      <c r="W270">
        <f>_xlfn.XLOOKUP(B270,'[2]april-2025'!$A:$A,'[2]april-2025'!$D:$D,0,0)</f>
        <v>0</v>
      </c>
      <c r="X270">
        <f>_xlfn.XLOOKUP(B270,'[2]april-2025'!$A:$A,'[2]april-2025'!$G:$G,0,0)</f>
        <v>500</v>
      </c>
      <c r="Y270">
        <f>IF(T270&gt;0,SUM(T270:X270),0)</f>
        <v>61990</v>
      </c>
      <c r="Z270">
        <f>_xlfn.XLOOKUP(B270,'[2]april-2025'!$A:$A,'[2]april-2025'!$H:$H,0,0)</f>
        <v>12000</v>
      </c>
      <c r="AA270">
        <f>_xlfn.XLOOKUP(B270,'[2]april-2025'!$A:$A,'[2]april-2025'!$I:$I,0,0)</f>
        <v>0</v>
      </c>
      <c r="AB270">
        <f>IF($F270="YES",0,IF(Y270&gt;40000,200,IF(Y270&gt;25000,150,IF(Y270&gt;15000,130,IF(Y270&gt;10000,110,0)))))</f>
        <v>200</v>
      </c>
      <c r="AC270">
        <f>Y270-Z270-AA270-AB270</f>
        <v>49790</v>
      </c>
      <c r="AD270">
        <f>_xlfn.XLOOKUP(B270,'[3]may-2025'!$A:$A,'[3]may-2025'!$C:$C,0,0)</f>
        <v>47300</v>
      </c>
      <c r="AE270">
        <f>AD270*0.18</f>
        <v>8514</v>
      </c>
      <c r="AF270">
        <f>AD270*0.12</f>
        <v>5676</v>
      </c>
      <c r="AG270">
        <f>_xlfn.XLOOKUP(B270,'[3]may-2025'!$A:$A,'[3]may-2025'!$D:$D,0,0)</f>
        <v>0</v>
      </c>
      <c r="AH270">
        <f>_xlfn.XLOOKUP(B270,'[3]may-2025'!$A:$A,'[3]may-2025'!$G:$G,0,0)</f>
        <v>500</v>
      </c>
      <c r="AI270">
        <f>IF(AD270&gt;0,SUM(AD270:AH270),0)</f>
        <v>61990</v>
      </c>
      <c r="AJ270">
        <f>_xlfn.XLOOKUP(B270,'[3]may-2025'!$A:$A,'[3]may-2025'!$H:$H,0,0)</f>
        <v>12000</v>
      </c>
      <c r="AK270">
        <f>_xlfn.XLOOKUP(B270,'[3]may-2025'!$A:$A,'[3]may-2025'!$I:$I,0,0)</f>
        <v>0</v>
      </c>
      <c r="AL270">
        <f>IF($F270="YES",0,IF(AI270&gt;40000,200,IF(AI270&gt;25000,150,IF(AI270&gt;15000,130,IF(AI270&gt;10000,110,0)))))</f>
        <v>200</v>
      </c>
      <c r="AM270">
        <f>AI270-AJ270-AK270-AL270</f>
        <v>49790</v>
      </c>
      <c r="AN270">
        <f>_xlfn.XLOOKUP(B270,'[4]june-2025'!$A:$A,'[4]june-2025'!$C:$C,0,0)</f>
        <v>47300</v>
      </c>
      <c r="AO270">
        <f>AN270*0.18</f>
        <v>8514</v>
      </c>
      <c r="AP270">
        <f>AN270*0.12</f>
        <v>5676</v>
      </c>
      <c r="AQ270">
        <f>_xlfn.XLOOKUP(B270,'[4]june-2025'!$A:$A,'[4]june-2025'!$D:$D,0,0)</f>
        <v>0</v>
      </c>
      <c r="AR270">
        <f>_xlfn.XLOOKUP(B270,'[4]june-2025'!$A:$A,'[4]june-2025'!$G:$G,0,0)</f>
        <v>500</v>
      </c>
      <c r="AS270">
        <f>IF(AN270&gt;0,SUM(AN270:AR270),0)</f>
        <v>61990</v>
      </c>
      <c r="AT270">
        <f>_xlfn.XLOOKUP(B270,'[4]june-2025'!$A:$A,'[4]june-2025'!$H:$H,0,0)</f>
        <v>12000</v>
      </c>
      <c r="AU270">
        <f>_xlfn.XLOOKUP(B270,'[4]june-2025'!$A:$A,'[4]june-2025'!$I:$I,0,0)</f>
        <v>0</v>
      </c>
      <c r="AV270">
        <f>IF($F270="YES",0,IF(AS270&gt;40000,200,IF(AS270&gt;25000,150,IF(AS270&gt;15000,130,IF(AS270&gt;10000,110,0)))))</f>
        <v>200</v>
      </c>
      <c r="AW270">
        <f>AS270-AT270-AU270-AV270</f>
        <v>49790</v>
      </c>
      <c r="AX270">
        <f>_xlfn.XLOOKUP(B270,'[5]july-2025'!$A:$A,'[5]july-2025'!$C:$C,0,0)</f>
        <v>48700</v>
      </c>
      <c r="AY270">
        <f>AX270*0.18</f>
        <v>8766</v>
      </c>
      <c r="AZ270">
        <v>0</v>
      </c>
      <c r="BA270">
        <f>AX270*0.12</f>
        <v>5844</v>
      </c>
      <c r="BB270">
        <f>_xlfn.XLOOKUP(B270,'[5]july-2025'!$A:$A,'[5]july-2025'!$D:$D,0,0)</f>
        <v>0</v>
      </c>
      <c r="BC270">
        <f>_xlfn.XLOOKUP(B270,'[5]july-2025'!$A:$A,'[5]july-2025'!$G:$G,0,0)</f>
        <v>500</v>
      </c>
      <c r="BD270">
        <f>IF(AX270&gt;0,SUM(AX270:BC270),0)</f>
        <v>63810</v>
      </c>
      <c r="BE270">
        <f>_xlfn.XLOOKUP(B270,'[5]july-2025'!$A:$A,'[5]july-2025'!$H:$H,0,0)</f>
        <v>12000</v>
      </c>
      <c r="BF270">
        <f>_xlfn.XLOOKUP(B270,'[5]july-2025'!$A:$A,'[5]july-2025'!$I:$I,0,0)</f>
        <v>0</v>
      </c>
      <c r="BG270">
        <f>IF($F270="YES",0,IF(BD270&gt;40000,200,IF(BD270&gt;25000,150,IF(BD270&gt;15000,130,IF(BD270&gt;10000,110,0)))))</f>
        <v>200</v>
      </c>
      <c r="BH270">
        <f>BD270-BE270-BF270-BG270</f>
        <v>51610</v>
      </c>
      <c r="BI270">
        <f>_xlfn.XLOOKUP(B270,'[6]august-2025'!$A:$A,'[6]august-2025'!$C:$C,0,0)</f>
        <v>48700</v>
      </c>
      <c r="BJ270">
        <f>BI270*0.18</f>
        <v>8766</v>
      </c>
      <c r="BK270">
        <f>BI270*0.12</f>
        <v>5844</v>
      </c>
      <c r="BL270">
        <f>_xlfn.XLOOKUP(B270,'[6]august-2025'!$A:$A,'[6]august-2025'!$D:$D,0,0)</f>
        <v>0</v>
      </c>
      <c r="BM270">
        <f>_xlfn.XLOOKUP(B270,'[6]august-2025'!$A:$A,'[6]august-2025'!$G:$G,0,0)</f>
        <v>500</v>
      </c>
      <c r="BN270">
        <f>IF(BI270&gt;0,SUM(BI270:BM270),0)</f>
        <v>63810</v>
      </c>
      <c r="BO270">
        <f>_xlfn.XLOOKUP(B270,'[6]august-2025'!$A:$A,'[6]august-2025'!$H:$H,0,0)</f>
        <v>12000</v>
      </c>
      <c r="BP270">
        <f>_xlfn.XLOOKUP(B270,'[6]august-2025'!$A:$A,'[6]august-2025'!$I:$I,0,0)</f>
        <v>0</v>
      </c>
      <c r="BQ270">
        <f>IF($F270="YES",0,IF(BN270&gt;40000,200,IF(BN270&gt;25000,150,IF(BN270&gt;15000,130,IF(BN270&gt;10000,110,0)))))</f>
        <v>200</v>
      </c>
      <c r="BR270">
        <f>BN270-BO270-BP270-BQ270</f>
        <v>51610</v>
      </c>
      <c r="BS270">
        <f>_xlfn.XLOOKUP(B270,'[7]september-2025'!$A:$A,'[7]september-2025'!$C:$C,0,0)</f>
        <v>48700</v>
      </c>
      <c r="BT270">
        <f>BS270*0.18</f>
        <v>8766</v>
      </c>
      <c r="BU270">
        <f>BS270*0.12</f>
        <v>5844</v>
      </c>
      <c r="BV270">
        <f>_xlfn.XLOOKUP(B270,'[7]september-2025'!$A:$A,'[7]september-2025'!$D:$D,0,0)</f>
        <v>0</v>
      </c>
      <c r="BW270">
        <f>_xlfn.XLOOKUP(B270,'[7]september-2025'!$A:$A,'[7]september-2025'!$G:$G,0,0)</f>
        <v>500</v>
      </c>
      <c r="BX270">
        <f>IF(BS270&gt;0,SUM(BS270:BW270),0)</f>
        <v>63810</v>
      </c>
      <c r="BY270">
        <f>_xlfn.XLOOKUP(B270,'[7]september-2025'!$A:$A,'[7]september-2025'!$H:$H,0,0)</f>
        <v>12000</v>
      </c>
      <c r="BZ270">
        <f>_xlfn.XLOOKUP(B270,'[7]september-2025'!$A:$A,'[7]september-2025'!$I:$I,0,0)</f>
        <v>0</v>
      </c>
      <c r="CA270">
        <f>IF($F270="YES",0,IF(BX270&gt;40000,200,IF(BX270&gt;25000,150,IF(BX270&gt;15000,130,IF(BX270&gt;10000,110,0)))))</f>
        <v>200</v>
      </c>
      <c r="CB270">
        <f>BX270-BY270-BZ270-CA270</f>
        <v>51610</v>
      </c>
      <c r="CC270">
        <f>_xlfn.XLOOKUP(B270,'[8]october-2025'!$A:$A,'[8]october-2025'!$C:$C,0,0)</f>
        <v>48700</v>
      </c>
      <c r="CD270">
        <f>CC270*0.18</f>
        <v>8766</v>
      </c>
      <c r="CE270">
        <f>CC270*0.12</f>
        <v>5844</v>
      </c>
      <c r="CF270">
        <f>_xlfn.XLOOKUP(B270,'[8]october-2025'!$A:$A,'[8]october-2025'!$D:$D,0,0)</f>
        <v>0</v>
      </c>
      <c r="CG270">
        <f>_xlfn.XLOOKUP(B270,'[8]october-2025'!$A:$A,'[8]october-2025'!$G:$G,0,0)</f>
        <v>500</v>
      </c>
      <c r="CH270">
        <f>IF(CC270&gt;0,SUM(CC270:CG270),0)</f>
        <v>63810</v>
      </c>
      <c r="CI270">
        <f>_xlfn.XLOOKUP(B270,'[8]october-2025'!$A:$A,'[8]october-2025'!$H:$H,0,0)</f>
        <v>12000</v>
      </c>
      <c r="CJ270">
        <f>_xlfn.XLOOKUP(B270,'[8]october-2025'!$A:$A,'[8]october-2025'!$I:$I,0,0)</f>
        <v>0</v>
      </c>
      <c r="CK270">
        <f>IF($F270="YES",0,IF(CH270&gt;40000,200,IF(CH270&gt;25000,150,IF(CH270&gt;15000,130,IF(CH270&gt;10000,110,0)))))</f>
        <v>200</v>
      </c>
      <c r="CL270">
        <f>CH270-CI270-CJ270-CK270</f>
        <v>51610</v>
      </c>
      <c r="CM270">
        <f>_xlfn.XLOOKUP(B270,'[9]november-2025'!$A:$A,'[9]november-2025'!$C:$C,0,0)</f>
        <v>48700</v>
      </c>
      <c r="CN270">
        <f>CM270*0.18</f>
        <v>8766</v>
      </c>
      <c r="CO270">
        <f>CM270*0.12</f>
        <v>5844</v>
      </c>
      <c r="CP270">
        <f>_xlfn.XLOOKUP(B270,'[9]november-2025'!$A:$A,'[9]november-2025'!$D:$D,0,0)</f>
        <v>0</v>
      </c>
      <c r="CQ270">
        <f>_xlfn.XLOOKUP(B270,'[9]november-2025'!$A:$A,'[9]november-2025'!$G:$G,0,0)</f>
        <v>500</v>
      </c>
      <c r="CR270">
        <f>IF(CM270&gt;0,SUM(CM270:CQ270),0)</f>
        <v>63810</v>
      </c>
      <c r="CS270">
        <f>_xlfn.XLOOKUP(B270,'[9]november-2025'!$A:$A,'[9]november-2025'!$H:$H,0,0)</f>
        <v>12000</v>
      </c>
      <c r="CT270">
        <f>_xlfn.XLOOKUP(B270,'[9]november-2025'!$A:$A,'[9]november-2025'!$I:$I,0,0)</f>
        <v>0</v>
      </c>
      <c r="CU270">
        <f>IF($F270="YES",0,IF(CR270&gt;40000,200,IF(CR270&gt;25000,150,IF(CR270&gt;15000,130,IF(CR270&gt;10000,110,0)))))</f>
        <v>200</v>
      </c>
      <c r="CV270">
        <f>CR270-CS270-CT270-CU270</f>
        <v>51610</v>
      </c>
      <c r="CW270">
        <f>_xlfn.XLOOKUP(B270,'[10]december-2025'!$A:$A,'[10]december-2025'!$C:$C,0,0)</f>
        <v>48700</v>
      </c>
      <c r="CX270">
        <f>ROUND(CW270*0.18,0)</f>
        <v>8766</v>
      </c>
      <c r="CY270">
        <f>ROUND(CW270*0.12,0)</f>
        <v>5844</v>
      </c>
      <c r="CZ270">
        <f>_xlfn.XLOOKUP(B270,'[10]december-2025'!$A:$A,'[10]december-2025'!$D:$D,0,0)</f>
        <v>0</v>
      </c>
      <c r="DA270">
        <f>_xlfn.XLOOKUP(B270,'[10]december-2025'!$A:$A,'[10]december-2025'!$G:$G,0,0)</f>
        <v>500</v>
      </c>
      <c r="DB270">
        <f>IF(CW270&gt;0,SUM(CW270:DA270),0)</f>
        <v>63810</v>
      </c>
      <c r="DC270">
        <f>_xlfn.XLOOKUP(B270,'[10]december-2025'!$A:$A,'[10]december-2025'!$H:$H,0,0)</f>
        <v>12000</v>
      </c>
      <c r="DD270">
        <f>_xlfn.XLOOKUP(B270,'[10]december-2025'!$A:$A,'[10]december-2025'!$I:$I,0,0)</f>
        <v>0</v>
      </c>
      <c r="DE270">
        <f>IF($F270="YES",0,IF(DB270&gt;40000,200,IF(DB270&gt;25000,150,IF(DB270&gt;15000,130,IF(DB270&gt;10000,110,0)))))</f>
        <v>200</v>
      </c>
      <c r="DF270">
        <f>DB270-DC270-DD270-DE270</f>
        <v>51610</v>
      </c>
      <c r="DG270">
        <f>_xlfn.XLOOKUP(B270,'[11]january-2026'!$A:$A,'[11]january-2026'!$C:$C,0,0)</f>
        <v>48700</v>
      </c>
      <c r="DH270">
        <f>DG270*0.18</f>
        <v>8766</v>
      </c>
      <c r="DI270">
        <f>DG270*0.12</f>
        <v>5844</v>
      </c>
      <c r="DJ270">
        <f>_xlfn.XLOOKUP(B270,'[11]january-2026'!$A:$A,'[11]january-2026'!$D:$D,0,0)</f>
        <v>0</v>
      </c>
      <c r="DK270">
        <f>_xlfn.XLOOKUP(B270,'[11]january-2026'!$A:$A,'[11]january-2026'!$G:$G,0,0)</f>
        <v>500</v>
      </c>
      <c r="DL270">
        <f>IF(DG270&gt;0,SUM(DG270:DK270),0)</f>
        <v>63810</v>
      </c>
      <c r="DM270">
        <f>_xlfn.XLOOKUP(B270,'[11]january-2026'!$A:$A,'[11]january-2026'!$H:$H,0,0)</f>
        <v>0</v>
      </c>
      <c r="DN270">
        <f>_xlfn.XLOOKUP(B270,'[11]january-2026'!$A:$A,'[11]january-2026'!$I:$I,0,0)</f>
        <v>0</v>
      </c>
      <c r="DO270">
        <f>IF($F270="YES",0,IF(DL270&gt;40000,200,IF(DL270&gt;25000,150,IF(DL270&gt;15000,130,IF(DL270&gt;10000,110,0)))))</f>
        <v>200</v>
      </c>
      <c r="DP270">
        <f>DL270-DM270-DN270-DO270</f>
        <v>63610</v>
      </c>
      <c r="DQ270">
        <f>_xlfn.XLOOKUP(B270,'[12]february-2026'!$A:$A,'[12]february-2026'!$C:$C,0,0)</f>
        <v>48700</v>
      </c>
      <c r="DR270">
        <f>DQ270*0.18</f>
        <v>8766</v>
      </c>
      <c r="DS270">
        <f>DQ270*0.12</f>
        <v>5844</v>
      </c>
      <c r="DT270">
        <f>_xlfn.XLOOKUP(B270,'[12]february-2026'!$A:$A,'[12]february-2026'!$D:$D,0,0)</f>
        <v>0</v>
      </c>
      <c r="DU270">
        <f>_xlfn.XLOOKUP(B270,'[12]february-2026'!$A:$A,'[12]february-2026'!$G:$G,0,0)</f>
        <v>500</v>
      </c>
      <c r="DV270">
        <f>IF(DQ270&gt;0,SUM(DQ270:DU270),0)</f>
        <v>63810</v>
      </c>
      <c r="DW270">
        <f>_xlfn.XLOOKUP(B270,'[12]february-2026'!$A:$A,'[12]february-2026'!$H:$H,0,0)</f>
        <v>12000</v>
      </c>
      <c r="DX270">
        <f>_xlfn.XLOOKUP(B270,'[12]february-2026'!$A:$A,'[12]february-2026'!$I:$I,0,0)</f>
        <v>0</v>
      </c>
      <c r="DY270">
        <f>IF($F270="YES",0,IF(DV270&gt;40000,200,IF(DV270&gt;25000,150,IF(DV270&gt;15000,130,IF(DV270&gt;10000,110,0)))))</f>
        <v>200</v>
      </c>
      <c r="DZ270">
        <f>DV270-DW270-DX270-DY270</f>
        <v>51610</v>
      </c>
      <c r="EA270">
        <f>DV270+DL270+DB270+CR270+CH270+BX270+BN270+BD270+AS270+AI270+Y270+O270+H270+I270</f>
        <v>763348</v>
      </c>
      <c r="EB270">
        <f>DY270+DO270+DE270+CU270+CK270+CA270+BQ270+BG270+AV270+AL270+AB270+R270</f>
        <v>2400</v>
      </c>
      <c r="EC270">
        <f>IF(EA270&gt;0,50000,0)</f>
        <v>50000</v>
      </c>
      <c r="ED270">
        <v>0</v>
      </c>
      <c r="EE270">
        <f>EA270-EB270-EC270</f>
        <v>710948</v>
      </c>
      <c r="EF270">
        <f>DW270+DM270+DC270+CS270+CI270+BY270+BO270+BE270+AT270+AJ270+Z270+P270</f>
        <v>132000</v>
      </c>
      <c r="EG270">
        <f>DX270+DN270+DD270+CT270+CJ270+BZ270+BP270+BF270+AU270+AK270+AA270+Q270</f>
        <v>0</v>
      </c>
      <c r="EH270">
        <v>0</v>
      </c>
      <c r="EI270">
        <v>0</v>
      </c>
      <c r="EJ270">
        <v>0</v>
      </c>
      <c r="EK270">
        <v>0</v>
      </c>
      <c r="EL270">
        <v>0</v>
      </c>
      <c r="EM270">
        <v>0</v>
      </c>
      <c r="EN270">
        <v>0</v>
      </c>
      <c r="EO270">
        <v>0</v>
      </c>
      <c r="EP270">
        <v>0</v>
      </c>
      <c r="EQ270">
        <v>0</v>
      </c>
      <c r="ER270">
        <f>SUM(EF270:EQ270)</f>
        <v>132000</v>
      </c>
      <c r="ES270">
        <f>IF(ER270&gt;=150000,150000,ER270)</f>
        <v>132000</v>
      </c>
      <c r="ET270">
        <f>EE270-ES270</f>
        <v>578948</v>
      </c>
      <c r="EU270">
        <v>0</v>
      </c>
      <c r="EV270">
        <v>0</v>
      </c>
      <c r="EW270">
        <v>0</v>
      </c>
      <c r="EX270">
        <v>0</v>
      </c>
      <c r="EY270">
        <v>0</v>
      </c>
      <c r="EZ270">
        <v>0</v>
      </c>
      <c r="FA270">
        <v>0</v>
      </c>
      <c r="FB270">
        <f>SUM(EU270:FA270)+(IF(F270="YES",50000,0))</f>
        <v>0</v>
      </c>
      <c r="FC270">
        <f>ET270-FB270</f>
        <v>578948</v>
      </c>
      <c r="FD270">
        <f>ROUND(IF(FC270&gt;0,IF(FC270&gt;500000,12500,(FC270-250000)*0.05),0),0)</f>
        <v>12500</v>
      </c>
      <c r="FE270">
        <f>IF(ROUND(IF(FC270&gt;0,IF(FC270&gt;1000000,25000,(FC270-500000)*0.2),0),0)&lt;0,0,ROUND(IF(FC270&gt;0,IF(FC270&gt;1000000,25000,(FC270-500000)*0.2),0),0))</f>
        <v>15790</v>
      </c>
      <c r="FF270">
        <f>FD270+FE270</f>
        <v>28290</v>
      </c>
      <c r="FG270">
        <f>IF(FF270&lt;12500,0,FF270)</f>
        <v>28290</v>
      </c>
      <c r="FH270">
        <f>FG270*0.04</f>
        <v>1131.6000000000001</v>
      </c>
      <c r="FI270">
        <f>ROUND(FH270+FG270,0)</f>
        <v>29422</v>
      </c>
      <c r="FJ270">
        <v>0</v>
      </c>
      <c r="FK270">
        <f>FI270-FJ270</f>
        <v>29422</v>
      </c>
      <c r="FL270" t="b">
        <f>IF(EA270&gt;500000,TRUE,FALSE)</f>
        <v>1</v>
      </c>
      <c r="FM270">
        <f ca="1">IF(FL270,RANDBETWEEN(500,1000),RANDBETWEEN(1000,3000))</f>
        <v>796</v>
      </c>
      <c r="FN270">
        <f ca="1">EA270+FM270</f>
        <v>764144</v>
      </c>
      <c r="FO270">
        <f>IF(EA270&gt;0,75000,0)</f>
        <v>75000</v>
      </c>
      <c r="FP270">
        <f ca="1">FN270-FO270</f>
        <v>689144</v>
      </c>
      <c r="FQ270">
        <f ca="1">IF(FP270&gt;2400000,FP270-2400000,0)</f>
        <v>0</v>
      </c>
      <c r="FR270">
        <f ca="1">FQ270*0.3</f>
        <v>0</v>
      </c>
      <c r="FS270">
        <f ca="1">IF(FP270&gt;2000000,FP270-2000000,0)</f>
        <v>0</v>
      </c>
      <c r="FT270">
        <f ca="1">FS270*0.25</f>
        <v>0</v>
      </c>
      <c r="FU270">
        <f ca="1">IF(FP270&gt;1600000,FP270-1600000-FQ270,0)</f>
        <v>0</v>
      </c>
      <c r="FV270">
        <f ca="1">FU270*0.2</f>
        <v>0</v>
      </c>
      <c r="FW270">
        <f ca="1">IF(FP270&gt;1200000,FP270-1200000-IF(F270="YES",50000,0)-FU270,0)</f>
        <v>0</v>
      </c>
      <c r="FX270">
        <f ca="1">FW270*0.15</f>
        <v>0</v>
      </c>
      <c r="FY270">
        <f ca="1">IF(FP270&gt;800000,FP270-800000-FQ270-FU270-FW270,0)</f>
        <v>0</v>
      </c>
      <c r="FZ270">
        <f ca="1">FY270*0.1</f>
        <v>0</v>
      </c>
      <c r="GA270">
        <f ca="1">IF(FP270&gt;400000,FP270-400000-FQ270-FU270-FW270-FY270,0)</f>
        <v>289144</v>
      </c>
      <c r="GB270">
        <f ca="1">GA270*0.05</f>
        <v>14457.2</v>
      </c>
      <c r="GC270">
        <f ca="1">ROUND(FR270+FT270+FV270+FX270+FZ270+GB270,0)</f>
        <v>14457</v>
      </c>
      <c r="GD270">
        <f ca="1">IF(FP270&gt;1200000,FP270,0)</f>
        <v>0</v>
      </c>
      <c r="GE270">
        <f ca="1">IF(FP270&gt;1200000,GD270-1200000,0)</f>
        <v>0</v>
      </c>
      <c r="GF270">
        <f ca="1">IF(FP270&lt;1200001,MIN(GC270,60000),0)</f>
        <v>14457</v>
      </c>
      <c r="GG270">
        <f ca="1">IF(FP270&gt;1200000,GC270-GE270,0)</f>
        <v>0</v>
      </c>
      <c r="GH270" t="b">
        <f ca="1">IF(GG270&gt;0,TRUE,FALSE)</f>
        <v>0</v>
      </c>
      <c r="GI270">
        <f ca="1">IF(GH270,GG270,0)</f>
        <v>0</v>
      </c>
      <c r="GJ270">
        <f ca="1">GF270+GI270</f>
        <v>14457</v>
      </c>
      <c r="GK270">
        <f ca="1">ROUND(GC270-GJ270,0)</f>
        <v>0</v>
      </c>
      <c r="GL270">
        <f ca="1">GK270*0.04</f>
        <v>0</v>
      </c>
      <c r="GM270">
        <f ca="1">ROUNDUP(GK270+GL270,0)</f>
        <v>0</v>
      </c>
    </row>
    <row r="271" spans="1:195" x14ac:dyDescent="0.25">
      <c r="A271">
        <f>_xlfn.AGGREGATE(3,5,$B$2:B271)</f>
        <v>270</v>
      </c>
      <c r="B271" t="s">
        <v>647</v>
      </c>
      <c r="C271" t="s">
        <v>648</v>
      </c>
      <c r="D271" t="s">
        <v>823</v>
      </c>
      <c r="E271" t="s">
        <v>834</v>
      </c>
      <c r="F271" t="s">
        <v>959</v>
      </c>
      <c r="G271" t="s">
        <v>882</v>
      </c>
      <c r="H271">
        <f>IF(_xlfn.DAYS("31-03-2025",G271)&gt;=180,6800,0)</f>
        <v>6800</v>
      </c>
      <c r="I271">
        <f>_xlfn.XLOOKUP(B271,'[1]march-2025'!$A:$A,'[1]march-2025'!$J:$J,0,0)</f>
        <v>0</v>
      </c>
      <c r="J271">
        <f>_xlfn.XLOOKUP(B271,'[1]march-2025'!$A:$A,'[1]march-2025'!$C:$C,0,0)</f>
        <v>51700</v>
      </c>
      <c r="K271">
        <f>J271*0.14</f>
        <v>7238.0000000000009</v>
      </c>
      <c r="L271">
        <f>J271*0.12</f>
        <v>6204</v>
      </c>
      <c r="M271">
        <f>_xlfn.XLOOKUP(B271,'[1]march-2025'!$A:$A,'[1]march-2025'!$D:$D,0,0)</f>
        <v>400</v>
      </c>
      <c r="N271">
        <f>_xlfn.XLOOKUP(B271,'[1]march-2025'!$A:$A,'[1]march-2025'!$G:$G,0,0)</f>
        <v>500</v>
      </c>
      <c r="O271">
        <f>IF(J271&gt;0,SUM(J271:N271),0)</f>
        <v>66042</v>
      </c>
      <c r="P271">
        <f>_xlfn.XLOOKUP(B271,'[1]march-2025'!$A:$A,'[1]march-2025'!$H:$H,0,0)</f>
        <v>8000</v>
      </c>
      <c r="Q271">
        <f>_xlfn.XLOOKUP(B271,'[1]march-2025'!$A:$A,'[1]march-2025'!$I:$I,0,0)</f>
        <v>60</v>
      </c>
      <c r="R271">
        <f>IF($F271="YES",0,IF(O271&gt;40000,200,IF(O271&gt;25000,150,IF(O271&gt;15000,130,IF(O271&gt;10000,110,0)))))</f>
        <v>200</v>
      </c>
      <c r="S271">
        <f>O271-P271-Q271-R271</f>
        <v>57782</v>
      </c>
      <c r="T271">
        <f>_xlfn.XLOOKUP(B271,'[2]april-2025'!$A:$A,'[2]april-2025'!$C:$C,0,0)</f>
        <v>51700</v>
      </c>
      <c r="U271">
        <f>T271*0.18</f>
        <v>9306</v>
      </c>
      <c r="V271">
        <f>T271*0.12</f>
        <v>6204</v>
      </c>
      <c r="W271">
        <f>_xlfn.XLOOKUP(B271,'[2]april-2025'!$A:$A,'[2]april-2025'!$D:$D,0,0)</f>
        <v>400</v>
      </c>
      <c r="X271">
        <f>_xlfn.XLOOKUP(B271,'[2]april-2025'!$A:$A,'[2]april-2025'!$G:$G,0,0)</f>
        <v>500</v>
      </c>
      <c r="Y271">
        <f>IF(T271&gt;0,SUM(T271:X271),0)</f>
        <v>68110</v>
      </c>
      <c r="Z271">
        <f>_xlfn.XLOOKUP(B271,'[2]april-2025'!$A:$A,'[2]april-2025'!$H:$H,0,0)</f>
        <v>8000</v>
      </c>
      <c r="AA271">
        <f>_xlfn.XLOOKUP(B271,'[2]april-2025'!$A:$A,'[2]april-2025'!$I:$I,0,0)</f>
        <v>60</v>
      </c>
      <c r="AB271">
        <f>IF($F271="YES",0,IF(Y271&gt;40000,200,IF(Y271&gt;25000,150,IF(Y271&gt;15000,130,IF(Y271&gt;10000,110,0)))))</f>
        <v>200</v>
      </c>
      <c r="AC271">
        <f>Y271-Z271-AA271-AB271</f>
        <v>59850</v>
      </c>
      <c r="AD271">
        <f>_xlfn.XLOOKUP(B271,'[3]may-2025'!$A:$A,'[3]may-2025'!$C:$C,0,0)</f>
        <v>51700</v>
      </c>
      <c r="AE271">
        <f>AD271*0.18</f>
        <v>9306</v>
      </c>
      <c r="AF271">
        <f>AD271*0.12</f>
        <v>6204</v>
      </c>
      <c r="AG271">
        <f>_xlfn.XLOOKUP(B271,'[3]may-2025'!$A:$A,'[3]may-2025'!$D:$D,0,0)</f>
        <v>400</v>
      </c>
      <c r="AH271">
        <f>_xlfn.XLOOKUP(B271,'[3]may-2025'!$A:$A,'[3]may-2025'!$G:$G,0,0)</f>
        <v>500</v>
      </c>
      <c r="AI271">
        <f>IF(AD271&gt;0,SUM(AD271:AH271),0)</f>
        <v>68110</v>
      </c>
      <c r="AJ271">
        <f>_xlfn.XLOOKUP(B271,'[3]may-2025'!$A:$A,'[3]may-2025'!$H:$H,0,0)</f>
        <v>8000</v>
      </c>
      <c r="AK271">
        <f>_xlfn.XLOOKUP(B271,'[3]may-2025'!$A:$A,'[3]may-2025'!$I:$I,0,0)</f>
        <v>60</v>
      </c>
      <c r="AL271">
        <f>IF($F271="YES",0,IF(AI271&gt;40000,200,IF(AI271&gt;25000,150,IF(AI271&gt;15000,130,IF(AI271&gt;10000,110,0)))))</f>
        <v>200</v>
      </c>
      <c r="AM271">
        <f>AI271-AJ271-AK271-AL271</f>
        <v>59850</v>
      </c>
      <c r="AN271">
        <f>_xlfn.XLOOKUP(B271,'[4]june-2025'!$A:$A,'[4]june-2025'!$C:$C,0,0)</f>
        <v>51700</v>
      </c>
      <c r="AO271">
        <f>AN271*0.18</f>
        <v>9306</v>
      </c>
      <c r="AP271">
        <f>AN271*0.12</f>
        <v>6204</v>
      </c>
      <c r="AQ271">
        <f>_xlfn.XLOOKUP(B271,'[4]june-2025'!$A:$A,'[4]june-2025'!$D:$D,0,0)</f>
        <v>400</v>
      </c>
      <c r="AR271">
        <f>_xlfn.XLOOKUP(B271,'[4]june-2025'!$A:$A,'[4]june-2025'!$G:$G,0,0)</f>
        <v>500</v>
      </c>
      <c r="AS271">
        <f>IF(AN271&gt;0,SUM(AN271:AR271),0)</f>
        <v>68110</v>
      </c>
      <c r="AT271">
        <f>_xlfn.XLOOKUP(B271,'[4]june-2025'!$A:$A,'[4]june-2025'!$H:$H,0,0)</f>
        <v>8000</v>
      </c>
      <c r="AU271">
        <f>_xlfn.XLOOKUP(B271,'[4]june-2025'!$A:$A,'[4]june-2025'!$I:$I,0,0)</f>
        <v>60</v>
      </c>
      <c r="AV271">
        <f>IF($F271="YES",0,IF(AS271&gt;40000,200,IF(AS271&gt;25000,150,IF(AS271&gt;15000,130,IF(AS271&gt;10000,110,0)))))</f>
        <v>200</v>
      </c>
      <c r="AW271">
        <f>AS271-AT271-AU271-AV271</f>
        <v>59850</v>
      </c>
      <c r="AX271">
        <f>_xlfn.XLOOKUP(B271,'[5]july-2025'!$A:$A,'[5]july-2025'!$C:$C,0,0)</f>
        <v>53300</v>
      </c>
      <c r="AY271">
        <f>AX271*0.18</f>
        <v>9594</v>
      </c>
      <c r="AZ271">
        <v>0</v>
      </c>
      <c r="BA271">
        <f>AX271*0.12</f>
        <v>6396</v>
      </c>
      <c r="BB271">
        <f>_xlfn.XLOOKUP(B271,'[5]july-2025'!$A:$A,'[5]july-2025'!$D:$D,0,0)</f>
        <v>400</v>
      </c>
      <c r="BC271">
        <f>_xlfn.XLOOKUP(B271,'[5]july-2025'!$A:$A,'[5]july-2025'!$G:$G,0,0)</f>
        <v>500</v>
      </c>
      <c r="BD271">
        <f>IF(AX271&gt;0,SUM(AX271:BC271),0)</f>
        <v>70190</v>
      </c>
      <c r="BE271">
        <f>_xlfn.XLOOKUP(B271,'[5]july-2025'!$A:$A,'[5]july-2025'!$H:$H,0,0)</f>
        <v>8000</v>
      </c>
      <c r="BF271">
        <f>_xlfn.XLOOKUP(B271,'[5]july-2025'!$A:$A,'[5]july-2025'!$I:$I,0,0)</f>
        <v>60</v>
      </c>
      <c r="BG271">
        <f>IF($F271="YES",0,IF(BD271&gt;40000,200,IF(BD271&gt;25000,150,IF(BD271&gt;15000,130,IF(BD271&gt;10000,110,0)))))</f>
        <v>200</v>
      </c>
      <c r="BH271">
        <f>BD271-BE271-BF271-BG271</f>
        <v>61930</v>
      </c>
      <c r="BI271">
        <f>_xlfn.XLOOKUP(B271,'[6]august-2025'!$A:$A,'[6]august-2025'!$C:$C,0,0)</f>
        <v>53300</v>
      </c>
      <c r="BJ271">
        <f>BI271*0.18</f>
        <v>9594</v>
      </c>
      <c r="BK271">
        <f>BI271*0.12</f>
        <v>6396</v>
      </c>
      <c r="BL271">
        <f>_xlfn.XLOOKUP(B271,'[6]august-2025'!$A:$A,'[6]august-2025'!$D:$D,0,0)</f>
        <v>400</v>
      </c>
      <c r="BM271">
        <f>_xlfn.XLOOKUP(B271,'[6]august-2025'!$A:$A,'[6]august-2025'!$G:$G,0,0)</f>
        <v>500</v>
      </c>
      <c r="BN271">
        <f>IF(BI271&gt;0,SUM(BI271:BM271),0)</f>
        <v>70190</v>
      </c>
      <c r="BO271">
        <f>_xlfn.XLOOKUP(B271,'[6]august-2025'!$A:$A,'[6]august-2025'!$H:$H,0,0)</f>
        <v>8000</v>
      </c>
      <c r="BP271">
        <f>_xlfn.XLOOKUP(B271,'[6]august-2025'!$A:$A,'[6]august-2025'!$I:$I,0,0)</f>
        <v>60</v>
      </c>
      <c r="BQ271">
        <f>IF($F271="YES",0,IF(BN271&gt;40000,200,IF(BN271&gt;25000,150,IF(BN271&gt;15000,130,IF(BN271&gt;10000,110,0)))))</f>
        <v>200</v>
      </c>
      <c r="BR271">
        <f>BN271-BO271-BP271-BQ271</f>
        <v>61930</v>
      </c>
      <c r="BS271">
        <f>_xlfn.XLOOKUP(B271,'[7]september-2025'!$A:$A,'[7]september-2025'!$C:$C,0,0)</f>
        <v>53300</v>
      </c>
      <c r="BT271">
        <f>BS271*0.18</f>
        <v>9594</v>
      </c>
      <c r="BU271">
        <f>BS271*0.12</f>
        <v>6396</v>
      </c>
      <c r="BV271">
        <f>_xlfn.XLOOKUP(B271,'[7]september-2025'!$A:$A,'[7]september-2025'!$D:$D,0,0)</f>
        <v>400</v>
      </c>
      <c r="BW271">
        <f>_xlfn.XLOOKUP(B271,'[7]september-2025'!$A:$A,'[7]september-2025'!$G:$G,0,0)</f>
        <v>500</v>
      </c>
      <c r="BX271">
        <f>IF(BS271&gt;0,SUM(BS271:BW271),0)</f>
        <v>70190</v>
      </c>
      <c r="BY271">
        <f>_xlfn.XLOOKUP(B271,'[7]september-2025'!$A:$A,'[7]september-2025'!$H:$H,0,0)</f>
        <v>8000</v>
      </c>
      <c r="BZ271">
        <f>_xlfn.XLOOKUP(B271,'[7]september-2025'!$A:$A,'[7]september-2025'!$I:$I,0,0)</f>
        <v>60</v>
      </c>
      <c r="CA271">
        <f>IF($F271="YES",0,IF(BX271&gt;40000,200,IF(BX271&gt;25000,150,IF(BX271&gt;15000,130,IF(BX271&gt;10000,110,0)))))</f>
        <v>200</v>
      </c>
      <c r="CB271">
        <f>BX271-BY271-BZ271-CA271</f>
        <v>61930</v>
      </c>
      <c r="CC271">
        <f>_xlfn.XLOOKUP(B271,'[8]october-2025'!$A:$A,'[8]october-2025'!$C:$C,0,0)</f>
        <v>53300</v>
      </c>
      <c r="CD271">
        <f>CC271*0.18</f>
        <v>9594</v>
      </c>
      <c r="CE271">
        <f>CC271*0.12</f>
        <v>6396</v>
      </c>
      <c r="CF271">
        <f>_xlfn.XLOOKUP(B271,'[8]october-2025'!$A:$A,'[8]october-2025'!$D:$D,0,0)</f>
        <v>400</v>
      </c>
      <c r="CG271">
        <f>_xlfn.XLOOKUP(B271,'[8]october-2025'!$A:$A,'[8]october-2025'!$G:$G,0,0)</f>
        <v>500</v>
      </c>
      <c r="CH271">
        <f>IF(CC271&gt;0,SUM(CC271:CG271),0)</f>
        <v>70190</v>
      </c>
      <c r="CI271">
        <f>_xlfn.XLOOKUP(B271,'[8]october-2025'!$A:$A,'[8]october-2025'!$H:$H,0,0)</f>
        <v>8000</v>
      </c>
      <c r="CJ271">
        <f>_xlfn.XLOOKUP(B271,'[8]october-2025'!$A:$A,'[8]october-2025'!$I:$I,0,0)</f>
        <v>60</v>
      </c>
      <c r="CK271">
        <f>IF($F271="YES",0,IF(CH271&gt;40000,200,IF(CH271&gt;25000,150,IF(CH271&gt;15000,130,IF(CH271&gt;10000,110,0)))))</f>
        <v>200</v>
      </c>
      <c r="CL271">
        <f>CH271-CI271-CJ271-CK271</f>
        <v>61930</v>
      </c>
      <c r="CM271">
        <f>_xlfn.XLOOKUP(B271,'[9]november-2025'!$A:$A,'[9]november-2025'!$C:$C,0,0)</f>
        <v>53300</v>
      </c>
      <c r="CN271">
        <f>CM271*0.18</f>
        <v>9594</v>
      </c>
      <c r="CO271">
        <f>CM271*0.12</f>
        <v>6396</v>
      </c>
      <c r="CP271">
        <f>_xlfn.XLOOKUP(B271,'[9]november-2025'!$A:$A,'[9]november-2025'!$D:$D,0,0)</f>
        <v>400</v>
      </c>
      <c r="CQ271">
        <f>_xlfn.XLOOKUP(B271,'[9]november-2025'!$A:$A,'[9]november-2025'!$G:$G,0,0)</f>
        <v>500</v>
      </c>
      <c r="CR271">
        <f>IF(CM271&gt;0,SUM(CM271:CQ271),0)</f>
        <v>70190</v>
      </c>
      <c r="CS271">
        <f>_xlfn.XLOOKUP(B271,'[9]november-2025'!$A:$A,'[9]november-2025'!$H:$H,0,0)</f>
        <v>8000</v>
      </c>
      <c r="CT271">
        <f>_xlfn.XLOOKUP(B271,'[9]november-2025'!$A:$A,'[9]november-2025'!$I:$I,0,0)</f>
        <v>60</v>
      </c>
      <c r="CU271">
        <f>IF($F271="YES",0,IF(CR271&gt;40000,200,IF(CR271&gt;25000,150,IF(CR271&gt;15000,130,IF(CR271&gt;10000,110,0)))))</f>
        <v>200</v>
      </c>
      <c r="CV271">
        <f>CR271-CS271-CT271-CU271</f>
        <v>61930</v>
      </c>
      <c r="CW271">
        <f>_xlfn.XLOOKUP(B271,'[10]december-2025'!$A:$A,'[10]december-2025'!$C:$C,0,0)</f>
        <v>53300</v>
      </c>
      <c r="CX271">
        <f>ROUND(CW271*0.18,0)</f>
        <v>9594</v>
      </c>
      <c r="CY271">
        <f>ROUND(CW271*0.12,0)</f>
        <v>6396</v>
      </c>
      <c r="CZ271">
        <f>_xlfn.XLOOKUP(B271,'[10]december-2025'!$A:$A,'[10]december-2025'!$D:$D,0,0)</f>
        <v>400</v>
      </c>
      <c r="DA271">
        <f>_xlfn.XLOOKUP(B271,'[10]december-2025'!$A:$A,'[10]december-2025'!$G:$G,0,0)</f>
        <v>500</v>
      </c>
      <c r="DB271">
        <f>IF(CW271&gt;0,SUM(CW271:DA271),0)</f>
        <v>70190</v>
      </c>
      <c r="DC271">
        <f>_xlfn.XLOOKUP(B271,'[10]december-2025'!$A:$A,'[10]december-2025'!$H:$H,0,0)</f>
        <v>8000</v>
      </c>
      <c r="DD271">
        <f>_xlfn.XLOOKUP(B271,'[10]december-2025'!$A:$A,'[10]december-2025'!$I:$I,0,0)</f>
        <v>60</v>
      </c>
      <c r="DE271">
        <f>IF($F271="YES",0,IF(DB271&gt;40000,200,IF(DB271&gt;25000,150,IF(DB271&gt;15000,130,IF(DB271&gt;10000,110,0)))))</f>
        <v>200</v>
      </c>
      <c r="DF271">
        <f>DB271-DC271-DD271-DE271</f>
        <v>61930</v>
      </c>
      <c r="DG271">
        <f>_xlfn.XLOOKUP(B271,'[11]january-2026'!$A:$A,'[11]january-2026'!$C:$C,0,0)</f>
        <v>53300</v>
      </c>
      <c r="DH271">
        <f>DG271*0.18</f>
        <v>9594</v>
      </c>
      <c r="DI271">
        <f>DG271*0.12</f>
        <v>6396</v>
      </c>
      <c r="DJ271">
        <f>_xlfn.XLOOKUP(B271,'[11]january-2026'!$A:$A,'[11]january-2026'!$D:$D,0,0)</f>
        <v>400</v>
      </c>
      <c r="DK271">
        <f>_xlfn.XLOOKUP(B271,'[11]january-2026'!$A:$A,'[11]january-2026'!$G:$G,0,0)</f>
        <v>500</v>
      </c>
      <c r="DL271">
        <f>IF(DG271&gt;0,SUM(DG271:DK271),0)</f>
        <v>70190</v>
      </c>
      <c r="DM271">
        <f>_xlfn.XLOOKUP(B271,'[11]january-2026'!$A:$A,'[11]january-2026'!$H:$H,0,0)</f>
        <v>8000</v>
      </c>
      <c r="DN271">
        <f>_xlfn.XLOOKUP(B271,'[11]january-2026'!$A:$A,'[11]january-2026'!$I:$I,0,0)</f>
        <v>60</v>
      </c>
      <c r="DO271">
        <f>IF($F271="YES",0,IF(DL271&gt;40000,200,IF(DL271&gt;25000,150,IF(DL271&gt;15000,130,IF(DL271&gt;10000,110,0)))))</f>
        <v>200</v>
      </c>
      <c r="DP271">
        <f>DL271-DM271-DN271-DO271</f>
        <v>61930</v>
      </c>
      <c r="DQ271">
        <f>_xlfn.XLOOKUP(B271,'[12]february-2026'!$A:$A,'[12]february-2026'!$C:$C,0,0)</f>
        <v>53300</v>
      </c>
      <c r="DR271">
        <f>DQ271*0.18</f>
        <v>9594</v>
      </c>
      <c r="DS271">
        <f>DQ271*0.12</f>
        <v>6396</v>
      </c>
      <c r="DT271">
        <f>_xlfn.XLOOKUP(B271,'[12]february-2026'!$A:$A,'[12]february-2026'!$D:$D,0,0)</f>
        <v>400</v>
      </c>
      <c r="DU271">
        <f>_xlfn.XLOOKUP(B271,'[12]february-2026'!$A:$A,'[12]february-2026'!$G:$G,0,0)</f>
        <v>500</v>
      </c>
      <c r="DV271">
        <f>IF(DQ271&gt;0,SUM(DQ271:DU271),0)</f>
        <v>70190</v>
      </c>
      <c r="DW271">
        <f>_xlfn.XLOOKUP(B271,'[12]february-2026'!$A:$A,'[12]february-2026'!$H:$H,0,0)</f>
        <v>8000</v>
      </c>
      <c r="DX271">
        <f>_xlfn.XLOOKUP(B271,'[12]february-2026'!$A:$A,'[12]february-2026'!$I:$I,0,0)</f>
        <v>60</v>
      </c>
      <c r="DY271">
        <f>IF($F271="YES",0,IF(DV271&gt;40000,200,IF(DV271&gt;25000,150,IF(DV271&gt;15000,130,IF(DV271&gt;10000,110,0)))))</f>
        <v>200</v>
      </c>
      <c r="DZ271">
        <f>DV271-DW271-DX271-DY271</f>
        <v>61930</v>
      </c>
      <c r="EA271">
        <f>DV271+DL271+DB271+CR271+CH271+BX271+BN271+BD271+AS271+AI271+Y271+O271+H271+I271</f>
        <v>838692</v>
      </c>
      <c r="EB271">
        <f>DY271+DO271+DE271+CU271+CK271+CA271+BQ271+BG271+AV271+AL271+AB271+R271</f>
        <v>2400</v>
      </c>
      <c r="EC271">
        <f>IF(EA271&gt;0,50000,0)</f>
        <v>50000</v>
      </c>
      <c r="ED271">
        <v>0</v>
      </c>
      <c r="EE271">
        <f>EA271-EB271-EC271</f>
        <v>786292</v>
      </c>
      <c r="EF271">
        <f>DW271+DM271+DC271+CS271+CI271+BY271+BO271+BE271+AT271+AJ271+Z271+P271</f>
        <v>96000</v>
      </c>
      <c r="EG271">
        <f>DX271+DN271+DD271+CT271+CJ271+BZ271+BP271+BF271+AU271+AK271+AA271+Q271</f>
        <v>720</v>
      </c>
      <c r="EH271">
        <v>0</v>
      </c>
      <c r="EI271">
        <v>0</v>
      </c>
      <c r="EJ271">
        <v>0</v>
      </c>
      <c r="EK271">
        <v>0</v>
      </c>
      <c r="EL271">
        <v>0</v>
      </c>
      <c r="EM271">
        <v>0</v>
      </c>
      <c r="EN271">
        <v>0</v>
      </c>
      <c r="EO271">
        <v>0</v>
      </c>
      <c r="EP271">
        <v>0</v>
      </c>
      <c r="EQ271">
        <v>0</v>
      </c>
      <c r="ER271">
        <f>SUM(EF271:EQ271)</f>
        <v>96720</v>
      </c>
      <c r="ES271">
        <f>IF(ER271&gt;=150000,150000,ER271)</f>
        <v>96720</v>
      </c>
      <c r="ET271">
        <f>EE271-ES271</f>
        <v>689572</v>
      </c>
      <c r="EU271">
        <v>0</v>
      </c>
      <c r="EV271">
        <v>0</v>
      </c>
      <c r="EW271">
        <v>0</v>
      </c>
      <c r="EX271">
        <v>0</v>
      </c>
      <c r="EY271">
        <v>0</v>
      </c>
      <c r="EZ271">
        <v>0</v>
      </c>
      <c r="FA271">
        <v>0</v>
      </c>
      <c r="FB271">
        <f>SUM(EU271:FA271)+(IF(F271="YES",50000,0))</f>
        <v>0</v>
      </c>
      <c r="FC271">
        <f>ET271-FB271</f>
        <v>689572</v>
      </c>
      <c r="FD271">
        <f>ROUND(IF(FC271&gt;0,IF(FC271&gt;500000,12500,(FC271-250000)*0.05),0),0)</f>
        <v>12500</v>
      </c>
      <c r="FE271">
        <f>IF(ROUND(IF(FC271&gt;0,IF(FC271&gt;1000000,25000,(FC271-500000)*0.2),0),0)&lt;0,0,ROUND(IF(FC271&gt;0,IF(FC271&gt;1000000,25000,(FC271-500000)*0.2),0),0))</f>
        <v>37914</v>
      </c>
      <c r="FF271">
        <f>FD271+FE271</f>
        <v>50414</v>
      </c>
      <c r="FG271">
        <f>IF(FF271&lt;12500,0,FF271)</f>
        <v>50414</v>
      </c>
      <c r="FH271">
        <f>FG271*0.04</f>
        <v>2016.56</v>
      </c>
      <c r="FI271">
        <f>ROUND(FH271+FG271,0)</f>
        <v>52431</v>
      </c>
      <c r="FJ271">
        <v>0</v>
      </c>
      <c r="FK271">
        <f>FI271-FJ271</f>
        <v>52431</v>
      </c>
      <c r="FL271" t="b">
        <f>IF(EA271&gt;500000,TRUE,FALSE)</f>
        <v>1</v>
      </c>
      <c r="FM271">
        <f ca="1">IF(FL271,RANDBETWEEN(500,1000),RANDBETWEEN(1000,3000))</f>
        <v>711</v>
      </c>
      <c r="FN271">
        <f ca="1">EA271+FM271</f>
        <v>839403</v>
      </c>
      <c r="FO271">
        <f>IF(EA271&gt;0,75000,0)</f>
        <v>75000</v>
      </c>
      <c r="FP271">
        <f ca="1">FN271-FO271</f>
        <v>764403</v>
      </c>
      <c r="FQ271">
        <f ca="1">IF(FP271&gt;2400000,FP271-2400000,0)</f>
        <v>0</v>
      </c>
      <c r="FR271">
        <f ca="1">FQ271*0.3</f>
        <v>0</v>
      </c>
      <c r="FS271">
        <f ca="1">IF(FP271&gt;2000000,FP271-2000000,0)</f>
        <v>0</v>
      </c>
      <c r="FT271">
        <f ca="1">FS271*0.25</f>
        <v>0</v>
      </c>
      <c r="FU271">
        <f ca="1">IF(FP271&gt;1600000,FP271-1600000-FQ271,0)</f>
        <v>0</v>
      </c>
      <c r="FV271">
        <f ca="1">FU271*0.2</f>
        <v>0</v>
      </c>
      <c r="FW271">
        <f ca="1">IF(FP271&gt;1200000,FP271-1200000-IF(F271="YES",50000,0)-FU271,0)</f>
        <v>0</v>
      </c>
      <c r="FX271">
        <f ca="1">FW271*0.15</f>
        <v>0</v>
      </c>
      <c r="FY271">
        <f ca="1">IF(FP271&gt;800000,FP271-800000-FQ271-FU271-FW271,0)</f>
        <v>0</v>
      </c>
      <c r="FZ271">
        <f ca="1">FY271*0.1</f>
        <v>0</v>
      </c>
      <c r="GA271">
        <f ca="1">IF(FP271&gt;400000,FP271-400000-FQ271-FU271-FW271-FY271,0)</f>
        <v>364403</v>
      </c>
      <c r="GB271">
        <f ca="1">GA271*0.05</f>
        <v>18220.150000000001</v>
      </c>
      <c r="GC271">
        <f ca="1">ROUND(FR271+FT271+FV271+FX271+FZ271+GB271,0)</f>
        <v>18220</v>
      </c>
      <c r="GD271">
        <f ca="1">IF(FP271&gt;1200000,FP271,0)</f>
        <v>0</v>
      </c>
      <c r="GE271">
        <f ca="1">IF(FP271&gt;1200000,GD271-1200000,0)</f>
        <v>0</v>
      </c>
      <c r="GF271">
        <f ca="1">IF(FP271&lt;1200001,MIN(GC271,60000),0)</f>
        <v>18220</v>
      </c>
      <c r="GG271">
        <f ca="1">IF(FP271&gt;1200000,GC271-GE271,0)</f>
        <v>0</v>
      </c>
      <c r="GH271" t="b">
        <f ca="1">IF(GG271&gt;0,TRUE,FALSE)</f>
        <v>0</v>
      </c>
      <c r="GI271">
        <f ca="1">IF(GH271,GG271,0)</f>
        <v>0</v>
      </c>
      <c r="GJ271">
        <f ca="1">GF271+GI271</f>
        <v>18220</v>
      </c>
      <c r="GK271">
        <f ca="1">ROUND(GC271-GJ271,0)</f>
        <v>0</v>
      </c>
      <c r="GL271">
        <f ca="1">GK271*0.04</f>
        <v>0</v>
      </c>
      <c r="GM271">
        <f ca="1">ROUNDUP(GK271+GL271,0)</f>
        <v>0</v>
      </c>
    </row>
    <row r="272" spans="1:195" x14ac:dyDescent="0.25">
      <c r="A272">
        <f>_xlfn.AGGREGATE(3,5,$B$2:B272)</f>
        <v>271</v>
      </c>
      <c r="B272" t="s">
        <v>649</v>
      </c>
      <c r="C272" t="s">
        <v>650</v>
      </c>
      <c r="D272" t="s">
        <v>823</v>
      </c>
      <c r="E272" t="s">
        <v>834</v>
      </c>
      <c r="F272" t="s">
        <v>959</v>
      </c>
      <c r="G272" t="s">
        <v>890</v>
      </c>
      <c r="H272">
        <f>IF(_xlfn.DAYS("31-03-2025",G272)&gt;=180,6800,0)</f>
        <v>6800</v>
      </c>
      <c r="I272">
        <f>_xlfn.XLOOKUP(B272,'[1]march-2025'!$A:$A,'[1]march-2025'!$J:$J,0,0)</f>
        <v>0</v>
      </c>
      <c r="J272">
        <f>_xlfn.XLOOKUP(B272,'[1]march-2025'!$A:$A,'[1]march-2025'!$C:$C,0,0)</f>
        <v>37700</v>
      </c>
      <c r="K272">
        <f>J272*0.14</f>
        <v>5278.0000000000009</v>
      </c>
      <c r="L272">
        <f>J272*0.12</f>
        <v>4524</v>
      </c>
      <c r="M272">
        <f>_xlfn.XLOOKUP(B272,'[1]march-2025'!$A:$A,'[1]march-2025'!$D:$D,0,0)</f>
        <v>0</v>
      </c>
      <c r="N272">
        <f>_xlfn.XLOOKUP(B272,'[1]march-2025'!$A:$A,'[1]march-2025'!$G:$G,0,0)</f>
        <v>500</v>
      </c>
      <c r="O272">
        <f>IF(J272&gt;0,SUM(J272:N272),0)</f>
        <v>48002</v>
      </c>
      <c r="P272">
        <f>_xlfn.XLOOKUP(B272,'[1]march-2025'!$A:$A,'[1]march-2025'!$H:$H,0,0)</f>
        <v>5000</v>
      </c>
      <c r="Q272">
        <f>_xlfn.XLOOKUP(B272,'[1]march-2025'!$A:$A,'[1]march-2025'!$I:$I,0,0)</f>
        <v>0</v>
      </c>
      <c r="R272">
        <f>IF($F272="YES",0,IF(O272&gt;40000,200,IF(O272&gt;25000,150,IF(O272&gt;15000,130,IF(O272&gt;10000,110,0)))))</f>
        <v>200</v>
      </c>
      <c r="S272">
        <f>O272-P272-Q272-R272</f>
        <v>42802</v>
      </c>
      <c r="T272">
        <f>_xlfn.XLOOKUP(B272,'[2]april-2025'!$A:$A,'[2]april-2025'!$C:$C,0,0)</f>
        <v>37700</v>
      </c>
      <c r="U272">
        <f>T272*0.18</f>
        <v>6786</v>
      </c>
      <c r="V272">
        <f>T272*0.12</f>
        <v>4524</v>
      </c>
      <c r="W272">
        <f>_xlfn.XLOOKUP(B272,'[2]april-2025'!$A:$A,'[2]april-2025'!$D:$D,0,0)</f>
        <v>0</v>
      </c>
      <c r="X272">
        <f>_xlfn.XLOOKUP(B272,'[2]april-2025'!$A:$A,'[2]april-2025'!$G:$G,0,0)</f>
        <v>500</v>
      </c>
      <c r="Y272">
        <f>IF(T272&gt;0,SUM(T272:X272),0)</f>
        <v>49510</v>
      </c>
      <c r="Z272">
        <f>_xlfn.XLOOKUP(B272,'[2]april-2025'!$A:$A,'[2]april-2025'!$H:$H,0,0)</f>
        <v>5000</v>
      </c>
      <c r="AA272">
        <f>_xlfn.XLOOKUP(B272,'[2]april-2025'!$A:$A,'[2]april-2025'!$I:$I,0,0)</f>
        <v>0</v>
      </c>
      <c r="AB272">
        <f>IF($F272="YES",0,IF(Y272&gt;40000,200,IF(Y272&gt;25000,150,IF(Y272&gt;15000,130,IF(Y272&gt;10000,110,0)))))</f>
        <v>200</v>
      </c>
      <c r="AC272">
        <f>Y272-Z272-AA272-AB272</f>
        <v>44310</v>
      </c>
      <c r="AD272">
        <f>_xlfn.XLOOKUP(B272,'[3]may-2025'!$A:$A,'[3]may-2025'!$C:$C,0,0)</f>
        <v>37700</v>
      </c>
      <c r="AE272">
        <f>AD272*0.18</f>
        <v>6786</v>
      </c>
      <c r="AF272">
        <f>AD272*0.12</f>
        <v>4524</v>
      </c>
      <c r="AG272">
        <f>_xlfn.XLOOKUP(B272,'[3]may-2025'!$A:$A,'[3]may-2025'!$D:$D,0,0)</f>
        <v>0</v>
      </c>
      <c r="AH272">
        <f>_xlfn.XLOOKUP(B272,'[3]may-2025'!$A:$A,'[3]may-2025'!$G:$G,0,0)</f>
        <v>500</v>
      </c>
      <c r="AI272">
        <f>IF(AD272&gt;0,SUM(AD272:AH272),0)</f>
        <v>49510</v>
      </c>
      <c r="AJ272">
        <f>_xlfn.XLOOKUP(B272,'[3]may-2025'!$A:$A,'[3]may-2025'!$H:$H,0,0)</f>
        <v>5000</v>
      </c>
      <c r="AK272">
        <f>_xlfn.XLOOKUP(B272,'[3]may-2025'!$A:$A,'[3]may-2025'!$I:$I,0,0)</f>
        <v>0</v>
      </c>
      <c r="AL272">
        <f>IF($F272="YES",0,IF(AI272&gt;40000,200,IF(AI272&gt;25000,150,IF(AI272&gt;15000,130,IF(AI272&gt;10000,110,0)))))</f>
        <v>200</v>
      </c>
      <c r="AM272">
        <f>AI272-AJ272-AK272-AL272</f>
        <v>44310</v>
      </c>
      <c r="AN272">
        <f>_xlfn.XLOOKUP(B272,'[4]june-2025'!$A:$A,'[4]june-2025'!$C:$C,0,0)</f>
        <v>37700</v>
      </c>
      <c r="AO272">
        <f>AN272*0.18</f>
        <v>6786</v>
      </c>
      <c r="AP272">
        <f>AN272*0.12</f>
        <v>4524</v>
      </c>
      <c r="AQ272">
        <f>_xlfn.XLOOKUP(B272,'[4]june-2025'!$A:$A,'[4]june-2025'!$D:$D,0,0)</f>
        <v>0</v>
      </c>
      <c r="AR272">
        <f>_xlfn.XLOOKUP(B272,'[4]june-2025'!$A:$A,'[4]june-2025'!$G:$G,0,0)</f>
        <v>500</v>
      </c>
      <c r="AS272">
        <f>IF(AN272&gt;0,SUM(AN272:AR272),0)</f>
        <v>49510</v>
      </c>
      <c r="AT272">
        <f>_xlfn.XLOOKUP(B272,'[4]june-2025'!$A:$A,'[4]june-2025'!$H:$H,0,0)</f>
        <v>5000</v>
      </c>
      <c r="AU272">
        <f>_xlfn.XLOOKUP(B272,'[4]june-2025'!$A:$A,'[4]june-2025'!$I:$I,0,0)</f>
        <v>0</v>
      </c>
      <c r="AV272">
        <f>IF($F272="YES",0,IF(AS272&gt;40000,200,IF(AS272&gt;25000,150,IF(AS272&gt;15000,130,IF(AS272&gt;10000,110,0)))))</f>
        <v>200</v>
      </c>
      <c r="AW272">
        <f>AS272-AT272-AU272-AV272</f>
        <v>44310</v>
      </c>
      <c r="AX272">
        <f>_xlfn.XLOOKUP(B272,'[5]july-2025'!$A:$A,'[5]july-2025'!$C:$C,0,0)</f>
        <v>38800</v>
      </c>
      <c r="AY272">
        <f>AX272*0.18</f>
        <v>6984</v>
      </c>
      <c r="AZ272">
        <v>0</v>
      </c>
      <c r="BA272">
        <f>AX272*0.12</f>
        <v>4656</v>
      </c>
      <c r="BB272">
        <f>_xlfn.XLOOKUP(B272,'[5]july-2025'!$A:$A,'[5]july-2025'!$D:$D,0,0)</f>
        <v>0</v>
      </c>
      <c r="BC272">
        <f>_xlfn.XLOOKUP(B272,'[5]july-2025'!$A:$A,'[5]july-2025'!$G:$G,0,0)</f>
        <v>500</v>
      </c>
      <c r="BD272">
        <f>IF(AX272&gt;0,SUM(AX272:BC272),0)</f>
        <v>50940</v>
      </c>
      <c r="BE272">
        <f>_xlfn.XLOOKUP(B272,'[5]july-2025'!$A:$A,'[5]july-2025'!$H:$H,0,0)</f>
        <v>5000</v>
      </c>
      <c r="BF272">
        <f>_xlfn.XLOOKUP(B272,'[5]july-2025'!$A:$A,'[5]july-2025'!$I:$I,0,0)</f>
        <v>0</v>
      </c>
      <c r="BG272">
        <f>IF($F272="YES",0,IF(BD272&gt;40000,200,IF(BD272&gt;25000,150,IF(BD272&gt;15000,130,IF(BD272&gt;10000,110,0)))))</f>
        <v>200</v>
      </c>
      <c r="BH272">
        <f>BD272-BE272-BF272-BG272</f>
        <v>45740</v>
      </c>
      <c r="BI272">
        <f>_xlfn.XLOOKUP(B272,'[6]august-2025'!$A:$A,'[6]august-2025'!$C:$C,0,0)</f>
        <v>38800</v>
      </c>
      <c r="BJ272">
        <f>BI272*0.18</f>
        <v>6984</v>
      </c>
      <c r="BK272">
        <f>BI272*0.12</f>
        <v>4656</v>
      </c>
      <c r="BL272">
        <f>_xlfn.XLOOKUP(B272,'[6]august-2025'!$A:$A,'[6]august-2025'!$D:$D,0,0)</f>
        <v>0</v>
      </c>
      <c r="BM272">
        <f>_xlfn.XLOOKUP(B272,'[6]august-2025'!$A:$A,'[6]august-2025'!$G:$G,0,0)</f>
        <v>500</v>
      </c>
      <c r="BN272">
        <f>IF(BI272&gt;0,SUM(BI272:BM272),0)</f>
        <v>50940</v>
      </c>
      <c r="BO272">
        <f>_xlfn.XLOOKUP(B272,'[6]august-2025'!$A:$A,'[6]august-2025'!$H:$H,0,0)</f>
        <v>5000</v>
      </c>
      <c r="BP272">
        <f>_xlfn.XLOOKUP(B272,'[6]august-2025'!$A:$A,'[6]august-2025'!$I:$I,0,0)</f>
        <v>0</v>
      </c>
      <c r="BQ272">
        <f>IF($F272="YES",0,IF(BN272&gt;40000,200,IF(BN272&gt;25000,150,IF(BN272&gt;15000,130,IF(BN272&gt;10000,110,0)))))</f>
        <v>200</v>
      </c>
      <c r="BR272">
        <f>BN272-BO272-BP272-BQ272</f>
        <v>45740</v>
      </c>
      <c r="BS272">
        <f>_xlfn.XLOOKUP(B272,'[7]september-2025'!$A:$A,'[7]september-2025'!$C:$C,0,0)</f>
        <v>38800</v>
      </c>
      <c r="BT272">
        <f>BS272*0.18</f>
        <v>6984</v>
      </c>
      <c r="BU272">
        <f>BS272*0.12</f>
        <v>4656</v>
      </c>
      <c r="BV272">
        <f>_xlfn.XLOOKUP(B272,'[7]september-2025'!$A:$A,'[7]september-2025'!$D:$D,0,0)</f>
        <v>0</v>
      </c>
      <c r="BW272">
        <f>_xlfn.XLOOKUP(B272,'[7]september-2025'!$A:$A,'[7]september-2025'!$G:$G,0,0)</f>
        <v>500</v>
      </c>
      <c r="BX272">
        <f>IF(BS272&gt;0,SUM(BS272:BW272),0)</f>
        <v>50940</v>
      </c>
      <c r="BY272">
        <f>_xlfn.XLOOKUP(B272,'[7]september-2025'!$A:$A,'[7]september-2025'!$H:$H,0,0)</f>
        <v>5000</v>
      </c>
      <c r="BZ272">
        <f>_xlfn.XLOOKUP(B272,'[7]september-2025'!$A:$A,'[7]september-2025'!$I:$I,0,0)</f>
        <v>0</v>
      </c>
      <c r="CA272">
        <f>IF($F272="YES",0,IF(BX272&gt;40000,200,IF(BX272&gt;25000,150,IF(BX272&gt;15000,130,IF(BX272&gt;10000,110,0)))))</f>
        <v>200</v>
      </c>
      <c r="CB272">
        <f>BX272-BY272-BZ272-CA272</f>
        <v>45740</v>
      </c>
      <c r="CC272">
        <f>_xlfn.XLOOKUP(B272,'[8]october-2025'!$A:$A,'[8]october-2025'!$C:$C,0,0)</f>
        <v>38800</v>
      </c>
      <c r="CD272">
        <f>CC272*0.18</f>
        <v>6984</v>
      </c>
      <c r="CE272">
        <f>CC272*0.12</f>
        <v>4656</v>
      </c>
      <c r="CF272">
        <f>_xlfn.XLOOKUP(B272,'[8]october-2025'!$A:$A,'[8]october-2025'!$D:$D,0,0)</f>
        <v>0</v>
      </c>
      <c r="CG272">
        <f>_xlfn.XLOOKUP(B272,'[8]october-2025'!$A:$A,'[8]october-2025'!$G:$G,0,0)</f>
        <v>500</v>
      </c>
      <c r="CH272">
        <f>IF(CC272&gt;0,SUM(CC272:CG272),0)</f>
        <v>50940</v>
      </c>
      <c r="CI272">
        <f>_xlfn.XLOOKUP(B272,'[8]october-2025'!$A:$A,'[8]october-2025'!$H:$H,0,0)</f>
        <v>5000</v>
      </c>
      <c r="CJ272">
        <f>_xlfn.XLOOKUP(B272,'[8]october-2025'!$A:$A,'[8]october-2025'!$I:$I,0,0)</f>
        <v>0</v>
      </c>
      <c r="CK272">
        <f>IF($F272="YES",0,IF(CH272&gt;40000,200,IF(CH272&gt;25000,150,IF(CH272&gt;15000,130,IF(CH272&gt;10000,110,0)))))</f>
        <v>200</v>
      </c>
      <c r="CL272">
        <f>CH272-CI272-CJ272-CK272</f>
        <v>45740</v>
      </c>
      <c r="CM272">
        <f>_xlfn.XLOOKUP(B272,'[9]november-2025'!$A:$A,'[9]november-2025'!$C:$C,0,0)</f>
        <v>38800</v>
      </c>
      <c r="CN272">
        <f>CM272*0.18</f>
        <v>6984</v>
      </c>
      <c r="CO272">
        <f>CM272*0.12</f>
        <v>4656</v>
      </c>
      <c r="CP272">
        <f>_xlfn.XLOOKUP(B272,'[9]november-2025'!$A:$A,'[9]november-2025'!$D:$D,0,0)</f>
        <v>0</v>
      </c>
      <c r="CQ272">
        <f>_xlfn.XLOOKUP(B272,'[9]november-2025'!$A:$A,'[9]november-2025'!$G:$G,0,0)</f>
        <v>500</v>
      </c>
      <c r="CR272">
        <f>IF(CM272&gt;0,SUM(CM272:CQ272),0)</f>
        <v>50940</v>
      </c>
      <c r="CS272">
        <f>_xlfn.XLOOKUP(B272,'[9]november-2025'!$A:$A,'[9]november-2025'!$H:$H,0,0)</f>
        <v>5000</v>
      </c>
      <c r="CT272">
        <f>_xlfn.XLOOKUP(B272,'[9]november-2025'!$A:$A,'[9]november-2025'!$I:$I,0,0)</f>
        <v>0</v>
      </c>
      <c r="CU272">
        <f>IF($F272="YES",0,IF(CR272&gt;40000,200,IF(CR272&gt;25000,150,IF(CR272&gt;15000,130,IF(CR272&gt;10000,110,0)))))</f>
        <v>200</v>
      </c>
      <c r="CV272">
        <f>CR272-CS272-CT272-CU272</f>
        <v>45740</v>
      </c>
      <c r="CW272">
        <f>_xlfn.XLOOKUP(B272,'[10]december-2025'!$A:$A,'[10]december-2025'!$C:$C,0,0)</f>
        <v>38800</v>
      </c>
      <c r="CX272">
        <f>ROUND(CW272*0.18,0)</f>
        <v>6984</v>
      </c>
      <c r="CY272">
        <f>ROUND(CW272*0.12,0)</f>
        <v>4656</v>
      </c>
      <c r="CZ272">
        <f>_xlfn.XLOOKUP(B272,'[10]december-2025'!$A:$A,'[10]december-2025'!$D:$D,0,0)</f>
        <v>0</v>
      </c>
      <c r="DA272">
        <f>_xlfn.XLOOKUP(B272,'[10]december-2025'!$A:$A,'[10]december-2025'!$G:$G,0,0)</f>
        <v>500</v>
      </c>
      <c r="DB272">
        <f>IF(CW272&gt;0,SUM(CW272:DA272),0)</f>
        <v>50940</v>
      </c>
      <c r="DC272">
        <f>_xlfn.XLOOKUP(B272,'[10]december-2025'!$A:$A,'[10]december-2025'!$H:$H,0,0)</f>
        <v>5000</v>
      </c>
      <c r="DD272">
        <f>_xlfn.XLOOKUP(B272,'[10]december-2025'!$A:$A,'[10]december-2025'!$I:$I,0,0)</f>
        <v>0</v>
      </c>
      <c r="DE272">
        <f>IF($F272="YES",0,IF(DB272&gt;40000,200,IF(DB272&gt;25000,150,IF(DB272&gt;15000,130,IF(DB272&gt;10000,110,0)))))</f>
        <v>200</v>
      </c>
      <c r="DF272">
        <f>DB272-DC272-DD272-DE272</f>
        <v>45740</v>
      </c>
      <c r="DG272">
        <f>_xlfn.XLOOKUP(B272,'[11]january-2026'!$A:$A,'[11]january-2026'!$C:$C,0,0)</f>
        <v>38800</v>
      </c>
      <c r="DH272">
        <f>DG272*0.18</f>
        <v>6984</v>
      </c>
      <c r="DI272">
        <f>DG272*0.12</f>
        <v>4656</v>
      </c>
      <c r="DJ272">
        <f>_xlfn.XLOOKUP(B272,'[11]january-2026'!$A:$A,'[11]january-2026'!$D:$D,0,0)</f>
        <v>0</v>
      </c>
      <c r="DK272">
        <f>_xlfn.XLOOKUP(B272,'[11]january-2026'!$A:$A,'[11]january-2026'!$G:$G,0,0)</f>
        <v>500</v>
      </c>
      <c r="DL272">
        <f>IF(DG272&gt;0,SUM(DG272:DK272),0)</f>
        <v>50940</v>
      </c>
      <c r="DM272">
        <f>_xlfn.XLOOKUP(B272,'[11]january-2026'!$A:$A,'[11]january-2026'!$H:$H,0,0)</f>
        <v>5000</v>
      </c>
      <c r="DN272">
        <f>_xlfn.XLOOKUP(B272,'[11]january-2026'!$A:$A,'[11]january-2026'!$I:$I,0,0)</f>
        <v>0</v>
      </c>
      <c r="DO272">
        <f>IF($F272="YES",0,IF(DL272&gt;40000,200,IF(DL272&gt;25000,150,IF(DL272&gt;15000,130,IF(DL272&gt;10000,110,0)))))</f>
        <v>200</v>
      </c>
      <c r="DP272">
        <f>DL272-DM272-DN272-DO272</f>
        <v>45740</v>
      </c>
      <c r="DQ272">
        <f>_xlfn.XLOOKUP(B272,'[12]february-2026'!$A:$A,'[12]february-2026'!$C:$C,0,0)</f>
        <v>38800</v>
      </c>
      <c r="DR272">
        <f>DQ272*0.18</f>
        <v>6984</v>
      </c>
      <c r="DS272">
        <f>DQ272*0.12</f>
        <v>4656</v>
      </c>
      <c r="DT272">
        <f>_xlfn.XLOOKUP(B272,'[12]february-2026'!$A:$A,'[12]february-2026'!$D:$D,0,0)</f>
        <v>0</v>
      </c>
      <c r="DU272">
        <f>_xlfn.XLOOKUP(B272,'[12]february-2026'!$A:$A,'[12]february-2026'!$G:$G,0,0)</f>
        <v>500</v>
      </c>
      <c r="DV272">
        <f>IF(DQ272&gt;0,SUM(DQ272:DU272),0)</f>
        <v>50940</v>
      </c>
      <c r="DW272">
        <f>_xlfn.XLOOKUP(B272,'[12]february-2026'!$A:$A,'[12]february-2026'!$H:$H,0,0)</f>
        <v>5000</v>
      </c>
      <c r="DX272">
        <f>_xlfn.XLOOKUP(B272,'[12]february-2026'!$A:$A,'[12]february-2026'!$I:$I,0,0)</f>
        <v>0</v>
      </c>
      <c r="DY272">
        <f>IF($F272="YES",0,IF(DV272&gt;40000,200,IF(DV272&gt;25000,150,IF(DV272&gt;15000,130,IF(DV272&gt;10000,110,0)))))</f>
        <v>200</v>
      </c>
      <c r="DZ272">
        <f>DV272-DW272-DX272-DY272</f>
        <v>45740</v>
      </c>
      <c r="EA272">
        <f>DV272+DL272+DB272+CR272+CH272+BX272+BN272+BD272+AS272+AI272+Y272+O272+H272+I272</f>
        <v>610852</v>
      </c>
      <c r="EB272">
        <f>DY272+DO272+DE272+CU272+CK272+CA272+BQ272+BG272+AV272+AL272+AB272+R272</f>
        <v>2400</v>
      </c>
      <c r="EC272">
        <f>IF(EA272&gt;0,50000,0)</f>
        <v>50000</v>
      </c>
      <c r="ED272">
        <v>0</v>
      </c>
      <c r="EE272">
        <f>EA272-EB272-EC272</f>
        <v>558452</v>
      </c>
      <c r="EF272">
        <f>DW272+DM272+DC272+CS272+CI272+BY272+BO272+BE272+AT272+AJ272+Z272+P272</f>
        <v>60000</v>
      </c>
      <c r="EG272">
        <f>DX272+DN272+DD272+CT272+CJ272+BZ272+BP272+BF272+AU272+AK272+AA272+Q272</f>
        <v>0</v>
      </c>
      <c r="EH272">
        <v>0</v>
      </c>
      <c r="EI272">
        <v>0</v>
      </c>
      <c r="EJ272">
        <v>0</v>
      </c>
      <c r="EK272">
        <v>0</v>
      </c>
      <c r="EL272">
        <v>0</v>
      </c>
      <c r="EM272">
        <v>0</v>
      </c>
      <c r="EN272">
        <v>0</v>
      </c>
      <c r="EO272">
        <v>0</v>
      </c>
      <c r="EP272">
        <v>0</v>
      </c>
      <c r="EQ272">
        <v>0</v>
      </c>
      <c r="ER272">
        <f>SUM(EF272:EQ272)</f>
        <v>60000</v>
      </c>
      <c r="ES272">
        <f>IF(ER272&gt;=150000,150000,ER272)</f>
        <v>60000</v>
      </c>
      <c r="ET272">
        <f>EE272-ES272</f>
        <v>498452</v>
      </c>
      <c r="EU272">
        <v>0</v>
      </c>
      <c r="EV272">
        <v>0</v>
      </c>
      <c r="EW272">
        <v>0</v>
      </c>
      <c r="EX272">
        <v>0</v>
      </c>
      <c r="EY272">
        <v>0</v>
      </c>
      <c r="EZ272">
        <v>0</v>
      </c>
      <c r="FA272">
        <v>0</v>
      </c>
      <c r="FB272">
        <f>SUM(EU272:FA272)+(IF(F272="YES",50000,0))</f>
        <v>0</v>
      </c>
      <c r="FC272">
        <f>ET272-FB272</f>
        <v>498452</v>
      </c>
      <c r="FD272">
        <f>ROUND(IF(FC272&gt;0,IF(FC272&gt;500000,12500,(FC272-250000)*0.05),0),0)</f>
        <v>12423</v>
      </c>
      <c r="FE272">
        <f>IF(ROUND(IF(FC272&gt;0,IF(FC272&gt;1000000,25000,(FC272-500000)*0.2),0),0)&lt;0,0,ROUND(IF(FC272&gt;0,IF(FC272&gt;1000000,25000,(FC272-500000)*0.2),0),0))</f>
        <v>0</v>
      </c>
      <c r="FF272">
        <f>FD272+FE272</f>
        <v>12423</v>
      </c>
      <c r="FG272">
        <f>IF(FF272&lt;12500,0,FF272)</f>
        <v>0</v>
      </c>
      <c r="FH272">
        <f>FG272*0.04</f>
        <v>0</v>
      </c>
      <c r="FI272">
        <f>ROUND(FH272+FG272,0)</f>
        <v>0</v>
      </c>
      <c r="FJ272">
        <v>0</v>
      </c>
      <c r="FK272">
        <f>FI272-FJ272</f>
        <v>0</v>
      </c>
      <c r="FL272" t="b">
        <f>IF(EA272&gt;500000,TRUE,FALSE)</f>
        <v>1</v>
      </c>
      <c r="FM272">
        <f ca="1">IF(FL272,RANDBETWEEN(500,1000),RANDBETWEEN(1000,3000))</f>
        <v>1000</v>
      </c>
      <c r="FN272">
        <f ca="1">EA272+FM272</f>
        <v>611852</v>
      </c>
      <c r="FO272">
        <f>IF(EA272&gt;0,75000,0)</f>
        <v>75000</v>
      </c>
      <c r="FP272">
        <f ca="1">FN272-FO272</f>
        <v>536852</v>
      </c>
      <c r="FQ272">
        <f ca="1">IF(FP272&gt;2400000,FP272-2400000,0)</f>
        <v>0</v>
      </c>
      <c r="FR272">
        <f ca="1">FQ272*0.3</f>
        <v>0</v>
      </c>
      <c r="FS272">
        <f ca="1">IF(FP272&gt;2000000,FP272-2000000,0)</f>
        <v>0</v>
      </c>
      <c r="FT272">
        <f ca="1">FS272*0.25</f>
        <v>0</v>
      </c>
      <c r="FU272">
        <f ca="1">IF(FP272&gt;1600000,FP272-1600000-FQ272,0)</f>
        <v>0</v>
      </c>
      <c r="FV272">
        <f ca="1">FU272*0.2</f>
        <v>0</v>
      </c>
      <c r="FW272">
        <f ca="1">IF(FP272&gt;1200000,FP272-1200000-IF(F272="YES",50000,0)-FU272,0)</f>
        <v>0</v>
      </c>
      <c r="FX272">
        <f ca="1">FW272*0.15</f>
        <v>0</v>
      </c>
      <c r="FY272">
        <f ca="1">IF(FP272&gt;800000,FP272-800000-FQ272-FU272-FW272,0)</f>
        <v>0</v>
      </c>
      <c r="FZ272">
        <f ca="1">FY272*0.1</f>
        <v>0</v>
      </c>
      <c r="GA272">
        <f ca="1">IF(FP272&gt;400000,FP272-400000-FQ272-FU272-FW272-FY272,0)</f>
        <v>136852</v>
      </c>
      <c r="GB272">
        <f ca="1">GA272*0.05</f>
        <v>6842.6</v>
      </c>
      <c r="GC272">
        <f ca="1">ROUND(FR272+FT272+FV272+FX272+FZ272+GB272,0)</f>
        <v>6843</v>
      </c>
      <c r="GD272">
        <f ca="1">IF(FP272&gt;1200000,FP272,0)</f>
        <v>0</v>
      </c>
      <c r="GE272">
        <f ca="1">IF(FP272&gt;1200000,GD272-1200000,0)</f>
        <v>0</v>
      </c>
      <c r="GF272">
        <f ca="1">IF(FP272&lt;1200001,MIN(GC272,60000),0)</f>
        <v>6843</v>
      </c>
      <c r="GG272">
        <f ca="1">IF(FP272&gt;1200000,GC272-GE272,0)</f>
        <v>0</v>
      </c>
      <c r="GH272" t="b">
        <f ca="1">IF(GG272&gt;0,TRUE,FALSE)</f>
        <v>0</v>
      </c>
      <c r="GI272">
        <f ca="1">IF(GH272,GG272,0)</f>
        <v>0</v>
      </c>
      <c r="GJ272">
        <f ca="1">GF272+GI272</f>
        <v>6843</v>
      </c>
      <c r="GK272">
        <f ca="1">ROUND(GC272-GJ272,0)</f>
        <v>0</v>
      </c>
      <c r="GL272">
        <f ca="1">GK272*0.04</f>
        <v>0</v>
      </c>
      <c r="GM272">
        <f ca="1">ROUNDUP(GK272+GL272,0)</f>
        <v>0</v>
      </c>
    </row>
    <row r="273" spans="1:195" x14ac:dyDescent="0.25">
      <c r="A273">
        <f>_xlfn.AGGREGATE(3,5,$B$2:B273)</f>
        <v>272</v>
      </c>
      <c r="B273" t="s">
        <v>651</v>
      </c>
      <c r="C273" t="s">
        <v>652</v>
      </c>
      <c r="D273" t="s">
        <v>824</v>
      </c>
      <c r="E273" t="s">
        <v>833</v>
      </c>
      <c r="F273" t="s">
        <v>959</v>
      </c>
      <c r="G273" t="s">
        <v>882</v>
      </c>
      <c r="H273">
        <f>IF(_xlfn.DAYS("31-03-2025",G273)&gt;=180,6800,0)</f>
        <v>6800</v>
      </c>
      <c r="I273">
        <f>_xlfn.XLOOKUP(B273,'[1]march-2025'!$A:$A,'[1]march-2025'!$J:$J,0,0)</f>
        <v>0</v>
      </c>
      <c r="J273">
        <f>_xlfn.XLOOKUP(B273,'[1]march-2025'!$A:$A,'[1]march-2025'!$C:$C,0,0)</f>
        <v>51700</v>
      </c>
      <c r="K273">
        <f>J273*0.14</f>
        <v>7238.0000000000009</v>
      </c>
      <c r="L273">
        <f>J273*0.12</f>
        <v>6204</v>
      </c>
      <c r="M273">
        <f>_xlfn.XLOOKUP(B273,'[1]march-2025'!$A:$A,'[1]march-2025'!$D:$D,0,0)</f>
        <v>400</v>
      </c>
      <c r="N273">
        <f>_xlfn.XLOOKUP(B273,'[1]march-2025'!$A:$A,'[1]march-2025'!$G:$G,0,0)</f>
        <v>500</v>
      </c>
      <c r="O273">
        <f>IF(J273&gt;0,SUM(J273:N273),0)</f>
        <v>66042</v>
      </c>
      <c r="P273">
        <f>_xlfn.XLOOKUP(B273,'[1]march-2025'!$A:$A,'[1]march-2025'!$H:$H,0,0)</f>
        <v>4000</v>
      </c>
      <c r="Q273">
        <f>_xlfn.XLOOKUP(B273,'[1]march-2025'!$A:$A,'[1]march-2025'!$I:$I,0,0)</f>
        <v>0</v>
      </c>
      <c r="R273">
        <f>IF($F273="YES",0,IF(O273&gt;40000,200,IF(O273&gt;25000,150,IF(O273&gt;15000,130,IF(O273&gt;10000,110,0)))))</f>
        <v>200</v>
      </c>
      <c r="S273">
        <f>O273-P273-Q273-R273</f>
        <v>61842</v>
      </c>
      <c r="T273">
        <f>_xlfn.XLOOKUP(B273,'[2]april-2025'!$A:$A,'[2]april-2025'!$C:$C,0,0)</f>
        <v>51700</v>
      </c>
      <c r="U273">
        <f>T273*0.18</f>
        <v>9306</v>
      </c>
      <c r="V273">
        <f>T273*0.12</f>
        <v>6204</v>
      </c>
      <c r="W273">
        <f>_xlfn.XLOOKUP(B273,'[2]april-2025'!$A:$A,'[2]april-2025'!$D:$D,0,0)</f>
        <v>400</v>
      </c>
      <c r="X273">
        <f>_xlfn.XLOOKUP(B273,'[2]april-2025'!$A:$A,'[2]april-2025'!$G:$G,0,0)</f>
        <v>500</v>
      </c>
      <c r="Y273">
        <f>IF(T273&gt;0,SUM(T273:X273),0)</f>
        <v>68110</v>
      </c>
      <c r="Z273">
        <f>_xlfn.XLOOKUP(B273,'[2]april-2025'!$A:$A,'[2]april-2025'!$H:$H,0,0)</f>
        <v>4000</v>
      </c>
      <c r="AA273">
        <f>_xlfn.XLOOKUP(B273,'[2]april-2025'!$A:$A,'[2]april-2025'!$I:$I,0,0)</f>
        <v>0</v>
      </c>
      <c r="AB273">
        <f>IF($F273="YES",0,IF(Y273&gt;40000,200,IF(Y273&gt;25000,150,IF(Y273&gt;15000,130,IF(Y273&gt;10000,110,0)))))</f>
        <v>200</v>
      </c>
      <c r="AC273">
        <f>Y273-Z273-AA273-AB273</f>
        <v>63910</v>
      </c>
      <c r="AD273">
        <f>_xlfn.XLOOKUP(B273,'[3]may-2025'!$A:$A,'[3]may-2025'!$C:$C,0,0)</f>
        <v>51700</v>
      </c>
      <c r="AE273">
        <f>AD273*0.18</f>
        <v>9306</v>
      </c>
      <c r="AF273">
        <f>AD273*0.12</f>
        <v>6204</v>
      </c>
      <c r="AG273">
        <f>_xlfn.XLOOKUP(B273,'[3]may-2025'!$A:$A,'[3]may-2025'!$D:$D,0,0)</f>
        <v>400</v>
      </c>
      <c r="AH273">
        <f>_xlfn.XLOOKUP(B273,'[3]may-2025'!$A:$A,'[3]may-2025'!$G:$G,0,0)</f>
        <v>500</v>
      </c>
      <c r="AI273">
        <f>IF(AD273&gt;0,SUM(AD273:AH273),0)</f>
        <v>68110</v>
      </c>
      <c r="AJ273">
        <f>_xlfn.XLOOKUP(B273,'[3]may-2025'!$A:$A,'[3]may-2025'!$H:$H,0,0)</f>
        <v>4000</v>
      </c>
      <c r="AK273">
        <f>_xlfn.XLOOKUP(B273,'[3]may-2025'!$A:$A,'[3]may-2025'!$I:$I,0,0)</f>
        <v>0</v>
      </c>
      <c r="AL273">
        <f>IF($F273="YES",0,IF(AI273&gt;40000,200,IF(AI273&gt;25000,150,IF(AI273&gt;15000,130,IF(AI273&gt;10000,110,0)))))</f>
        <v>200</v>
      </c>
      <c r="AM273">
        <f>AI273-AJ273-AK273-AL273</f>
        <v>63910</v>
      </c>
      <c r="AN273">
        <f>_xlfn.XLOOKUP(B273,'[4]june-2025'!$A:$A,'[4]june-2025'!$C:$C,0,0)</f>
        <v>51700</v>
      </c>
      <c r="AO273">
        <f>AN273*0.18</f>
        <v>9306</v>
      </c>
      <c r="AP273">
        <f>AN273*0.12</f>
        <v>6204</v>
      </c>
      <c r="AQ273">
        <f>_xlfn.XLOOKUP(B273,'[4]june-2025'!$A:$A,'[4]june-2025'!$D:$D,0,0)</f>
        <v>400</v>
      </c>
      <c r="AR273">
        <f>_xlfn.XLOOKUP(B273,'[4]june-2025'!$A:$A,'[4]june-2025'!$G:$G,0,0)</f>
        <v>500</v>
      </c>
      <c r="AS273">
        <f>IF(AN273&gt;0,SUM(AN273:AR273),0)</f>
        <v>68110</v>
      </c>
      <c r="AT273">
        <f>_xlfn.XLOOKUP(B273,'[4]june-2025'!$A:$A,'[4]june-2025'!$H:$H,0,0)</f>
        <v>4000</v>
      </c>
      <c r="AU273">
        <f>_xlfn.XLOOKUP(B273,'[4]june-2025'!$A:$A,'[4]june-2025'!$I:$I,0,0)</f>
        <v>0</v>
      </c>
      <c r="AV273">
        <f>IF($F273="YES",0,IF(AS273&gt;40000,200,IF(AS273&gt;25000,150,IF(AS273&gt;15000,130,IF(AS273&gt;10000,110,0)))))</f>
        <v>200</v>
      </c>
      <c r="AW273">
        <f>AS273-AT273-AU273-AV273</f>
        <v>63910</v>
      </c>
      <c r="AX273">
        <f>_xlfn.XLOOKUP(B273,'[5]july-2025'!$A:$A,'[5]july-2025'!$C:$C,0,0)</f>
        <v>53300</v>
      </c>
      <c r="AY273">
        <f>AX273*0.18</f>
        <v>9594</v>
      </c>
      <c r="AZ273">
        <v>0</v>
      </c>
      <c r="BA273">
        <f>AX273*0.12</f>
        <v>6396</v>
      </c>
      <c r="BB273">
        <f>_xlfn.XLOOKUP(B273,'[5]july-2025'!$A:$A,'[5]july-2025'!$D:$D,0,0)</f>
        <v>400</v>
      </c>
      <c r="BC273">
        <f>_xlfn.XLOOKUP(B273,'[5]july-2025'!$A:$A,'[5]july-2025'!$G:$G,0,0)</f>
        <v>500</v>
      </c>
      <c r="BD273">
        <f>IF(AX273&gt;0,SUM(AX273:BC273),0)</f>
        <v>70190</v>
      </c>
      <c r="BE273">
        <f>_xlfn.XLOOKUP(B273,'[5]july-2025'!$A:$A,'[5]july-2025'!$H:$H,0,0)</f>
        <v>4000</v>
      </c>
      <c r="BF273">
        <f>_xlfn.XLOOKUP(B273,'[5]july-2025'!$A:$A,'[5]july-2025'!$I:$I,0,0)</f>
        <v>0</v>
      </c>
      <c r="BG273">
        <f>IF($F273="YES",0,IF(BD273&gt;40000,200,IF(BD273&gt;25000,150,IF(BD273&gt;15000,130,IF(BD273&gt;10000,110,0)))))</f>
        <v>200</v>
      </c>
      <c r="BH273">
        <f>BD273-BE273-BF273-BG273</f>
        <v>65990</v>
      </c>
      <c r="BI273">
        <f>_xlfn.XLOOKUP(B273,'[6]august-2025'!$A:$A,'[6]august-2025'!$C:$C,0,0)</f>
        <v>53300</v>
      </c>
      <c r="BJ273">
        <f>BI273*0.18</f>
        <v>9594</v>
      </c>
      <c r="BK273">
        <f>BI273*0.12</f>
        <v>6396</v>
      </c>
      <c r="BL273">
        <f>_xlfn.XLOOKUP(B273,'[6]august-2025'!$A:$A,'[6]august-2025'!$D:$D,0,0)</f>
        <v>400</v>
      </c>
      <c r="BM273">
        <f>_xlfn.XLOOKUP(B273,'[6]august-2025'!$A:$A,'[6]august-2025'!$G:$G,0,0)</f>
        <v>500</v>
      </c>
      <c r="BN273">
        <f>IF(BI273&gt;0,SUM(BI273:BM273),0)</f>
        <v>70190</v>
      </c>
      <c r="BO273">
        <f>_xlfn.XLOOKUP(B273,'[6]august-2025'!$A:$A,'[6]august-2025'!$H:$H,0,0)</f>
        <v>4000</v>
      </c>
      <c r="BP273">
        <f>_xlfn.XLOOKUP(B273,'[6]august-2025'!$A:$A,'[6]august-2025'!$I:$I,0,0)</f>
        <v>0</v>
      </c>
      <c r="BQ273">
        <f>IF($F273="YES",0,IF(BN273&gt;40000,200,IF(BN273&gt;25000,150,IF(BN273&gt;15000,130,IF(BN273&gt;10000,110,0)))))</f>
        <v>200</v>
      </c>
      <c r="BR273">
        <f>BN273-BO273-BP273-BQ273</f>
        <v>65990</v>
      </c>
      <c r="BS273">
        <f>_xlfn.XLOOKUP(B273,'[7]september-2025'!$A:$A,'[7]september-2025'!$C:$C,0,0)</f>
        <v>53300</v>
      </c>
      <c r="BT273">
        <f>BS273*0.18</f>
        <v>9594</v>
      </c>
      <c r="BU273">
        <f>BS273*0.12</f>
        <v>6396</v>
      </c>
      <c r="BV273">
        <f>_xlfn.XLOOKUP(B273,'[7]september-2025'!$A:$A,'[7]september-2025'!$D:$D,0,0)</f>
        <v>400</v>
      </c>
      <c r="BW273">
        <f>_xlfn.XLOOKUP(B273,'[7]september-2025'!$A:$A,'[7]september-2025'!$G:$G,0,0)</f>
        <v>500</v>
      </c>
      <c r="BX273">
        <f>IF(BS273&gt;0,SUM(BS273:BW273),0)</f>
        <v>70190</v>
      </c>
      <c r="BY273">
        <f>_xlfn.XLOOKUP(B273,'[7]september-2025'!$A:$A,'[7]september-2025'!$H:$H,0,0)</f>
        <v>4000</v>
      </c>
      <c r="BZ273">
        <f>_xlfn.XLOOKUP(B273,'[7]september-2025'!$A:$A,'[7]september-2025'!$I:$I,0,0)</f>
        <v>0</v>
      </c>
      <c r="CA273">
        <f>IF($F273="YES",0,IF(BX273&gt;40000,200,IF(BX273&gt;25000,150,IF(BX273&gt;15000,130,IF(BX273&gt;10000,110,0)))))</f>
        <v>200</v>
      </c>
      <c r="CB273">
        <f>BX273-BY273-BZ273-CA273</f>
        <v>65990</v>
      </c>
      <c r="CC273">
        <f>_xlfn.XLOOKUP(B273,'[8]october-2025'!$A:$A,'[8]october-2025'!$C:$C,0,0)</f>
        <v>53300</v>
      </c>
      <c r="CD273">
        <f>CC273*0.18</f>
        <v>9594</v>
      </c>
      <c r="CE273">
        <f>CC273*0.12</f>
        <v>6396</v>
      </c>
      <c r="CF273">
        <f>_xlfn.XLOOKUP(B273,'[8]october-2025'!$A:$A,'[8]october-2025'!$D:$D,0,0)</f>
        <v>400</v>
      </c>
      <c r="CG273">
        <f>_xlfn.XLOOKUP(B273,'[8]october-2025'!$A:$A,'[8]october-2025'!$G:$G,0,0)</f>
        <v>500</v>
      </c>
      <c r="CH273">
        <f>IF(CC273&gt;0,SUM(CC273:CG273),0)</f>
        <v>70190</v>
      </c>
      <c r="CI273">
        <f>_xlfn.XLOOKUP(B273,'[8]october-2025'!$A:$A,'[8]october-2025'!$H:$H,0,0)</f>
        <v>4000</v>
      </c>
      <c r="CJ273">
        <f>_xlfn.XLOOKUP(B273,'[8]october-2025'!$A:$A,'[8]october-2025'!$I:$I,0,0)</f>
        <v>0</v>
      </c>
      <c r="CK273">
        <f>IF($F273="YES",0,IF(CH273&gt;40000,200,IF(CH273&gt;25000,150,IF(CH273&gt;15000,130,IF(CH273&gt;10000,110,0)))))</f>
        <v>200</v>
      </c>
      <c r="CL273">
        <f>CH273-CI273-CJ273-CK273</f>
        <v>65990</v>
      </c>
      <c r="CM273">
        <f>_xlfn.XLOOKUP(B273,'[9]november-2025'!$A:$A,'[9]november-2025'!$C:$C,0,0)</f>
        <v>53300</v>
      </c>
      <c r="CN273">
        <f>CM273*0.18</f>
        <v>9594</v>
      </c>
      <c r="CO273">
        <f>CM273*0.12</f>
        <v>6396</v>
      </c>
      <c r="CP273">
        <f>_xlfn.XLOOKUP(B273,'[9]november-2025'!$A:$A,'[9]november-2025'!$D:$D,0,0)</f>
        <v>400</v>
      </c>
      <c r="CQ273">
        <f>_xlfn.XLOOKUP(B273,'[9]november-2025'!$A:$A,'[9]november-2025'!$G:$G,0,0)</f>
        <v>500</v>
      </c>
      <c r="CR273">
        <f>IF(CM273&gt;0,SUM(CM273:CQ273),0)</f>
        <v>70190</v>
      </c>
      <c r="CS273">
        <f>_xlfn.XLOOKUP(B273,'[9]november-2025'!$A:$A,'[9]november-2025'!$H:$H,0,0)</f>
        <v>4000</v>
      </c>
      <c r="CT273">
        <f>_xlfn.XLOOKUP(B273,'[9]november-2025'!$A:$A,'[9]november-2025'!$I:$I,0,0)</f>
        <v>0</v>
      </c>
      <c r="CU273">
        <f>IF($F273="YES",0,IF(CR273&gt;40000,200,IF(CR273&gt;25000,150,IF(CR273&gt;15000,130,IF(CR273&gt;10000,110,0)))))</f>
        <v>200</v>
      </c>
      <c r="CV273">
        <f>CR273-CS273-CT273-CU273</f>
        <v>65990</v>
      </c>
      <c r="CW273">
        <f>_xlfn.XLOOKUP(B273,'[10]december-2025'!$A:$A,'[10]december-2025'!$C:$C,0,0)</f>
        <v>53300</v>
      </c>
      <c r="CX273">
        <f>ROUND(CW273*0.18,0)</f>
        <v>9594</v>
      </c>
      <c r="CY273">
        <f>ROUND(CW273*0.12,0)</f>
        <v>6396</v>
      </c>
      <c r="CZ273">
        <f>_xlfn.XLOOKUP(B273,'[10]december-2025'!$A:$A,'[10]december-2025'!$D:$D,0,0)</f>
        <v>400</v>
      </c>
      <c r="DA273">
        <f>_xlfn.XLOOKUP(B273,'[10]december-2025'!$A:$A,'[10]december-2025'!$G:$G,0,0)</f>
        <v>500</v>
      </c>
      <c r="DB273">
        <f>IF(CW273&gt;0,SUM(CW273:DA273),0)</f>
        <v>70190</v>
      </c>
      <c r="DC273">
        <f>_xlfn.XLOOKUP(B273,'[10]december-2025'!$A:$A,'[10]december-2025'!$H:$H,0,0)</f>
        <v>4000</v>
      </c>
      <c r="DD273">
        <f>_xlfn.XLOOKUP(B273,'[10]december-2025'!$A:$A,'[10]december-2025'!$I:$I,0,0)</f>
        <v>0</v>
      </c>
      <c r="DE273">
        <f>IF($F273="YES",0,IF(DB273&gt;40000,200,IF(DB273&gt;25000,150,IF(DB273&gt;15000,130,IF(DB273&gt;10000,110,0)))))</f>
        <v>200</v>
      </c>
      <c r="DF273">
        <f>DB273-DC273-DD273-DE273</f>
        <v>65990</v>
      </c>
      <c r="DG273">
        <f>_xlfn.XLOOKUP(B273,'[11]january-2026'!$A:$A,'[11]january-2026'!$C:$C,0,0)</f>
        <v>53300</v>
      </c>
      <c r="DH273">
        <f>DG273*0.18</f>
        <v>9594</v>
      </c>
      <c r="DI273">
        <f>DG273*0.12</f>
        <v>6396</v>
      </c>
      <c r="DJ273">
        <f>_xlfn.XLOOKUP(B273,'[11]january-2026'!$A:$A,'[11]january-2026'!$D:$D,0,0)</f>
        <v>400</v>
      </c>
      <c r="DK273">
        <f>_xlfn.XLOOKUP(B273,'[11]january-2026'!$A:$A,'[11]january-2026'!$G:$G,0,0)</f>
        <v>500</v>
      </c>
      <c r="DL273">
        <f>IF(DG273&gt;0,SUM(DG273:DK273),0)</f>
        <v>70190</v>
      </c>
      <c r="DM273">
        <f>_xlfn.XLOOKUP(B273,'[11]january-2026'!$A:$A,'[11]january-2026'!$H:$H,0,0)</f>
        <v>4000</v>
      </c>
      <c r="DN273">
        <f>_xlfn.XLOOKUP(B273,'[11]january-2026'!$A:$A,'[11]january-2026'!$I:$I,0,0)</f>
        <v>0</v>
      </c>
      <c r="DO273">
        <f>IF($F273="YES",0,IF(DL273&gt;40000,200,IF(DL273&gt;25000,150,IF(DL273&gt;15000,130,IF(DL273&gt;10000,110,0)))))</f>
        <v>200</v>
      </c>
      <c r="DP273">
        <f>DL273-DM273-DN273-DO273</f>
        <v>65990</v>
      </c>
      <c r="DQ273">
        <f>_xlfn.XLOOKUP(B273,'[12]february-2026'!$A:$A,'[12]february-2026'!$C:$C,0,0)</f>
        <v>53300</v>
      </c>
      <c r="DR273">
        <f>DQ273*0.18</f>
        <v>9594</v>
      </c>
      <c r="DS273">
        <f>DQ273*0.12</f>
        <v>6396</v>
      </c>
      <c r="DT273">
        <f>_xlfn.XLOOKUP(B273,'[12]february-2026'!$A:$A,'[12]february-2026'!$D:$D,0,0)</f>
        <v>400</v>
      </c>
      <c r="DU273">
        <f>_xlfn.XLOOKUP(B273,'[12]february-2026'!$A:$A,'[12]february-2026'!$G:$G,0,0)</f>
        <v>500</v>
      </c>
      <c r="DV273">
        <f>IF(DQ273&gt;0,SUM(DQ273:DU273),0)</f>
        <v>70190</v>
      </c>
      <c r="DW273">
        <f>_xlfn.XLOOKUP(B273,'[12]february-2026'!$A:$A,'[12]february-2026'!$H:$H,0,0)</f>
        <v>4000</v>
      </c>
      <c r="DX273">
        <f>_xlfn.XLOOKUP(B273,'[12]february-2026'!$A:$A,'[12]february-2026'!$I:$I,0,0)</f>
        <v>0</v>
      </c>
      <c r="DY273">
        <f>IF($F273="YES",0,IF(DV273&gt;40000,200,IF(DV273&gt;25000,150,IF(DV273&gt;15000,130,IF(DV273&gt;10000,110,0)))))</f>
        <v>200</v>
      </c>
      <c r="DZ273">
        <f>DV273-DW273-DX273-DY273</f>
        <v>65990</v>
      </c>
      <c r="EA273">
        <f>DV273+DL273+DB273+CR273+CH273+BX273+BN273+BD273+AS273+AI273+Y273+O273+H273+I273</f>
        <v>838692</v>
      </c>
      <c r="EB273">
        <f>DY273+DO273+DE273+CU273+CK273+CA273+BQ273+BG273+AV273+AL273+AB273+R273</f>
        <v>2400</v>
      </c>
      <c r="EC273">
        <f>IF(EA273&gt;0,50000,0)</f>
        <v>50000</v>
      </c>
      <c r="ED273">
        <v>0</v>
      </c>
      <c r="EE273">
        <f>EA273-EB273-EC273</f>
        <v>786292</v>
      </c>
      <c r="EF273">
        <f>DW273+DM273+DC273+CS273+CI273+BY273+BO273+BE273+AT273+AJ273+Z273+P273</f>
        <v>48000</v>
      </c>
      <c r="EG273">
        <f>DX273+DN273+DD273+CT273+CJ273+BZ273+BP273+BF273+AU273+AK273+AA273+Q273</f>
        <v>0</v>
      </c>
      <c r="EH273">
        <v>0</v>
      </c>
      <c r="EI273">
        <v>0</v>
      </c>
      <c r="EJ273">
        <v>0</v>
      </c>
      <c r="EK273">
        <v>0</v>
      </c>
      <c r="EL273">
        <v>0</v>
      </c>
      <c r="EM273">
        <v>0</v>
      </c>
      <c r="EN273">
        <v>0</v>
      </c>
      <c r="EO273">
        <v>0</v>
      </c>
      <c r="EP273">
        <v>0</v>
      </c>
      <c r="EQ273">
        <v>0</v>
      </c>
      <c r="ER273">
        <f>SUM(EF273:EQ273)</f>
        <v>48000</v>
      </c>
      <c r="ES273">
        <f>IF(ER273&gt;=150000,150000,ER273)</f>
        <v>48000</v>
      </c>
      <c r="ET273">
        <f>EE273-ES273</f>
        <v>738292</v>
      </c>
      <c r="EU273">
        <v>0</v>
      </c>
      <c r="EV273">
        <v>0</v>
      </c>
      <c r="EW273">
        <v>0</v>
      </c>
      <c r="EX273">
        <v>0</v>
      </c>
      <c r="EY273">
        <v>0</v>
      </c>
      <c r="EZ273">
        <v>0</v>
      </c>
      <c r="FA273">
        <v>0</v>
      </c>
      <c r="FB273">
        <f>SUM(EU273:FA273)+(IF(F273="YES",50000,0))</f>
        <v>0</v>
      </c>
      <c r="FC273">
        <f>ET273-FB273</f>
        <v>738292</v>
      </c>
      <c r="FD273">
        <f>ROUND(IF(FC273&gt;0,IF(FC273&gt;500000,12500,(FC273-250000)*0.05),0),0)</f>
        <v>12500</v>
      </c>
      <c r="FE273">
        <f>IF(ROUND(IF(FC273&gt;0,IF(FC273&gt;1000000,25000,(FC273-500000)*0.2),0),0)&lt;0,0,ROUND(IF(FC273&gt;0,IF(FC273&gt;1000000,25000,(FC273-500000)*0.2),0),0))</f>
        <v>47658</v>
      </c>
      <c r="FF273">
        <f>FD273+FE273</f>
        <v>60158</v>
      </c>
      <c r="FG273">
        <f>IF(FF273&lt;12500,0,FF273)</f>
        <v>60158</v>
      </c>
      <c r="FH273">
        <f>FG273*0.04</f>
        <v>2406.3200000000002</v>
      </c>
      <c r="FI273">
        <f>ROUND(FH273+FG273,0)</f>
        <v>62564</v>
      </c>
      <c r="FJ273">
        <v>0</v>
      </c>
      <c r="FK273">
        <f>FI273-FJ273</f>
        <v>62564</v>
      </c>
      <c r="FL273" t="b">
        <f>IF(EA273&gt;500000,TRUE,FALSE)</f>
        <v>1</v>
      </c>
      <c r="FM273">
        <f ca="1">IF(FL273,RANDBETWEEN(500,1000),RANDBETWEEN(1000,3000))</f>
        <v>669</v>
      </c>
      <c r="FN273">
        <f ca="1">EA273+FM273</f>
        <v>839361</v>
      </c>
      <c r="FO273">
        <f>IF(EA273&gt;0,75000,0)</f>
        <v>75000</v>
      </c>
      <c r="FP273">
        <f ca="1">FN273-FO273</f>
        <v>764361</v>
      </c>
      <c r="FQ273">
        <f ca="1">IF(FP273&gt;2400000,FP273-2400000,0)</f>
        <v>0</v>
      </c>
      <c r="FR273">
        <f ca="1">FQ273*0.3</f>
        <v>0</v>
      </c>
      <c r="FS273">
        <f ca="1">IF(FP273&gt;2000000,FP273-2000000,0)</f>
        <v>0</v>
      </c>
      <c r="FT273">
        <f ca="1">FS273*0.25</f>
        <v>0</v>
      </c>
      <c r="FU273">
        <f ca="1">IF(FP273&gt;1600000,FP273-1600000-FQ273,0)</f>
        <v>0</v>
      </c>
      <c r="FV273">
        <f ca="1">FU273*0.2</f>
        <v>0</v>
      </c>
      <c r="FW273">
        <f ca="1">IF(FP273&gt;1200000,FP273-1200000-IF(F273="YES",50000,0)-FU273,0)</f>
        <v>0</v>
      </c>
      <c r="FX273">
        <f ca="1">FW273*0.15</f>
        <v>0</v>
      </c>
      <c r="FY273">
        <f ca="1">IF(FP273&gt;800000,FP273-800000-FQ273-FU273-FW273,0)</f>
        <v>0</v>
      </c>
      <c r="FZ273">
        <f ca="1">FY273*0.1</f>
        <v>0</v>
      </c>
      <c r="GA273">
        <f ca="1">IF(FP273&gt;400000,FP273-400000-FQ273-FU273-FW273-FY273,0)</f>
        <v>364361</v>
      </c>
      <c r="GB273">
        <f ca="1">GA273*0.05</f>
        <v>18218.05</v>
      </c>
      <c r="GC273">
        <f ca="1">ROUND(FR273+FT273+FV273+FX273+FZ273+GB273,0)</f>
        <v>18218</v>
      </c>
      <c r="GD273">
        <f ca="1">IF(FP273&gt;1200000,FP273,0)</f>
        <v>0</v>
      </c>
      <c r="GE273">
        <f ca="1">IF(FP273&gt;1200000,GD273-1200000,0)</f>
        <v>0</v>
      </c>
      <c r="GF273">
        <f ca="1">IF(FP273&lt;1200001,MIN(GC273,60000),0)</f>
        <v>18218</v>
      </c>
      <c r="GG273">
        <f ca="1">IF(FP273&gt;1200000,GC273-GE273,0)</f>
        <v>0</v>
      </c>
      <c r="GH273" t="b">
        <f ca="1">IF(GG273&gt;0,TRUE,FALSE)</f>
        <v>0</v>
      </c>
      <c r="GI273">
        <f ca="1">IF(GH273,GG273,0)</f>
        <v>0</v>
      </c>
      <c r="GJ273">
        <f ca="1">GF273+GI273</f>
        <v>18218</v>
      </c>
      <c r="GK273">
        <f ca="1">ROUND(GC273-GJ273,0)</f>
        <v>0</v>
      </c>
      <c r="GL273">
        <f ca="1">GK273*0.04</f>
        <v>0</v>
      </c>
      <c r="GM273">
        <f ca="1">ROUNDUP(GK273+GL273,0)</f>
        <v>0</v>
      </c>
    </row>
    <row r="274" spans="1:195" x14ac:dyDescent="0.25">
      <c r="A274">
        <f>_xlfn.AGGREGATE(3,5,$B$2:B274)</f>
        <v>273</v>
      </c>
      <c r="B274" t="s">
        <v>653</v>
      </c>
      <c r="C274" t="s">
        <v>654</v>
      </c>
      <c r="D274" t="s">
        <v>824</v>
      </c>
      <c r="E274" t="s">
        <v>833</v>
      </c>
      <c r="F274" t="s">
        <v>959</v>
      </c>
      <c r="G274" t="s">
        <v>879</v>
      </c>
      <c r="H274">
        <f>IF(_xlfn.DAYS("31-03-2025",G274)&gt;=180,6800,0)</f>
        <v>6800</v>
      </c>
      <c r="I274">
        <f>_xlfn.XLOOKUP(B274,'[1]march-2025'!$A:$A,'[1]march-2025'!$J:$J,0,0)</f>
        <v>0</v>
      </c>
      <c r="J274">
        <f>_xlfn.XLOOKUP(B274,'[1]march-2025'!$A:$A,'[1]march-2025'!$C:$C,0,0)</f>
        <v>29800</v>
      </c>
      <c r="K274">
        <f>J274*0.14</f>
        <v>4172</v>
      </c>
      <c r="L274">
        <f>J274*0.12</f>
        <v>3576</v>
      </c>
      <c r="M274">
        <f>_xlfn.XLOOKUP(B274,'[1]march-2025'!$A:$A,'[1]march-2025'!$D:$D,0,0)</f>
        <v>0</v>
      </c>
      <c r="N274">
        <f>_xlfn.XLOOKUP(B274,'[1]march-2025'!$A:$A,'[1]march-2025'!$G:$G,0,0)</f>
        <v>500</v>
      </c>
      <c r="O274">
        <f>IF(J274&gt;0,SUM(J274:N274),0)</f>
        <v>38048</v>
      </c>
      <c r="P274">
        <f>_xlfn.XLOOKUP(B274,'[1]march-2025'!$A:$A,'[1]march-2025'!$H:$H,0,0)</f>
        <v>2000</v>
      </c>
      <c r="Q274">
        <f>_xlfn.XLOOKUP(B274,'[1]march-2025'!$A:$A,'[1]march-2025'!$I:$I,0,0)</f>
        <v>0</v>
      </c>
      <c r="R274">
        <f>IF($F274="YES",0,IF(O274&gt;40000,200,IF(O274&gt;25000,150,IF(O274&gt;15000,130,IF(O274&gt;10000,110,0)))))</f>
        <v>150</v>
      </c>
      <c r="S274">
        <f>O274-P274-Q274-R274</f>
        <v>35898</v>
      </c>
      <c r="T274">
        <f>_xlfn.XLOOKUP(B274,'[2]april-2025'!$A:$A,'[2]april-2025'!$C:$C,0,0)</f>
        <v>29800</v>
      </c>
      <c r="U274">
        <f>T274*0.18</f>
        <v>5364</v>
      </c>
      <c r="V274">
        <f>T274*0.12</f>
        <v>3576</v>
      </c>
      <c r="W274">
        <f>_xlfn.XLOOKUP(B274,'[2]april-2025'!$A:$A,'[2]april-2025'!$D:$D,0,0)</f>
        <v>0</v>
      </c>
      <c r="X274">
        <f>_xlfn.XLOOKUP(B274,'[2]april-2025'!$A:$A,'[2]april-2025'!$G:$G,0,0)</f>
        <v>500</v>
      </c>
      <c r="Y274">
        <f>IF(T274&gt;0,SUM(T274:X274),0)</f>
        <v>39240</v>
      </c>
      <c r="Z274">
        <f>_xlfn.XLOOKUP(B274,'[2]april-2025'!$A:$A,'[2]april-2025'!$H:$H,0,0)</f>
        <v>2000</v>
      </c>
      <c r="AA274">
        <f>_xlfn.XLOOKUP(B274,'[2]april-2025'!$A:$A,'[2]april-2025'!$I:$I,0,0)</f>
        <v>0</v>
      </c>
      <c r="AB274">
        <f>IF($F274="YES",0,IF(Y274&gt;40000,200,IF(Y274&gt;25000,150,IF(Y274&gt;15000,130,IF(Y274&gt;10000,110,0)))))</f>
        <v>150</v>
      </c>
      <c r="AC274">
        <f>Y274-Z274-AA274-AB274</f>
        <v>37090</v>
      </c>
      <c r="AD274">
        <f>_xlfn.XLOOKUP(B274,'[3]may-2025'!$A:$A,'[3]may-2025'!$C:$C,0,0)</f>
        <v>29800</v>
      </c>
      <c r="AE274">
        <f>AD274*0.18</f>
        <v>5364</v>
      </c>
      <c r="AF274">
        <f>AD274*0.12</f>
        <v>3576</v>
      </c>
      <c r="AG274">
        <f>_xlfn.XLOOKUP(B274,'[3]may-2025'!$A:$A,'[3]may-2025'!$D:$D,0,0)</f>
        <v>0</v>
      </c>
      <c r="AH274">
        <f>_xlfn.XLOOKUP(B274,'[3]may-2025'!$A:$A,'[3]may-2025'!$G:$G,0,0)</f>
        <v>500</v>
      </c>
      <c r="AI274">
        <f>IF(AD274&gt;0,SUM(AD274:AH274),0)</f>
        <v>39240</v>
      </c>
      <c r="AJ274">
        <f>_xlfn.XLOOKUP(B274,'[3]may-2025'!$A:$A,'[3]may-2025'!$H:$H,0,0)</f>
        <v>2000</v>
      </c>
      <c r="AK274">
        <f>_xlfn.XLOOKUP(B274,'[3]may-2025'!$A:$A,'[3]may-2025'!$I:$I,0,0)</f>
        <v>0</v>
      </c>
      <c r="AL274">
        <f>IF($F274="YES",0,IF(AI274&gt;40000,200,IF(AI274&gt;25000,150,IF(AI274&gt;15000,130,IF(AI274&gt;10000,110,0)))))</f>
        <v>150</v>
      </c>
      <c r="AM274">
        <f>AI274-AJ274-AK274-AL274</f>
        <v>37090</v>
      </c>
      <c r="AN274">
        <f>_xlfn.XLOOKUP(B274,'[4]june-2025'!$A:$A,'[4]june-2025'!$C:$C,0,0)</f>
        <v>29800</v>
      </c>
      <c r="AO274">
        <f>AN274*0.18</f>
        <v>5364</v>
      </c>
      <c r="AP274">
        <f>AN274*0.12</f>
        <v>3576</v>
      </c>
      <c r="AQ274">
        <f>_xlfn.XLOOKUP(B274,'[4]june-2025'!$A:$A,'[4]june-2025'!$D:$D,0,0)</f>
        <v>0</v>
      </c>
      <c r="AR274">
        <f>_xlfn.XLOOKUP(B274,'[4]june-2025'!$A:$A,'[4]june-2025'!$G:$G,0,0)</f>
        <v>500</v>
      </c>
      <c r="AS274">
        <f>IF(AN274&gt;0,SUM(AN274:AR274),0)</f>
        <v>39240</v>
      </c>
      <c r="AT274">
        <f>_xlfn.XLOOKUP(B274,'[4]june-2025'!$A:$A,'[4]june-2025'!$H:$H,0,0)</f>
        <v>2000</v>
      </c>
      <c r="AU274">
        <f>_xlfn.XLOOKUP(B274,'[4]june-2025'!$A:$A,'[4]june-2025'!$I:$I,0,0)</f>
        <v>0</v>
      </c>
      <c r="AV274">
        <f>IF($F274="YES",0,IF(AS274&gt;40000,200,IF(AS274&gt;25000,150,IF(AS274&gt;15000,130,IF(AS274&gt;10000,110,0)))))</f>
        <v>150</v>
      </c>
      <c r="AW274">
        <f>AS274-AT274-AU274-AV274</f>
        <v>37090</v>
      </c>
      <c r="AX274">
        <f>_xlfn.XLOOKUP(B274,'[5]july-2025'!$A:$A,'[5]july-2025'!$C:$C,0,0)</f>
        <v>30700</v>
      </c>
      <c r="AY274">
        <f>AX274*0.18</f>
        <v>5526</v>
      </c>
      <c r="AZ274">
        <v>0</v>
      </c>
      <c r="BA274">
        <f>AX274*0.12</f>
        <v>3684</v>
      </c>
      <c r="BB274">
        <f>_xlfn.XLOOKUP(B274,'[5]july-2025'!$A:$A,'[5]july-2025'!$D:$D,0,0)</f>
        <v>0</v>
      </c>
      <c r="BC274">
        <f>_xlfn.XLOOKUP(B274,'[5]july-2025'!$A:$A,'[5]july-2025'!$G:$G,0,0)</f>
        <v>500</v>
      </c>
      <c r="BD274">
        <f>IF(AX274&gt;0,SUM(AX274:BC274),0)</f>
        <v>40410</v>
      </c>
      <c r="BE274">
        <f>_xlfn.XLOOKUP(B274,'[5]july-2025'!$A:$A,'[5]july-2025'!$H:$H,0,0)</f>
        <v>2000</v>
      </c>
      <c r="BF274">
        <f>_xlfn.XLOOKUP(B274,'[5]july-2025'!$A:$A,'[5]july-2025'!$I:$I,0,0)</f>
        <v>0</v>
      </c>
      <c r="BG274">
        <f>IF($F274="YES",0,IF(BD274&gt;40000,200,IF(BD274&gt;25000,150,IF(BD274&gt;15000,130,IF(BD274&gt;10000,110,0)))))</f>
        <v>200</v>
      </c>
      <c r="BH274">
        <f>BD274-BE274-BF274-BG274</f>
        <v>38210</v>
      </c>
      <c r="BI274">
        <f>_xlfn.XLOOKUP(B274,'[6]august-2025'!$A:$A,'[6]august-2025'!$C:$C,0,0)</f>
        <v>30700</v>
      </c>
      <c r="BJ274">
        <f>BI274*0.18</f>
        <v>5526</v>
      </c>
      <c r="BK274">
        <f>BI274*0.12</f>
        <v>3684</v>
      </c>
      <c r="BL274">
        <f>_xlfn.XLOOKUP(B274,'[6]august-2025'!$A:$A,'[6]august-2025'!$D:$D,0,0)</f>
        <v>0</v>
      </c>
      <c r="BM274">
        <f>_xlfn.XLOOKUP(B274,'[6]august-2025'!$A:$A,'[6]august-2025'!$G:$G,0,0)</f>
        <v>500</v>
      </c>
      <c r="BN274">
        <f>IF(BI274&gt;0,SUM(BI274:BM274),0)</f>
        <v>40410</v>
      </c>
      <c r="BO274">
        <f>_xlfn.XLOOKUP(B274,'[6]august-2025'!$A:$A,'[6]august-2025'!$H:$H,0,0)</f>
        <v>2000</v>
      </c>
      <c r="BP274">
        <f>_xlfn.XLOOKUP(B274,'[6]august-2025'!$A:$A,'[6]august-2025'!$I:$I,0,0)</f>
        <v>0</v>
      </c>
      <c r="BQ274">
        <f>IF($F274="YES",0,IF(BN274&gt;40000,200,IF(BN274&gt;25000,150,IF(BN274&gt;15000,130,IF(BN274&gt;10000,110,0)))))</f>
        <v>200</v>
      </c>
      <c r="BR274">
        <f>BN274-BO274-BP274-BQ274</f>
        <v>38210</v>
      </c>
      <c r="BS274">
        <f>_xlfn.XLOOKUP(B274,'[7]september-2025'!$A:$A,'[7]september-2025'!$C:$C,0,0)</f>
        <v>30700</v>
      </c>
      <c r="BT274">
        <f>BS274*0.18</f>
        <v>5526</v>
      </c>
      <c r="BU274">
        <f>BS274*0.12</f>
        <v>3684</v>
      </c>
      <c r="BV274">
        <f>_xlfn.XLOOKUP(B274,'[7]september-2025'!$A:$A,'[7]september-2025'!$D:$D,0,0)</f>
        <v>0</v>
      </c>
      <c r="BW274">
        <f>_xlfn.XLOOKUP(B274,'[7]september-2025'!$A:$A,'[7]september-2025'!$G:$G,0,0)</f>
        <v>500</v>
      </c>
      <c r="BX274">
        <f>IF(BS274&gt;0,SUM(BS274:BW274),0)</f>
        <v>40410</v>
      </c>
      <c r="BY274">
        <f>_xlfn.XLOOKUP(B274,'[7]september-2025'!$A:$A,'[7]september-2025'!$H:$H,0,0)</f>
        <v>2000</v>
      </c>
      <c r="BZ274">
        <f>_xlfn.XLOOKUP(B274,'[7]september-2025'!$A:$A,'[7]september-2025'!$I:$I,0,0)</f>
        <v>0</v>
      </c>
      <c r="CA274">
        <f>IF($F274="YES",0,IF(BX274&gt;40000,200,IF(BX274&gt;25000,150,IF(BX274&gt;15000,130,IF(BX274&gt;10000,110,0)))))</f>
        <v>200</v>
      </c>
      <c r="CB274">
        <f>BX274-BY274-BZ274-CA274</f>
        <v>38210</v>
      </c>
      <c r="CC274">
        <f>_xlfn.XLOOKUP(B274,'[8]october-2025'!$A:$A,'[8]october-2025'!$C:$C,0,0)</f>
        <v>30700</v>
      </c>
      <c r="CD274">
        <f>CC274*0.18</f>
        <v>5526</v>
      </c>
      <c r="CE274">
        <f>CC274*0.12</f>
        <v>3684</v>
      </c>
      <c r="CF274">
        <f>_xlfn.XLOOKUP(B274,'[8]october-2025'!$A:$A,'[8]october-2025'!$D:$D,0,0)</f>
        <v>0</v>
      </c>
      <c r="CG274">
        <f>_xlfn.XLOOKUP(B274,'[8]october-2025'!$A:$A,'[8]october-2025'!$G:$G,0,0)</f>
        <v>500</v>
      </c>
      <c r="CH274">
        <f>IF(CC274&gt;0,SUM(CC274:CG274),0)</f>
        <v>40410</v>
      </c>
      <c r="CI274">
        <f>_xlfn.XLOOKUP(B274,'[8]october-2025'!$A:$A,'[8]october-2025'!$H:$H,0,0)</f>
        <v>2000</v>
      </c>
      <c r="CJ274">
        <f>_xlfn.XLOOKUP(B274,'[8]october-2025'!$A:$A,'[8]october-2025'!$I:$I,0,0)</f>
        <v>0</v>
      </c>
      <c r="CK274">
        <f>IF($F274="YES",0,IF(CH274&gt;40000,200,IF(CH274&gt;25000,150,IF(CH274&gt;15000,130,IF(CH274&gt;10000,110,0)))))</f>
        <v>200</v>
      </c>
      <c r="CL274">
        <f>CH274-CI274-CJ274-CK274</f>
        <v>38210</v>
      </c>
      <c r="CM274">
        <f>_xlfn.XLOOKUP(B274,'[9]november-2025'!$A:$A,'[9]november-2025'!$C:$C,0,0)</f>
        <v>30700</v>
      </c>
      <c r="CN274">
        <f>CM274*0.18</f>
        <v>5526</v>
      </c>
      <c r="CO274">
        <f>CM274*0.12</f>
        <v>3684</v>
      </c>
      <c r="CP274">
        <f>_xlfn.XLOOKUP(B274,'[9]november-2025'!$A:$A,'[9]november-2025'!$D:$D,0,0)</f>
        <v>0</v>
      </c>
      <c r="CQ274">
        <f>_xlfn.XLOOKUP(B274,'[9]november-2025'!$A:$A,'[9]november-2025'!$G:$G,0,0)</f>
        <v>500</v>
      </c>
      <c r="CR274">
        <f>IF(CM274&gt;0,SUM(CM274:CQ274),0)</f>
        <v>40410</v>
      </c>
      <c r="CS274">
        <f>_xlfn.XLOOKUP(B274,'[9]november-2025'!$A:$A,'[9]november-2025'!$H:$H,0,0)</f>
        <v>2000</v>
      </c>
      <c r="CT274">
        <f>_xlfn.XLOOKUP(B274,'[9]november-2025'!$A:$A,'[9]november-2025'!$I:$I,0,0)</f>
        <v>0</v>
      </c>
      <c r="CU274">
        <f>IF($F274="YES",0,IF(CR274&gt;40000,200,IF(CR274&gt;25000,150,IF(CR274&gt;15000,130,IF(CR274&gt;10000,110,0)))))</f>
        <v>200</v>
      </c>
      <c r="CV274">
        <f>CR274-CS274-CT274-CU274</f>
        <v>38210</v>
      </c>
      <c r="CW274">
        <f>_xlfn.XLOOKUP(B274,'[10]december-2025'!$A:$A,'[10]december-2025'!$C:$C,0,0)</f>
        <v>30700</v>
      </c>
      <c r="CX274">
        <f>ROUND(CW274*0.18,0)</f>
        <v>5526</v>
      </c>
      <c r="CY274">
        <f>ROUND(CW274*0.12,0)</f>
        <v>3684</v>
      </c>
      <c r="CZ274">
        <f>_xlfn.XLOOKUP(B274,'[10]december-2025'!$A:$A,'[10]december-2025'!$D:$D,0,0)</f>
        <v>0</v>
      </c>
      <c r="DA274">
        <f>_xlfn.XLOOKUP(B274,'[10]december-2025'!$A:$A,'[10]december-2025'!$G:$G,0,0)</f>
        <v>500</v>
      </c>
      <c r="DB274">
        <f>IF(CW274&gt;0,SUM(CW274:DA274),0)</f>
        <v>40410</v>
      </c>
      <c r="DC274">
        <f>_xlfn.XLOOKUP(B274,'[10]december-2025'!$A:$A,'[10]december-2025'!$H:$H,0,0)</f>
        <v>2000</v>
      </c>
      <c r="DD274">
        <f>_xlfn.XLOOKUP(B274,'[10]december-2025'!$A:$A,'[10]december-2025'!$I:$I,0,0)</f>
        <v>0</v>
      </c>
      <c r="DE274">
        <f>IF($F274="YES",0,IF(DB274&gt;40000,200,IF(DB274&gt;25000,150,IF(DB274&gt;15000,130,IF(DB274&gt;10000,110,0)))))</f>
        <v>200</v>
      </c>
      <c r="DF274">
        <f>DB274-DC274-DD274-DE274</f>
        <v>38210</v>
      </c>
      <c r="DG274">
        <f>_xlfn.XLOOKUP(B274,'[11]january-2026'!$A:$A,'[11]january-2026'!$C:$C,0,0)</f>
        <v>30700</v>
      </c>
      <c r="DH274">
        <f>DG274*0.18</f>
        <v>5526</v>
      </c>
      <c r="DI274">
        <f>DG274*0.12</f>
        <v>3684</v>
      </c>
      <c r="DJ274">
        <f>_xlfn.XLOOKUP(B274,'[11]january-2026'!$A:$A,'[11]january-2026'!$D:$D,0,0)</f>
        <v>0</v>
      </c>
      <c r="DK274">
        <f>_xlfn.XLOOKUP(B274,'[11]january-2026'!$A:$A,'[11]january-2026'!$G:$G,0,0)</f>
        <v>500</v>
      </c>
      <c r="DL274">
        <f>IF(DG274&gt;0,SUM(DG274:DK274),0)</f>
        <v>40410</v>
      </c>
      <c r="DM274">
        <f>_xlfn.XLOOKUP(B274,'[11]january-2026'!$A:$A,'[11]january-2026'!$H:$H,0,0)</f>
        <v>2000</v>
      </c>
      <c r="DN274">
        <f>_xlfn.XLOOKUP(B274,'[11]january-2026'!$A:$A,'[11]january-2026'!$I:$I,0,0)</f>
        <v>0</v>
      </c>
      <c r="DO274">
        <f>IF($F274="YES",0,IF(DL274&gt;40000,200,IF(DL274&gt;25000,150,IF(DL274&gt;15000,130,IF(DL274&gt;10000,110,0)))))</f>
        <v>200</v>
      </c>
      <c r="DP274">
        <f>DL274-DM274-DN274-DO274</f>
        <v>38210</v>
      </c>
      <c r="DQ274">
        <f>_xlfn.XLOOKUP(B274,'[12]february-2026'!$A:$A,'[12]february-2026'!$C:$C,0,0)</f>
        <v>30700</v>
      </c>
      <c r="DR274">
        <f>DQ274*0.18</f>
        <v>5526</v>
      </c>
      <c r="DS274">
        <f>DQ274*0.12</f>
        <v>3684</v>
      </c>
      <c r="DT274">
        <f>_xlfn.XLOOKUP(B274,'[12]february-2026'!$A:$A,'[12]february-2026'!$D:$D,0,0)</f>
        <v>0</v>
      </c>
      <c r="DU274">
        <f>_xlfn.XLOOKUP(B274,'[12]february-2026'!$A:$A,'[12]february-2026'!$G:$G,0,0)</f>
        <v>500</v>
      </c>
      <c r="DV274">
        <f>IF(DQ274&gt;0,SUM(DQ274:DU274),0)</f>
        <v>40410</v>
      </c>
      <c r="DW274">
        <f>_xlfn.XLOOKUP(B274,'[12]february-2026'!$A:$A,'[12]february-2026'!$H:$H,0,0)</f>
        <v>2000</v>
      </c>
      <c r="DX274">
        <f>_xlfn.XLOOKUP(B274,'[12]february-2026'!$A:$A,'[12]february-2026'!$I:$I,0,0)</f>
        <v>0</v>
      </c>
      <c r="DY274">
        <f>IF($F274="YES",0,IF(DV274&gt;40000,200,IF(DV274&gt;25000,150,IF(DV274&gt;15000,130,IF(DV274&gt;10000,110,0)))))</f>
        <v>200</v>
      </c>
      <c r="DZ274">
        <f>DV274-DW274-DX274-DY274</f>
        <v>38210</v>
      </c>
      <c r="EA274">
        <f>DV274+DL274+DB274+CR274+CH274+BX274+BN274+BD274+AS274+AI274+Y274+O274+H274+I274</f>
        <v>485848</v>
      </c>
      <c r="EB274">
        <f>DY274+DO274+DE274+CU274+CK274+CA274+BQ274+BG274+AV274+AL274+AB274+R274</f>
        <v>2200</v>
      </c>
      <c r="EC274">
        <f>IF(EA274&gt;0,50000,0)</f>
        <v>50000</v>
      </c>
      <c r="ED274">
        <v>0</v>
      </c>
      <c r="EE274">
        <f>EA274-EB274-EC274</f>
        <v>433648</v>
      </c>
      <c r="EF274">
        <f>DW274+DM274+DC274+CS274+CI274+BY274+BO274+BE274+AT274+AJ274+Z274+P274</f>
        <v>24000</v>
      </c>
      <c r="EG274">
        <f>DX274+DN274+DD274+CT274+CJ274+BZ274+BP274+BF274+AU274+AK274+AA274+Q274</f>
        <v>0</v>
      </c>
      <c r="EH274">
        <v>0</v>
      </c>
      <c r="EI274">
        <v>0</v>
      </c>
      <c r="EJ274">
        <v>0</v>
      </c>
      <c r="EK274">
        <v>0</v>
      </c>
      <c r="EL274">
        <v>0</v>
      </c>
      <c r="EM274">
        <v>0</v>
      </c>
      <c r="EN274">
        <v>0</v>
      </c>
      <c r="EO274">
        <v>0</v>
      </c>
      <c r="EP274">
        <v>0</v>
      </c>
      <c r="EQ274">
        <v>0</v>
      </c>
      <c r="ER274">
        <f>SUM(EF274:EQ274)</f>
        <v>24000</v>
      </c>
      <c r="ES274">
        <f>IF(ER274&gt;=150000,150000,ER274)</f>
        <v>24000</v>
      </c>
      <c r="ET274">
        <f>EE274-ES274</f>
        <v>409648</v>
      </c>
      <c r="EU274">
        <v>0</v>
      </c>
      <c r="EV274">
        <v>0</v>
      </c>
      <c r="EW274">
        <v>0</v>
      </c>
      <c r="EX274">
        <v>0</v>
      </c>
      <c r="EY274">
        <v>0</v>
      </c>
      <c r="EZ274">
        <v>0</v>
      </c>
      <c r="FA274">
        <v>0</v>
      </c>
      <c r="FB274">
        <f>SUM(EU274:FA274)+(IF(F274="YES",50000,0))</f>
        <v>0</v>
      </c>
      <c r="FC274">
        <f>ET274-FB274</f>
        <v>409648</v>
      </c>
      <c r="FD274">
        <f>ROUND(IF(FC274&gt;0,IF(FC274&gt;500000,12500,(FC274-250000)*0.05),0),0)</f>
        <v>7982</v>
      </c>
      <c r="FE274">
        <f>IF(ROUND(IF(FC274&gt;0,IF(FC274&gt;1000000,25000,(FC274-500000)*0.2),0),0)&lt;0,0,ROUND(IF(FC274&gt;0,IF(FC274&gt;1000000,25000,(FC274-500000)*0.2),0),0))</f>
        <v>0</v>
      </c>
      <c r="FF274">
        <f>FD274+FE274</f>
        <v>7982</v>
      </c>
      <c r="FG274">
        <f>IF(FF274&lt;12500,0,FF274)</f>
        <v>0</v>
      </c>
      <c r="FH274">
        <f>FG274*0.04</f>
        <v>0</v>
      </c>
      <c r="FI274">
        <f>ROUND(FH274+FG274,0)</f>
        <v>0</v>
      </c>
      <c r="FJ274">
        <v>0</v>
      </c>
      <c r="FK274">
        <f>FI274-FJ274</f>
        <v>0</v>
      </c>
      <c r="FL274" t="b">
        <f>IF(EA274&gt;500000,TRUE,FALSE)</f>
        <v>0</v>
      </c>
      <c r="FM274">
        <f ca="1">IF(FL274,RANDBETWEEN(500,1000),RANDBETWEEN(1000,3000))</f>
        <v>2745</v>
      </c>
      <c r="FN274">
        <f ca="1">EA274+FM274</f>
        <v>488593</v>
      </c>
      <c r="FO274">
        <f>IF(EA274&gt;0,75000,0)</f>
        <v>75000</v>
      </c>
      <c r="FP274">
        <f ca="1">FN274-FO274</f>
        <v>413593</v>
      </c>
      <c r="FQ274">
        <f ca="1">IF(FP274&gt;2400000,FP274-2400000,0)</f>
        <v>0</v>
      </c>
      <c r="FR274">
        <f ca="1">FQ274*0.3</f>
        <v>0</v>
      </c>
      <c r="FS274">
        <f ca="1">IF(FP274&gt;2000000,FP274-2000000,0)</f>
        <v>0</v>
      </c>
      <c r="FT274">
        <f ca="1">FS274*0.25</f>
        <v>0</v>
      </c>
      <c r="FU274">
        <f ca="1">IF(FP274&gt;1600000,FP274-1600000-FQ274,0)</f>
        <v>0</v>
      </c>
      <c r="FV274">
        <f ca="1">FU274*0.2</f>
        <v>0</v>
      </c>
      <c r="FW274">
        <f ca="1">IF(FP274&gt;1200000,FP274-1200000-IF(F274="YES",50000,0)-FU274,0)</f>
        <v>0</v>
      </c>
      <c r="FX274">
        <f ca="1">FW274*0.15</f>
        <v>0</v>
      </c>
      <c r="FY274">
        <f ca="1">IF(FP274&gt;800000,FP274-800000-FQ274-FU274-FW274,0)</f>
        <v>0</v>
      </c>
      <c r="FZ274">
        <f ca="1">FY274*0.1</f>
        <v>0</v>
      </c>
      <c r="GA274">
        <f ca="1">IF(FP274&gt;400000,FP274-400000-FQ274-FU274-FW274-FY274,0)</f>
        <v>13593</v>
      </c>
      <c r="GB274">
        <f ca="1">GA274*0.05</f>
        <v>679.65000000000009</v>
      </c>
      <c r="GC274">
        <f ca="1">ROUND(FR274+FT274+FV274+FX274+FZ274+GB274,0)</f>
        <v>680</v>
      </c>
      <c r="GD274">
        <f ca="1">IF(FP274&gt;1200000,FP274,0)</f>
        <v>0</v>
      </c>
      <c r="GE274">
        <f ca="1">IF(FP274&gt;1200000,GD274-1200000,0)</f>
        <v>0</v>
      </c>
      <c r="GF274">
        <f ca="1">IF(FP274&lt;1200001,MIN(GC274,60000),0)</f>
        <v>680</v>
      </c>
      <c r="GG274">
        <f ca="1">IF(FP274&gt;1200000,GC274-GE274,0)</f>
        <v>0</v>
      </c>
      <c r="GH274" t="b">
        <f ca="1">IF(GG274&gt;0,TRUE,FALSE)</f>
        <v>0</v>
      </c>
      <c r="GI274">
        <f ca="1">IF(GH274,GG274,0)</f>
        <v>0</v>
      </c>
      <c r="GJ274">
        <f ca="1">GF274+GI274</f>
        <v>680</v>
      </c>
      <c r="GK274">
        <f ca="1">ROUND(GC274-GJ274,0)</f>
        <v>0</v>
      </c>
      <c r="GL274">
        <f ca="1">GK274*0.04</f>
        <v>0</v>
      </c>
      <c r="GM274">
        <f ca="1">ROUNDUP(GK274+GL274,0)</f>
        <v>0</v>
      </c>
    </row>
    <row r="275" spans="1:195" x14ac:dyDescent="0.25">
      <c r="A275">
        <f>_xlfn.AGGREGATE(3,5,$B$2:B275)</f>
        <v>274</v>
      </c>
      <c r="B275" t="s">
        <v>655</v>
      </c>
      <c r="C275" t="s">
        <v>656</v>
      </c>
      <c r="D275" t="s">
        <v>825</v>
      </c>
      <c r="E275" t="s">
        <v>833</v>
      </c>
      <c r="F275" t="s">
        <v>959</v>
      </c>
      <c r="G275" t="s">
        <v>887</v>
      </c>
      <c r="H275">
        <f>IF(_xlfn.DAYS("31-03-2025",G275)&gt;=180,6800,0)</f>
        <v>6800</v>
      </c>
      <c r="I275">
        <f>_xlfn.XLOOKUP(B275,'[1]march-2025'!$A:$A,'[1]march-2025'!$J:$J,0,0)</f>
        <v>0</v>
      </c>
      <c r="J275">
        <f>_xlfn.XLOOKUP(B275,'[1]march-2025'!$A:$A,'[1]march-2025'!$C:$C,0,0)</f>
        <v>47300</v>
      </c>
      <c r="K275">
        <f>J275*0.14</f>
        <v>6622.0000000000009</v>
      </c>
      <c r="L275">
        <f>J275*0.12</f>
        <v>5676</v>
      </c>
      <c r="M275">
        <f>_xlfn.XLOOKUP(B275,'[1]march-2025'!$A:$A,'[1]march-2025'!$D:$D,0,0)</f>
        <v>400</v>
      </c>
      <c r="N275">
        <f>_xlfn.XLOOKUP(B275,'[1]march-2025'!$A:$A,'[1]march-2025'!$G:$G,0,0)</f>
        <v>0</v>
      </c>
      <c r="O275">
        <f>IF(J275&gt;0,SUM(J275:N275),0)</f>
        <v>59998</v>
      </c>
      <c r="P275">
        <f>_xlfn.XLOOKUP(B275,'[1]march-2025'!$A:$A,'[1]march-2025'!$H:$H,0,0)</f>
        <v>7000</v>
      </c>
      <c r="Q275">
        <f>_xlfn.XLOOKUP(B275,'[1]march-2025'!$A:$A,'[1]march-2025'!$I:$I,0,0)</f>
        <v>60</v>
      </c>
      <c r="R275">
        <f>IF($F275="YES",0,IF(O275&gt;40000,200,IF(O275&gt;25000,150,IF(O275&gt;15000,130,IF(O275&gt;10000,110,0)))))</f>
        <v>200</v>
      </c>
      <c r="S275">
        <f>O275-P275-Q275-R275</f>
        <v>52738</v>
      </c>
      <c r="T275">
        <f>_xlfn.XLOOKUP(B275,'[2]april-2025'!$A:$A,'[2]april-2025'!$C:$C,0,0)</f>
        <v>47300</v>
      </c>
      <c r="U275">
        <f>T275*0.18</f>
        <v>8514</v>
      </c>
      <c r="V275">
        <f>T275*0.12</f>
        <v>5676</v>
      </c>
      <c r="W275">
        <f>_xlfn.XLOOKUP(B275,'[2]april-2025'!$A:$A,'[2]april-2025'!$D:$D,0,0)</f>
        <v>400</v>
      </c>
      <c r="X275">
        <f>_xlfn.XLOOKUP(B275,'[2]april-2025'!$A:$A,'[2]april-2025'!$G:$G,0,0)</f>
        <v>0</v>
      </c>
      <c r="Y275">
        <f>IF(T275&gt;0,SUM(T275:X275),0)</f>
        <v>61890</v>
      </c>
      <c r="Z275">
        <f>_xlfn.XLOOKUP(B275,'[2]april-2025'!$A:$A,'[2]april-2025'!$H:$H,0,0)</f>
        <v>7000</v>
      </c>
      <c r="AA275">
        <f>_xlfn.XLOOKUP(B275,'[2]april-2025'!$A:$A,'[2]april-2025'!$I:$I,0,0)</f>
        <v>60</v>
      </c>
      <c r="AB275">
        <f>IF($F275="YES",0,IF(Y275&gt;40000,200,IF(Y275&gt;25000,150,IF(Y275&gt;15000,130,IF(Y275&gt;10000,110,0)))))</f>
        <v>200</v>
      </c>
      <c r="AC275">
        <f>Y275-Z275-AA275-AB275</f>
        <v>54630</v>
      </c>
      <c r="AD275">
        <f>_xlfn.XLOOKUP(B275,'[3]may-2025'!$A:$A,'[3]may-2025'!$C:$C,0,0)</f>
        <v>47300</v>
      </c>
      <c r="AE275">
        <f>AD275*0.18</f>
        <v>8514</v>
      </c>
      <c r="AF275">
        <f>AD275*0.12</f>
        <v>5676</v>
      </c>
      <c r="AG275">
        <f>_xlfn.XLOOKUP(B275,'[3]may-2025'!$A:$A,'[3]may-2025'!$D:$D,0,0)</f>
        <v>400</v>
      </c>
      <c r="AH275">
        <f>_xlfn.XLOOKUP(B275,'[3]may-2025'!$A:$A,'[3]may-2025'!$G:$G,0,0)</f>
        <v>0</v>
      </c>
      <c r="AI275">
        <f>IF(AD275&gt;0,SUM(AD275:AH275),0)</f>
        <v>61890</v>
      </c>
      <c r="AJ275">
        <f>_xlfn.XLOOKUP(B275,'[3]may-2025'!$A:$A,'[3]may-2025'!$H:$H,0,0)</f>
        <v>7000</v>
      </c>
      <c r="AK275">
        <f>_xlfn.XLOOKUP(B275,'[3]may-2025'!$A:$A,'[3]may-2025'!$I:$I,0,0)</f>
        <v>60</v>
      </c>
      <c r="AL275">
        <f>IF($F275="YES",0,IF(AI275&gt;40000,200,IF(AI275&gt;25000,150,IF(AI275&gt;15000,130,IF(AI275&gt;10000,110,0)))))</f>
        <v>200</v>
      </c>
      <c r="AM275">
        <f>AI275-AJ275-AK275-AL275</f>
        <v>54630</v>
      </c>
      <c r="AN275">
        <f>_xlfn.XLOOKUP(B275,'[4]june-2025'!$A:$A,'[4]june-2025'!$C:$C,0,0)</f>
        <v>47300</v>
      </c>
      <c r="AO275">
        <f>AN275*0.18</f>
        <v>8514</v>
      </c>
      <c r="AP275">
        <f>AN275*0.12</f>
        <v>5676</v>
      </c>
      <c r="AQ275">
        <f>_xlfn.XLOOKUP(B275,'[4]june-2025'!$A:$A,'[4]june-2025'!$D:$D,0,0)</f>
        <v>400</v>
      </c>
      <c r="AR275">
        <f>_xlfn.XLOOKUP(B275,'[4]june-2025'!$A:$A,'[4]june-2025'!$G:$G,0,0)</f>
        <v>0</v>
      </c>
      <c r="AS275">
        <f>IF(AN275&gt;0,SUM(AN275:AR275),0)</f>
        <v>61890</v>
      </c>
      <c r="AT275">
        <f>_xlfn.XLOOKUP(B275,'[4]june-2025'!$A:$A,'[4]june-2025'!$H:$H,0,0)</f>
        <v>7000</v>
      </c>
      <c r="AU275">
        <f>_xlfn.XLOOKUP(B275,'[4]june-2025'!$A:$A,'[4]june-2025'!$I:$I,0,0)</f>
        <v>60</v>
      </c>
      <c r="AV275">
        <f>IF($F275="YES",0,IF(AS275&gt;40000,200,IF(AS275&gt;25000,150,IF(AS275&gt;15000,130,IF(AS275&gt;10000,110,0)))))</f>
        <v>200</v>
      </c>
      <c r="AW275">
        <f>AS275-AT275-AU275-AV275</f>
        <v>54630</v>
      </c>
      <c r="AX275">
        <f>_xlfn.XLOOKUP(B275,'[5]july-2025'!$A:$A,'[5]july-2025'!$C:$C,0,0)</f>
        <v>48700</v>
      </c>
      <c r="AY275">
        <f>AX275*0.18</f>
        <v>8766</v>
      </c>
      <c r="AZ275">
        <v>0</v>
      </c>
      <c r="BA275">
        <f>AX275*0.12</f>
        <v>5844</v>
      </c>
      <c r="BB275">
        <f>_xlfn.XLOOKUP(B275,'[5]july-2025'!$A:$A,'[5]july-2025'!$D:$D,0,0)</f>
        <v>400</v>
      </c>
      <c r="BC275">
        <f>_xlfn.XLOOKUP(B275,'[5]july-2025'!$A:$A,'[5]july-2025'!$G:$G,0,0)</f>
        <v>0</v>
      </c>
      <c r="BD275">
        <f>IF(AX275&gt;0,SUM(AX275:BC275),0)</f>
        <v>63710</v>
      </c>
      <c r="BE275">
        <f>_xlfn.XLOOKUP(B275,'[5]july-2025'!$A:$A,'[5]july-2025'!$H:$H,0,0)</f>
        <v>7000</v>
      </c>
      <c r="BF275">
        <f>_xlfn.XLOOKUP(B275,'[5]july-2025'!$A:$A,'[5]july-2025'!$I:$I,0,0)</f>
        <v>60</v>
      </c>
      <c r="BG275">
        <f>IF($F275="YES",0,IF(BD275&gt;40000,200,IF(BD275&gt;25000,150,IF(BD275&gt;15000,130,IF(BD275&gt;10000,110,0)))))</f>
        <v>200</v>
      </c>
      <c r="BH275">
        <f>BD275-BE275-BF275-BG275</f>
        <v>56450</v>
      </c>
      <c r="BI275">
        <f>_xlfn.XLOOKUP(B275,'[6]august-2025'!$A:$A,'[6]august-2025'!$C:$C,0,0)</f>
        <v>48700</v>
      </c>
      <c r="BJ275">
        <f>BI275*0.18</f>
        <v>8766</v>
      </c>
      <c r="BK275">
        <f>BI275*0.12</f>
        <v>5844</v>
      </c>
      <c r="BL275">
        <f>_xlfn.XLOOKUP(B275,'[6]august-2025'!$A:$A,'[6]august-2025'!$D:$D,0,0)</f>
        <v>400</v>
      </c>
      <c r="BM275">
        <f>_xlfn.XLOOKUP(B275,'[6]august-2025'!$A:$A,'[6]august-2025'!$G:$G,0,0)</f>
        <v>0</v>
      </c>
      <c r="BN275">
        <f>IF(BI275&gt;0,SUM(BI275:BM275),0)</f>
        <v>63710</v>
      </c>
      <c r="BO275">
        <f>_xlfn.XLOOKUP(B275,'[6]august-2025'!$A:$A,'[6]august-2025'!$H:$H,0,0)</f>
        <v>7000</v>
      </c>
      <c r="BP275">
        <f>_xlfn.XLOOKUP(B275,'[6]august-2025'!$A:$A,'[6]august-2025'!$I:$I,0,0)</f>
        <v>60</v>
      </c>
      <c r="BQ275">
        <f>IF($F275="YES",0,IF(BN275&gt;40000,200,IF(BN275&gt;25000,150,IF(BN275&gt;15000,130,IF(BN275&gt;10000,110,0)))))</f>
        <v>200</v>
      </c>
      <c r="BR275">
        <f>BN275-BO275-BP275-BQ275</f>
        <v>56450</v>
      </c>
      <c r="BS275">
        <f>_xlfn.XLOOKUP(B275,'[7]september-2025'!$A:$A,'[7]september-2025'!$C:$C,0,0)</f>
        <v>48700</v>
      </c>
      <c r="BT275">
        <f>BS275*0.18</f>
        <v>8766</v>
      </c>
      <c r="BU275">
        <f>BS275*0.12</f>
        <v>5844</v>
      </c>
      <c r="BV275">
        <f>_xlfn.XLOOKUP(B275,'[7]september-2025'!$A:$A,'[7]september-2025'!$D:$D,0,0)</f>
        <v>400</v>
      </c>
      <c r="BW275">
        <f>_xlfn.XLOOKUP(B275,'[7]september-2025'!$A:$A,'[7]september-2025'!$G:$G,0,0)</f>
        <v>0</v>
      </c>
      <c r="BX275">
        <f>IF(BS275&gt;0,SUM(BS275:BW275),0)</f>
        <v>63710</v>
      </c>
      <c r="BY275">
        <f>_xlfn.XLOOKUP(B275,'[7]september-2025'!$A:$A,'[7]september-2025'!$H:$H,0,0)</f>
        <v>7000</v>
      </c>
      <c r="BZ275">
        <f>_xlfn.XLOOKUP(B275,'[7]september-2025'!$A:$A,'[7]september-2025'!$I:$I,0,0)</f>
        <v>60</v>
      </c>
      <c r="CA275">
        <f>IF($F275="YES",0,IF(BX275&gt;40000,200,IF(BX275&gt;25000,150,IF(BX275&gt;15000,130,IF(BX275&gt;10000,110,0)))))</f>
        <v>200</v>
      </c>
      <c r="CB275">
        <f>BX275-BY275-BZ275-CA275</f>
        <v>56450</v>
      </c>
      <c r="CC275">
        <f>_xlfn.XLOOKUP(B275,'[8]october-2025'!$A:$A,'[8]october-2025'!$C:$C,0,0)</f>
        <v>48700</v>
      </c>
      <c r="CD275">
        <f>CC275*0.18</f>
        <v>8766</v>
      </c>
      <c r="CE275">
        <f>CC275*0.12</f>
        <v>5844</v>
      </c>
      <c r="CF275">
        <f>_xlfn.XLOOKUP(B275,'[8]october-2025'!$A:$A,'[8]october-2025'!$D:$D,0,0)</f>
        <v>400</v>
      </c>
      <c r="CG275">
        <f>_xlfn.XLOOKUP(B275,'[8]october-2025'!$A:$A,'[8]october-2025'!$G:$G,0,0)</f>
        <v>0</v>
      </c>
      <c r="CH275">
        <f>IF(CC275&gt;0,SUM(CC275:CG275),0)</f>
        <v>63710</v>
      </c>
      <c r="CI275">
        <f>_xlfn.XLOOKUP(B275,'[8]october-2025'!$A:$A,'[8]october-2025'!$H:$H,0,0)</f>
        <v>7000</v>
      </c>
      <c r="CJ275">
        <f>_xlfn.XLOOKUP(B275,'[8]october-2025'!$A:$A,'[8]october-2025'!$I:$I,0,0)</f>
        <v>60</v>
      </c>
      <c r="CK275">
        <f>IF($F275="YES",0,IF(CH275&gt;40000,200,IF(CH275&gt;25000,150,IF(CH275&gt;15000,130,IF(CH275&gt;10000,110,0)))))</f>
        <v>200</v>
      </c>
      <c r="CL275">
        <f>CH275-CI275-CJ275-CK275</f>
        <v>56450</v>
      </c>
      <c r="CM275">
        <f>_xlfn.XLOOKUP(B275,'[9]november-2025'!$A:$A,'[9]november-2025'!$C:$C,0,0)</f>
        <v>48700</v>
      </c>
      <c r="CN275">
        <f>CM275*0.18</f>
        <v>8766</v>
      </c>
      <c r="CO275">
        <f>CM275*0.12</f>
        <v>5844</v>
      </c>
      <c r="CP275">
        <f>_xlfn.XLOOKUP(B275,'[9]november-2025'!$A:$A,'[9]november-2025'!$D:$D,0,0)</f>
        <v>400</v>
      </c>
      <c r="CQ275">
        <f>_xlfn.XLOOKUP(B275,'[9]november-2025'!$A:$A,'[9]november-2025'!$G:$G,0,0)</f>
        <v>0</v>
      </c>
      <c r="CR275">
        <f>IF(CM275&gt;0,SUM(CM275:CQ275),0)</f>
        <v>63710</v>
      </c>
      <c r="CS275">
        <f>_xlfn.XLOOKUP(B275,'[9]november-2025'!$A:$A,'[9]november-2025'!$H:$H,0,0)</f>
        <v>7000</v>
      </c>
      <c r="CT275">
        <f>_xlfn.XLOOKUP(B275,'[9]november-2025'!$A:$A,'[9]november-2025'!$I:$I,0,0)</f>
        <v>60</v>
      </c>
      <c r="CU275">
        <f>IF($F275="YES",0,IF(CR275&gt;40000,200,IF(CR275&gt;25000,150,IF(CR275&gt;15000,130,IF(CR275&gt;10000,110,0)))))</f>
        <v>200</v>
      </c>
      <c r="CV275">
        <f>CR275-CS275-CT275-CU275</f>
        <v>56450</v>
      </c>
      <c r="CW275">
        <f>_xlfn.XLOOKUP(B275,'[10]december-2025'!$A:$A,'[10]december-2025'!$C:$C,0,0)</f>
        <v>48700</v>
      </c>
      <c r="CX275">
        <f>ROUND(CW275*0.18,0)</f>
        <v>8766</v>
      </c>
      <c r="CY275">
        <f>ROUND(CW275*0.12,0)</f>
        <v>5844</v>
      </c>
      <c r="CZ275">
        <f>_xlfn.XLOOKUP(B275,'[10]december-2025'!$A:$A,'[10]december-2025'!$D:$D,0,0)</f>
        <v>400</v>
      </c>
      <c r="DA275">
        <f>_xlfn.XLOOKUP(B275,'[10]december-2025'!$A:$A,'[10]december-2025'!$G:$G,0,0)</f>
        <v>0</v>
      </c>
      <c r="DB275">
        <f>IF(CW275&gt;0,SUM(CW275:DA275),0)</f>
        <v>63710</v>
      </c>
      <c r="DC275">
        <f>_xlfn.XLOOKUP(B275,'[10]december-2025'!$A:$A,'[10]december-2025'!$H:$H,0,0)</f>
        <v>7000</v>
      </c>
      <c r="DD275">
        <f>_xlfn.XLOOKUP(B275,'[10]december-2025'!$A:$A,'[10]december-2025'!$I:$I,0,0)</f>
        <v>60</v>
      </c>
      <c r="DE275">
        <f>IF($F275="YES",0,IF(DB275&gt;40000,200,IF(DB275&gt;25000,150,IF(DB275&gt;15000,130,IF(DB275&gt;10000,110,0)))))</f>
        <v>200</v>
      </c>
      <c r="DF275">
        <f>DB275-DC275-DD275-DE275</f>
        <v>56450</v>
      </c>
      <c r="DG275">
        <f>_xlfn.XLOOKUP(B275,'[11]january-2026'!$A:$A,'[11]january-2026'!$C:$C,0,0)</f>
        <v>48700</v>
      </c>
      <c r="DH275">
        <f>DG275*0.18</f>
        <v>8766</v>
      </c>
      <c r="DI275">
        <f>DG275*0.12</f>
        <v>5844</v>
      </c>
      <c r="DJ275">
        <f>_xlfn.XLOOKUP(B275,'[11]january-2026'!$A:$A,'[11]january-2026'!$D:$D,0,0)</f>
        <v>400</v>
      </c>
      <c r="DK275">
        <f>_xlfn.XLOOKUP(B275,'[11]january-2026'!$A:$A,'[11]january-2026'!$G:$G,0,0)</f>
        <v>0</v>
      </c>
      <c r="DL275">
        <f>IF(DG275&gt;0,SUM(DG275:DK275),0)</f>
        <v>63710</v>
      </c>
      <c r="DM275">
        <f>_xlfn.XLOOKUP(B275,'[11]january-2026'!$A:$A,'[11]january-2026'!$H:$H,0,0)</f>
        <v>0</v>
      </c>
      <c r="DN275">
        <f>_xlfn.XLOOKUP(B275,'[11]january-2026'!$A:$A,'[11]january-2026'!$I:$I,0,0)</f>
        <v>60</v>
      </c>
      <c r="DO275">
        <f>IF($F275="YES",0,IF(DL275&gt;40000,200,IF(DL275&gt;25000,150,IF(DL275&gt;15000,130,IF(DL275&gt;10000,110,0)))))</f>
        <v>200</v>
      </c>
      <c r="DP275">
        <f>DL275-DM275-DN275-DO275</f>
        <v>63450</v>
      </c>
      <c r="DQ275">
        <f>_xlfn.XLOOKUP(B275,'[12]february-2026'!$A:$A,'[12]february-2026'!$C:$C,0,0)</f>
        <v>48700</v>
      </c>
      <c r="DR275">
        <f>DQ275*0.18</f>
        <v>8766</v>
      </c>
      <c r="DS275">
        <f>DQ275*0.12</f>
        <v>5844</v>
      </c>
      <c r="DT275">
        <f>_xlfn.XLOOKUP(B275,'[12]february-2026'!$A:$A,'[12]february-2026'!$D:$D,0,0)</f>
        <v>400</v>
      </c>
      <c r="DU275">
        <f>_xlfn.XLOOKUP(B275,'[12]february-2026'!$A:$A,'[12]february-2026'!$G:$G,0,0)</f>
        <v>0</v>
      </c>
      <c r="DV275">
        <f>IF(DQ275&gt;0,SUM(DQ275:DU275),0)</f>
        <v>63710</v>
      </c>
      <c r="DW275">
        <f>_xlfn.XLOOKUP(B275,'[12]february-2026'!$A:$A,'[12]february-2026'!$H:$H,0,0)</f>
        <v>0</v>
      </c>
      <c r="DX275">
        <f>_xlfn.XLOOKUP(B275,'[12]february-2026'!$A:$A,'[12]february-2026'!$I:$I,0,0)</f>
        <v>60</v>
      </c>
      <c r="DY275">
        <f>IF($F275="YES",0,IF(DV275&gt;40000,200,IF(DV275&gt;25000,150,IF(DV275&gt;15000,130,IF(DV275&gt;10000,110,0)))))</f>
        <v>200</v>
      </c>
      <c r="DZ275">
        <f>DV275-DW275-DX275-DY275</f>
        <v>63450</v>
      </c>
      <c r="EA275">
        <f>DV275+DL275+DB275+CR275+CH275+BX275+BN275+BD275+AS275+AI275+Y275+O275+H275+I275</f>
        <v>762148</v>
      </c>
      <c r="EB275">
        <f>DY275+DO275+DE275+CU275+CK275+CA275+BQ275+BG275+AV275+AL275+AB275+R275</f>
        <v>2400</v>
      </c>
      <c r="EC275">
        <f>IF(EA275&gt;0,50000,0)</f>
        <v>50000</v>
      </c>
      <c r="ED275">
        <v>0</v>
      </c>
      <c r="EE275">
        <f>EA275-EB275-EC275</f>
        <v>709748</v>
      </c>
      <c r="EF275">
        <f>DW275+DM275+DC275+CS275+CI275+BY275+BO275+BE275+AT275+AJ275+Z275+P275</f>
        <v>70000</v>
      </c>
      <c r="EG275">
        <f>DX275+DN275+DD275+CT275+CJ275+BZ275+BP275+BF275+AU275+AK275+AA275+Q275</f>
        <v>720</v>
      </c>
      <c r="EH275">
        <v>0</v>
      </c>
      <c r="EI275">
        <v>0</v>
      </c>
      <c r="EJ275">
        <v>0</v>
      </c>
      <c r="EK275">
        <v>0</v>
      </c>
      <c r="EL275">
        <v>0</v>
      </c>
      <c r="EM275">
        <v>0</v>
      </c>
      <c r="EN275">
        <v>0</v>
      </c>
      <c r="EO275">
        <v>0</v>
      </c>
      <c r="EP275">
        <v>0</v>
      </c>
      <c r="EQ275">
        <v>0</v>
      </c>
      <c r="ER275">
        <f>SUM(EF275:EQ275)</f>
        <v>70720</v>
      </c>
      <c r="ES275">
        <f>IF(ER275&gt;=150000,150000,ER275)</f>
        <v>70720</v>
      </c>
      <c r="ET275">
        <f>EE275-ES275</f>
        <v>639028</v>
      </c>
      <c r="EU275">
        <v>0</v>
      </c>
      <c r="EV275">
        <v>0</v>
      </c>
      <c r="EW275">
        <v>0</v>
      </c>
      <c r="EX275">
        <v>0</v>
      </c>
      <c r="EY275">
        <v>0</v>
      </c>
      <c r="EZ275">
        <v>0</v>
      </c>
      <c r="FA275">
        <v>0</v>
      </c>
      <c r="FB275">
        <f>SUM(EU275:FA275)+(IF(F275="YES",50000,0))</f>
        <v>0</v>
      </c>
      <c r="FC275">
        <f>ET275-FB275</f>
        <v>639028</v>
      </c>
      <c r="FD275">
        <f>ROUND(IF(FC275&gt;0,IF(FC275&gt;500000,12500,(FC275-250000)*0.05),0),0)</f>
        <v>12500</v>
      </c>
      <c r="FE275">
        <f>IF(ROUND(IF(FC275&gt;0,IF(FC275&gt;1000000,25000,(FC275-500000)*0.2),0),0)&lt;0,0,ROUND(IF(FC275&gt;0,IF(FC275&gt;1000000,25000,(FC275-500000)*0.2),0),0))</f>
        <v>27806</v>
      </c>
      <c r="FF275">
        <f>FD275+FE275</f>
        <v>40306</v>
      </c>
      <c r="FG275">
        <f>IF(FF275&lt;12500,0,FF275)</f>
        <v>40306</v>
      </c>
      <c r="FH275">
        <f>FG275*0.04</f>
        <v>1612.24</v>
      </c>
      <c r="FI275">
        <f>ROUND(FH275+FG275,0)</f>
        <v>41918</v>
      </c>
      <c r="FJ275">
        <v>0</v>
      </c>
      <c r="FK275">
        <f>FI275-FJ275</f>
        <v>41918</v>
      </c>
      <c r="FL275" t="b">
        <f>IF(EA275&gt;500000,TRUE,FALSE)</f>
        <v>1</v>
      </c>
      <c r="FM275">
        <f ca="1">IF(FL275,RANDBETWEEN(500,1000),RANDBETWEEN(1000,3000))</f>
        <v>919</v>
      </c>
      <c r="FN275">
        <f ca="1">EA275+FM275</f>
        <v>763067</v>
      </c>
      <c r="FO275">
        <f>IF(EA275&gt;0,75000,0)</f>
        <v>75000</v>
      </c>
      <c r="FP275">
        <f ca="1">FN275-FO275</f>
        <v>688067</v>
      </c>
      <c r="FQ275">
        <f ca="1">IF(FP275&gt;2400000,FP275-2400000,0)</f>
        <v>0</v>
      </c>
      <c r="FR275">
        <f ca="1">FQ275*0.3</f>
        <v>0</v>
      </c>
      <c r="FS275">
        <f ca="1">IF(FP275&gt;2000000,FP275-2000000,0)</f>
        <v>0</v>
      </c>
      <c r="FT275">
        <f ca="1">FS275*0.25</f>
        <v>0</v>
      </c>
      <c r="FU275">
        <f ca="1">IF(FP275&gt;1600000,FP275-1600000-FQ275,0)</f>
        <v>0</v>
      </c>
      <c r="FV275">
        <f ca="1">FU275*0.2</f>
        <v>0</v>
      </c>
      <c r="FW275">
        <f ca="1">IF(FP275&gt;1200000,FP275-1200000-IF(F275="YES",50000,0)-FU275,0)</f>
        <v>0</v>
      </c>
      <c r="FX275">
        <f ca="1">FW275*0.15</f>
        <v>0</v>
      </c>
      <c r="FY275">
        <f ca="1">IF(FP275&gt;800000,FP275-800000-FQ275-FU275-FW275,0)</f>
        <v>0</v>
      </c>
      <c r="FZ275">
        <f ca="1">FY275*0.1</f>
        <v>0</v>
      </c>
      <c r="GA275">
        <f ca="1">IF(FP275&gt;400000,FP275-400000-FQ275-FU275-FW275-FY275,0)</f>
        <v>288067</v>
      </c>
      <c r="GB275">
        <f ca="1">GA275*0.05</f>
        <v>14403.35</v>
      </c>
      <c r="GC275">
        <f ca="1">ROUND(FR275+FT275+FV275+FX275+FZ275+GB275,0)</f>
        <v>14403</v>
      </c>
      <c r="GD275">
        <f ca="1">IF(FP275&gt;1200000,FP275,0)</f>
        <v>0</v>
      </c>
      <c r="GE275">
        <f ca="1">IF(FP275&gt;1200000,GD275-1200000,0)</f>
        <v>0</v>
      </c>
      <c r="GF275">
        <f ca="1">IF(FP275&lt;1200001,MIN(GC275,60000),0)</f>
        <v>14403</v>
      </c>
      <c r="GG275">
        <f ca="1">IF(FP275&gt;1200000,GC275-GE275,0)</f>
        <v>0</v>
      </c>
      <c r="GH275" t="b">
        <f ca="1">IF(GG275&gt;0,TRUE,FALSE)</f>
        <v>0</v>
      </c>
      <c r="GI275">
        <f ca="1">IF(GH275,GG275,0)</f>
        <v>0</v>
      </c>
      <c r="GJ275">
        <f ca="1">GF275+GI275</f>
        <v>14403</v>
      </c>
      <c r="GK275">
        <f ca="1">ROUND(GC275-GJ275,0)</f>
        <v>0</v>
      </c>
      <c r="GL275">
        <f ca="1">GK275*0.04</f>
        <v>0</v>
      </c>
      <c r="GM275">
        <f ca="1">ROUNDUP(GK275+GL275,0)</f>
        <v>0</v>
      </c>
    </row>
    <row r="276" spans="1:195" x14ac:dyDescent="0.25">
      <c r="A276">
        <f>_xlfn.AGGREGATE(3,5,$B$2:B276)</f>
        <v>275</v>
      </c>
      <c r="B276" t="s">
        <v>657</v>
      </c>
      <c r="C276" t="s">
        <v>658</v>
      </c>
      <c r="D276" t="s">
        <v>825</v>
      </c>
      <c r="E276" t="s">
        <v>834</v>
      </c>
      <c r="F276" t="s">
        <v>959</v>
      </c>
      <c r="G276" t="s">
        <v>887</v>
      </c>
      <c r="H276">
        <f>IF(_xlfn.DAYS("31-03-2025",G276)&gt;=180,6800,0)</f>
        <v>6800</v>
      </c>
      <c r="I276">
        <f>_xlfn.XLOOKUP(B276,'[1]march-2025'!$A:$A,'[1]march-2025'!$J:$J,0,0)</f>
        <v>0</v>
      </c>
      <c r="J276">
        <f>_xlfn.XLOOKUP(B276,'[1]march-2025'!$A:$A,'[1]march-2025'!$C:$C,0,0)</f>
        <v>50200</v>
      </c>
      <c r="K276">
        <f>J276*0.14</f>
        <v>7028.0000000000009</v>
      </c>
      <c r="L276">
        <f>J276*0.12</f>
        <v>6024</v>
      </c>
      <c r="M276">
        <f>_xlfn.XLOOKUP(B276,'[1]march-2025'!$A:$A,'[1]march-2025'!$D:$D,0,0)</f>
        <v>0</v>
      </c>
      <c r="N276">
        <f>_xlfn.XLOOKUP(B276,'[1]march-2025'!$A:$A,'[1]march-2025'!$G:$G,0,0)</f>
        <v>500</v>
      </c>
      <c r="O276">
        <f>IF(J276&gt;0,SUM(J276:N276),0)</f>
        <v>63752</v>
      </c>
      <c r="P276">
        <f>_xlfn.XLOOKUP(B276,'[1]march-2025'!$A:$A,'[1]march-2025'!$H:$H,0,0)</f>
        <v>5000</v>
      </c>
      <c r="Q276">
        <f>_xlfn.XLOOKUP(B276,'[1]march-2025'!$A:$A,'[1]march-2025'!$I:$I,0,0)</f>
        <v>0</v>
      </c>
      <c r="R276">
        <f>IF($F276="YES",0,IF(O276&gt;40000,200,IF(O276&gt;25000,150,IF(O276&gt;15000,130,IF(O276&gt;10000,110,0)))))</f>
        <v>200</v>
      </c>
      <c r="S276">
        <f>O276-P276-Q276-R276</f>
        <v>58552</v>
      </c>
      <c r="T276">
        <f>_xlfn.XLOOKUP(B276,'[2]april-2025'!$A:$A,'[2]april-2025'!$C:$C,0,0)</f>
        <v>50200</v>
      </c>
      <c r="U276">
        <f>T276*0.18</f>
        <v>9036</v>
      </c>
      <c r="V276">
        <f>T276*0.12</f>
        <v>6024</v>
      </c>
      <c r="W276">
        <f>_xlfn.XLOOKUP(B276,'[2]april-2025'!$A:$A,'[2]april-2025'!$D:$D,0,0)</f>
        <v>0</v>
      </c>
      <c r="X276">
        <f>_xlfn.XLOOKUP(B276,'[2]april-2025'!$A:$A,'[2]april-2025'!$G:$G,0,0)</f>
        <v>500</v>
      </c>
      <c r="Y276">
        <f>IF(T276&gt;0,SUM(T276:X276),0)</f>
        <v>65760</v>
      </c>
      <c r="Z276">
        <f>_xlfn.XLOOKUP(B276,'[2]april-2025'!$A:$A,'[2]april-2025'!$H:$H,0,0)</f>
        <v>5000</v>
      </c>
      <c r="AA276">
        <f>_xlfn.XLOOKUP(B276,'[2]april-2025'!$A:$A,'[2]april-2025'!$I:$I,0,0)</f>
        <v>0</v>
      </c>
      <c r="AB276">
        <f>IF($F276="YES",0,IF(Y276&gt;40000,200,IF(Y276&gt;25000,150,IF(Y276&gt;15000,130,IF(Y276&gt;10000,110,0)))))</f>
        <v>200</v>
      </c>
      <c r="AC276">
        <f>Y276-Z276-AA276-AB276</f>
        <v>60560</v>
      </c>
      <c r="AD276">
        <f>_xlfn.XLOOKUP(B276,'[3]may-2025'!$A:$A,'[3]may-2025'!$C:$C,0,0)</f>
        <v>50200</v>
      </c>
      <c r="AE276">
        <f>AD276*0.18</f>
        <v>9036</v>
      </c>
      <c r="AF276">
        <f>AD276*0.12</f>
        <v>6024</v>
      </c>
      <c r="AG276">
        <f>_xlfn.XLOOKUP(B276,'[3]may-2025'!$A:$A,'[3]may-2025'!$D:$D,0,0)</f>
        <v>0</v>
      </c>
      <c r="AH276">
        <f>_xlfn.XLOOKUP(B276,'[3]may-2025'!$A:$A,'[3]may-2025'!$G:$G,0,0)</f>
        <v>500</v>
      </c>
      <c r="AI276">
        <f>IF(AD276&gt;0,SUM(AD276:AH276),0)</f>
        <v>65760</v>
      </c>
      <c r="AJ276">
        <f>_xlfn.XLOOKUP(B276,'[3]may-2025'!$A:$A,'[3]may-2025'!$H:$H,0,0)</f>
        <v>5000</v>
      </c>
      <c r="AK276">
        <f>_xlfn.XLOOKUP(B276,'[3]may-2025'!$A:$A,'[3]may-2025'!$I:$I,0,0)</f>
        <v>0</v>
      </c>
      <c r="AL276">
        <f>IF($F276="YES",0,IF(AI276&gt;40000,200,IF(AI276&gt;25000,150,IF(AI276&gt;15000,130,IF(AI276&gt;10000,110,0)))))</f>
        <v>200</v>
      </c>
      <c r="AM276">
        <f>AI276-AJ276-AK276-AL276</f>
        <v>60560</v>
      </c>
      <c r="AN276">
        <f>_xlfn.XLOOKUP(B276,'[4]june-2025'!$A:$A,'[4]june-2025'!$C:$C,0,0)</f>
        <v>50200</v>
      </c>
      <c r="AO276">
        <f>AN276*0.18</f>
        <v>9036</v>
      </c>
      <c r="AP276">
        <f>AN276*0.12</f>
        <v>6024</v>
      </c>
      <c r="AQ276">
        <f>_xlfn.XLOOKUP(B276,'[4]june-2025'!$A:$A,'[4]june-2025'!$D:$D,0,0)</f>
        <v>0</v>
      </c>
      <c r="AR276">
        <f>_xlfn.XLOOKUP(B276,'[4]june-2025'!$A:$A,'[4]june-2025'!$G:$G,0,0)</f>
        <v>500</v>
      </c>
      <c r="AS276">
        <f>IF(AN276&gt;0,SUM(AN276:AR276),0)</f>
        <v>65760</v>
      </c>
      <c r="AT276">
        <f>_xlfn.XLOOKUP(B276,'[4]june-2025'!$A:$A,'[4]june-2025'!$H:$H,0,0)</f>
        <v>5000</v>
      </c>
      <c r="AU276">
        <f>_xlfn.XLOOKUP(B276,'[4]june-2025'!$A:$A,'[4]june-2025'!$I:$I,0,0)</f>
        <v>0</v>
      </c>
      <c r="AV276">
        <f>IF($F276="YES",0,IF(AS276&gt;40000,200,IF(AS276&gt;25000,150,IF(AS276&gt;15000,130,IF(AS276&gt;10000,110,0)))))</f>
        <v>200</v>
      </c>
      <c r="AW276">
        <f>AS276-AT276-AU276-AV276</f>
        <v>60560</v>
      </c>
      <c r="AX276">
        <f>_xlfn.XLOOKUP(B276,'[5]july-2025'!$A:$A,'[5]july-2025'!$C:$C,0,0)</f>
        <v>51700</v>
      </c>
      <c r="AY276">
        <f>AX276*0.18</f>
        <v>9306</v>
      </c>
      <c r="AZ276">
        <v>0</v>
      </c>
      <c r="BA276">
        <f>AX276*0.12</f>
        <v>6204</v>
      </c>
      <c r="BB276">
        <f>_xlfn.XLOOKUP(B276,'[5]july-2025'!$A:$A,'[5]july-2025'!$D:$D,0,0)</f>
        <v>0</v>
      </c>
      <c r="BC276">
        <f>_xlfn.XLOOKUP(B276,'[5]july-2025'!$A:$A,'[5]july-2025'!$G:$G,0,0)</f>
        <v>500</v>
      </c>
      <c r="BD276">
        <f>IF(AX276&gt;0,SUM(AX276:BC276),0)</f>
        <v>67710</v>
      </c>
      <c r="BE276">
        <f>_xlfn.XLOOKUP(B276,'[5]july-2025'!$A:$A,'[5]july-2025'!$H:$H,0,0)</f>
        <v>5000</v>
      </c>
      <c r="BF276">
        <f>_xlfn.XLOOKUP(B276,'[5]july-2025'!$A:$A,'[5]july-2025'!$I:$I,0,0)</f>
        <v>0</v>
      </c>
      <c r="BG276">
        <f>IF($F276="YES",0,IF(BD276&gt;40000,200,IF(BD276&gt;25000,150,IF(BD276&gt;15000,130,IF(BD276&gt;10000,110,0)))))</f>
        <v>200</v>
      </c>
      <c r="BH276">
        <f>BD276-BE276-BF276-BG276</f>
        <v>62510</v>
      </c>
      <c r="BI276">
        <f>_xlfn.XLOOKUP(B276,'[6]august-2025'!$A:$A,'[6]august-2025'!$C:$C,0,0)</f>
        <v>51700</v>
      </c>
      <c r="BJ276">
        <f>BI276*0.18</f>
        <v>9306</v>
      </c>
      <c r="BK276">
        <f>BI276*0.12</f>
        <v>6204</v>
      </c>
      <c r="BL276">
        <f>_xlfn.XLOOKUP(B276,'[6]august-2025'!$A:$A,'[6]august-2025'!$D:$D,0,0)</f>
        <v>0</v>
      </c>
      <c r="BM276">
        <f>_xlfn.XLOOKUP(B276,'[6]august-2025'!$A:$A,'[6]august-2025'!$G:$G,0,0)</f>
        <v>500</v>
      </c>
      <c r="BN276">
        <f>IF(BI276&gt;0,SUM(BI276:BM276),0)</f>
        <v>67710</v>
      </c>
      <c r="BO276">
        <f>_xlfn.XLOOKUP(B276,'[6]august-2025'!$A:$A,'[6]august-2025'!$H:$H,0,0)</f>
        <v>5000</v>
      </c>
      <c r="BP276">
        <f>_xlfn.XLOOKUP(B276,'[6]august-2025'!$A:$A,'[6]august-2025'!$I:$I,0,0)</f>
        <v>0</v>
      </c>
      <c r="BQ276">
        <f>IF($F276="YES",0,IF(BN276&gt;40000,200,IF(BN276&gt;25000,150,IF(BN276&gt;15000,130,IF(BN276&gt;10000,110,0)))))</f>
        <v>200</v>
      </c>
      <c r="BR276">
        <f>BN276-BO276-BP276-BQ276</f>
        <v>62510</v>
      </c>
      <c r="BS276">
        <f>_xlfn.XLOOKUP(B276,'[7]september-2025'!$A:$A,'[7]september-2025'!$C:$C,0,0)</f>
        <v>51700</v>
      </c>
      <c r="BT276">
        <f>BS276*0.18</f>
        <v>9306</v>
      </c>
      <c r="BU276">
        <f>BS276*0.12</f>
        <v>6204</v>
      </c>
      <c r="BV276">
        <f>_xlfn.XLOOKUP(B276,'[7]september-2025'!$A:$A,'[7]september-2025'!$D:$D,0,0)</f>
        <v>0</v>
      </c>
      <c r="BW276">
        <f>_xlfn.XLOOKUP(B276,'[7]september-2025'!$A:$A,'[7]september-2025'!$G:$G,0,0)</f>
        <v>500</v>
      </c>
      <c r="BX276">
        <f>IF(BS276&gt;0,SUM(BS276:BW276),0)</f>
        <v>67710</v>
      </c>
      <c r="BY276">
        <f>_xlfn.XLOOKUP(B276,'[7]september-2025'!$A:$A,'[7]september-2025'!$H:$H,0,0)</f>
        <v>5000</v>
      </c>
      <c r="BZ276">
        <f>_xlfn.XLOOKUP(B276,'[7]september-2025'!$A:$A,'[7]september-2025'!$I:$I,0,0)</f>
        <v>0</v>
      </c>
      <c r="CA276">
        <f>IF($F276="YES",0,IF(BX276&gt;40000,200,IF(BX276&gt;25000,150,IF(BX276&gt;15000,130,IF(BX276&gt;10000,110,0)))))</f>
        <v>200</v>
      </c>
      <c r="CB276">
        <f>BX276-BY276-BZ276-CA276</f>
        <v>62510</v>
      </c>
      <c r="CC276">
        <f>_xlfn.XLOOKUP(B276,'[8]october-2025'!$A:$A,'[8]october-2025'!$C:$C,0,0)</f>
        <v>51700</v>
      </c>
      <c r="CD276">
        <f>CC276*0.18</f>
        <v>9306</v>
      </c>
      <c r="CE276">
        <f>CC276*0.12</f>
        <v>6204</v>
      </c>
      <c r="CF276">
        <f>_xlfn.XLOOKUP(B276,'[8]october-2025'!$A:$A,'[8]october-2025'!$D:$D,0,0)</f>
        <v>0</v>
      </c>
      <c r="CG276">
        <f>_xlfn.XLOOKUP(B276,'[8]october-2025'!$A:$A,'[8]october-2025'!$G:$G,0,0)</f>
        <v>500</v>
      </c>
      <c r="CH276">
        <f>IF(CC276&gt;0,SUM(CC276:CG276),0)</f>
        <v>67710</v>
      </c>
      <c r="CI276">
        <f>_xlfn.XLOOKUP(B276,'[8]october-2025'!$A:$A,'[8]october-2025'!$H:$H,0,0)</f>
        <v>5000</v>
      </c>
      <c r="CJ276">
        <f>_xlfn.XLOOKUP(B276,'[8]october-2025'!$A:$A,'[8]october-2025'!$I:$I,0,0)</f>
        <v>0</v>
      </c>
      <c r="CK276">
        <f>IF($F276="YES",0,IF(CH276&gt;40000,200,IF(CH276&gt;25000,150,IF(CH276&gt;15000,130,IF(CH276&gt;10000,110,0)))))</f>
        <v>200</v>
      </c>
      <c r="CL276">
        <f>CH276-CI276-CJ276-CK276</f>
        <v>62510</v>
      </c>
      <c r="CM276">
        <f>_xlfn.XLOOKUP(B276,'[9]november-2025'!$A:$A,'[9]november-2025'!$C:$C,0,0)</f>
        <v>51700</v>
      </c>
      <c r="CN276">
        <f>CM276*0.18</f>
        <v>9306</v>
      </c>
      <c r="CO276">
        <f>CM276*0.12</f>
        <v>6204</v>
      </c>
      <c r="CP276">
        <f>_xlfn.XLOOKUP(B276,'[9]november-2025'!$A:$A,'[9]november-2025'!$D:$D,0,0)</f>
        <v>0</v>
      </c>
      <c r="CQ276">
        <f>_xlfn.XLOOKUP(B276,'[9]november-2025'!$A:$A,'[9]november-2025'!$G:$G,0,0)</f>
        <v>500</v>
      </c>
      <c r="CR276">
        <f>IF(CM276&gt;0,SUM(CM276:CQ276),0)</f>
        <v>67710</v>
      </c>
      <c r="CS276">
        <f>_xlfn.XLOOKUP(B276,'[9]november-2025'!$A:$A,'[9]november-2025'!$H:$H,0,0)</f>
        <v>5000</v>
      </c>
      <c r="CT276">
        <f>_xlfn.XLOOKUP(B276,'[9]november-2025'!$A:$A,'[9]november-2025'!$I:$I,0,0)</f>
        <v>0</v>
      </c>
      <c r="CU276">
        <f>IF($F276="YES",0,IF(CR276&gt;40000,200,IF(CR276&gt;25000,150,IF(CR276&gt;15000,130,IF(CR276&gt;10000,110,0)))))</f>
        <v>200</v>
      </c>
      <c r="CV276">
        <f>CR276-CS276-CT276-CU276</f>
        <v>62510</v>
      </c>
      <c r="CW276">
        <f>_xlfn.XLOOKUP(B276,'[10]december-2025'!$A:$A,'[10]december-2025'!$C:$C,0,0)</f>
        <v>51700</v>
      </c>
      <c r="CX276">
        <f>ROUND(CW276*0.18,0)</f>
        <v>9306</v>
      </c>
      <c r="CY276">
        <f>ROUND(CW276*0.12,0)</f>
        <v>6204</v>
      </c>
      <c r="CZ276">
        <f>_xlfn.XLOOKUP(B276,'[10]december-2025'!$A:$A,'[10]december-2025'!$D:$D,0,0)</f>
        <v>0</v>
      </c>
      <c r="DA276">
        <f>_xlfn.XLOOKUP(B276,'[10]december-2025'!$A:$A,'[10]december-2025'!$G:$G,0,0)</f>
        <v>500</v>
      </c>
      <c r="DB276">
        <f>IF(CW276&gt;0,SUM(CW276:DA276),0)</f>
        <v>67710</v>
      </c>
      <c r="DC276">
        <f>_xlfn.XLOOKUP(B276,'[10]december-2025'!$A:$A,'[10]december-2025'!$H:$H,0,0)</f>
        <v>5000</v>
      </c>
      <c r="DD276">
        <f>_xlfn.XLOOKUP(B276,'[10]december-2025'!$A:$A,'[10]december-2025'!$I:$I,0,0)</f>
        <v>0</v>
      </c>
      <c r="DE276">
        <f>IF($F276="YES",0,IF(DB276&gt;40000,200,IF(DB276&gt;25000,150,IF(DB276&gt;15000,130,IF(DB276&gt;10000,110,0)))))</f>
        <v>200</v>
      </c>
      <c r="DF276">
        <f>DB276-DC276-DD276-DE276</f>
        <v>62510</v>
      </c>
      <c r="DG276">
        <f>_xlfn.XLOOKUP(B276,'[11]january-2026'!$A:$A,'[11]january-2026'!$C:$C,0,0)</f>
        <v>51700</v>
      </c>
      <c r="DH276">
        <f>DG276*0.18</f>
        <v>9306</v>
      </c>
      <c r="DI276">
        <f>DG276*0.12</f>
        <v>6204</v>
      </c>
      <c r="DJ276">
        <f>_xlfn.XLOOKUP(B276,'[11]january-2026'!$A:$A,'[11]january-2026'!$D:$D,0,0)</f>
        <v>0</v>
      </c>
      <c r="DK276">
        <f>_xlfn.XLOOKUP(B276,'[11]january-2026'!$A:$A,'[11]january-2026'!$G:$G,0,0)</f>
        <v>500</v>
      </c>
      <c r="DL276">
        <f>IF(DG276&gt;0,SUM(DG276:DK276),0)</f>
        <v>67710</v>
      </c>
      <c r="DM276">
        <f>_xlfn.XLOOKUP(B276,'[11]january-2026'!$A:$A,'[11]january-2026'!$H:$H,0,0)</f>
        <v>5000</v>
      </c>
      <c r="DN276">
        <f>_xlfn.XLOOKUP(B276,'[11]january-2026'!$A:$A,'[11]january-2026'!$I:$I,0,0)</f>
        <v>0</v>
      </c>
      <c r="DO276">
        <f>IF($F276="YES",0,IF(DL276&gt;40000,200,IF(DL276&gt;25000,150,IF(DL276&gt;15000,130,IF(DL276&gt;10000,110,0)))))</f>
        <v>200</v>
      </c>
      <c r="DP276">
        <f>DL276-DM276-DN276-DO276</f>
        <v>62510</v>
      </c>
      <c r="DQ276">
        <f>_xlfn.XLOOKUP(B276,'[12]february-2026'!$A:$A,'[12]february-2026'!$C:$C,0,0)</f>
        <v>51700</v>
      </c>
      <c r="DR276">
        <f>DQ276*0.18</f>
        <v>9306</v>
      </c>
      <c r="DS276">
        <f>DQ276*0.12</f>
        <v>6204</v>
      </c>
      <c r="DT276">
        <f>_xlfn.XLOOKUP(B276,'[12]february-2026'!$A:$A,'[12]february-2026'!$D:$D,0,0)</f>
        <v>0</v>
      </c>
      <c r="DU276">
        <f>_xlfn.XLOOKUP(B276,'[12]february-2026'!$A:$A,'[12]february-2026'!$G:$G,0,0)</f>
        <v>500</v>
      </c>
      <c r="DV276">
        <f>IF(DQ276&gt;0,SUM(DQ276:DU276),0)</f>
        <v>67710</v>
      </c>
      <c r="DW276">
        <f>_xlfn.XLOOKUP(B276,'[12]february-2026'!$A:$A,'[12]february-2026'!$H:$H,0,0)</f>
        <v>5000</v>
      </c>
      <c r="DX276">
        <f>_xlfn.XLOOKUP(B276,'[12]february-2026'!$A:$A,'[12]february-2026'!$I:$I,0,0)</f>
        <v>0</v>
      </c>
      <c r="DY276">
        <f>IF($F276="YES",0,IF(DV276&gt;40000,200,IF(DV276&gt;25000,150,IF(DV276&gt;15000,130,IF(DV276&gt;10000,110,0)))))</f>
        <v>200</v>
      </c>
      <c r="DZ276">
        <f>DV276-DW276-DX276-DY276</f>
        <v>62510</v>
      </c>
      <c r="EA276">
        <f>DV276+DL276+DB276+CR276+CH276+BX276+BN276+BD276+AS276+AI276+Y276+O276+H276+I276</f>
        <v>809512</v>
      </c>
      <c r="EB276">
        <f>DY276+DO276+DE276+CU276+CK276+CA276+BQ276+BG276+AV276+AL276+AB276+R276</f>
        <v>2400</v>
      </c>
      <c r="EC276">
        <f>IF(EA276&gt;0,50000,0)</f>
        <v>50000</v>
      </c>
      <c r="ED276">
        <v>0</v>
      </c>
      <c r="EE276">
        <f>EA276-EB276-EC276</f>
        <v>757112</v>
      </c>
      <c r="EF276">
        <f>DW276+DM276+DC276+CS276+CI276+BY276+BO276+BE276+AT276+AJ276+Z276+P276</f>
        <v>60000</v>
      </c>
      <c r="EG276">
        <f>DX276+DN276+DD276+CT276+CJ276+BZ276+BP276+BF276+AU276+AK276+AA276+Q276</f>
        <v>0</v>
      </c>
      <c r="EH276">
        <v>0</v>
      </c>
      <c r="EI276">
        <v>0</v>
      </c>
      <c r="EJ276">
        <v>0</v>
      </c>
      <c r="EK276">
        <v>0</v>
      </c>
      <c r="EL276">
        <v>0</v>
      </c>
      <c r="EM276">
        <v>0</v>
      </c>
      <c r="EN276">
        <v>0</v>
      </c>
      <c r="EO276">
        <v>0</v>
      </c>
      <c r="EP276">
        <v>0</v>
      </c>
      <c r="EQ276">
        <v>0</v>
      </c>
      <c r="ER276">
        <f>SUM(EF276:EQ276)</f>
        <v>60000</v>
      </c>
      <c r="ES276">
        <f>IF(ER276&gt;=150000,150000,ER276)</f>
        <v>60000</v>
      </c>
      <c r="ET276">
        <f>EE276-ES276</f>
        <v>697112</v>
      </c>
      <c r="EU276">
        <v>0</v>
      </c>
      <c r="EV276">
        <v>0</v>
      </c>
      <c r="EW276">
        <v>0</v>
      </c>
      <c r="EX276">
        <v>0</v>
      </c>
      <c r="EY276">
        <v>0</v>
      </c>
      <c r="EZ276">
        <v>0</v>
      </c>
      <c r="FA276">
        <v>0</v>
      </c>
      <c r="FB276">
        <f>SUM(EU276:FA276)+(IF(F276="YES",50000,0))</f>
        <v>0</v>
      </c>
      <c r="FC276">
        <f>ET276-FB276</f>
        <v>697112</v>
      </c>
      <c r="FD276">
        <f>ROUND(IF(FC276&gt;0,IF(FC276&gt;500000,12500,(FC276-250000)*0.05),0),0)</f>
        <v>12500</v>
      </c>
      <c r="FE276">
        <f>IF(ROUND(IF(FC276&gt;0,IF(FC276&gt;1000000,25000,(FC276-500000)*0.2),0),0)&lt;0,0,ROUND(IF(FC276&gt;0,IF(FC276&gt;1000000,25000,(FC276-500000)*0.2),0),0))</f>
        <v>39422</v>
      </c>
      <c r="FF276">
        <f>FD276+FE276</f>
        <v>51922</v>
      </c>
      <c r="FG276">
        <f>IF(FF276&lt;12500,0,FF276)</f>
        <v>51922</v>
      </c>
      <c r="FH276">
        <f>FG276*0.04</f>
        <v>2076.88</v>
      </c>
      <c r="FI276">
        <f>ROUND(FH276+FG276,0)</f>
        <v>53999</v>
      </c>
      <c r="FJ276">
        <v>0</v>
      </c>
      <c r="FK276">
        <f>FI276-FJ276</f>
        <v>53999</v>
      </c>
      <c r="FL276" t="b">
        <f>IF(EA276&gt;500000,TRUE,FALSE)</f>
        <v>1</v>
      </c>
      <c r="FM276">
        <f ca="1">IF(FL276,RANDBETWEEN(500,1000),RANDBETWEEN(1000,3000))</f>
        <v>932</v>
      </c>
      <c r="FN276">
        <f ca="1">EA276+FM276</f>
        <v>810444</v>
      </c>
      <c r="FO276">
        <f>IF(EA276&gt;0,75000,0)</f>
        <v>75000</v>
      </c>
      <c r="FP276">
        <f ca="1">FN276-FO276</f>
        <v>735444</v>
      </c>
      <c r="FQ276">
        <f ca="1">IF(FP276&gt;2400000,FP276-2400000,0)</f>
        <v>0</v>
      </c>
      <c r="FR276">
        <f ca="1">FQ276*0.3</f>
        <v>0</v>
      </c>
      <c r="FS276">
        <f ca="1">IF(FP276&gt;2000000,FP276-2000000,0)</f>
        <v>0</v>
      </c>
      <c r="FT276">
        <f ca="1">FS276*0.25</f>
        <v>0</v>
      </c>
      <c r="FU276">
        <f ca="1">IF(FP276&gt;1600000,FP276-1600000-FQ276,0)</f>
        <v>0</v>
      </c>
      <c r="FV276">
        <f ca="1">FU276*0.2</f>
        <v>0</v>
      </c>
      <c r="FW276">
        <f ca="1">IF(FP276&gt;1200000,FP276-1200000-IF(F276="YES",50000,0)-FU276,0)</f>
        <v>0</v>
      </c>
      <c r="FX276">
        <f ca="1">FW276*0.15</f>
        <v>0</v>
      </c>
      <c r="FY276">
        <f ca="1">IF(FP276&gt;800000,FP276-800000-FQ276-FU276-FW276,0)</f>
        <v>0</v>
      </c>
      <c r="FZ276">
        <f ca="1">FY276*0.1</f>
        <v>0</v>
      </c>
      <c r="GA276">
        <f ca="1">IF(FP276&gt;400000,FP276-400000-FQ276-FU276-FW276-FY276,0)</f>
        <v>335444</v>
      </c>
      <c r="GB276">
        <f ca="1">GA276*0.05</f>
        <v>16772.2</v>
      </c>
      <c r="GC276">
        <f ca="1">ROUND(FR276+FT276+FV276+FX276+FZ276+GB276,0)</f>
        <v>16772</v>
      </c>
      <c r="GD276">
        <f ca="1">IF(FP276&gt;1200000,FP276,0)</f>
        <v>0</v>
      </c>
      <c r="GE276">
        <f ca="1">IF(FP276&gt;1200000,GD276-1200000,0)</f>
        <v>0</v>
      </c>
      <c r="GF276">
        <f ca="1">IF(FP276&lt;1200001,MIN(GC276,60000),0)</f>
        <v>16772</v>
      </c>
      <c r="GG276">
        <f ca="1">IF(FP276&gt;1200000,GC276-GE276,0)</f>
        <v>0</v>
      </c>
      <c r="GH276" t="b">
        <f ca="1">IF(GG276&gt;0,TRUE,FALSE)</f>
        <v>0</v>
      </c>
      <c r="GI276">
        <f ca="1">IF(GH276,GG276,0)</f>
        <v>0</v>
      </c>
      <c r="GJ276">
        <f ca="1">GF276+GI276</f>
        <v>16772</v>
      </c>
      <c r="GK276">
        <f ca="1">ROUND(GC276-GJ276,0)</f>
        <v>0</v>
      </c>
      <c r="GL276">
        <f ca="1">GK276*0.04</f>
        <v>0</v>
      </c>
      <c r="GM276">
        <f ca="1">ROUNDUP(GK276+GL276,0)</f>
        <v>0</v>
      </c>
    </row>
    <row r="277" spans="1:195" x14ac:dyDescent="0.25">
      <c r="A277">
        <f>_xlfn.AGGREGATE(3,5,$B$2:B277)</f>
        <v>276</v>
      </c>
      <c r="B277" t="s">
        <v>659</v>
      </c>
      <c r="C277" t="s">
        <v>660</v>
      </c>
      <c r="D277" t="s">
        <v>825</v>
      </c>
      <c r="E277" t="s">
        <v>833</v>
      </c>
      <c r="F277" t="s">
        <v>959</v>
      </c>
      <c r="G277" t="s">
        <v>888</v>
      </c>
      <c r="H277">
        <f>IF(_xlfn.DAYS("31-03-2025",G277)&gt;=180,6800,0)</f>
        <v>6800</v>
      </c>
      <c r="I277">
        <f>_xlfn.XLOOKUP(B277,'[1]march-2025'!$A:$A,'[1]march-2025'!$J:$J,0,0)</f>
        <v>0</v>
      </c>
      <c r="J277">
        <f>_xlfn.XLOOKUP(B277,'[1]march-2025'!$A:$A,'[1]march-2025'!$C:$C,0,0)</f>
        <v>33500</v>
      </c>
      <c r="K277">
        <f>J277*0.14</f>
        <v>4690</v>
      </c>
      <c r="L277">
        <f>J277*0.12</f>
        <v>4020</v>
      </c>
      <c r="M277">
        <f>_xlfn.XLOOKUP(B277,'[1]march-2025'!$A:$A,'[1]march-2025'!$D:$D,0,0)</f>
        <v>0</v>
      </c>
      <c r="N277">
        <f>_xlfn.XLOOKUP(B277,'[1]march-2025'!$A:$A,'[1]march-2025'!$G:$G,0,0)</f>
        <v>500</v>
      </c>
      <c r="O277">
        <f>IF(J277&gt;0,SUM(J277:N277),0)</f>
        <v>42710</v>
      </c>
      <c r="P277">
        <f>_xlfn.XLOOKUP(B277,'[1]march-2025'!$A:$A,'[1]march-2025'!$H:$H,0,0)</f>
        <v>5000</v>
      </c>
      <c r="Q277">
        <f>_xlfn.XLOOKUP(B277,'[1]march-2025'!$A:$A,'[1]march-2025'!$I:$I,0,0)</f>
        <v>0</v>
      </c>
      <c r="R277">
        <f>IF($F277="YES",0,IF(O277&gt;40000,200,IF(O277&gt;25000,150,IF(O277&gt;15000,130,IF(O277&gt;10000,110,0)))))</f>
        <v>200</v>
      </c>
      <c r="S277">
        <f>O277-P277-Q277-R277</f>
        <v>37510</v>
      </c>
      <c r="T277">
        <f>_xlfn.XLOOKUP(B277,'[2]april-2025'!$A:$A,'[2]april-2025'!$C:$C,0,0)</f>
        <v>33500</v>
      </c>
      <c r="U277">
        <f>T277*0.18</f>
        <v>6030</v>
      </c>
      <c r="V277">
        <f>T277*0.12</f>
        <v>4020</v>
      </c>
      <c r="W277">
        <f>_xlfn.XLOOKUP(B277,'[2]april-2025'!$A:$A,'[2]april-2025'!$D:$D,0,0)</f>
        <v>0</v>
      </c>
      <c r="X277">
        <f>_xlfn.XLOOKUP(B277,'[2]april-2025'!$A:$A,'[2]april-2025'!$G:$G,0,0)</f>
        <v>500</v>
      </c>
      <c r="Y277">
        <f>IF(T277&gt;0,SUM(T277:X277),0)</f>
        <v>44050</v>
      </c>
      <c r="Z277">
        <f>_xlfn.XLOOKUP(B277,'[2]april-2025'!$A:$A,'[2]april-2025'!$H:$H,0,0)</f>
        <v>5000</v>
      </c>
      <c r="AA277">
        <f>_xlfn.XLOOKUP(B277,'[2]april-2025'!$A:$A,'[2]april-2025'!$I:$I,0,0)</f>
        <v>0</v>
      </c>
      <c r="AB277">
        <f>IF($F277="YES",0,IF(Y277&gt;40000,200,IF(Y277&gt;25000,150,IF(Y277&gt;15000,130,IF(Y277&gt;10000,110,0)))))</f>
        <v>200</v>
      </c>
      <c r="AC277">
        <f>Y277-Z277-AA277-AB277</f>
        <v>38850</v>
      </c>
      <c r="AD277">
        <f>_xlfn.XLOOKUP(B277,'[3]may-2025'!$A:$A,'[3]may-2025'!$C:$C,0,0)</f>
        <v>33500</v>
      </c>
      <c r="AE277">
        <f>AD277*0.18</f>
        <v>6030</v>
      </c>
      <c r="AF277">
        <f>AD277*0.12</f>
        <v>4020</v>
      </c>
      <c r="AG277">
        <f>_xlfn.XLOOKUP(B277,'[3]may-2025'!$A:$A,'[3]may-2025'!$D:$D,0,0)</f>
        <v>0</v>
      </c>
      <c r="AH277">
        <f>_xlfn.XLOOKUP(B277,'[3]may-2025'!$A:$A,'[3]may-2025'!$G:$G,0,0)</f>
        <v>500</v>
      </c>
      <c r="AI277">
        <f>IF(AD277&gt;0,SUM(AD277:AH277),0)</f>
        <v>44050</v>
      </c>
      <c r="AJ277">
        <f>_xlfn.XLOOKUP(B277,'[3]may-2025'!$A:$A,'[3]may-2025'!$H:$H,0,0)</f>
        <v>5000</v>
      </c>
      <c r="AK277">
        <f>_xlfn.XLOOKUP(B277,'[3]may-2025'!$A:$A,'[3]may-2025'!$I:$I,0,0)</f>
        <v>0</v>
      </c>
      <c r="AL277">
        <f>IF($F277="YES",0,IF(AI277&gt;40000,200,IF(AI277&gt;25000,150,IF(AI277&gt;15000,130,IF(AI277&gt;10000,110,0)))))</f>
        <v>200</v>
      </c>
      <c r="AM277">
        <f>AI277-AJ277-AK277-AL277</f>
        <v>38850</v>
      </c>
      <c r="AN277">
        <f>_xlfn.XLOOKUP(B277,'[4]june-2025'!$A:$A,'[4]june-2025'!$C:$C,0,0)</f>
        <v>33500</v>
      </c>
      <c r="AO277">
        <f>AN277*0.18</f>
        <v>6030</v>
      </c>
      <c r="AP277">
        <f>AN277*0.12</f>
        <v>4020</v>
      </c>
      <c r="AQ277">
        <f>_xlfn.XLOOKUP(B277,'[4]june-2025'!$A:$A,'[4]june-2025'!$D:$D,0,0)</f>
        <v>0</v>
      </c>
      <c r="AR277">
        <f>_xlfn.XLOOKUP(B277,'[4]june-2025'!$A:$A,'[4]june-2025'!$G:$G,0,0)</f>
        <v>500</v>
      </c>
      <c r="AS277">
        <f>IF(AN277&gt;0,SUM(AN277:AR277),0)</f>
        <v>44050</v>
      </c>
      <c r="AT277">
        <f>_xlfn.XLOOKUP(B277,'[4]june-2025'!$A:$A,'[4]june-2025'!$H:$H,0,0)</f>
        <v>5000</v>
      </c>
      <c r="AU277">
        <f>_xlfn.XLOOKUP(B277,'[4]june-2025'!$A:$A,'[4]june-2025'!$I:$I,0,0)</f>
        <v>0</v>
      </c>
      <c r="AV277">
        <f>IF($F277="YES",0,IF(AS277&gt;40000,200,IF(AS277&gt;25000,150,IF(AS277&gt;15000,130,IF(AS277&gt;10000,110,0)))))</f>
        <v>200</v>
      </c>
      <c r="AW277">
        <f>AS277-AT277-AU277-AV277</f>
        <v>38850</v>
      </c>
      <c r="AX277">
        <f>_xlfn.XLOOKUP(B277,'[5]july-2025'!$A:$A,'[5]july-2025'!$C:$C,0,0)</f>
        <v>34500</v>
      </c>
      <c r="AY277">
        <f>AX277*0.18</f>
        <v>6210</v>
      </c>
      <c r="AZ277">
        <v>0</v>
      </c>
      <c r="BA277">
        <f>AX277*0.12</f>
        <v>4140</v>
      </c>
      <c r="BB277">
        <f>_xlfn.XLOOKUP(B277,'[5]july-2025'!$A:$A,'[5]july-2025'!$D:$D,0,0)</f>
        <v>0</v>
      </c>
      <c r="BC277">
        <f>_xlfn.XLOOKUP(B277,'[5]july-2025'!$A:$A,'[5]july-2025'!$G:$G,0,0)</f>
        <v>500</v>
      </c>
      <c r="BD277">
        <f>IF(AX277&gt;0,SUM(AX277:BC277),0)</f>
        <v>45350</v>
      </c>
      <c r="BE277">
        <f>_xlfn.XLOOKUP(B277,'[5]july-2025'!$A:$A,'[5]july-2025'!$H:$H,0,0)</f>
        <v>5000</v>
      </c>
      <c r="BF277">
        <f>_xlfn.XLOOKUP(B277,'[5]july-2025'!$A:$A,'[5]july-2025'!$I:$I,0,0)</f>
        <v>0</v>
      </c>
      <c r="BG277">
        <f>IF($F277="YES",0,IF(BD277&gt;40000,200,IF(BD277&gt;25000,150,IF(BD277&gt;15000,130,IF(BD277&gt;10000,110,0)))))</f>
        <v>200</v>
      </c>
      <c r="BH277">
        <f>BD277-BE277-BF277-BG277</f>
        <v>40150</v>
      </c>
      <c r="BI277">
        <f>_xlfn.XLOOKUP(B277,'[6]august-2025'!$A:$A,'[6]august-2025'!$C:$C,0,0)</f>
        <v>34500</v>
      </c>
      <c r="BJ277">
        <f>BI277*0.18</f>
        <v>6210</v>
      </c>
      <c r="BK277">
        <f>BI277*0.12</f>
        <v>4140</v>
      </c>
      <c r="BL277">
        <f>_xlfn.XLOOKUP(B277,'[6]august-2025'!$A:$A,'[6]august-2025'!$D:$D,0,0)</f>
        <v>0</v>
      </c>
      <c r="BM277">
        <f>_xlfn.XLOOKUP(B277,'[6]august-2025'!$A:$A,'[6]august-2025'!$G:$G,0,0)</f>
        <v>500</v>
      </c>
      <c r="BN277">
        <f>IF(BI277&gt;0,SUM(BI277:BM277),0)</f>
        <v>45350</v>
      </c>
      <c r="BO277">
        <f>_xlfn.XLOOKUP(B277,'[6]august-2025'!$A:$A,'[6]august-2025'!$H:$H,0,0)</f>
        <v>5000</v>
      </c>
      <c r="BP277">
        <f>_xlfn.XLOOKUP(B277,'[6]august-2025'!$A:$A,'[6]august-2025'!$I:$I,0,0)</f>
        <v>0</v>
      </c>
      <c r="BQ277">
        <f>IF($F277="YES",0,IF(BN277&gt;40000,200,IF(BN277&gt;25000,150,IF(BN277&gt;15000,130,IF(BN277&gt;10000,110,0)))))</f>
        <v>200</v>
      </c>
      <c r="BR277">
        <f>BN277-BO277-BP277-BQ277</f>
        <v>40150</v>
      </c>
      <c r="BS277">
        <f>_xlfn.XLOOKUP(B277,'[7]september-2025'!$A:$A,'[7]september-2025'!$C:$C,0,0)</f>
        <v>34500</v>
      </c>
      <c r="BT277">
        <f>BS277*0.18</f>
        <v>6210</v>
      </c>
      <c r="BU277">
        <f>BS277*0.12</f>
        <v>4140</v>
      </c>
      <c r="BV277">
        <f>_xlfn.XLOOKUP(B277,'[7]september-2025'!$A:$A,'[7]september-2025'!$D:$D,0,0)</f>
        <v>0</v>
      </c>
      <c r="BW277">
        <f>_xlfn.XLOOKUP(B277,'[7]september-2025'!$A:$A,'[7]september-2025'!$G:$G,0,0)</f>
        <v>500</v>
      </c>
      <c r="BX277">
        <f>IF(BS277&gt;0,SUM(BS277:BW277),0)</f>
        <v>45350</v>
      </c>
      <c r="BY277">
        <f>_xlfn.XLOOKUP(B277,'[7]september-2025'!$A:$A,'[7]september-2025'!$H:$H,0,0)</f>
        <v>5000</v>
      </c>
      <c r="BZ277">
        <f>_xlfn.XLOOKUP(B277,'[7]september-2025'!$A:$A,'[7]september-2025'!$I:$I,0,0)</f>
        <v>0</v>
      </c>
      <c r="CA277">
        <f>IF($F277="YES",0,IF(BX277&gt;40000,200,IF(BX277&gt;25000,150,IF(BX277&gt;15000,130,IF(BX277&gt;10000,110,0)))))</f>
        <v>200</v>
      </c>
      <c r="CB277">
        <f>BX277-BY277-BZ277-CA277</f>
        <v>40150</v>
      </c>
      <c r="CC277">
        <f>_xlfn.XLOOKUP(B277,'[8]october-2025'!$A:$A,'[8]october-2025'!$C:$C,0,0)</f>
        <v>34500</v>
      </c>
      <c r="CD277">
        <f>CC277*0.18</f>
        <v>6210</v>
      </c>
      <c r="CE277">
        <f>CC277*0.12</f>
        <v>4140</v>
      </c>
      <c r="CF277">
        <f>_xlfn.XLOOKUP(B277,'[8]october-2025'!$A:$A,'[8]october-2025'!$D:$D,0,0)</f>
        <v>0</v>
      </c>
      <c r="CG277">
        <f>_xlfn.XLOOKUP(B277,'[8]october-2025'!$A:$A,'[8]october-2025'!$G:$G,0,0)</f>
        <v>500</v>
      </c>
      <c r="CH277">
        <f>IF(CC277&gt;0,SUM(CC277:CG277),0)</f>
        <v>45350</v>
      </c>
      <c r="CI277">
        <f>_xlfn.XLOOKUP(B277,'[8]october-2025'!$A:$A,'[8]october-2025'!$H:$H,0,0)</f>
        <v>5000</v>
      </c>
      <c r="CJ277">
        <f>_xlfn.XLOOKUP(B277,'[8]october-2025'!$A:$A,'[8]october-2025'!$I:$I,0,0)</f>
        <v>0</v>
      </c>
      <c r="CK277">
        <f>IF($F277="YES",0,IF(CH277&gt;40000,200,IF(CH277&gt;25000,150,IF(CH277&gt;15000,130,IF(CH277&gt;10000,110,0)))))</f>
        <v>200</v>
      </c>
      <c r="CL277">
        <f>CH277-CI277-CJ277-CK277</f>
        <v>40150</v>
      </c>
      <c r="CM277">
        <f>_xlfn.XLOOKUP(B277,'[9]november-2025'!$A:$A,'[9]november-2025'!$C:$C,0,0)</f>
        <v>34500</v>
      </c>
      <c r="CN277">
        <f>CM277*0.18</f>
        <v>6210</v>
      </c>
      <c r="CO277">
        <f>CM277*0.12</f>
        <v>4140</v>
      </c>
      <c r="CP277">
        <f>_xlfn.XLOOKUP(B277,'[9]november-2025'!$A:$A,'[9]november-2025'!$D:$D,0,0)</f>
        <v>0</v>
      </c>
      <c r="CQ277">
        <f>_xlfn.XLOOKUP(B277,'[9]november-2025'!$A:$A,'[9]november-2025'!$G:$G,0,0)</f>
        <v>500</v>
      </c>
      <c r="CR277">
        <f>IF(CM277&gt;0,SUM(CM277:CQ277),0)</f>
        <v>45350</v>
      </c>
      <c r="CS277">
        <f>_xlfn.XLOOKUP(B277,'[9]november-2025'!$A:$A,'[9]november-2025'!$H:$H,0,0)</f>
        <v>5000</v>
      </c>
      <c r="CT277">
        <f>_xlfn.XLOOKUP(B277,'[9]november-2025'!$A:$A,'[9]november-2025'!$I:$I,0,0)</f>
        <v>0</v>
      </c>
      <c r="CU277">
        <f>IF($F277="YES",0,IF(CR277&gt;40000,200,IF(CR277&gt;25000,150,IF(CR277&gt;15000,130,IF(CR277&gt;10000,110,0)))))</f>
        <v>200</v>
      </c>
      <c r="CV277">
        <f>CR277-CS277-CT277-CU277</f>
        <v>40150</v>
      </c>
      <c r="CW277">
        <f>_xlfn.XLOOKUP(B277,'[10]december-2025'!$A:$A,'[10]december-2025'!$C:$C,0,0)</f>
        <v>34500</v>
      </c>
      <c r="CX277">
        <f>ROUND(CW277*0.18,0)</f>
        <v>6210</v>
      </c>
      <c r="CY277">
        <f>ROUND(CW277*0.12,0)</f>
        <v>4140</v>
      </c>
      <c r="CZ277">
        <f>_xlfn.XLOOKUP(B277,'[10]december-2025'!$A:$A,'[10]december-2025'!$D:$D,0,0)</f>
        <v>0</v>
      </c>
      <c r="DA277">
        <f>_xlfn.XLOOKUP(B277,'[10]december-2025'!$A:$A,'[10]december-2025'!$G:$G,0,0)</f>
        <v>500</v>
      </c>
      <c r="DB277">
        <f>IF(CW277&gt;0,SUM(CW277:DA277),0)</f>
        <v>45350</v>
      </c>
      <c r="DC277">
        <f>_xlfn.XLOOKUP(B277,'[10]december-2025'!$A:$A,'[10]december-2025'!$H:$H,0,0)</f>
        <v>5000</v>
      </c>
      <c r="DD277">
        <f>_xlfn.XLOOKUP(B277,'[10]december-2025'!$A:$A,'[10]december-2025'!$I:$I,0,0)</f>
        <v>0</v>
      </c>
      <c r="DE277">
        <f>IF($F277="YES",0,IF(DB277&gt;40000,200,IF(DB277&gt;25000,150,IF(DB277&gt;15000,130,IF(DB277&gt;10000,110,0)))))</f>
        <v>200</v>
      </c>
      <c r="DF277">
        <f>DB277-DC277-DD277-DE277</f>
        <v>40150</v>
      </c>
      <c r="DG277">
        <f>_xlfn.XLOOKUP(B277,'[11]january-2026'!$A:$A,'[11]january-2026'!$C:$C,0,0)</f>
        <v>34500</v>
      </c>
      <c r="DH277">
        <f>DG277*0.18</f>
        <v>6210</v>
      </c>
      <c r="DI277">
        <f>DG277*0.12</f>
        <v>4140</v>
      </c>
      <c r="DJ277">
        <f>_xlfn.XLOOKUP(B277,'[11]january-2026'!$A:$A,'[11]january-2026'!$D:$D,0,0)</f>
        <v>0</v>
      </c>
      <c r="DK277">
        <f>_xlfn.XLOOKUP(B277,'[11]january-2026'!$A:$A,'[11]january-2026'!$G:$G,0,0)</f>
        <v>500</v>
      </c>
      <c r="DL277">
        <f>IF(DG277&gt;0,SUM(DG277:DK277),0)</f>
        <v>45350</v>
      </c>
      <c r="DM277">
        <f>_xlfn.XLOOKUP(B277,'[11]january-2026'!$A:$A,'[11]january-2026'!$H:$H,0,0)</f>
        <v>5000</v>
      </c>
      <c r="DN277">
        <f>_xlfn.XLOOKUP(B277,'[11]january-2026'!$A:$A,'[11]january-2026'!$I:$I,0,0)</f>
        <v>0</v>
      </c>
      <c r="DO277">
        <f>IF($F277="YES",0,IF(DL277&gt;40000,200,IF(DL277&gt;25000,150,IF(DL277&gt;15000,130,IF(DL277&gt;10000,110,0)))))</f>
        <v>200</v>
      </c>
      <c r="DP277">
        <f>DL277-DM277-DN277-DO277</f>
        <v>40150</v>
      </c>
      <c r="DQ277">
        <f>_xlfn.XLOOKUP(B277,'[12]february-2026'!$A:$A,'[12]february-2026'!$C:$C,0,0)</f>
        <v>34500</v>
      </c>
      <c r="DR277">
        <f>DQ277*0.18</f>
        <v>6210</v>
      </c>
      <c r="DS277">
        <f>DQ277*0.12</f>
        <v>4140</v>
      </c>
      <c r="DT277">
        <f>_xlfn.XLOOKUP(B277,'[12]february-2026'!$A:$A,'[12]february-2026'!$D:$D,0,0)</f>
        <v>0</v>
      </c>
      <c r="DU277">
        <f>_xlfn.XLOOKUP(B277,'[12]february-2026'!$A:$A,'[12]february-2026'!$G:$G,0,0)</f>
        <v>500</v>
      </c>
      <c r="DV277">
        <f>IF(DQ277&gt;0,SUM(DQ277:DU277),0)</f>
        <v>45350</v>
      </c>
      <c r="DW277">
        <f>_xlfn.XLOOKUP(B277,'[12]february-2026'!$A:$A,'[12]february-2026'!$H:$H,0,0)</f>
        <v>5000</v>
      </c>
      <c r="DX277">
        <f>_xlfn.XLOOKUP(B277,'[12]february-2026'!$A:$A,'[12]february-2026'!$I:$I,0,0)</f>
        <v>0</v>
      </c>
      <c r="DY277">
        <f>IF($F277="YES",0,IF(DV277&gt;40000,200,IF(DV277&gt;25000,150,IF(DV277&gt;15000,130,IF(DV277&gt;10000,110,0)))))</f>
        <v>200</v>
      </c>
      <c r="DZ277">
        <f>DV277-DW277-DX277-DY277</f>
        <v>40150</v>
      </c>
      <c r="EA277">
        <f>DV277+DL277+DB277+CR277+CH277+BX277+BN277+BD277+AS277+AI277+Y277+O277+H277+I277</f>
        <v>544460</v>
      </c>
      <c r="EB277">
        <f>DY277+DO277+DE277+CU277+CK277+CA277+BQ277+BG277+AV277+AL277+AB277+R277</f>
        <v>2400</v>
      </c>
      <c r="EC277">
        <f>IF(EA277&gt;0,50000,0)</f>
        <v>50000</v>
      </c>
      <c r="ED277">
        <v>0</v>
      </c>
      <c r="EE277">
        <f>EA277-EB277-EC277</f>
        <v>492060</v>
      </c>
      <c r="EF277">
        <f>DW277+DM277+DC277+CS277+CI277+BY277+BO277+BE277+AT277+AJ277+Z277+P277</f>
        <v>60000</v>
      </c>
      <c r="EG277">
        <f>DX277+DN277+DD277+CT277+CJ277+BZ277+BP277+BF277+AU277+AK277+AA277+Q277</f>
        <v>0</v>
      </c>
      <c r="EH277">
        <v>0</v>
      </c>
      <c r="EI277">
        <v>0</v>
      </c>
      <c r="EJ277">
        <v>0</v>
      </c>
      <c r="EK277">
        <v>0</v>
      </c>
      <c r="EL277">
        <v>0</v>
      </c>
      <c r="EM277">
        <v>0</v>
      </c>
      <c r="EN277">
        <v>0</v>
      </c>
      <c r="EO277">
        <v>0</v>
      </c>
      <c r="EP277">
        <v>0</v>
      </c>
      <c r="EQ277">
        <v>0</v>
      </c>
      <c r="ER277">
        <f>SUM(EF277:EQ277)</f>
        <v>60000</v>
      </c>
      <c r="ES277">
        <f>IF(ER277&gt;=150000,150000,ER277)</f>
        <v>60000</v>
      </c>
      <c r="ET277">
        <f>EE277-ES277</f>
        <v>432060</v>
      </c>
      <c r="EU277">
        <v>0</v>
      </c>
      <c r="EV277">
        <v>0</v>
      </c>
      <c r="EW277">
        <v>0</v>
      </c>
      <c r="EX277">
        <v>0</v>
      </c>
      <c r="EY277">
        <v>0</v>
      </c>
      <c r="EZ277">
        <v>0</v>
      </c>
      <c r="FA277">
        <v>0</v>
      </c>
      <c r="FB277">
        <f>SUM(EU277:FA277)+(IF(F277="YES",50000,0))</f>
        <v>0</v>
      </c>
      <c r="FC277">
        <f>ET277-FB277</f>
        <v>432060</v>
      </c>
      <c r="FD277">
        <f>ROUND(IF(FC277&gt;0,IF(FC277&gt;500000,12500,(FC277-250000)*0.05),0),0)</f>
        <v>9103</v>
      </c>
      <c r="FE277">
        <f>IF(ROUND(IF(FC277&gt;0,IF(FC277&gt;1000000,25000,(FC277-500000)*0.2),0),0)&lt;0,0,ROUND(IF(FC277&gt;0,IF(FC277&gt;1000000,25000,(FC277-500000)*0.2),0),0))</f>
        <v>0</v>
      </c>
      <c r="FF277">
        <f>FD277+FE277</f>
        <v>9103</v>
      </c>
      <c r="FG277">
        <f>IF(FF277&lt;12500,0,FF277)</f>
        <v>0</v>
      </c>
      <c r="FH277">
        <f>FG277*0.04</f>
        <v>0</v>
      </c>
      <c r="FI277">
        <f>ROUND(FH277+FG277,0)</f>
        <v>0</v>
      </c>
      <c r="FJ277">
        <v>0</v>
      </c>
      <c r="FK277">
        <f>FI277-FJ277</f>
        <v>0</v>
      </c>
      <c r="FL277" t="b">
        <f>IF(EA277&gt;500000,TRUE,FALSE)</f>
        <v>1</v>
      </c>
      <c r="FM277">
        <f ca="1">IF(FL277,RANDBETWEEN(500,1000),RANDBETWEEN(1000,3000))</f>
        <v>804</v>
      </c>
      <c r="FN277">
        <f ca="1">EA277+FM277</f>
        <v>545264</v>
      </c>
      <c r="FO277">
        <f>IF(EA277&gt;0,75000,0)</f>
        <v>75000</v>
      </c>
      <c r="FP277">
        <f ca="1">FN277-FO277</f>
        <v>470264</v>
      </c>
      <c r="FQ277">
        <f ca="1">IF(FP277&gt;2400000,FP277-2400000,0)</f>
        <v>0</v>
      </c>
      <c r="FR277">
        <f ca="1">FQ277*0.3</f>
        <v>0</v>
      </c>
      <c r="FS277">
        <f ca="1">IF(FP277&gt;2000000,FP277-2000000,0)</f>
        <v>0</v>
      </c>
      <c r="FT277">
        <f ca="1">FS277*0.25</f>
        <v>0</v>
      </c>
      <c r="FU277">
        <f ca="1">IF(FP277&gt;1600000,FP277-1600000-FQ277,0)</f>
        <v>0</v>
      </c>
      <c r="FV277">
        <f ca="1">FU277*0.2</f>
        <v>0</v>
      </c>
      <c r="FW277">
        <f ca="1">IF(FP277&gt;1200000,FP277-1200000-IF(F277="YES",50000,0)-FU277,0)</f>
        <v>0</v>
      </c>
      <c r="FX277">
        <f ca="1">FW277*0.15</f>
        <v>0</v>
      </c>
      <c r="FY277">
        <f ca="1">IF(FP277&gt;800000,FP277-800000-FQ277-FU277-FW277,0)</f>
        <v>0</v>
      </c>
      <c r="FZ277">
        <f ca="1">FY277*0.1</f>
        <v>0</v>
      </c>
      <c r="GA277">
        <f ca="1">IF(FP277&gt;400000,FP277-400000-FQ277-FU277-FW277-FY277,0)</f>
        <v>70264</v>
      </c>
      <c r="GB277">
        <f ca="1">GA277*0.05</f>
        <v>3513.2000000000003</v>
      </c>
      <c r="GC277">
        <f ca="1">ROUND(FR277+FT277+FV277+FX277+FZ277+GB277,0)</f>
        <v>3513</v>
      </c>
      <c r="GD277">
        <f ca="1">IF(FP277&gt;1200000,FP277,0)</f>
        <v>0</v>
      </c>
      <c r="GE277">
        <f ca="1">IF(FP277&gt;1200000,GD277-1200000,0)</f>
        <v>0</v>
      </c>
      <c r="GF277">
        <f ca="1">IF(FP277&lt;1200001,MIN(GC277,60000),0)</f>
        <v>3513</v>
      </c>
      <c r="GG277">
        <f ca="1">IF(FP277&gt;1200000,GC277-GE277,0)</f>
        <v>0</v>
      </c>
      <c r="GH277" t="b">
        <f ca="1">IF(GG277&gt;0,TRUE,FALSE)</f>
        <v>0</v>
      </c>
      <c r="GI277">
        <f ca="1">IF(GH277,GG277,0)</f>
        <v>0</v>
      </c>
      <c r="GJ277">
        <f ca="1">GF277+GI277</f>
        <v>3513</v>
      </c>
      <c r="GK277">
        <f ca="1">ROUND(GC277-GJ277,0)</f>
        <v>0</v>
      </c>
      <c r="GL277">
        <f ca="1">GK277*0.04</f>
        <v>0</v>
      </c>
      <c r="GM277">
        <f ca="1">ROUNDUP(GK277+GL277,0)</f>
        <v>0</v>
      </c>
    </row>
    <row r="278" spans="1:195" x14ac:dyDescent="0.25">
      <c r="A278">
        <f>_xlfn.AGGREGATE(3,5,$B$2:B278)</f>
        <v>277</v>
      </c>
      <c r="B278" t="s">
        <v>661</v>
      </c>
      <c r="C278" t="s">
        <v>662</v>
      </c>
      <c r="D278" t="s">
        <v>825</v>
      </c>
      <c r="E278" t="s">
        <v>833</v>
      </c>
      <c r="F278" t="s">
        <v>959</v>
      </c>
      <c r="G278" t="s">
        <v>899</v>
      </c>
      <c r="H278">
        <f>IF(_xlfn.DAYS("31-03-2025",G278)&gt;=180,6800,0)</f>
        <v>6800</v>
      </c>
      <c r="I278">
        <f>_xlfn.XLOOKUP(B278,'[1]march-2025'!$A:$A,'[1]march-2025'!$J:$J,0,0)</f>
        <v>0</v>
      </c>
      <c r="J278">
        <f>_xlfn.XLOOKUP(B278,'[1]march-2025'!$A:$A,'[1]march-2025'!$C:$C,0,0)</f>
        <v>33500</v>
      </c>
      <c r="K278">
        <f>J278*0.14</f>
        <v>4690</v>
      </c>
      <c r="L278">
        <f>J278*0.12</f>
        <v>4020</v>
      </c>
      <c r="M278">
        <f>_xlfn.XLOOKUP(B278,'[1]march-2025'!$A:$A,'[1]march-2025'!$D:$D,0,0)</f>
        <v>0</v>
      </c>
      <c r="N278">
        <f>_xlfn.XLOOKUP(B278,'[1]march-2025'!$A:$A,'[1]march-2025'!$G:$G,0,0)</f>
        <v>500</v>
      </c>
      <c r="O278">
        <f>IF(J278&gt;0,SUM(J278:N278),0)</f>
        <v>42710</v>
      </c>
      <c r="P278">
        <f>_xlfn.XLOOKUP(B278,'[1]march-2025'!$A:$A,'[1]march-2025'!$H:$H,0,0)</f>
        <v>3000</v>
      </c>
      <c r="Q278">
        <f>_xlfn.XLOOKUP(B278,'[1]march-2025'!$A:$A,'[1]march-2025'!$I:$I,0,0)</f>
        <v>0</v>
      </c>
      <c r="R278">
        <f>IF($F278="YES",0,IF(O278&gt;40000,200,IF(O278&gt;25000,150,IF(O278&gt;15000,130,IF(O278&gt;10000,110,0)))))</f>
        <v>200</v>
      </c>
      <c r="S278">
        <f>O278-P278-Q278-R278</f>
        <v>39510</v>
      </c>
      <c r="T278">
        <f>_xlfn.XLOOKUP(B278,'[2]april-2025'!$A:$A,'[2]april-2025'!$C:$C,0,0)</f>
        <v>33500</v>
      </c>
      <c r="U278">
        <f>T278*0.18</f>
        <v>6030</v>
      </c>
      <c r="V278">
        <f>T278*0.12</f>
        <v>4020</v>
      </c>
      <c r="W278">
        <f>_xlfn.XLOOKUP(B278,'[2]april-2025'!$A:$A,'[2]april-2025'!$D:$D,0,0)</f>
        <v>0</v>
      </c>
      <c r="X278">
        <f>_xlfn.XLOOKUP(B278,'[2]april-2025'!$A:$A,'[2]april-2025'!$G:$G,0,0)</f>
        <v>500</v>
      </c>
      <c r="Y278">
        <f>IF(T278&gt;0,SUM(T278:X278),0)</f>
        <v>44050</v>
      </c>
      <c r="Z278">
        <f>_xlfn.XLOOKUP(B278,'[2]april-2025'!$A:$A,'[2]april-2025'!$H:$H,0,0)</f>
        <v>3000</v>
      </c>
      <c r="AA278">
        <f>_xlfn.XLOOKUP(B278,'[2]april-2025'!$A:$A,'[2]april-2025'!$I:$I,0,0)</f>
        <v>0</v>
      </c>
      <c r="AB278">
        <f>IF($F278="YES",0,IF(Y278&gt;40000,200,IF(Y278&gt;25000,150,IF(Y278&gt;15000,130,IF(Y278&gt;10000,110,0)))))</f>
        <v>200</v>
      </c>
      <c r="AC278">
        <f>Y278-Z278-AA278-AB278</f>
        <v>40850</v>
      </c>
      <c r="AD278">
        <f>_xlfn.XLOOKUP(B278,'[3]may-2025'!$A:$A,'[3]may-2025'!$C:$C,0,0)</f>
        <v>33500</v>
      </c>
      <c r="AE278">
        <f>AD278*0.18</f>
        <v>6030</v>
      </c>
      <c r="AF278">
        <f>AD278*0.12</f>
        <v>4020</v>
      </c>
      <c r="AG278">
        <f>_xlfn.XLOOKUP(B278,'[3]may-2025'!$A:$A,'[3]may-2025'!$D:$D,0,0)</f>
        <v>0</v>
      </c>
      <c r="AH278">
        <f>_xlfn.XLOOKUP(B278,'[3]may-2025'!$A:$A,'[3]may-2025'!$G:$G,0,0)</f>
        <v>500</v>
      </c>
      <c r="AI278">
        <f>IF(AD278&gt;0,SUM(AD278:AH278),0)</f>
        <v>44050</v>
      </c>
      <c r="AJ278">
        <f>_xlfn.XLOOKUP(B278,'[3]may-2025'!$A:$A,'[3]may-2025'!$H:$H,0,0)</f>
        <v>3000</v>
      </c>
      <c r="AK278">
        <f>_xlfn.XLOOKUP(B278,'[3]may-2025'!$A:$A,'[3]may-2025'!$I:$I,0,0)</f>
        <v>0</v>
      </c>
      <c r="AL278">
        <f>IF($F278="YES",0,IF(AI278&gt;40000,200,IF(AI278&gt;25000,150,IF(AI278&gt;15000,130,IF(AI278&gt;10000,110,0)))))</f>
        <v>200</v>
      </c>
      <c r="AM278">
        <f>AI278-AJ278-AK278-AL278</f>
        <v>40850</v>
      </c>
      <c r="AN278">
        <f>_xlfn.XLOOKUP(B278,'[4]june-2025'!$A:$A,'[4]june-2025'!$C:$C,0,0)</f>
        <v>33500</v>
      </c>
      <c r="AO278">
        <f>AN278*0.18</f>
        <v>6030</v>
      </c>
      <c r="AP278">
        <f>AN278*0.12</f>
        <v>4020</v>
      </c>
      <c r="AQ278">
        <f>_xlfn.XLOOKUP(B278,'[4]june-2025'!$A:$A,'[4]june-2025'!$D:$D,0,0)</f>
        <v>0</v>
      </c>
      <c r="AR278">
        <f>_xlfn.XLOOKUP(B278,'[4]june-2025'!$A:$A,'[4]june-2025'!$G:$G,0,0)</f>
        <v>500</v>
      </c>
      <c r="AS278">
        <f>IF(AN278&gt;0,SUM(AN278:AR278),0)</f>
        <v>44050</v>
      </c>
      <c r="AT278">
        <f>_xlfn.XLOOKUP(B278,'[4]june-2025'!$A:$A,'[4]june-2025'!$H:$H,0,0)</f>
        <v>3000</v>
      </c>
      <c r="AU278">
        <f>_xlfn.XLOOKUP(B278,'[4]june-2025'!$A:$A,'[4]june-2025'!$I:$I,0,0)</f>
        <v>0</v>
      </c>
      <c r="AV278">
        <f>IF($F278="YES",0,IF(AS278&gt;40000,200,IF(AS278&gt;25000,150,IF(AS278&gt;15000,130,IF(AS278&gt;10000,110,0)))))</f>
        <v>200</v>
      </c>
      <c r="AW278">
        <f>AS278-AT278-AU278-AV278</f>
        <v>40850</v>
      </c>
      <c r="AX278">
        <f>_xlfn.XLOOKUP(B278,'[5]july-2025'!$A:$A,'[5]july-2025'!$C:$C,0,0)</f>
        <v>34500</v>
      </c>
      <c r="AY278">
        <f>AX278*0.18</f>
        <v>6210</v>
      </c>
      <c r="AZ278">
        <v>0</v>
      </c>
      <c r="BA278">
        <f>AX278*0.12</f>
        <v>4140</v>
      </c>
      <c r="BB278">
        <f>_xlfn.XLOOKUP(B278,'[5]july-2025'!$A:$A,'[5]july-2025'!$D:$D,0,0)</f>
        <v>0</v>
      </c>
      <c r="BC278">
        <f>_xlfn.XLOOKUP(B278,'[5]july-2025'!$A:$A,'[5]july-2025'!$G:$G,0,0)</f>
        <v>500</v>
      </c>
      <c r="BD278">
        <f>IF(AX278&gt;0,SUM(AX278:BC278),0)</f>
        <v>45350</v>
      </c>
      <c r="BE278">
        <f>_xlfn.XLOOKUP(B278,'[5]july-2025'!$A:$A,'[5]july-2025'!$H:$H,0,0)</f>
        <v>3000</v>
      </c>
      <c r="BF278">
        <f>_xlfn.XLOOKUP(B278,'[5]july-2025'!$A:$A,'[5]july-2025'!$I:$I,0,0)</f>
        <v>0</v>
      </c>
      <c r="BG278">
        <f>IF($F278="YES",0,IF(BD278&gt;40000,200,IF(BD278&gt;25000,150,IF(BD278&gt;15000,130,IF(BD278&gt;10000,110,0)))))</f>
        <v>200</v>
      </c>
      <c r="BH278">
        <f>BD278-BE278-BF278-BG278</f>
        <v>42150</v>
      </c>
      <c r="BI278">
        <f>_xlfn.XLOOKUP(B278,'[6]august-2025'!$A:$A,'[6]august-2025'!$C:$C,0,0)</f>
        <v>34500</v>
      </c>
      <c r="BJ278">
        <f>BI278*0.18</f>
        <v>6210</v>
      </c>
      <c r="BK278">
        <f>BI278*0.12</f>
        <v>4140</v>
      </c>
      <c r="BL278">
        <f>_xlfn.XLOOKUP(B278,'[6]august-2025'!$A:$A,'[6]august-2025'!$D:$D,0,0)</f>
        <v>0</v>
      </c>
      <c r="BM278">
        <f>_xlfn.XLOOKUP(B278,'[6]august-2025'!$A:$A,'[6]august-2025'!$G:$G,0,0)</f>
        <v>500</v>
      </c>
      <c r="BN278">
        <f>IF(BI278&gt;0,SUM(BI278:BM278),0)</f>
        <v>45350</v>
      </c>
      <c r="BO278">
        <f>_xlfn.XLOOKUP(B278,'[6]august-2025'!$A:$A,'[6]august-2025'!$H:$H,0,0)</f>
        <v>3000</v>
      </c>
      <c r="BP278">
        <f>_xlfn.XLOOKUP(B278,'[6]august-2025'!$A:$A,'[6]august-2025'!$I:$I,0,0)</f>
        <v>0</v>
      </c>
      <c r="BQ278">
        <f>IF($F278="YES",0,IF(BN278&gt;40000,200,IF(BN278&gt;25000,150,IF(BN278&gt;15000,130,IF(BN278&gt;10000,110,0)))))</f>
        <v>200</v>
      </c>
      <c r="BR278">
        <f>BN278-BO278-BP278-BQ278</f>
        <v>42150</v>
      </c>
      <c r="BS278">
        <f>_xlfn.XLOOKUP(B278,'[7]september-2025'!$A:$A,'[7]september-2025'!$C:$C,0,0)</f>
        <v>34500</v>
      </c>
      <c r="BT278">
        <f>BS278*0.18</f>
        <v>6210</v>
      </c>
      <c r="BU278">
        <f>BS278*0.12</f>
        <v>4140</v>
      </c>
      <c r="BV278">
        <f>_xlfn.XLOOKUP(B278,'[7]september-2025'!$A:$A,'[7]september-2025'!$D:$D,0,0)</f>
        <v>0</v>
      </c>
      <c r="BW278">
        <f>_xlfn.XLOOKUP(B278,'[7]september-2025'!$A:$A,'[7]september-2025'!$G:$G,0,0)</f>
        <v>500</v>
      </c>
      <c r="BX278">
        <f>IF(BS278&gt;0,SUM(BS278:BW278),0)</f>
        <v>45350</v>
      </c>
      <c r="BY278">
        <f>_xlfn.XLOOKUP(B278,'[7]september-2025'!$A:$A,'[7]september-2025'!$H:$H,0,0)</f>
        <v>3000</v>
      </c>
      <c r="BZ278">
        <f>_xlfn.XLOOKUP(B278,'[7]september-2025'!$A:$A,'[7]september-2025'!$I:$I,0,0)</f>
        <v>0</v>
      </c>
      <c r="CA278">
        <f>IF($F278="YES",0,IF(BX278&gt;40000,200,IF(BX278&gt;25000,150,IF(BX278&gt;15000,130,IF(BX278&gt;10000,110,0)))))</f>
        <v>200</v>
      </c>
      <c r="CB278">
        <f>BX278-BY278-BZ278-CA278</f>
        <v>42150</v>
      </c>
      <c r="CC278">
        <f>_xlfn.XLOOKUP(B278,'[8]october-2025'!$A:$A,'[8]october-2025'!$C:$C,0,0)</f>
        <v>34500</v>
      </c>
      <c r="CD278">
        <f>CC278*0.18</f>
        <v>6210</v>
      </c>
      <c r="CE278">
        <f>CC278*0.12</f>
        <v>4140</v>
      </c>
      <c r="CF278">
        <f>_xlfn.XLOOKUP(B278,'[8]october-2025'!$A:$A,'[8]october-2025'!$D:$D,0,0)</f>
        <v>0</v>
      </c>
      <c r="CG278">
        <f>_xlfn.XLOOKUP(B278,'[8]october-2025'!$A:$A,'[8]october-2025'!$G:$G,0,0)</f>
        <v>500</v>
      </c>
      <c r="CH278">
        <f>IF(CC278&gt;0,SUM(CC278:CG278),0)</f>
        <v>45350</v>
      </c>
      <c r="CI278">
        <f>_xlfn.XLOOKUP(B278,'[8]october-2025'!$A:$A,'[8]october-2025'!$H:$H,0,0)</f>
        <v>2500</v>
      </c>
      <c r="CJ278">
        <f>_xlfn.XLOOKUP(B278,'[8]october-2025'!$A:$A,'[8]october-2025'!$I:$I,0,0)</f>
        <v>0</v>
      </c>
      <c r="CK278">
        <f>IF($F278="YES",0,IF(CH278&gt;40000,200,IF(CH278&gt;25000,150,IF(CH278&gt;15000,130,IF(CH278&gt;10000,110,0)))))</f>
        <v>200</v>
      </c>
      <c r="CL278">
        <f>CH278-CI278-CJ278-CK278</f>
        <v>42650</v>
      </c>
      <c r="CM278">
        <f>_xlfn.XLOOKUP(B278,'[9]november-2025'!$A:$A,'[9]november-2025'!$C:$C,0,0)</f>
        <v>34500</v>
      </c>
      <c r="CN278">
        <f>CM278*0.18</f>
        <v>6210</v>
      </c>
      <c r="CO278">
        <f>CM278*0.12</f>
        <v>4140</v>
      </c>
      <c r="CP278">
        <f>_xlfn.XLOOKUP(B278,'[9]november-2025'!$A:$A,'[9]november-2025'!$D:$D,0,0)</f>
        <v>0</v>
      </c>
      <c r="CQ278">
        <f>_xlfn.XLOOKUP(B278,'[9]november-2025'!$A:$A,'[9]november-2025'!$G:$G,0,0)</f>
        <v>500</v>
      </c>
      <c r="CR278">
        <f>IF(CM278&gt;0,SUM(CM278:CQ278),0)</f>
        <v>45350</v>
      </c>
      <c r="CS278">
        <f>_xlfn.XLOOKUP(B278,'[9]november-2025'!$A:$A,'[9]november-2025'!$H:$H,0,0)</f>
        <v>2500</v>
      </c>
      <c r="CT278">
        <f>_xlfn.XLOOKUP(B278,'[9]november-2025'!$A:$A,'[9]november-2025'!$I:$I,0,0)</f>
        <v>0</v>
      </c>
      <c r="CU278">
        <f>IF($F278="YES",0,IF(CR278&gt;40000,200,IF(CR278&gt;25000,150,IF(CR278&gt;15000,130,IF(CR278&gt;10000,110,0)))))</f>
        <v>200</v>
      </c>
      <c r="CV278">
        <f>CR278-CS278-CT278-CU278</f>
        <v>42650</v>
      </c>
      <c r="CW278">
        <f>_xlfn.XLOOKUP(B278,'[10]december-2025'!$A:$A,'[10]december-2025'!$C:$C,0,0)</f>
        <v>34500</v>
      </c>
      <c r="CX278">
        <f>ROUND(CW278*0.18,0)</f>
        <v>6210</v>
      </c>
      <c r="CY278">
        <f>ROUND(CW278*0.12,0)</f>
        <v>4140</v>
      </c>
      <c r="CZ278">
        <f>_xlfn.XLOOKUP(B278,'[10]december-2025'!$A:$A,'[10]december-2025'!$D:$D,0,0)</f>
        <v>0</v>
      </c>
      <c r="DA278">
        <f>_xlfn.XLOOKUP(B278,'[10]december-2025'!$A:$A,'[10]december-2025'!$G:$G,0,0)</f>
        <v>500</v>
      </c>
      <c r="DB278">
        <f>IF(CW278&gt;0,SUM(CW278:DA278),0)</f>
        <v>45350</v>
      </c>
      <c r="DC278">
        <f>_xlfn.XLOOKUP(B278,'[10]december-2025'!$A:$A,'[10]december-2025'!$H:$H,0,0)</f>
        <v>2500</v>
      </c>
      <c r="DD278">
        <f>_xlfn.XLOOKUP(B278,'[10]december-2025'!$A:$A,'[10]december-2025'!$I:$I,0,0)</f>
        <v>0</v>
      </c>
      <c r="DE278">
        <f>IF($F278="YES",0,IF(DB278&gt;40000,200,IF(DB278&gt;25000,150,IF(DB278&gt;15000,130,IF(DB278&gt;10000,110,0)))))</f>
        <v>200</v>
      </c>
      <c r="DF278">
        <f>DB278-DC278-DD278-DE278</f>
        <v>42650</v>
      </c>
      <c r="DG278">
        <f>_xlfn.XLOOKUP(B278,'[11]january-2026'!$A:$A,'[11]january-2026'!$C:$C,0,0)</f>
        <v>34500</v>
      </c>
      <c r="DH278">
        <f>DG278*0.18</f>
        <v>6210</v>
      </c>
      <c r="DI278">
        <f>DG278*0.12</f>
        <v>4140</v>
      </c>
      <c r="DJ278">
        <f>_xlfn.XLOOKUP(B278,'[11]january-2026'!$A:$A,'[11]january-2026'!$D:$D,0,0)</f>
        <v>0</v>
      </c>
      <c r="DK278">
        <f>_xlfn.XLOOKUP(B278,'[11]january-2026'!$A:$A,'[11]january-2026'!$G:$G,0,0)</f>
        <v>500</v>
      </c>
      <c r="DL278">
        <f>IF(DG278&gt;0,SUM(DG278:DK278),0)</f>
        <v>45350</v>
      </c>
      <c r="DM278">
        <f>_xlfn.XLOOKUP(B278,'[11]january-2026'!$A:$A,'[11]january-2026'!$H:$H,0,0)</f>
        <v>2500</v>
      </c>
      <c r="DN278">
        <f>_xlfn.XLOOKUP(B278,'[11]january-2026'!$A:$A,'[11]january-2026'!$I:$I,0,0)</f>
        <v>0</v>
      </c>
      <c r="DO278">
        <f>IF($F278="YES",0,IF(DL278&gt;40000,200,IF(DL278&gt;25000,150,IF(DL278&gt;15000,130,IF(DL278&gt;10000,110,0)))))</f>
        <v>200</v>
      </c>
      <c r="DP278">
        <f>DL278-DM278-DN278-DO278</f>
        <v>42650</v>
      </c>
      <c r="DQ278">
        <f>_xlfn.XLOOKUP(B278,'[12]february-2026'!$A:$A,'[12]february-2026'!$C:$C,0,0)</f>
        <v>34500</v>
      </c>
      <c r="DR278">
        <f>DQ278*0.18</f>
        <v>6210</v>
      </c>
      <c r="DS278">
        <f>DQ278*0.12</f>
        <v>4140</v>
      </c>
      <c r="DT278">
        <f>_xlfn.XLOOKUP(B278,'[12]february-2026'!$A:$A,'[12]february-2026'!$D:$D,0,0)</f>
        <v>0</v>
      </c>
      <c r="DU278">
        <f>_xlfn.XLOOKUP(B278,'[12]february-2026'!$A:$A,'[12]february-2026'!$G:$G,0,0)</f>
        <v>500</v>
      </c>
      <c r="DV278">
        <f>IF(DQ278&gt;0,SUM(DQ278:DU278),0)</f>
        <v>45350</v>
      </c>
      <c r="DW278">
        <f>_xlfn.XLOOKUP(B278,'[12]february-2026'!$A:$A,'[12]february-2026'!$H:$H,0,0)</f>
        <v>2500</v>
      </c>
      <c r="DX278">
        <f>_xlfn.XLOOKUP(B278,'[12]february-2026'!$A:$A,'[12]february-2026'!$I:$I,0,0)</f>
        <v>0</v>
      </c>
      <c r="DY278">
        <f>IF($F278="YES",0,IF(DV278&gt;40000,200,IF(DV278&gt;25000,150,IF(DV278&gt;15000,130,IF(DV278&gt;10000,110,0)))))</f>
        <v>200</v>
      </c>
      <c r="DZ278">
        <f>DV278-DW278-DX278-DY278</f>
        <v>42650</v>
      </c>
      <c r="EA278">
        <f>DV278+DL278+DB278+CR278+CH278+BX278+BN278+BD278+AS278+AI278+Y278+O278+H278+I278</f>
        <v>544460</v>
      </c>
      <c r="EB278">
        <f>DY278+DO278+DE278+CU278+CK278+CA278+BQ278+BG278+AV278+AL278+AB278+R278</f>
        <v>2400</v>
      </c>
      <c r="EC278">
        <f>IF(EA278&gt;0,50000,0)</f>
        <v>50000</v>
      </c>
      <c r="ED278">
        <v>0</v>
      </c>
      <c r="EE278">
        <f>EA278-EB278-EC278</f>
        <v>492060</v>
      </c>
      <c r="EF278">
        <f>DW278+DM278+DC278+CS278+CI278+BY278+BO278+BE278+AT278+AJ278+Z278+P278</f>
        <v>33500</v>
      </c>
      <c r="EG278">
        <f>DX278+DN278+DD278+CT278+CJ278+BZ278+BP278+BF278+AU278+AK278+AA278+Q278</f>
        <v>0</v>
      </c>
      <c r="EH278">
        <v>0</v>
      </c>
      <c r="EI278">
        <v>0</v>
      </c>
      <c r="EJ278">
        <v>0</v>
      </c>
      <c r="EK278">
        <v>0</v>
      </c>
      <c r="EL278">
        <v>0</v>
      </c>
      <c r="EM278">
        <v>0</v>
      </c>
      <c r="EN278">
        <v>0</v>
      </c>
      <c r="EO278">
        <v>0</v>
      </c>
      <c r="EP278">
        <v>0</v>
      </c>
      <c r="EQ278">
        <v>0</v>
      </c>
      <c r="ER278">
        <f>SUM(EF278:EQ278)</f>
        <v>33500</v>
      </c>
      <c r="ES278">
        <f>IF(ER278&gt;=150000,150000,ER278)</f>
        <v>33500</v>
      </c>
      <c r="ET278">
        <f>EE278-ES278</f>
        <v>458560</v>
      </c>
      <c r="EU278">
        <v>0</v>
      </c>
      <c r="EV278">
        <v>0</v>
      </c>
      <c r="EW278">
        <v>0</v>
      </c>
      <c r="EX278">
        <v>0</v>
      </c>
      <c r="EY278">
        <v>0</v>
      </c>
      <c r="EZ278">
        <v>0</v>
      </c>
      <c r="FA278">
        <v>0</v>
      </c>
      <c r="FB278">
        <f>SUM(EU278:FA278)+(IF(F278="YES",50000,0))</f>
        <v>0</v>
      </c>
      <c r="FC278">
        <f>ET278-FB278</f>
        <v>458560</v>
      </c>
      <c r="FD278">
        <f>ROUND(IF(FC278&gt;0,IF(FC278&gt;500000,12500,(FC278-250000)*0.05),0),0)</f>
        <v>10428</v>
      </c>
      <c r="FE278">
        <f>IF(ROUND(IF(FC278&gt;0,IF(FC278&gt;1000000,25000,(FC278-500000)*0.2),0),0)&lt;0,0,ROUND(IF(FC278&gt;0,IF(FC278&gt;1000000,25000,(FC278-500000)*0.2),0),0))</f>
        <v>0</v>
      </c>
      <c r="FF278">
        <f>FD278+FE278</f>
        <v>10428</v>
      </c>
      <c r="FG278">
        <f>IF(FF278&lt;12500,0,FF278)</f>
        <v>0</v>
      </c>
      <c r="FH278">
        <f>FG278*0.04</f>
        <v>0</v>
      </c>
      <c r="FI278">
        <f>ROUND(FH278+FG278,0)</f>
        <v>0</v>
      </c>
      <c r="FJ278">
        <v>0</v>
      </c>
      <c r="FK278">
        <f>FI278-FJ278</f>
        <v>0</v>
      </c>
      <c r="FL278" t="b">
        <f>IF(EA278&gt;500000,TRUE,FALSE)</f>
        <v>1</v>
      </c>
      <c r="FM278">
        <f ca="1">IF(FL278,RANDBETWEEN(500,1000),RANDBETWEEN(1000,3000))</f>
        <v>736</v>
      </c>
      <c r="FN278">
        <f ca="1">EA278+FM278</f>
        <v>545196</v>
      </c>
      <c r="FO278">
        <f>IF(EA278&gt;0,75000,0)</f>
        <v>75000</v>
      </c>
      <c r="FP278">
        <f ca="1">FN278-FO278</f>
        <v>470196</v>
      </c>
      <c r="FQ278">
        <f ca="1">IF(FP278&gt;2400000,FP278-2400000,0)</f>
        <v>0</v>
      </c>
      <c r="FR278">
        <f ca="1">FQ278*0.3</f>
        <v>0</v>
      </c>
      <c r="FS278">
        <f ca="1">IF(FP278&gt;2000000,FP278-2000000,0)</f>
        <v>0</v>
      </c>
      <c r="FT278">
        <f ca="1">FS278*0.25</f>
        <v>0</v>
      </c>
      <c r="FU278">
        <f ca="1">IF(FP278&gt;1600000,FP278-1600000-FQ278,0)</f>
        <v>0</v>
      </c>
      <c r="FV278">
        <f ca="1">FU278*0.2</f>
        <v>0</v>
      </c>
      <c r="FW278">
        <f ca="1">IF(FP278&gt;1200000,FP278-1200000-IF(F278="YES",50000,0)-FU278,0)</f>
        <v>0</v>
      </c>
      <c r="FX278">
        <f ca="1">FW278*0.15</f>
        <v>0</v>
      </c>
      <c r="FY278">
        <f ca="1">IF(FP278&gt;800000,FP278-800000-FQ278-FU278-FW278,0)</f>
        <v>0</v>
      </c>
      <c r="FZ278">
        <f ca="1">FY278*0.1</f>
        <v>0</v>
      </c>
      <c r="GA278">
        <f ca="1">IF(FP278&gt;400000,FP278-400000-FQ278-FU278-FW278-FY278,0)</f>
        <v>70196</v>
      </c>
      <c r="GB278">
        <f ca="1">GA278*0.05</f>
        <v>3509.8</v>
      </c>
      <c r="GC278">
        <f ca="1">ROUND(FR278+FT278+FV278+FX278+FZ278+GB278,0)</f>
        <v>3510</v>
      </c>
      <c r="GD278">
        <f ca="1">IF(FP278&gt;1200000,FP278,0)</f>
        <v>0</v>
      </c>
      <c r="GE278">
        <f ca="1">IF(FP278&gt;1200000,GD278-1200000,0)</f>
        <v>0</v>
      </c>
      <c r="GF278">
        <f ca="1">IF(FP278&lt;1200001,MIN(GC278,60000),0)</f>
        <v>3510</v>
      </c>
      <c r="GG278">
        <f ca="1">IF(FP278&gt;1200000,GC278-GE278,0)</f>
        <v>0</v>
      </c>
      <c r="GH278" t="b">
        <f ca="1">IF(GG278&gt;0,TRUE,FALSE)</f>
        <v>0</v>
      </c>
      <c r="GI278">
        <f ca="1">IF(GH278,GG278,0)</f>
        <v>0</v>
      </c>
      <c r="GJ278">
        <f ca="1">GF278+GI278</f>
        <v>3510</v>
      </c>
      <c r="GK278">
        <f ca="1">ROUND(GC278-GJ278,0)</f>
        <v>0</v>
      </c>
      <c r="GL278">
        <f ca="1">GK278*0.04</f>
        <v>0</v>
      </c>
      <c r="GM278">
        <f ca="1">ROUNDUP(GK278+GL278,0)</f>
        <v>0</v>
      </c>
    </row>
    <row r="279" spans="1:195" x14ac:dyDescent="0.25">
      <c r="A279">
        <f>_xlfn.AGGREGATE(3,5,$B$2:B279)</f>
        <v>278</v>
      </c>
      <c r="B279" t="s">
        <v>663</v>
      </c>
      <c r="C279" t="s">
        <v>664</v>
      </c>
      <c r="D279" t="s">
        <v>825</v>
      </c>
      <c r="E279" t="s">
        <v>836</v>
      </c>
      <c r="F279" t="s">
        <v>959</v>
      </c>
      <c r="G279" t="s">
        <v>881</v>
      </c>
      <c r="H279">
        <f>IF(_xlfn.DAYS("31-03-2025",G279)&gt;=180,6800,0)</f>
        <v>6800</v>
      </c>
      <c r="I279">
        <f>_xlfn.XLOOKUP(B279,'[1]march-2025'!$A:$A,'[1]march-2025'!$J:$J,0,0)</f>
        <v>0</v>
      </c>
      <c r="J279">
        <f>_xlfn.XLOOKUP(B279,'[1]march-2025'!$A:$A,'[1]march-2025'!$C:$C,0,0)</f>
        <v>27000</v>
      </c>
      <c r="K279">
        <f>J279*0.14</f>
        <v>3780.0000000000005</v>
      </c>
      <c r="L279">
        <f>J279*0.12</f>
        <v>3240</v>
      </c>
      <c r="M279">
        <f>_xlfn.XLOOKUP(B279,'[1]march-2025'!$A:$A,'[1]march-2025'!$D:$D,0,0)</f>
        <v>0</v>
      </c>
      <c r="N279">
        <f>_xlfn.XLOOKUP(B279,'[1]march-2025'!$A:$A,'[1]march-2025'!$G:$G,0,0)</f>
        <v>0</v>
      </c>
      <c r="O279">
        <f>IF(J279&gt;0,SUM(J279:N279),0)</f>
        <v>34020</v>
      </c>
      <c r="P279">
        <f>_xlfn.XLOOKUP(B279,'[1]march-2025'!$A:$A,'[1]march-2025'!$H:$H,0,0)</f>
        <v>2000</v>
      </c>
      <c r="Q279">
        <f>_xlfn.XLOOKUP(B279,'[1]march-2025'!$A:$A,'[1]march-2025'!$I:$I,0,0)</f>
        <v>0</v>
      </c>
      <c r="R279">
        <f>IF($F279="YES",0,IF(O279&gt;40000,200,IF(O279&gt;25000,150,IF(O279&gt;15000,130,IF(O279&gt;10000,110,0)))))</f>
        <v>150</v>
      </c>
      <c r="S279">
        <f>O279-P279-Q279-R279</f>
        <v>31870</v>
      </c>
      <c r="T279">
        <f>_xlfn.XLOOKUP(B279,'[2]april-2025'!$A:$A,'[2]april-2025'!$C:$C,0,0)</f>
        <v>27000</v>
      </c>
      <c r="U279">
        <f>T279*0.18</f>
        <v>4860</v>
      </c>
      <c r="V279">
        <f>T279*0.12</f>
        <v>3240</v>
      </c>
      <c r="W279">
        <f>_xlfn.XLOOKUP(B279,'[2]april-2025'!$A:$A,'[2]april-2025'!$D:$D,0,0)</f>
        <v>0</v>
      </c>
      <c r="X279">
        <f>_xlfn.XLOOKUP(B279,'[2]april-2025'!$A:$A,'[2]april-2025'!$G:$G,0,0)</f>
        <v>0</v>
      </c>
      <c r="Y279">
        <f>IF(T279&gt;0,SUM(T279:X279),0)</f>
        <v>35100</v>
      </c>
      <c r="Z279">
        <f>_xlfn.XLOOKUP(B279,'[2]april-2025'!$A:$A,'[2]april-2025'!$H:$H,0,0)</f>
        <v>2000</v>
      </c>
      <c r="AA279">
        <f>_xlfn.XLOOKUP(B279,'[2]april-2025'!$A:$A,'[2]april-2025'!$I:$I,0,0)</f>
        <v>0</v>
      </c>
      <c r="AB279">
        <f>IF($F279="YES",0,IF(Y279&gt;40000,200,IF(Y279&gt;25000,150,IF(Y279&gt;15000,130,IF(Y279&gt;10000,110,0)))))</f>
        <v>150</v>
      </c>
      <c r="AC279">
        <f>Y279-Z279-AA279-AB279</f>
        <v>32950</v>
      </c>
      <c r="AD279">
        <f>_xlfn.XLOOKUP(B279,'[3]may-2025'!$A:$A,'[3]may-2025'!$C:$C,0,0)</f>
        <v>31600</v>
      </c>
      <c r="AE279">
        <f>AD279*0.18</f>
        <v>5688</v>
      </c>
      <c r="AF279">
        <f>AD279*0.12</f>
        <v>3792</v>
      </c>
      <c r="AG279">
        <f>_xlfn.XLOOKUP(B279,'[3]may-2025'!$A:$A,'[3]may-2025'!$D:$D,0,0)</f>
        <v>0</v>
      </c>
      <c r="AH279">
        <f>_xlfn.XLOOKUP(B279,'[3]may-2025'!$A:$A,'[3]may-2025'!$G:$G,0,0)</f>
        <v>0</v>
      </c>
      <c r="AI279">
        <f>IF(AD279&gt;0,SUM(AD279:AH279),0)</f>
        <v>41080</v>
      </c>
      <c r="AJ279">
        <f>_xlfn.XLOOKUP(B279,'[3]may-2025'!$A:$A,'[3]may-2025'!$H:$H,0,0)</f>
        <v>2000</v>
      </c>
      <c r="AK279">
        <f>_xlfn.XLOOKUP(B279,'[3]may-2025'!$A:$A,'[3]may-2025'!$I:$I,0,0)</f>
        <v>0</v>
      </c>
      <c r="AL279">
        <f>IF($F279="YES",0,IF(AI279&gt;40000,200,IF(AI279&gt;25000,150,IF(AI279&gt;15000,130,IF(AI279&gt;10000,110,0)))))</f>
        <v>200</v>
      </c>
      <c r="AM279">
        <f>AI279-AJ279-AK279-AL279</f>
        <v>38880</v>
      </c>
      <c r="AN279">
        <f>_xlfn.XLOOKUP(B279,'[4]june-2025'!$A:$A,'[4]june-2025'!$C:$C,0,0)</f>
        <v>31600</v>
      </c>
      <c r="AO279">
        <f>AN279*0.18</f>
        <v>5688</v>
      </c>
      <c r="AP279">
        <f>AN279*0.12</f>
        <v>3792</v>
      </c>
      <c r="AQ279">
        <f>_xlfn.XLOOKUP(B279,'[4]june-2025'!$A:$A,'[4]june-2025'!$D:$D,0,0)</f>
        <v>0</v>
      </c>
      <c r="AR279">
        <f>_xlfn.XLOOKUP(B279,'[4]june-2025'!$A:$A,'[4]june-2025'!$G:$G,0,0)</f>
        <v>0</v>
      </c>
      <c r="AS279">
        <f>IF(AN279&gt;0,SUM(AN279:AR279),0)</f>
        <v>41080</v>
      </c>
      <c r="AT279">
        <f>_xlfn.XLOOKUP(B279,'[4]june-2025'!$A:$A,'[4]june-2025'!$H:$H,0,0)</f>
        <v>2000</v>
      </c>
      <c r="AU279">
        <f>_xlfn.XLOOKUP(B279,'[4]june-2025'!$A:$A,'[4]june-2025'!$I:$I,0,0)</f>
        <v>0</v>
      </c>
      <c r="AV279">
        <f>IF($F279="YES",0,IF(AS279&gt;40000,200,IF(AS279&gt;25000,150,IF(AS279&gt;15000,130,IF(AS279&gt;10000,110,0)))))</f>
        <v>200</v>
      </c>
      <c r="AW279">
        <f>AS279-AT279-AU279-AV279</f>
        <v>38880</v>
      </c>
      <c r="AX279">
        <f>_xlfn.XLOOKUP(B279,'[5]july-2025'!$A:$A,'[5]july-2025'!$C:$C,0,0)</f>
        <v>32500</v>
      </c>
      <c r="AY279">
        <f>AX279*0.18</f>
        <v>5850</v>
      </c>
      <c r="AZ279">
        <v>0</v>
      </c>
      <c r="BA279">
        <f>AX279*0.12</f>
        <v>3900</v>
      </c>
      <c r="BB279">
        <f>_xlfn.XLOOKUP(B279,'[5]july-2025'!$A:$A,'[5]july-2025'!$D:$D,0,0)</f>
        <v>0</v>
      </c>
      <c r="BC279">
        <f>_xlfn.XLOOKUP(B279,'[5]july-2025'!$A:$A,'[5]july-2025'!$G:$G,0,0)</f>
        <v>0</v>
      </c>
      <c r="BD279">
        <f>IF(AX279&gt;0,SUM(AX279:BC279),0)</f>
        <v>42250</v>
      </c>
      <c r="BE279">
        <f>_xlfn.XLOOKUP(B279,'[5]july-2025'!$A:$A,'[5]july-2025'!$H:$H,0,0)</f>
        <v>2000</v>
      </c>
      <c r="BF279">
        <f>_xlfn.XLOOKUP(B279,'[5]july-2025'!$A:$A,'[5]july-2025'!$I:$I,0,0)</f>
        <v>0</v>
      </c>
      <c r="BG279">
        <f>IF($F279="YES",0,IF(BD279&gt;40000,200,IF(BD279&gt;25000,150,IF(BD279&gt;15000,130,IF(BD279&gt;10000,110,0)))))</f>
        <v>200</v>
      </c>
      <c r="BH279">
        <f>BD279-BE279-BF279-BG279</f>
        <v>40050</v>
      </c>
      <c r="BI279">
        <f>_xlfn.XLOOKUP(B279,'[6]august-2025'!$A:$A,'[6]august-2025'!$C:$C,0,0)</f>
        <v>32500</v>
      </c>
      <c r="BJ279">
        <f>BI279*0.18</f>
        <v>5850</v>
      </c>
      <c r="BK279">
        <f>BI279*0.12</f>
        <v>3900</v>
      </c>
      <c r="BL279">
        <f>_xlfn.XLOOKUP(B279,'[6]august-2025'!$A:$A,'[6]august-2025'!$D:$D,0,0)</f>
        <v>0</v>
      </c>
      <c r="BM279">
        <f>_xlfn.XLOOKUP(B279,'[6]august-2025'!$A:$A,'[6]august-2025'!$G:$G,0,0)</f>
        <v>0</v>
      </c>
      <c r="BN279">
        <f>IF(BI279&gt;0,SUM(BI279:BM279),0)</f>
        <v>42250</v>
      </c>
      <c r="BO279">
        <f>_xlfn.XLOOKUP(B279,'[6]august-2025'!$A:$A,'[6]august-2025'!$H:$H,0,0)</f>
        <v>2000</v>
      </c>
      <c r="BP279">
        <f>_xlfn.XLOOKUP(B279,'[6]august-2025'!$A:$A,'[6]august-2025'!$I:$I,0,0)</f>
        <v>0</v>
      </c>
      <c r="BQ279">
        <f>IF($F279="YES",0,IF(BN279&gt;40000,200,IF(BN279&gt;25000,150,IF(BN279&gt;15000,130,IF(BN279&gt;10000,110,0)))))</f>
        <v>200</v>
      </c>
      <c r="BR279">
        <f>BN279-BO279-BP279-BQ279</f>
        <v>40050</v>
      </c>
      <c r="BS279">
        <f>_xlfn.XLOOKUP(B279,'[7]september-2025'!$A:$A,'[7]september-2025'!$C:$C,0,0)</f>
        <v>32500</v>
      </c>
      <c r="BT279">
        <f>BS279*0.18</f>
        <v>5850</v>
      </c>
      <c r="BU279">
        <f>BS279*0.12</f>
        <v>3900</v>
      </c>
      <c r="BV279">
        <f>_xlfn.XLOOKUP(B279,'[7]september-2025'!$A:$A,'[7]september-2025'!$D:$D,0,0)</f>
        <v>0</v>
      </c>
      <c r="BW279">
        <f>_xlfn.XLOOKUP(B279,'[7]september-2025'!$A:$A,'[7]september-2025'!$G:$G,0,0)</f>
        <v>0</v>
      </c>
      <c r="BX279">
        <f>IF(BS279&gt;0,SUM(BS279:BW279),0)</f>
        <v>42250</v>
      </c>
      <c r="BY279">
        <f>_xlfn.XLOOKUP(B279,'[7]september-2025'!$A:$A,'[7]september-2025'!$H:$H,0,0)</f>
        <v>2000</v>
      </c>
      <c r="BZ279">
        <f>_xlfn.XLOOKUP(B279,'[7]september-2025'!$A:$A,'[7]september-2025'!$I:$I,0,0)</f>
        <v>0</v>
      </c>
      <c r="CA279">
        <f>IF($F279="YES",0,IF(BX279&gt;40000,200,IF(BX279&gt;25000,150,IF(BX279&gt;15000,130,IF(BX279&gt;10000,110,0)))))</f>
        <v>200</v>
      </c>
      <c r="CB279">
        <f>BX279-BY279-BZ279-CA279</f>
        <v>40050</v>
      </c>
      <c r="CC279">
        <f>_xlfn.XLOOKUP(B279,'[8]october-2025'!$A:$A,'[8]october-2025'!$C:$C,0,0)</f>
        <v>32500</v>
      </c>
      <c r="CD279">
        <f>CC279*0.18</f>
        <v>5850</v>
      </c>
      <c r="CE279">
        <f>CC279*0.12</f>
        <v>3900</v>
      </c>
      <c r="CF279">
        <f>_xlfn.XLOOKUP(B279,'[8]october-2025'!$A:$A,'[8]october-2025'!$D:$D,0,0)</f>
        <v>0</v>
      </c>
      <c r="CG279">
        <f>_xlfn.XLOOKUP(B279,'[8]october-2025'!$A:$A,'[8]october-2025'!$G:$G,0,0)</f>
        <v>0</v>
      </c>
      <c r="CH279">
        <f>IF(CC279&gt;0,SUM(CC279:CG279),0)</f>
        <v>42250</v>
      </c>
      <c r="CI279">
        <f>_xlfn.XLOOKUP(B279,'[8]october-2025'!$A:$A,'[8]october-2025'!$H:$H,0,0)</f>
        <v>2000</v>
      </c>
      <c r="CJ279">
        <f>_xlfn.XLOOKUP(B279,'[8]october-2025'!$A:$A,'[8]october-2025'!$I:$I,0,0)</f>
        <v>0</v>
      </c>
      <c r="CK279">
        <f>IF($F279="YES",0,IF(CH279&gt;40000,200,IF(CH279&gt;25000,150,IF(CH279&gt;15000,130,IF(CH279&gt;10000,110,0)))))</f>
        <v>200</v>
      </c>
      <c r="CL279">
        <f>CH279-CI279-CJ279-CK279</f>
        <v>40050</v>
      </c>
      <c r="CM279">
        <f>_xlfn.XLOOKUP(B279,'[9]november-2025'!$A:$A,'[9]november-2025'!$C:$C,0,0)</f>
        <v>32500</v>
      </c>
      <c r="CN279">
        <f>CM279*0.18</f>
        <v>5850</v>
      </c>
      <c r="CO279">
        <f>CM279*0.12</f>
        <v>3900</v>
      </c>
      <c r="CP279">
        <f>_xlfn.XLOOKUP(B279,'[9]november-2025'!$A:$A,'[9]november-2025'!$D:$D,0,0)</f>
        <v>0</v>
      </c>
      <c r="CQ279">
        <f>_xlfn.XLOOKUP(B279,'[9]november-2025'!$A:$A,'[9]november-2025'!$G:$G,0,0)</f>
        <v>0</v>
      </c>
      <c r="CR279">
        <f>IF(CM279&gt;0,SUM(CM279:CQ279),0)</f>
        <v>42250</v>
      </c>
      <c r="CS279">
        <f>_xlfn.XLOOKUP(B279,'[9]november-2025'!$A:$A,'[9]november-2025'!$H:$H,0,0)</f>
        <v>2000</v>
      </c>
      <c r="CT279">
        <f>_xlfn.XLOOKUP(B279,'[9]november-2025'!$A:$A,'[9]november-2025'!$I:$I,0,0)</f>
        <v>0</v>
      </c>
      <c r="CU279">
        <f>IF($F279="YES",0,IF(CR279&gt;40000,200,IF(CR279&gt;25000,150,IF(CR279&gt;15000,130,IF(CR279&gt;10000,110,0)))))</f>
        <v>200</v>
      </c>
      <c r="CV279">
        <f>CR279-CS279-CT279-CU279</f>
        <v>40050</v>
      </c>
      <c r="CW279">
        <f>_xlfn.XLOOKUP(B279,'[10]december-2025'!$A:$A,'[10]december-2025'!$C:$C,0,0)</f>
        <v>32500</v>
      </c>
      <c r="CX279">
        <f>ROUND(CW279*0.18,0)</f>
        <v>5850</v>
      </c>
      <c r="CY279">
        <f>ROUND(CW279*0.12,0)</f>
        <v>3900</v>
      </c>
      <c r="CZ279">
        <f>_xlfn.XLOOKUP(B279,'[10]december-2025'!$A:$A,'[10]december-2025'!$D:$D,0,0)</f>
        <v>0</v>
      </c>
      <c r="DA279">
        <f>_xlfn.XLOOKUP(B279,'[10]december-2025'!$A:$A,'[10]december-2025'!$G:$G,0,0)</f>
        <v>0</v>
      </c>
      <c r="DB279">
        <f>IF(CW279&gt;0,SUM(CW279:DA279),0)</f>
        <v>42250</v>
      </c>
      <c r="DC279">
        <f>_xlfn.XLOOKUP(B279,'[10]december-2025'!$A:$A,'[10]december-2025'!$H:$H,0,0)</f>
        <v>2000</v>
      </c>
      <c r="DD279">
        <f>_xlfn.XLOOKUP(B279,'[10]december-2025'!$A:$A,'[10]december-2025'!$I:$I,0,0)</f>
        <v>0</v>
      </c>
      <c r="DE279">
        <f>IF($F279="YES",0,IF(DB279&gt;40000,200,IF(DB279&gt;25000,150,IF(DB279&gt;15000,130,IF(DB279&gt;10000,110,0)))))</f>
        <v>200</v>
      </c>
      <c r="DF279">
        <f>DB279-DC279-DD279-DE279</f>
        <v>40050</v>
      </c>
      <c r="DG279">
        <f>_xlfn.XLOOKUP(B279,'[11]january-2026'!$A:$A,'[11]january-2026'!$C:$C,0,0)</f>
        <v>32500</v>
      </c>
      <c r="DH279">
        <f>DG279*0.18</f>
        <v>5850</v>
      </c>
      <c r="DI279">
        <f>DG279*0.12</f>
        <v>3900</v>
      </c>
      <c r="DJ279">
        <f>_xlfn.XLOOKUP(B279,'[11]january-2026'!$A:$A,'[11]january-2026'!$D:$D,0,0)</f>
        <v>0</v>
      </c>
      <c r="DK279">
        <f>_xlfn.XLOOKUP(B279,'[11]january-2026'!$A:$A,'[11]january-2026'!$G:$G,0,0)</f>
        <v>0</v>
      </c>
      <c r="DL279">
        <f>IF(DG279&gt;0,SUM(DG279:DK279),0)</f>
        <v>42250</v>
      </c>
      <c r="DM279">
        <f>_xlfn.XLOOKUP(B279,'[11]january-2026'!$A:$A,'[11]january-2026'!$H:$H,0,0)</f>
        <v>2000</v>
      </c>
      <c r="DN279">
        <f>_xlfn.XLOOKUP(B279,'[11]january-2026'!$A:$A,'[11]january-2026'!$I:$I,0,0)</f>
        <v>0</v>
      </c>
      <c r="DO279">
        <f>IF($F279="YES",0,IF(DL279&gt;40000,200,IF(DL279&gt;25000,150,IF(DL279&gt;15000,130,IF(DL279&gt;10000,110,0)))))</f>
        <v>200</v>
      </c>
      <c r="DP279">
        <f>DL279-DM279-DN279-DO279</f>
        <v>40050</v>
      </c>
      <c r="DQ279">
        <f>_xlfn.XLOOKUP(B279,'[12]february-2026'!$A:$A,'[12]february-2026'!$C:$C,0,0)</f>
        <v>32500</v>
      </c>
      <c r="DR279">
        <f>DQ279*0.18</f>
        <v>5850</v>
      </c>
      <c r="DS279">
        <f>DQ279*0.12</f>
        <v>3900</v>
      </c>
      <c r="DT279">
        <f>_xlfn.XLOOKUP(B279,'[12]february-2026'!$A:$A,'[12]february-2026'!$D:$D,0,0)</f>
        <v>0</v>
      </c>
      <c r="DU279">
        <f>_xlfn.XLOOKUP(B279,'[12]february-2026'!$A:$A,'[12]february-2026'!$G:$G,0,0)</f>
        <v>0</v>
      </c>
      <c r="DV279">
        <f>IF(DQ279&gt;0,SUM(DQ279:DU279),0)</f>
        <v>42250</v>
      </c>
      <c r="DW279">
        <f>_xlfn.XLOOKUP(B279,'[12]february-2026'!$A:$A,'[12]february-2026'!$H:$H,0,0)</f>
        <v>2000</v>
      </c>
      <c r="DX279">
        <f>_xlfn.XLOOKUP(B279,'[12]february-2026'!$A:$A,'[12]february-2026'!$I:$I,0,0)</f>
        <v>0</v>
      </c>
      <c r="DY279">
        <f>IF($F279="YES",0,IF(DV279&gt;40000,200,IF(DV279&gt;25000,150,IF(DV279&gt;15000,130,IF(DV279&gt;10000,110,0)))))</f>
        <v>200</v>
      </c>
      <c r="DZ279">
        <f>DV279-DW279-DX279-DY279</f>
        <v>40050</v>
      </c>
      <c r="EA279">
        <f>DV279+DL279+DB279+CR279+CH279+BX279+BN279+BD279+AS279+AI279+Y279+O279+H279+I279</f>
        <v>496080</v>
      </c>
      <c r="EB279">
        <f>DY279+DO279+DE279+CU279+CK279+CA279+BQ279+BG279+AV279+AL279+AB279+R279</f>
        <v>2300</v>
      </c>
      <c r="EC279">
        <f>IF(EA279&gt;0,50000,0)</f>
        <v>50000</v>
      </c>
      <c r="ED279">
        <v>0</v>
      </c>
      <c r="EE279">
        <f>EA279-EB279-EC279</f>
        <v>443780</v>
      </c>
      <c r="EF279">
        <f>DW279+DM279+DC279+CS279+CI279+BY279+BO279+BE279+AT279+AJ279+Z279+P279</f>
        <v>24000</v>
      </c>
      <c r="EG279">
        <f>DX279+DN279+DD279+CT279+CJ279+BZ279+BP279+BF279+AU279+AK279+AA279+Q279</f>
        <v>0</v>
      </c>
      <c r="EH279">
        <v>0</v>
      </c>
      <c r="EI279">
        <v>0</v>
      </c>
      <c r="EJ279">
        <v>0</v>
      </c>
      <c r="EK279">
        <v>0</v>
      </c>
      <c r="EL279">
        <v>0</v>
      </c>
      <c r="EM279">
        <v>0</v>
      </c>
      <c r="EN279">
        <v>0</v>
      </c>
      <c r="EO279">
        <v>0</v>
      </c>
      <c r="EP279">
        <v>0</v>
      </c>
      <c r="EQ279">
        <v>0</v>
      </c>
      <c r="ER279">
        <f>SUM(EF279:EQ279)</f>
        <v>24000</v>
      </c>
      <c r="ES279">
        <f>IF(ER279&gt;=150000,150000,ER279)</f>
        <v>24000</v>
      </c>
      <c r="ET279">
        <f>EE279-ES279</f>
        <v>419780</v>
      </c>
      <c r="EU279">
        <v>0</v>
      </c>
      <c r="EV279">
        <v>0</v>
      </c>
      <c r="EW279">
        <v>0</v>
      </c>
      <c r="EX279">
        <v>0</v>
      </c>
      <c r="EY279">
        <v>0</v>
      </c>
      <c r="EZ279">
        <v>0</v>
      </c>
      <c r="FA279">
        <v>0</v>
      </c>
      <c r="FB279">
        <f>SUM(EU279:FA279)+(IF(F279="YES",50000,0))</f>
        <v>0</v>
      </c>
      <c r="FC279">
        <f>ET279-FB279</f>
        <v>419780</v>
      </c>
      <c r="FD279">
        <f>ROUND(IF(FC279&gt;0,IF(FC279&gt;500000,12500,(FC279-250000)*0.05),0),0)</f>
        <v>8489</v>
      </c>
      <c r="FE279">
        <f>IF(ROUND(IF(FC279&gt;0,IF(FC279&gt;1000000,25000,(FC279-500000)*0.2),0),0)&lt;0,0,ROUND(IF(FC279&gt;0,IF(FC279&gt;1000000,25000,(FC279-500000)*0.2),0),0))</f>
        <v>0</v>
      </c>
      <c r="FF279">
        <f>FD279+FE279</f>
        <v>8489</v>
      </c>
      <c r="FG279">
        <f>IF(FF279&lt;12500,0,FF279)</f>
        <v>0</v>
      </c>
      <c r="FH279">
        <f>FG279*0.04</f>
        <v>0</v>
      </c>
      <c r="FI279">
        <f>ROUND(FH279+FG279,0)</f>
        <v>0</v>
      </c>
      <c r="FJ279">
        <v>0</v>
      </c>
      <c r="FK279">
        <f>FI279-FJ279</f>
        <v>0</v>
      </c>
      <c r="FL279" t="b">
        <f>IF(EA279&gt;500000,TRUE,FALSE)</f>
        <v>0</v>
      </c>
      <c r="FM279">
        <f ca="1">IF(FL279,RANDBETWEEN(500,1000),RANDBETWEEN(1000,3000))</f>
        <v>1616</v>
      </c>
      <c r="FN279">
        <f ca="1">EA279+FM279</f>
        <v>497696</v>
      </c>
      <c r="FO279">
        <f>IF(EA279&gt;0,75000,0)</f>
        <v>75000</v>
      </c>
      <c r="FP279">
        <f ca="1">FN279-FO279</f>
        <v>422696</v>
      </c>
      <c r="FQ279">
        <f ca="1">IF(FP279&gt;2400000,FP279-2400000,0)</f>
        <v>0</v>
      </c>
      <c r="FR279">
        <f ca="1">FQ279*0.3</f>
        <v>0</v>
      </c>
      <c r="FS279">
        <f ca="1">IF(FP279&gt;2000000,FP279-2000000,0)</f>
        <v>0</v>
      </c>
      <c r="FT279">
        <f ca="1">FS279*0.25</f>
        <v>0</v>
      </c>
      <c r="FU279">
        <f ca="1">IF(FP279&gt;1600000,FP279-1600000-FQ279,0)</f>
        <v>0</v>
      </c>
      <c r="FV279">
        <f ca="1">FU279*0.2</f>
        <v>0</v>
      </c>
      <c r="FW279">
        <f ca="1">IF(FP279&gt;1200000,FP279-1200000-IF(F279="YES",50000,0)-FU279,0)</f>
        <v>0</v>
      </c>
      <c r="FX279">
        <f ca="1">FW279*0.15</f>
        <v>0</v>
      </c>
      <c r="FY279">
        <f ca="1">IF(FP279&gt;800000,FP279-800000-FQ279-FU279-FW279,0)</f>
        <v>0</v>
      </c>
      <c r="FZ279">
        <f ca="1">FY279*0.1</f>
        <v>0</v>
      </c>
      <c r="GA279">
        <f ca="1">IF(FP279&gt;400000,FP279-400000-FQ279-FU279-FW279-FY279,0)</f>
        <v>22696</v>
      </c>
      <c r="GB279">
        <f ca="1">GA279*0.05</f>
        <v>1134.8</v>
      </c>
      <c r="GC279">
        <f ca="1">ROUND(FR279+FT279+FV279+FX279+FZ279+GB279,0)</f>
        <v>1135</v>
      </c>
      <c r="GD279">
        <f ca="1">IF(FP279&gt;1200000,FP279,0)</f>
        <v>0</v>
      </c>
      <c r="GE279">
        <f ca="1">IF(FP279&gt;1200000,GD279-1200000,0)</f>
        <v>0</v>
      </c>
      <c r="GF279">
        <f ca="1">IF(FP279&lt;1200001,MIN(GC279,60000),0)</f>
        <v>1135</v>
      </c>
      <c r="GG279">
        <f ca="1">IF(FP279&gt;1200000,GC279-GE279,0)</f>
        <v>0</v>
      </c>
      <c r="GH279" t="b">
        <f ca="1">IF(GG279&gt;0,TRUE,FALSE)</f>
        <v>0</v>
      </c>
      <c r="GI279">
        <f ca="1">IF(GH279,GG279,0)</f>
        <v>0</v>
      </c>
      <c r="GJ279">
        <f ca="1">GF279+GI279</f>
        <v>1135</v>
      </c>
      <c r="GK279">
        <f ca="1">ROUND(GC279-GJ279,0)</f>
        <v>0</v>
      </c>
      <c r="GL279">
        <f ca="1">GK279*0.04</f>
        <v>0</v>
      </c>
      <c r="GM279">
        <f ca="1">ROUNDUP(GK279+GL279,0)</f>
        <v>0</v>
      </c>
    </row>
    <row r="280" spans="1:195" x14ac:dyDescent="0.25">
      <c r="A280">
        <f>_xlfn.AGGREGATE(3,5,$B$2:B280)</f>
        <v>279</v>
      </c>
      <c r="B280" t="s">
        <v>665</v>
      </c>
      <c r="C280" t="s">
        <v>666</v>
      </c>
      <c r="D280" t="s">
        <v>825</v>
      </c>
      <c r="E280" t="s">
        <v>833</v>
      </c>
      <c r="F280" t="s">
        <v>959</v>
      </c>
      <c r="G280" t="s">
        <v>881</v>
      </c>
      <c r="H280">
        <f>IF(_xlfn.DAYS("31-03-2025",G280)&gt;=180,6800,0)</f>
        <v>6800</v>
      </c>
      <c r="I280">
        <f>_xlfn.XLOOKUP(B280,'[1]march-2025'!$A:$A,'[1]march-2025'!$J:$J,0,0)</f>
        <v>0</v>
      </c>
      <c r="J280">
        <f>_xlfn.XLOOKUP(B280,'[1]march-2025'!$A:$A,'[1]march-2025'!$C:$C,0,0)</f>
        <v>27000</v>
      </c>
      <c r="K280">
        <f>J280*0.14</f>
        <v>3780.0000000000005</v>
      </c>
      <c r="L280">
        <f>J280*0.12</f>
        <v>3240</v>
      </c>
      <c r="M280">
        <f>_xlfn.XLOOKUP(B280,'[1]march-2025'!$A:$A,'[1]march-2025'!$D:$D,0,0)</f>
        <v>0</v>
      </c>
      <c r="N280">
        <f>_xlfn.XLOOKUP(B280,'[1]march-2025'!$A:$A,'[1]march-2025'!$G:$G,0,0)</f>
        <v>0</v>
      </c>
      <c r="O280">
        <f>IF(J280&gt;0,SUM(J280:N280),0)</f>
        <v>34020</v>
      </c>
      <c r="P280">
        <f>_xlfn.XLOOKUP(B280,'[1]march-2025'!$A:$A,'[1]march-2025'!$H:$H,0,0)</f>
        <v>2000</v>
      </c>
      <c r="Q280">
        <f>_xlfn.XLOOKUP(B280,'[1]march-2025'!$A:$A,'[1]march-2025'!$I:$I,0,0)</f>
        <v>0</v>
      </c>
      <c r="R280">
        <f>IF($F280="YES",0,IF(O280&gt;40000,200,IF(O280&gt;25000,150,IF(O280&gt;15000,130,IF(O280&gt;10000,110,0)))))</f>
        <v>150</v>
      </c>
      <c r="S280">
        <f>O280-P280-Q280-R280</f>
        <v>31870</v>
      </c>
      <c r="T280">
        <f>_xlfn.XLOOKUP(B280,'[2]april-2025'!$A:$A,'[2]april-2025'!$C:$C,0,0)</f>
        <v>27000</v>
      </c>
      <c r="U280">
        <f>T280*0.18</f>
        <v>4860</v>
      </c>
      <c r="V280">
        <f>T280*0.12</f>
        <v>3240</v>
      </c>
      <c r="W280">
        <f>_xlfn.XLOOKUP(B280,'[2]april-2025'!$A:$A,'[2]april-2025'!$D:$D,0,0)</f>
        <v>0</v>
      </c>
      <c r="X280">
        <f>_xlfn.XLOOKUP(B280,'[2]april-2025'!$A:$A,'[2]april-2025'!$G:$G,0,0)</f>
        <v>0</v>
      </c>
      <c r="Y280">
        <f>IF(T280&gt;0,SUM(T280:X280),0)</f>
        <v>35100</v>
      </c>
      <c r="Z280">
        <f>_xlfn.XLOOKUP(B280,'[2]april-2025'!$A:$A,'[2]april-2025'!$H:$H,0,0)</f>
        <v>2000</v>
      </c>
      <c r="AA280">
        <f>_xlfn.XLOOKUP(B280,'[2]april-2025'!$A:$A,'[2]april-2025'!$I:$I,0,0)</f>
        <v>0</v>
      </c>
      <c r="AB280">
        <f>IF($F280="YES",0,IF(Y280&gt;40000,200,IF(Y280&gt;25000,150,IF(Y280&gt;15000,130,IF(Y280&gt;10000,110,0)))))</f>
        <v>150</v>
      </c>
      <c r="AC280">
        <f>Y280-Z280-AA280-AB280</f>
        <v>32950</v>
      </c>
      <c r="AD280">
        <f>_xlfn.XLOOKUP(B280,'[3]may-2025'!$A:$A,'[3]may-2025'!$C:$C,0,0)</f>
        <v>27000</v>
      </c>
      <c r="AE280">
        <f>AD280*0.18</f>
        <v>4860</v>
      </c>
      <c r="AF280">
        <f>AD280*0.12</f>
        <v>3240</v>
      </c>
      <c r="AG280">
        <f>_xlfn.XLOOKUP(B280,'[3]may-2025'!$A:$A,'[3]may-2025'!$D:$D,0,0)</f>
        <v>0</v>
      </c>
      <c r="AH280">
        <f>_xlfn.XLOOKUP(B280,'[3]may-2025'!$A:$A,'[3]may-2025'!$G:$G,0,0)</f>
        <v>0</v>
      </c>
      <c r="AI280">
        <f>IF(AD280&gt;0,SUM(AD280:AH280),0)</f>
        <v>35100</v>
      </c>
      <c r="AJ280">
        <f>_xlfn.XLOOKUP(B280,'[3]may-2025'!$A:$A,'[3]may-2025'!$H:$H,0,0)</f>
        <v>2000</v>
      </c>
      <c r="AK280">
        <f>_xlfn.XLOOKUP(B280,'[3]may-2025'!$A:$A,'[3]may-2025'!$I:$I,0,0)</f>
        <v>0</v>
      </c>
      <c r="AL280">
        <f>IF($F280="YES",0,IF(AI280&gt;40000,200,IF(AI280&gt;25000,150,IF(AI280&gt;15000,130,IF(AI280&gt;10000,110,0)))))</f>
        <v>150</v>
      </c>
      <c r="AM280">
        <f>AI280-AJ280-AK280-AL280</f>
        <v>32950</v>
      </c>
      <c r="AN280">
        <f>_xlfn.XLOOKUP(B280,'[4]june-2025'!$A:$A,'[4]june-2025'!$C:$C,0,0)</f>
        <v>27000</v>
      </c>
      <c r="AO280">
        <f>AN280*0.18</f>
        <v>4860</v>
      </c>
      <c r="AP280">
        <f>AN280*0.12</f>
        <v>3240</v>
      </c>
      <c r="AQ280">
        <f>_xlfn.XLOOKUP(B280,'[4]june-2025'!$A:$A,'[4]june-2025'!$D:$D,0,0)</f>
        <v>0</v>
      </c>
      <c r="AR280">
        <f>_xlfn.XLOOKUP(B280,'[4]june-2025'!$A:$A,'[4]june-2025'!$G:$G,0,0)</f>
        <v>0</v>
      </c>
      <c r="AS280">
        <f>IF(AN280&gt;0,SUM(AN280:AR280),0)</f>
        <v>35100</v>
      </c>
      <c r="AT280">
        <f>_xlfn.XLOOKUP(B280,'[4]june-2025'!$A:$A,'[4]june-2025'!$H:$H,0,0)</f>
        <v>2000</v>
      </c>
      <c r="AU280">
        <f>_xlfn.XLOOKUP(B280,'[4]june-2025'!$A:$A,'[4]june-2025'!$I:$I,0,0)</f>
        <v>0</v>
      </c>
      <c r="AV280">
        <f>IF($F280="YES",0,IF(AS280&gt;40000,200,IF(AS280&gt;25000,150,IF(AS280&gt;15000,130,IF(AS280&gt;10000,110,0)))))</f>
        <v>150</v>
      </c>
      <c r="AW280">
        <f>AS280-AT280-AU280-AV280</f>
        <v>32950</v>
      </c>
      <c r="AX280">
        <f>_xlfn.XLOOKUP(B280,'[5]july-2025'!$A:$A,'[5]july-2025'!$C:$C,0,0)</f>
        <v>27800</v>
      </c>
      <c r="AY280">
        <f>AX280*0.18</f>
        <v>5004</v>
      </c>
      <c r="AZ280">
        <v>0</v>
      </c>
      <c r="BA280">
        <f>AX280*0.12</f>
        <v>3336</v>
      </c>
      <c r="BB280">
        <f>_xlfn.XLOOKUP(B280,'[5]july-2025'!$A:$A,'[5]july-2025'!$D:$D,0,0)</f>
        <v>0</v>
      </c>
      <c r="BC280">
        <f>_xlfn.XLOOKUP(B280,'[5]july-2025'!$A:$A,'[5]july-2025'!$G:$G,0,0)</f>
        <v>0</v>
      </c>
      <c r="BD280">
        <f>IF(AX280&gt;0,SUM(AX280:BC280),0)</f>
        <v>36140</v>
      </c>
      <c r="BE280">
        <f>_xlfn.XLOOKUP(B280,'[5]july-2025'!$A:$A,'[5]july-2025'!$H:$H,0,0)</f>
        <v>2000</v>
      </c>
      <c r="BF280">
        <f>_xlfn.XLOOKUP(B280,'[5]july-2025'!$A:$A,'[5]july-2025'!$I:$I,0,0)</f>
        <v>0</v>
      </c>
      <c r="BG280">
        <f>IF($F280="YES",0,IF(BD280&gt;40000,200,IF(BD280&gt;25000,150,IF(BD280&gt;15000,130,IF(BD280&gt;10000,110,0)))))</f>
        <v>150</v>
      </c>
      <c r="BH280">
        <f>BD280-BE280-BF280-BG280</f>
        <v>33990</v>
      </c>
      <c r="BI280">
        <f>_xlfn.XLOOKUP(B280,'[6]august-2025'!$A:$A,'[6]august-2025'!$C:$C,0,0)</f>
        <v>27800</v>
      </c>
      <c r="BJ280">
        <f>BI280*0.18</f>
        <v>5004</v>
      </c>
      <c r="BK280">
        <f>BI280*0.12</f>
        <v>3336</v>
      </c>
      <c r="BL280">
        <f>_xlfn.XLOOKUP(B280,'[6]august-2025'!$A:$A,'[6]august-2025'!$D:$D,0,0)</f>
        <v>0</v>
      </c>
      <c r="BM280">
        <f>_xlfn.XLOOKUP(B280,'[6]august-2025'!$A:$A,'[6]august-2025'!$G:$G,0,0)</f>
        <v>0</v>
      </c>
      <c r="BN280">
        <f>IF(BI280&gt;0,SUM(BI280:BM280),0)</f>
        <v>36140</v>
      </c>
      <c r="BO280">
        <f>_xlfn.XLOOKUP(B280,'[6]august-2025'!$A:$A,'[6]august-2025'!$H:$H,0,0)</f>
        <v>2000</v>
      </c>
      <c r="BP280">
        <f>_xlfn.XLOOKUP(B280,'[6]august-2025'!$A:$A,'[6]august-2025'!$I:$I,0,0)</f>
        <v>0</v>
      </c>
      <c r="BQ280">
        <f>IF($F280="YES",0,IF(BN280&gt;40000,200,IF(BN280&gt;25000,150,IF(BN280&gt;15000,130,IF(BN280&gt;10000,110,0)))))</f>
        <v>150</v>
      </c>
      <c r="BR280">
        <f>BN280-BO280-BP280-BQ280</f>
        <v>33990</v>
      </c>
      <c r="BS280">
        <f>_xlfn.XLOOKUP(B280,'[7]september-2025'!$A:$A,'[7]september-2025'!$C:$C,0,0)</f>
        <v>27800</v>
      </c>
      <c r="BT280">
        <f>BS280*0.18</f>
        <v>5004</v>
      </c>
      <c r="BU280">
        <f>BS280*0.12</f>
        <v>3336</v>
      </c>
      <c r="BV280">
        <f>_xlfn.XLOOKUP(B280,'[7]september-2025'!$A:$A,'[7]september-2025'!$D:$D,0,0)</f>
        <v>0</v>
      </c>
      <c r="BW280">
        <f>_xlfn.XLOOKUP(B280,'[7]september-2025'!$A:$A,'[7]september-2025'!$G:$G,0,0)</f>
        <v>0</v>
      </c>
      <c r="BX280">
        <f>IF(BS280&gt;0,SUM(BS280:BW280),0)</f>
        <v>36140</v>
      </c>
      <c r="BY280">
        <f>_xlfn.XLOOKUP(B280,'[7]september-2025'!$A:$A,'[7]september-2025'!$H:$H,0,0)</f>
        <v>2000</v>
      </c>
      <c r="BZ280">
        <f>_xlfn.XLOOKUP(B280,'[7]september-2025'!$A:$A,'[7]september-2025'!$I:$I,0,0)</f>
        <v>0</v>
      </c>
      <c r="CA280">
        <f>IF($F280="YES",0,IF(BX280&gt;40000,200,IF(BX280&gt;25000,150,IF(BX280&gt;15000,130,IF(BX280&gt;10000,110,0)))))</f>
        <v>150</v>
      </c>
      <c r="CB280">
        <f>BX280-BY280-BZ280-CA280</f>
        <v>33990</v>
      </c>
      <c r="CC280">
        <f>_xlfn.XLOOKUP(B280,'[8]october-2025'!$A:$A,'[8]october-2025'!$C:$C,0,0)</f>
        <v>27800</v>
      </c>
      <c r="CD280">
        <f>CC280*0.18</f>
        <v>5004</v>
      </c>
      <c r="CE280">
        <f>CC280*0.12</f>
        <v>3336</v>
      </c>
      <c r="CF280">
        <f>_xlfn.XLOOKUP(B280,'[8]october-2025'!$A:$A,'[8]october-2025'!$D:$D,0,0)</f>
        <v>0</v>
      </c>
      <c r="CG280">
        <f>_xlfn.XLOOKUP(B280,'[8]october-2025'!$A:$A,'[8]october-2025'!$G:$G,0,0)</f>
        <v>0</v>
      </c>
      <c r="CH280">
        <f>IF(CC280&gt;0,SUM(CC280:CG280),0)</f>
        <v>36140</v>
      </c>
      <c r="CI280">
        <f>_xlfn.XLOOKUP(B280,'[8]october-2025'!$A:$A,'[8]october-2025'!$H:$H,0,0)</f>
        <v>2000</v>
      </c>
      <c r="CJ280">
        <f>_xlfn.XLOOKUP(B280,'[8]october-2025'!$A:$A,'[8]october-2025'!$I:$I,0,0)</f>
        <v>0</v>
      </c>
      <c r="CK280">
        <f>IF($F280="YES",0,IF(CH280&gt;40000,200,IF(CH280&gt;25000,150,IF(CH280&gt;15000,130,IF(CH280&gt;10000,110,0)))))</f>
        <v>150</v>
      </c>
      <c r="CL280">
        <f>CH280-CI280-CJ280-CK280</f>
        <v>33990</v>
      </c>
      <c r="CM280">
        <f>_xlfn.XLOOKUP(B280,'[9]november-2025'!$A:$A,'[9]november-2025'!$C:$C,0,0)</f>
        <v>27800</v>
      </c>
      <c r="CN280">
        <f>CM280*0.18</f>
        <v>5004</v>
      </c>
      <c r="CO280">
        <f>CM280*0.12</f>
        <v>3336</v>
      </c>
      <c r="CP280">
        <f>_xlfn.XLOOKUP(B280,'[9]november-2025'!$A:$A,'[9]november-2025'!$D:$D,0,0)</f>
        <v>0</v>
      </c>
      <c r="CQ280">
        <f>_xlfn.XLOOKUP(B280,'[9]november-2025'!$A:$A,'[9]november-2025'!$G:$G,0,0)</f>
        <v>0</v>
      </c>
      <c r="CR280">
        <f>IF(CM280&gt;0,SUM(CM280:CQ280),0)</f>
        <v>36140</v>
      </c>
      <c r="CS280">
        <f>_xlfn.XLOOKUP(B280,'[9]november-2025'!$A:$A,'[9]november-2025'!$H:$H,0,0)</f>
        <v>2000</v>
      </c>
      <c r="CT280">
        <f>_xlfn.XLOOKUP(B280,'[9]november-2025'!$A:$A,'[9]november-2025'!$I:$I,0,0)</f>
        <v>0</v>
      </c>
      <c r="CU280">
        <f>IF($F280="YES",0,IF(CR280&gt;40000,200,IF(CR280&gt;25000,150,IF(CR280&gt;15000,130,IF(CR280&gt;10000,110,0)))))</f>
        <v>150</v>
      </c>
      <c r="CV280">
        <f>CR280-CS280-CT280-CU280</f>
        <v>33990</v>
      </c>
      <c r="CW280">
        <f>_xlfn.XLOOKUP(B280,'[10]december-2025'!$A:$A,'[10]december-2025'!$C:$C,0,0)</f>
        <v>27800</v>
      </c>
      <c r="CX280">
        <f>ROUND(CW280*0.18,0)</f>
        <v>5004</v>
      </c>
      <c r="CY280">
        <f>ROUND(CW280*0.12,0)</f>
        <v>3336</v>
      </c>
      <c r="CZ280">
        <f>_xlfn.XLOOKUP(B280,'[10]december-2025'!$A:$A,'[10]december-2025'!$D:$D,0,0)</f>
        <v>0</v>
      </c>
      <c r="DA280">
        <f>_xlfn.XLOOKUP(B280,'[10]december-2025'!$A:$A,'[10]december-2025'!$G:$G,0,0)</f>
        <v>0</v>
      </c>
      <c r="DB280">
        <f>IF(CW280&gt;0,SUM(CW280:DA280),0)</f>
        <v>36140</v>
      </c>
      <c r="DC280">
        <f>_xlfn.XLOOKUP(B280,'[10]december-2025'!$A:$A,'[10]december-2025'!$H:$H,0,0)</f>
        <v>2000</v>
      </c>
      <c r="DD280">
        <f>_xlfn.XLOOKUP(B280,'[10]december-2025'!$A:$A,'[10]december-2025'!$I:$I,0,0)</f>
        <v>0</v>
      </c>
      <c r="DE280">
        <f>IF($F280="YES",0,IF(DB280&gt;40000,200,IF(DB280&gt;25000,150,IF(DB280&gt;15000,130,IF(DB280&gt;10000,110,0)))))</f>
        <v>150</v>
      </c>
      <c r="DF280">
        <f>DB280-DC280-DD280-DE280</f>
        <v>33990</v>
      </c>
      <c r="DG280">
        <f>_xlfn.XLOOKUP(B280,'[11]january-2026'!$A:$A,'[11]january-2026'!$C:$C,0,0)</f>
        <v>27800</v>
      </c>
      <c r="DH280">
        <f>DG280*0.18</f>
        <v>5004</v>
      </c>
      <c r="DI280">
        <f>DG280*0.12</f>
        <v>3336</v>
      </c>
      <c r="DJ280">
        <f>_xlfn.XLOOKUP(B280,'[11]january-2026'!$A:$A,'[11]january-2026'!$D:$D,0,0)</f>
        <v>0</v>
      </c>
      <c r="DK280">
        <f>_xlfn.XLOOKUP(B280,'[11]january-2026'!$A:$A,'[11]january-2026'!$G:$G,0,0)</f>
        <v>0</v>
      </c>
      <c r="DL280">
        <f>IF(DG280&gt;0,SUM(DG280:DK280),0)</f>
        <v>36140</v>
      </c>
      <c r="DM280">
        <f>_xlfn.XLOOKUP(B280,'[11]january-2026'!$A:$A,'[11]january-2026'!$H:$H,0,0)</f>
        <v>2000</v>
      </c>
      <c r="DN280">
        <f>_xlfn.XLOOKUP(B280,'[11]january-2026'!$A:$A,'[11]january-2026'!$I:$I,0,0)</f>
        <v>0</v>
      </c>
      <c r="DO280">
        <f>IF($F280="YES",0,IF(DL280&gt;40000,200,IF(DL280&gt;25000,150,IF(DL280&gt;15000,130,IF(DL280&gt;10000,110,0)))))</f>
        <v>150</v>
      </c>
      <c r="DP280">
        <f>DL280-DM280-DN280-DO280</f>
        <v>33990</v>
      </c>
      <c r="DQ280">
        <f>_xlfn.XLOOKUP(B280,'[12]february-2026'!$A:$A,'[12]february-2026'!$C:$C,0,0)</f>
        <v>27800</v>
      </c>
      <c r="DR280">
        <f>DQ280*0.18</f>
        <v>5004</v>
      </c>
      <c r="DS280">
        <f>DQ280*0.12</f>
        <v>3336</v>
      </c>
      <c r="DT280">
        <f>_xlfn.XLOOKUP(B280,'[12]february-2026'!$A:$A,'[12]february-2026'!$D:$D,0,0)</f>
        <v>0</v>
      </c>
      <c r="DU280">
        <f>_xlfn.XLOOKUP(B280,'[12]february-2026'!$A:$A,'[12]february-2026'!$G:$G,0,0)</f>
        <v>0</v>
      </c>
      <c r="DV280">
        <f>IF(DQ280&gt;0,SUM(DQ280:DU280),0)</f>
        <v>36140</v>
      </c>
      <c r="DW280">
        <f>_xlfn.XLOOKUP(B280,'[12]february-2026'!$A:$A,'[12]february-2026'!$H:$H,0,0)</f>
        <v>2000</v>
      </c>
      <c r="DX280">
        <f>_xlfn.XLOOKUP(B280,'[12]february-2026'!$A:$A,'[12]february-2026'!$I:$I,0,0)</f>
        <v>0</v>
      </c>
      <c r="DY280">
        <f>IF($F280="YES",0,IF(DV280&gt;40000,200,IF(DV280&gt;25000,150,IF(DV280&gt;15000,130,IF(DV280&gt;10000,110,0)))))</f>
        <v>150</v>
      </c>
      <c r="DZ280">
        <f>DV280-DW280-DX280-DY280</f>
        <v>33990</v>
      </c>
      <c r="EA280">
        <f>DV280+DL280+DB280+CR280+CH280+BX280+BN280+BD280+AS280+AI280+Y280+O280+H280+I280</f>
        <v>435240</v>
      </c>
      <c r="EB280">
        <f>DY280+DO280+DE280+CU280+CK280+CA280+BQ280+BG280+AV280+AL280+AB280+R280</f>
        <v>1800</v>
      </c>
      <c r="EC280">
        <f>IF(EA280&gt;0,50000,0)</f>
        <v>50000</v>
      </c>
      <c r="ED280">
        <v>0</v>
      </c>
      <c r="EE280">
        <f>EA280-EB280-EC280</f>
        <v>383440</v>
      </c>
      <c r="EF280">
        <f>DW280+DM280+DC280+CS280+CI280+BY280+BO280+BE280+AT280+AJ280+Z280+P280</f>
        <v>24000</v>
      </c>
      <c r="EG280">
        <f>DX280+DN280+DD280+CT280+CJ280+BZ280+BP280+BF280+AU280+AK280+AA280+Q280</f>
        <v>0</v>
      </c>
      <c r="EH280">
        <v>0</v>
      </c>
      <c r="EI280">
        <v>0</v>
      </c>
      <c r="EJ280">
        <v>0</v>
      </c>
      <c r="EK280">
        <v>0</v>
      </c>
      <c r="EL280">
        <v>0</v>
      </c>
      <c r="EM280">
        <v>0</v>
      </c>
      <c r="EN280">
        <v>0</v>
      </c>
      <c r="EO280">
        <v>0</v>
      </c>
      <c r="EP280">
        <v>0</v>
      </c>
      <c r="EQ280">
        <v>0</v>
      </c>
      <c r="ER280">
        <f>SUM(EF280:EQ280)</f>
        <v>24000</v>
      </c>
      <c r="ES280">
        <f>IF(ER280&gt;=150000,150000,ER280)</f>
        <v>24000</v>
      </c>
      <c r="ET280">
        <f>EE280-ES280</f>
        <v>359440</v>
      </c>
      <c r="EU280">
        <v>0</v>
      </c>
      <c r="EV280">
        <v>0</v>
      </c>
      <c r="EW280">
        <v>0</v>
      </c>
      <c r="EX280">
        <v>0</v>
      </c>
      <c r="EY280">
        <v>0</v>
      </c>
      <c r="EZ280">
        <v>0</v>
      </c>
      <c r="FA280">
        <v>0</v>
      </c>
      <c r="FB280">
        <f>SUM(EU280:FA280)+(IF(F280="YES",50000,0))</f>
        <v>0</v>
      </c>
      <c r="FC280">
        <f>ET280-FB280</f>
        <v>359440</v>
      </c>
      <c r="FD280">
        <f>ROUND(IF(FC280&gt;0,IF(FC280&gt;500000,12500,(FC280-250000)*0.05),0),0)</f>
        <v>5472</v>
      </c>
      <c r="FE280">
        <f>IF(ROUND(IF(FC280&gt;0,IF(FC280&gt;1000000,25000,(FC280-500000)*0.2),0),0)&lt;0,0,ROUND(IF(FC280&gt;0,IF(FC280&gt;1000000,25000,(FC280-500000)*0.2),0),0))</f>
        <v>0</v>
      </c>
      <c r="FF280">
        <f>FD280+FE280</f>
        <v>5472</v>
      </c>
      <c r="FG280">
        <f>IF(FF280&lt;12500,0,FF280)</f>
        <v>0</v>
      </c>
      <c r="FH280">
        <f>FG280*0.04</f>
        <v>0</v>
      </c>
      <c r="FI280">
        <f>ROUND(FH280+FG280,0)</f>
        <v>0</v>
      </c>
      <c r="FJ280">
        <v>0</v>
      </c>
      <c r="FK280">
        <f>FI280-FJ280</f>
        <v>0</v>
      </c>
      <c r="FL280" t="b">
        <f>IF(EA280&gt;500000,TRUE,FALSE)</f>
        <v>0</v>
      </c>
      <c r="FM280">
        <f ca="1">IF(FL280,RANDBETWEEN(500,1000),RANDBETWEEN(1000,3000))</f>
        <v>1640</v>
      </c>
      <c r="FN280">
        <f ca="1">EA280+FM280</f>
        <v>436880</v>
      </c>
      <c r="FO280">
        <f>IF(EA280&gt;0,75000,0)</f>
        <v>75000</v>
      </c>
      <c r="FP280">
        <f ca="1">FN280-FO280</f>
        <v>361880</v>
      </c>
      <c r="FQ280">
        <f ca="1">IF(FP280&gt;2400000,FP280-2400000,0)</f>
        <v>0</v>
      </c>
      <c r="FR280">
        <f ca="1">FQ280*0.3</f>
        <v>0</v>
      </c>
      <c r="FS280">
        <f ca="1">IF(FP280&gt;2000000,FP280-2000000,0)</f>
        <v>0</v>
      </c>
      <c r="FT280">
        <f ca="1">FS280*0.25</f>
        <v>0</v>
      </c>
      <c r="FU280">
        <f ca="1">IF(FP280&gt;1600000,FP280-1600000-FQ280,0)</f>
        <v>0</v>
      </c>
      <c r="FV280">
        <f ca="1">FU280*0.2</f>
        <v>0</v>
      </c>
      <c r="FW280">
        <f ca="1">IF(FP280&gt;1200000,FP280-1200000-IF(F280="YES",50000,0)-FU280,0)</f>
        <v>0</v>
      </c>
      <c r="FX280">
        <f ca="1">FW280*0.15</f>
        <v>0</v>
      </c>
      <c r="FY280">
        <f ca="1">IF(FP280&gt;800000,FP280-800000-FQ280-FU280-FW280,0)</f>
        <v>0</v>
      </c>
      <c r="FZ280">
        <f ca="1">FY280*0.1</f>
        <v>0</v>
      </c>
      <c r="GA280">
        <f ca="1">IF(FP280&gt;400000,FP280-400000-FQ280-FU280-FW280-FY280,0)</f>
        <v>0</v>
      </c>
      <c r="GB280">
        <f ca="1">GA280*0.05</f>
        <v>0</v>
      </c>
      <c r="GC280">
        <f ca="1">ROUND(FR280+FT280+FV280+FX280+FZ280+GB280,0)</f>
        <v>0</v>
      </c>
      <c r="GD280">
        <f ca="1">IF(FP280&gt;1200000,FP280,0)</f>
        <v>0</v>
      </c>
      <c r="GE280">
        <f ca="1">IF(FP280&gt;1200000,GD280-1200000,0)</f>
        <v>0</v>
      </c>
      <c r="GF280">
        <f ca="1">IF(FP280&lt;1200001,MIN(GC280,60000),0)</f>
        <v>0</v>
      </c>
      <c r="GG280">
        <f ca="1">IF(FP280&gt;1200000,GC280-GE280,0)</f>
        <v>0</v>
      </c>
      <c r="GH280" t="b">
        <f ca="1">IF(GG280&gt;0,TRUE,FALSE)</f>
        <v>0</v>
      </c>
      <c r="GI280">
        <f ca="1">IF(GH280,GG280,0)</f>
        <v>0</v>
      </c>
      <c r="GJ280">
        <f ca="1">GF280+GI280</f>
        <v>0</v>
      </c>
      <c r="GK280">
        <f ca="1">ROUND(GC280-GJ280,0)</f>
        <v>0</v>
      </c>
      <c r="GL280">
        <f ca="1">GK280*0.04</f>
        <v>0</v>
      </c>
      <c r="GM280">
        <f ca="1">ROUNDUP(GK280+GL280,0)</f>
        <v>0</v>
      </c>
    </row>
    <row r="281" spans="1:195" x14ac:dyDescent="0.25">
      <c r="A281">
        <f>_xlfn.AGGREGATE(3,5,$B$2:B281)</f>
        <v>280</v>
      </c>
      <c r="B281" t="s">
        <v>667</v>
      </c>
      <c r="C281" t="s">
        <v>668</v>
      </c>
      <c r="D281" t="s">
        <v>826</v>
      </c>
      <c r="E281" t="s">
        <v>834</v>
      </c>
      <c r="F281" t="s">
        <v>959</v>
      </c>
      <c r="G281" t="s">
        <v>882</v>
      </c>
      <c r="H281">
        <f>IF(_xlfn.DAYS("31-03-2025",G281)&gt;=180,6800,0)</f>
        <v>6800</v>
      </c>
      <c r="I281">
        <f>_xlfn.XLOOKUP(B281,'[1]march-2025'!$A:$A,'[1]march-2025'!$J:$J,0,0)</f>
        <v>0</v>
      </c>
      <c r="J281">
        <f>_xlfn.XLOOKUP(B281,'[1]march-2025'!$A:$A,'[1]march-2025'!$C:$C,0,0)</f>
        <v>47300</v>
      </c>
      <c r="K281">
        <f>J281*0.14</f>
        <v>6622.0000000000009</v>
      </c>
      <c r="L281">
        <f>J281*0.12</f>
        <v>5676</v>
      </c>
      <c r="M281">
        <f>_xlfn.XLOOKUP(B281,'[1]march-2025'!$A:$A,'[1]march-2025'!$D:$D,0,0)</f>
        <v>400</v>
      </c>
      <c r="N281">
        <f>_xlfn.XLOOKUP(B281,'[1]march-2025'!$A:$A,'[1]march-2025'!$G:$G,0,0)</f>
        <v>500</v>
      </c>
      <c r="O281">
        <f>IF(J281&gt;0,SUM(J281:N281),0)</f>
        <v>60498</v>
      </c>
      <c r="P281">
        <f>_xlfn.XLOOKUP(B281,'[1]march-2025'!$A:$A,'[1]march-2025'!$H:$H,0,0)</f>
        <v>4000</v>
      </c>
      <c r="Q281">
        <f>_xlfn.XLOOKUP(B281,'[1]march-2025'!$A:$A,'[1]march-2025'!$I:$I,0,0)</f>
        <v>0</v>
      </c>
      <c r="R281">
        <f>IF($F281="YES",0,IF(O281&gt;40000,200,IF(O281&gt;25000,150,IF(O281&gt;15000,130,IF(O281&gt;10000,110,0)))))</f>
        <v>200</v>
      </c>
      <c r="S281">
        <f>O281-P281-Q281-R281</f>
        <v>56298</v>
      </c>
      <c r="T281">
        <f>_xlfn.XLOOKUP(B281,'[2]april-2025'!$A:$A,'[2]april-2025'!$C:$C,0,0)</f>
        <v>47300</v>
      </c>
      <c r="U281">
        <f>T281*0.18</f>
        <v>8514</v>
      </c>
      <c r="V281">
        <f>T281*0.12</f>
        <v>5676</v>
      </c>
      <c r="W281">
        <f>_xlfn.XLOOKUP(B281,'[2]april-2025'!$A:$A,'[2]april-2025'!$D:$D,0,0)</f>
        <v>400</v>
      </c>
      <c r="X281">
        <f>_xlfn.XLOOKUP(B281,'[2]april-2025'!$A:$A,'[2]april-2025'!$G:$G,0,0)</f>
        <v>500</v>
      </c>
      <c r="Y281">
        <f>IF(T281&gt;0,SUM(T281:X281),0)</f>
        <v>62390</v>
      </c>
      <c r="Z281">
        <f>_xlfn.XLOOKUP(B281,'[2]april-2025'!$A:$A,'[2]april-2025'!$H:$H,0,0)</f>
        <v>4000</v>
      </c>
      <c r="AA281">
        <f>_xlfn.XLOOKUP(B281,'[2]april-2025'!$A:$A,'[2]april-2025'!$I:$I,0,0)</f>
        <v>0</v>
      </c>
      <c r="AB281">
        <f>IF($F281="YES",0,IF(Y281&gt;40000,200,IF(Y281&gt;25000,150,IF(Y281&gt;15000,130,IF(Y281&gt;10000,110,0)))))</f>
        <v>200</v>
      </c>
      <c r="AC281">
        <f>Y281-Z281-AA281-AB281</f>
        <v>58190</v>
      </c>
      <c r="AD281">
        <f>_xlfn.XLOOKUP(B281,'[3]may-2025'!$A:$A,'[3]may-2025'!$C:$C,0,0)</f>
        <v>47300</v>
      </c>
      <c r="AE281">
        <f>AD281*0.18</f>
        <v>8514</v>
      </c>
      <c r="AF281">
        <f>AD281*0.12</f>
        <v>5676</v>
      </c>
      <c r="AG281">
        <f>_xlfn.XLOOKUP(B281,'[3]may-2025'!$A:$A,'[3]may-2025'!$D:$D,0,0)</f>
        <v>400</v>
      </c>
      <c r="AH281">
        <f>_xlfn.XLOOKUP(B281,'[3]may-2025'!$A:$A,'[3]may-2025'!$G:$G,0,0)</f>
        <v>500</v>
      </c>
      <c r="AI281">
        <f>IF(AD281&gt;0,SUM(AD281:AH281),0)</f>
        <v>62390</v>
      </c>
      <c r="AJ281">
        <f>_xlfn.XLOOKUP(B281,'[3]may-2025'!$A:$A,'[3]may-2025'!$H:$H,0,0)</f>
        <v>4000</v>
      </c>
      <c r="AK281">
        <f>_xlfn.XLOOKUP(B281,'[3]may-2025'!$A:$A,'[3]may-2025'!$I:$I,0,0)</f>
        <v>0</v>
      </c>
      <c r="AL281">
        <f>IF($F281="YES",0,IF(AI281&gt;40000,200,IF(AI281&gt;25000,150,IF(AI281&gt;15000,130,IF(AI281&gt;10000,110,0)))))</f>
        <v>200</v>
      </c>
      <c r="AM281">
        <f>AI281-AJ281-AK281-AL281</f>
        <v>58190</v>
      </c>
      <c r="AN281">
        <f>_xlfn.XLOOKUP(B281,'[4]june-2025'!$A:$A,'[4]june-2025'!$C:$C,0,0)</f>
        <v>47300</v>
      </c>
      <c r="AO281">
        <f>AN281*0.18</f>
        <v>8514</v>
      </c>
      <c r="AP281">
        <f>AN281*0.12</f>
        <v>5676</v>
      </c>
      <c r="AQ281">
        <f>_xlfn.XLOOKUP(B281,'[4]june-2025'!$A:$A,'[4]june-2025'!$D:$D,0,0)</f>
        <v>400</v>
      </c>
      <c r="AR281">
        <f>_xlfn.XLOOKUP(B281,'[4]june-2025'!$A:$A,'[4]june-2025'!$G:$G,0,0)</f>
        <v>500</v>
      </c>
      <c r="AS281">
        <f>IF(AN281&gt;0,SUM(AN281:AR281),0)</f>
        <v>62390</v>
      </c>
      <c r="AT281">
        <f>_xlfn.XLOOKUP(B281,'[4]june-2025'!$A:$A,'[4]june-2025'!$H:$H,0,0)</f>
        <v>4000</v>
      </c>
      <c r="AU281">
        <f>_xlfn.XLOOKUP(B281,'[4]june-2025'!$A:$A,'[4]june-2025'!$I:$I,0,0)</f>
        <v>0</v>
      </c>
      <c r="AV281">
        <f>IF($F281="YES",0,IF(AS281&gt;40000,200,IF(AS281&gt;25000,150,IF(AS281&gt;15000,130,IF(AS281&gt;10000,110,0)))))</f>
        <v>200</v>
      </c>
      <c r="AW281">
        <f>AS281-AT281-AU281-AV281</f>
        <v>58190</v>
      </c>
      <c r="AX281">
        <f>_xlfn.XLOOKUP(B281,'[5]july-2025'!$A:$A,'[5]july-2025'!$C:$C,0,0)</f>
        <v>48700</v>
      </c>
      <c r="AY281">
        <f>AX281*0.18</f>
        <v>8766</v>
      </c>
      <c r="AZ281">
        <v>0</v>
      </c>
      <c r="BA281">
        <f>AX281*0.12</f>
        <v>5844</v>
      </c>
      <c r="BB281">
        <f>_xlfn.XLOOKUP(B281,'[5]july-2025'!$A:$A,'[5]july-2025'!$D:$D,0,0)</f>
        <v>400</v>
      </c>
      <c r="BC281">
        <f>_xlfn.XLOOKUP(B281,'[5]july-2025'!$A:$A,'[5]july-2025'!$G:$G,0,0)</f>
        <v>500</v>
      </c>
      <c r="BD281">
        <f>IF(AX281&gt;0,SUM(AX281:BC281),0)</f>
        <v>64210</v>
      </c>
      <c r="BE281">
        <f>_xlfn.XLOOKUP(B281,'[5]july-2025'!$A:$A,'[5]july-2025'!$H:$H,0,0)</f>
        <v>4000</v>
      </c>
      <c r="BF281">
        <f>_xlfn.XLOOKUP(B281,'[5]july-2025'!$A:$A,'[5]july-2025'!$I:$I,0,0)</f>
        <v>0</v>
      </c>
      <c r="BG281">
        <f>IF($F281="YES",0,IF(BD281&gt;40000,200,IF(BD281&gt;25000,150,IF(BD281&gt;15000,130,IF(BD281&gt;10000,110,0)))))</f>
        <v>200</v>
      </c>
      <c r="BH281">
        <f>BD281-BE281-BF281-BG281</f>
        <v>60010</v>
      </c>
      <c r="BI281">
        <f>_xlfn.XLOOKUP(B281,'[6]august-2025'!$A:$A,'[6]august-2025'!$C:$C,0,0)</f>
        <v>48700</v>
      </c>
      <c r="BJ281">
        <f>BI281*0.18</f>
        <v>8766</v>
      </c>
      <c r="BK281">
        <f>BI281*0.12</f>
        <v>5844</v>
      </c>
      <c r="BL281">
        <f>_xlfn.XLOOKUP(B281,'[6]august-2025'!$A:$A,'[6]august-2025'!$D:$D,0,0)</f>
        <v>400</v>
      </c>
      <c r="BM281">
        <f>_xlfn.XLOOKUP(B281,'[6]august-2025'!$A:$A,'[6]august-2025'!$G:$G,0,0)</f>
        <v>500</v>
      </c>
      <c r="BN281">
        <f>IF(BI281&gt;0,SUM(BI281:BM281),0)</f>
        <v>64210</v>
      </c>
      <c r="BO281">
        <f>_xlfn.XLOOKUP(B281,'[6]august-2025'!$A:$A,'[6]august-2025'!$H:$H,0,0)</f>
        <v>4000</v>
      </c>
      <c r="BP281">
        <f>_xlfn.XLOOKUP(B281,'[6]august-2025'!$A:$A,'[6]august-2025'!$I:$I,0,0)</f>
        <v>0</v>
      </c>
      <c r="BQ281">
        <f>IF($F281="YES",0,IF(BN281&gt;40000,200,IF(BN281&gt;25000,150,IF(BN281&gt;15000,130,IF(BN281&gt;10000,110,0)))))</f>
        <v>200</v>
      </c>
      <c r="BR281">
        <f>BN281-BO281-BP281-BQ281</f>
        <v>60010</v>
      </c>
      <c r="BS281">
        <f>_xlfn.XLOOKUP(B281,'[7]september-2025'!$A:$A,'[7]september-2025'!$C:$C,0,0)</f>
        <v>48700</v>
      </c>
      <c r="BT281">
        <f>BS281*0.18</f>
        <v>8766</v>
      </c>
      <c r="BU281">
        <f>BS281*0.12</f>
        <v>5844</v>
      </c>
      <c r="BV281">
        <f>_xlfn.XLOOKUP(B281,'[7]september-2025'!$A:$A,'[7]september-2025'!$D:$D,0,0)</f>
        <v>400</v>
      </c>
      <c r="BW281">
        <f>_xlfn.XLOOKUP(B281,'[7]september-2025'!$A:$A,'[7]september-2025'!$G:$G,0,0)</f>
        <v>500</v>
      </c>
      <c r="BX281">
        <f>IF(BS281&gt;0,SUM(BS281:BW281),0)</f>
        <v>64210</v>
      </c>
      <c r="BY281">
        <f>_xlfn.XLOOKUP(B281,'[7]september-2025'!$A:$A,'[7]september-2025'!$H:$H,0,0)</f>
        <v>4000</v>
      </c>
      <c r="BZ281">
        <f>_xlfn.XLOOKUP(B281,'[7]september-2025'!$A:$A,'[7]september-2025'!$I:$I,0,0)</f>
        <v>0</v>
      </c>
      <c r="CA281">
        <f>IF($F281="YES",0,IF(BX281&gt;40000,200,IF(BX281&gt;25000,150,IF(BX281&gt;15000,130,IF(BX281&gt;10000,110,0)))))</f>
        <v>200</v>
      </c>
      <c r="CB281">
        <f>BX281-BY281-BZ281-CA281</f>
        <v>60010</v>
      </c>
      <c r="CC281">
        <f>_xlfn.XLOOKUP(B281,'[8]october-2025'!$A:$A,'[8]october-2025'!$C:$C,0,0)</f>
        <v>48700</v>
      </c>
      <c r="CD281">
        <f>CC281*0.18</f>
        <v>8766</v>
      </c>
      <c r="CE281">
        <f>CC281*0.12</f>
        <v>5844</v>
      </c>
      <c r="CF281">
        <f>_xlfn.XLOOKUP(B281,'[8]october-2025'!$A:$A,'[8]october-2025'!$D:$D,0,0)</f>
        <v>400</v>
      </c>
      <c r="CG281">
        <f>_xlfn.XLOOKUP(B281,'[8]october-2025'!$A:$A,'[8]october-2025'!$G:$G,0,0)</f>
        <v>500</v>
      </c>
      <c r="CH281">
        <f>IF(CC281&gt;0,SUM(CC281:CG281),0)</f>
        <v>64210</v>
      </c>
      <c r="CI281">
        <f>_xlfn.XLOOKUP(B281,'[8]october-2025'!$A:$A,'[8]october-2025'!$H:$H,0,0)</f>
        <v>4000</v>
      </c>
      <c r="CJ281">
        <f>_xlfn.XLOOKUP(B281,'[8]october-2025'!$A:$A,'[8]october-2025'!$I:$I,0,0)</f>
        <v>0</v>
      </c>
      <c r="CK281">
        <f>IF($F281="YES",0,IF(CH281&gt;40000,200,IF(CH281&gt;25000,150,IF(CH281&gt;15000,130,IF(CH281&gt;10000,110,0)))))</f>
        <v>200</v>
      </c>
      <c r="CL281">
        <f>CH281-CI281-CJ281-CK281</f>
        <v>60010</v>
      </c>
      <c r="CM281">
        <f>_xlfn.XLOOKUP(B281,'[9]november-2025'!$A:$A,'[9]november-2025'!$C:$C,0,0)</f>
        <v>48700</v>
      </c>
      <c r="CN281">
        <f>CM281*0.18</f>
        <v>8766</v>
      </c>
      <c r="CO281">
        <f>CM281*0.12</f>
        <v>5844</v>
      </c>
      <c r="CP281">
        <f>_xlfn.XLOOKUP(B281,'[9]november-2025'!$A:$A,'[9]november-2025'!$D:$D,0,0)</f>
        <v>400</v>
      </c>
      <c r="CQ281">
        <f>_xlfn.XLOOKUP(B281,'[9]november-2025'!$A:$A,'[9]november-2025'!$G:$G,0,0)</f>
        <v>500</v>
      </c>
      <c r="CR281">
        <f>IF(CM281&gt;0,SUM(CM281:CQ281),0)</f>
        <v>64210</v>
      </c>
      <c r="CS281">
        <f>_xlfn.XLOOKUP(B281,'[9]november-2025'!$A:$A,'[9]november-2025'!$H:$H,0,0)</f>
        <v>4000</v>
      </c>
      <c r="CT281">
        <f>_xlfn.XLOOKUP(B281,'[9]november-2025'!$A:$A,'[9]november-2025'!$I:$I,0,0)</f>
        <v>0</v>
      </c>
      <c r="CU281">
        <f>IF($F281="YES",0,IF(CR281&gt;40000,200,IF(CR281&gt;25000,150,IF(CR281&gt;15000,130,IF(CR281&gt;10000,110,0)))))</f>
        <v>200</v>
      </c>
      <c r="CV281">
        <f>CR281-CS281-CT281-CU281</f>
        <v>60010</v>
      </c>
      <c r="CW281">
        <f>_xlfn.XLOOKUP(B281,'[10]december-2025'!$A:$A,'[10]december-2025'!$C:$C,0,0)</f>
        <v>48700</v>
      </c>
      <c r="CX281">
        <f>ROUND(CW281*0.18,0)</f>
        <v>8766</v>
      </c>
      <c r="CY281">
        <f>ROUND(CW281*0.12,0)</f>
        <v>5844</v>
      </c>
      <c r="CZ281">
        <f>_xlfn.XLOOKUP(B281,'[10]december-2025'!$A:$A,'[10]december-2025'!$D:$D,0,0)</f>
        <v>400</v>
      </c>
      <c r="DA281">
        <f>_xlfn.XLOOKUP(B281,'[10]december-2025'!$A:$A,'[10]december-2025'!$G:$G,0,0)</f>
        <v>500</v>
      </c>
      <c r="DB281">
        <f>IF(CW281&gt;0,SUM(CW281:DA281),0)</f>
        <v>64210</v>
      </c>
      <c r="DC281">
        <f>_xlfn.XLOOKUP(B281,'[10]december-2025'!$A:$A,'[10]december-2025'!$H:$H,0,0)</f>
        <v>4000</v>
      </c>
      <c r="DD281">
        <f>_xlfn.XLOOKUP(B281,'[10]december-2025'!$A:$A,'[10]december-2025'!$I:$I,0,0)</f>
        <v>0</v>
      </c>
      <c r="DE281">
        <f>IF($F281="YES",0,IF(DB281&gt;40000,200,IF(DB281&gt;25000,150,IF(DB281&gt;15000,130,IF(DB281&gt;10000,110,0)))))</f>
        <v>200</v>
      </c>
      <c r="DF281">
        <f>DB281-DC281-DD281-DE281</f>
        <v>60010</v>
      </c>
      <c r="DG281">
        <f>_xlfn.XLOOKUP(B281,'[11]january-2026'!$A:$A,'[11]january-2026'!$C:$C,0,0)</f>
        <v>48700</v>
      </c>
      <c r="DH281">
        <f>DG281*0.18</f>
        <v>8766</v>
      </c>
      <c r="DI281">
        <f>DG281*0.12</f>
        <v>5844</v>
      </c>
      <c r="DJ281">
        <f>_xlfn.XLOOKUP(B281,'[11]january-2026'!$A:$A,'[11]january-2026'!$D:$D,0,0)</f>
        <v>400</v>
      </c>
      <c r="DK281">
        <f>_xlfn.XLOOKUP(B281,'[11]january-2026'!$A:$A,'[11]january-2026'!$G:$G,0,0)</f>
        <v>500</v>
      </c>
      <c r="DL281">
        <f>IF(DG281&gt;0,SUM(DG281:DK281),0)</f>
        <v>64210</v>
      </c>
      <c r="DM281">
        <f>_xlfn.XLOOKUP(B281,'[11]january-2026'!$A:$A,'[11]january-2026'!$H:$H,0,0)</f>
        <v>4000</v>
      </c>
      <c r="DN281">
        <f>_xlfn.XLOOKUP(B281,'[11]january-2026'!$A:$A,'[11]january-2026'!$I:$I,0,0)</f>
        <v>0</v>
      </c>
      <c r="DO281">
        <f>IF($F281="YES",0,IF(DL281&gt;40000,200,IF(DL281&gt;25000,150,IF(DL281&gt;15000,130,IF(DL281&gt;10000,110,0)))))</f>
        <v>200</v>
      </c>
      <c r="DP281">
        <f>DL281-DM281-DN281-DO281</f>
        <v>60010</v>
      </c>
      <c r="DQ281">
        <f>_xlfn.XLOOKUP(B281,'[12]february-2026'!$A:$A,'[12]february-2026'!$C:$C,0,0)</f>
        <v>48700</v>
      </c>
      <c r="DR281">
        <f>DQ281*0.18</f>
        <v>8766</v>
      </c>
      <c r="DS281">
        <f>DQ281*0.12</f>
        <v>5844</v>
      </c>
      <c r="DT281">
        <f>_xlfn.XLOOKUP(B281,'[12]february-2026'!$A:$A,'[12]february-2026'!$D:$D,0,0)</f>
        <v>400</v>
      </c>
      <c r="DU281">
        <f>_xlfn.XLOOKUP(B281,'[12]february-2026'!$A:$A,'[12]february-2026'!$G:$G,0,0)</f>
        <v>500</v>
      </c>
      <c r="DV281">
        <f>IF(DQ281&gt;0,SUM(DQ281:DU281),0)</f>
        <v>64210</v>
      </c>
      <c r="DW281">
        <f>_xlfn.XLOOKUP(B281,'[12]february-2026'!$A:$A,'[12]february-2026'!$H:$H,0,0)</f>
        <v>4000</v>
      </c>
      <c r="DX281">
        <f>_xlfn.XLOOKUP(B281,'[12]february-2026'!$A:$A,'[12]february-2026'!$I:$I,0,0)</f>
        <v>0</v>
      </c>
      <c r="DY281">
        <f>IF($F281="YES",0,IF(DV281&gt;40000,200,IF(DV281&gt;25000,150,IF(DV281&gt;15000,130,IF(DV281&gt;10000,110,0)))))</f>
        <v>200</v>
      </c>
      <c r="DZ281">
        <f>DV281-DW281-DX281-DY281</f>
        <v>60010</v>
      </c>
      <c r="EA281">
        <f>DV281+DL281+DB281+CR281+CH281+BX281+BN281+BD281+AS281+AI281+Y281+O281+H281+I281</f>
        <v>768148</v>
      </c>
      <c r="EB281">
        <f>DY281+DO281+DE281+CU281+CK281+CA281+BQ281+BG281+AV281+AL281+AB281+R281</f>
        <v>2400</v>
      </c>
      <c r="EC281">
        <f>IF(EA281&gt;0,50000,0)</f>
        <v>50000</v>
      </c>
      <c r="ED281">
        <v>0</v>
      </c>
      <c r="EE281">
        <f>EA281-EB281-EC281</f>
        <v>715748</v>
      </c>
      <c r="EF281">
        <f>DW281+DM281+DC281+CS281+CI281+BY281+BO281+BE281+AT281+AJ281+Z281+P281</f>
        <v>48000</v>
      </c>
      <c r="EG281">
        <f>DX281+DN281+DD281+CT281+CJ281+BZ281+BP281+BF281+AU281+AK281+AA281+Q281</f>
        <v>0</v>
      </c>
      <c r="EH281">
        <v>0</v>
      </c>
      <c r="EI281">
        <v>0</v>
      </c>
      <c r="EJ281">
        <v>0</v>
      </c>
      <c r="EK281">
        <v>0</v>
      </c>
      <c r="EL281">
        <v>0</v>
      </c>
      <c r="EM281">
        <v>0</v>
      </c>
      <c r="EN281">
        <v>0</v>
      </c>
      <c r="EO281">
        <v>0</v>
      </c>
      <c r="EP281">
        <v>0</v>
      </c>
      <c r="EQ281">
        <v>0</v>
      </c>
      <c r="ER281">
        <f>SUM(EF281:EQ281)</f>
        <v>48000</v>
      </c>
      <c r="ES281">
        <f>IF(ER281&gt;=150000,150000,ER281)</f>
        <v>48000</v>
      </c>
      <c r="ET281">
        <f>EE281-ES281</f>
        <v>667748</v>
      </c>
      <c r="EU281">
        <v>0</v>
      </c>
      <c r="EV281">
        <v>0</v>
      </c>
      <c r="EW281">
        <v>0</v>
      </c>
      <c r="EX281">
        <v>0</v>
      </c>
      <c r="EY281">
        <v>0</v>
      </c>
      <c r="EZ281">
        <v>0</v>
      </c>
      <c r="FA281">
        <v>0</v>
      </c>
      <c r="FB281">
        <f>SUM(EU281:FA281)+(IF(F281="YES",50000,0))</f>
        <v>0</v>
      </c>
      <c r="FC281">
        <f>ET281-FB281</f>
        <v>667748</v>
      </c>
      <c r="FD281">
        <f>ROUND(IF(FC281&gt;0,IF(FC281&gt;500000,12500,(FC281-250000)*0.05),0),0)</f>
        <v>12500</v>
      </c>
      <c r="FE281">
        <f>IF(ROUND(IF(FC281&gt;0,IF(FC281&gt;1000000,25000,(FC281-500000)*0.2),0),0)&lt;0,0,ROUND(IF(FC281&gt;0,IF(FC281&gt;1000000,25000,(FC281-500000)*0.2),0),0))</f>
        <v>33550</v>
      </c>
      <c r="FF281">
        <f>FD281+FE281</f>
        <v>46050</v>
      </c>
      <c r="FG281">
        <f>IF(FF281&lt;12500,0,FF281)</f>
        <v>46050</v>
      </c>
      <c r="FH281">
        <f>FG281*0.04</f>
        <v>1842</v>
      </c>
      <c r="FI281">
        <f>ROUND(FH281+FG281,0)</f>
        <v>47892</v>
      </c>
      <c r="FJ281">
        <v>0</v>
      </c>
      <c r="FK281">
        <f>FI281-FJ281</f>
        <v>47892</v>
      </c>
      <c r="FL281" t="b">
        <f>IF(EA281&gt;500000,TRUE,FALSE)</f>
        <v>1</v>
      </c>
      <c r="FM281">
        <f ca="1">IF(FL281,RANDBETWEEN(500,1000),RANDBETWEEN(1000,3000))</f>
        <v>733</v>
      </c>
      <c r="FN281">
        <f ca="1">EA281+FM281</f>
        <v>768881</v>
      </c>
      <c r="FO281">
        <f>IF(EA281&gt;0,75000,0)</f>
        <v>75000</v>
      </c>
      <c r="FP281">
        <f ca="1">FN281-FO281</f>
        <v>693881</v>
      </c>
      <c r="FQ281">
        <f ca="1">IF(FP281&gt;2400000,FP281-2400000,0)</f>
        <v>0</v>
      </c>
      <c r="FR281">
        <f ca="1">FQ281*0.3</f>
        <v>0</v>
      </c>
      <c r="FS281">
        <f ca="1">IF(FP281&gt;2000000,FP281-2000000,0)</f>
        <v>0</v>
      </c>
      <c r="FT281">
        <f ca="1">FS281*0.25</f>
        <v>0</v>
      </c>
      <c r="FU281">
        <f ca="1">IF(FP281&gt;1600000,FP281-1600000-FQ281,0)</f>
        <v>0</v>
      </c>
      <c r="FV281">
        <f ca="1">FU281*0.2</f>
        <v>0</v>
      </c>
      <c r="FW281">
        <f ca="1">IF(FP281&gt;1200000,FP281-1200000-IF(F281="YES",50000,0)-FU281,0)</f>
        <v>0</v>
      </c>
      <c r="FX281">
        <f ca="1">FW281*0.15</f>
        <v>0</v>
      </c>
      <c r="FY281">
        <f ca="1">IF(FP281&gt;800000,FP281-800000-FQ281-FU281-FW281,0)</f>
        <v>0</v>
      </c>
      <c r="FZ281">
        <f ca="1">FY281*0.1</f>
        <v>0</v>
      </c>
      <c r="GA281">
        <f ca="1">IF(FP281&gt;400000,FP281-400000-FQ281-FU281-FW281-FY281,0)</f>
        <v>293881</v>
      </c>
      <c r="GB281">
        <f ca="1">GA281*0.05</f>
        <v>14694.050000000001</v>
      </c>
      <c r="GC281">
        <f ca="1">ROUND(FR281+FT281+FV281+FX281+FZ281+GB281,0)</f>
        <v>14694</v>
      </c>
      <c r="GD281">
        <f ca="1">IF(FP281&gt;1200000,FP281,0)</f>
        <v>0</v>
      </c>
      <c r="GE281">
        <f ca="1">IF(FP281&gt;1200000,GD281-1200000,0)</f>
        <v>0</v>
      </c>
      <c r="GF281">
        <f ca="1">IF(FP281&lt;1200001,MIN(GC281,60000),0)</f>
        <v>14694</v>
      </c>
      <c r="GG281">
        <f ca="1">IF(FP281&gt;1200000,GC281-GE281,0)</f>
        <v>0</v>
      </c>
      <c r="GH281" t="b">
        <f ca="1">IF(GG281&gt;0,TRUE,FALSE)</f>
        <v>0</v>
      </c>
      <c r="GI281">
        <f ca="1">IF(GH281,GG281,0)</f>
        <v>0</v>
      </c>
      <c r="GJ281">
        <f ca="1">GF281+GI281</f>
        <v>14694</v>
      </c>
      <c r="GK281">
        <f ca="1">ROUND(GC281-GJ281,0)</f>
        <v>0</v>
      </c>
      <c r="GL281">
        <f ca="1">GK281*0.04</f>
        <v>0</v>
      </c>
      <c r="GM281">
        <f ca="1">ROUNDUP(GK281+GL281,0)</f>
        <v>0</v>
      </c>
    </row>
    <row r="282" spans="1:195" x14ac:dyDescent="0.25">
      <c r="A282">
        <f>_xlfn.AGGREGATE(3,5,$B$2:B282)</f>
        <v>281</v>
      </c>
      <c r="B282" t="s">
        <v>669</v>
      </c>
      <c r="C282" t="s">
        <v>670</v>
      </c>
      <c r="D282" t="s">
        <v>826</v>
      </c>
      <c r="E282" t="s">
        <v>833</v>
      </c>
      <c r="F282" t="s">
        <v>959</v>
      </c>
      <c r="G282" t="s">
        <v>899</v>
      </c>
      <c r="H282">
        <f>IF(_xlfn.DAYS("31-03-2025",G282)&gt;=180,6800,0)</f>
        <v>6800</v>
      </c>
      <c r="I282">
        <f>_xlfn.XLOOKUP(B282,'[1]march-2025'!$A:$A,'[1]march-2025'!$J:$J,0,0)</f>
        <v>0</v>
      </c>
      <c r="J282">
        <f>_xlfn.XLOOKUP(B282,'[1]march-2025'!$A:$A,'[1]march-2025'!$C:$C,0,0)</f>
        <v>33500</v>
      </c>
      <c r="K282">
        <f>J282*0.14</f>
        <v>4690</v>
      </c>
      <c r="L282">
        <f>J282*0.12</f>
        <v>4020</v>
      </c>
      <c r="M282">
        <f>_xlfn.XLOOKUP(B282,'[1]march-2025'!$A:$A,'[1]march-2025'!$D:$D,0,0)</f>
        <v>0</v>
      </c>
      <c r="N282">
        <f>_xlfn.XLOOKUP(B282,'[1]march-2025'!$A:$A,'[1]march-2025'!$G:$G,0,0)</f>
        <v>500</v>
      </c>
      <c r="O282">
        <f>IF(J282&gt;0,SUM(J282:N282),0)</f>
        <v>42710</v>
      </c>
      <c r="P282">
        <f>_xlfn.XLOOKUP(B282,'[1]march-2025'!$A:$A,'[1]march-2025'!$H:$H,0,0)</f>
        <v>2500</v>
      </c>
      <c r="Q282">
        <f>_xlfn.XLOOKUP(B282,'[1]march-2025'!$A:$A,'[1]march-2025'!$I:$I,0,0)</f>
        <v>0</v>
      </c>
      <c r="R282">
        <f>IF($F282="YES",0,IF(O282&gt;40000,200,IF(O282&gt;25000,150,IF(O282&gt;15000,130,IF(O282&gt;10000,110,0)))))</f>
        <v>200</v>
      </c>
      <c r="S282">
        <f>O282-P282-Q282-R282</f>
        <v>40010</v>
      </c>
      <c r="T282">
        <f>_xlfn.XLOOKUP(B282,'[2]april-2025'!$A:$A,'[2]april-2025'!$C:$C,0,0)</f>
        <v>33500</v>
      </c>
      <c r="U282">
        <f>T282*0.18</f>
        <v>6030</v>
      </c>
      <c r="V282">
        <f>T282*0.12</f>
        <v>4020</v>
      </c>
      <c r="W282">
        <f>_xlfn.XLOOKUP(B282,'[2]april-2025'!$A:$A,'[2]april-2025'!$D:$D,0,0)</f>
        <v>0</v>
      </c>
      <c r="X282">
        <f>_xlfn.XLOOKUP(B282,'[2]april-2025'!$A:$A,'[2]april-2025'!$G:$G,0,0)</f>
        <v>500</v>
      </c>
      <c r="Y282">
        <f>IF(T282&gt;0,SUM(T282:X282),0)</f>
        <v>44050</v>
      </c>
      <c r="Z282">
        <f>_xlfn.XLOOKUP(B282,'[2]april-2025'!$A:$A,'[2]april-2025'!$H:$H,0,0)</f>
        <v>2500</v>
      </c>
      <c r="AA282">
        <f>_xlfn.XLOOKUP(B282,'[2]april-2025'!$A:$A,'[2]april-2025'!$I:$I,0,0)</f>
        <v>0</v>
      </c>
      <c r="AB282">
        <f>IF($F282="YES",0,IF(Y282&gt;40000,200,IF(Y282&gt;25000,150,IF(Y282&gt;15000,130,IF(Y282&gt;10000,110,0)))))</f>
        <v>200</v>
      </c>
      <c r="AC282">
        <f>Y282-Z282-AA282-AB282</f>
        <v>41350</v>
      </c>
      <c r="AD282">
        <f>_xlfn.XLOOKUP(B282,'[3]may-2025'!$A:$A,'[3]may-2025'!$C:$C,0,0)</f>
        <v>33500</v>
      </c>
      <c r="AE282">
        <f>AD282*0.18</f>
        <v>6030</v>
      </c>
      <c r="AF282">
        <f>AD282*0.12</f>
        <v>4020</v>
      </c>
      <c r="AG282">
        <f>_xlfn.XLOOKUP(B282,'[3]may-2025'!$A:$A,'[3]may-2025'!$D:$D,0,0)</f>
        <v>0</v>
      </c>
      <c r="AH282">
        <f>_xlfn.XLOOKUP(B282,'[3]may-2025'!$A:$A,'[3]may-2025'!$G:$G,0,0)</f>
        <v>500</v>
      </c>
      <c r="AI282">
        <f>IF(AD282&gt;0,SUM(AD282:AH282),0)</f>
        <v>44050</v>
      </c>
      <c r="AJ282">
        <f>_xlfn.XLOOKUP(B282,'[3]may-2025'!$A:$A,'[3]may-2025'!$H:$H,0,0)</f>
        <v>2500</v>
      </c>
      <c r="AK282">
        <f>_xlfn.XLOOKUP(B282,'[3]may-2025'!$A:$A,'[3]may-2025'!$I:$I,0,0)</f>
        <v>0</v>
      </c>
      <c r="AL282">
        <f>IF($F282="YES",0,IF(AI282&gt;40000,200,IF(AI282&gt;25000,150,IF(AI282&gt;15000,130,IF(AI282&gt;10000,110,0)))))</f>
        <v>200</v>
      </c>
      <c r="AM282">
        <f>AI282-AJ282-AK282-AL282</f>
        <v>41350</v>
      </c>
      <c r="AN282">
        <f>_xlfn.XLOOKUP(B282,'[4]june-2025'!$A:$A,'[4]june-2025'!$C:$C,0,0)</f>
        <v>33500</v>
      </c>
      <c r="AO282">
        <f>AN282*0.18</f>
        <v>6030</v>
      </c>
      <c r="AP282">
        <f>AN282*0.12</f>
        <v>4020</v>
      </c>
      <c r="AQ282">
        <f>_xlfn.XLOOKUP(B282,'[4]june-2025'!$A:$A,'[4]june-2025'!$D:$D,0,0)</f>
        <v>0</v>
      </c>
      <c r="AR282">
        <f>_xlfn.XLOOKUP(B282,'[4]june-2025'!$A:$A,'[4]june-2025'!$G:$G,0,0)</f>
        <v>500</v>
      </c>
      <c r="AS282">
        <f>IF(AN282&gt;0,SUM(AN282:AR282),0)</f>
        <v>44050</v>
      </c>
      <c r="AT282">
        <f>_xlfn.XLOOKUP(B282,'[4]june-2025'!$A:$A,'[4]june-2025'!$H:$H,0,0)</f>
        <v>2500</v>
      </c>
      <c r="AU282">
        <f>_xlfn.XLOOKUP(B282,'[4]june-2025'!$A:$A,'[4]june-2025'!$I:$I,0,0)</f>
        <v>0</v>
      </c>
      <c r="AV282">
        <f>IF($F282="YES",0,IF(AS282&gt;40000,200,IF(AS282&gt;25000,150,IF(AS282&gt;15000,130,IF(AS282&gt;10000,110,0)))))</f>
        <v>200</v>
      </c>
      <c r="AW282">
        <f>AS282-AT282-AU282-AV282</f>
        <v>41350</v>
      </c>
      <c r="AX282">
        <f>_xlfn.XLOOKUP(B282,'[5]july-2025'!$A:$A,'[5]july-2025'!$C:$C,0,0)</f>
        <v>34500</v>
      </c>
      <c r="AY282">
        <f>AX282*0.18</f>
        <v>6210</v>
      </c>
      <c r="AZ282">
        <v>0</v>
      </c>
      <c r="BA282">
        <f>AX282*0.12</f>
        <v>4140</v>
      </c>
      <c r="BB282">
        <f>_xlfn.XLOOKUP(B282,'[5]july-2025'!$A:$A,'[5]july-2025'!$D:$D,0,0)</f>
        <v>0</v>
      </c>
      <c r="BC282">
        <f>_xlfn.XLOOKUP(B282,'[5]july-2025'!$A:$A,'[5]july-2025'!$G:$G,0,0)</f>
        <v>500</v>
      </c>
      <c r="BD282">
        <f>IF(AX282&gt;0,SUM(AX282:BC282),0)</f>
        <v>45350</v>
      </c>
      <c r="BE282">
        <f>_xlfn.XLOOKUP(B282,'[5]july-2025'!$A:$A,'[5]july-2025'!$H:$H,0,0)</f>
        <v>2500</v>
      </c>
      <c r="BF282">
        <f>_xlfn.XLOOKUP(B282,'[5]july-2025'!$A:$A,'[5]july-2025'!$I:$I,0,0)</f>
        <v>0</v>
      </c>
      <c r="BG282">
        <f>IF($F282="YES",0,IF(BD282&gt;40000,200,IF(BD282&gt;25000,150,IF(BD282&gt;15000,130,IF(BD282&gt;10000,110,0)))))</f>
        <v>200</v>
      </c>
      <c r="BH282">
        <f>BD282-BE282-BF282-BG282</f>
        <v>42650</v>
      </c>
      <c r="BI282">
        <f>_xlfn.XLOOKUP(B282,'[6]august-2025'!$A:$A,'[6]august-2025'!$C:$C,0,0)</f>
        <v>34500</v>
      </c>
      <c r="BJ282">
        <f>BI282*0.18</f>
        <v>6210</v>
      </c>
      <c r="BK282">
        <f>BI282*0.12</f>
        <v>4140</v>
      </c>
      <c r="BL282">
        <f>_xlfn.XLOOKUP(B282,'[6]august-2025'!$A:$A,'[6]august-2025'!$D:$D,0,0)</f>
        <v>0</v>
      </c>
      <c r="BM282">
        <f>_xlfn.XLOOKUP(B282,'[6]august-2025'!$A:$A,'[6]august-2025'!$G:$G,0,0)</f>
        <v>500</v>
      </c>
      <c r="BN282">
        <f>IF(BI282&gt;0,SUM(BI282:BM282),0)</f>
        <v>45350</v>
      </c>
      <c r="BO282">
        <f>_xlfn.XLOOKUP(B282,'[6]august-2025'!$A:$A,'[6]august-2025'!$H:$H,0,0)</f>
        <v>2500</v>
      </c>
      <c r="BP282">
        <f>_xlfn.XLOOKUP(B282,'[6]august-2025'!$A:$A,'[6]august-2025'!$I:$I,0,0)</f>
        <v>0</v>
      </c>
      <c r="BQ282">
        <f>IF($F282="YES",0,IF(BN282&gt;40000,200,IF(BN282&gt;25000,150,IF(BN282&gt;15000,130,IF(BN282&gt;10000,110,0)))))</f>
        <v>200</v>
      </c>
      <c r="BR282">
        <f>BN282-BO282-BP282-BQ282</f>
        <v>42650</v>
      </c>
      <c r="BS282">
        <f>_xlfn.XLOOKUP(B282,'[7]september-2025'!$A:$A,'[7]september-2025'!$C:$C,0,0)</f>
        <v>34500</v>
      </c>
      <c r="BT282">
        <f>BS282*0.18</f>
        <v>6210</v>
      </c>
      <c r="BU282">
        <f>BS282*0.12</f>
        <v>4140</v>
      </c>
      <c r="BV282">
        <f>_xlfn.XLOOKUP(B282,'[7]september-2025'!$A:$A,'[7]september-2025'!$D:$D,0,0)</f>
        <v>0</v>
      </c>
      <c r="BW282">
        <f>_xlfn.XLOOKUP(B282,'[7]september-2025'!$A:$A,'[7]september-2025'!$G:$G,0,0)</f>
        <v>500</v>
      </c>
      <c r="BX282">
        <f>IF(BS282&gt;0,SUM(BS282:BW282),0)</f>
        <v>45350</v>
      </c>
      <c r="BY282">
        <f>_xlfn.XLOOKUP(B282,'[7]september-2025'!$A:$A,'[7]september-2025'!$H:$H,0,0)</f>
        <v>2500</v>
      </c>
      <c r="BZ282">
        <f>_xlfn.XLOOKUP(B282,'[7]september-2025'!$A:$A,'[7]september-2025'!$I:$I,0,0)</f>
        <v>0</v>
      </c>
      <c r="CA282">
        <f>IF($F282="YES",0,IF(BX282&gt;40000,200,IF(BX282&gt;25000,150,IF(BX282&gt;15000,130,IF(BX282&gt;10000,110,0)))))</f>
        <v>200</v>
      </c>
      <c r="CB282">
        <f>BX282-BY282-BZ282-CA282</f>
        <v>42650</v>
      </c>
      <c r="CC282">
        <f>_xlfn.XLOOKUP(B282,'[8]october-2025'!$A:$A,'[8]october-2025'!$C:$C,0,0)</f>
        <v>34500</v>
      </c>
      <c r="CD282">
        <f>CC282*0.18</f>
        <v>6210</v>
      </c>
      <c r="CE282">
        <f>CC282*0.12</f>
        <v>4140</v>
      </c>
      <c r="CF282">
        <f>_xlfn.XLOOKUP(B282,'[8]october-2025'!$A:$A,'[8]october-2025'!$D:$D,0,0)</f>
        <v>0</v>
      </c>
      <c r="CG282">
        <f>_xlfn.XLOOKUP(B282,'[8]october-2025'!$A:$A,'[8]october-2025'!$G:$G,0,0)</f>
        <v>500</v>
      </c>
      <c r="CH282">
        <f>IF(CC282&gt;0,SUM(CC282:CG282),0)</f>
        <v>45350</v>
      </c>
      <c r="CI282">
        <f>_xlfn.XLOOKUP(B282,'[8]october-2025'!$A:$A,'[8]october-2025'!$H:$H,0,0)</f>
        <v>2500</v>
      </c>
      <c r="CJ282">
        <f>_xlfn.XLOOKUP(B282,'[8]october-2025'!$A:$A,'[8]october-2025'!$I:$I,0,0)</f>
        <v>0</v>
      </c>
      <c r="CK282">
        <f>IF($F282="YES",0,IF(CH282&gt;40000,200,IF(CH282&gt;25000,150,IF(CH282&gt;15000,130,IF(CH282&gt;10000,110,0)))))</f>
        <v>200</v>
      </c>
      <c r="CL282">
        <f>CH282-CI282-CJ282-CK282</f>
        <v>42650</v>
      </c>
      <c r="CM282">
        <f>_xlfn.XLOOKUP(B282,'[9]november-2025'!$A:$A,'[9]november-2025'!$C:$C,0,0)</f>
        <v>34500</v>
      </c>
      <c r="CN282">
        <f>CM282*0.18</f>
        <v>6210</v>
      </c>
      <c r="CO282">
        <f>CM282*0.12</f>
        <v>4140</v>
      </c>
      <c r="CP282">
        <f>_xlfn.XLOOKUP(B282,'[9]november-2025'!$A:$A,'[9]november-2025'!$D:$D,0,0)</f>
        <v>0</v>
      </c>
      <c r="CQ282">
        <f>_xlfn.XLOOKUP(B282,'[9]november-2025'!$A:$A,'[9]november-2025'!$G:$G,0,0)</f>
        <v>500</v>
      </c>
      <c r="CR282">
        <f>IF(CM282&gt;0,SUM(CM282:CQ282),0)</f>
        <v>45350</v>
      </c>
      <c r="CS282">
        <f>_xlfn.XLOOKUP(B282,'[9]november-2025'!$A:$A,'[9]november-2025'!$H:$H,0,0)</f>
        <v>2500</v>
      </c>
      <c r="CT282">
        <f>_xlfn.XLOOKUP(B282,'[9]november-2025'!$A:$A,'[9]november-2025'!$I:$I,0,0)</f>
        <v>0</v>
      </c>
      <c r="CU282">
        <f>IF($F282="YES",0,IF(CR282&gt;40000,200,IF(CR282&gt;25000,150,IF(CR282&gt;15000,130,IF(CR282&gt;10000,110,0)))))</f>
        <v>200</v>
      </c>
      <c r="CV282">
        <f>CR282-CS282-CT282-CU282</f>
        <v>42650</v>
      </c>
      <c r="CW282">
        <f>_xlfn.XLOOKUP(B282,'[10]december-2025'!$A:$A,'[10]december-2025'!$C:$C,0,0)</f>
        <v>34500</v>
      </c>
      <c r="CX282">
        <f>ROUND(CW282*0.18,0)</f>
        <v>6210</v>
      </c>
      <c r="CY282">
        <f>ROUND(CW282*0.12,0)</f>
        <v>4140</v>
      </c>
      <c r="CZ282">
        <f>_xlfn.XLOOKUP(B282,'[10]december-2025'!$A:$A,'[10]december-2025'!$D:$D,0,0)</f>
        <v>0</v>
      </c>
      <c r="DA282">
        <f>_xlfn.XLOOKUP(B282,'[10]december-2025'!$A:$A,'[10]december-2025'!$G:$G,0,0)</f>
        <v>500</v>
      </c>
      <c r="DB282">
        <f>IF(CW282&gt;0,SUM(CW282:DA282),0)</f>
        <v>45350</v>
      </c>
      <c r="DC282">
        <f>_xlfn.XLOOKUP(B282,'[10]december-2025'!$A:$A,'[10]december-2025'!$H:$H,0,0)</f>
        <v>2500</v>
      </c>
      <c r="DD282">
        <f>_xlfn.XLOOKUP(B282,'[10]december-2025'!$A:$A,'[10]december-2025'!$I:$I,0,0)</f>
        <v>0</v>
      </c>
      <c r="DE282">
        <f>IF($F282="YES",0,IF(DB282&gt;40000,200,IF(DB282&gt;25000,150,IF(DB282&gt;15000,130,IF(DB282&gt;10000,110,0)))))</f>
        <v>200</v>
      </c>
      <c r="DF282">
        <f>DB282-DC282-DD282-DE282</f>
        <v>42650</v>
      </c>
      <c r="DG282">
        <f>_xlfn.XLOOKUP(B282,'[11]january-2026'!$A:$A,'[11]january-2026'!$C:$C,0,0)</f>
        <v>34500</v>
      </c>
      <c r="DH282">
        <f>DG282*0.18</f>
        <v>6210</v>
      </c>
      <c r="DI282">
        <f>DG282*0.12</f>
        <v>4140</v>
      </c>
      <c r="DJ282">
        <f>_xlfn.XLOOKUP(B282,'[11]january-2026'!$A:$A,'[11]january-2026'!$D:$D,0,0)</f>
        <v>0</v>
      </c>
      <c r="DK282">
        <f>_xlfn.XLOOKUP(B282,'[11]january-2026'!$A:$A,'[11]january-2026'!$G:$G,0,0)</f>
        <v>500</v>
      </c>
      <c r="DL282">
        <f>IF(DG282&gt;0,SUM(DG282:DK282),0)</f>
        <v>45350</v>
      </c>
      <c r="DM282">
        <f>_xlfn.XLOOKUP(B282,'[11]january-2026'!$A:$A,'[11]january-2026'!$H:$H,0,0)</f>
        <v>2500</v>
      </c>
      <c r="DN282">
        <f>_xlfn.XLOOKUP(B282,'[11]january-2026'!$A:$A,'[11]january-2026'!$I:$I,0,0)</f>
        <v>0</v>
      </c>
      <c r="DO282">
        <f>IF($F282="YES",0,IF(DL282&gt;40000,200,IF(DL282&gt;25000,150,IF(DL282&gt;15000,130,IF(DL282&gt;10000,110,0)))))</f>
        <v>200</v>
      </c>
      <c r="DP282">
        <f>DL282-DM282-DN282-DO282</f>
        <v>42650</v>
      </c>
      <c r="DQ282">
        <f>_xlfn.XLOOKUP(B282,'[12]february-2026'!$A:$A,'[12]february-2026'!$C:$C,0,0)</f>
        <v>34500</v>
      </c>
      <c r="DR282">
        <f>DQ282*0.18</f>
        <v>6210</v>
      </c>
      <c r="DS282">
        <f>DQ282*0.12</f>
        <v>4140</v>
      </c>
      <c r="DT282">
        <f>_xlfn.XLOOKUP(B282,'[12]february-2026'!$A:$A,'[12]february-2026'!$D:$D,0,0)</f>
        <v>0</v>
      </c>
      <c r="DU282">
        <f>_xlfn.XLOOKUP(B282,'[12]february-2026'!$A:$A,'[12]february-2026'!$G:$G,0,0)</f>
        <v>500</v>
      </c>
      <c r="DV282">
        <f>IF(DQ282&gt;0,SUM(DQ282:DU282),0)</f>
        <v>45350</v>
      </c>
      <c r="DW282">
        <f>_xlfn.XLOOKUP(B282,'[12]february-2026'!$A:$A,'[12]february-2026'!$H:$H,0,0)</f>
        <v>2500</v>
      </c>
      <c r="DX282">
        <f>_xlfn.XLOOKUP(B282,'[12]february-2026'!$A:$A,'[12]february-2026'!$I:$I,0,0)</f>
        <v>0</v>
      </c>
      <c r="DY282">
        <f>IF($F282="YES",0,IF(DV282&gt;40000,200,IF(DV282&gt;25000,150,IF(DV282&gt;15000,130,IF(DV282&gt;10000,110,0)))))</f>
        <v>200</v>
      </c>
      <c r="DZ282">
        <f>DV282-DW282-DX282-DY282</f>
        <v>42650</v>
      </c>
      <c r="EA282">
        <f>DV282+DL282+DB282+CR282+CH282+BX282+BN282+BD282+AS282+AI282+Y282+O282+H282+I282</f>
        <v>544460</v>
      </c>
      <c r="EB282">
        <f>DY282+DO282+DE282+CU282+CK282+CA282+BQ282+BG282+AV282+AL282+AB282+R282</f>
        <v>2400</v>
      </c>
      <c r="EC282">
        <f>IF(EA282&gt;0,50000,0)</f>
        <v>50000</v>
      </c>
      <c r="ED282">
        <v>0</v>
      </c>
      <c r="EE282">
        <f>EA282-EB282-EC282</f>
        <v>492060</v>
      </c>
      <c r="EF282">
        <f>DW282+DM282+DC282+CS282+CI282+BY282+BO282+BE282+AT282+AJ282+Z282+P282</f>
        <v>30000</v>
      </c>
      <c r="EG282">
        <f>DX282+DN282+DD282+CT282+CJ282+BZ282+BP282+BF282+AU282+AK282+AA282+Q282</f>
        <v>0</v>
      </c>
      <c r="EH282">
        <v>0</v>
      </c>
      <c r="EI282">
        <v>0</v>
      </c>
      <c r="EJ282">
        <v>0</v>
      </c>
      <c r="EK282">
        <v>0</v>
      </c>
      <c r="EL282">
        <v>0</v>
      </c>
      <c r="EM282">
        <v>0</v>
      </c>
      <c r="EN282">
        <v>0</v>
      </c>
      <c r="EO282">
        <v>0</v>
      </c>
      <c r="EP282">
        <v>0</v>
      </c>
      <c r="EQ282">
        <v>0</v>
      </c>
      <c r="ER282">
        <f>SUM(EF282:EQ282)</f>
        <v>30000</v>
      </c>
      <c r="ES282">
        <f>IF(ER282&gt;=150000,150000,ER282)</f>
        <v>30000</v>
      </c>
      <c r="ET282">
        <f>EE282-ES282</f>
        <v>462060</v>
      </c>
      <c r="EU282">
        <v>0</v>
      </c>
      <c r="EV282">
        <v>0</v>
      </c>
      <c r="EW282">
        <v>0</v>
      </c>
      <c r="EX282">
        <v>0</v>
      </c>
      <c r="EY282">
        <v>0</v>
      </c>
      <c r="EZ282">
        <v>0</v>
      </c>
      <c r="FA282">
        <v>0</v>
      </c>
      <c r="FB282">
        <f>SUM(EU282:FA282)+(IF(F282="YES",50000,0))</f>
        <v>0</v>
      </c>
      <c r="FC282">
        <f>ET282-FB282</f>
        <v>462060</v>
      </c>
      <c r="FD282">
        <f>ROUND(IF(FC282&gt;0,IF(FC282&gt;500000,12500,(FC282-250000)*0.05),0),0)</f>
        <v>10603</v>
      </c>
      <c r="FE282">
        <f>IF(ROUND(IF(FC282&gt;0,IF(FC282&gt;1000000,25000,(FC282-500000)*0.2),0),0)&lt;0,0,ROUND(IF(FC282&gt;0,IF(FC282&gt;1000000,25000,(FC282-500000)*0.2),0),0))</f>
        <v>0</v>
      </c>
      <c r="FF282">
        <f>FD282+FE282</f>
        <v>10603</v>
      </c>
      <c r="FG282">
        <f>IF(FF282&lt;12500,0,FF282)</f>
        <v>0</v>
      </c>
      <c r="FH282">
        <f>FG282*0.04</f>
        <v>0</v>
      </c>
      <c r="FI282">
        <f>ROUND(FH282+FG282,0)</f>
        <v>0</v>
      </c>
      <c r="FJ282">
        <v>0</v>
      </c>
      <c r="FK282">
        <f>FI282-FJ282</f>
        <v>0</v>
      </c>
      <c r="FL282" t="b">
        <f>IF(EA282&gt;500000,TRUE,FALSE)</f>
        <v>1</v>
      </c>
      <c r="FM282">
        <f ca="1">IF(FL282,RANDBETWEEN(500,1000),RANDBETWEEN(1000,3000))</f>
        <v>635</v>
      </c>
      <c r="FN282">
        <f ca="1">EA282+FM282</f>
        <v>545095</v>
      </c>
      <c r="FO282">
        <f>IF(EA282&gt;0,75000,0)</f>
        <v>75000</v>
      </c>
      <c r="FP282">
        <f ca="1">FN282-FO282</f>
        <v>470095</v>
      </c>
      <c r="FQ282">
        <f ca="1">IF(FP282&gt;2400000,FP282-2400000,0)</f>
        <v>0</v>
      </c>
      <c r="FR282">
        <f ca="1">FQ282*0.3</f>
        <v>0</v>
      </c>
      <c r="FS282">
        <f ca="1">IF(FP282&gt;2000000,FP282-2000000,0)</f>
        <v>0</v>
      </c>
      <c r="FT282">
        <f ca="1">FS282*0.25</f>
        <v>0</v>
      </c>
      <c r="FU282">
        <f ca="1">IF(FP282&gt;1600000,FP282-1600000-FQ282,0)</f>
        <v>0</v>
      </c>
      <c r="FV282">
        <f ca="1">FU282*0.2</f>
        <v>0</v>
      </c>
      <c r="FW282">
        <f ca="1">IF(FP282&gt;1200000,FP282-1200000-IF(F282="YES",50000,0)-FU282,0)</f>
        <v>0</v>
      </c>
      <c r="FX282">
        <f ca="1">FW282*0.15</f>
        <v>0</v>
      </c>
      <c r="FY282">
        <f ca="1">IF(FP282&gt;800000,FP282-800000-FQ282-FU282-FW282,0)</f>
        <v>0</v>
      </c>
      <c r="FZ282">
        <f ca="1">FY282*0.1</f>
        <v>0</v>
      </c>
      <c r="GA282">
        <f ca="1">IF(FP282&gt;400000,FP282-400000-FQ282-FU282-FW282-FY282,0)</f>
        <v>70095</v>
      </c>
      <c r="GB282">
        <f ca="1">GA282*0.05</f>
        <v>3504.75</v>
      </c>
      <c r="GC282">
        <f ca="1">ROUND(FR282+FT282+FV282+FX282+FZ282+GB282,0)</f>
        <v>3505</v>
      </c>
      <c r="GD282">
        <f ca="1">IF(FP282&gt;1200000,FP282,0)</f>
        <v>0</v>
      </c>
      <c r="GE282">
        <f ca="1">IF(FP282&gt;1200000,GD282-1200000,0)</f>
        <v>0</v>
      </c>
      <c r="GF282">
        <f ca="1">IF(FP282&lt;1200001,MIN(GC282,60000),0)</f>
        <v>3505</v>
      </c>
      <c r="GG282">
        <f ca="1">IF(FP282&gt;1200000,GC282-GE282,0)</f>
        <v>0</v>
      </c>
      <c r="GH282" t="b">
        <f ca="1">IF(GG282&gt;0,TRUE,FALSE)</f>
        <v>0</v>
      </c>
      <c r="GI282">
        <f ca="1">IF(GH282,GG282,0)</f>
        <v>0</v>
      </c>
      <c r="GJ282">
        <f ca="1">GF282+GI282</f>
        <v>3505</v>
      </c>
      <c r="GK282">
        <f ca="1">ROUND(GC282-GJ282,0)</f>
        <v>0</v>
      </c>
      <c r="GL282">
        <f ca="1">GK282*0.04</f>
        <v>0</v>
      </c>
      <c r="GM282">
        <f ca="1">ROUNDUP(GK282+GL282,0)</f>
        <v>0</v>
      </c>
    </row>
    <row r="283" spans="1:195" x14ac:dyDescent="0.25">
      <c r="A283">
        <f>_xlfn.AGGREGATE(3,5,$B$2:B283)</f>
        <v>282</v>
      </c>
      <c r="B283" t="s">
        <v>671</v>
      </c>
      <c r="C283" t="s">
        <v>672</v>
      </c>
      <c r="D283" t="s">
        <v>826</v>
      </c>
      <c r="E283" t="s">
        <v>833</v>
      </c>
      <c r="F283" t="s">
        <v>959</v>
      </c>
      <c r="G283" t="s">
        <v>926</v>
      </c>
      <c r="H283">
        <f>IF(_xlfn.DAYS("31-03-2025",G283)&gt;=180,6800,0)</f>
        <v>6800</v>
      </c>
      <c r="I283">
        <f>_xlfn.XLOOKUP(B283,'[1]march-2025'!$A:$A,'[1]march-2025'!$J:$J,0,0)</f>
        <v>0</v>
      </c>
      <c r="J283">
        <f>_xlfn.XLOOKUP(B283,'[1]march-2025'!$A:$A,'[1]march-2025'!$C:$C,0,0)</f>
        <v>33500</v>
      </c>
      <c r="K283">
        <f>J283*0.14</f>
        <v>4690</v>
      </c>
      <c r="L283">
        <f>J283*0.12</f>
        <v>4020</v>
      </c>
      <c r="M283">
        <f>_xlfn.XLOOKUP(B283,'[1]march-2025'!$A:$A,'[1]march-2025'!$D:$D,0,0)</f>
        <v>0</v>
      </c>
      <c r="N283">
        <f>_xlfn.XLOOKUP(B283,'[1]march-2025'!$A:$A,'[1]march-2025'!$G:$G,0,0)</f>
        <v>0</v>
      </c>
      <c r="O283">
        <f>IF(J283&gt;0,SUM(J283:N283),0)</f>
        <v>42210</v>
      </c>
      <c r="P283">
        <f>_xlfn.XLOOKUP(B283,'[1]march-2025'!$A:$A,'[1]march-2025'!$H:$H,0,0)</f>
        <v>5000</v>
      </c>
      <c r="Q283">
        <f>_xlfn.XLOOKUP(B283,'[1]march-2025'!$A:$A,'[1]march-2025'!$I:$I,0,0)</f>
        <v>0</v>
      </c>
      <c r="R283">
        <f>IF($F283="YES",0,IF(O283&gt;40000,200,IF(O283&gt;25000,150,IF(O283&gt;15000,130,IF(O283&gt;10000,110,0)))))</f>
        <v>200</v>
      </c>
      <c r="S283">
        <f>O283-P283-Q283-R283</f>
        <v>37010</v>
      </c>
      <c r="T283">
        <f>_xlfn.XLOOKUP(B283,'[2]april-2025'!$A:$A,'[2]april-2025'!$C:$C,0,0)</f>
        <v>33500</v>
      </c>
      <c r="U283">
        <f>T283*0.18</f>
        <v>6030</v>
      </c>
      <c r="V283">
        <f>T283*0.12</f>
        <v>4020</v>
      </c>
      <c r="W283">
        <f>_xlfn.XLOOKUP(B283,'[2]april-2025'!$A:$A,'[2]april-2025'!$D:$D,0,0)</f>
        <v>0</v>
      </c>
      <c r="X283">
        <f>_xlfn.XLOOKUP(B283,'[2]april-2025'!$A:$A,'[2]april-2025'!$G:$G,0,0)</f>
        <v>0</v>
      </c>
      <c r="Y283">
        <f>IF(T283&gt;0,SUM(T283:X283),0)</f>
        <v>43550</v>
      </c>
      <c r="Z283">
        <f>_xlfn.XLOOKUP(B283,'[2]april-2025'!$A:$A,'[2]april-2025'!$H:$H,0,0)</f>
        <v>5000</v>
      </c>
      <c r="AA283">
        <f>_xlfn.XLOOKUP(B283,'[2]april-2025'!$A:$A,'[2]april-2025'!$I:$I,0,0)</f>
        <v>0</v>
      </c>
      <c r="AB283">
        <f>IF($F283="YES",0,IF(Y283&gt;40000,200,IF(Y283&gt;25000,150,IF(Y283&gt;15000,130,IF(Y283&gt;10000,110,0)))))</f>
        <v>200</v>
      </c>
      <c r="AC283">
        <f>Y283-Z283-AA283-AB283</f>
        <v>38350</v>
      </c>
      <c r="AD283">
        <f>_xlfn.XLOOKUP(B283,'[3]may-2025'!$A:$A,'[3]may-2025'!$C:$C,0,0)</f>
        <v>33500</v>
      </c>
      <c r="AE283">
        <f>AD283*0.18</f>
        <v>6030</v>
      </c>
      <c r="AF283">
        <f>AD283*0.12</f>
        <v>4020</v>
      </c>
      <c r="AG283">
        <f>_xlfn.XLOOKUP(B283,'[3]may-2025'!$A:$A,'[3]may-2025'!$D:$D,0,0)</f>
        <v>0</v>
      </c>
      <c r="AH283">
        <f>_xlfn.XLOOKUP(B283,'[3]may-2025'!$A:$A,'[3]may-2025'!$G:$G,0,0)</f>
        <v>0</v>
      </c>
      <c r="AI283">
        <f>IF(AD283&gt;0,SUM(AD283:AH283),0)</f>
        <v>43550</v>
      </c>
      <c r="AJ283">
        <f>_xlfn.XLOOKUP(B283,'[3]may-2025'!$A:$A,'[3]may-2025'!$H:$H,0,0)</f>
        <v>5000</v>
      </c>
      <c r="AK283">
        <f>_xlfn.XLOOKUP(B283,'[3]may-2025'!$A:$A,'[3]may-2025'!$I:$I,0,0)</f>
        <v>0</v>
      </c>
      <c r="AL283">
        <f>IF($F283="YES",0,IF(AI283&gt;40000,200,IF(AI283&gt;25000,150,IF(AI283&gt;15000,130,IF(AI283&gt;10000,110,0)))))</f>
        <v>200</v>
      </c>
      <c r="AM283">
        <f>AI283-AJ283-AK283-AL283</f>
        <v>38350</v>
      </c>
      <c r="AN283">
        <f>_xlfn.XLOOKUP(B283,'[4]june-2025'!$A:$A,'[4]june-2025'!$C:$C,0,0)</f>
        <v>33500</v>
      </c>
      <c r="AO283">
        <f>AN283*0.18</f>
        <v>6030</v>
      </c>
      <c r="AP283">
        <f>AN283*0.12</f>
        <v>4020</v>
      </c>
      <c r="AQ283">
        <f>_xlfn.XLOOKUP(B283,'[4]june-2025'!$A:$A,'[4]june-2025'!$D:$D,0,0)</f>
        <v>0</v>
      </c>
      <c r="AR283">
        <f>_xlfn.XLOOKUP(B283,'[4]june-2025'!$A:$A,'[4]june-2025'!$G:$G,0,0)</f>
        <v>0</v>
      </c>
      <c r="AS283">
        <f>IF(AN283&gt;0,SUM(AN283:AR283),0)</f>
        <v>43550</v>
      </c>
      <c r="AT283">
        <f>_xlfn.XLOOKUP(B283,'[4]june-2025'!$A:$A,'[4]june-2025'!$H:$H,0,0)</f>
        <v>5000</v>
      </c>
      <c r="AU283">
        <f>_xlfn.XLOOKUP(B283,'[4]june-2025'!$A:$A,'[4]june-2025'!$I:$I,0,0)</f>
        <v>0</v>
      </c>
      <c r="AV283">
        <f>IF($F283="YES",0,IF(AS283&gt;40000,200,IF(AS283&gt;25000,150,IF(AS283&gt;15000,130,IF(AS283&gt;10000,110,0)))))</f>
        <v>200</v>
      </c>
      <c r="AW283">
        <f>AS283-AT283-AU283-AV283</f>
        <v>38350</v>
      </c>
      <c r="AX283">
        <f>_xlfn.XLOOKUP(B283,'[5]july-2025'!$A:$A,'[5]july-2025'!$C:$C,0,0)</f>
        <v>34500</v>
      </c>
      <c r="AY283">
        <f>AX283*0.18</f>
        <v>6210</v>
      </c>
      <c r="AZ283">
        <v>0</v>
      </c>
      <c r="BA283">
        <f>AX283*0.12</f>
        <v>4140</v>
      </c>
      <c r="BB283">
        <f>_xlfn.XLOOKUP(B283,'[5]july-2025'!$A:$A,'[5]july-2025'!$D:$D,0,0)</f>
        <v>0</v>
      </c>
      <c r="BC283">
        <f>_xlfn.XLOOKUP(B283,'[5]july-2025'!$A:$A,'[5]july-2025'!$G:$G,0,0)</f>
        <v>0</v>
      </c>
      <c r="BD283">
        <f>IF(AX283&gt;0,SUM(AX283:BC283),0)</f>
        <v>44850</v>
      </c>
      <c r="BE283">
        <f>_xlfn.XLOOKUP(B283,'[5]july-2025'!$A:$A,'[5]july-2025'!$H:$H,0,0)</f>
        <v>5000</v>
      </c>
      <c r="BF283">
        <f>_xlfn.XLOOKUP(B283,'[5]july-2025'!$A:$A,'[5]july-2025'!$I:$I,0,0)</f>
        <v>0</v>
      </c>
      <c r="BG283">
        <f>IF($F283="YES",0,IF(BD283&gt;40000,200,IF(BD283&gt;25000,150,IF(BD283&gt;15000,130,IF(BD283&gt;10000,110,0)))))</f>
        <v>200</v>
      </c>
      <c r="BH283">
        <f>BD283-BE283-BF283-BG283</f>
        <v>39650</v>
      </c>
      <c r="BI283">
        <f>_xlfn.XLOOKUP(B283,'[6]august-2025'!$A:$A,'[6]august-2025'!$C:$C,0,0)</f>
        <v>34500</v>
      </c>
      <c r="BJ283">
        <f>BI283*0.18</f>
        <v>6210</v>
      </c>
      <c r="BK283">
        <f>BI283*0.12</f>
        <v>4140</v>
      </c>
      <c r="BL283">
        <f>_xlfn.XLOOKUP(B283,'[6]august-2025'!$A:$A,'[6]august-2025'!$D:$D,0,0)</f>
        <v>0</v>
      </c>
      <c r="BM283">
        <f>_xlfn.XLOOKUP(B283,'[6]august-2025'!$A:$A,'[6]august-2025'!$G:$G,0,0)</f>
        <v>0</v>
      </c>
      <c r="BN283">
        <f>IF(BI283&gt;0,SUM(BI283:BM283),0)</f>
        <v>44850</v>
      </c>
      <c r="BO283">
        <f>_xlfn.XLOOKUP(B283,'[6]august-2025'!$A:$A,'[6]august-2025'!$H:$H,0,0)</f>
        <v>5000</v>
      </c>
      <c r="BP283">
        <f>_xlfn.XLOOKUP(B283,'[6]august-2025'!$A:$A,'[6]august-2025'!$I:$I,0,0)</f>
        <v>0</v>
      </c>
      <c r="BQ283">
        <f>IF($F283="YES",0,IF(BN283&gt;40000,200,IF(BN283&gt;25000,150,IF(BN283&gt;15000,130,IF(BN283&gt;10000,110,0)))))</f>
        <v>200</v>
      </c>
      <c r="BR283">
        <f>BN283-BO283-BP283-BQ283</f>
        <v>39650</v>
      </c>
      <c r="BS283">
        <f>_xlfn.XLOOKUP(B283,'[7]september-2025'!$A:$A,'[7]september-2025'!$C:$C,0,0)</f>
        <v>34500</v>
      </c>
      <c r="BT283">
        <f>BS283*0.18</f>
        <v>6210</v>
      </c>
      <c r="BU283">
        <f>BS283*0.12</f>
        <v>4140</v>
      </c>
      <c r="BV283">
        <f>_xlfn.XLOOKUP(B283,'[7]september-2025'!$A:$A,'[7]september-2025'!$D:$D,0,0)</f>
        <v>0</v>
      </c>
      <c r="BW283">
        <f>_xlfn.XLOOKUP(B283,'[7]september-2025'!$A:$A,'[7]september-2025'!$G:$G,0,0)</f>
        <v>0</v>
      </c>
      <c r="BX283">
        <f>IF(BS283&gt;0,SUM(BS283:BW283),0)</f>
        <v>44850</v>
      </c>
      <c r="BY283">
        <f>_xlfn.XLOOKUP(B283,'[7]september-2025'!$A:$A,'[7]september-2025'!$H:$H,0,0)</f>
        <v>5000</v>
      </c>
      <c r="BZ283">
        <f>_xlfn.XLOOKUP(B283,'[7]september-2025'!$A:$A,'[7]september-2025'!$I:$I,0,0)</f>
        <v>0</v>
      </c>
      <c r="CA283">
        <f>IF($F283="YES",0,IF(BX283&gt;40000,200,IF(BX283&gt;25000,150,IF(BX283&gt;15000,130,IF(BX283&gt;10000,110,0)))))</f>
        <v>200</v>
      </c>
      <c r="CB283">
        <f>BX283-BY283-BZ283-CA283</f>
        <v>39650</v>
      </c>
      <c r="CC283">
        <f>_xlfn.XLOOKUP(B283,'[8]october-2025'!$A:$A,'[8]october-2025'!$C:$C,0,0)</f>
        <v>34500</v>
      </c>
      <c r="CD283">
        <f>CC283*0.18</f>
        <v>6210</v>
      </c>
      <c r="CE283">
        <f>CC283*0.12</f>
        <v>4140</v>
      </c>
      <c r="CF283">
        <f>_xlfn.XLOOKUP(B283,'[8]october-2025'!$A:$A,'[8]october-2025'!$D:$D,0,0)</f>
        <v>0</v>
      </c>
      <c r="CG283">
        <f>_xlfn.XLOOKUP(B283,'[8]october-2025'!$A:$A,'[8]october-2025'!$G:$G,0,0)</f>
        <v>0</v>
      </c>
      <c r="CH283">
        <f>IF(CC283&gt;0,SUM(CC283:CG283),0)</f>
        <v>44850</v>
      </c>
      <c r="CI283">
        <f>_xlfn.XLOOKUP(B283,'[8]october-2025'!$A:$A,'[8]october-2025'!$H:$H,0,0)</f>
        <v>5000</v>
      </c>
      <c r="CJ283">
        <f>_xlfn.XLOOKUP(B283,'[8]october-2025'!$A:$A,'[8]october-2025'!$I:$I,0,0)</f>
        <v>0</v>
      </c>
      <c r="CK283">
        <f>IF($F283="YES",0,IF(CH283&gt;40000,200,IF(CH283&gt;25000,150,IF(CH283&gt;15000,130,IF(CH283&gt;10000,110,0)))))</f>
        <v>200</v>
      </c>
      <c r="CL283">
        <f>CH283-CI283-CJ283-CK283</f>
        <v>39650</v>
      </c>
      <c r="CM283">
        <f>_xlfn.XLOOKUP(B283,'[9]november-2025'!$A:$A,'[9]november-2025'!$C:$C,0,0)</f>
        <v>34500</v>
      </c>
      <c r="CN283">
        <f>CM283*0.18</f>
        <v>6210</v>
      </c>
      <c r="CO283">
        <f>CM283*0.12</f>
        <v>4140</v>
      </c>
      <c r="CP283">
        <f>_xlfn.XLOOKUP(B283,'[9]november-2025'!$A:$A,'[9]november-2025'!$D:$D,0,0)</f>
        <v>0</v>
      </c>
      <c r="CQ283">
        <f>_xlfn.XLOOKUP(B283,'[9]november-2025'!$A:$A,'[9]november-2025'!$G:$G,0,0)</f>
        <v>0</v>
      </c>
      <c r="CR283">
        <f>IF(CM283&gt;0,SUM(CM283:CQ283),0)</f>
        <v>44850</v>
      </c>
      <c r="CS283">
        <f>_xlfn.XLOOKUP(B283,'[9]november-2025'!$A:$A,'[9]november-2025'!$H:$H,0,0)</f>
        <v>5000</v>
      </c>
      <c r="CT283">
        <f>_xlfn.XLOOKUP(B283,'[9]november-2025'!$A:$A,'[9]november-2025'!$I:$I,0,0)</f>
        <v>0</v>
      </c>
      <c r="CU283">
        <f>IF($F283="YES",0,IF(CR283&gt;40000,200,IF(CR283&gt;25000,150,IF(CR283&gt;15000,130,IF(CR283&gt;10000,110,0)))))</f>
        <v>200</v>
      </c>
      <c r="CV283">
        <f>CR283-CS283-CT283-CU283</f>
        <v>39650</v>
      </c>
      <c r="CW283">
        <f>_xlfn.XLOOKUP(B283,'[10]december-2025'!$A:$A,'[10]december-2025'!$C:$C,0,0)</f>
        <v>34500</v>
      </c>
      <c r="CX283">
        <f>ROUND(CW283*0.18,0)</f>
        <v>6210</v>
      </c>
      <c r="CY283">
        <f>ROUND(CW283*0.12,0)</f>
        <v>4140</v>
      </c>
      <c r="CZ283">
        <f>_xlfn.XLOOKUP(B283,'[10]december-2025'!$A:$A,'[10]december-2025'!$D:$D,0,0)</f>
        <v>0</v>
      </c>
      <c r="DA283">
        <f>_xlfn.XLOOKUP(B283,'[10]december-2025'!$A:$A,'[10]december-2025'!$G:$G,0,0)</f>
        <v>0</v>
      </c>
      <c r="DB283">
        <f>IF(CW283&gt;0,SUM(CW283:DA283),0)</f>
        <v>44850</v>
      </c>
      <c r="DC283">
        <f>_xlfn.XLOOKUP(B283,'[10]december-2025'!$A:$A,'[10]december-2025'!$H:$H,0,0)</f>
        <v>5000</v>
      </c>
      <c r="DD283">
        <f>_xlfn.XLOOKUP(B283,'[10]december-2025'!$A:$A,'[10]december-2025'!$I:$I,0,0)</f>
        <v>0</v>
      </c>
      <c r="DE283">
        <f>IF($F283="YES",0,IF(DB283&gt;40000,200,IF(DB283&gt;25000,150,IF(DB283&gt;15000,130,IF(DB283&gt;10000,110,0)))))</f>
        <v>200</v>
      </c>
      <c r="DF283">
        <f>DB283-DC283-DD283-DE283</f>
        <v>39650</v>
      </c>
      <c r="DG283">
        <f>_xlfn.XLOOKUP(B283,'[11]january-2026'!$A:$A,'[11]january-2026'!$C:$C,0,0)</f>
        <v>34500</v>
      </c>
      <c r="DH283">
        <f>DG283*0.18</f>
        <v>6210</v>
      </c>
      <c r="DI283">
        <f>DG283*0.12</f>
        <v>4140</v>
      </c>
      <c r="DJ283">
        <f>_xlfn.XLOOKUP(B283,'[11]january-2026'!$A:$A,'[11]january-2026'!$D:$D,0,0)</f>
        <v>0</v>
      </c>
      <c r="DK283">
        <f>_xlfn.XLOOKUP(B283,'[11]january-2026'!$A:$A,'[11]january-2026'!$G:$G,0,0)</f>
        <v>0</v>
      </c>
      <c r="DL283">
        <f>IF(DG283&gt;0,SUM(DG283:DK283),0)</f>
        <v>44850</v>
      </c>
      <c r="DM283">
        <f>_xlfn.XLOOKUP(B283,'[11]january-2026'!$A:$A,'[11]january-2026'!$H:$H,0,0)</f>
        <v>5000</v>
      </c>
      <c r="DN283">
        <f>_xlfn.XLOOKUP(B283,'[11]january-2026'!$A:$A,'[11]january-2026'!$I:$I,0,0)</f>
        <v>0</v>
      </c>
      <c r="DO283">
        <f>IF($F283="YES",0,IF(DL283&gt;40000,200,IF(DL283&gt;25000,150,IF(DL283&gt;15000,130,IF(DL283&gt;10000,110,0)))))</f>
        <v>200</v>
      </c>
      <c r="DP283">
        <f>DL283-DM283-DN283-DO283</f>
        <v>39650</v>
      </c>
      <c r="DQ283">
        <f>_xlfn.XLOOKUP(B283,'[12]february-2026'!$A:$A,'[12]february-2026'!$C:$C,0,0)</f>
        <v>34500</v>
      </c>
      <c r="DR283">
        <f>DQ283*0.18</f>
        <v>6210</v>
      </c>
      <c r="DS283">
        <f>DQ283*0.12</f>
        <v>4140</v>
      </c>
      <c r="DT283">
        <f>_xlfn.XLOOKUP(B283,'[12]february-2026'!$A:$A,'[12]february-2026'!$D:$D,0,0)</f>
        <v>0</v>
      </c>
      <c r="DU283">
        <f>_xlfn.XLOOKUP(B283,'[12]february-2026'!$A:$A,'[12]february-2026'!$G:$G,0,0)</f>
        <v>0</v>
      </c>
      <c r="DV283">
        <f>IF(DQ283&gt;0,SUM(DQ283:DU283),0)</f>
        <v>44850</v>
      </c>
      <c r="DW283">
        <f>_xlfn.XLOOKUP(B283,'[12]february-2026'!$A:$A,'[12]february-2026'!$H:$H,0,0)</f>
        <v>5000</v>
      </c>
      <c r="DX283">
        <f>_xlfn.XLOOKUP(B283,'[12]february-2026'!$A:$A,'[12]february-2026'!$I:$I,0,0)</f>
        <v>0</v>
      </c>
      <c r="DY283">
        <f>IF($F283="YES",0,IF(DV283&gt;40000,200,IF(DV283&gt;25000,150,IF(DV283&gt;15000,130,IF(DV283&gt;10000,110,0)))))</f>
        <v>200</v>
      </c>
      <c r="DZ283">
        <f>DV283-DW283-DX283-DY283</f>
        <v>39650</v>
      </c>
      <c r="EA283">
        <f>DV283+DL283+DB283+CR283+CH283+BX283+BN283+BD283+AS283+AI283+Y283+O283+H283+I283</f>
        <v>538460</v>
      </c>
      <c r="EB283">
        <f>DY283+DO283+DE283+CU283+CK283+CA283+BQ283+BG283+AV283+AL283+AB283+R283</f>
        <v>2400</v>
      </c>
      <c r="EC283">
        <f>IF(EA283&gt;0,50000,0)</f>
        <v>50000</v>
      </c>
      <c r="ED283">
        <v>0</v>
      </c>
      <c r="EE283">
        <f>EA283-EB283-EC283</f>
        <v>486060</v>
      </c>
      <c r="EF283">
        <f>DW283+DM283+DC283+CS283+CI283+BY283+BO283+BE283+AT283+AJ283+Z283+P283</f>
        <v>60000</v>
      </c>
      <c r="EG283">
        <f>DX283+DN283+DD283+CT283+CJ283+BZ283+BP283+BF283+AU283+AK283+AA283+Q283</f>
        <v>0</v>
      </c>
      <c r="EH283">
        <v>0</v>
      </c>
      <c r="EI283">
        <v>0</v>
      </c>
      <c r="EJ283">
        <v>0</v>
      </c>
      <c r="EK283">
        <v>0</v>
      </c>
      <c r="EL283">
        <v>0</v>
      </c>
      <c r="EM283">
        <v>0</v>
      </c>
      <c r="EN283">
        <v>0</v>
      </c>
      <c r="EO283">
        <v>0</v>
      </c>
      <c r="EP283">
        <v>0</v>
      </c>
      <c r="EQ283">
        <v>0</v>
      </c>
      <c r="ER283">
        <f>SUM(EF283:EQ283)</f>
        <v>60000</v>
      </c>
      <c r="ES283">
        <f>IF(ER283&gt;=150000,150000,ER283)</f>
        <v>60000</v>
      </c>
      <c r="ET283">
        <f>EE283-ES283</f>
        <v>426060</v>
      </c>
      <c r="EU283">
        <v>0</v>
      </c>
      <c r="EV283">
        <v>0</v>
      </c>
      <c r="EW283">
        <v>0</v>
      </c>
      <c r="EX283">
        <v>0</v>
      </c>
      <c r="EY283">
        <v>0</v>
      </c>
      <c r="EZ283">
        <v>0</v>
      </c>
      <c r="FA283">
        <v>0</v>
      </c>
      <c r="FB283">
        <f>SUM(EU283:FA283)+(IF(F283="YES",50000,0))</f>
        <v>0</v>
      </c>
      <c r="FC283">
        <f>ET283-FB283</f>
        <v>426060</v>
      </c>
      <c r="FD283">
        <f>ROUND(IF(FC283&gt;0,IF(FC283&gt;500000,12500,(FC283-250000)*0.05),0),0)</f>
        <v>8803</v>
      </c>
      <c r="FE283">
        <f>IF(ROUND(IF(FC283&gt;0,IF(FC283&gt;1000000,25000,(FC283-500000)*0.2),0),0)&lt;0,0,ROUND(IF(FC283&gt;0,IF(FC283&gt;1000000,25000,(FC283-500000)*0.2),0),0))</f>
        <v>0</v>
      </c>
      <c r="FF283">
        <f>FD283+FE283</f>
        <v>8803</v>
      </c>
      <c r="FG283">
        <f>IF(FF283&lt;12500,0,FF283)</f>
        <v>0</v>
      </c>
      <c r="FH283">
        <f>FG283*0.04</f>
        <v>0</v>
      </c>
      <c r="FI283">
        <f>ROUND(FH283+FG283,0)</f>
        <v>0</v>
      </c>
      <c r="FJ283">
        <v>0</v>
      </c>
      <c r="FK283">
        <f>FI283-FJ283</f>
        <v>0</v>
      </c>
      <c r="FL283" t="b">
        <f>IF(EA283&gt;500000,TRUE,FALSE)</f>
        <v>1</v>
      </c>
      <c r="FM283">
        <f ca="1">IF(FL283,RANDBETWEEN(500,1000),RANDBETWEEN(1000,3000))</f>
        <v>778</v>
      </c>
      <c r="FN283">
        <f ca="1">EA283+FM283</f>
        <v>539238</v>
      </c>
      <c r="FO283">
        <f>IF(EA283&gt;0,75000,0)</f>
        <v>75000</v>
      </c>
      <c r="FP283">
        <f ca="1">FN283-FO283</f>
        <v>464238</v>
      </c>
      <c r="FQ283">
        <f ca="1">IF(FP283&gt;2400000,FP283-2400000,0)</f>
        <v>0</v>
      </c>
      <c r="FR283">
        <f ca="1">FQ283*0.3</f>
        <v>0</v>
      </c>
      <c r="FS283">
        <f ca="1">IF(FP283&gt;2000000,FP283-2000000,0)</f>
        <v>0</v>
      </c>
      <c r="FT283">
        <f ca="1">FS283*0.25</f>
        <v>0</v>
      </c>
      <c r="FU283">
        <f ca="1">IF(FP283&gt;1600000,FP283-1600000-FQ283,0)</f>
        <v>0</v>
      </c>
      <c r="FV283">
        <f ca="1">FU283*0.2</f>
        <v>0</v>
      </c>
      <c r="FW283">
        <f ca="1">IF(FP283&gt;1200000,FP283-1200000-IF(F283="YES",50000,0)-FU283,0)</f>
        <v>0</v>
      </c>
      <c r="FX283">
        <f ca="1">FW283*0.15</f>
        <v>0</v>
      </c>
      <c r="FY283">
        <f ca="1">IF(FP283&gt;800000,FP283-800000-FQ283-FU283-FW283,0)</f>
        <v>0</v>
      </c>
      <c r="FZ283">
        <f ca="1">FY283*0.1</f>
        <v>0</v>
      </c>
      <c r="GA283">
        <f ca="1">IF(FP283&gt;400000,FP283-400000-FQ283-FU283-FW283-FY283,0)</f>
        <v>64238</v>
      </c>
      <c r="GB283">
        <f ca="1">GA283*0.05</f>
        <v>3211.9</v>
      </c>
      <c r="GC283">
        <f ca="1">ROUND(FR283+FT283+FV283+FX283+FZ283+GB283,0)</f>
        <v>3212</v>
      </c>
      <c r="GD283">
        <f ca="1">IF(FP283&gt;1200000,FP283,0)</f>
        <v>0</v>
      </c>
      <c r="GE283">
        <f ca="1">IF(FP283&gt;1200000,GD283-1200000,0)</f>
        <v>0</v>
      </c>
      <c r="GF283">
        <f ca="1">IF(FP283&lt;1200001,MIN(GC283,60000),0)</f>
        <v>3212</v>
      </c>
      <c r="GG283">
        <f ca="1">IF(FP283&gt;1200000,GC283-GE283,0)</f>
        <v>0</v>
      </c>
      <c r="GH283" t="b">
        <f ca="1">IF(GG283&gt;0,TRUE,FALSE)</f>
        <v>0</v>
      </c>
      <c r="GI283">
        <f ca="1">IF(GH283,GG283,0)</f>
        <v>0</v>
      </c>
      <c r="GJ283">
        <f ca="1">GF283+GI283</f>
        <v>3212</v>
      </c>
      <c r="GK283">
        <f ca="1">ROUND(GC283-GJ283,0)</f>
        <v>0</v>
      </c>
      <c r="GL283">
        <f ca="1">GK283*0.04</f>
        <v>0</v>
      </c>
      <c r="GM283">
        <f ca="1">ROUNDUP(GK283+GL283,0)</f>
        <v>0</v>
      </c>
    </row>
    <row r="284" spans="1:195" x14ac:dyDescent="0.25">
      <c r="A284">
        <f>_xlfn.AGGREGATE(3,5,$B$2:B284)</f>
        <v>283</v>
      </c>
      <c r="B284" t="s">
        <v>673</v>
      </c>
      <c r="C284" t="s">
        <v>674</v>
      </c>
      <c r="D284" t="s">
        <v>826</v>
      </c>
      <c r="E284" t="s">
        <v>833</v>
      </c>
      <c r="F284" t="s">
        <v>959</v>
      </c>
      <c r="G284" t="s">
        <v>885</v>
      </c>
      <c r="H284">
        <f>IF(_xlfn.DAYS("31-03-2025",G284)&gt;=180,6800,0)</f>
        <v>6800</v>
      </c>
      <c r="I284">
        <f>_xlfn.XLOOKUP(B284,'[1]march-2025'!$A:$A,'[1]march-2025'!$J:$J,0,0)</f>
        <v>0</v>
      </c>
      <c r="J284">
        <f>_xlfn.XLOOKUP(B284,'[1]march-2025'!$A:$A,'[1]march-2025'!$C:$C,0,0)</f>
        <v>28900</v>
      </c>
      <c r="K284">
        <f>J284*0.14</f>
        <v>4046.0000000000005</v>
      </c>
      <c r="L284">
        <f>J284*0.12</f>
        <v>3468</v>
      </c>
      <c r="M284">
        <f>_xlfn.XLOOKUP(B284,'[1]march-2025'!$A:$A,'[1]march-2025'!$D:$D,0,0)</f>
        <v>0</v>
      </c>
      <c r="N284">
        <f>_xlfn.XLOOKUP(B284,'[1]march-2025'!$A:$A,'[1]march-2025'!$G:$G,0,0)</f>
        <v>0</v>
      </c>
      <c r="O284">
        <f>IF(J284&gt;0,SUM(J284:N284),0)</f>
        <v>36414</v>
      </c>
      <c r="P284">
        <f>_xlfn.XLOOKUP(B284,'[1]march-2025'!$A:$A,'[1]march-2025'!$H:$H,0,0)</f>
        <v>0</v>
      </c>
      <c r="Q284">
        <f>_xlfn.XLOOKUP(B284,'[1]march-2025'!$A:$A,'[1]march-2025'!$I:$I,0,0)</f>
        <v>0</v>
      </c>
      <c r="R284">
        <f>IF($F284="YES",0,IF(O284&gt;40000,200,IF(O284&gt;25000,150,IF(O284&gt;15000,130,IF(O284&gt;10000,110,0)))))</f>
        <v>150</v>
      </c>
      <c r="S284">
        <f>O284-P284-Q284-R284</f>
        <v>36264</v>
      </c>
      <c r="T284">
        <f>_xlfn.XLOOKUP(B284,'[2]april-2025'!$A:$A,'[2]april-2025'!$C:$C,0,0)</f>
        <v>28900</v>
      </c>
      <c r="U284">
        <f>T284*0.18</f>
        <v>5202</v>
      </c>
      <c r="V284">
        <f>T284*0.12</f>
        <v>3468</v>
      </c>
      <c r="W284">
        <f>_xlfn.XLOOKUP(B284,'[2]april-2025'!$A:$A,'[2]april-2025'!$D:$D,0,0)</f>
        <v>0</v>
      </c>
      <c r="X284">
        <f>_xlfn.XLOOKUP(B284,'[2]april-2025'!$A:$A,'[2]april-2025'!$G:$G,0,0)</f>
        <v>0</v>
      </c>
      <c r="Y284">
        <f>IF(T284&gt;0,SUM(T284:X284),0)</f>
        <v>37570</v>
      </c>
      <c r="Z284">
        <f>_xlfn.XLOOKUP(B284,'[2]april-2025'!$A:$A,'[2]april-2025'!$H:$H,0,0)</f>
        <v>0</v>
      </c>
      <c r="AA284">
        <f>_xlfn.XLOOKUP(B284,'[2]april-2025'!$A:$A,'[2]april-2025'!$I:$I,0,0)</f>
        <v>0</v>
      </c>
      <c r="AB284">
        <f>IF($F284="YES",0,IF(Y284&gt;40000,200,IF(Y284&gt;25000,150,IF(Y284&gt;15000,130,IF(Y284&gt;10000,110,0)))))</f>
        <v>150</v>
      </c>
      <c r="AC284">
        <f>Y284-Z284-AA284-AB284</f>
        <v>37420</v>
      </c>
      <c r="AD284">
        <f>_xlfn.XLOOKUP(B284,'[3]may-2025'!$A:$A,'[3]may-2025'!$C:$C,0,0)</f>
        <v>28900</v>
      </c>
      <c r="AE284">
        <f>AD284*0.18</f>
        <v>5202</v>
      </c>
      <c r="AF284">
        <f>AD284*0.12</f>
        <v>3468</v>
      </c>
      <c r="AG284">
        <f>_xlfn.XLOOKUP(B284,'[3]may-2025'!$A:$A,'[3]may-2025'!$D:$D,0,0)</f>
        <v>0</v>
      </c>
      <c r="AH284">
        <f>_xlfn.XLOOKUP(B284,'[3]may-2025'!$A:$A,'[3]may-2025'!$G:$G,0,0)</f>
        <v>0</v>
      </c>
      <c r="AI284">
        <f>IF(AD284&gt;0,SUM(AD284:AH284),0)</f>
        <v>37570</v>
      </c>
      <c r="AJ284">
        <f>_xlfn.XLOOKUP(B284,'[3]may-2025'!$A:$A,'[3]may-2025'!$H:$H,0,0)</f>
        <v>0</v>
      </c>
      <c r="AK284">
        <f>_xlfn.XLOOKUP(B284,'[3]may-2025'!$A:$A,'[3]may-2025'!$I:$I,0,0)</f>
        <v>0</v>
      </c>
      <c r="AL284">
        <f>IF($F284="YES",0,IF(AI284&gt;40000,200,IF(AI284&gt;25000,150,IF(AI284&gt;15000,130,IF(AI284&gt;10000,110,0)))))</f>
        <v>150</v>
      </c>
      <c r="AM284">
        <f>AI284-AJ284-AK284-AL284</f>
        <v>37420</v>
      </c>
      <c r="AN284">
        <f>_xlfn.XLOOKUP(B284,'[4]june-2025'!$A:$A,'[4]june-2025'!$C:$C,0,0)</f>
        <v>28900</v>
      </c>
      <c r="AO284">
        <f>AN284*0.18</f>
        <v>5202</v>
      </c>
      <c r="AP284">
        <f>AN284*0.12</f>
        <v>3468</v>
      </c>
      <c r="AQ284">
        <f>_xlfn.XLOOKUP(B284,'[4]june-2025'!$A:$A,'[4]june-2025'!$D:$D,0,0)</f>
        <v>0</v>
      </c>
      <c r="AR284">
        <f>_xlfn.XLOOKUP(B284,'[4]june-2025'!$A:$A,'[4]june-2025'!$G:$G,0,0)</f>
        <v>0</v>
      </c>
      <c r="AS284">
        <f>IF(AN284&gt;0,SUM(AN284:AR284),0)</f>
        <v>37570</v>
      </c>
      <c r="AT284">
        <f>_xlfn.XLOOKUP(B284,'[4]june-2025'!$A:$A,'[4]june-2025'!$H:$H,0,0)</f>
        <v>0</v>
      </c>
      <c r="AU284">
        <f>_xlfn.XLOOKUP(B284,'[4]june-2025'!$A:$A,'[4]june-2025'!$I:$I,0,0)</f>
        <v>0</v>
      </c>
      <c r="AV284">
        <f>IF($F284="YES",0,IF(AS284&gt;40000,200,IF(AS284&gt;25000,150,IF(AS284&gt;15000,130,IF(AS284&gt;10000,110,0)))))</f>
        <v>150</v>
      </c>
      <c r="AW284">
        <f>AS284-AT284-AU284-AV284</f>
        <v>37420</v>
      </c>
      <c r="AX284">
        <f>_xlfn.XLOOKUP(B284,'[5]july-2025'!$A:$A,'[5]july-2025'!$C:$C,0,0)</f>
        <v>29800</v>
      </c>
      <c r="AY284">
        <f>AX284*0.18</f>
        <v>5364</v>
      </c>
      <c r="AZ284">
        <v>0</v>
      </c>
      <c r="BA284">
        <f>AX284*0.12</f>
        <v>3576</v>
      </c>
      <c r="BB284">
        <f>_xlfn.XLOOKUP(B284,'[5]july-2025'!$A:$A,'[5]july-2025'!$D:$D,0,0)</f>
        <v>0</v>
      </c>
      <c r="BC284">
        <f>_xlfn.XLOOKUP(B284,'[5]july-2025'!$A:$A,'[5]july-2025'!$G:$G,0,0)</f>
        <v>0</v>
      </c>
      <c r="BD284">
        <f>IF(AX284&gt;0,SUM(AX284:BC284),0)</f>
        <v>38740</v>
      </c>
      <c r="BE284">
        <f>_xlfn.XLOOKUP(B284,'[5]july-2025'!$A:$A,'[5]july-2025'!$H:$H,0,0)</f>
        <v>0</v>
      </c>
      <c r="BF284">
        <f>_xlfn.XLOOKUP(B284,'[5]july-2025'!$A:$A,'[5]july-2025'!$I:$I,0,0)</f>
        <v>0</v>
      </c>
      <c r="BG284">
        <f>IF($F284="YES",0,IF(BD284&gt;40000,200,IF(BD284&gt;25000,150,IF(BD284&gt;15000,130,IF(BD284&gt;10000,110,0)))))</f>
        <v>150</v>
      </c>
      <c r="BH284">
        <f>BD284-BE284-BF284-BG284</f>
        <v>38590</v>
      </c>
      <c r="BI284">
        <f>_xlfn.XLOOKUP(B284,'[6]august-2025'!$A:$A,'[6]august-2025'!$C:$C,0,0)</f>
        <v>29800</v>
      </c>
      <c r="BJ284">
        <f>BI284*0.18</f>
        <v>5364</v>
      </c>
      <c r="BK284">
        <f>BI284*0.12</f>
        <v>3576</v>
      </c>
      <c r="BL284">
        <f>_xlfn.XLOOKUP(B284,'[6]august-2025'!$A:$A,'[6]august-2025'!$D:$D,0,0)</f>
        <v>0</v>
      </c>
      <c r="BM284">
        <f>_xlfn.XLOOKUP(B284,'[6]august-2025'!$A:$A,'[6]august-2025'!$G:$G,0,0)</f>
        <v>0</v>
      </c>
      <c r="BN284">
        <f>IF(BI284&gt;0,SUM(BI284:BM284),0)</f>
        <v>38740</v>
      </c>
      <c r="BO284">
        <f>_xlfn.XLOOKUP(B284,'[6]august-2025'!$A:$A,'[6]august-2025'!$H:$H,0,0)</f>
        <v>0</v>
      </c>
      <c r="BP284">
        <f>_xlfn.XLOOKUP(B284,'[6]august-2025'!$A:$A,'[6]august-2025'!$I:$I,0,0)</f>
        <v>0</v>
      </c>
      <c r="BQ284">
        <f>IF($F284="YES",0,IF(BN284&gt;40000,200,IF(BN284&gt;25000,150,IF(BN284&gt;15000,130,IF(BN284&gt;10000,110,0)))))</f>
        <v>150</v>
      </c>
      <c r="BR284">
        <f>BN284-BO284-BP284-BQ284</f>
        <v>38590</v>
      </c>
      <c r="BS284">
        <f>_xlfn.XLOOKUP(B284,'[7]september-2025'!$A:$A,'[7]september-2025'!$C:$C,0,0)</f>
        <v>29800</v>
      </c>
      <c r="BT284">
        <f>BS284*0.18</f>
        <v>5364</v>
      </c>
      <c r="BU284">
        <f>BS284*0.12</f>
        <v>3576</v>
      </c>
      <c r="BV284">
        <f>_xlfn.XLOOKUP(B284,'[7]september-2025'!$A:$A,'[7]september-2025'!$D:$D,0,0)</f>
        <v>0</v>
      </c>
      <c r="BW284">
        <f>_xlfn.XLOOKUP(B284,'[7]september-2025'!$A:$A,'[7]september-2025'!$G:$G,0,0)</f>
        <v>0</v>
      </c>
      <c r="BX284">
        <f>IF(BS284&gt;0,SUM(BS284:BW284),0)</f>
        <v>38740</v>
      </c>
      <c r="BY284">
        <f>_xlfn.XLOOKUP(B284,'[7]september-2025'!$A:$A,'[7]september-2025'!$H:$H,0,0)</f>
        <v>2000</v>
      </c>
      <c r="BZ284">
        <f>_xlfn.XLOOKUP(B284,'[7]september-2025'!$A:$A,'[7]september-2025'!$I:$I,0,0)</f>
        <v>0</v>
      </c>
      <c r="CA284">
        <f>IF($F284="YES",0,IF(BX284&gt;40000,200,IF(BX284&gt;25000,150,IF(BX284&gt;15000,130,IF(BX284&gt;10000,110,0)))))</f>
        <v>150</v>
      </c>
      <c r="CB284">
        <f>BX284-BY284-BZ284-CA284</f>
        <v>36590</v>
      </c>
      <c r="CC284">
        <f>_xlfn.XLOOKUP(B284,'[8]october-2025'!$A:$A,'[8]october-2025'!$C:$C,0,0)</f>
        <v>29800</v>
      </c>
      <c r="CD284">
        <f>CC284*0.18</f>
        <v>5364</v>
      </c>
      <c r="CE284">
        <f>CC284*0.12</f>
        <v>3576</v>
      </c>
      <c r="CF284">
        <f>_xlfn.XLOOKUP(B284,'[8]october-2025'!$A:$A,'[8]october-2025'!$D:$D,0,0)</f>
        <v>0</v>
      </c>
      <c r="CG284">
        <f>_xlfn.XLOOKUP(B284,'[8]october-2025'!$A:$A,'[8]october-2025'!$G:$G,0,0)</f>
        <v>0</v>
      </c>
      <c r="CH284">
        <f>IF(CC284&gt;0,SUM(CC284:CG284),0)</f>
        <v>38740</v>
      </c>
      <c r="CI284">
        <f>_xlfn.XLOOKUP(B284,'[8]october-2025'!$A:$A,'[8]october-2025'!$H:$H,0,0)</f>
        <v>2000</v>
      </c>
      <c r="CJ284">
        <f>_xlfn.XLOOKUP(B284,'[8]october-2025'!$A:$A,'[8]october-2025'!$I:$I,0,0)</f>
        <v>0</v>
      </c>
      <c r="CK284">
        <f>IF($F284="YES",0,IF(CH284&gt;40000,200,IF(CH284&gt;25000,150,IF(CH284&gt;15000,130,IF(CH284&gt;10000,110,0)))))</f>
        <v>150</v>
      </c>
      <c r="CL284">
        <f>CH284-CI284-CJ284-CK284</f>
        <v>36590</v>
      </c>
      <c r="CM284">
        <f>_xlfn.XLOOKUP(B284,'[9]november-2025'!$A:$A,'[9]november-2025'!$C:$C,0,0)</f>
        <v>29800</v>
      </c>
      <c r="CN284">
        <f>CM284*0.18</f>
        <v>5364</v>
      </c>
      <c r="CO284">
        <f>CM284*0.12</f>
        <v>3576</v>
      </c>
      <c r="CP284">
        <f>_xlfn.XLOOKUP(B284,'[9]november-2025'!$A:$A,'[9]november-2025'!$D:$D,0,0)</f>
        <v>0</v>
      </c>
      <c r="CQ284">
        <f>_xlfn.XLOOKUP(B284,'[9]november-2025'!$A:$A,'[9]november-2025'!$G:$G,0,0)</f>
        <v>0</v>
      </c>
      <c r="CR284">
        <f>IF(CM284&gt;0,SUM(CM284:CQ284),0)</f>
        <v>38740</v>
      </c>
      <c r="CS284">
        <f>_xlfn.XLOOKUP(B284,'[9]november-2025'!$A:$A,'[9]november-2025'!$H:$H,0,0)</f>
        <v>2000</v>
      </c>
      <c r="CT284">
        <f>_xlfn.XLOOKUP(B284,'[9]november-2025'!$A:$A,'[9]november-2025'!$I:$I,0,0)</f>
        <v>0</v>
      </c>
      <c r="CU284">
        <f>IF($F284="YES",0,IF(CR284&gt;40000,200,IF(CR284&gt;25000,150,IF(CR284&gt;15000,130,IF(CR284&gt;10000,110,0)))))</f>
        <v>150</v>
      </c>
      <c r="CV284">
        <f>CR284-CS284-CT284-CU284</f>
        <v>36590</v>
      </c>
      <c r="CW284">
        <f>_xlfn.XLOOKUP(B284,'[10]december-2025'!$A:$A,'[10]december-2025'!$C:$C,0,0)</f>
        <v>29800</v>
      </c>
      <c r="CX284">
        <f>ROUND(CW284*0.18,0)</f>
        <v>5364</v>
      </c>
      <c r="CY284">
        <f>ROUND(CW284*0.12,0)</f>
        <v>3576</v>
      </c>
      <c r="CZ284">
        <f>_xlfn.XLOOKUP(B284,'[10]december-2025'!$A:$A,'[10]december-2025'!$D:$D,0,0)</f>
        <v>0</v>
      </c>
      <c r="DA284">
        <f>_xlfn.XLOOKUP(B284,'[10]december-2025'!$A:$A,'[10]december-2025'!$G:$G,0,0)</f>
        <v>0</v>
      </c>
      <c r="DB284">
        <f>IF(CW284&gt;0,SUM(CW284:DA284),0)</f>
        <v>38740</v>
      </c>
      <c r="DC284">
        <f>_xlfn.XLOOKUP(B284,'[10]december-2025'!$A:$A,'[10]december-2025'!$H:$H,0,0)</f>
        <v>2000</v>
      </c>
      <c r="DD284">
        <f>_xlfn.XLOOKUP(B284,'[10]december-2025'!$A:$A,'[10]december-2025'!$I:$I,0,0)</f>
        <v>0</v>
      </c>
      <c r="DE284">
        <f>IF($F284="YES",0,IF(DB284&gt;40000,200,IF(DB284&gt;25000,150,IF(DB284&gt;15000,130,IF(DB284&gt;10000,110,0)))))</f>
        <v>150</v>
      </c>
      <c r="DF284">
        <f>DB284-DC284-DD284-DE284</f>
        <v>36590</v>
      </c>
      <c r="DG284">
        <f>_xlfn.XLOOKUP(B284,'[11]january-2026'!$A:$A,'[11]january-2026'!$C:$C,0,0)</f>
        <v>29800</v>
      </c>
      <c r="DH284">
        <f>DG284*0.18</f>
        <v>5364</v>
      </c>
      <c r="DI284">
        <f>DG284*0.12</f>
        <v>3576</v>
      </c>
      <c r="DJ284">
        <f>_xlfn.XLOOKUP(B284,'[11]january-2026'!$A:$A,'[11]january-2026'!$D:$D,0,0)</f>
        <v>0</v>
      </c>
      <c r="DK284">
        <f>_xlfn.XLOOKUP(B284,'[11]january-2026'!$A:$A,'[11]january-2026'!$G:$G,0,0)</f>
        <v>0</v>
      </c>
      <c r="DL284">
        <f>IF(DG284&gt;0,SUM(DG284:DK284),0)</f>
        <v>38740</v>
      </c>
      <c r="DM284">
        <f>_xlfn.XLOOKUP(B284,'[11]january-2026'!$A:$A,'[11]january-2026'!$H:$H,0,0)</f>
        <v>2000</v>
      </c>
      <c r="DN284">
        <f>_xlfn.XLOOKUP(B284,'[11]january-2026'!$A:$A,'[11]january-2026'!$I:$I,0,0)</f>
        <v>0</v>
      </c>
      <c r="DO284">
        <f>IF($F284="YES",0,IF(DL284&gt;40000,200,IF(DL284&gt;25000,150,IF(DL284&gt;15000,130,IF(DL284&gt;10000,110,0)))))</f>
        <v>150</v>
      </c>
      <c r="DP284">
        <f>DL284-DM284-DN284-DO284</f>
        <v>36590</v>
      </c>
      <c r="DQ284">
        <f>_xlfn.XLOOKUP(B284,'[12]february-2026'!$A:$A,'[12]february-2026'!$C:$C,0,0)</f>
        <v>29800</v>
      </c>
      <c r="DR284">
        <f>DQ284*0.18</f>
        <v>5364</v>
      </c>
      <c r="DS284">
        <f>DQ284*0.12</f>
        <v>3576</v>
      </c>
      <c r="DT284">
        <f>_xlfn.XLOOKUP(B284,'[12]february-2026'!$A:$A,'[12]february-2026'!$D:$D,0,0)</f>
        <v>0</v>
      </c>
      <c r="DU284">
        <f>_xlfn.XLOOKUP(B284,'[12]february-2026'!$A:$A,'[12]february-2026'!$G:$G,0,0)</f>
        <v>0</v>
      </c>
      <c r="DV284">
        <f>IF(DQ284&gt;0,SUM(DQ284:DU284),0)</f>
        <v>38740</v>
      </c>
      <c r="DW284">
        <f>_xlfn.XLOOKUP(B284,'[12]february-2026'!$A:$A,'[12]february-2026'!$H:$H,0,0)</f>
        <v>2000</v>
      </c>
      <c r="DX284">
        <f>_xlfn.XLOOKUP(B284,'[12]february-2026'!$A:$A,'[12]february-2026'!$I:$I,0,0)</f>
        <v>0</v>
      </c>
      <c r="DY284">
        <f>IF($F284="YES",0,IF(DV284&gt;40000,200,IF(DV284&gt;25000,150,IF(DV284&gt;15000,130,IF(DV284&gt;10000,110,0)))))</f>
        <v>150</v>
      </c>
      <c r="DZ284">
        <f>DV284-DW284-DX284-DY284</f>
        <v>36590</v>
      </c>
      <c r="EA284">
        <f>DV284+DL284+DB284+CR284+CH284+BX284+BN284+BD284+AS284+AI284+Y284+O284+H284+I284</f>
        <v>465844</v>
      </c>
      <c r="EB284">
        <f>DY284+DO284+DE284+CU284+CK284+CA284+BQ284+BG284+AV284+AL284+AB284+R284</f>
        <v>1800</v>
      </c>
      <c r="EC284">
        <f>IF(EA284&gt;0,50000,0)</f>
        <v>50000</v>
      </c>
      <c r="ED284">
        <v>0</v>
      </c>
      <c r="EE284">
        <f>EA284-EB284-EC284</f>
        <v>414044</v>
      </c>
      <c r="EF284">
        <f>DW284+DM284+DC284+CS284+CI284+BY284+BO284+BE284+AT284+AJ284+Z284+P284</f>
        <v>12000</v>
      </c>
      <c r="EG284">
        <f>DX284+DN284+DD284+CT284+CJ284+BZ284+BP284+BF284+AU284+AK284+AA284+Q284</f>
        <v>0</v>
      </c>
      <c r="EH284">
        <v>0</v>
      </c>
      <c r="EI284">
        <v>0</v>
      </c>
      <c r="EJ284">
        <v>0</v>
      </c>
      <c r="EK284">
        <v>0</v>
      </c>
      <c r="EL284">
        <v>0</v>
      </c>
      <c r="EM284">
        <v>0</v>
      </c>
      <c r="EN284">
        <v>0</v>
      </c>
      <c r="EO284">
        <v>0</v>
      </c>
      <c r="EP284">
        <v>0</v>
      </c>
      <c r="EQ284">
        <v>0</v>
      </c>
      <c r="ER284">
        <f>SUM(EF284:EQ284)</f>
        <v>12000</v>
      </c>
      <c r="ES284">
        <f>IF(ER284&gt;=150000,150000,ER284)</f>
        <v>12000</v>
      </c>
      <c r="ET284">
        <f>EE284-ES284</f>
        <v>402044</v>
      </c>
      <c r="EU284">
        <v>0</v>
      </c>
      <c r="EV284">
        <v>0</v>
      </c>
      <c r="EW284">
        <v>0</v>
      </c>
      <c r="EX284">
        <v>0</v>
      </c>
      <c r="EY284">
        <v>0</v>
      </c>
      <c r="EZ284">
        <v>0</v>
      </c>
      <c r="FA284">
        <v>0</v>
      </c>
      <c r="FB284">
        <f>SUM(EU284:FA284)+(IF(F284="YES",50000,0))</f>
        <v>0</v>
      </c>
      <c r="FC284">
        <f>ET284-FB284</f>
        <v>402044</v>
      </c>
      <c r="FD284">
        <f>ROUND(IF(FC284&gt;0,IF(FC284&gt;500000,12500,(FC284-250000)*0.05),0),0)</f>
        <v>7602</v>
      </c>
      <c r="FE284">
        <f>IF(ROUND(IF(FC284&gt;0,IF(FC284&gt;1000000,25000,(FC284-500000)*0.2),0),0)&lt;0,0,ROUND(IF(FC284&gt;0,IF(FC284&gt;1000000,25000,(FC284-500000)*0.2),0),0))</f>
        <v>0</v>
      </c>
      <c r="FF284">
        <f>FD284+FE284</f>
        <v>7602</v>
      </c>
      <c r="FG284">
        <f>IF(FF284&lt;12500,0,FF284)</f>
        <v>0</v>
      </c>
      <c r="FH284">
        <f>FG284*0.04</f>
        <v>0</v>
      </c>
      <c r="FI284">
        <f>ROUND(FH284+FG284,0)</f>
        <v>0</v>
      </c>
      <c r="FJ284">
        <v>0</v>
      </c>
      <c r="FK284">
        <f>FI284-FJ284</f>
        <v>0</v>
      </c>
      <c r="FL284" t="b">
        <f>IF(EA284&gt;500000,TRUE,FALSE)</f>
        <v>0</v>
      </c>
      <c r="FM284">
        <f ca="1">IF(FL284,RANDBETWEEN(500,1000),RANDBETWEEN(1000,3000))</f>
        <v>2846</v>
      </c>
      <c r="FN284">
        <f ca="1">EA284+FM284</f>
        <v>468690</v>
      </c>
      <c r="FO284">
        <f>IF(EA284&gt;0,75000,0)</f>
        <v>75000</v>
      </c>
      <c r="FP284">
        <f ca="1">FN284-FO284</f>
        <v>393690</v>
      </c>
      <c r="FQ284">
        <f ca="1">IF(FP284&gt;2400000,FP284-2400000,0)</f>
        <v>0</v>
      </c>
      <c r="FR284">
        <f ca="1">FQ284*0.3</f>
        <v>0</v>
      </c>
      <c r="FS284">
        <f ca="1">IF(FP284&gt;2000000,FP284-2000000,0)</f>
        <v>0</v>
      </c>
      <c r="FT284">
        <f ca="1">FS284*0.25</f>
        <v>0</v>
      </c>
      <c r="FU284">
        <f ca="1">IF(FP284&gt;1600000,FP284-1600000-FQ284,0)</f>
        <v>0</v>
      </c>
      <c r="FV284">
        <f ca="1">FU284*0.2</f>
        <v>0</v>
      </c>
      <c r="FW284">
        <f ca="1">IF(FP284&gt;1200000,FP284-1200000-IF(F284="YES",50000,0)-FU284,0)</f>
        <v>0</v>
      </c>
      <c r="FX284">
        <f ca="1">FW284*0.15</f>
        <v>0</v>
      </c>
      <c r="FY284">
        <f ca="1">IF(FP284&gt;800000,FP284-800000-FQ284-FU284-FW284,0)</f>
        <v>0</v>
      </c>
      <c r="FZ284">
        <f ca="1">FY284*0.1</f>
        <v>0</v>
      </c>
      <c r="GA284">
        <f ca="1">IF(FP284&gt;400000,FP284-400000-FQ284-FU284-FW284-FY284,0)</f>
        <v>0</v>
      </c>
      <c r="GB284">
        <f ca="1">GA284*0.05</f>
        <v>0</v>
      </c>
      <c r="GC284">
        <f ca="1">ROUND(FR284+FT284+FV284+FX284+FZ284+GB284,0)</f>
        <v>0</v>
      </c>
      <c r="GD284">
        <f ca="1">IF(FP284&gt;1200000,FP284,0)</f>
        <v>0</v>
      </c>
      <c r="GE284">
        <f ca="1">IF(FP284&gt;1200000,GD284-1200000,0)</f>
        <v>0</v>
      </c>
      <c r="GF284">
        <f ca="1">IF(FP284&lt;1200001,MIN(GC284,60000),0)</f>
        <v>0</v>
      </c>
      <c r="GG284">
        <f ca="1">IF(FP284&gt;1200000,GC284-GE284,0)</f>
        <v>0</v>
      </c>
      <c r="GH284" t="b">
        <f ca="1">IF(GG284&gt;0,TRUE,FALSE)</f>
        <v>0</v>
      </c>
      <c r="GI284">
        <f ca="1">IF(GH284,GG284,0)</f>
        <v>0</v>
      </c>
      <c r="GJ284">
        <f ca="1">GF284+GI284</f>
        <v>0</v>
      </c>
      <c r="GK284">
        <f ca="1">ROUND(GC284-GJ284,0)</f>
        <v>0</v>
      </c>
      <c r="GL284">
        <f ca="1">GK284*0.04</f>
        <v>0</v>
      </c>
      <c r="GM284">
        <f ca="1">ROUNDUP(GK284+GL284,0)</f>
        <v>0</v>
      </c>
    </row>
    <row r="285" spans="1:195" x14ac:dyDescent="0.25">
      <c r="A285">
        <f>_xlfn.AGGREGATE(3,5,$B$2:B285)</f>
        <v>284</v>
      </c>
      <c r="B285" t="s">
        <v>675</v>
      </c>
      <c r="C285" t="s">
        <v>676</v>
      </c>
      <c r="D285" t="s">
        <v>827</v>
      </c>
      <c r="E285" t="s">
        <v>833</v>
      </c>
      <c r="F285" t="s">
        <v>959</v>
      </c>
      <c r="G285" t="s">
        <v>887</v>
      </c>
      <c r="H285">
        <f>IF(_xlfn.DAYS("31-03-2025",G285)&gt;=180,6800,0)</f>
        <v>6800</v>
      </c>
      <c r="I285">
        <f>_xlfn.XLOOKUP(B285,'[1]march-2025'!$A:$A,'[1]march-2025'!$J:$J,0,0)</f>
        <v>0</v>
      </c>
      <c r="J285">
        <f>_xlfn.XLOOKUP(B285,'[1]march-2025'!$A:$A,'[1]march-2025'!$C:$C,0,0)</f>
        <v>51700</v>
      </c>
      <c r="K285">
        <f>J285*0.14</f>
        <v>7238.0000000000009</v>
      </c>
      <c r="L285">
        <f>J285*0.12</f>
        <v>6204</v>
      </c>
      <c r="M285">
        <f>_xlfn.XLOOKUP(B285,'[1]march-2025'!$A:$A,'[1]march-2025'!$D:$D,0,0)</f>
        <v>400</v>
      </c>
      <c r="N285">
        <f>_xlfn.XLOOKUP(B285,'[1]march-2025'!$A:$A,'[1]march-2025'!$G:$G,0,0)</f>
        <v>0</v>
      </c>
      <c r="O285">
        <f>IF(J285&gt;0,SUM(J285:N285),0)</f>
        <v>65542</v>
      </c>
      <c r="P285">
        <f>_xlfn.XLOOKUP(B285,'[1]march-2025'!$A:$A,'[1]march-2025'!$H:$H,0,0)</f>
        <v>4000</v>
      </c>
      <c r="Q285">
        <f>_xlfn.XLOOKUP(B285,'[1]march-2025'!$A:$A,'[1]march-2025'!$I:$I,0,0)</f>
        <v>0</v>
      </c>
      <c r="R285">
        <f>IF($F285="YES",0,IF(O285&gt;40000,200,IF(O285&gt;25000,150,IF(O285&gt;15000,130,IF(O285&gt;10000,110,0)))))</f>
        <v>200</v>
      </c>
      <c r="S285">
        <f>O285-P285-Q285-R285</f>
        <v>61342</v>
      </c>
      <c r="T285">
        <f>_xlfn.XLOOKUP(B285,'[2]april-2025'!$A:$A,'[2]april-2025'!$C:$C,0,0)</f>
        <v>51700</v>
      </c>
      <c r="U285">
        <f>T285*0.18</f>
        <v>9306</v>
      </c>
      <c r="V285">
        <f>T285*0.12</f>
        <v>6204</v>
      </c>
      <c r="W285">
        <f>_xlfn.XLOOKUP(B285,'[2]april-2025'!$A:$A,'[2]april-2025'!$D:$D,0,0)</f>
        <v>400</v>
      </c>
      <c r="X285">
        <f>_xlfn.XLOOKUP(B285,'[2]april-2025'!$A:$A,'[2]april-2025'!$G:$G,0,0)</f>
        <v>0</v>
      </c>
      <c r="Y285">
        <f>IF(T285&gt;0,SUM(T285:X285),0)</f>
        <v>67610</v>
      </c>
      <c r="Z285">
        <f>_xlfn.XLOOKUP(B285,'[2]april-2025'!$A:$A,'[2]april-2025'!$H:$H,0,0)</f>
        <v>4000</v>
      </c>
      <c r="AA285">
        <f>_xlfn.XLOOKUP(B285,'[2]april-2025'!$A:$A,'[2]april-2025'!$I:$I,0,0)</f>
        <v>0</v>
      </c>
      <c r="AB285">
        <f>IF($F285="YES",0,IF(Y285&gt;40000,200,IF(Y285&gt;25000,150,IF(Y285&gt;15000,130,IF(Y285&gt;10000,110,0)))))</f>
        <v>200</v>
      </c>
      <c r="AC285">
        <f>Y285-Z285-AA285-AB285</f>
        <v>63410</v>
      </c>
      <c r="AD285">
        <f>_xlfn.XLOOKUP(B285,'[3]may-2025'!$A:$A,'[3]may-2025'!$C:$C,0,0)</f>
        <v>51700</v>
      </c>
      <c r="AE285">
        <f>AD285*0.18</f>
        <v>9306</v>
      </c>
      <c r="AF285">
        <f>AD285*0.12</f>
        <v>6204</v>
      </c>
      <c r="AG285">
        <f>_xlfn.XLOOKUP(B285,'[3]may-2025'!$A:$A,'[3]may-2025'!$D:$D,0,0)</f>
        <v>400</v>
      </c>
      <c r="AH285">
        <f>_xlfn.XLOOKUP(B285,'[3]may-2025'!$A:$A,'[3]may-2025'!$G:$G,0,0)</f>
        <v>0</v>
      </c>
      <c r="AI285">
        <f>IF(AD285&gt;0,SUM(AD285:AH285),0)</f>
        <v>67610</v>
      </c>
      <c r="AJ285">
        <f>_xlfn.XLOOKUP(B285,'[3]may-2025'!$A:$A,'[3]may-2025'!$H:$H,0,0)</f>
        <v>4000</v>
      </c>
      <c r="AK285">
        <f>_xlfn.XLOOKUP(B285,'[3]may-2025'!$A:$A,'[3]may-2025'!$I:$I,0,0)</f>
        <v>0</v>
      </c>
      <c r="AL285">
        <f>IF($F285="YES",0,IF(AI285&gt;40000,200,IF(AI285&gt;25000,150,IF(AI285&gt;15000,130,IF(AI285&gt;10000,110,0)))))</f>
        <v>200</v>
      </c>
      <c r="AM285">
        <f>AI285-AJ285-AK285-AL285</f>
        <v>63410</v>
      </c>
      <c r="AN285">
        <f>_xlfn.XLOOKUP(B285,'[4]june-2025'!$A:$A,'[4]june-2025'!$C:$C,0,0)</f>
        <v>51700</v>
      </c>
      <c r="AO285">
        <f>AN285*0.18</f>
        <v>9306</v>
      </c>
      <c r="AP285">
        <f>AN285*0.12</f>
        <v>6204</v>
      </c>
      <c r="AQ285">
        <f>_xlfn.XLOOKUP(B285,'[4]june-2025'!$A:$A,'[4]june-2025'!$D:$D,0,0)</f>
        <v>400</v>
      </c>
      <c r="AR285">
        <f>_xlfn.XLOOKUP(B285,'[4]june-2025'!$A:$A,'[4]june-2025'!$G:$G,0,0)</f>
        <v>0</v>
      </c>
      <c r="AS285">
        <f>IF(AN285&gt;0,SUM(AN285:AR285),0)</f>
        <v>67610</v>
      </c>
      <c r="AT285">
        <f>_xlfn.XLOOKUP(B285,'[4]june-2025'!$A:$A,'[4]june-2025'!$H:$H,0,0)</f>
        <v>4000</v>
      </c>
      <c r="AU285">
        <f>_xlfn.XLOOKUP(B285,'[4]june-2025'!$A:$A,'[4]june-2025'!$I:$I,0,0)</f>
        <v>0</v>
      </c>
      <c r="AV285">
        <f>IF($F285="YES",0,IF(AS285&gt;40000,200,IF(AS285&gt;25000,150,IF(AS285&gt;15000,130,IF(AS285&gt;10000,110,0)))))</f>
        <v>200</v>
      </c>
      <c r="AW285">
        <f>AS285-AT285-AU285-AV285</f>
        <v>63410</v>
      </c>
      <c r="AX285">
        <f>_xlfn.XLOOKUP(B285,'[5]july-2025'!$A:$A,'[5]july-2025'!$C:$C,0,0)</f>
        <v>53300</v>
      </c>
      <c r="AY285">
        <f>AX285*0.18</f>
        <v>9594</v>
      </c>
      <c r="AZ285">
        <v>0</v>
      </c>
      <c r="BA285">
        <f>AX285*0.12</f>
        <v>6396</v>
      </c>
      <c r="BB285">
        <f>_xlfn.XLOOKUP(B285,'[5]july-2025'!$A:$A,'[5]july-2025'!$D:$D,0,0)</f>
        <v>400</v>
      </c>
      <c r="BC285">
        <f>_xlfn.XLOOKUP(B285,'[5]july-2025'!$A:$A,'[5]july-2025'!$G:$G,0,0)</f>
        <v>0</v>
      </c>
      <c r="BD285">
        <f>IF(AX285&gt;0,SUM(AX285:BC285),0)</f>
        <v>69690</v>
      </c>
      <c r="BE285">
        <f>_xlfn.XLOOKUP(B285,'[5]july-2025'!$A:$A,'[5]july-2025'!$H:$H,0,0)</f>
        <v>4000</v>
      </c>
      <c r="BF285">
        <f>_xlfn.XLOOKUP(B285,'[5]july-2025'!$A:$A,'[5]july-2025'!$I:$I,0,0)</f>
        <v>0</v>
      </c>
      <c r="BG285">
        <f>IF($F285="YES",0,IF(BD285&gt;40000,200,IF(BD285&gt;25000,150,IF(BD285&gt;15000,130,IF(BD285&gt;10000,110,0)))))</f>
        <v>200</v>
      </c>
      <c r="BH285">
        <f>BD285-BE285-BF285-BG285</f>
        <v>65490</v>
      </c>
      <c r="BI285">
        <f>_xlfn.XLOOKUP(B285,'[6]august-2025'!$A:$A,'[6]august-2025'!$C:$C,0,0)</f>
        <v>53300</v>
      </c>
      <c r="BJ285">
        <f>BI285*0.18</f>
        <v>9594</v>
      </c>
      <c r="BK285">
        <f>BI285*0.12</f>
        <v>6396</v>
      </c>
      <c r="BL285">
        <f>_xlfn.XLOOKUP(B285,'[6]august-2025'!$A:$A,'[6]august-2025'!$D:$D,0,0)</f>
        <v>400</v>
      </c>
      <c r="BM285">
        <f>_xlfn.XLOOKUP(B285,'[6]august-2025'!$A:$A,'[6]august-2025'!$G:$G,0,0)</f>
        <v>0</v>
      </c>
      <c r="BN285">
        <f>IF(BI285&gt;0,SUM(BI285:BM285),0)</f>
        <v>69690</v>
      </c>
      <c r="BO285">
        <f>_xlfn.XLOOKUP(B285,'[6]august-2025'!$A:$A,'[6]august-2025'!$H:$H,0,0)</f>
        <v>4000</v>
      </c>
      <c r="BP285">
        <f>_xlfn.XLOOKUP(B285,'[6]august-2025'!$A:$A,'[6]august-2025'!$I:$I,0,0)</f>
        <v>0</v>
      </c>
      <c r="BQ285">
        <f>IF($F285="YES",0,IF(BN285&gt;40000,200,IF(BN285&gt;25000,150,IF(BN285&gt;15000,130,IF(BN285&gt;10000,110,0)))))</f>
        <v>200</v>
      </c>
      <c r="BR285">
        <f>BN285-BO285-BP285-BQ285</f>
        <v>65490</v>
      </c>
      <c r="BS285">
        <f>_xlfn.XLOOKUP(B285,'[7]september-2025'!$A:$A,'[7]september-2025'!$C:$C,0,0)</f>
        <v>53300</v>
      </c>
      <c r="BT285">
        <f>BS285*0.18</f>
        <v>9594</v>
      </c>
      <c r="BU285">
        <f>BS285*0.12</f>
        <v>6396</v>
      </c>
      <c r="BV285">
        <f>_xlfn.XLOOKUP(B285,'[7]september-2025'!$A:$A,'[7]september-2025'!$D:$D,0,0)</f>
        <v>400</v>
      </c>
      <c r="BW285">
        <f>_xlfn.XLOOKUP(B285,'[7]september-2025'!$A:$A,'[7]september-2025'!$G:$G,0,0)</f>
        <v>0</v>
      </c>
      <c r="BX285">
        <f>IF(BS285&gt;0,SUM(BS285:BW285),0)</f>
        <v>69690</v>
      </c>
      <c r="BY285">
        <f>_xlfn.XLOOKUP(B285,'[7]september-2025'!$A:$A,'[7]september-2025'!$H:$H,0,0)</f>
        <v>4000</v>
      </c>
      <c r="BZ285">
        <f>_xlfn.XLOOKUP(B285,'[7]september-2025'!$A:$A,'[7]september-2025'!$I:$I,0,0)</f>
        <v>0</v>
      </c>
      <c r="CA285">
        <f>IF($F285="YES",0,IF(BX285&gt;40000,200,IF(BX285&gt;25000,150,IF(BX285&gt;15000,130,IF(BX285&gt;10000,110,0)))))</f>
        <v>200</v>
      </c>
      <c r="CB285">
        <f>BX285-BY285-BZ285-CA285</f>
        <v>65490</v>
      </c>
      <c r="CC285">
        <f>_xlfn.XLOOKUP(B285,'[8]october-2025'!$A:$A,'[8]october-2025'!$C:$C,0,0)</f>
        <v>53300</v>
      </c>
      <c r="CD285">
        <f>CC285*0.18</f>
        <v>9594</v>
      </c>
      <c r="CE285">
        <f>CC285*0.12</f>
        <v>6396</v>
      </c>
      <c r="CF285">
        <f>_xlfn.XLOOKUP(B285,'[8]october-2025'!$A:$A,'[8]october-2025'!$D:$D,0,0)</f>
        <v>400</v>
      </c>
      <c r="CG285">
        <f>_xlfn.XLOOKUP(B285,'[8]october-2025'!$A:$A,'[8]october-2025'!$G:$G,0,0)</f>
        <v>0</v>
      </c>
      <c r="CH285">
        <f>IF(CC285&gt;0,SUM(CC285:CG285),0)</f>
        <v>69690</v>
      </c>
      <c r="CI285">
        <f>_xlfn.XLOOKUP(B285,'[8]october-2025'!$A:$A,'[8]october-2025'!$H:$H,0,0)</f>
        <v>4000</v>
      </c>
      <c r="CJ285">
        <f>_xlfn.XLOOKUP(B285,'[8]october-2025'!$A:$A,'[8]october-2025'!$I:$I,0,0)</f>
        <v>0</v>
      </c>
      <c r="CK285">
        <f>IF($F285="YES",0,IF(CH285&gt;40000,200,IF(CH285&gt;25000,150,IF(CH285&gt;15000,130,IF(CH285&gt;10000,110,0)))))</f>
        <v>200</v>
      </c>
      <c r="CL285">
        <f>CH285-CI285-CJ285-CK285</f>
        <v>65490</v>
      </c>
      <c r="CM285">
        <f>_xlfn.XLOOKUP(B285,'[9]november-2025'!$A:$A,'[9]november-2025'!$C:$C,0,0)</f>
        <v>53300</v>
      </c>
      <c r="CN285">
        <f>CM285*0.18</f>
        <v>9594</v>
      </c>
      <c r="CO285">
        <f>CM285*0.12</f>
        <v>6396</v>
      </c>
      <c r="CP285">
        <f>_xlfn.XLOOKUP(B285,'[9]november-2025'!$A:$A,'[9]november-2025'!$D:$D,0,0)</f>
        <v>400</v>
      </c>
      <c r="CQ285">
        <f>_xlfn.XLOOKUP(B285,'[9]november-2025'!$A:$A,'[9]november-2025'!$G:$G,0,0)</f>
        <v>0</v>
      </c>
      <c r="CR285">
        <f>IF(CM285&gt;0,SUM(CM285:CQ285),0)</f>
        <v>69690</v>
      </c>
      <c r="CS285">
        <f>_xlfn.XLOOKUP(B285,'[9]november-2025'!$A:$A,'[9]november-2025'!$H:$H,0,0)</f>
        <v>4000</v>
      </c>
      <c r="CT285">
        <f>_xlfn.XLOOKUP(B285,'[9]november-2025'!$A:$A,'[9]november-2025'!$I:$I,0,0)</f>
        <v>0</v>
      </c>
      <c r="CU285">
        <f>IF($F285="YES",0,IF(CR285&gt;40000,200,IF(CR285&gt;25000,150,IF(CR285&gt;15000,130,IF(CR285&gt;10000,110,0)))))</f>
        <v>200</v>
      </c>
      <c r="CV285">
        <f>CR285-CS285-CT285-CU285</f>
        <v>65490</v>
      </c>
      <c r="CW285">
        <f>_xlfn.XLOOKUP(B285,'[10]december-2025'!$A:$A,'[10]december-2025'!$C:$C,0,0)</f>
        <v>53300</v>
      </c>
      <c r="CX285">
        <f>ROUND(CW285*0.18,0)</f>
        <v>9594</v>
      </c>
      <c r="CY285">
        <f>ROUND(CW285*0.12,0)</f>
        <v>6396</v>
      </c>
      <c r="CZ285">
        <f>_xlfn.XLOOKUP(B285,'[10]december-2025'!$A:$A,'[10]december-2025'!$D:$D,0,0)</f>
        <v>400</v>
      </c>
      <c r="DA285">
        <f>_xlfn.XLOOKUP(B285,'[10]december-2025'!$A:$A,'[10]december-2025'!$G:$G,0,0)</f>
        <v>0</v>
      </c>
      <c r="DB285">
        <f>IF(CW285&gt;0,SUM(CW285:DA285),0)</f>
        <v>69690</v>
      </c>
      <c r="DC285">
        <f>_xlfn.XLOOKUP(B285,'[10]december-2025'!$A:$A,'[10]december-2025'!$H:$H,0,0)</f>
        <v>4000</v>
      </c>
      <c r="DD285">
        <f>_xlfn.XLOOKUP(B285,'[10]december-2025'!$A:$A,'[10]december-2025'!$I:$I,0,0)</f>
        <v>0</v>
      </c>
      <c r="DE285">
        <f>IF($F285="YES",0,IF(DB285&gt;40000,200,IF(DB285&gt;25000,150,IF(DB285&gt;15000,130,IF(DB285&gt;10000,110,0)))))</f>
        <v>200</v>
      </c>
      <c r="DF285">
        <f>DB285-DC285-DD285-DE285</f>
        <v>65490</v>
      </c>
      <c r="DG285">
        <f>_xlfn.XLOOKUP(B285,'[11]january-2026'!$A:$A,'[11]january-2026'!$C:$C,0,0)</f>
        <v>53300</v>
      </c>
      <c r="DH285">
        <f>DG285*0.18</f>
        <v>9594</v>
      </c>
      <c r="DI285">
        <f>DG285*0.12</f>
        <v>6396</v>
      </c>
      <c r="DJ285">
        <f>_xlfn.XLOOKUP(B285,'[11]january-2026'!$A:$A,'[11]january-2026'!$D:$D,0,0)</f>
        <v>400</v>
      </c>
      <c r="DK285">
        <f>_xlfn.XLOOKUP(B285,'[11]january-2026'!$A:$A,'[11]january-2026'!$G:$G,0,0)</f>
        <v>0</v>
      </c>
      <c r="DL285">
        <f>IF(DG285&gt;0,SUM(DG285:DK285),0)</f>
        <v>69690</v>
      </c>
      <c r="DM285">
        <f>_xlfn.XLOOKUP(B285,'[11]january-2026'!$A:$A,'[11]january-2026'!$H:$H,0,0)</f>
        <v>4000</v>
      </c>
      <c r="DN285">
        <f>_xlfn.XLOOKUP(B285,'[11]january-2026'!$A:$A,'[11]january-2026'!$I:$I,0,0)</f>
        <v>0</v>
      </c>
      <c r="DO285">
        <f>IF($F285="YES",0,IF(DL285&gt;40000,200,IF(DL285&gt;25000,150,IF(DL285&gt;15000,130,IF(DL285&gt;10000,110,0)))))</f>
        <v>200</v>
      </c>
      <c r="DP285">
        <f>DL285-DM285-DN285-DO285</f>
        <v>65490</v>
      </c>
      <c r="DQ285">
        <f>_xlfn.XLOOKUP(B285,'[12]february-2026'!$A:$A,'[12]february-2026'!$C:$C,0,0)</f>
        <v>53300</v>
      </c>
      <c r="DR285">
        <f>DQ285*0.18</f>
        <v>9594</v>
      </c>
      <c r="DS285">
        <f>DQ285*0.12</f>
        <v>6396</v>
      </c>
      <c r="DT285">
        <f>_xlfn.XLOOKUP(B285,'[12]february-2026'!$A:$A,'[12]february-2026'!$D:$D,0,0)</f>
        <v>400</v>
      </c>
      <c r="DU285">
        <f>_xlfn.XLOOKUP(B285,'[12]february-2026'!$A:$A,'[12]february-2026'!$G:$G,0,0)</f>
        <v>0</v>
      </c>
      <c r="DV285">
        <f>IF(DQ285&gt;0,SUM(DQ285:DU285),0)</f>
        <v>69690</v>
      </c>
      <c r="DW285">
        <f>_xlfn.XLOOKUP(B285,'[12]february-2026'!$A:$A,'[12]february-2026'!$H:$H,0,0)</f>
        <v>4000</v>
      </c>
      <c r="DX285">
        <f>_xlfn.XLOOKUP(B285,'[12]february-2026'!$A:$A,'[12]february-2026'!$I:$I,0,0)</f>
        <v>0</v>
      </c>
      <c r="DY285">
        <f>IF($F285="YES",0,IF(DV285&gt;40000,200,IF(DV285&gt;25000,150,IF(DV285&gt;15000,130,IF(DV285&gt;10000,110,0)))))</f>
        <v>200</v>
      </c>
      <c r="DZ285">
        <f>DV285-DW285-DX285-DY285</f>
        <v>65490</v>
      </c>
      <c r="EA285">
        <f>DV285+DL285+DB285+CR285+CH285+BX285+BN285+BD285+AS285+AI285+Y285+O285+H285+I285</f>
        <v>832692</v>
      </c>
      <c r="EB285">
        <f>DY285+DO285+DE285+CU285+CK285+CA285+BQ285+BG285+AV285+AL285+AB285+R285</f>
        <v>2400</v>
      </c>
      <c r="EC285">
        <f>IF(EA285&gt;0,50000,0)</f>
        <v>50000</v>
      </c>
      <c r="ED285">
        <v>0</v>
      </c>
      <c r="EE285">
        <f>EA285-EB285-EC285</f>
        <v>780292</v>
      </c>
      <c r="EF285">
        <f>DW285+DM285+DC285+CS285+CI285+BY285+BO285+BE285+AT285+AJ285+Z285+P285</f>
        <v>48000</v>
      </c>
      <c r="EG285">
        <f>DX285+DN285+DD285+CT285+CJ285+BZ285+BP285+BF285+AU285+AK285+AA285+Q285</f>
        <v>0</v>
      </c>
      <c r="EH285">
        <v>0</v>
      </c>
      <c r="EI285">
        <v>0</v>
      </c>
      <c r="EJ285">
        <v>0</v>
      </c>
      <c r="EK285">
        <v>0</v>
      </c>
      <c r="EL285">
        <v>0</v>
      </c>
      <c r="EM285">
        <v>0</v>
      </c>
      <c r="EN285">
        <v>0</v>
      </c>
      <c r="EO285">
        <v>0</v>
      </c>
      <c r="EP285">
        <v>0</v>
      </c>
      <c r="EQ285">
        <v>0</v>
      </c>
      <c r="ER285">
        <f>SUM(EF285:EQ285)</f>
        <v>48000</v>
      </c>
      <c r="ES285">
        <f>IF(ER285&gt;=150000,150000,ER285)</f>
        <v>48000</v>
      </c>
      <c r="ET285">
        <f>EE285-ES285</f>
        <v>732292</v>
      </c>
      <c r="EU285">
        <v>0</v>
      </c>
      <c r="EV285">
        <v>0</v>
      </c>
      <c r="EW285">
        <v>0</v>
      </c>
      <c r="EX285">
        <v>0</v>
      </c>
      <c r="EY285">
        <v>0</v>
      </c>
      <c r="EZ285">
        <v>0</v>
      </c>
      <c r="FA285">
        <v>0</v>
      </c>
      <c r="FB285">
        <f>SUM(EU285:FA285)+(IF(F285="YES",50000,0))</f>
        <v>0</v>
      </c>
      <c r="FC285">
        <f>ET285-FB285</f>
        <v>732292</v>
      </c>
      <c r="FD285">
        <f>ROUND(IF(FC285&gt;0,IF(FC285&gt;500000,12500,(FC285-250000)*0.05),0),0)</f>
        <v>12500</v>
      </c>
      <c r="FE285">
        <f>IF(ROUND(IF(FC285&gt;0,IF(FC285&gt;1000000,25000,(FC285-500000)*0.2),0),0)&lt;0,0,ROUND(IF(FC285&gt;0,IF(FC285&gt;1000000,25000,(FC285-500000)*0.2),0),0))</f>
        <v>46458</v>
      </c>
      <c r="FF285">
        <f>FD285+FE285</f>
        <v>58958</v>
      </c>
      <c r="FG285">
        <f>IF(FF285&lt;12500,0,FF285)</f>
        <v>58958</v>
      </c>
      <c r="FH285">
        <f>FG285*0.04</f>
        <v>2358.3200000000002</v>
      </c>
      <c r="FI285">
        <f>ROUND(FH285+FG285,0)</f>
        <v>61316</v>
      </c>
      <c r="FJ285">
        <v>0</v>
      </c>
      <c r="FK285">
        <f>FI285-FJ285</f>
        <v>61316</v>
      </c>
      <c r="FL285" t="b">
        <f>IF(EA285&gt;500000,TRUE,FALSE)</f>
        <v>1</v>
      </c>
      <c r="FM285">
        <f ca="1">IF(FL285,RANDBETWEEN(500,1000),RANDBETWEEN(1000,3000))</f>
        <v>722</v>
      </c>
      <c r="FN285">
        <f ca="1">EA285+FM285</f>
        <v>833414</v>
      </c>
      <c r="FO285">
        <f>IF(EA285&gt;0,75000,0)</f>
        <v>75000</v>
      </c>
      <c r="FP285">
        <f ca="1">FN285-FO285</f>
        <v>758414</v>
      </c>
      <c r="FQ285">
        <f ca="1">IF(FP285&gt;2400000,FP285-2400000,0)</f>
        <v>0</v>
      </c>
      <c r="FR285">
        <f ca="1">FQ285*0.3</f>
        <v>0</v>
      </c>
      <c r="FS285">
        <f ca="1">IF(FP285&gt;2000000,FP285-2000000,0)</f>
        <v>0</v>
      </c>
      <c r="FT285">
        <f ca="1">FS285*0.25</f>
        <v>0</v>
      </c>
      <c r="FU285">
        <f ca="1">IF(FP285&gt;1600000,FP285-1600000-FQ285,0)</f>
        <v>0</v>
      </c>
      <c r="FV285">
        <f ca="1">FU285*0.2</f>
        <v>0</v>
      </c>
      <c r="FW285">
        <f ca="1">IF(FP285&gt;1200000,FP285-1200000-IF(F285="YES",50000,0)-FU285,0)</f>
        <v>0</v>
      </c>
      <c r="FX285">
        <f ca="1">FW285*0.15</f>
        <v>0</v>
      </c>
      <c r="FY285">
        <f ca="1">IF(FP285&gt;800000,FP285-800000-FQ285-FU285-FW285,0)</f>
        <v>0</v>
      </c>
      <c r="FZ285">
        <f ca="1">FY285*0.1</f>
        <v>0</v>
      </c>
      <c r="GA285">
        <f ca="1">IF(FP285&gt;400000,FP285-400000-FQ285-FU285-FW285-FY285,0)</f>
        <v>358414</v>
      </c>
      <c r="GB285">
        <f ca="1">GA285*0.05</f>
        <v>17920.7</v>
      </c>
      <c r="GC285">
        <f ca="1">ROUND(FR285+FT285+FV285+FX285+FZ285+GB285,0)</f>
        <v>17921</v>
      </c>
      <c r="GD285">
        <f ca="1">IF(FP285&gt;1200000,FP285,0)</f>
        <v>0</v>
      </c>
      <c r="GE285">
        <f ca="1">IF(FP285&gt;1200000,GD285-1200000,0)</f>
        <v>0</v>
      </c>
      <c r="GF285">
        <f ca="1">IF(FP285&lt;1200001,MIN(GC285,60000),0)</f>
        <v>17921</v>
      </c>
      <c r="GG285">
        <f ca="1">IF(FP285&gt;1200000,GC285-GE285,0)</f>
        <v>0</v>
      </c>
      <c r="GH285" t="b">
        <f ca="1">IF(GG285&gt;0,TRUE,FALSE)</f>
        <v>0</v>
      </c>
      <c r="GI285">
        <f ca="1">IF(GH285,GG285,0)</f>
        <v>0</v>
      </c>
      <c r="GJ285">
        <f ca="1">GF285+GI285</f>
        <v>17921</v>
      </c>
      <c r="GK285">
        <f ca="1">ROUND(GC285-GJ285,0)</f>
        <v>0</v>
      </c>
      <c r="GL285">
        <f ca="1">GK285*0.04</f>
        <v>0</v>
      </c>
      <c r="GM285">
        <f ca="1">ROUNDUP(GK285+GL285,0)</f>
        <v>0</v>
      </c>
    </row>
    <row r="286" spans="1:195" x14ac:dyDescent="0.25">
      <c r="A286">
        <f>_xlfn.AGGREGATE(3,5,$B$2:B286)</f>
        <v>285</v>
      </c>
      <c r="B286" t="s">
        <v>677</v>
      </c>
      <c r="C286" t="s">
        <v>678</v>
      </c>
      <c r="D286" t="s">
        <v>827</v>
      </c>
      <c r="E286" t="s">
        <v>833</v>
      </c>
      <c r="F286" t="s">
        <v>959</v>
      </c>
      <c r="G286" t="s">
        <v>880</v>
      </c>
      <c r="H286">
        <f>IF(_xlfn.DAYS("31-03-2025",G286)&gt;=180,6800,0)</f>
        <v>6800</v>
      </c>
      <c r="I286">
        <f>_xlfn.XLOOKUP(B286,'[1]march-2025'!$A:$A,'[1]march-2025'!$J:$J,0,0)</f>
        <v>0</v>
      </c>
      <c r="J286">
        <f>_xlfn.XLOOKUP(B286,'[1]march-2025'!$A:$A,'[1]march-2025'!$C:$C,0,0)</f>
        <v>34500</v>
      </c>
      <c r="K286">
        <f>J286*0.14</f>
        <v>4830.0000000000009</v>
      </c>
      <c r="L286">
        <f>J286*0.12</f>
        <v>4140</v>
      </c>
      <c r="M286">
        <f>_xlfn.XLOOKUP(B286,'[1]march-2025'!$A:$A,'[1]march-2025'!$D:$D,0,0)</f>
        <v>0</v>
      </c>
      <c r="N286">
        <f>_xlfn.XLOOKUP(B286,'[1]march-2025'!$A:$A,'[1]march-2025'!$G:$G,0,0)</f>
        <v>500</v>
      </c>
      <c r="O286">
        <f>IF(J286&gt;0,SUM(J286:N286),0)</f>
        <v>43970</v>
      </c>
      <c r="P286">
        <f>_xlfn.XLOOKUP(B286,'[1]march-2025'!$A:$A,'[1]march-2025'!$H:$H,0,0)</f>
        <v>3000</v>
      </c>
      <c r="Q286">
        <f>_xlfn.XLOOKUP(B286,'[1]march-2025'!$A:$A,'[1]march-2025'!$I:$I,0,0)</f>
        <v>0</v>
      </c>
      <c r="R286">
        <f>IF($F286="YES",0,IF(O286&gt;40000,200,IF(O286&gt;25000,150,IF(O286&gt;15000,130,IF(O286&gt;10000,110,0)))))</f>
        <v>200</v>
      </c>
      <c r="S286">
        <f>O286-P286-Q286-R286</f>
        <v>40770</v>
      </c>
      <c r="T286">
        <f>_xlfn.XLOOKUP(B286,'[2]april-2025'!$A:$A,'[2]april-2025'!$C:$C,0,0)</f>
        <v>34500</v>
      </c>
      <c r="U286">
        <f>T286*0.18</f>
        <v>6210</v>
      </c>
      <c r="V286">
        <f>T286*0.12</f>
        <v>4140</v>
      </c>
      <c r="W286">
        <f>_xlfn.XLOOKUP(B286,'[2]april-2025'!$A:$A,'[2]april-2025'!$D:$D,0,0)</f>
        <v>0</v>
      </c>
      <c r="X286">
        <f>_xlfn.XLOOKUP(B286,'[2]april-2025'!$A:$A,'[2]april-2025'!$G:$G,0,0)</f>
        <v>500</v>
      </c>
      <c r="Y286">
        <f>IF(T286&gt;0,SUM(T286:X286),0)</f>
        <v>45350</v>
      </c>
      <c r="Z286">
        <f>_xlfn.XLOOKUP(B286,'[2]april-2025'!$A:$A,'[2]april-2025'!$H:$H,0,0)</f>
        <v>3000</v>
      </c>
      <c r="AA286">
        <f>_xlfn.XLOOKUP(B286,'[2]april-2025'!$A:$A,'[2]april-2025'!$I:$I,0,0)</f>
        <v>0</v>
      </c>
      <c r="AB286">
        <f>IF($F286="YES",0,IF(Y286&gt;40000,200,IF(Y286&gt;25000,150,IF(Y286&gt;15000,130,IF(Y286&gt;10000,110,0)))))</f>
        <v>200</v>
      </c>
      <c r="AC286">
        <f>Y286-Z286-AA286-AB286</f>
        <v>42150</v>
      </c>
      <c r="AD286">
        <f>_xlfn.XLOOKUP(B286,'[3]may-2025'!$A:$A,'[3]may-2025'!$C:$C,0,0)</f>
        <v>34500</v>
      </c>
      <c r="AE286">
        <f>AD286*0.18</f>
        <v>6210</v>
      </c>
      <c r="AF286">
        <f>AD286*0.12</f>
        <v>4140</v>
      </c>
      <c r="AG286">
        <f>_xlfn.XLOOKUP(B286,'[3]may-2025'!$A:$A,'[3]may-2025'!$D:$D,0,0)</f>
        <v>0</v>
      </c>
      <c r="AH286">
        <f>_xlfn.XLOOKUP(B286,'[3]may-2025'!$A:$A,'[3]may-2025'!$G:$G,0,0)</f>
        <v>500</v>
      </c>
      <c r="AI286">
        <f>IF(AD286&gt;0,SUM(AD286:AH286),0)</f>
        <v>45350</v>
      </c>
      <c r="AJ286">
        <f>_xlfn.XLOOKUP(B286,'[3]may-2025'!$A:$A,'[3]may-2025'!$H:$H,0,0)</f>
        <v>3000</v>
      </c>
      <c r="AK286">
        <f>_xlfn.XLOOKUP(B286,'[3]may-2025'!$A:$A,'[3]may-2025'!$I:$I,0,0)</f>
        <v>0</v>
      </c>
      <c r="AL286">
        <f>IF($F286="YES",0,IF(AI286&gt;40000,200,IF(AI286&gt;25000,150,IF(AI286&gt;15000,130,IF(AI286&gt;10000,110,0)))))</f>
        <v>200</v>
      </c>
      <c r="AM286">
        <f>AI286-AJ286-AK286-AL286</f>
        <v>42150</v>
      </c>
      <c r="AN286">
        <f>_xlfn.XLOOKUP(B286,'[4]june-2025'!$A:$A,'[4]june-2025'!$C:$C,0,0)</f>
        <v>34500</v>
      </c>
      <c r="AO286">
        <f>AN286*0.18</f>
        <v>6210</v>
      </c>
      <c r="AP286">
        <f>AN286*0.12</f>
        <v>4140</v>
      </c>
      <c r="AQ286">
        <f>_xlfn.XLOOKUP(B286,'[4]june-2025'!$A:$A,'[4]june-2025'!$D:$D,0,0)</f>
        <v>0</v>
      </c>
      <c r="AR286">
        <f>_xlfn.XLOOKUP(B286,'[4]june-2025'!$A:$A,'[4]june-2025'!$G:$G,0,0)</f>
        <v>500</v>
      </c>
      <c r="AS286">
        <f>IF(AN286&gt;0,SUM(AN286:AR286),0)</f>
        <v>45350</v>
      </c>
      <c r="AT286">
        <f>_xlfn.XLOOKUP(B286,'[4]june-2025'!$A:$A,'[4]june-2025'!$H:$H,0,0)</f>
        <v>3000</v>
      </c>
      <c r="AU286">
        <f>_xlfn.XLOOKUP(B286,'[4]june-2025'!$A:$A,'[4]june-2025'!$I:$I,0,0)</f>
        <v>0</v>
      </c>
      <c r="AV286">
        <f>IF($F286="YES",0,IF(AS286&gt;40000,200,IF(AS286&gt;25000,150,IF(AS286&gt;15000,130,IF(AS286&gt;10000,110,0)))))</f>
        <v>200</v>
      </c>
      <c r="AW286">
        <f>AS286-AT286-AU286-AV286</f>
        <v>42150</v>
      </c>
      <c r="AX286">
        <f>_xlfn.XLOOKUP(B286,'[5]july-2025'!$A:$A,'[5]july-2025'!$C:$C,0,0)</f>
        <v>35500</v>
      </c>
      <c r="AY286">
        <f>AX286*0.18</f>
        <v>6390</v>
      </c>
      <c r="AZ286">
        <v>0</v>
      </c>
      <c r="BA286">
        <f>AX286*0.12</f>
        <v>4260</v>
      </c>
      <c r="BB286">
        <f>_xlfn.XLOOKUP(B286,'[5]july-2025'!$A:$A,'[5]july-2025'!$D:$D,0,0)</f>
        <v>0</v>
      </c>
      <c r="BC286">
        <f>_xlfn.XLOOKUP(B286,'[5]july-2025'!$A:$A,'[5]july-2025'!$G:$G,0,0)</f>
        <v>500</v>
      </c>
      <c r="BD286">
        <f>IF(AX286&gt;0,SUM(AX286:BC286),0)</f>
        <v>46650</v>
      </c>
      <c r="BE286">
        <f>_xlfn.XLOOKUP(B286,'[5]july-2025'!$A:$A,'[5]july-2025'!$H:$H,0,0)</f>
        <v>3000</v>
      </c>
      <c r="BF286">
        <f>_xlfn.XLOOKUP(B286,'[5]july-2025'!$A:$A,'[5]july-2025'!$I:$I,0,0)</f>
        <v>0</v>
      </c>
      <c r="BG286">
        <f>IF($F286="YES",0,IF(BD286&gt;40000,200,IF(BD286&gt;25000,150,IF(BD286&gt;15000,130,IF(BD286&gt;10000,110,0)))))</f>
        <v>200</v>
      </c>
      <c r="BH286">
        <f>BD286-BE286-BF286-BG286</f>
        <v>43450</v>
      </c>
      <c r="BI286">
        <f>_xlfn.XLOOKUP(B286,'[6]august-2025'!$A:$A,'[6]august-2025'!$C:$C,0,0)</f>
        <v>35500</v>
      </c>
      <c r="BJ286">
        <f>BI286*0.18</f>
        <v>6390</v>
      </c>
      <c r="BK286">
        <f>BI286*0.12</f>
        <v>4260</v>
      </c>
      <c r="BL286">
        <f>_xlfn.XLOOKUP(B286,'[6]august-2025'!$A:$A,'[6]august-2025'!$D:$D,0,0)</f>
        <v>0</v>
      </c>
      <c r="BM286">
        <f>_xlfn.XLOOKUP(B286,'[6]august-2025'!$A:$A,'[6]august-2025'!$G:$G,0,0)</f>
        <v>500</v>
      </c>
      <c r="BN286">
        <f>IF(BI286&gt;0,SUM(BI286:BM286),0)</f>
        <v>46650</v>
      </c>
      <c r="BO286">
        <f>_xlfn.XLOOKUP(B286,'[6]august-2025'!$A:$A,'[6]august-2025'!$H:$H,0,0)</f>
        <v>3000</v>
      </c>
      <c r="BP286">
        <f>_xlfn.XLOOKUP(B286,'[6]august-2025'!$A:$A,'[6]august-2025'!$I:$I,0,0)</f>
        <v>0</v>
      </c>
      <c r="BQ286">
        <f>IF($F286="YES",0,IF(BN286&gt;40000,200,IF(BN286&gt;25000,150,IF(BN286&gt;15000,130,IF(BN286&gt;10000,110,0)))))</f>
        <v>200</v>
      </c>
      <c r="BR286">
        <f>BN286-BO286-BP286-BQ286</f>
        <v>43450</v>
      </c>
      <c r="BS286">
        <f>_xlfn.XLOOKUP(B286,'[7]september-2025'!$A:$A,'[7]september-2025'!$C:$C,0,0)</f>
        <v>35500</v>
      </c>
      <c r="BT286">
        <f>BS286*0.18</f>
        <v>6390</v>
      </c>
      <c r="BU286">
        <f>BS286*0.12</f>
        <v>4260</v>
      </c>
      <c r="BV286">
        <f>_xlfn.XLOOKUP(B286,'[7]september-2025'!$A:$A,'[7]september-2025'!$D:$D,0,0)</f>
        <v>0</v>
      </c>
      <c r="BW286">
        <f>_xlfn.XLOOKUP(B286,'[7]september-2025'!$A:$A,'[7]september-2025'!$G:$G,0,0)</f>
        <v>500</v>
      </c>
      <c r="BX286">
        <f>IF(BS286&gt;0,SUM(BS286:BW286),0)</f>
        <v>46650</v>
      </c>
      <c r="BY286">
        <f>_xlfn.XLOOKUP(B286,'[7]september-2025'!$A:$A,'[7]september-2025'!$H:$H,0,0)</f>
        <v>3000</v>
      </c>
      <c r="BZ286">
        <f>_xlfn.XLOOKUP(B286,'[7]september-2025'!$A:$A,'[7]september-2025'!$I:$I,0,0)</f>
        <v>0</v>
      </c>
      <c r="CA286">
        <f>IF($F286="YES",0,IF(BX286&gt;40000,200,IF(BX286&gt;25000,150,IF(BX286&gt;15000,130,IF(BX286&gt;10000,110,0)))))</f>
        <v>200</v>
      </c>
      <c r="CB286">
        <f>BX286-BY286-BZ286-CA286</f>
        <v>43450</v>
      </c>
      <c r="CC286">
        <f>_xlfn.XLOOKUP(B286,'[8]october-2025'!$A:$A,'[8]october-2025'!$C:$C,0,0)</f>
        <v>35500</v>
      </c>
      <c r="CD286">
        <f>CC286*0.18</f>
        <v>6390</v>
      </c>
      <c r="CE286">
        <f>CC286*0.12</f>
        <v>4260</v>
      </c>
      <c r="CF286">
        <f>_xlfn.XLOOKUP(B286,'[8]october-2025'!$A:$A,'[8]october-2025'!$D:$D,0,0)</f>
        <v>0</v>
      </c>
      <c r="CG286">
        <f>_xlfn.XLOOKUP(B286,'[8]october-2025'!$A:$A,'[8]october-2025'!$G:$G,0,0)</f>
        <v>500</v>
      </c>
      <c r="CH286">
        <f>IF(CC286&gt;0,SUM(CC286:CG286),0)</f>
        <v>46650</v>
      </c>
      <c r="CI286">
        <f>_xlfn.XLOOKUP(B286,'[8]october-2025'!$A:$A,'[8]october-2025'!$H:$H,0,0)</f>
        <v>3000</v>
      </c>
      <c r="CJ286">
        <f>_xlfn.XLOOKUP(B286,'[8]october-2025'!$A:$A,'[8]october-2025'!$I:$I,0,0)</f>
        <v>0</v>
      </c>
      <c r="CK286">
        <f>IF($F286="YES",0,IF(CH286&gt;40000,200,IF(CH286&gt;25000,150,IF(CH286&gt;15000,130,IF(CH286&gt;10000,110,0)))))</f>
        <v>200</v>
      </c>
      <c r="CL286">
        <f>CH286-CI286-CJ286-CK286</f>
        <v>43450</v>
      </c>
      <c r="CM286">
        <f>_xlfn.XLOOKUP(B286,'[9]november-2025'!$A:$A,'[9]november-2025'!$C:$C,0,0)</f>
        <v>35500</v>
      </c>
      <c r="CN286">
        <f>CM286*0.18</f>
        <v>6390</v>
      </c>
      <c r="CO286">
        <f>CM286*0.12</f>
        <v>4260</v>
      </c>
      <c r="CP286">
        <f>_xlfn.XLOOKUP(B286,'[9]november-2025'!$A:$A,'[9]november-2025'!$D:$D,0,0)</f>
        <v>0</v>
      </c>
      <c r="CQ286">
        <f>_xlfn.XLOOKUP(B286,'[9]november-2025'!$A:$A,'[9]november-2025'!$G:$G,0,0)</f>
        <v>500</v>
      </c>
      <c r="CR286">
        <f>IF(CM286&gt;0,SUM(CM286:CQ286),0)</f>
        <v>46650</v>
      </c>
      <c r="CS286">
        <f>_xlfn.XLOOKUP(B286,'[9]november-2025'!$A:$A,'[9]november-2025'!$H:$H,0,0)</f>
        <v>3000</v>
      </c>
      <c r="CT286">
        <f>_xlfn.XLOOKUP(B286,'[9]november-2025'!$A:$A,'[9]november-2025'!$I:$I,0,0)</f>
        <v>0</v>
      </c>
      <c r="CU286">
        <f>IF($F286="YES",0,IF(CR286&gt;40000,200,IF(CR286&gt;25000,150,IF(CR286&gt;15000,130,IF(CR286&gt;10000,110,0)))))</f>
        <v>200</v>
      </c>
      <c r="CV286">
        <f>CR286-CS286-CT286-CU286</f>
        <v>43450</v>
      </c>
      <c r="CW286">
        <f>_xlfn.XLOOKUP(B286,'[10]december-2025'!$A:$A,'[10]december-2025'!$C:$C,0,0)</f>
        <v>35500</v>
      </c>
      <c r="CX286">
        <f>ROUND(CW286*0.18,0)</f>
        <v>6390</v>
      </c>
      <c r="CY286">
        <f>ROUND(CW286*0.12,0)</f>
        <v>4260</v>
      </c>
      <c r="CZ286">
        <f>_xlfn.XLOOKUP(B286,'[10]december-2025'!$A:$A,'[10]december-2025'!$D:$D,0,0)</f>
        <v>0</v>
      </c>
      <c r="DA286">
        <f>_xlfn.XLOOKUP(B286,'[10]december-2025'!$A:$A,'[10]december-2025'!$G:$G,0,0)</f>
        <v>500</v>
      </c>
      <c r="DB286">
        <f>IF(CW286&gt;0,SUM(CW286:DA286),0)</f>
        <v>46650</v>
      </c>
      <c r="DC286">
        <f>_xlfn.XLOOKUP(B286,'[10]december-2025'!$A:$A,'[10]december-2025'!$H:$H,0,0)</f>
        <v>3000</v>
      </c>
      <c r="DD286">
        <f>_xlfn.XLOOKUP(B286,'[10]december-2025'!$A:$A,'[10]december-2025'!$I:$I,0,0)</f>
        <v>0</v>
      </c>
      <c r="DE286">
        <f>IF($F286="YES",0,IF(DB286&gt;40000,200,IF(DB286&gt;25000,150,IF(DB286&gt;15000,130,IF(DB286&gt;10000,110,0)))))</f>
        <v>200</v>
      </c>
      <c r="DF286">
        <f>DB286-DC286-DD286-DE286</f>
        <v>43450</v>
      </c>
      <c r="DG286">
        <f>_xlfn.XLOOKUP(B286,'[11]january-2026'!$A:$A,'[11]january-2026'!$C:$C,0,0)</f>
        <v>35500</v>
      </c>
      <c r="DH286">
        <f>DG286*0.18</f>
        <v>6390</v>
      </c>
      <c r="DI286">
        <f>DG286*0.12</f>
        <v>4260</v>
      </c>
      <c r="DJ286">
        <f>_xlfn.XLOOKUP(B286,'[11]january-2026'!$A:$A,'[11]january-2026'!$D:$D,0,0)</f>
        <v>0</v>
      </c>
      <c r="DK286">
        <f>_xlfn.XLOOKUP(B286,'[11]january-2026'!$A:$A,'[11]january-2026'!$G:$G,0,0)</f>
        <v>500</v>
      </c>
      <c r="DL286">
        <f>IF(DG286&gt;0,SUM(DG286:DK286),0)</f>
        <v>46650</v>
      </c>
      <c r="DM286">
        <f>_xlfn.XLOOKUP(B286,'[11]january-2026'!$A:$A,'[11]january-2026'!$H:$H,0,0)</f>
        <v>3000</v>
      </c>
      <c r="DN286">
        <f>_xlfn.XLOOKUP(B286,'[11]january-2026'!$A:$A,'[11]january-2026'!$I:$I,0,0)</f>
        <v>0</v>
      </c>
      <c r="DO286">
        <f>IF($F286="YES",0,IF(DL286&gt;40000,200,IF(DL286&gt;25000,150,IF(DL286&gt;15000,130,IF(DL286&gt;10000,110,0)))))</f>
        <v>200</v>
      </c>
      <c r="DP286">
        <f>DL286-DM286-DN286-DO286</f>
        <v>43450</v>
      </c>
      <c r="DQ286">
        <f>_xlfn.XLOOKUP(B286,'[12]february-2026'!$A:$A,'[12]february-2026'!$C:$C,0,0)</f>
        <v>35500</v>
      </c>
      <c r="DR286">
        <f>DQ286*0.18</f>
        <v>6390</v>
      </c>
      <c r="DS286">
        <f>DQ286*0.12</f>
        <v>4260</v>
      </c>
      <c r="DT286">
        <f>_xlfn.XLOOKUP(B286,'[12]february-2026'!$A:$A,'[12]february-2026'!$D:$D,0,0)</f>
        <v>0</v>
      </c>
      <c r="DU286">
        <f>_xlfn.XLOOKUP(B286,'[12]february-2026'!$A:$A,'[12]february-2026'!$G:$G,0,0)</f>
        <v>500</v>
      </c>
      <c r="DV286">
        <f>IF(DQ286&gt;0,SUM(DQ286:DU286),0)</f>
        <v>46650</v>
      </c>
      <c r="DW286">
        <f>_xlfn.XLOOKUP(B286,'[12]february-2026'!$A:$A,'[12]february-2026'!$H:$H,0,0)</f>
        <v>3000</v>
      </c>
      <c r="DX286">
        <f>_xlfn.XLOOKUP(B286,'[12]february-2026'!$A:$A,'[12]february-2026'!$I:$I,0,0)</f>
        <v>0</v>
      </c>
      <c r="DY286">
        <f>IF($F286="YES",0,IF(DV286&gt;40000,200,IF(DV286&gt;25000,150,IF(DV286&gt;15000,130,IF(DV286&gt;10000,110,0)))))</f>
        <v>200</v>
      </c>
      <c r="DZ286">
        <f>DV286-DW286-DX286-DY286</f>
        <v>43450</v>
      </c>
      <c r="EA286">
        <f>DV286+DL286+DB286+CR286+CH286+BX286+BN286+BD286+AS286+AI286+Y286+O286+H286+I286</f>
        <v>560020</v>
      </c>
      <c r="EB286">
        <f>DY286+DO286+DE286+CU286+CK286+CA286+BQ286+BG286+AV286+AL286+AB286+R286</f>
        <v>2400</v>
      </c>
      <c r="EC286">
        <f>IF(EA286&gt;0,50000,0)</f>
        <v>50000</v>
      </c>
      <c r="ED286">
        <v>0</v>
      </c>
      <c r="EE286">
        <f>EA286-EB286-EC286</f>
        <v>507620</v>
      </c>
      <c r="EF286">
        <f>DW286+DM286+DC286+CS286+CI286+BY286+BO286+BE286+AT286+AJ286+Z286+P286</f>
        <v>36000</v>
      </c>
      <c r="EG286">
        <f>DX286+DN286+DD286+CT286+CJ286+BZ286+BP286+BF286+AU286+AK286+AA286+Q286</f>
        <v>0</v>
      </c>
      <c r="EH286">
        <v>0</v>
      </c>
      <c r="EI286">
        <v>0</v>
      </c>
      <c r="EJ286">
        <v>0</v>
      </c>
      <c r="EK286">
        <v>0</v>
      </c>
      <c r="EL286">
        <v>0</v>
      </c>
      <c r="EM286">
        <v>0</v>
      </c>
      <c r="EN286">
        <v>0</v>
      </c>
      <c r="EO286">
        <v>0</v>
      </c>
      <c r="EP286">
        <v>0</v>
      </c>
      <c r="EQ286">
        <v>0</v>
      </c>
      <c r="ER286">
        <f>SUM(EF286:EQ286)</f>
        <v>36000</v>
      </c>
      <c r="ES286">
        <f>IF(ER286&gt;=150000,150000,ER286)</f>
        <v>36000</v>
      </c>
      <c r="ET286">
        <f>EE286-ES286</f>
        <v>471620</v>
      </c>
      <c r="EU286">
        <v>0</v>
      </c>
      <c r="EV286">
        <v>0</v>
      </c>
      <c r="EW286">
        <v>0</v>
      </c>
      <c r="EX286">
        <v>0</v>
      </c>
      <c r="EY286">
        <v>0</v>
      </c>
      <c r="EZ286">
        <v>0</v>
      </c>
      <c r="FA286">
        <v>0</v>
      </c>
      <c r="FB286">
        <f>SUM(EU286:FA286)+(IF(F286="YES",50000,0))</f>
        <v>0</v>
      </c>
      <c r="FC286">
        <f>ET286-FB286</f>
        <v>471620</v>
      </c>
      <c r="FD286">
        <f>ROUND(IF(FC286&gt;0,IF(FC286&gt;500000,12500,(FC286-250000)*0.05),0),0)</f>
        <v>11081</v>
      </c>
      <c r="FE286">
        <f>IF(ROUND(IF(FC286&gt;0,IF(FC286&gt;1000000,25000,(FC286-500000)*0.2),0),0)&lt;0,0,ROUND(IF(FC286&gt;0,IF(FC286&gt;1000000,25000,(FC286-500000)*0.2),0),0))</f>
        <v>0</v>
      </c>
      <c r="FF286">
        <f>FD286+FE286</f>
        <v>11081</v>
      </c>
      <c r="FG286">
        <f>IF(FF286&lt;12500,0,FF286)</f>
        <v>0</v>
      </c>
      <c r="FH286">
        <f>FG286*0.04</f>
        <v>0</v>
      </c>
      <c r="FI286">
        <f>ROUND(FH286+FG286,0)</f>
        <v>0</v>
      </c>
      <c r="FJ286">
        <v>0</v>
      </c>
      <c r="FK286">
        <f>FI286-FJ286</f>
        <v>0</v>
      </c>
      <c r="FL286" t="b">
        <f>IF(EA286&gt;500000,TRUE,FALSE)</f>
        <v>1</v>
      </c>
      <c r="FM286">
        <f ca="1">IF(FL286,RANDBETWEEN(500,1000),RANDBETWEEN(1000,3000))</f>
        <v>653</v>
      </c>
      <c r="FN286">
        <f ca="1">EA286+FM286</f>
        <v>560673</v>
      </c>
      <c r="FO286">
        <f>IF(EA286&gt;0,75000,0)</f>
        <v>75000</v>
      </c>
      <c r="FP286">
        <f ca="1">FN286-FO286</f>
        <v>485673</v>
      </c>
      <c r="FQ286">
        <f ca="1">IF(FP286&gt;2400000,FP286-2400000,0)</f>
        <v>0</v>
      </c>
      <c r="FR286">
        <f ca="1">FQ286*0.3</f>
        <v>0</v>
      </c>
      <c r="FS286">
        <f ca="1">IF(FP286&gt;2000000,FP286-2000000,0)</f>
        <v>0</v>
      </c>
      <c r="FT286">
        <f ca="1">FS286*0.25</f>
        <v>0</v>
      </c>
      <c r="FU286">
        <f ca="1">IF(FP286&gt;1600000,FP286-1600000-FQ286,0)</f>
        <v>0</v>
      </c>
      <c r="FV286">
        <f ca="1">FU286*0.2</f>
        <v>0</v>
      </c>
      <c r="FW286">
        <f ca="1">IF(FP286&gt;1200000,FP286-1200000-IF(F286="YES",50000,0)-FU286,0)</f>
        <v>0</v>
      </c>
      <c r="FX286">
        <f ca="1">FW286*0.15</f>
        <v>0</v>
      </c>
      <c r="FY286">
        <f ca="1">IF(FP286&gt;800000,FP286-800000-FQ286-FU286-FW286,0)</f>
        <v>0</v>
      </c>
      <c r="FZ286">
        <f ca="1">FY286*0.1</f>
        <v>0</v>
      </c>
      <c r="GA286">
        <f ca="1">IF(FP286&gt;400000,FP286-400000-FQ286-FU286-FW286-FY286,0)</f>
        <v>85673</v>
      </c>
      <c r="GB286">
        <f ca="1">GA286*0.05</f>
        <v>4283.6500000000005</v>
      </c>
      <c r="GC286">
        <f ca="1">ROUND(FR286+FT286+FV286+FX286+FZ286+GB286,0)</f>
        <v>4284</v>
      </c>
      <c r="GD286">
        <f ca="1">IF(FP286&gt;1200000,FP286,0)</f>
        <v>0</v>
      </c>
      <c r="GE286">
        <f ca="1">IF(FP286&gt;1200000,GD286-1200000,0)</f>
        <v>0</v>
      </c>
      <c r="GF286">
        <f ca="1">IF(FP286&lt;1200001,MIN(GC286,60000),0)</f>
        <v>4284</v>
      </c>
      <c r="GG286">
        <f ca="1">IF(FP286&gt;1200000,GC286-GE286,0)</f>
        <v>0</v>
      </c>
      <c r="GH286" t="b">
        <f ca="1">IF(GG286&gt;0,TRUE,FALSE)</f>
        <v>0</v>
      </c>
      <c r="GI286">
        <f ca="1">IF(GH286,GG286,0)</f>
        <v>0</v>
      </c>
      <c r="GJ286">
        <f ca="1">GF286+GI286</f>
        <v>4284</v>
      </c>
      <c r="GK286">
        <f ca="1">ROUND(GC286-GJ286,0)</f>
        <v>0</v>
      </c>
      <c r="GL286">
        <f ca="1">GK286*0.04</f>
        <v>0</v>
      </c>
      <c r="GM286">
        <f ca="1">ROUNDUP(GK286+GL286,0)</f>
        <v>0</v>
      </c>
    </row>
    <row r="287" spans="1:195" x14ac:dyDescent="0.25">
      <c r="A287">
        <f>_xlfn.AGGREGATE(3,5,$B$2:B287)</f>
        <v>286</v>
      </c>
      <c r="B287" t="s">
        <v>679</v>
      </c>
      <c r="C287" t="s">
        <v>680</v>
      </c>
      <c r="D287" t="s">
        <v>827</v>
      </c>
      <c r="E287" t="s">
        <v>833</v>
      </c>
      <c r="F287" t="s">
        <v>959</v>
      </c>
      <c r="G287" t="s">
        <v>880</v>
      </c>
      <c r="H287">
        <f>IF(_xlfn.DAYS("31-03-2025",G287)&gt;=180,6800,0)</f>
        <v>6800</v>
      </c>
      <c r="I287">
        <f>_xlfn.XLOOKUP(B287,'[1]march-2025'!$A:$A,'[1]march-2025'!$J:$J,0,0)</f>
        <v>0</v>
      </c>
      <c r="J287">
        <f>_xlfn.XLOOKUP(B287,'[1]march-2025'!$A:$A,'[1]march-2025'!$C:$C,0,0)</f>
        <v>34500</v>
      </c>
      <c r="K287">
        <f>J287*0.14</f>
        <v>4830.0000000000009</v>
      </c>
      <c r="L287">
        <f>J287*0.12</f>
        <v>4140</v>
      </c>
      <c r="M287">
        <f>_xlfn.XLOOKUP(B287,'[1]march-2025'!$A:$A,'[1]march-2025'!$D:$D,0,0)</f>
        <v>0</v>
      </c>
      <c r="N287">
        <f>_xlfn.XLOOKUP(B287,'[1]march-2025'!$A:$A,'[1]march-2025'!$G:$G,0,0)</f>
        <v>500</v>
      </c>
      <c r="O287">
        <f>IF(J287&gt;0,SUM(J287:N287),0)</f>
        <v>43970</v>
      </c>
      <c r="P287">
        <f>_xlfn.XLOOKUP(B287,'[1]march-2025'!$A:$A,'[1]march-2025'!$H:$H,0,0)</f>
        <v>2500</v>
      </c>
      <c r="Q287">
        <f>_xlfn.XLOOKUP(B287,'[1]march-2025'!$A:$A,'[1]march-2025'!$I:$I,0,0)</f>
        <v>0</v>
      </c>
      <c r="R287">
        <f>IF($F287="YES",0,IF(O287&gt;40000,200,IF(O287&gt;25000,150,IF(O287&gt;15000,130,IF(O287&gt;10000,110,0)))))</f>
        <v>200</v>
      </c>
      <c r="S287">
        <f>O287-P287-Q287-R287</f>
        <v>41270</v>
      </c>
      <c r="T287">
        <f>_xlfn.XLOOKUP(B287,'[2]april-2025'!$A:$A,'[2]april-2025'!$C:$C,0,0)</f>
        <v>34500</v>
      </c>
      <c r="U287">
        <f>T287*0.18</f>
        <v>6210</v>
      </c>
      <c r="V287">
        <f>T287*0.12</f>
        <v>4140</v>
      </c>
      <c r="W287">
        <f>_xlfn.XLOOKUP(B287,'[2]april-2025'!$A:$A,'[2]april-2025'!$D:$D,0,0)</f>
        <v>0</v>
      </c>
      <c r="X287">
        <f>_xlfn.XLOOKUP(B287,'[2]april-2025'!$A:$A,'[2]april-2025'!$G:$G,0,0)</f>
        <v>500</v>
      </c>
      <c r="Y287">
        <f>IF(T287&gt;0,SUM(T287:X287),0)</f>
        <v>45350</v>
      </c>
      <c r="Z287">
        <f>_xlfn.XLOOKUP(B287,'[2]april-2025'!$A:$A,'[2]april-2025'!$H:$H,0,0)</f>
        <v>2500</v>
      </c>
      <c r="AA287">
        <f>_xlfn.XLOOKUP(B287,'[2]april-2025'!$A:$A,'[2]april-2025'!$I:$I,0,0)</f>
        <v>0</v>
      </c>
      <c r="AB287">
        <f>IF($F287="YES",0,IF(Y287&gt;40000,200,IF(Y287&gt;25000,150,IF(Y287&gt;15000,130,IF(Y287&gt;10000,110,0)))))</f>
        <v>200</v>
      </c>
      <c r="AC287">
        <f>Y287-Z287-AA287-AB287</f>
        <v>42650</v>
      </c>
      <c r="AD287">
        <f>_xlfn.XLOOKUP(B287,'[3]may-2025'!$A:$A,'[3]may-2025'!$C:$C,0,0)</f>
        <v>34500</v>
      </c>
      <c r="AE287">
        <f>AD287*0.18</f>
        <v>6210</v>
      </c>
      <c r="AF287">
        <f>AD287*0.12</f>
        <v>4140</v>
      </c>
      <c r="AG287">
        <f>_xlfn.XLOOKUP(B287,'[3]may-2025'!$A:$A,'[3]may-2025'!$D:$D,0,0)</f>
        <v>0</v>
      </c>
      <c r="AH287">
        <f>_xlfn.XLOOKUP(B287,'[3]may-2025'!$A:$A,'[3]may-2025'!$G:$G,0,0)</f>
        <v>500</v>
      </c>
      <c r="AI287">
        <f>IF(AD287&gt;0,SUM(AD287:AH287),0)</f>
        <v>45350</v>
      </c>
      <c r="AJ287">
        <f>_xlfn.XLOOKUP(B287,'[3]may-2025'!$A:$A,'[3]may-2025'!$H:$H,0,0)</f>
        <v>2500</v>
      </c>
      <c r="AK287">
        <f>_xlfn.XLOOKUP(B287,'[3]may-2025'!$A:$A,'[3]may-2025'!$I:$I,0,0)</f>
        <v>0</v>
      </c>
      <c r="AL287">
        <f>IF($F287="YES",0,IF(AI287&gt;40000,200,IF(AI287&gt;25000,150,IF(AI287&gt;15000,130,IF(AI287&gt;10000,110,0)))))</f>
        <v>200</v>
      </c>
      <c r="AM287">
        <f>AI287-AJ287-AK287-AL287</f>
        <v>42650</v>
      </c>
      <c r="AN287">
        <f>_xlfn.XLOOKUP(B287,'[4]june-2025'!$A:$A,'[4]june-2025'!$C:$C,0,0)</f>
        <v>34500</v>
      </c>
      <c r="AO287">
        <f>AN287*0.18</f>
        <v>6210</v>
      </c>
      <c r="AP287">
        <f>AN287*0.12</f>
        <v>4140</v>
      </c>
      <c r="AQ287">
        <f>_xlfn.XLOOKUP(B287,'[4]june-2025'!$A:$A,'[4]june-2025'!$D:$D,0,0)</f>
        <v>0</v>
      </c>
      <c r="AR287">
        <f>_xlfn.XLOOKUP(B287,'[4]june-2025'!$A:$A,'[4]june-2025'!$G:$G,0,0)</f>
        <v>500</v>
      </c>
      <c r="AS287">
        <f>IF(AN287&gt;0,SUM(AN287:AR287),0)</f>
        <v>45350</v>
      </c>
      <c r="AT287">
        <f>_xlfn.XLOOKUP(B287,'[4]june-2025'!$A:$A,'[4]june-2025'!$H:$H,0,0)</f>
        <v>2500</v>
      </c>
      <c r="AU287">
        <f>_xlfn.XLOOKUP(B287,'[4]june-2025'!$A:$A,'[4]june-2025'!$I:$I,0,0)</f>
        <v>0</v>
      </c>
      <c r="AV287">
        <f>IF($F287="YES",0,IF(AS287&gt;40000,200,IF(AS287&gt;25000,150,IF(AS287&gt;15000,130,IF(AS287&gt;10000,110,0)))))</f>
        <v>200</v>
      </c>
      <c r="AW287">
        <f>AS287-AT287-AU287-AV287</f>
        <v>42650</v>
      </c>
      <c r="AX287">
        <f>_xlfn.XLOOKUP(B287,'[5]july-2025'!$A:$A,'[5]july-2025'!$C:$C,0,0)</f>
        <v>35500</v>
      </c>
      <c r="AY287">
        <f>AX287*0.18</f>
        <v>6390</v>
      </c>
      <c r="AZ287">
        <v>0</v>
      </c>
      <c r="BA287">
        <f>AX287*0.12</f>
        <v>4260</v>
      </c>
      <c r="BB287">
        <f>_xlfn.XLOOKUP(B287,'[5]july-2025'!$A:$A,'[5]july-2025'!$D:$D,0,0)</f>
        <v>0</v>
      </c>
      <c r="BC287">
        <f>_xlfn.XLOOKUP(B287,'[5]july-2025'!$A:$A,'[5]july-2025'!$G:$G,0,0)</f>
        <v>500</v>
      </c>
      <c r="BD287">
        <f>IF(AX287&gt;0,SUM(AX287:BC287),0)</f>
        <v>46650</v>
      </c>
      <c r="BE287">
        <f>_xlfn.XLOOKUP(B287,'[5]july-2025'!$A:$A,'[5]july-2025'!$H:$H,0,0)</f>
        <v>2500</v>
      </c>
      <c r="BF287">
        <f>_xlfn.XLOOKUP(B287,'[5]july-2025'!$A:$A,'[5]july-2025'!$I:$I,0,0)</f>
        <v>0</v>
      </c>
      <c r="BG287">
        <f>IF($F287="YES",0,IF(BD287&gt;40000,200,IF(BD287&gt;25000,150,IF(BD287&gt;15000,130,IF(BD287&gt;10000,110,0)))))</f>
        <v>200</v>
      </c>
      <c r="BH287">
        <f>BD287-BE287-BF287-BG287</f>
        <v>43950</v>
      </c>
      <c r="BI287">
        <f>_xlfn.XLOOKUP(B287,'[6]august-2025'!$A:$A,'[6]august-2025'!$C:$C,0,0)</f>
        <v>35500</v>
      </c>
      <c r="BJ287">
        <f>BI287*0.18</f>
        <v>6390</v>
      </c>
      <c r="BK287">
        <f>BI287*0.12</f>
        <v>4260</v>
      </c>
      <c r="BL287">
        <f>_xlfn.XLOOKUP(B287,'[6]august-2025'!$A:$A,'[6]august-2025'!$D:$D,0,0)</f>
        <v>0</v>
      </c>
      <c r="BM287">
        <f>_xlfn.XLOOKUP(B287,'[6]august-2025'!$A:$A,'[6]august-2025'!$G:$G,0,0)</f>
        <v>500</v>
      </c>
      <c r="BN287">
        <f>IF(BI287&gt;0,SUM(BI287:BM287),0)</f>
        <v>46650</v>
      </c>
      <c r="BO287">
        <f>_xlfn.XLOOKUP(B287,'[6]august-2025'!$A:$A,'[6]august-2025'!$H:$H,0,0)</f>
        <v>2500</v>
      </c>
      <c r="BP287">
        <f>_xlfn.XLOOKUP(B287,'[6]august-2025'!$A:$A,'[6]august-2025'!$I:$I,0,0)</f>
        <v>0</v>
      </c>
      <c r="BQ287">
        <f>IF($F287="YES",0,IF(BN287&gt;40000,200,IF(BN287&gt;25000,150,IF(BN287&gt;15000,130,IF(BN287&gt;10000,110,0)))))</f>
        <v>200</v>
      </c>
      <c r="BR287">
        <f>BN287-BO287-BP287-BQ287</f>
        <v>43950</v>
      </c>
      <c r="BS287">
        <f>_xlfn.XLOOKUP(B287,'[7]september-2025'!$A:$A,'[7]september-2025'!$C:$C,0,0)</f>
        <v>35500</v>
      </c>
      <c r="BT287">
        <f>BS287*0.18</f>
        <v>6390</v>
      </c>
      <c r="BU287">
        <f>BS287*0.12</f>
        <v>4260</v>
      </c>
      <c r="BV287">
        <f>_xlfn.XLOOKUP(B287,'[7]september-2025'!$A:$A,'[7]september-2025'!$D:$D,0,0)</f>
        <v>0</v>
      </c>
      <c r="BW287">
        <f>_xlfn.XLOOKUP(B287,'[7]september-2025'!$A:$A,'[7]september-2025'!$G:$G,0,0)</f>
        <v>500</v>
      </c>
      <c r="BX287">
        <f>IF(BS287&gt;0,SUM(BS287:BW287),0)</f>
        <v>46650</v>
      </c>
      <c r="BY287">
        <f>_xlfn.XLOOKUP(B287,'[7]september-2025'!$A:$A,'[7]september-2025'!$H:$H,0,0)</f>
        <v>2500</v>
      </c>
      <c r="BZ287">
        <f>_xlfn.XLOOKUP(B287,'[7]september-2025'!$A:$A,'[7]september-2025'!$I:$I,0,0)</f>
        <v>0</v>
      </c>
      <c r="CA287">
        <f>IF($F287="YES",0,IF(BX287&gt;40000,200,IF(BX287&gt;25000,150,IF(BX287&gt;15000,130,IF(BX287&gt;10000,110,0)))))</f>
        <v>200</v>
      </c>
      <c r="CB287">
        <f>BX287-BY287-BZ287-CA287</f>
        <v>43950</v>
      </c>
      <c r="CC287">
        <f>_xlfn.XLOOKUP(B287,'[8]october-2025'!$A:$A,'[8]october-2025'!$C:$C,0,0)</f>
        <v>35500</v>
      </c>
      <c r="CD287">
        <f>CC287*0.18</f>
        <v>6390</v>
      </c>
      <c r="CE287">
        <f>CC287*0.12</f>
        <v>4260</v>
      </c>
      <c r="CF287">
        <f>_xlfn.XLOOKUP(B287,'[8]october-2025'!$A:$A,'[8]october-2025'!$D:$D,0,0)</f>
        <v>0</v>
      </c>
      <c r="CG287">
        <f>_xlfn.XLOOKUP(B287,'[8]october-2025'!$A:$A,'[8]october-2025'!$G:$G,0,0)</f>
        <v>500</v>
      </c>
      <c r="CH287">
        <f>IF(CC287&gt;0,SUM(CC287:CG287),0)</f>
        <v>46650</v>
      </c>
      <c r="CI287">
        <f>_xlfn.XLOOKUP(B287,'[8]october-2025'!$A:$A,'[8]october-2025'!$H:$H,0,0)</f>
        <v>2500</v>
      </c>
      <c r="CJ287">
        <f>_xlfn.XLOOKUP(B287,'[8]october-2025'!$A:$A,'[8]october-2025'!$I:$I,0,0)</f>
        <v>0</v>
      </c>
      <c r="CK287">
        <f>IF($F287="YES",0,IF(CH287&gt;40000,200,IF(CH287&gt;25000,150,IF(CH287&gt;15000,130,IF(CH287&gt;10000,110,0)))))</f>
        <v>200</v>
      </c>
      <c r="CL287">
        <f>CH287-CI287-CJ287-CK287</f>
        <v>43950</v>
      </c>
      <c r="CM287">
        <f>_xlfn.XLOOKUP(B287,'[9]november-2025'!$A:$A,'[9]november-2025'!$C:$C,0,0)</f>
        <v>35500</v>
      </c>
      <c r="CN287">
        <f>CM287*0.18</f>
        <v>6390</v>
      </c>
      <c r="CO287">
        <f>CM287*0.12</f>
        <v>4260</v>
      </c>
      <c r="CP287">
        <f>_xlfn.XLOOKUP(B287,'[9]november-2025'!$A:$A,'[9]november-2025'!$D:$D,0,0)</f>
        <v>0</v>
      </c>
      <c r="CQ287">
        <f>_xlfn.XLOOKUP(B287,'[9]november-2025'!$A:$A,'[9]november-2025'!$G:$G,0,0)</f>
        <v>500</v>
      </c>
      <c r="CR287">
        <f>IF(CM287&gt;0,SUM(CM287:CQ287),0)</f>
        <v>46650</v>
      </c>
      <c r="CS287">
        <f>_xlfn.XLOOKUP(B287,'[9]november-2025'!$A:$A,'[9]november-2025'!$H:$H,0,0)</f>
        <v>2500</v>
      </c>
      <c r="CT287">
        <f>_xlfn.XLOOKUP(B287,'[9]november-2025'!$A:$A,'[9]november-2025'!$I:$I,0,0)</f>
        <v>0</v>
      </c>
      <c r="CU287">
        <f>IF($F287="YES",0,IF(CR287&gt;40000,200,IF(CR287&gt;25000,150,IF(CR287&gt;15000,130,IF(CR287&gt;10000,110,0)))))</f>
        <v>200</v>
      </c>
      <c r="CV287">
        <f>CR287-CS287-CT287-CU287</f>
        <v>43950</v>
      </c>
      <c r="CW287">
        <f>_xlfn.XLOOKUP(B287,'[10]december-2025'!$A:$A,'[10]december-2025'!$C:$C,0,0)</f>
        <v>35500</v>
      </c>
      <c r="CX287">
        <f>ROUND(CW287*0.18,0)</f>
        <v>6390</v>
      </c>
      <c r="CY287">
        <f>ROUND(CW287*0.12,0)</f>
        <v>4260</v>
      </c>
      <c r="CZ287">
        <f>_xlfn.XLOOKUP(B287,'[10]december-2025'!$A:$A,'[10]december-2025'!$D:$D,0,0)</f>
        <v>0</v>
      </c>
      <c r="DA287">
        <f>_xlfn.XLOOKUP(B287,'[10]december-2025'!$A:$A,'[10]december-2025'!$G:$G,0,0)</f>
        <v>500</v>
      </c>
      <c r="DB287">
        <f>IF(CW287&gt;0,SUM(CW287:DA287),0)</f>
        <v>46650</v>
      </c>
      <c r="DC287">
        <f>_xlfn.XLOOKUP(B287,'[10]december-2025'!$A:$A,'[10]december-2025'!$H:$H,0,0)</f>
        <v>2500</v>
      </c>
      <c r="DD287">
        <f>_xlfn.XLOOKUP(B287,'[10]december-2025'!$A:$A,'[10]december-2025'!$I:$I,0,0)</f>
        <v>0</v>
      </c>
      <c r="DE287">
        <f>IF($F287="YES",0,IF(DB287&gt;40000,200,IF(DB287&gt;25000,150,IF(DB287&gt;15000,130,IF(DB287&gt;10000,110,0)))))</f>
        <v>200</v>
      </c>
      <c r="DF287">
        <f>DB287-DC287-DD287-DE287</f>
        <v>43950</v>
      </c>
      <c r="DG287">
        <f>_xlfn.XLOOKUP(B287,'[11]january-2026'!$A:$A,'[11]january-2026'!$C:$C,0,0)</f>
        <v>35500</v>
      </c>
      <c r="DH287">
        <f>DG287*0.18</f>
        <v>6390</v>
      </c>
      <c r="DI287">
        <f>DG287*0.12</f>
        <v>4260</v>
      </c>
      <c r="DJ287">
        <f>_xlfn.XLOOKUP(B287,'[11]january-2026'!$A:$A,'[11]january-2026'!$D:$D,0,0)</f>
        <v>0</v>
      </c>
      <c r="DK287">
        <f>_xlfn.XLOOKUP(B287,'[11]january-2026'!$A:$A,'[11]january-2026'!$G:$G,0,0)</f>
        <v>500</v>
      </c>
      <c r="DL287">
        <f>IF(DG287&gt;0,SUM(DG287:DK287),0)</f>
        <v>46650</v>
      </c>
      <c r="DM287">
        <f>_xlfn.XLOOKUP(B287,'[11]january-2026'!$A:$A,'[11]january-2026'!$H:$H,0,0)</f>
        <v>2500</v>
      </c>
      <c r="DN287">
        <f>_xlfn.XLOOKUP(B287,'[11]january-2026'!$A:$A,'[11]january-2026'!$I:$I,0,0)</f>
        <v>0</v>
      </c>
      <c r="DO287">
        <f>IF($F287="YES",0,IF(DL287&gt;40000,200,IF(DL287&gt;25000,150,IF(DL287&gt;15000,130,IF(DL287&gt;10000,110,0)))))</f>
        <v>200</v>
      </c>
      <c r="DP287">
        <f>DL287-DM287-DN287-DO287</f>
        <v>43950</v>
      </c>
      <c r="DQ287">
        <f>_xlfn.XLOOKUP(B287,'[12]february-2026'!$A:$A,'[12]february-2026'!$C:$C,0,0)</f>
        <v>35500</v>
      </c>
      <c r="DR287">
        <f>DQ287*0.18</f>
        <v>6390</v>
      </c>
      <c r="DS287">
        <f>DQ287*0.12</f>
        <v>4260</v>
      </c>
      <c r="DT287">
        <f>_xlfn.XLOOKUP(B287,'[12]february-2026'!$A:$A,'[12]february-2026'!$D:$D,0,0)</f>
        <v>0</v>
      </c>
      <c r="DU287">
        <f>_xlfn.XLOOKUP(B287,'[12]february-2026'!$A:$A,'[12]february-2026'!$G:$G,0,0)</f>
        <v>500</v>
      </c>
      <c r="DV287">
        <f>IF(DQ287&gt;0,SUM(DQ287:DU287),0)</f>
        <v>46650</v>
      </c>
      <c r="DW287">
        <f>_xlfn.XLOOKUP(B287,'[12]february-2026'!$A:$A,'[12]february-2026'!$H:$H,0,0)</f>
        <v>2500</v>
      </c>
      <c r="DX287">
        <f>_xlfn.XLOOKUP(B287,'[12]february-2026'!$A:$A,'[12]february-2026'!$I:$I,0,0)</f>
        <v>0</v>
      </c>
      <c r="DY287">
        <f>IF($F287="YES",0,IF(DV287&gt;40000,200,IF(DV287&gt;25000,150,IF(DV287&gt;15000,130,IF(DV287&gt;10000,110,0)))))</f>
        <v>200</v>
      </c>
      <c r="DZ287">
        <f>DV287-DW287-DX287-DY287</f>
        <v>43950</v>
      </c>
      <c r="EA287">
        <f>DV287+DL287+DB287+CR287+CH287+BX287+BN287+BD287+AS287+AI287+Y287+O287+H287+I287</f>
        <v>560020</v>
      </c>
      <c r="EB287">
        <f>DY287+DO287+DE287+CU287+CK287+CA287+BQ287+BG287+AV287+AL287+AB287+R287</f>
        <v>2400</v>
      </c>
      <c r="EC287">
        <f>IF(EA287&gt;0,50000,0)</f>
        <v>50000</v>
      </c>
      <c r="ED287">
        <v>0</v>
      </c>
      <c r="EE287">
        <f>EA287-EB287-EC287</f>
        <v>507620</v>
      </c>
      <c r="EF287">
        <f>DW287+DM287+DC287+CS287+CI287+BY287+BO287+BE287+AT287+AJ287+Z287+P287</f>
        <v>30000</v>
      </c>
      <c r="EG287">
        <f>DX287+DN287+DD287+CT287+CJ287+BZ287+BP287+BF287+AU287+AK287+AA287+Q287</f>
        <v>0</v>
      </c>
      <c r="EH287">
        <v>0</v>
      </c>
      <c r="EI287">
        <v>0</v>
      </c>
      <c r="EJ287">
        <v>0</v>
      </c>
      <c r="EK287">
        <v>0</v>
      </c>
      <c r="EL287">
        <v>0</v>
      </c>
      <c r="EM287">
        <v>0</v>
      </c>
      <c r="EN287">
        <v>0</v>
      </c>
      <c r="EO287">
        <v>0</v>
      </c>
      <c r="EP287">
        <v>0</v>
      </c>
      <c r="EQ287">
        <v>0</v>
      </c>
      <c r="ER287">
        <f>SUM(EF287:EQ287)</f>
        <v>30000</v>
      </c>
      <c r="ES287">
        <f>IF(ER287&gt;=150000,150000,ER287)</f>
        <v>30000</v>
      </c>
      <c r="ET287">
        <f>EE287-ES287</f>
        <v>477620</v>
      </c>
      <c r="EU287">
        <v>0</v>
      </c>
      <c r="EV287">
        <v>0</v>
      </c>
      <c r="EW287">
        <v>0</v>
      </c>
      <c r="EX287">
        <v>0</v>
      </c>
      <c r="EY287">
        <v>0</v>
      </c>
      <c r="EZ287">
        <v>0</v>
      </c>
      <c r="FA287">
        <v>0</v>
      </c>
      <c r="FB287">
        <f>SUM(EU287:FA287)+(IF(F287="YES",50000,0))</f>
        <v>0</v>
      </c>
      <c r="FC287">
        <f>ET287-FB287</f>
        <v>477620</v>
      </c>
      <c r="FD287">
        <f>ROUND(IF(FC287&gt;0,IF(FC287&gt;500000,12500,(FC287-250000)*0.05),0),0)</f>
        <v>11381</v>
      </c>
      <c r="FE287">
        <f>IF(ROUND(IF(FC287&gt;0,IF(FC287&gt;1000000,25000,(FC287-500000)*0.2),0),0)&lt;0,0,ROUND(IF(FC287&gt;0,IF(FC287&gt;1000000,25000,(FC287-500000)*0.2),0),0))</f>
        <v>0</v>
      </c>
      <c r="FF287">
        <f>FD287+FE287</f>
        <v>11381</v>
      </c>
      <c r="FG287">
        <f>IF(FF287&lt;12500,0,FF287)</f>
        <v>0</v>
      </c>
      <c r="FH287">
        <f>FG287*0.04</f>
        <v>0</v>
      </c>
      <c r="FI287">
        <f>ROUND(FH287+FG287,0)</f>
        <v>0</v>
      </c>
      <c r="FJ287">
        <v>0</v>
      </c>
      <c r="FK287">
        <f>FI287-FJ287</f>
        <v>0</v>
      </c>
      <c r="FL287" t="b">
        <f>IF(EA287&gt;500000,TRUE,FALSE)</f>
        <v>1</v>
      </c>
      <c r="FM287">
        <f ca="1">IF(FL287,RANDBETWEEN(500,1000),RANDBETWEEN(1000,3000))</f>
        <v>949</v>
      </c>
      <c r="FN287">
        <f ca="1">EA287+FM287</f>
        <v>560969</v>
      </c>
      <c r="FO287">
        <f>IF(EA287&gt;0,75000,0)</f>
        <v>75000</v>
      </c>
      <c r="FP287">
        <f ca="1">FN287-FO287</f>
        <v>485969</v>
      </c>
      <c r="FQ287">
        <f ca="1">IF(FP287&gt;2400000,FP287-2400000,0)</f>
        <v>0</v>
      </c>
      <c r="FR287">
        <f ca="1">FQ287*0.3</f>
        <v>0</v>
      </c>
      <c r="FS287">
        <f ca="1">IF(FP287&gt;2000000,FP287-2000000,0)</f>
        <v>0</v>
      </c>
      <c r="FT287">
        <f ca="1">FS287*0.25</f>
        <v>0</v>
      </c>
      <c r="FU287">
        <f ca="1">IF(FP287&gt;1600000,FP287-1600000-FQ287,0)</f>
        <v>0</v>
      </c>
      <c r="FV287">
        <f ca="1">FU287*0.2</f>
        <v>0</v>
      </c>
      <c r="FW287">
        <f ca="1">IF(FP287&gt;1200000,FP287-1200000-IF(F287="YES",50000,0)-FU287,0)</f>
        <v>0</v>
      </c>
      <c r="FX287">
        <f ca="1">FW287*0.15</f>
        <v>0</v>
      </c>
      <c r="FY287">
        <f ca="1">IF(FP287&gt;800000,FP287-800000-FQ287-FU287-FW287,0)</f>
        <v>0</v>
      </c>
      <c r="FZ287">
        <f ca="1">FY287*0.1</f>
        <v>0</v>
      </c>
      <c r="GA287">
        <f ca="1">IF(FP287&gt;400000,FP287-400000-FQ287-FU287-FW287-FY287,0)</f>
        <v>85969</v>
      </c>
      <c r="GB287">
        <f ca="1">GA287*0.05</f>
        <v>4298.45</v>
      </c>
      <c r="GC287">
        <f ca="1">ROUND(FR287+FT287+FV287+FX287+FZ287+GB287,0)</f>
        <v>4298</v>
      </c>
      <c r="GD287">
        <f ca="1">IF(FP287&gt;1200000,FP287,0)</f>
        <v>0</v>
      </c>
      <c r="GE287">
        <f ca="1">IF(FP287&gt;1200000,GD287-1200000,0)</f>
        <v>0</v>
      </c>
      <c r="GF287">
        <f ca="1">IF(FP287&lt;1200001,MIN(GC287,60000),0)</f>
        <v>4298</v>
      </c>
      <c r="GG287">
        <f ca="1">IF(FP287&gt;1200000,GC287-GE287,0)</f>
        <v>0</v>
      </c>
      <c r="GH287" t="b">
        <f ca="1">IF(GG287&gt;0,TRUE,FALSE)</f>
        <v>0</v>
      </c>
      <c r="GI287">
        <f ca="1">IF(GH287,GG287,0)</f>
        <v>0</v>
      </c>
      <c r="GJ287">
        <f ca="1">GF287+GI287</f>
        <v>4298</v>
      </c>
      <c r="GK287">
        <f ca="1">ROUND(GC287-GJ287,0)</f>
        <v>0</v>
      </c>
      <c r="GL287">
        <f ca="1">GK287*0.04</f>
        <v>0</v>
      </c>
      <c r="GM287">
        <f ca="1">ROUNDUP(GK287+GL287,0)</f>
        <v>0</v>
      </c>
    </row>
    <row r="288" spans="1:195" x14ac:dyDescent="0.25">
      <c r="A288">
        <f>_xlfn.AGGREGATE(3,5,$B$2:B288)</f>
        <v>287</v>
      </c>
      <c r="B288" t="s">
        <v>681</v>
      </c>
      <c r="C288" t="s">
        <v>682</v>
      </c>
      <c r="D288" t="s">
        <v>827</v>
      </c>
      <c r="E288" t="s">
        <v>833</v>
      </c>
      <c r="F288" t="s">
        <v>959</v>
      </c>
      <c r="G288" t="s">
        <v>881</v>
      </c>
      <c r="H288">
        <f>IF(_xlfn.DAYS("31-03-2025",G288)&gt;=180,6800,0)</f>
        <v>6800</v>
      </c>
      <c r="I288">
        <f>_xlfn.XLOOKUP(B288,'[1]march-2025'!$A:$A,'[1]march-2025'!$J:$J,0,0)</f>
        <v>0</v>
      </c>
      <c r="J288">
        <f>_xlfn.XLOOKUP(B288,'[1]march-2025'!$A:$A,'[1]march-2025'!$C:$C,0,0)</f>
        <v>27000</v>
      </c>
      <c r="K288">
        <f>J288*0.14</f>
        <v>3780.0000000000005</v>
      </c>
      <c r="L288">
        <f>J288*0.12</f>
        <v>3240</v>
      </c>
      <c r="M288">
        <f>_xlfn.XLOOKUP(B288,'[1]march-2025'!$A:$A,'[1]march-2025'!$D:$D,0,0)</f>
        <v>0</v>
      </c>
      <c r="N288">
        <f>_xlfn.XLOOKUP(B288,'[1]march-2025'!$A:$A,'[1]march-2025'!$G:$G,0,0)</f>
        <v>500</v>
      </c>
      <c r="O288">
        <f>IF(J288&gt;0,SUM(J288:N288),0)</f>
        <v>34520</v>
      </c>
      <c r="P288">
        <f>_xlfn.XLOOKUP(B288,'[1]march-2025'!$A:$A,'[1]march-2025'!$H:$H,0,0)</f>
        <v>2000</v>
      </c>
      <c r="Q288">
        <f>_xlfn.XLOOKUP(B288,'[1]march-2025'!$A:$A,'[1]march-2025'!$I:$I,0,0)</f>
        <v>0</v>
      </c>
      <c r="R288">
        <f>IF($F288="YES",0,IF(O288&gt;40000,200,IF(O288&gt;25000,150,IF(O288&gt;15000,130,IF(O288&gt;10000,110,0)))))</f>
        <v>150</v>
      </c>
      <c r="S288">
        <f>O288-P288-Q288-R288</f>
        <v>32370</v>
      </c>
      <c r="T288">
        <f>_xlfn.XLOOKUP(B288,'[2]april-2025'!$A:$A,'[2]april-2025'!$C:$C,0,0)</f>
        <v>27000</v>
      </c>
      <c r="U288">
        <f>T288*0.18</f>
        <v>4860</v>
      </c>
      <c r="V288">
        <f>T288*0.12</f>
        <v>3240</v>
      </c>
      <c r="W288">
        <f>_xlfn.XLOOKUP(B288,'[2]april-2025'!$A:$A,'[2]april-2025'!$D:$D,0,0)</f>
        <v>0</v>
      </c>
      <c r="X288">
        <f>_xlfn.XLOOKUP(B288,'[2]april-2025'!$A:$A,'[2]april-2025'!$G:$G,0,0)</f>
        <v>500</v>
      </c>
      <c r="Y288">
        <f>IF(T288&gt;0,SUM(T288:X288),0)</f>
        <v>35600</v>
      </c>
      <c r="Z288">
        <f>_xlfn.XLOOKUP(B288,'[2]april-2025'!$A:$A,'[2]april-2025'!$H:$H,0,0)</f>
        <v>2000</v>
      </c>
      <c r="AA288">
        <f>_xlfn.XLOOKUP(B288,'[2]april-2025'!$A:$A,'[2]april-2025'!$I:$I,0,0)</f>
        <v>0</v>
      </c>
      <c r="AB288">
        <f>IF($F288="YES",0,IF(Y288&gt;40000,200,IF(Y288&gt;25000,150,IF(Y288&gt;15000,130,IF(Y288&gt;10000,110,0)))))</f>
        <v>150</v>
      </c>
      <c r="AC288">
        <f>Y288-Z288-AA288-AB288</f>
        <v>33450</v>
      </c>
      <c r="AD288">
        <f>_xlfn.XLOOKUP(B288,'[3]may-2025'!$A:$A,'[3]may-2025'!$C:$C,0,0)</f>
        <v>31600</v>
      </c>
      <c r="AE288">
        <f>AD288*0.18</f>
        <v>5688</v>
      </c>
      <c r="AF288">
        <f>AD288*0.12</f>
        <v>3792</v>
      </c>
      <c r="AG288">
        <f>_xlfn.XLOOKUP(B288,'[3]may-2025'!$A:$A,'[3]may-2025'!$D:$D,0,0)</f>
        <v>0</v>
      </c>
      <c r="AH288">
        <f>_xlfn.XLOOKUP(B288,'[3]may-2025'!$A:$A,'[3]may-2025'!$G:$G,0,0)</f>
        <v>500</v>
      </c>
      <c r="AI288">
        <f>IF(AD288&gt;0,SUM(AD288:AH288),0)</f>
        <v>41580</v>
      </c>
      <c r="AJ288">
        <f>_xlfn.XLOOKUP(B288,'[3]may-2025'!$A:$A,'[3]may-2025'!$H:$H,0,0)</f>
        <v>2000</v>
      </c>
      <c r="AK288">
        <f>_xlfn.XLOOKUP(B288,'[3]may-2025'!$A:$A,'[3]may-2025'!$I:$I,0,0)</f>
        <v>0</v>
      </c>
      <c r="AL288">
        <f>IF($F288="YES",0,IF(AI288&gt;40000,200,IF(AI288&gt;25000,150,IF(AI288&gt;15000,130,IF(AI288&gt;10000,110,0)))))</f>
        <v>200</v>
      </c>
      <c r="AM288">
        <f>AI288-AJ288-AK288-AL288</f>
        <v>39380</v>
      </c>
      <c r="AN288">
        <f>_xlfn.XLOOKUP(B288,'[4]june-2025'!$A:$A,'[4]june-2025'!$C:$C,0,0)</f>
        <v>27000</v>
      </c>
      <c r="AO288">
        <f>AN288*0.18</f>
        <v>4860</v>
      </c>
      <c r="AP288">
        <f>AN288*0.12</f>
        <v>3240</v>
      </c>
      <c r="AQ288">
        <f>_xlfn.XLOOKUP(B288,'[4]june-2025'!$A:$A,'[4]june-2025'!$D:$D,0,0)</f>
        <v>0</v>
      </c>
      <c r="AR288">
        <f>_xlfn.XLOOKUP(B288,'[4]june-2025'!$A:$A,'[4]june-2025'!$G:$G,0,0)</f>
        <v>500</v>
      </c>
      <c r="AS288">
        <f>IF(AN288&gt;0,SUM(AN288:AR288),0)</f>
        <v>35600</v>
      </c>
      <c r="AT288">
        <f>_xlfn.XLOOKUP(B288,'[4]june-2025'!$A:$A,'[4]june-2025'!$H:$H,0,0)</f>
        <v>2000</v>
      </c>
      <c r="AU288">
        <f>_xlfn.XLOOKUP(B288,'[4]june-2025'!$A:$A,'[4]june-2025'!$I:$I,0,0)</f>
        <v>0</v>
      </c>
      <c r="AV288">
        <f>IF($F288="YES",0,IF(AS288&gt;40000,200,IF(AS288&gt;25000,150,IF(AS288&gt;15000,130,IF(AS288&gt;10000,110,0)))))</f>
        <v>150</v>
      </c>
      <c r="AW288">
        <f>AS288-AT288-AU288-AV288</f>
        <v>33450</v>
      </c>
      <c r="AX288">
        <f>_xlfn.XLOOKUP(B288,'[5]july-2025'!$A:$A,'[5]july-2025'!$C:$C,0,0)</f>
        <v>32500</v>
      </c>
      <c r="AY288">
        <f>AX288*0.18</f>
        <v>5850</v>
      </c>
      <c r="AZ288">
        <v>0</v>
      </c>
      <c r="BA288">
        <f>AX288*0.12</f>
        <v>3900</v>
      </c>
      <c r="BB288">
        <f>_xlfn.XLOOKUP(B288,'[5]july-2025'!$A:$A,'[5]july-2025'!$D:$D,0,0)</f>
        <v>0</v>
      </c>
      <c r="BC288">
        <f>_xlfn.XLOOKUP(B288,'[5]july-2025'!$A:$A,'[5]july-2025'!$G:$G,0,0)</f>
        <v>500</v>
      </c>
      <c r="BD288">
        <f>IF(AX288&gt;0,SUM(AX288:BC288),0)</f>
        <v>42750</v>
      </c>
      <c r="BE288">
        <f>_xlfn.XLOOKUP(B288,'[5]july-2025'!$A:$A,'[5]july-2025'!$H:$H,0,0)</f>
        <v>2000</v>
      </c>
      <c r="BF288">
        <f>_xlfn.XLOOKUP(B288,'[5]july-2025'!$A:$A,'[5]july-2025'!$I:$I,0,0)</f>
        <v>0</v>
      </c>
      <c r="BG288">
        <f>IF($F288="YES",0,IF(BD288&gt;40000,200,IF(BD288&gt;25000,150,IF(BD288&gt;15000,130,IF(BD288&gt;10000,110,0)))))</f>
        <v>200</v>
      </c>
      <c r="BH288">
        <f>BD288-BE288-BF288-BG288</f>
        <v>40550</v>
      </c>
      <c r="BI288">
        <f>_xlfn.XLOOKUP(B288,'[6]august-2025'!$A:$A,'[6]august-2025'!$C:$C,0,0)</f>
        <v>32500</v>
      </c>
      <c r="BJ288">
        <f>BI288*0.18</f>
        <v>5850</v>
      </c>
      <c r="BK288">
        <f>BI288*0.12</f>
        <v>3900</v>
      </c>
      <c r="BL288">
        <f>_xlfn.XLOOKUP(B288,'[6]august-2025'!$A:$A,'[6]august-2025'!$D:$D,0,0)</f>
        <v>0</v>
      </c>
      <c r="BM288">
        <f>_xlfn.XLOOKUP(B288,'[6]august-2025'!$A:$A,'[6]august-2025'!$G:$G,0,0)</f>
        <v>500</v>
      </c>
      <c r="BN288">
        <f>IF(BI288&gt;0,SUM(BI288:BM288),0)</f>
        <v>42750</v>
      </c>
      <c r="BO288">
        <f>_xlfn.XLOOKUP(B288,'[6]august-2025'!$A:$A,'[6]august-2025'!$H:$H,0,0)</f>
        <v>2000</v>
      </c>
      <c r="BP288">
        <f>_xlfn.XLOOKUP(B288,'[6]august-2025'!$A:$A,'[6]august-2025'!$I:$I,0,0)</f>
        <v>0</v>
      </c>
      <c r="BQ288">
        <f>IF($F288="YES",0,IF(BN288&gt;40000,200,IF(BN288&gt;25000,150,IF(BN288&gt;15000,130,IF(BN288&gt;10000,110,0)))))</f>
        <v>200</v>
      </c>
      <c r="BR288">
        <f>BN288-BO288-BP288-BQ288</f>
        <v>40550</v>
      </c>
      <c r="BS288">
        <f>_xlfn.XLOOKUP(B288,'[7]september-2025'!$A:$A,'[7]september-2025'!$C:$C,0,0)</f>
        <v>32500</v>
      </c>
      <c r="BT288">
        <f>BS288*0.18</f>
        <v>5850</v>
      </c>
      <c r="BU288">
        <f>BS288*0.12</f>
        <v>3900</v>
      </c>
      <c r="BV288">
        <f>_xlfn.XLOOKUP(B288,'[7]september-2025'!$A:$A,'[7]september-2025'!$D:$D,0,0)</f>
        <v>0</v>
      </c>
      <c r="BW288">
        <f>_xlfn.XLOOKUP(B288,'[7]september-2025'!$A:$A,'[7]september-2025'!$G:$G,0,0)</f>
        <v>500</v>
      </c>
      <c r="BX288">
        <f>IF(BS288&gt;0,SUM(BS288:BW288),0)</f>
        <v>42750</v>
      </c>
      <c r="BY288">
        <f>_xlfn.XLOOKUP(B288,'[7]september-2025'!$A:$A,'[7]september-2025'!$H:$H,0,0)</f>
        <v>2000</v>
      </c>
      <c r="BZ288">
        <f>_xlfn.XLOOKUP(B288,'[7]september-2025'!$A:$A,'[7]september-2025'!$I:$I,0,0)</f>
        <v>0</v>
      </c>
      <c r="CA288">
        <f>IF($F288="YES",0,IF(BX288&gt;40000,200,IF(BX288&gt;25000,150,IF(BX288&gt;15000,130,IF(BX288&gt;10000,110,0)))))</f>
        <v>200</v>
      </c>
      <c r="CB288">
        <f>BX288-BY288-BZ288-CA288</f>
        <v>40550</v>
      </c>
      <c r="CC288">
        <f>_xlfn.XLOOKUP(B288,'[8]october-2025'!$A:$A,'[8]october-2025'!$C:$C,0,0)</f>
        <v>32500</v>
      </c>
      <c r="CD288">
        <f>CC288*0.18</f>
        <v>5850</v>
      </c>
      <c r="CE288">
        <f>CC288*0.12</f>
        <v>3900</v>
      </c>
      <c r="CF288">
        <f>_xlfn.XLOOKUP(B288,'[8]october-2025'!$A:$A,'[8]october-2025'!$D:$D,0,0)</f>
        <v>0</v>
      </c>
      <c r="CG288">
        <f>_xlfn.XLOOKUP(B288,'[8]october-2025'!$A:$A,'[8]october-2025'!$G:$G,0,0)</f>
        <v>500</v>
      </c>
      <c r="CH288">
        <f>IF(CC288&gt;0,SUM(CC288:CG288),0)</f>
        <v>42750</v>
      </c>
      <c r="CI288">
        <f>_xlfn.XLOOKUP(B288,'[8]october-2025'!$A:$A,'[8]october-2025'!$H:$H,0,0)</f>
        <v>2000</v>
      </c>
      <c r="CJ288">
        <f>_xlfn.XLOOKUP(B288,'[8]october-2025'!$A:$A,'[8]october-2025'!$I:$I,0,0)</f>
        <v>0</v>
      </c>
      <c r="CK288">
        <f>IF($F288="YES",0,IF(CH288&gt;40000,200,IF(CH288&gt;25000,150,IF(CH288&gt;15000,130,IF(CH288&gt;10000,110,0)))))</f>
        <v>200</v>
      </c>
      <c r="CL288">
        <f>CH288-CI288-CJ288-CK288</f>
        <v>40550</v>
      </c>
      <c r="CM288">
        <f>_xlfn.XLOOKUP(B288,'[9]november-2025'!$A:$A,'[9]november-2025'!$C:$C,0,0)</f>
        <v>32500</v>
      </c>
      <c r="CN288">
        <f>CM288*0.18</f>
        <v>5850</v>
      </c>
      <c r="CO288">
        <f>CM288*0.12</f>
        <v>3900</v>
      </c>
      <c r="CP288">
        <f>_xlfn.XLOOKUP(B288,'[9]november-2025'!$A:$A,'[9]november-2025'!$D:$D,0,0)</f>
        <v>0</v>
      </c>
      <c r="CQ288">
        <f>_xlfn.XLOOKUP(B288,'[9]november-2025'!$A:$A,'[9]november-2025'!$G:$G,0,0)</f>
        <v>500</v>
      </c>
      <c r="CR288">
        <f>IF(CM288&gt;0,SUM(CM288:CQ288),0)</f>
        <v>42750</v>
      </c>
      <c r="CS288">
        <f>_xlfn.XLOOKUP(B288,'[9]november-2025'!$A:$A,'[9]november-2025'!$H:$H,0,0)</f>
        <v>2000</v>
      </c>
      <c r="CT288">
        <f>_xlfn.XLOOKUP(B288,'[9]november-2025'!$A:$A,'[9]november-2025'!$I:$I,0,0)</f>
        <v>0</v>
      </c>
      <c r="CU288">
        <f>IF($F288="YES",0,IF(CR288&gt;40000,200,IF(CR288&gt;25000,150,IF(CR288&gt;15000,130,IF(CR288&gt;10000,110,0)))))</f>
        <v>200</v>
      </c>
      <c r="CV288">
        <f>CR288-CS288-CT288-CU288</f>
        <v>40550</v>
      </c>
      <c r="CW288">
        <f>_xlfn.XLOOKUP(B288,'[10]december-2025'!$A:$A,'[10]december-2025'!$C:$C,0,0)</f>
        <v>32500</v>
      </c>
      <c r="CX288">
        <f>ROUND(CW288*0.18,0)</f>
        <v>5850</v>
      </c>
      <c r="CY288">
        <f>ROUND(CW288*0.12,0)</f>
        <v>3900</v>
      </c>
      <c r="CZ288">
        <f>_xlfn.XLOOKUP(B288,'[10]december-2025'!$A:$A,'[10]december-2025'!$D:$D,0,0)</f>
        <v>0</v>
      </c>
      <c r="DA288">
        <f>_xlfn.XLOOKUP(B288,'[10]december-2025'!$A:$A,'[10]december-2025'!$G:$G,0,0)</f>
        <v>500</v>
      </c>
      <c r="DB288">
        <f>IF(CW288&gt;0,SUM(CW288:DA288),0)</f>
        <v>42750</v>
      </c>
      <c r="DC288">
        <f>_xlfn.XLOOKUP(B288,'[10]december-2025'!$A:$A,'[10]december-2025'!$H:$H,0,0)</f>
        <v>2000</v>
      </c>
      <c r="DD288">
        <f>_xlfn.XLOOKUP(B288,'[10]december-2025'!$A:$A,'[10]december-2025'!$I:$I,0,0)</f>
        <v>0</v>
      </c>
      <c r="DE288">
        <f>IF($F288="YES",0,IF(DB288&gt;40000,200,IF(DB288&gt;25000,150,IF(DB288&gt;15000,130,IF(DB288&gt;10000,110,0)))))</f>
        <v>200</v>
      </c>
      <c r="DF288">
        <f>DB288-DC288-DD288-DE288</f>
        <v>40550</v>
      </c>
      <c r="DG288">
        <f>_xlfn.XLOOKUP(B288,'[11]january-2026'!$A:$A,'[11]january-2026'!$C:$C,0,0)</f>
        <v>32500</v>
      </c>
      <c r="DH288">
        <f>DG288*0.18</f>
        <v>5850</v>
      </c>
      <c r="DI288">
        <f>DG288*0.12</f>
        <v>3900</v>
      </c>
      <c r="DJ288">
        <f>_xlfn.XLOOKUP(B288,'[11]january-2026'!$A:$A,'[11]january-2026'!$D:$D,0,0)</f>
        <v>0</v>
      </c>
      <c r="DK288">
        <f>_xlfn.XLOOKUP(B288,'[11]january-2026'!$A:$A,'[11]january-2026'!$G:$G,0,0)</f>
        <v>500</v>
      </c>
      <c r="DL288">
        <f>IF(DG288&gt;0,SUM(DG288:DK288),0)</f>
        <v>42750</v>
      </c>
      <c r="DM288">
        <f>_xlfn.XLOOKUP(B288,'[11]january-2026'!$A:$A,'[11]january-2026'!$H:$H,0,0)</f>
        <v>2000</v>
      </c>
      <c r="DN288">
        <f>_xlfn.XLOOKUP(B288,'[11]january-2026'!$A:$A,'[11]january-2026'!$I:$I,0,0)</f>
        <v>0</v>
      </c>
      <c r="DO288">
        <f>IF($F288="YES",0,IF(DL288&gt;40000,200,IF(DL288&gt;25000,150,IF(DL288&gt;15000,130,IF(DL288&gt;10000,110,0)))))</f>
        <v>200</v>
      </c>
      <c r="DP288">
        <f>DL288-DM288-DN288-DO288</f>
        <v>40550</v>
      </c>
      <c r="DQ288">
        <f>_xlfn.XLOOKUP(B288,'[12]february-2026'!$A:$A,'[12]february-2026'!$C:$C,0,0)</f>
        <v>32500</v>
      </c>
      <c r="DR288">
        <f>DQ288*0.18</f>
        <v>5850</v>
      </c>
      <c r="DS288">
        <f>DQ288*0.12</f>
        <v>3900</v>
      </c>
      <c r="DT288">
        <f>_xlfn.XLOOKUP(B288,'[12]february-2026'!$A:$A,'[12]february-2026'!$D:$D,0,0)</f>
        <v>0</v>
      </c>
      <c r="DU288">
        <f>_xlfn.XLOOKUP(B288,'[12]february-2026'!$A:$A,'[12]february-2026'!$G:$G,0,0)</f>
        <v>500</v>
      </c>
      <c r="DV288">
        <f>IF(DQ288&gt;0,SUM(DQ288:DU288),0)</f>
        <v>42750</v>
      </c>
      <c r="DW288">
        <f>_xlfn.XLOOKUP(B288,'[12]february-2026'!$A:$A,'[12]february-2026'!$H:$H,0,0)</f>
        <v>2000</v>
      </c>
      <c r="DX288">
        <f>_xlfn.XLOOKUP(B288,'[12]february-2026'!$A:$A,'[12]february-2026'!$I:$I,0,0)</f>
        <v>0</v>
      </c>
      <c r="DY288">
        <f>IF($F288="YES",0,IF(DV288&gt;40000,200,IF(DV288&gt;25000,150,IF(DV288&gt;15000,130,IF(DV288&gt;10000,110,0)))))</f>
        <v>200</v>
      </c>
      <c r="DZ288">
        <f>DV288-DW288-DX288-DY288</f>
        <v>40550</v>
      </c>
      <c r="EA288">
        <f>DV288+DL288+DB288+CR288+CH288+BX288+BN288+BD288+AS288+AI288+Y288+O288+H288+I288</f>
        <v>496100</v>
      </c>
      <c r="EB288">
        <f>DY288+DO288+DE288+CU288+CK288+CA288+BQ288+BG288+AV288+AL288+AB288+R288</f>
        <v>2250</v>
      </c>
      <c r="EC288">
        <f>IF(EA288&gt;0,50000,0)</f>
        <v>50000</v>
      </c>
      <c r="ED288">
        <v>0</v>
      </c>
      <c r="EE288">
        <f>EA288-EB288-EC288</f>
        <v>443850</v>
      </c>
      <c r="EF288">
        <f>DW288+DM288+DC288+CS288+CI288+BY288+BO288+BE288+AT288+AJ288+Z288+P288</f>
        <v>24000</v>
      </c>
      <c r="EG288">
        <f>DX288+DN288+DD288+CT288+CJ288+BZ288+BP288+BF288+AU288+AK288+AA288+Q288</f>
        <v>0</v>
      </c>
      <c r="EH288">
        <v>0</v>
      </c>
      <c r="EI288">
        <v>0</v>
      </c>
      <c r="EJ288">
        <v>0</v>
      </c>
      <c r="EK288">
        <v>0</v>
      </c>
      <c r="EL288">
        <v>0</v>
      </c>
      <c r="EM288">
        <v>0</v>
      </c>
      <c r="EN288">
        <v>0</v>
      </c>
      <c r="EO288">
        <v>0</v>
      </c>
      <c r="EP288">
        <v>0</v>
      </c>
      <c r="EQ288">
        <v>0</v>
      </c>
      <c r="ER288">
        <f>SUM(EF288:EQ288)</f>
        <v>24000</v>
      </c>
      <c r="ES288">
        <f>IF(ER288&gt;=150000,150000,ER288)</f>
        <v>24000</v>
      </c>
      <c r="ET288">
        <f>EE288-ES288</f>
        <v>419850</v>
      </c>
      <c r="EU288">
        <v>0</v>
      </c>
      <c r="EV288">
        <v>0</v>
      </c>
      <c r="EW288">
        <v>0</v>
      </c>
      <c r="EX288">
        <v>0</v>
      </c>
      <c r="EY288">
        <v>0</v>
      </c>
      <c r="EZ288">
        <v>0</v>
      </c>
      <c r="FA288">
        <v>0</v>
      </c>
      <c r="FB288">
        <f>SUM(EU288:FA288)+(IF(F288="YES",50000,0))</f>
        <v>0</v>
      </c>
      <c r="FC288">
        <f>ET288-FB288</f>
        <v>419850</v>
      </c>
      <c r="FD288">
        <f>ROUND(IF(FC288&gt;0,IF(FC288&gt;500000,12500,(FC288-250000)*0.05),0),0)</f>
        <v>8493</v>
      </c>
      <c r="FE288">
        <f>IF(ROUND(IF(FC288&gt;0,IF(FC288&gt;1000000,25000,(FC288-500000)*0.2),0),0)&lt;0,0,ROUND(IF(FC288&gt;0,IF(FC288&gt;1000000,25000,(FC288-500000)*0.2),0),0))</f>
        <v>0</v>
      </c>
      <c r="FF288">
        <f>FD288+FE288</f>
        <v>8493</v>
      </c>
      <c r="FG288">
        <f>IF(FF288&lt;12500,0,FF288)</f>
        <v>0</v>
      </c>
      <c r="FH288">
        <f>FG288*0.04</f>
        <v>0</v>
      </c>
      <c r="FI288">
        <f>ROUND(FH288+FG288,0)</f>
        <v>0</v>
      </c>
      <c r="FJ288">
        <v>0</v>
      </c>
      <c r="FK288">
        <f>FI288-FJ288</f>
        <v>0</v>
      </c>
      <c r="FL288" t="b">
        <f>IF(EA288&gt;500000,TRUE,FALSE)</f>
        <v>0</v>
      </c>
      <c r="FM288">
        <f ca="1">IF(FL288,RANDBETWEEN(500,1000),RANDBETWEEN(1000,3000))</f>
        <v>2129</v>
      </c>
      <c r="FN288">
        <f ca="1">EA288+FM288</f>
        <v>498229</v>
      </c>
      <c r="FO288">
        <f>IF(EA288&gt;0,75000,0)</f>
        <v>75000</v>
      </c>
      <c r="FP288">
        <f ca="1">FN288-FO288</f>
        <v>423229</v>
      </c>
      <c r="FQ288">
        <f ca="1">IF(FP288&gt;2400000,FP288-2400000,0)</f>
        <v>0</v>
      </c>
      <c r="FR288">
        <f ca="1">FQ288*0.3</f>
        <v>0</v>
      </c>
      <c r="FS288">
        <f ca="1">IF(FP288&gt;2000000,FP288-2000000,0)</f>
        <v>0</v>
      </c>
      <c r="FT288">
        <f ca="1">FS288*0.25</f>
        <v>0</v>
      </c>
      <c r="FU288">
        <f ca="1">IF(FP288&gt;1600000,FP288-1600000-FQ288,0)</f>
        <v>0</v>
      </c>
      <c r="FV288">
        <f ca="1">FU288*0.2</f>
        <v>0</v>
      </c>
      <c r="FW288">
        <f ca="1">IF(FP288&gt;1200000,FP288-1200000-IF(F288="YES",50000,0)-FU288,0)</f>
        <v>0</v>
      </c>
      <c r="FX288">
        <f ca="1">FW288*0.15</f>
        <v>0</v>
      </c>
      <c r="FY288">
        <f ca="1">IF(FP288&gt;800000,FP288-800000-FQ288-FU288-FW288,0)</f>
        <v>0</v>
      </c>
      <c r="FZ288">
        <f ca="1">FY288*0.1</f>
        <v>0</v>
      </c>
      <c r="GA288">
        <f ca="1">IF(FP288&gt;400000,FP288-400000-FQ288-FU288-FW288-FY288,0)</f>
        <v>23229</v>
      </c>
      <c r="GB288">
        <f ca="1">GA288*0.05</f>
        <v>1161.45</v>
      </c>
      <c r="GC288">
        <f ca="1">ROUND(FR288+FT288+FV288+FX288+FZ288+GB288,0)</f>
        <v>1161</v>
      </c>
      <c r="GD288">
        <f ca="1">IF(FP288&gt;1200000,FP288,0)</f>
        <v>0</v>
      </c>
      <c r="GE288">
        <f ca="1">IF(FP288&gt;1200000,GD288-1200000,0)</f>
        <v>0</v>
      </c>
      <c r="GF288">
        <f ca="1">IF(FP288&lt;1200001,MIN(GC288,60000),0)</f>
        <v>1161</v>
      </c>
      <c r="GG288">
        <f ca="1">IF(FP288&gt;1200000,GC288-GE288,0)</f>
        <v>0</v>
      </c>
      <c r="GH288" t="b">
        <f ca="1">IF(GG288&gt;0,TRUE,FALSE)</f>
        <v>0</v>
      </c>
      <c r="GI288">
        <f ca="1">IF(GH288,GG288,0)</f>
        <v>0</v>
      </c>
      <c r="GJ288">
        <f ca="1">GF288+GI288</f>
        <v>1161</v>
      </c>
      <c r="GK288">
        <f ca="1">ROUND(GC288-GJ288,0)</f>
        <v>0</v>
      </c>
      <c r="GL288">
        <f ca="1">GK288*0.04</f>
        <v>0</v>
      </c>
      <c r="GM288">
        <f ca="1">ROUNDUP(GK288+GL288,0)</f>
        <v>0</v>
      </c>
    </row>
    <row r="289" spans="1:195" x14ac:dyDescent="0.25">
      <c r="A289">
        <f>_xlfn.AGGREGATE(3,5,$B$2:B289)</f>
        <v>288</v>
      </c>
      <c r="B289" t="s">
        <v>683</v>
      </c>
      <c r="C289" t="s">
        <v>684</v>
      </c>
      <c r="D289" t="s">
        <v>827</v>
      </c>
      <c r="E289" t="s">
        <v>833</v>
      </c>
      <c r="F289" t="s">
        <v>959</v>
      </c>
      <c r="G289" t="s">
        <v>881</v>
      </c>
      <c r="H289">
        <f>IF(_xlfn.DAYS("31-03-2025",G289)&gt;=180,6800,0)</f>
        <v>6800</v>
      </c>
      <c r="I289">
        <f>_xlfn.XLOOKUP(B289,'[1]march-2025'!$A:$A,'[1]march-2025'!$J:$J,0,0)</f>
        <v>0</v>
      </c>
      <c r="J289">
        <f>_xlfn.XLOOKUP(B289,'[1]march-2025'!$A:$A,'[1]march-2025'!$C:$C,0,0)</f>
        <v>31600</v>
      </c>
      <c r="K289">
        <f>J289*0.14</f>
        <v>4424</v>
      </c>
      <c r="L289">
        <f>J289*0.12</f>
        <v>3792</v>
      </c>
      <c r="M289">
        <f>_xlfn.XLOOKUP(B289,'[1]march-2025'!$A:$A,'[1]march-2025'!$D:$D,0,0)</f>
        <v>0</v>
      </c>
      <c r="N289">
        <f>_xlfn.XLOOKUP(B289,'[1]march-2025'!$A:$A,'[1]march-2025'!$G:$G,0,0)</f>
        <v>0</v>
      </c>
      <c r="O289">
        <f>IF(J289&gt;0,SUM(J289:N289),0)</f>
        <v>39816</v>
      </c>
      <c r="P289">
        <f>_xlfn.XLOOKUP(B289,'[1]march-2025'!$A:$A,'[1]march-2025'!$H:$H,0,0)</f>
        <v>2000</v>
      </c>
      <c r="Q289">
        <f>_xlfn.XLOOKUP(B289,'[1]march-2025'!$A:$A,'[1]march-2025'!$I:$I,0,0)</f>
        <v>0</v>
      </c>
      <c r="R289">
        <f>IF($F289="YES",0,IF(O289&gt;40000,200,IF(O289&gt;25000,150,IF(O289&gt;15000,130,IF(O289&gt;10000,110,0)))))</f>
        <v>150</v>
      </c>
      <c r="S289">
        <f>O289-P289-Q289-R289</f>
        <v>37666</v>
      </c>
      <c r="T289">
        <f>_xlfn.XLOOKUP(B289,'[2]april-2025'!$A:$A,'[2]april-2025'!$C:$C,0,0)</f>
        <v>31600</v>
      </c>
      <c r="U289">
        <f>T289*0.18</f>
        <v>5688</v>
      </c>
      <c r="V289">
        <f>T289*0.12</f>
        <v>3792</v>
      </c>
      <c r="W289">
        <f>_xlfn.XLOOKUP(B289,'[2]april-2025'!$A:$A,'[2]april-2025'!$D:$D,0,0)</f>
        <v>0</v>
      </c>
      <c r="X289">
        <f>_xlfn.XLOOKUP(B289,'[2]april-2025'!$A:$A,'[2]april-2025'!$G:$G,0,0)</f>
        <v>0</v>
      </c>
      <c r="Y289">
        <f>IF(T289&gt;0,SUM(T289:X289),0)</f>
        <v>41080</v>
      </c>
      <c r="Z289">
        <f>_xlfn.XLOOKUP(B289,'[2]april-2025'!$A:$A,'[2]april-2025'!$H:$H,0,0)</f>
        <v>2000</v>
      </c>
      <c r="AA289">
        <f>_xlfn.XLOOKUP(B289,'[2]april-2025'!$A:$A,'[2]april-2025'!$I:$I,0,0)</f>
        <v>0</v>
      </c>
      <c r="AB289">
        <f>IF($F289="YES",0,IF(Y289&gt;40000,200,IF(Y289&gt;25000,150,IF(Y289&gt;15000,130,IF(Y289&gt;10000,110,0)))))</f>
        <v>200</v>
      </c>
      <c r="AC289">
        <f>Y289-Z289-AA289-AB289</f>
        <v>38880</v>
      </c>
      <c r="AD289">
        <f>_xlfn.XLOOKUP(B289,'[3]may-2025'!$A:$A,'[3]may-2025'!$C:$C,0,0)</f>
        <v>31600</v>
      </c>
      <c r="AE289">
        <f>AD289*0.18</f>
        <v>5688</v>
      </c>
      <c r="AF289">
        <f>AD289*0.12</f>
        <v>3792</v>
      </c>
      <c r="AG289">
        <f>_xlfn.XLOOKUP(B289,'[3]may-2025'!$A:$A,'[3]may-2025'!$D:$D,0,0)</f>
        <v>0</v>
      </c>
      <c r="AH289">
        <f>_xlfn.XLOOKUP(B289,'[3]may-2025'!$A:$A,'[3]may-2025'!$G:$G,0,0)</f>
        <v>0</v>
      </c>
      <c r="AI289">
        <f>IF(AD289&gt;0,SUM(AD289:AH289),0)</f>
        <v>41080</v>
      </c>
      <c r="AJ289">
        <f>_xlfn.XLOOKUP(B289,'[3]may-2025'!$A:$A,'[3]may-2025'!$H:$H,0,0)</f>
        <v>2000</v>
      </c>
      <c r="AK289">
        <f>_xlfn.XLOOKUP(B289,'[3]may-2025'!$A:$A,'[3]may-2025'!$I:$I,0,0)</f>
        <v>0</v>
      </c>
      <c r="AL289">
        <f>IF($F289="YES",0,IF(AI289&gt;40000,200,IF(AI289&gt;25000,150,IF(AI289&gt;15000,130,IF(AI289&gt;10000,110,0)))))</f>
        <v>200</v>
      </c>
      <c r="AM289">
        <f>AI289-AJ289-AK289-AL289</f>
        <v>38880</v>
      </c>
      <c r="AN289">
        <f>_xlfn.XLOOKUP(B289,'[4]june-2025'!$A:$A,'[4]june-2025'!$C:$C,0,0)</f>
        <v>31600</v>
      </c>
      <c r="AO289">
        <f>AN289*0.18</f>
        <v>5688</v>
      </c>
      <c r="AP289">
        <f>AN289*0.12</f>
        <v>3792</v>
      </c>
      <c r="AQ289">
        <f>_xlfn.XLOOKUP(B289,'[4]june-2025'!$A:$A,'[4]june-2025'!$D:$D,0,0)</f>
        <v>0</v>
      </c>
      <c r="AR289">
        <f>_xlfn.XLOOKUP(B289,'[4]june-2025'!$A:$A,'[4]june-2025'!$G:$G,0,0)</f>
        <v>0</v>
      </c>
      <c r="AS289">
        <f>IF(AN289&gt;0,SUM(AN289:AR289),0)</f>
        <v>41080</v>
      </c>
      <c r="AT289">
        <f>_xlfn.XLOOKUP(B289,'[4]june-2025'!$A:$A,'[4]june-2025'!$H:$H,0,0)</f>
        <v>2000</v>
      </c>
      <c r="AU289">
        <f>_xlfn.XLOOKUP(B289,'[4]june-2025'!$A:$A,'[4]june-2025'!$I:$I,0,0)</f>
        <v>0</v>
      </c>
      <c r="AV289">
        <f>IF($F289="YES",0,IF(AS289&gt;40000,200,IF(AS289&gt;25000,150,IF(AS289&gt;15000,130,IF(AS289&gt;10000,110,0)))))</f>
        <v>200</v>
      </c>
      <c r="AW289">
        <f>AS289-AT289-AU289-AV289</f>
        <v>38880</v>
      </c>
      <c r="AX289">
        <f>_xlfn.XLOOKUP(B289,'[5]july-2025'!$A:$A,'[5]july-2025'!$C:$C,0,0)</f>
        <v>32500</v>
      </c>
      <c r="AY289">
        <f>AX289*0.18</f>
        <v>5850</v>
      </c>
      <c r="AZ289">
        <v>0</v>
      </c>
      <c r="BA289">
        <f>AX289*0.12</f>
        <v>3900</v>
      </c>
      <c r="BB289">
        <f>_xlfn.XLOOKUP(B289,'[5]july-2025'!$A:$A,'[5]july-2025'!$D:$D,0,0)</f>
        <v>0</v>
      </c>
      <c r="BC289">
        <f>_xlfn.XLOOKUP(B289,'[5]july-2025'!$A:$A,'[5]july-2025'!$G:$G,0,0)</f>
        <v>0</v>
      </c>
      <c r="BD289">
        <f>IF(AX289&gt;0,SUM(AX289:BC289),0)</f>
        <v>42250</v>
      </c>
      <c r="BE289">
        <f>_xlfn.XLOOKUP(B289,'[5]july-2025'!$A:$A,'[5]july-2025'!$H:$H,0,0)</f>
        <v>2000</v>
      </c>
      <c r="BF289">
        <f>_xlfn.XLOOKUP(B289,'[5]july-2025'!$A:$A,'[5]july-2025'!$I:$I,0,0)</f>
        <v>0</v>
      </c>
      <c r="BG289">
        <f>IF($F289="YES",0,IF(BD289&gt;40000,200,IF(BD289&gt;25000,150,IF(BD289&gt;15000,130,IF(BD289&gt;10000,110,0)))))</f>
        <v>200</v>
      </c>
      <c r="BH289">
        <f>BD289-BE289-BF289-BG289</f>
        <v>40050</v>
      </c>
      <c r="BI289">
        <f>_xlfn.XLOOKUP(B289,'[6]august-2025'!$A:$A,'[6]august-2025'!$C:$C,0,0)</f>
        <v>32500</v>
      </c>
      <c r="BJ289">
        <f>BI289*0.18</f>
        <v>5850</v>
      </c>
      <c r="BK289">
        <f>BI289*0.12</f>
        <v>3900</v>
      </c>
      <c r="BL289">
        <f>_xlfn.XLOOKUP(B289,'[6]august-2025'!$A:$A,'[6]august-2025'!$D:$D,0,0)</f>
        <v>0</v>
      </c>
      <c r="BM289">
        <f>_xlfn.XLOOKUP(B289,'[6]august-2025'!$A:$A,'[6]august-2025'!$G:$G,0,0)</f>
        <v>0</v>
      </c>
      <c r="BN289">
        <f>IF(BI289&gt;0,SUM(BI289:BM289),0)</f>
        <v>42250</v>
      </c>
      <c r="BO289">
        <f>_xlfn.XLOOKUP(B289,'[6]august-2025'!$A:$A,'[6]august-2025'!$H:$H,0,0)</f>
        <v>2000</v>
      </c>
      <c r="BP289">
        <f>_xlfn.XLOOKUP(B289,'[6]august-2025'!$A:$A,'[6]august-2025'!$I:$I,0,0)</f>
        <v>0</v>
      </c>
      <c r="BQ289">
        <f>IF($F289="YES",0,IF(BN289&gt;40000,200,IF(BN289&gt;25000,150,IF(BN289&gt;15000,130,IF(BN289&gt;10000,110,0)))))</f>
        <v>200</v>
      </c>
      <c r="BR289">
        <f>BN289-BO289-BP289-BQ289</f>
        <v>40050</v>
      </c>
      <c r="BS289">
        <f>_xlfn.XLOOKUP(B289,'[7]september-2025'!$A:$A,'[7]september-2025'!$C:$C,0,0)</f>
        <v>32500</v>
      </c>
      <c r="BT289">
        <f>BS289*0.18</f>
        <v>5850</v>
      </c>
      <c r="BU289">
        <f>BS289*0.12</f>
        <v>3900</v>
      </c>
      <c r="BV289">
        <f>_xlfn.XLOOKUP(B289,'[7]september-2025'!$A:$A,'[7]september-2025'!$D:$D,0,0)</f>
        <v>0</v>
      </c>
      <c r="BW289">
        <f>_xlfn.XLOOKUP(B289,'[7]september-2025'!$A:$A,'[7]september-2025'!$G:$G,0,0)</f>
        <v>0</v>
      </c>
      <c r="BX289">
        <f>IF(BS289&gt;0,SUM(BS289:BW289),0)</f>
        <v>42250</v>
      </c>
      <c r="BY289">
        <f>_xlfn.XLOOKUP(B289,'[7]september-2025'!$A:$A,'[7]september-2025'!$H:$H,0,0)</f>
        <v>2000</v>
      </c>
      <c r="BZ289">
        <f>_xlfn.XLOOKUP(B289,'[7]september-2025'!$A:$A,'[7]september-2025'!$I:$I,0,0)</f>
        <v>0</v>
      </c>
      <c r="CA289">
        <f>IF($F289="YES",0,IF(BX289&gt;40000,200,IF(BX289&gt;25000,150,IF(BX289&gt;15000,130,IF(BX289&gt;10000,110,0)))))</f>
        <v>200</v>
      </c>
      <c r="CB289">
        <f>BX289-BY289-BZ289-CA289</f>
        <v>40050</v>
      </c>
      <c r="CC289">
        <f>_xlfn.XLOOKUP(B289,'[8]october-2025'!$A:$A,'[8]october-2025'!$C:$C,0,0)</f>
        <v>32500</v>
      </c>
      <c r="CD289">
        <f>CC289*0.18</f>
        <v>5850</v>
      </c>
      <c r="CE289">
        <f>CC289*0.12</f>
        <v>3900</v>
      </c>
      <c r="CF289">
        <f>_xlfn.XLOOKUP(B289,'[8]october-2025'!$A:$A,'[8]october-2025'!$D:$D,0,0)</f>
        <v>0</v>
      </c>
      <c r="CG289">
        <f>_xlfn.XLOOKUP(B289,'[8]october-2025'!$A:$A,'[8]october-2025'!$G:$G,0,0)</f>
        <v>0</v>
      </c>
      <c r="CH289">
        <f>IF(CC289&gt;0,SUM(CC289:CG289),0)</f>
        <v>42250</v>
      </c>
      <c r="CI289">
        <f>_xlfn.XLOOKUP(B289,'[8]october-2025'!$A:$A,'[8]october-2025'!$H:$H,0,0)</f>
        <v>2000</v>
      </c>
      <c r="CJ289">
        <f>_xlfn.XLOOKUP(B289,'[8]october-2025'!$A:$A,'[8]october-2025'!$I:$I,0,0)</f>
        <v>0</v>
      </c>
      <c r="CK289">
        <f>IF($F289="YES",0,IF(CH289&gt;40000,200,IF(CH289&gt;25000,150,IF(CH289&gt;15000,130,IF(CH289&gt;10000,110,0)))))</f>
        <v>200</v>
      </c>
      <c r="CL289">
        <f>CH289-CI289-CJ289-CK289</f>
        <v>40050</v>
      </c>
      <c r="CM289">
        <f>_xlfn.XLOOKUP(B289,'[9]november-2025'!$A:$A,'[9]november-2025'!$C:$C,0,0)</f>
        <v>32500</v>
      </c>
      <c r="CN289">
        <f>CM289*0.18</f>
        <v>5850</v>
      </c>
      <c r="CO289">
        <f>CM289*0.12</f>
        <v>3900</v>
      </c>
      <c r="CP289">
        <f>_xlfn.XLOOKUP(B289,'[9]november-2025'!$A:$A,'[9]november-2025'!$D:$D,0,0)</f>
        <v>0</v>
      </c>
      <c r="CQ289">
        <f>_xlfn.XLOOKUP(B289,'[9]november-2025'!$A:$A,'[9]november-2025'!$G:$G,0,0)</f>
        <v>0</v>
      </c>
      <c r="CR289">
        <f>IF(CM289&gt;0,SUM(CM289:CQ289),0)</f>
        <v>42250</v>
      </c>
      <c r="CS289">
        <f>_xlfn.XLOOKUP(B289,'[9]november-2025'!$A:$A,'[9]november-2025'!$H:$H,0,0)</f>
        <v>2000</v>
      </c>
      <c r="CT289">
        <f>_xlfn.XLOOKUP(B289,'[9]november-2025'!$A:$A,'[9]november-2025'!$I:$I,0,0)</f>
        <v>0</v>
      </c>
      <c r="CU289">
        <f>IF($F289="YES",0,IF(CR289&gt;40000,200,IF(CR289&gt;25000,150,IF(CR289&gt;15000,130,IF(CR289&gt;10000,110,0)))))</f>
        <v>200</v>
      </c>
      <c r="CV289">
        <f>CR289-CS289-CT289-CU289</f>
        <v>40050</v>
      </c>
      <c r="CW289">
        <f>_xlfn.XLOOKUP(B289,'[10]december-2025'!$A:$A,'[10]december-2025'!$C:$C,0,0)</f>
        <v>32500</v>
      </c>
      <c r="CX289">
        <f>ROUND(CW289*0.18,0)</f>
        <v>5850</v>
      </c>
      <c r="CY289">
        <f>ROUND(CW289*0.12,0)</f>
        <v>3900</v>
      </c>
      <c r="CZ289">
        <f>_xlfn.XLOOKUP(B289,'[10]december-2025'!$A:$A,'[10]december-2025'!$D:$D,0,0)</f>
        <v>0</v>
      </c>
      <c r="DA289">
        <f>_xlfn.XLOOKUP(B289,'[10]december-2025'!$A:$A,'[10]december-2025'!$G:$G,0,0)</f>
        <v>0</v>
      </c>
      <c r="DB289">
        <f>IF(CW289&gt;0,SUM(CW289:DA289),0)</f>
        <v>42250</v>
      </c>
      <c r="DC289">
        <f>_xlfn.XLOOKUP(B289,'[10]december-2025'!$A:$A,'[10]december-2025'!$H:$H,0,0)</f>
        <v>2000</v>
      </c>
      <c r="DD289">
        <f>_xlfn.XLOOKUP(B289,'[10]december-2025'!$A:$A,'[10]december-2025'!$I:$I,0,0)</f>
        <v>0</v>
      </c>
      <c r="DE289">
        <f>IF($F289="YES",0,IF(DB289&gt;40000,200,IF(DB289&gt;25000,150,IF(DB289&gt;15000,130,IF(DB289&gt;10000,110,0)))))</f>
        <v>200</v>
      </c>
      <c r="DF289">
        <f>DB289-DC289-DD289-DE289</f>
        <v>40050</v>
      </c>
      <c r="DG289">
        <f>_xlfn.XLOOKUP(B289,'[11]january-2026'!$A:$A,'[11]january-2026'!$C:$C,0,0)</f>
        <v>32500</v>
      </c>
      <c r="DH289">
        <f>DG289*0.18</f>
        <v>5850</v>
      </c>
      <c r="DI289">
        <f>DG289*0.12</f>
        <v>3900</v>
      </c>
      <c r="DJ289">
        <f>_xlfn.XLOOKUP(B289,'[11]january-2026'!$A:$A,'[11]january-2026'!$D:$D,0,0)</f>
        <v>0</v>
      </c>
      <c r="DK289">
        <f>_xlfn.XLOOKUP(B289,'[11]january-2026'!$A:$A,'[11]january-2026'!$G:$G,0,0)</f>
        <v>0</v>
      </c>
      <c r="DL289">
        <f>IF(DG289&gt;0,SUM(DG289:DK289),0)</f>
        <v>42250</v>
      </c>
      <c r="DM289">
        <f>_xlfn.XLOOKUP(B289,'[11]january-2026'!$A:$A,'[11]january-2026'!$H:$H,0,0)</f>
        <v>2000</v>
      </c>
      <c r="DN289">
        <f>_xlfn.XLOOKUP(B289,'[11]january-2026'!$A:$A,'[11]january-2026'!$I:$I,0,0)</f>
        <v>0</v>
      </c>
      <c r="DO289">
        <f>IF($F289="YES",0,IF(DL289&gt;40000,200,IF(DL289&gt;25000,150,IF(DL289&gt;15000,130,IF(DL289&gt;10000,110,0)))))</f>
        <v>200</v>
      </c>
      <c r="DP289">
        <f>DL289-DM289-DN289-DO289</f>
        <v>40050</v>
      </c>
      <c r="DQ289">
        <f>_xlfn.XLOOKUP(B289,'[12]february-2026'!$A:$A,'[12]february-2026'!$C:$C,0,0)</f>
        <v>32500</v>
      </c>
      <c r="DR289">
        <f>DQ289*0.18</f>
        <v>5850</v>
      </c>
      <c r="DS289">
        <f>DQ289*0.12</f>
        <v>3900</v>
      </c>
      <c r="DT289">
        <f>_xlfn.XLOOKUP(B289,'[12]february-2026'!$A:$A,'[12]february-2026'!$D:$D,0,0)</f>
        <v>0</v>
      </c>
      <c r="DU289">
        <f>_xlfn.XLOOKUP(B289,'[12]february-2026'!$A:$A,'[12]february-2026'!$G:$G,0,0)</f>
        <v>0</v>
      </c>
      <c r="DV289">
        <f>IF(DQ289&gt;0,SUM(DQ289:DU289),0)</f>
        <v>42250</v>
      </c>
      <c r="DW289">
        <f>_xlfn.XLOOKUP(B289,'[12]february-2026'!$A:$A,'[12]february-2026'!$H:$H,0,0)</f>
        <v>2000</v>
      </c>
      <c r="DX289">
        <f>_xlfn.XLOOKUP(B289,'[12]february-2026'!$A:$A,'[12]february-2026'!$I:$I,0,0)</f>
        <v>0</v>
      </c>
      <c r="DY289">
        <f>IF($F289="YES",0,IF(DV289&gt;40000,200,IF(DV289&gt;25000,150,IF(DV289&gt;15000,130,IF(DV289&gt;10000,110,0)))))</f>
        <v>200</v>
      </c>
      <c r="DZ289">
        <f>DV289-DW289-DX289-DY289</f>
        <v>40050</v>
      </c>
      <c r="EA289">
        <f>DV289+DL289+DB289+CR289+CH289+BX289+BN289+BD289+AS289+AI289+Y289+O289+H289+I289</f>
        <v>507856</v>
      </c>
      <c r="EB289">
        <f>DY289+DO289+DE289+CU289+CK289+CA289+BQ289+BG289+AV289+AL289+AB289+R289</f>
        <v>2350</v>
      </c>
      <c r="EC289">
        <f>IF(EA289&gt;0,50000,0)</f>
        <v>50000</v>
      </c>
      <c r="ED289">
        <v>0</v>
      </c>
      <c r="EE289">
        <f>EA289-EB289-EC289</f>
        <v>455506</v>
      </c>
      <c r="EF289">
        <f>DW289+DM289+DC289+CS289+CI289+BY289+BO289+BE289+AT289+AJ289+Z289+P289</f>
        <v>24000</v>
      </c>
      <c r="EG289">
        <f>DX289+DN289+DD289+CT289+CJ289+BZ289+BP289+BF289+AU289+AK289+AA289+Q289</f>
        <v>0</v>
      </c>
      <c r="EH289">
        <v>0</v>
      </c>
      <c r="EI289">
        <v>0</v>
      </c>
      <c r="EJ289">
        <v>0</v>
      </c>
      <c r="EK289">
        <v>0</v>
      </c>
      <c r="EL289">
        <v>0</v>
      </c>
      <c r="EM289">
        <v>0</v>
      </c>
      <c r="EN289">
        <v>0</v>
      </c>
      <c r="EO289">
        <v>0</v>
      </c>
      <c r="EP289">
        <v>0</v>
      </c>
      <c r="EQ289">
        <v>0</v>
      </c>
      <c r="ER289">
        <f>SUM(EF289:EQ289)</f>
        <v>24000</v>
      </c>
      <c r="ES289">
        <f>IF(ER289&gt;=150000,150000,ER289)</f>
        <v>24000</v>
      </c>
      <c r="ET289">
        <f>EE289-ES289</f>
        <v>431506</v>
      </c>
      <c r="EU289">
        <v>0</v>
      </c>
      <c r="EV289">
        <v>0</v>
      </c>
      <c r="EW289">
        <v>0</v>
      </c>
      <c r="EX289">
        <v>0</v>
      </c>
      <c r="EY289">
        <v>0</v>
      </c>
      <c r="EZ289">
        <v>0</v>
      </c>
      <c r="FA289">
        <v>0</v>
      </c>
      <c r="FB289">
        <f>SUM(EU289:FA289)+(IF(F289="YES",50000,0))</f>
        <v>0</v>
      </c>
      <c r="FC289">
        <f>ET289-FB289</f>
        <v>431506</v>
      </c>
      <c r="FD289">
        <f>ROUND(IF(FC289&gt;0,IF(FC289&gt;500000,12500,(FC289-250000)*0.05),0),0)</f>
        <v>9075</v>
      </c>
      <c r="FE289">
        <f>IF(ROUND(IF(FC289&gt;0,IF(FC289&gt;1000000,25000,(FC289-500000)*0.2),0),0)&lt;0,0,ROUND(IF(FC289&gt;0,IF(FC289&gt;1000000,25000,(FC289-500000)*0.2),0),0))</f>
        <v>0</v>
      </c>
      <c r="FF289">
        <f>FD289+FE289</f>
        <v>9075</v>
      </c>
      <c r="FG289">
        <f>IF(FF289&lt;12500,0,FF289)</f>
        <v>0</v>
      </c>
      <c r="FH289">
        <f>FG289*0.04</f>
        <v>0</v>
      </c>
      <c r="FI289">
        <f>ROUND(FH289+FG289,0)</f>
        <v>0</v>
      </c>
      <c r="FJ289">
        <v>0</v>
      </c>
      <c r="FK289">
        <f>FI289-FJ289</f>
        <v>0</v>
      </c>
      <c r="FL289" t="b">
        <f>IF(EA289&gt;500000,TRUE,FALSE)</f>
        <v>1</v>
      </c>
      <c r="FM289">
        <f ca="1">IF(FL289,RANDBETWEEN(500,1000),RANDBETWEEN(1000,3000))</f>
        <v>893</v>
      </c>
      <c r="FN289">
        <f ca="1">EA289+FM289</f>
        <v>508749</v>
      </c>
      <c r="FO289">
        <f>IF(EA289&gt;0,75000,0)</f>
        <v>75000</v>
      </c>
      <c r="FP289">
        <f ca="1">FN289-FO289</f>
        <v>433749</v>
      </c>
      <c r="FQ289">
        <f ca="1">IF(FP289&gt;2400000,FP289-2400000,0)</f>
        <v>0</v>
      </c>
      <c r="FR289">
        <f ca="1">FQ289*0.3</f>
        <v>0</v>
      </c>
      <c r="FS289">
        <f ca="1">IF(FP289&gt;2000000,FP289-2000000,0)</f>
        <v>0</v>
      </c>
      <c r="FT289">
        <f ca="1">FS289*0.25</f>
        <v>0</v>
      </c>
      <c r="FU289">
        <f ca="1">IF(FP289&gt;1600000,FP289-1600000-FQ289,0)</f>
        <v>0</v>
      </c>
      <c r="FV289">
        <f ca="1">FU289*0.2</f>
        <v>0</v>
      </c>
      <c r="FW289">
        <f ca="1">IF(FP289&gt;1200000,FP289-1200000-IF(F289="YES",50000,0)-FU289,0)</f>
        <v>0</v>
      </c>
      <c r="FX289">
        <f ca="1">FW289*0.15</f>
        <v>0</v>
      </c>
      <c r="FY289">
        <f ca="1">IF(FP289&gt;800000,FP289-800000-FQ289-FU289-FW289,0)</f>
        <v>0</v>
      </c>
      <c r="FZ289">
        <f ca="1">FY289*0.1</f>
        <v>0</v>
      </c>
      <c r="GA289">
        <f ca="1">IF(FP289&gt;400000,FP289-400000-FQ289-FU289-FW289-FY289,0)</f>
        <v>33749</v>
      </c>
      <c r="GB289">
        <f ca="1">GA289*0.05</f>
        <v>1687.45</v>
      </c>
      <c r="GC289">
        <f ca="1">ROUND(FR289+FT289+FV289+FX289+FZ289+GB289,0)</f>
        <v>1687</v>
      </c>
      <c r="GD289">
        <f ca="1">IF(FP289&gt;1200000,FP289,0)</f>
        <v>0</v>
      </c>
      <c r="GE289">
        <f ca="1">IF(FP289&gt;1200000,GD289-1200000,0)</f>
        <v>0</v>
      </c>
      <c r="GF289">
        <f ca="1">IF(FP289&lt;1200001,MIN(GC289,60000),0)</f>
        <v>1687</v>
      </c>
      <c r="GG289">
        <f ca="1">IF(FP289&gt;1200000,GC289-GE289,0)</f>
        <v>0</v>
      </c>
      <c r="GH289" t="b">
        <f ca="1">IF(GG289&gt;0,TRUE,FALSE)</f>
        <v>0</v>
      </c>
      <c r="GI289">
        <f ca="1">IF(GH289,GG289,0)</f>
        <v>0</v>
      </c>
      <c r="GJ289">
        <f ca="1">GF289+GI289</f>
        <v>1687</v>
      </c>
      <c r="GK289">
        <f ca="1">ROUND(GC289-GJ289,0)</f>
        <v>0</v>
      </c>
      <c r="GL289">
        <f ca="1">GK289*0.04</f>
        <v>0</v>
      </c>
      <c r="GM289">
        <f ca="1">ROUNDUP(GK289+GL289,0)</f>
        <v>0</v>
      </c>
    </row>
    <row r="290" spans="1:195" x14ac:dyDescent="0.25">
      <c r="A290">
        <f>_xlfn.AGGREGATE(3,5,$B$2:B290)</f>
        <v>289</v>
      </c>
      <c r="B290" t="s">
        <v>685</v>
      </c>
      <c r="C290" t="s">
        <v>686</v>
      </c>
      <c r="D290" t="s">
        <v>828</v>
      </c>
      <c r="E290" t="s">
        <v>834</v>
      </c>
      <c r="F290" t="s">
        <v>959</v>
      </c>
      <c r="G290" t="s">
        <v>882</v>
      </c>
      <c r="H290">
        <f>IF(_xlfn.DAYS("31-03-2025",G290)&gt;=180,6800,0)</f>
        <v>6800</v>
      </c>
      <c r="I290">
        <f>_xlfn.XLOOKUP(B290,'[1]march-2025'!$A:$A,'[1]march-2025'!$J:$J,0,0)</f>
        <v>0</v>
      </c>
      <c r="J290">
        <f>_xlfn.XLOOKUP(B290,'[1]march-2025'!$A:$A,'[1]march-2025'!$C:$C,0,0)</f>
        <v>51700</v>
      </c>
      <c r="K290">
        <f>J290*0.14</f>
        <v>7238.0000000000009</v>
      </c>
      <c r="L290">
        <f>J290*0.12</f>
        <v>6204</v>
      </c>
      <c r="M290">
        <f>_xlfn.XLOOKUP(B290,'[1]march-2025'!$A:$A,'[1]march-2025'!$D:$D,0,0)</f>
        <v>400</v>
      </c>
      <c r="N290">
        <f>_xlfn.XLOOKUP(B290,'[1]march-2025'!$A:$A,'[1]march-2025'!$G:$G,0,0)</f>
        <v>500</v>
      </c>
      <c r="O290">
        <f>IF(J290&gt;0,SUM(J290:N290),0)</f>
        <v>66042</v>
      </c>
      <c r="P290">
        <f>_xlfn.XLOOKUP(B290,'[1]march-2025'!$A:$A,'[1]march-2025'!$H:$H,0,0)</f>
        <v>10000</v>
      </c>
      <c r="Q290">
        <f>_xlfn.XLOOKUP(B290,'[1]march-2025'!$A:$A,'[1]march-2025'!$I:$I,0,0)</f>
        <v>0</v>
      </c>
      <c r="R290">
        <f>IF($F290="YES",0,IF(O290&gt;40000,200,IF(O290&gt;25000,150,IF(O290&gt;15000,130,IF(O290&gt;10000,110,0)))))</f>
        <v>200</v>
      </c>
      <c r="S290">
        <f>O290-P290-Q290-R290</f>
        <v>55842</v>
      </c>
      <c r="T290">
        <f>_xlfn.XLOOKUP(B290,'[2]april-2025'!$A:$A,'[2]april-2025'!$C:$C,0,0)</f>
        <v>51700</v>
      </c>
      <c r="U290">
        <f>T290*0.18</f>
        <v>9306</v>
      </c>
      <c r="V290">
        <f>T290*0.12</f>
        <v>6204</v>
      </c>
      <c r="W290">
        <f>_xlfn.XLOOKUP(B290,'[2]april-2025'!$A:$A,'[2]april-2025'!$D:$D,0,0)</f>
        <v>400</v>
      </c>
      <c r="X290">
        <f>_xlfn.XLOOKUP(B290,'[2]april-2025'!$A:$A,'[2]april-2025'!$G:$G,0,0)</f>
        <v>500</v>
      </c>
      <c r="Y290">
        <f>IF(T290&gt;0,SUM(T290:X290),0)</f>
        <v>68110</v>
      </c>
      <c r="Z290">
        <f>_xlfn.XLOOKUP(B290,'[2]april-2025'!$A:$A,'[2]april-2025'!$H:$H,0,0)</f>
        <v>10000</v>
      </c>
      <c r="AA290">
        <f>_xlfn.XLOOKUP(B290,'[2]april-2025'!$A:$A,'[2]april-2025'!$I:$I,0,0)</f>
        <v>0</v>
      </c>
      <c r="AB290">
        <f>IF($F290="YES",0,IF(Y290&gt;40000,200,IF(Y290&gt;25000,150,IF(Y290&gt;15000,130,IF(Y290&gt;10000,110,0)))))</f>
        <v>200</v>
      </c>
      <c r="AC290">
        <f>Y290-Z290-AA290-AB290</f>
        <v>57910</v>
      </c>
      <c r="AD290">
        <f>_xlfn.XLOOKUP(B290,'[3]may-2025'!$A:$A,'[3]may-2025'!$C:$C,0,0)</f>
        <v>51700</v>
      </c>
      <c r="AE290">
        <f>AD290*0.18</f>
        <v>9306</v>
      </c>
      <c r="AF290">
        <f>AD290*0.12</f>
        <v>6204</v>
      </c>
      <c r="AG290">
        <f>_xlfn.XLOOKUP(B290,'[3]may-2025'!$A:$A,'[3]may-2025'!$D:$D,0,0)</f>
        <v>400</v>
      </c>
      <c r="AH290">
        <f>_xlfn.XLOOKUP(B290,'[3]may-2025'!$A:$A,'[3]may-2025'!$G:$G,0,0)</f>
        <v>500</v>
      </c>
      <c r="AI290">
        <f>IF(AD290&gt;0,SUM(AD290:AH290),0)</f>
        <v>68110</v>
      </c>
      <c r="AJ290">
        <f>_xlfn.XLOOKUP(B290,'[3]may-2025'!$A:$A,'[3]may-2025'!$H:$H,0,0)</f>
        <v>10000</v>
      </c>
      <c r="AK290">
        <f>_xlfn.XLOOKUP(B290,'[3]may-2025'!$A:$A,'[3]may-2025'!$I:$I,0,0)</f>
        <v>0</v>
      </c>
      <c r="AL290">
        <f>IF($F290="YES",0,IF(AI290&gt;40000,200,IF(AI290&gt;25000,150,IF(AI290&gt;15000,130,IF(AI290&gt;10000,110,0)))))</f>
        <v>200</v>
      </c>
      <c r="AM290">
        <f>AI290-AJ290-AK290-AL290</f>
        <v>57910</v>
      </c>
      <c r="AN290">
        <f>_xlfn.XLOOKUP(B290,'[4]june-2025'!$A:$A,'[4]june-2025'!$C:$C,0,0)</f>
        <v>51700</v>
      </c>
      <c r="AO290">
        <f>AN290*0.18</f>
        <v>9306</v>
      </c>
      <c r="AP290">
        <f>AN290*0.12</f>
        <v>6204</v>
      </c>
      <c r="AQ290">
        <f>_xlfn.XLOOKUP(B290,'[4]june-2025'!$A:$A,'[4]june-2025'!$D:$D,0,0)</f>
        <v>400</v>
      </c>
      <c r="AR290">
        <f>_xlfn.XLOOKUP(B290,'[4]june-2025'!$A:$A,'[4]june-2025'!$G:$G,0,0)</f>
        <v>500</v>
      </c>
      <c r="AS290">
        <f>IF(AN290&gt;0,SUM(AN290:AR290),0)</f>
        <v>68110</v>
      </c>
      <c r="AT290">
        <f>_xlfn.XLOOKUP(B290,'[4]june-2025'!$A:$A,'[4]june-2025'!$H:$H,0,0)</f>
        <v>10000</v>
      </c>
      <c r="AU290">
        <f>_xlfn.XLOOKUP(B290,'[4]june-2025'!$A:$A,'[4]june-2025'!$I:$I,0,0)</f>
        <v>0</v>
      </c>
      <c r="AV290">
        <f>IF($F290="YES",0,IF(AS290&gt;40000,200,IF(AS290&gt;25000,150,IF(AS290&gt;15000,130,IF(AS290&gt;10000,110,0)))))</f>
        <v>200</v>
      </c>
      <c r="AW290">
        <f>AS290-AT290-AU290-AV290</f>
        <v>57910</v>
      </c>
      <c r="AX290">
        <f>_xlfn.XLOOKUP(B290,'[5]july-2025'!$A:$A,'[5]july-2025'!$C:$C,0,0)</f>
        <v>53300</v>
      </c>
      <c r="AY290">
        <f>AX290*0.18</f>
        <v>9594</v>
      </c>
      <c r="AZ290">
        <v>0</v>
      </c>
      <c r="BA290">
        <f>AX290*0.12</f>
        <v>6396</v>
      </c>
      <c r="BB290">
        <f>_xlfn.XLOOKUP(B290,'[5]july-2025'!$A:$A,'[5]july-2025'!$D:$D,0,0)</f>
        <v>400</v>
      </c>
      <c r="BC290">
        <f>_xlfn.XLOOKUP(B290,'[5]july-2025'!$A:$A,'[5]july-2025'!$G:$G,0,0)</f>
        <v>500</v>
      </c>
      <c r="BD290">
        <f>IF(AX290&gt;0,SUM(AX290:BC290),0)</f>
        <v>70190</v>
      </c>
      <c r="BE290">
        <f>_xlfn.XLOOKUP(B290,'[5]july-2025'!$A:$A,'[5]july-2025'!$H:$H,0,0)</f>
        <v>10000</v>
      </c>
      <c r="BF290">
        <f>_xlfn.XLOOKUP(B290,'[5]july-2025'!$A:$A,'[5]july-2025'!$I:$I,0,0)</f>
        <v>0</v>
      </c>
      <c r="BG290">
        <f>IF($F290="YES",0,IF(BD290&gt;40000,200,IF(BD290&gt;25000,150,IF(BD290&gt;15000,130,IF(BD290&gt;10000,110,0)))))</f>
        <v>200</v>
      </c>
      <c r="BH290">
        <f>BD290-BE290-BF290-BG290</f>
        <v>59990</v>
      </c>
      <c r="BI290">
        <f>_xlfn.XLOOKUP(B290,'[6]august-2025'!$A:$A,'[6]august-2025'!$C:$C,0,0)</f>
        <v>53300</v>
      </c>
      <c r="BJ290">
        <f>BI290*0.18</f>
        <v>9594</v>
      </c>
      <c r="BK290">
        <f>BI290*0.12</f>
        <v>6396</v>
      </c>
      <c r="BL290">
        <f>_xlfn.XLOOKUP(B290,'[6]august-2025'!$A:$A,'[6]august-2025'!$D:$D,0,0)</f>
        <v>400</v>
      </c>
      <c r="BM290">
        <f>_xlfn.XLOOKUP(B290,'[6]august-2025'!$A:$A,'[6]august-2025'!$G:$G,0,0)</f>
        <v>500</v>
      </c>
      <c r="BN290">
        <f>IF(BI290&gt;0,SUM(BI290:BM290),0)</f>
        <v>70190</v>
      </c>
      <c r="BO290">
        <f>_xlfn.XLOOKUP(B290,'[6]august-2025'!$A:$A,'[6]august-2025'!$H:$H,0,0)</f>
        <v>10000</v>
      </c>
      <c r="BP290">
        <f>_xlfn.XLOOKUP(B290,'[6]august-2025'!$A:$A,'[6]august-2025'!$I:$I,0,0)</f>
        <v>0</v>
      </c>
      <c r="BQ290">
        <f>IF($F290="YES",0,IF(BN290&gt;40000,200,IF(BN290&gt;25000,150,IF(BN290&gt;15000,130,IF(BN290&gt;10000,110,0)))))</f>
        <v>200</v>
      </c>
      <c r="BR290">
        <f>BN290-BO290-BP290-BQ290</f>
        <v>59990</v>
      </c>
      <c r="BS290">
        <f>_xlfn.XLOOKUP(B290,'[7]september-2025'!$A:$A,'[7]september-2025'!$C:$C,0,0)</f>
        <v>53300</v>
      </c>
      <c r="BT290">
        <f>BS290*0.18</f>
        <v>9594</v>
      </c>
      <c r="BU290">
        <f>BS290*0.12</f>
        <v>6396</v>
      </c>
      <c r="BV290">
        <f>_xlfn.XLOOKUP(B290,'[7]september-2025'!$A:$A,'[7]september-2025'!$D:$D,0,0)</f>
        <v>400</v>
      </c>
      <c r="BW290">
        <f>_xlfn.XLOOKUP(B290,'[7]september-2025'!$A:$A,'[7]september-2025'!$G:$G,0,0)</f>
        <v>500</v>
      </c>
      <c r="BX290">
        <f>IF(BS290&gt;0,SUM(BS290:BW290),0)</f>
        <v>70190</v>
      </c>
      <c r="BY290">
        <f>_xlfn.XLOOKUP(B290,'[7]september-2025'!$A:$A,'[7]september-2025'!$H:$H,0,0)</f>
        <v>10000</v>
      </c>
      <c r="BZ290">
        <f>_xlfn.XLOOKUP(B290,'[7]september-2025'!$A:$A,'[7]september-2025'!$I:$I,0,0)</f>
        <v>0</v>
      </c>
      <c r="CA290">
        <f>IF($F290="YES",0,IF(BX290&gt;40000,200,IF(BX290&gt;25000,150,IF(BX290&gt;15000,130,IF(BX290&gt;10000,110,0)))))</f>
        <v>200</v>
      </c>
      <c r="CB290">
        <f>BX290-BY290-BZ290-CA290</f>
        <v>59990</v>
      </c>
      <c r="CC290">
        <f>_xlfn.XLOOKUP(B290,'[8]october-2025'!$A:$A,'[8]october-2025'!$C:$C,0,0)</f>
        <v>53300</v>
      </c>
      <c r="CD290">
        <f>CC290*0.18</f>
        <v>9594</v>
      </c>
      <c r="CE290">
        <f>CC290*0.12</f>
        <v>6396</v>
      </c>
      <c r="CF290">
        <f>_xlfn.XLOOKUP(B290,'[8]october-2025'!$A:$A,'[8]october-2025'!$D:$D,0,0)</f>
        <v>400</v>
      </c>
      <c r="CG290">
        <f>_xlfn.XLOOKUP(B290,'[8]october-2025'!$A:$A,'[8]october-2025'!$G:$G,0,0)</f>
        <v>500</v>
      </c>
      <c r="CH290">
        <f>IF(CC290&gt;0,SUM(CC290:CG290),0)</f>
        <v>70190</v>
      </c>
      <c r="CI290">
        <f>_xlfn.XLOOKUP(B290,'[8]october-2025'!$A:$A,'[8]october-2025'!$H:$H,0,0)</f>
        <v>10000</v>
      </c>
      <c r="CJ290">
        <f>_xlfn.XLOOKUP(B290,'[8]october-2025'!$A:$A,'[8]october-2025'!$I:$I,0,0)</f>
        <v>0</v>
      </c>
      <c r="CK290">
        <f>IF($F290="YES",0,IF(CH290&gt;40000,200,IF(CH290&gt;25000,150,IF(CH290&gt;15000,130,IF(CH290&gt;10000,110,0)))))</f>
        <v>200</v>
      </c>
      <c r="CL290">
        <f>CH290-CI290-CJ290-CK290</f>
        <v>59990</v>
      </c>
      <c r="CM290">
        <f>_xlfn.XLOOKUP(B290,'[9]november-2025'!$A:$A,'[9]november-2025'!$C:$C,0,0)</f>
        <v>53300</v>
      </c>
      <c r="CN290">
        <f>CM290*0.18</f>
        <v>9594</v>
      </c>
      <c r="CO290">
        <f>CM290*0.12</f>
        <v>6396</v>
      </c>
      <c r="CP290">
        <f>_xlfn.XLOOKUP(B290,'[9]november-2025'!$A:$A,'[9]november-2025'!$D:$D,0,0)</f>
        <v>400</v>
      </c>
      <c r="CQ290">
        <f>_xlfn.XLOOKUP(B290,'[9]november-2025'!$A:$A,'[9]november-2025'!$G:$G,0,0)</f>
        <v>500</v>
      </c>
      <c r="CR290">
        <f>IF(CM290&gt;0,SUM(CM290:CQ290),0)</f>
        <v>70190</v>
      </c>
      <c r="CS290">
        <f>_xlfn.XLOOKUP(B290,'[9]november-2025'!$A:$A,'[9]november-2025'!$H:$H,0,0)</f>
        <v>10000</v>
      </c>
      <c r="CT290">
        <f>_xlfn.XLOOKUP(B290,'[9]november-2025'!$A:$A,'[9]november-2025'!$I:$I,0,0)</f>
        <v>0</v>
      </c>
      <c r="CU290">
        <f>IF($F290="YES",0,IF(CR290&gt;40000,200,IF(CR290&gt;25000,150,IF(CR290&gt;15000,130,IF(CR290&gt;10000,110,0)))))</f>
        <v>200</v>
      </c>
      <c r="CV290">
        <f>CR290-CS290-CT290-CU290</f>
        <v>59990</v>
      </c>
      <c r="CW290">
        <f>_xlfn.XLOOKUP(B290,'[10]december-2025'!$A:$A,'[10]december-2025'!$C:$C,0,0)</f>
        <v>53300</v>
      </c>
      <c r="CX290">
        <f>ROUND(CW290*0.18,0)</f>
        <v>9594</v>
      </c>
      <c r="CY290">
        <f>ROUND(CW290*0.12,0)</f>
        <v>6396</v>
      </c>
      <c r="CZ290">
        <f>_xlfn.XLOOKUP(B290,'[10]december-2025'!$A:$A,'[10]december-2025'!$D:$D,0,0)</f>
        <v>400</v>
      </c>
      <c r="DA290">
        <f>_xlfn.XLOOKUP(B290,'[10]december-2025'!$A:$A,'[10]december-2025'!$G:$G,0,0)</f>
        <v>500</v>
      </c>
      <c r="DB290">
        <f>IF(CW290&gt;0,SUM(CW290:DA290),0)</f>
        <v>70190</v>
      </c>
      <c r="DC290">
        <f>_xlfn.XLOOKUP(B290,'[10]december-2025'!$A:$A,'[10]december-2025'!$H:$H,0,0)</f>
        <v>10000</v>
      </c>
      <c r="DD290">
        <f>_xlfn.XLOOKUP(B290,'[10]december-2025'!$A:$A,'[10]december-2025'!$I:$I,0,0)</f>
        <v>0</v>
      </c>
      <c r="DE290">
        <f>IF($F290="YES",0,IF(DB290&gt;40000,200,IF(DB290&gt;25000,150,IF(DB290&gt;15000,130,IF(DB290&gt;10000,110,0)))))</f>
        <v>200</v>
      </c>
      <c r="DF290">
        <f>DB290-DC290-DD290-DE290</f>
        <v>59990</v>
      </c>
      <c r="DG290">
        <f>_xlfn.XLOOKUP(B290,'[11]january-2026'!$A:$A,'[11]january-2026'!$C:$C,0,0)</f>
        <v>53300</v>
      </c>
      <c r="DH290">
        <f>DG290*0.18</f>
        <v>9594</v>
      </c>
      <c r="DI290">
        <f>DG290*0.12</f>
        <v>6396</v>
      </c>
      <c r="DJ290">
        <f>_xlfn.XLOOKUP(B290,'[11]january-2026'!$A:$A,'[11]january-2026'!$D:$D,0,0)</f>
        <v>400</v>
      </c>
      <c r="DK290">
        <f>_xlfn.XLOOKUP(B290,'[11]january-2026'!$A:$A,'[11]january-2026'!$G:$G,0,0)</f>
        <v>500</v>
      </c>
      <c r="DL290">
        <f>IF(DG290&gt;0,SUM(DG290:DK290),0)</f>
        <v>70190</v>
      </c>
      <c r="DM290">
        <f>_xlfn.XLOOKUP(B290,'[11]january-2026'!$A:$A,'[11]january-2026'!$H:$H,0,0)</f>
        <v>10000</v>
      </c>
      <c r="DN290">
        <f>_xlfn.XLOOKUP(B290,'[11]january-2026'!$A:$A,'[11]january-2026'!$I:$I,0,0)</f>
        <v>0</v>
      </c>
      <c r="DO290">
        <f>IF($F290="YES",0,IF(DL290&gt;40000,200,IF(DL290&gt;25000,150,IF(DL290&gt;15000,130,IF(DL290&gt;10000,110,0)))))</f>
        <v>200</v>
      </c>
      <c r="DP290">
        <f>DL290-DM290-DN290-DO290</f>
        <v>59990</v>
      </c>
      <c r="DQ290">
        <f>_xlfn.XLOOKUP(B290,'[12]february-2026'!$A:$A,'[12]february-2026'!$C:$C,0,0)</f>
        <v>53300</v>
      </c>
      <c r="DR290">
        <f>DQ290*0.18</f>
        <v>9594</v>
      </c>
      <c r="DS290">
        <f>DQ290*0.12</f>
        <v>6396</v>
      </c>
      <c r="DT290">
        <f>_xlfn.XLOOKUP(B290,'[12]february-2026'!$A:$A,'[12]february-2026'!$D:$D,0,0)</f>
        <v>400</v>
      </c>
      <c r="DU290">
        <f>_xlfn.XLOOKUP(B290,'[12]february-2026'!$A:$A,'[12]february-2026'!$G:$G,0,0)</f>
        <v>500</v>
      </c>
      <c r="DV290">
        <f>IF(DQ290&gt;0,SUM(DQ290:DU290),0)</f>
        <v>70190</v>
      </c>
      <c r="DW290">
        <f>_xlfn.XLOOKUP(B290,'[12]february-2026'!$A:$A,'[12]february-2026'!$H:$H,0,0)</f>
        <v>10000</v>
      </c>
      <c r="DX290">
        <f>_xlfn.XLOOKUP(B290,'[12]february-2026'!$A:$A,'[12]february-2026'!$I:$I,0,0)</f>
        <v>0</v>
      </c>
      <c r="DY290">
        <f>IF($F290="YES",0,IF(DV290&gt;40000,200,IF(DV290&gt;25000,150,IF(DV290&gt;15000,130,IF(DV290&gt;10000,110,0)))))</f>
        <v>200</v>
      </c>
      <c r="DZ290">
        <f>DV290-DW290-DX290-DY290</f>
        <v>59990</v>
      </c>
      <c r="EA290">
        <f>DV290+DL290+DB290+CR290+CH290+BX290+BN290+BD290+AS290+AI290+Y290+O290+H290+I290</f>
        <v>838692</v>
      </c>
      <c r="EB290">
        <f>DY290+DO290+DE290+CU290+CK290+CA290+BQ290+BG290+AV290+AL290+AB290+R290</f>
        <v>2400</v>
      </c>
      <c r="EC290">
        <f>IF(EA290&gt;0,50000,0)</f>
        <v>50000</v>
      </c>
      <c r="ED290">
        <v>0</v>
      </c>
      <c r="EE290">
        <f>EA290-EB290-EC290</f>
        <v>786292</v>
      </c>
      <c r="EF290">
        <f>DW290+DM290+DC290+CS290+CI290+BY290+BO290+BE290+AT290+AJ290+Z290+P290</f>
        <v>120000</v>
      </c>
      <c r="EG290">
        <f>DX290+DN290+DD290+CT290+CJ290+BZ290+BP290+BF290+AU290+AK290+AA290+Q290</f>
        <v>0</v>
      </c>
      <c r="EH290">
        <v>0</v>
      </c>
      <c r="EI290">
        <v>0</v>
      </c>
      <c r="EJ290">
        <v>0</v>
      </c>
      <c r="EK290">
        <v>0</v>
      </c>
      <c r="EL290">
        <v>0</v>
      </c>
      <c r="EM290">
        <v>0</v>
      </c>
      <c r="EN290">
        <v>0</v>
      </c>
      <c r="EO290">
        <v>0</v>
      </c>
      <c r="EP290">
        <v>0</v>
      </c>
      <c r="EQ290">
        <v>0</v>
      </c>
      <c r="ER290">
        <f>SUM(EF290:EQ290)</f>
        <v>120000</v>
      </c>
      <c r="ES290">
        <f>IF(ER290&gt;=150000,150000,ER290)</f>
        <v>120000</v>
      </c>
      <c r="ET290">
        <f>EE290-ES290</f>
        <v>666292</v>
      </c>
      <c r="EU290">
        <v>0</v>
      </c>
      <c r="EV290">
        <v>0</v>
      </c>
      <c r="EW290">
        <v>0</v>
      </c>
      <c r="EX290">
        <v>0</v>
      </c>
      <c r="EY290">
        <v>0</v>
      </c>
      <c r="EZ290">
        <v>0</v>
      </c>
      <c r="FA290">
        <v>0</v>
      </c>
      <c r="FB290">
        <f>SUM(EU290:FA290)+(IF(F290="YES",50000,0))</f>
        <v>0</v>
      </c>
      <c r="FC290">
        <f>ET290-FB290</f>
        <v>666292</v>
      </c>
      <c r="FD290">
        <f>ROUND(IF(FC290&gt;0,IF(FC290&gt;500000,12500,(FC290-250000)*0.05),0),0)</f>
        <v>12500</v>
      </c>
      <c r="FE290">
        <f>IF(ROUND(IF(FC290&gt;0,IF(FC290&gt;1000000,25000,(FC290-500000)*0.2),0),0)&lt;0,0,ROUND(IF(FC290&gt;0,IF(FC290&gt;1000000,25000,(FC290-500000)*0.2),0),0))</f>
        <v>33258</v>
      </c>
      <c r="FF290">
        <f>FD290+FE290</f>
        <v>45758</v>
      </c>
      <c r="FG290">
        <f>IF(FF290&lt;12500,0,FF290)</f>
        <v>45758</v>
      </c>
      <c r="FH290">
        <f>FG290*0.04</f>
        <v>1830.32</v>
      </c>
      <c r="FI290">
        <f>ROUND(FH290+FG290,0)</f>
        <v>47588</v>
      </c>
      <c r="FJ290">
        <v>0</v>
      </c>
      <c r="FK290">
        <f>FI290-FJ290</f>
        <v>47588</v>
      </c>
      <c r="FL290" t="b">
        <f>IF(EA290&gt;500000,TRUE,FALSE)</f>
        <v>1</v>
      </c>
      <c r="FM290">
        <f ca="1">IF(FL290,RANDBETWEEN(500,1000),RANDBETWEEN(1000,3000))</f>
        <v>786</v>
      </c>
      <c r="FN290">
        <f ca="1">EA290+FM290</f>
        <v>839478</v>
      </c>
      <c r="FO290">
        <f>IF(EA290&gt;0,75000,0)</f>
        <v>75000</v>
      </c>
      <c r="FP290">
        <f ca="1">FN290-FO290</f>
        <v>764478</v>
      </c>
      <c r="FQ290">
        <f ca="1">IF(FP290&gt;2400000,FP290-2400000,0)</f>
        <v>0</v>
      </c>
      <c r="FR290">
        <f ca="1">FQ290*0.3</f>
        <v>0</v>
      </c>
      <c r="FS290">
        <f ca="1">IF(FP290&gt;2000000,FP290-2000000,0)</f>
        <v>0</v>
      </c>
      <c r="FT290">
        <f ca="1">FS290*0.25</f>
        <v>0</v>
      </c>
      <c r="FU290">
        <f ca="1">IF(FP290&gt;1600000,FP290-1600000-FQ290,0)</f>
        <v>0</v>
      </c>
      <c r="FV290">
        <f ca="1">FU290*0.2</f>
        <v>0</v>
      </c>
      <c r="FW290">
        <f ca="1">IF(FP290&gt;1200000,FP290-1200000-IF(F290="YES",50000,0)-FU290,0)</f>
        <v>0</v>
      </c>
      <c r="FX290">
        <f ca="1">FW290*0.15</f>
        <v>0</v>
      </c>
      <c r="FY290">
        <f ca="1">IF(FP290&gt;800000,FP290-800000-FQ290-FU290-FW290,0)</f>
        <v>0</v>
      </c>
      <c r="FZ290">
        <f ca="1">FY290*0.1</f>
        <v>0</v>
      </c>
      <c r="GA290">
        <f ca="1">IF(FP290&gt;400000,FP290-400000-FQ290-FU290-FW290-FY290,0)</f>
        <v>364478</v>
      </c>
      <c r="GB290">
        <f ca="1">GA290*0.05</f>
        <v>18223.900000000001</v>
      </c>
      <c r="GC290">
        <f ca="1">ROUND(FR290+FT290+FV290+FX290+FZ290+GB290,0)</f>
        <v>18224</v>
      </c>
      <c r="GD290">
        <f ca="1">IF(FP290&gt;1200000,FP290,0)</f>
        <v>0</v>
      </c>
      <c r="GE290">
        <f ca="1">IF(FP290&gt;1200000,GD290-1200000,0)</f>
        <v>0</v>
      </c>
      <c r="GF290">
        <f ca="1">IF(FP290&lt;1200001,MIN(GC290,60000),0)</f>
        <v>18224</v>
      </c>
      <c r="GG290">
        <f ca="1">IF(FP290&gt;1200000,GC290-GE290,0)</f>
        <v>0</v>
      </c>
      <c r="GH290" t="b">
        <f ca="1">IF(GG290&gt;0,TRUE,FALSE)</f>
        <v>0</v>
      </c>
      <c r="GI290">
        <f ca="1">IF(GH290,GG290,0)</f>
        <v>0</v>
      </c>
      <c r="GJ290">
        <f ca="1">GF290+GI290</f>
        <v>18224</v>
      </c>
      <c r="GK290">
        <f ca="1">ROUND(GC290-GJ290,0)</f>
        <v>0</v>
      </c>
      <c r="GL290">
        <f ca="1">GK290*0.04</f>
        <v>0</v>
      </c>
      <c r="GM290">
        <f ca="1">ROUNDUP(GK290+GL290,0)</f>
        <v>0</v>
      </c>
    </row>
    <row r="291" spans="1:195" x14ac:dyDescent="0.25">
      <c r="A291">
        <f>_xlfn.AGGREGATE(3,5,$B$2:B291)</f>
        <v>290</v>
      </c>
      <c r="B291" t="s">
        <v>687</v>
      </c>
      <c r="C291" t="s">
        <v>688</v>
      </c>
      <c r="D291" t="s">
        <v>828</v>
      </c>
      <c r="E291" t="s">
        <v>834</v>
      </c>
      <c r="F291" t="s">
        <v>959</v>
      </c>
      <c r="G291" t="s">
        <v>890</v>
      </c>
      <c r="H291">
        <f>IF(_xlfn.DAYS("31-03-2025",G291)&gt;=180,6800,0)</f>
        <v>6800</v>
      </c>
      <c r="I291">
        <f>_xlfn.XLOOKUP(B291,'[1]march-2025'!$A:$A,'[1]march-2025'!$J:$J,0,0)</f>
        <v>0</v>
      </c>
      <c r="J291">
        <f>_xlfn.XLOOKUP(B291,'[1]march-2025'!$A:$A,'[1]march-2025'!$C:$C,0,0)</f>
        <v>37700</v>
      </c>
      <c r="K291">
        <f>J291*0.14</f>
        <v>5278.0000000000009</v>
      </c>
      <c r="L291">
        <f>J291*0.12</f>
        <v>4524</v>
      </c>
      <c r="M291">
        <f>_xlfn.XLOOKUP(B291,'[1]march-2025'!$A:$A,'[1]march-2025'!$D:$D,0,0)</f>
        <v>0</v>
      </c>
      <c r="N291">
        <f>_xlfn.XLOOKUP(B291,'[1]march-2025'!$A:$A,'[1]march-2025'!$G:$G,0,0)</f>
        <v>500</v>
      </c>
      <c r="O291">
        <f>IF(J291&gt;0,SUM(J291:N291),0)</f>
        <v>48002</v>
      </c>
      <c r="P291">
        <f>_xlfn.XLOOKUP(B291,'[1]march-2025'!$A:$A,'[1]march-2025'!$H:$H,0,0)</f>
        <v>5000</v>
      </c>
      <c r="Q291">
        <f>_xlfn.XLOOKUP(B291,'[1]march-2025'!$A:$A,'[1]march-2025'!$I:$I,0,0)</f>
        <v>0</v>
      </c>
      <c r="R291">
        <f>IF($F291="YES",0,IF(O291&gt;40000,200,IF(O291&gt;25000,150,IF(O291&gt;15000,130,IF(O291&gt;10000,110,0)))))</f>
        <v>200</v>
      </c>
      <c r="S291">
        <f>O291-P291-Q291-R291</f>
        <v>42802</v>
      </c>
      <c r="T291">
        <f>_xlfn.XLOOKUP(B291,'[2]april-2025'!$A:$A,'[2]april-2025'!$C:$C,0,0)</f>
        <v>37700</v>
      </c>
      <c r="U291">
        <f>T291*0.18</f>
        <v>6786</v>
      </c>
      <c r="V291">
        <f>T291*0.12</f>
        <v>4524</v>
      </c>
      <c r="W291">
        <f>_xlfn.XLOOKUP(B291,'[2]april-2025'!$A:$A,'[2]april-2025'!$D:$D,0,0)</f>
        <v>0</v>
      </c>
      <c r="X291">
        <f>_xlfn.XLOOKUP(B291,'[2]april-2025'!$A:$A,'[2]april-2025'!$G:$G,0,0)</f>
        <v>500</v>
      </c>
      <c r="Y291">
        <f>IF(T291&gt;0,SUM(T291:X291),0)</f>
        <v>49510</v>
      </c>
      <c r="Z291">
        <f>_xlfn.XLOOKUP(B291,'[2]april-2025'!$A:$A,'[2]april-2025'!$H:$H,0,0)</f>
        <v>5000</v>
      </c>
      <c r="AA291">
        <f>_xlfn.XLOOKUP(B291,'[2]april-2025'!$A:$A,'[2]april-2025'!$I:$I,0,0)</f>
        <v>0</v>
      </c>
      <c r="AB291">
        <f>IF($F291="YES",0,IF(Y291&gt;40000,200,IF(Y291&gt;25000,150,IF(Y291&gt;15000,130,IF(Y291&gt;10000,110,0)))))</f>
        <v>200</v>
      </c>
      <c r="AC291">
        <f>Y291-Z291-AA291-AB291</f>
        <v>44310</v>
      </c>
      <c r="AD291">
        <f>_xlfn.XLOOKUP(B291,'[3]may-2025'!$A:$A,'[3]may-2025'!$C:$C,0,0)</f>
        <v>37700</v>
      </c>
      <c r="AE291">
        <f>AD291*0.18</f>
        <v>6786</v>
      </c>
      <c r="AF291">
        <f>AD291*0.12</f>
        <v>4524</v>
      </c>
      <c r="AG291">
        <f>_xlfn.XLOOKUP(B291,'[3]may-2025'!$A:$A,'[3]may-2025'!$D:$D,0,0)</f>
        <v>0</v>
      </c>
      <c r="AH291">
        <f>_xlfn.XLOOKUP(B291,'[3]may-2025'!$A:$A,'[3]may-2025'!$G:$G,0,0)</f>
        <v>500</v>
      </c>
      <c r="AI291">
        <f>IF(AD291&gt;0,SUM(AD291:AH291),0)</f>
        <v>49510</v>
      </c>
      <c r="AJ291">
        <f>_xlfn.XLOOKUP(B291,'[3]may-2025'!$A:$A,'[3]may-2025'!$H:$H,0,0)</f>
        <v>5000</v>
      </c>
      <c r="AK291">
        <f>_xlfn.XLOOKUP(B291,'[3]may-2025'!$A:$A,'[3]may-2025'!$I:$I,0,0)</f>
        <v>0</v>
      </c>
      <c r="AL291">
        <f>IF($F291="YES",0,IF(AI291&gt;40000,200,IF(AI291&gt;25000,150,IF(AI291&gt;15000,130,IF(AI291&gt;10000,110,0)))))</f>
        <v>200</v>
      </c>
      <c r="AM291">
        <f>AI291-AJ291-AK291-AL291</f>
        <v>44310</v>
      </c>
      <c r="AN291">
        <f>_xlfn.XLOOKUP(B291,'[4]june-2025'!$A:$A,'[4]june-2025'!$C:$C,0,0)</f>
        <v>37700</v>
      </c>
      <c r="AO291">
        <f>AN291*0.18</f>
        <v>6786</v>
      </c>
      <c r="AP291">
        <f>AN291*0.12</f>
        <v>4524</v>
      </c>
      <c r="AQ291">
        <f>_xlfn.XLOOKUP(B291,'[4]june-2025'!$A:$A,'[4]june-2025'!$D:$D,0,0)</f>
        <v>0</v>
      </c>
      <c r="AR291">
        <f>_xlfn.XLOOKUP(B291,'[4]june-2025'!$A:$A,'[4]june-2025'!$G:$G,0,0)</f>
        <v>500</v>
      </c>
      <c r="AS291">
        <f>IF(AN291&gt;0,SUM(AN291:AR291),0)</f>
        <v>49510</v>
      </c>
      <c r="AT291">
        <f>_xlfn.XLOOKUP(B291,'[4]june-2025'!$A:$A,'[4]june-2025'!$H:$H,0,0)</f>
        <v>5000</v>
      </c>
      <c r="AU291">
        <f>_xlfn.XLOOKUP(B291,'[4]june-2025'!$A:$A,'[4]june-2025'!$I:$I,0,0)</f>
        <v>0</v>
      </c>
      <c r="AV291">
        <f>IF($F291="YES",0,IF(AS291&gt;40000,200,IF(AS291&gt;25000,150,IF(AS291&gt;15000,130,IF(AS291&gt;10000,110,0)))))</f>
        <v>200</v>
      </c>
      <c r="AW291">
        <f>AS291-AT291-AU291-AV291</f>
        <v>44310</v>
      </c>
      <c r="AX291">
        <f>_xlfn.XLOOKUP(B291,'[5]july-2025'!$A:$A,'[5]july-2025'!$C:$C,0,0)</f>
        <v>38800</v>
      </c>
      <c r="AY291">
        <f>AX291*0.18</f>
        <v>6984</v>
      </c>
      <c r="AZ291">
        <v>0</v>
      </c>
      <c r="BA291">
        <f>AX291*0.12</f>
        <v>4656</v>
      </c>
      <c r="BB291">
        <f>_xlfn.XLOOKUP(B291,'[5]july-2025'!$A:$A,'[5]july-2025'!$D:$D,0,0)</f>
        <v>0</v>
      </c>
      <c r="BC291">
        <f>_xlfn.XLOOKUP(B291,'[5]july-2025'!$A:$A,'[5]july-2025'!$G:$G,0,0)</f>
        <v>500</v>
      </c>
      <c r="BD291">
        <f>IF(AX291&gt;0,SUM(AX291:BC291),0)</f>
        <v>50940</v>
      </c>
      <c r="BE291">
        <f>_xlfn.XLOOKUP(B291,'[5]july-2025'!$A:$A,'[5]july-2025'!$H:$H,0,0)</f>
        <v>5000</v>
      </c>
      <c r="BF291">
        <f>_xlfn.XLOOKUP(B291,'[5]july-2025'!$A:$A,'[5]july-2025'!$I:$I,0,0)</f>
        <v>0</v>
      </c>
      <c r="BG291">
        <f>IF($F291="YES",0,IF(BD291&gt;40000,200,IF(BD291&gt;25000,150,IF(BD291&gt;15000,130,IF(BD291&gt;10000,110,0)))))</f>
        <v>200</v>
      </c>
      <c r="BH291">
        <f>BD291-BE291-BF291-BG291</f>
        <v>45740</v>
      </c>
      <c r="BI291">
        <f>_xlfn.XLOOKUP(B291,'[6]august-2025'!$A:$A,'[6]august-2025'!$C:$C,0,0)</f>
        <v>38800</v>
      </c>
      <c r="BJ291">
        <f>BI291*0.18</f>
        <v>6984</v>
      </c>
      <c r="BK291">
        <f>BI291*0.12</f>
        <v>4656</v>
      </c>
      <c r="BL291">
        <f>_xlfn.XLOOKUP(B291,'[6]august-2025'!$A:$A,'[6]august-2025'!$D:$D,0,0)</f>
        <v>0</v>
      </c>
      <c r="BM291">
        <f>_xlfn.XLOOKUP(B291,'[6]august-2025'!$A:$A,'[6]august-2025'!$G:$G,0,0)</f>
        <v>500</v>
      </c>
      <c r="BN291">
        <f>IF(BI291&gt;0,SUM(BI291:BM291),0)</f>
        <v>50940</v>
      </c>
      <c r="BO291">
        <f>_xlfn.XLOOKUP(B291,'[6]august-2025'!$A:$A,'[6]august-2025'!$H:$H,0,0)</f>
        <v>5000</v>
      </c>
      <c r="BP291">
        <f>_xlfn.XLOOKUP(B291,'[6]august-2025'!$A:$A,'[6]august-2025'!$I:$I,0,0)</f>
        <v>0</v>
      </c>
      <c r="BQ291">
        <f>IF($F291="YES",0,IF(BN291&gt;40000,200,IF(BN291&gt;25000,150,IF(BN291&gt;15000,130,IF(BN291&gt;10000,110,0)))))</f>
        <v>200</v>
      </c>
      <c r="BR291">
        <f>BN291-BO291-BP291-BQ291</f>
        <v>45740</v>
      </c>
      <c r="BS291">
        <f>_xlfn.XLOOKUP(B291,'[7]september-2025'!$A:$A,'[7]september-2025'!$C:$C,0,0)</f>
        <v>38800</v>
      </c>
      <c r="BT291">
        <f>BS291*0.18</f>
        <v>6984</v>
      </c>
      <c r="BU291">
        <f>BS291*0.12</f>
        <v>4656</v>
      </c>
      <c r="BV291">
        <f>_xlfn.XLOOKUP(B291,'[7]september-2025'!$A:$A,'[7]september-2025'!$D:$D,0,0)</f>
        <v>0</v>
      </c>
      <c r="BW291">
        <f>_xlfn.XLOOKUP(B291,'[7]september-2025'!$A:$A,'[7]september-2025'!$G:$G,0,0)</f>
        <v>500</v>
      </c>
      <c r="BX291">
        <f>IF(BS291&gt;0,SUM(BS291:BW291),0)</f>
        <v>50940</v>
      </c>
      <c r="BY291">
        <f>_xlfn.XLOOKUP(B291,'[7]september-2025'!$A:$A,'[7]september-2025'!$H:$H,0,0)</f>
        <v>5000</v>
      </c>
      <c r="BZ291">
        <f>_xlfn.XLOOKUP(B291,'[7]september-2025'!$A:$A,'[7]september-2025'!$I:$I,0,0)</f>
        <v>0</v>
      </c>
      <c r="CA291">
        <f>IF($F291="YES",0,IF(BX291&gt;40000,200,IF(BX291&gt;25000,150,IF(BX291&gt;15000,130,IF(BX291&gt;10000,110,0)))))</f>
        <v>200</v>
      </c>
      <c r="CB291">
        <f>BX291-BY291-BZ291-CA291</f>
        <v>45740</v>
      </c>
      <c r="CC291">
        <f>_xlfn.XLOOKUP(B291,'[8]october-2025'!$A:$A,'[8]october-2025'!$C:$C,0,0)</f>
        <v>38800</v>
      </c>
      <c r="CD291">
        <f>CC291*0.18</f>
        <v>6984</v>
      </c>
      <c r="CE291">
        <f>CC291*0.12</f>
        <v>4656</v>
      </c>
      <c r="CF291">
        <f>_xlfn.XLOOKUP(B291,'[8]october-2025'!$A:$A,'[8]october-2025'!$D:$D,0,0)</f>
        <v>0</v>
      </c>
      <c r="CG291">
        <f>_xlfn.XLOOKUP(B291,'[8]october-2025'!$A:$A,'[8]october-2025'!$G:$G,0,0)</f>
        <v>500</v>
      </c>
      <c r="CH291">
        <f>IF(CC291&gt;0,SUM(CC291:CG291),0)</f>
        <v>50940</v>
      </c>
      <c r="CI291">
        <f>_xlfn.XLOOKUP(B291,'[8]october-2025'!$A:$A,'[8]october-2025'!$H:$H,0,0)</f>
        <v>5000</v>
      </c>
      <c r="CJ291">
        <f>_xlfn.XLOOKUP(B291,'[8]october-2025'!$A:$A,'[8]october-2025'!$I:$I,0,0)</f>
        <v>0</v>
      </c>
      <c r="CK291">
        <f>IF($F291="YES",0,IF(CH291&gt;40000,200,IF(CH291&gt;25000,150,IF(CH291&gt;15000,130,IF(CH291&gt;10000,110,0)))))</f>
        <v>200</v>
      </c>
      <c r="CL291">
        <f>CH291-CI291-CJ291-CK291</f>
        <v>45740</v>
      </c>
      <c r="CM291">
        <f>_xlfn.XLOOKUP(B291,'[9]november-2025'!$A:$A,'[9]november-2025'!$C:$C,0,0)</f>
        <v>38800</v>
      </c>
      <c r="CN291">
        <f>CM291*0.18</f>
        <v>6984</v>
      </c>
      <c r="CO291">
        <f>CM291*0.12</f>
        <v>4656</v>
      </c>
      <c r="CP291">
        <f>_xlfn.XLOOKUP(B291,'[9]november-2025'!$A:$A,'[9]november-2025'!$D:$D,0,0)</f>
        <v>0</v>
      </c>
      <c r="CQ291">
        <f>_xlfn.XLOOKUP(B291,'[9]november-2025'!$A:$A,'[9]november-2025'!$G:$G,0,0)</f>
        <v>500</v>
      </c>
      <c r="CR291">
        <f>IF(CM291&gt;0,SUM(CM291:CQ291),0)</f>
        <v>50940</v>
      </c>
      <c r="CS291">
        <f>_xlfn.XLOOKUP(B291,'[9]november-2025'!$A:$A,'[9]november-2025'!$H:$H,0,0)</f>
        <v>5000</v>
      </c>
      <c r="CT291">
        <f>_xlfn.XLOOKUP(B291,'[9]november-2025'!$A:$A,'[9]november-2025'!$I:$I,0,0)</f>
        <v>0</v>
      </c>
      <c r="CU291">
        <f>IF($F291="YES",0,IF(CR291&gt;40000,200,IF(CR291&gt;25000,150,IF(CR291&gt;15000,130,IF(CR291&gt;10000,110,0)))))</f>
        <v>200</v>
      </c>
      <c r="CV291">
        <f>CR291-CS291-CT291-CU291</f>
        <v>45740</v>
      </c>
      <c r="CW291">
        <f>_xlfn.XLOOKUP(B291,'[10]december-2025'!$A:$A,'[10]december-2025'!$C:$C,0,0)</f>
        <v>38800</v>
      </c>
      <c r="CX291">
        <f>ROUND(CW291*0.18,0)</f>
        <v>6984</v>
      </c>
      <c r="CY291">
        <f>ROUND(CW291*0.12,0)</f>
        <v>4656</v>
      </c>
      <c r="CZ291">
        <f>_xlfn.XLOOKUP(B291,'[10]december-2025'!$A:$A,'[10]december-2025'!$D:$D,0,0)</f>
        <v>0</v>
      </c>
      <c r="DA291">
        <f>_xlfn.XLOOKUP(B291,'[10]december-2025'!$A:$A,'[10]december-2025'!$G:$G,0,0)</f>
        <v>500</v>
      </c>
      <c r="DB291">
        <f>IF(CW291&gt;0,SUM(CW291:DA291),0)</f>
        <v>50940</v>
      </c>
      <c r="DC291">
        <f>_xlfn.XLOOKUP(B291,'[10]december-2025'!$A:$A,'[10]december-2025'!$H:$H,0,0)</f>
        <v>5000</v>
      </c>
      <c r="DD291">
        <f>_xlfn.XLOOKUP(B291,'[10]december-2025'!$A:$A,'[10]december-2025'!$I:$I,0,0)</f>
        <v>0</v>
      </c>
      <c r="DE291">
        <f>IF($F291="YES",0,IF(DB291&gt;40000,200,IF(DB291&gt;25000,150,IF(DB291&gt;15000,130,IF(DB291&gt;10000,110,0)))))</f>
        <v>200</v>
      </c>
      <c r="DF291">
        <f>DB291-DC291-DD291-DE291</f>
        <v>45740</v>
      </c>
      <c r="DG291">
        <f>_xlfn.XLOOKUP(B291,'[11]january-2026'!$A:$A,'[11]january-2026'!$C:$C,0,0)</f>
        <v>38800</v>
      </c>
      <c r="DH291">
        <f>DG291*0.18</f>
        <v>6984</v>
      </c>
      <c r="DI291">
        <f>DG291*0.12</f>
        <v>4656</v>
      </c>
      <c r="DJ291">
        <f>_xlfn.XLOOKUP(B291,'[11]january-2026'!$A:$A,'[11]january-2026'!$D:$D,0,0)</f>
        <v>0</v>
      </c>
      <c r="DK291">
        <f>_xlfn.XLOOKUP(B291,'[11]january-2026'!$A:$A,'[11]january-2026'!$G:$G,0,0)</f>
        <v>500</v>
      </c>
      <c r="DL291">
        <f>IF(DG291&gt;0,SUM(DG291:DK291),0)</f>
        <v>50940</v>
      </c>
      <c r="DM291">
        <f>_xlfn.XLOOKUP(B291,'[11]january-2026'!$A:$A,'[11]january-2026'!$H:$H,0,0)</f>
        <v>5000</v>
      </c>
      <c r="DN291">
        <f>_xlfn.XLOOKUP(B291,'[11]january-2026'!$A:$A,'[11]january-2026'!$I:$I,0,0)</f>
        <v>0</v>
      </c>
      <c r="DO291">
        <f>IF($F291="YES",0,IF(DL291&gt;40000,200,IF(DL291&gt;25000,150,IF(DL291&gt;15000,130,IF(DL291&gt;10000,110,0)))))</f>
        <v>200</v>
      </c>
      <c r="DP291">
        <f>DL291-DM291-DN291-DO291</f>
        <v>45740</v>
      </c>
      <c r="DQ291">
        <f>_xlfn.XLOOKUP(B291,'[12]february-2026'!$A:$A,'[12]february-2026'!$C:$C,0,0)</f>
        <v>38800</v>
      </c>
      <c r="DR291">
        <f>DQ291*0.18</f>
        <v>6984</v>
      </c>
      <c r="DS291">
        <f>DQ291*0.12</f>
        <v>4656</v>
      </c>
      <c r="DT291">
        <f>_xlfn.XLOOKUP(B291,'[12]february-2026'!$A:$A,'[12]february-2026'!$D:$D,0,0)</f>
        <v>0</v>
      </c>
      <c r="DU291">
        <f>_xlfn.XLOOKUP(B291,'[12]february-2026'!$A:$A,'[12]february-2026'!$G:$G,0,0)</f>
        <v>500</v>
      </c>
      <c r="DV291">
        <f>IF(DQ291&gt;0,SUM(DQ291:DU291),0)</f>
        <v>50940</v>
      </c>
      <c r="DW291">
        <f>_xlfn.XLOOKUP(B291,'[12]february-2026'!$A:$A,'[12]february-2026'!$H:$H,0,0)</f>
        <v>5000</v>
      </c>
      <c r="DX291">
        <f>_xlfn.XLOOKUP(B291,'[12]february-2026'!$A:$A,'[12]february-2026'!$I:$I,0,0)</f>
        <v>0</v>
      </c>
      <c r="DY291">
        <f>IF($F291="YES",0,IF(DV291&gt;40000,200,IF(DV291&gt;25000,150,IF(DV291&gt;15000,130,IF(DV291&gt;10000,110,0)))))</f>
        <v>200</v>
      </c>
      <c r="DZ291">
        <f>DV291-DW291-DX291-DY291</f>
        <v>45740</v>
      </c>
      <c r="EA291">
        <f>DV291+DL291+DB291+CR291+CH291+BX291+BN291+BD291+AS291+AI291+Y291+O291+H291+I291</f>
        <v>610852</v>
      </c>
      <c r="EB291">
        <f>DY291+DO291+DE291+CU291+CK291+CA291+BQ291+BG291+AV291+AL291+AB291+R291</f>
        <v>2400</v>
      </c>
      <c r="EC291">
        <f>IF(EA291&gt;0,50000,0)</f>
        <v>50000</v>
      </c>
      <c r="ED291">
        <v>0</v>
      </c>
      <c r="EE291">
        <f>EA291-EB291-EC291</f>
        <v>558452</v>
      </c>
      <c r="EF291">
        <f>DW291+DM291+DC291+CS291+CI291+BY291+BO291+BE291+AT291+AJ291+Z291+P291</f>
        <v>60000</v>
      </c>
      <c r="EG291">
        <f>DX291+DN291+DD291+CT291+CJ291+BZ291+BP291+BF291+AU291+AK291+AA291+Q291</f>
        <v>0</v>
      </c>
      <c r="EH291">
        <v>0</v>
      </c>
      <c r="EI291">
        <v>0</v>
      </c>
      <c r="EJ291">
        <v>0</v>
      </c>
      <c r="EK291">
        <v>0</v>
      </c>
      <c r="EL291">
        <v>0</v>
      </c>
      <c r="EM291">
        <v>0</v>
      </c>
      <c r="EN291">
        <v>0</v>
      </c>
      <c r="EO291">
        <v>0</v>
      </c>
      <c r="EP291">
        <v>0</v>
      </c>
      <c r="EQ291">
        <v>0</v>
      </c>
      <c r="ER291">
        <f>SUM(EF291:EQ291)</f>
        <v>60000</v>
      </c>
      <c r="ES291">
        <f>IF(ER291&gt;=150000,150000,ER291)</f>
        <v>60000</v>
      </c>
      <c r="ET291">
        <f>EE291-ES291</f>
        <v>498452</v>
      </c>
      <c r="EU291">
        <v>0</v>
      </c>
      <c r="EV291">
        <v>0</v>
      </c>
      <c r="EW291">
        <v>0</v>
      </c>
      <c r="EX291">
        <v>0</v>
      </c>
      <c r="EY291">
        <v>0</v>
      </c>
      <c r="EZ291">
        <v>0</v>
      </c>
      <c r="FA291">
        <v>0</v>
      </c>
      <c r="FB291">
        <f>SUM(EU291:FA291)+(IF(F291="YES",50000,0))</f>
        <v>0</v>
      </c>
      <c r="FC291">
        <f>ET291-FB291</f>
        <v>498452</v>
      </c>
      <c r="FD291">
        <f>ROUND(IF(FC291&gt;0,IF(FC291&gt;500000,12500,(FC291-250000)*0.05),0),0)</f>
        <v>12423</v>
      </c>
      <c r="FE291">
        <f>IF(ROUND(IF(FC291&gt;0,IF(FC291&gt;1000000,25000,(FC291-500000)*0.2),0),0)&lt;0,0,ROUND(IF(FC291&gt;0,IF(FC291&gt;1000000,25000,(FC291-500000)*0.2),0),0))</f>
        <v>0</v>
      </c>
      <c r="FF291">
        <f>FD291+FE291</f>
        <v>12423</v>
      </c>
      <c r="FG291">
        <f>IF(FF291&lt;12500,0,FF291)</f>
        <v>0</v>
      </c>
      <c r="FH291">
        <f>FG291*0.04</f>
        <v>0</v>
      </c>
      <c r="FI291">
        <f>ROUND(FH291+FG291,0)</f>
        <v>0</v>
      </c>
      <c r="FJ291">
        <v>0</v>
      </c>
      <c r="FK291">
        <f>FI291-FJ291</f>
        <v>0</v>
      </c>
      <c r="FL291" t="b">
        <f>IF(EA291&gt;500000,TRUE,FALSE)</f>
        <v>1</v>
      </c>
      <c r="FM291">
        <f ca="1">IF(FL291,RANDBETWEEN(500,1000),RANDBETWEEN(1000,3000))</f>
        <v>662</v>
      </c>
      <c r="FN291">
        <f ca="1">EA291+FM291</f>
        <v>611514</v>
      </c>
      <c r="FO291">
        <f>IF(EA291&gt;0,75000,0)</f>
        <v>75000</v>
      </c>
      <c r="FP291">
        <f ca="1">FN291-FO291</f>
        <v>536514</v>
      </c>
      <c r="FQ291">
        <f ca="1">IF(FP291&gt;2400000,FP291-2400000,0)</f>
        <v>0</v>
      </c>
      <c r="FR291">
        <f ca="1">FQ291*0.3</f>
        <v>0</v>
      </c>
      <c r="FS291">
        <f ca="1">IF(FP291&gt;2000000,FP291-2000000,0)</f>
        <v>0</v>
      </c>
      <c r="FT291">
        <f ca="1">FS291*0.25</f>
        <v>0</v>
      </c>
      <c r="FU291">
        <f ca="1">IF(FP291&gt;1600000,FP291-1600000-FQ291,0)</f>
        <v>0</v>
      </c>
      <c r="FV291">
        <f ca="1">FU291*0.2</f>
        <v>0</v>
      </c>
      <c r="FW291">
        <f ca="1">IF(FP291&gt;1200000,FP291-1200000-IF(F291="YES",50000,0)-FU291,0)</f>
        <v>0</v>
      </c>
      <c r="FX291">
        <f ca="1">FW291*0.15</f>
        <v>0</v>
      </c>
      <c r="FY291">
        <f ca="1">IF(FP291&gt;800000,FP291-800000-FQ291-FU291-FW291,0)</f>
        <v>0</v>
      </c>
      <c r="FZ291">
        <f ca="1">FY291*0.1</f>
        <v>0</v>
      </c>
      <c r="GA291">
        <f ca="1">IF(FP291&gt;400000,FP291-400000-FQ291-FU291-FW291-FY291,0)</f>
        <v>136514</v>
      </c>
      <c r="GB291">
        <f ca="1">GA291*0.05</f>
        <v>6825.7000000000007</v>
      </c>
      <c r="GC291">
        <f ca="1">ROUND(FR291+FT291+FV291+FX291+FZ291+GB291,0)</f>
        <v>6826</v>
      </c>
      <c r="GD291">
        <f ca="1">IF(FP291&gt;1200000,FP291,0)</f>
        <v>0</v>
      </c>
      <c r="GE291">
        <f ca="1">IF(FP291&gt;1200000,GD291-1200000,0)</f>
        <v>0</v>
      </c>
      <c r="GF291">
        <f ca="1">IF(FP291&lt;1200001,MIN(GC291,60000),0)</f>
        <v>6826</v>
      </c>
      <c r="GG291">
        <f ca="1">IF(FP291&gt;1200000,GC291-GE291,0)</f>
        <v>0</v>
      </c>
      <c r="GH291" t="b">
        <f ca="1">IF(GG291&gt;0,TRUE,FALSE)</f>
        <v>0</v>
      </c>
      <c r="GI291">
        <f ca="1">IF(GH291,GG291,0)</f>
        <v>0</v>
      </c>
      <c r="GJ291">
        <f ca="1">GF291+GI291</f>
        <v>6826</v>
      </c>
      <c r="GK291">
        <f ca="1">ROUND(GC291-GJ291,0)</f>
        <v>0</v>
      </c>
      <c r="GL291">
        <f ca="1">GK291*0.04</f>
        <v>0</v>
      </c>
      <c r="GM291">
        <f ca="1">ROUNDUP(GK291+GL291,0)</f>
        <v>0</v>
      </c>
    </row>
    <row r="292" spans="1:195" x14ac:dyDescent="0.25">
      <c r="A292">
        <f>_xlfn.AGGREGATE(3,5,$B$2:B292)</f>
        <v>291</v>
      </c>
      <c r="B292" t="s">
        <v>689</v>
      </c>
      <c r="C292" t="s">
        <v>690</v>
      </c>
      <c r="D292" t="s">
        <v>828</v>
      </c>
      <c r="E292" t="s">
        <v>833</v>
      </c>
      <c r="F292" t="s">
        <v>959</v>
      </c>
      <c r="G292" t="s">
        <v>881</v>
      </c>
      <c r="H292">
        <f>IF(_xlfn.DAYS("31-03-2025",G292)&gt;=180,6800,0)</f>
        <v>6800</v>
      </c>
      <c r="I292">
        <f>_xlfn.XLOOKUP(B292,'[1]march-2025'!$A:$A,'[1]march-2025'!$J:$J,0,0)</f>
        <v>0</v>
      </c>
      <c r="J292">
        <f>_xlfn.XLOOKUP(B292,'[1]march-2025'!$A:$A,'[1]march-2025'!$C:$C,0,0)</f>
        <v>27000</v>
      </c>
      <c r="K292">
        <f>J292*0.14</f>
        <v>3780.0000000000005</v>
      </c>
      <c r="L292">
        <f>J292*0.12</f>
        <v>3240</v>
      </c>
      <c r="M292">
        <f>_xlfn.XLOOKUP(B292,'[1]march-2025'!$A:$A,'[1]march-2025'!$D:$D,0,0)</f>
        <v>0</v>
      </c>
      <c r="N292">
        <f>_xlfn.XLOOKUP(B292,'[1]march-2025'!$A:$A,'[1]march-2025'!$G:$G,0,0)</f>
        <v>500</v>
      </c>
      <c r="O292">
        <f>IF(J292&gt;0,SUM(J292:N292),0)</f>
        <v>34520</v>
      </c>
      <c r="P292">
        <f>_xlfn.XLOOKUP(B292,'[1]march-2025'!$A:$A,'[1]march-2025'!$H:$H,0,0)</f>
        <v>2000</v>
      </c>
      <c r="Q292">
        <f>_xlfn.XLOOKUP(B292,'[1]march-2025'!$A:$A,'[1]march-2025'!$I:$I,0,0)</f>
        <v>0</v>
      </c>
      <c r="R292">
        <f>IF($F292="YES",0,IF(O292&gt;40000,200,IF(O292&gt;25000,150,IF(O292&gt;15000,130,IF(O292&gt;10000,110,0)))))</f>
        <v>150</v>
      </c>
      <c r="S292">
        <f>O292-P292-Q292-R292</f>
        <v>32370</v>
      </c>
      <c r="T292">
        <f>_xlfn.XLOOKUP(B292,'[2]april-2025'!$A:$A,'[2]april-2025'!$C:$C,0,0)</f>
        <v>27000</v>
      </c>
      <c r="U292">
        <f>T292*0.18</f>
        <v>4860</v>
      </c>
      <c r="V292">
        <f>T292*0.12</f>
        <v>3240</v>
      </c>
      <c r="W292">
        <f>_xlfn.XLOOKUP(B292,'[2]april-2025'!$A:$A,'[2]april-2025'!$D:$D,0,0)</f>
        <v>0</v>
      </c>
      <c r="X292">
        <f>_xlfn.XLOOKUP(B292,'[2]april-2025'!$A:$A,'[2]april-2025'!$G:$G,0,0)</f>
        <v>500</v>
      </c>
      <c r="Y292">
        <f>IF(T292&gt;0,SUM(T292:X292),0)</f>
        <v>35600</v>
      </c>
      <c r="Z292">
        <f>_xlfn.XLOOKUP(B292,'[2]april-2025'!$A:$A,'[2]april-2025'!$H:$H,0,0)</f>
        <v>2000</v>
      </c>
      <c r="AA292">
        <f>_xlfn.XLOOKUP(B292,'[2]april-2025'!$A:$A,'[2]april-2025'!$I:$I,0,0)</f>
        <v>0</v>
      </c>
      <c r="AB292">
        <f>IF($F292="YES",0,IF(Y292&gt;40000,200,IF(Y292&gt;25000,150,IF(Y292&gt;15000,130,IF(Y292&gt;10000,110,0)))))</f>
        <v>150</v>
      </c>
      <c r="AC292">
        <f>Y292-Z292-AA292-AB292</f>
        <v>33450</v>
      </c>
      <c r="AD292">
        <f>_xlfn.XLOOKUP(B292,'[3]may-2025'!$A:$A,'[3]may-2025'!$C:$C,0,0)</f>
        <v>31600</v>
      </c>
      <c r="AE292">
        <f>AD292*0.18</f>
        <v>5688</v>
      </c>
      <c r="AF292">
        <f>AD292*0.12</f>
        <v>3792</v>
      </c>
      <c r="AG292">
        <f>_xlfn.XLOOKUP(B292,'[3]may-2025'!$A:$A,'[3]may-2025'!$D:$D,0,0)</f>
        <v>0</v>
      </c>
      <c r="AH292">
        <f>_xlfn.XLOOKUP(B292,'[3]may-2025'!$A:$A,'[3]may-2025'!$G:$G,0,0)</f>
        <v>500</v>
      </c>
      <c r="AI292">
        <f>IF(AD292&gt;0,SUM(AD292:AH292),0)</f>
        <v>41580</v>
      </c>
      <c r="AJ292">
        <f>_xlfn.XLOOKUP(B292,'[3]may-2025'!$A:$A,'[3]may-2025'!$H:$H,0,0)</f>
        <v>2000</v>
      </c>
      <c r="AK292">
        <f>_xlfn.XLOOKUP(B292,'[3]may-2025'!$A:$A,'[3]may-2025'!$I:$I,0,0)</f>
        <v>0</v>
      </c>
      <c r="AL292">
        <f>IF($F292="YES",0,IF(AI292&gt;40000,200,IF(AI292&gt;25000,150,IF(AI292&gt;15000,130,IF(AI292&gt;10000,110,0)))))</f>
        <v>200</v>
      </c>
      <c r="AM292">
        <f>AI292-AJ292-AK292-AL292</f>
        <v>39380</v>
      </c>
      <c r="AN292">
        <f>_xlfn.XLOOKUP(B292,'[4]june-2025'!$A:$A,'[4]june-2025'!$C:$C,0,0)</f>
        <v>31600</v>
      </c>
      <c r="AO292">
        <f>AN292*0.18</f>
        <v>5688</v>
      </c>
      <c r="AP292">
        <f>AN292*0.12</f>
        <v>3792</v>
      </c>
      <c r="AQ292">
        <f>_xlfn.XLOOKUP(B292,'[4]june-2025'!$A:$A,'[4]june-2025'!$D:$D,0,0)</f>
        <v>0</v>
      </c>
      <c r="AR292">
        <f>_xlfn.XLOOKUP(B292,'[4]june-2025'!$A:$A,'[4]june-2025'!$G:$G,0,0)</f>
        <v>500</v>
      </c>
      <c r="AS292">
        <f>IF(AN292&gt;0,SUM(AN292:AR292),0)</f>
        <v>41580</v>
      </c>
      <c r="AT292">
        <f>_xlfn.XLOOKUP(B292,'[4]june-2025'!$A:$A,'[4]june-2025'!$H:$H,0,0)</f>
        <v>2000</v>
      </c>
      <c r="AU292">
        <f>_xlfn.XLOOKUP(B292,'[4]june-2025'!$A:$A,'[4]june-2025'!$I:$I,0,0)</f>
        <v>0</v>
      </c>
      <c r="AV292">
        <f>IF($F292="YES",0,IF(AS292&gt;40000,200,IF(AS292&gt;25000,150,IF(AS292&gt;15000,130,IF(AS292&gt;10000,110,0)))))</f>
        <v>200</v>
      </c>
      <c r="AW292">
        <f>AS292-AT292-AU292-AV292</f>
        <v>39380</v>
      </c>
      <c r="AX292">
        <f>_xlfn.XLOOKUP(B292,'[5]july-2025'!$A:$A,'[5]july-2025'!$C:$C,0,0)</f>
        <v>32500</v>
      </c>
      <c r="AY292">
        <f>AX292*0.18</f>
        <v>5850</v>
      </c>
      <c r="AZ292">
        <v>0</v>
      </c>
      <c r="BA292">
        <f>AX292*0.12</f>
        <v>3900</v>
      </c>
      <c r="BB292">
        <f>_xlfn.XLOOKUP(B292,'[5]july-2025'!$A:$A,'[5]july-2025'!$D:$D,0,0)</f>
        <v>0</v>
      </c>
      <c r="BC292">
        <f>_xlfn.XLOOKUP(B292,'[5]july-2025'!$A:$A,'[5]july-2025'!$G:$G,0,0)</f>
        <v>500</v>
      </c>
      <c r="BD292">
        <f>IF(AX292&gt;0,SUM(AX292:BC292),0)</f>
        <v>42750</v>
      </c>
      <c r="BE292">
        <f>_xlfn.XLOOKUP(B292,'[5]july-2025'!$A:$A,'[5]july-2025'!$H:$H,0,0)</f>
        <v>2000</v>
      </c>
      <c r="BF292">
        <f>_xlfn.XLOOKUP(B292,'[5]july-2025'!$A:$A,'[5]july-2025'!$I:$I,0,0)</f>
        <v>0</v>
      </c>
      <c r="BG292">
        <f>IF($F292="YES",0,IF(BD292&gt;40000,200,IF(BD292&gt;25000,150,IF(BD292&gt;15000,130,IF(BD292&gt;10000,110,0)))))</f>
        <v>200</v>
      </c>
      <c r="BH292">
        <f>BD292-BE292-BF292-BG292</f>
        <v>40550</v>
      </c>
      <c r="BI292">
        <f>_xlfn.XLOOKUP(B292,'[6]august-2025'!$A:$A,'[6]august-2025'!$C:$C,0,0)</f>
        <v>32500</v>
      </c>
      <c r="BJ292">
        <f>BI292*0.18</f>
        <v>5850</v>
      </c>
      <c r="BK292">
        <f>BI292*0.12</f>
        <v>3900</v>
      </c>
      <c r="BL292">
        <f>_xlfn.XLOOKUP(B292,'[6]august-2025'!$A:$A,'[6]august-2025'!$D:$D,0,0)</f>
        <v>0</v>
      </c>
      <c r="BM292">
        <f>_xlfn.XLOOKUP(B292,'[6]august-2025'!$A:$A,'[6]august-2025'!$G:$G,0,0)</f>
        <v>500</v>
      </c>
      <c r="BN292">
        <f>IF(BI292&gt;0,SUM(BI292:BM292),0)</f>
        <v>42750</v>
      </c>
      <c r="BO292">
        <f>_xlfn.XLOOKUP(B292,'[6]august-2025'!$A:$A,'[6]august-2025'!$H:$H,0,0)</f>
        <v>2000</v>
      </c>
      <c r="BP292">
        <f>_xlfn.XLOOKUP(B292,'[6]august-2025'!$A:$A,'[6]august-2025'!$I:$I,0,0)</f>
        <v>0</v>
      </c>
      <c r="BQ292">
        <f>IF($F292="YES",0,IF(BN292&gt;40000,200,IF(BN292&gt;25000,150,IF(BN292&gt;15000,130,IF(BN292&gt;10000,110,0)))))</f>
        <v>200</v>
      </c>
      <c r="BR292">
        <f>BN292-BO292-BP292-BQ292</f>
        <v>40550</v>
      </c>
      <c r="BS292">
        <f>_xlfn.XLOOKUP(B292,'[7]september-2025'!$A:$A,'[7]september-2025'!$C:$C,0,0)</f>
        <v>32500</v>
      </c>
      <c r="BT292">
        <f>BS292*0.18</f>
        <v>5850</v>
      </c>
      <c r="BU292">
        <f>BS292*0.12</f>
        <v>3900</v>
      </c>
      <c r="BV292">
        <f>_xlfn.XLOOKUP(B292,'[7]september-2025'!$A:$A,'[7]september-2025'!$D:$D,0,0)</f>
        <v>0</v>
      </c>
      <c r="BW292">
        <f>_xlfn.XLOOKUP(B292,'[7]september-2025'!$A:$A,'[7]september-2025'!$G:$G,0,0)</f>
        <v>500</v>
      </c>
      <c r="BX292">
        <f>IF(BS292&gt;0,SUM(BS292:BW292),0)</f>
        <v>42750</v>
      </c>
      <c r="BY292">
        <f>_xlfn.XLOOKUP(B292,'[7]september-2025'!$A:$A,'[7]september-2025'!$H:$H,0,0)</f>
        <v>2000</v>
      </c>
      <c r="BZ292">
        <f>_xlfn.XLOOKUP(B292,'[7]september-2025'!$A:$A,'[7]september-2025'!$I:$I,0,0)</f>
        <v>0</v>
      </c>
      <c r="CA292">
        <f>IF($F292="YES",0,IF(BX292&gt;40000,200,IF(BX292&gt;25000,150,IF(BX292&gt;15000,130,IF(BX292&gt;10000,110,0)))))</f>
        <v>200</v>
      </c>
      <c r="CB292">
        <f>BX292-BY292-BZ292-CA292</f>
        <v>40550</v>
      </c>
      <c r="CC292">
        <f>_xlfn.XLOOKUP(B292,'[8]october-2025'!$A:$A,'[8]october-2025'!$C:$C,0,0)</f>
        <v>32500</v>
      </c>
      <c r="CD292">
        <f>CC292*0.18</f>
        <v>5850</v>
      </c>
      <c r="CE292">
        <f>CC292*0.12</f>
        <v>3900</v>
      </c>
      <c r="CF292">
        <f>_xlfn.XLOOKUP(B292,'[8]october-2025'!$A:$A,'[8]october-2025'!$D:$D,0,0)</f>
        <v>0</v>
      </c>
      <c r="CG292">
        <f>_xlfn.XLOOKUP(B292,'[8]october-2025'!$A:$A,'[8]october-2025'!$G:$G,0,0)</f>
        <v>500</v>
      </c>
      <c r="CH292">
        <f>IF(CC292&gt;0,SUM(CC292:CG292),0)</f>
        <v>42750</v>
      </c>
      <c r="CI292">
        <f>_xlfn.XLOOKUP(B292,'[8]october-2025'!$A:$A,'[8]october-2025'!$H:$H,0,0)</f>
        <v>2000</v>
      </c>
      <c r="CJ292">
        <f>_xlfn.XLOOKUP(B292,'[8]october-2025'!$A:$A,'[8]october-2025'!$I:$I,0,0)</f>
        <v>0</v>
      </c>
      <c r="CK292">
        <f>IF($F292="YES",0,IF(CH292&gt;40000,200,IF(CH292&gt;25000,150,IF(CH292&gt;15000,130,IF(CH292&gt;10000,110,0)))))</f>
        <v>200</v>
      </c>
      <c r="CL292">
        <f>CH292-CI292-CJ292-CK292</f>
        <v>40550</v>
      </c>
      <c r="CM292">
        <f>_xlfn.XLOOKUP(B292,'[9]november-2025'!$A:$A,'[9]november-2025'!$C:$C,0,0)</f>
        <v>32500</v>
      </c>
      <c r="CN292">
        <f>CM292*0.18</f>
        <v>5850</v>
      </c>
      <c r="CO292">
        <f>CM292*0.12</f>
        <v>3900</v>
      </c>
      <c r="CP292">
        <f>_xlfn.XLOOKUP(B292,'[9]november-2025'!$A:$A,'[9]november-2025'!$D:$D,0,0)</f>
        <v>0</v>
      </c>
      <c r="CQ292">
        <f>_xlfn.XLOOKUP(B292,'[9]november-2025'!$A:$A,'[9]november-2025'!$G:$G,0,0)</f>
        <v>500</v>
      </c>
      <c r="CR292">
        <f>IF(CM292&gt;0,SUM(CM292:CQ292),0)</f>
        <v>42750</v>
      </c>
      <c r="CS292">
        <f>_xlfn.XLOOKUP(B292,'[9]november-2025'!$A:$A,'[9]november-2025'!$H:$H,0,0)</f>
        <v>2000</v>
      </c>
      <c r="CT292">
        <f>_xlfn.XLOOKUP(B292,'[9]november-2025'!$A:$A,'[9]november-2025'!$I:$I,0,0)</f>
        <v>0</v>
      </c>
      <c r="CU292">
        <f>IF($F292="YES",0,IF(CR292&gt;40000,200,IF(CR292&gt;25000,150,IF(CR292&gt;15000,130,IF(CR292&gt;10000,110,0)))))</f>
        <v>200</v>
      </c>
      <c r="CV292">
        <f>CR292-CS292-CT292-CU292</f>
        <v>40550</v>
      </c>
      <c r="CW292">
        <f>_xlfn.XLOOKUP(B292,'[10]december-2025'!$A:$A,'[10]december-2025'!$C:$C,0,0)</f>
        <v>32500</v>
      </c>
      <c r="CX292">
        <f>ROUND(CW292*0.18,0)</f>
        <v>5850</v>
      </c>
      <c r="CY292">
        <f>ROUND(CW292*0.12,0)</f>
        <v>3900</v>
      </c>
      <c r="CZ292">
        <f>_xlfn.XLOOKUP(B292,'[10]december-2025'!$A:$A,'[10]december-2025'!$D:$D,0,0)</f>
        <v>0</v>
      </c>
      <c r="DA292">
        <f>_xlfn.XLOOKUP(B292,'[10]december-2025'!$A:$A,'[10]december-2025'!$G:$G,0,0)</f>
        <v>500</v>
      </c>
      <c r="DB292">
        <f>IF(CW292&gt;0,SUM(CW292:DA292),0)</f>
        <v>42750</v>
      </c>
      <c r="DC292">
        <f>_xlfn.XLOOKUP(B292,'[10]december-2025'!$A:$A,'[10]december-2025'!$H:$H,0,0)</f>
        <v>2000</v>
      </c>
      <c r="DD292">
        <f>_xlfn.XLOOKUP(B292,'[10]december-2025'!$A:$A,'[10]december-2025'!$I:$I,0,0)</f>
        <v>0</v>
      </c>
      <c r="DE292">
        <f>IF($F292="YES",0,IF(DB292&gt;40000,200,IF(DB292&gt;25000,150,IF(DB292&gt;15000,130,IF(DB292&gt;10000,110,0)))))</f>
        <v>200</v>
      </c>
      <c r="DF292">
        <f>DB292-DC292-DD292-DE292</f>
        <v>40550</v>
      </c>
      <c r="DG292">
        <f>_xlfn.XLOOKUP(B292,'[11]january-2026'!$A:$A,'[11]january-2026'!$C:$C,0,0)</f>
        <v>32500</v>
      </c>
      <c r="DH292">
        <f>DG292*0.18</f>
        <v>5850</v>
      </c>
      <c r="DI292">
        <f>DG292*0.12</f>
        <v>3900</v>
      </c>
      <c r="DJ292">
        <f>_xlfn.XLOOKUP(B292,'[11]january-2026'!$A:$A,'[11]january-2026'!$D:$D,0,0)</f>
        <v>0</v>
      </c>
      <c r="DK292">
        <f>_xlfn.XLOOKUP(B292,'[11]january-2026'!$A:$A,'[11]january-2026'!$G:$G,0,0)</f>
        <v>500</v>
      </c>
      <c r="DL292">
        <f>IF(DG292&gt;0,SUM(DG292:DK292),0)</f>
        <v>42750</v>
      </c>
      <c r="DM292">
        <f>_xlfn.XLOOKUP(B292,'[11]january-2026'!$A:$A,'[11]january-2026'!$H:$H,0,0)</f>
        <v>2000</v>
      </c>
      <c r="DN292">
        <f>_xlfn.XLOOKUP(B292,'[11]january-2026'!$A:$A,'[11]january-2026'!$I:$I,0,0)</f>
        <v>0</v>
      </c>
      <c r="DO292">
        <f>IF($F292="YES",0,IF(DL292&gt;40000,200,IF(DL292&gt;25000,150,IF(DL292&gt;15000,130,IF(DL292&gt;10000,110,0)))))</f>
        <v>200</v>
      </c>
      <c r="DP292">
        <f>DL292-DM292-DN292-DO292</f>
        <v>40550</v>
      </c>
      <c r="DQ292">
        <f>_xlfn.XLOOKUP(B292,'[12]february-2026'!$A:$A,'[12]february-2026'!$C:$C,0,0)</f>
        <v>32500</v>
      </c>
      <c r="DR292">
        <f>DQ292*0.18</f>
        <v>5850</v>
      </c>
      <c r="DS292">
        <f>DQ292*0.12</f>
        <v>3900</v>
      </c>
      <c r="DT292">
        <f>_xlfn.XLOOKUP(B292,'[12]february-2026'!$A:$A,'[12]february-2026'!$D:$D,0,0)</f>
        <v>0</v>
      </c>
      <c r="DU292">
        <f>_xlfn.XLOOKUP(B292,'[12]february-2026'!$A:$A,'[12]february-2026'!$G:$G,0,0)</f>
        <v>500</v>
      </c>
      <c r="DV292">
        <f>IF(DQ292&gt;0,SUM(DQ292:DU292),0)</f>
        <v>42750</v>
      </c>
      <c r="DW292">
        <f>_xlfn.XLOOKUP(B292,'[12]february-2026'!$A:$A,'[12]february-2026'!$H:$H,0,0)</f>
        <v>2000</v>
      </c>
      <c r="DX292">
        <f>_xlfn.XLOOKUP(B292,'[12]february-2026'!$A:$A,'[12]february-2026'!$I:$I,0,0)</f>
        <v>0</v>
      </c>
      <c r="DY292">
        <f>IF($F292="YES",0,IF(DV292&gt;40000,200,IF(DV292&gt;25000,150,IF(DV292&gt;15000,130,IF(DV292&gt;10000,110,0)))))</f>
        <v>200</v>
      </c>
      <c r="DZ292">
        <f>DV292-DW292-DX292-DY292</f>
        <v>40550</v>
      </c>
      <c r="EA292">
        <f>DV292+DL292+DB292+CR292+CH292+BX292+BN292+BD292+AS292+AI292+Y292+O292+H292+I292</f>
        <v>502080</v>
      </c>
      <c r="EB292">
        <f>DY292+DO292+DE292+CU292+CK292+CA292+BQ292+BG292+AV292+AL292+AB292+R292</f>
        <v>2300</v>
      </c>
      <c r="EC292">
        <f>IF(EA292&gt;0,50000,0)</f>
        <v>50000</v>
      </c>
      <c r="ED292">
        <v>0</v>
      </c>
      <c r="EE292">
        <f>EA292-EB292-EC292</f>
        <v>449780</v>
      </c>
      <c r="EF292">
        <f>DW292+DM292+DC292+CS292+CI292+BY292+BO292+BE292+AT292+AJ292+Z292+P292</f>
        <v>24000</v>
      </c>
      <c r="EG292">
        <f>DX292+DN292+DD292+CT292+CJ292+BZ292+BP292+BF292+AU292+AK292+AA292+Q292</f>
        <v>0</v>
      </c>
      <c r="EH292">
        <v>0</v>
      </c>
      <c r="EI292">
        <v>0</v>
      </c>
      <c r="EJ292">
        <v>0</v>
      </c>
      <c r="EK292">
        <v>0</v>
      </c>
      <c r="EL292">
        <v>0</v>
      </c>
      <c r="EM292">
        <v>0</v>
      </c>
      <c r="EN292">
        <v>0</v>
      </c>
      <c r="EO292">
        <v>0</v>
      </c>
      <c r="EP292">
        <v>0</v>
      </c>
      <c r="EQ292">
        <v>0</v>
      </c>
      <c r="ER292">
        <f>SUM(EF292:EQ292)</f>
        <v>24000</v>
      </c>
      <c r="ES292">
        <f>IF(ER292&gt;=150000,150000,ER292)</f>
        <v>24000</v>
      </c>
      <c r="ET292">
        <f>EE292-ES292</f>
        <v>425780</v>
      </c>
      <c r="EU292">
        <v>0</v>
      </c>
      <c r="EV292">
        <v>0</v>
      </c>
      <c r="EW292">
        <v>0</v>
      </c>
      <c r="EX292">
        <v>0</v>
      </c>
      <c r="EY292">
        <v>0</v>
      </c>
      <c r="EZ292">
        <v>0</v>
      </c>
      <c r="FA292">
        <v>0</v>
      </c>
      <c r="FB292">
        <f>SUM(EU292:FA292)+(IF(F292="YES",50000,0))</f>
        <v>0</v>
      </c>
      <c r="FC292">
        <f>ET292-FB292</f>
        <v>425780</v>
      </c>
      <c r="FD292">
        <f>ROUND(IF(FC292&gt;0,IF(FC292&gt;500000,12500,(FC292-250000)*0.05),0),0)</f>
        <v>8789</v>
      </c>
      <c r="FE292">
        <f>IF(ROUND(IF(FC292&gt;0,IF(FC292&gt;1000000,25000,(FC292-500000)*0.2),0),0)&lt;0,0,ROUND(IF(FC292&gt;0,IF(FC292&gt;1000000,25000,(FC292-500000)*0.2),0),0))</f>
        <v>0</v>
      </c>
      <c r="FF292">
        <f>FD292+FE292</f>
        <v>8789</v>
      </c>
      <c r="FG292">
        <f>IF(FF292&lt;12500,0,FF292)</f>
        <v>0</v>
      </c>
      <c r="FH292">
        <f>FG292*0.04</f>
        <v>0</v>
      </c>
      <c r="FI292">
        <f>ROUND(FH292+FG292,0)</f>
        <v>0</v>
      </c>
      <c r="FJ292">
        <v>0</v>
      </c>
      <c r="FK292">
        <f>FI292-FJ292</f>
        <v>0</v>
      </c>
      <c r="FL292" t="b">
        <f>IF(EA292&gt;500000,TRUE,FALSE)</f>
        <v>1</v>
      </c>
      <c r="FM292">
        <f ca="1">IF(FL292,RANDBETWEEN(500,1000),RANDBETWEEN(1000,3000))</f>
        <v>912</v>
      </c>
      <c r="FN292">
        <f ca="1">EA292+FM292</f>
        <v>502992</v>
      </c>
      <c r="FO292">
        <f>IF(EA292&gt;0,75000,0)</f>
        <v>75000</v>
      </c>
      <c r="FP292">
        <f ca="1">FN292-FO292</f>
        <v>427992</v>
      </c>
      <c r="FQ292">
        <f ca="1">IF(FP292&gt;2400000,FP292-2400000,0)</f>
        <v>0</v>
      </c>
      <c r="FR292">
        <f ca="1">FQ292*0.3</f>
        <v>0</v>
      </c>
      <c r="FS292">
        <f ca="1">IF(FP292&gt;2000000,FP292-2000000,0)</f>
        <v>0</v>
      </c>
      <c r="FT292">
        <f ca="1">FS292*0.25</f>
        <v>0</v>
      </c>
      <c r="FU292">
        <f ca="1">IF(FP292&gt;1600000,FP292-1600000-FQ292,0)</f>
        <v>0</v>
      </c>
      <c r="FV292">
        <f ca="1">FU292*0.2</f>
        <v>0</v>
      </c>
      <c r="FW292">
        <f ca="1">IF(FP292&gt;1200000,FP292-1200000-IF(F292="YES",50000,0)-FU292,0)</f>
        <v>0</v>
      </c>
      <c r="FX292">
        <f ca="1">FW292*0.15</f>
        <v>0</v>
      </c>
      <c r="FY292">
        <f ca="1">IF(FP292&gt;800000,FP292-800000-FQ292-FU292-FW292,0)</f>
        <v>0</v>
      </c>
      <c r="FZ292">
        <f ca="1">FY292*0.1</f>
        <v>0</v>
      </c>
      <c r="GA292">
        <f ca="1">IF(FP292&gt;400000,FP292-400000-FQ292-FU292-FW292-FY292,0)</f>
        <v>27992</v>
      </c>
      <c r="GB292">
        <f ca="1">GA292*0.05</f>
        <v>1399.6000000000001</v>
      </c>
      <c r="GC292">
        <f ca="1">ROUND(FR292+FT292+FV292+FX292+FZ292+GB292,0)</f>
        <v>1400</v>
      </c>
      <c r="GD292">
        <f ca="1">IF(FP292&gt;1200000,FP292,0)</f>
        <v>0</v>
      </c>
      <c r="GE292">
        <f ca="1">IF(FP292&gt;1200000,GD292-1200000,0)</f>
        <v>0</v>
      </c>
      <c r="GF292">
        <f ca="1">IF(FP292&lt;1200001,MIN(GC292,60000),0)</f>
        <v>1400</v>
      </c>
      <c r="GG292">
        <f ca="1">IF(FP292&gt;1200000,GC292-GE292,0)</f>
        <v>0</v>
      </c>
      <c r="GH292" t="b">
        <f ca="1">IF(GG292&gt;0,TRUE,FALSE)</f>
        <v>0</v>
      </c>
      <c r="GI292">
        <f ca="1">IF(GH292,GG292,0)</f>
        <v>0</v>
      </c>
      <c r="GJ292">
        <f ca="1">GF292+GI292</f>
        <v>1400</v>
      </c>
      <c r="GK292">
        <f ca="1">ROUND(GC292-GJ292,0)</f>
        <v>0</v>
      </c>
      <c r="GL292">
        <f ca="1">GK292*0.04</f>
        <v>0</v>
      </c>
      <c r="GM292">
        <f ca="1">ROUNDUP(GK292+GL292,0)</f>
        <v>0</v>
      </c>
    </row>
    <row r="293" spans="1:195" x14ac:dyDescent="0.25">
      <c r="A293">
        <f>_xlfn.AGGREGATE(3,5,$B$2:B293)</f>
        <v>292</v>
      </c>
      <c r="B293" t="s">
        <v>691</v>
      </c>
      <c r="C293" t="s">
        <v>692</v>
      </c>
      <c r="D293" t="s">
        <v>829</v>
      </c>
      <c r="E293" t="s">
        <v>834</v>
      </c>
      <c r="F293" t="s">
        <v>959</v>
      </c>
      <c r="G293" t="s">
        <v>887</v>
      </c>
      <c r="H293">
        <f>IF(_xlfn.DAYS("31-03-2025",G293)&gt;=180,6800,0)</f>
        <v>6800</v>
      </c>
      <c r="I293">
        <f>_xlfn.XLOOKUP(B293,'[1]march-2025'!$A:$A,'[1]march-2025'!$J:$J,0,0)</f>
        <v>0</v>
      </c>
      <c r="J293">
        <f>_xlfn.XLOOKUP(B293,'[1]march-2025'!$A:$A,'[1]march-2025'!$C:$C,0,0)</f>
        <v>51700</v>
      </c>
      <c r="K293">
        <f>J293*0.14</f>
        <v>7238.0000000000009</v>
      </c>
      <c r="L293">
        <f>J293*0.12</f>
        <v>6204</v>
      </c>
      <c r="M293">
        <f>_xlfn.XLOOKUP(B293,'[1]march-2025'!$A:$A,'[1]march-2025'!$D:$D,0,0)</f>
        <v>400</v>
      </c>
      <c r="N293">
        <f>_xlfn.XLOOKUP(B293,'[1]march-2025'!$A:$A,'[1]march-2025'!$G:$G,0,0)</f>
        <v>0</v>
      </c>
      <c r="O293">
        <f>IF(J293&gt;0,SUM(J293:N293),0)</f>
        <v>65542</v>
      </c>
      <c r="P293">
        <f>_xlfn.XLOOKUP(B293,'[1]march-2025'!$A:$A,'[1]march-2025'!$H:$H,0,0)</f>
        <v>8000</v>
      </c>
      <c r="Q293">
        <f>_xlfn.XLOOKUP(B293,'[1]march-2025'!$A:$A,'[1]march-2025'!$I:$I,0,0)</f>
        <v>60</v>
      </c>
      <c r="R293">
        <f>IF($F293="YES",0,IF(O293&gt;40000,200,IF(O293&gt;25000,150,IF(O293&gt;15000,130,IF(O293&gt;10000,110,0)))))</f>
        <v>200</v>
      </c>
      <c r="S293">
        <f>O293-P293-Q293-R293</f>
        <v>57282</v>
      </c>
      <c r="T293">
        <f>_xlfn.XLOOKUP(B293,'[2]april-2025'!$A:$A,'[2]april-2025'!$C:$C,0,0)</f>
        <v>51700</v>
      </c>
      <c r="U293">
        <f>T293*0.18</f>
        <v>9306</v>
      </c>
      <c r="V293">
        <f>T293*0.12</f>
        <v>6204</v>
      </c>
      <c r="W293">
        <f>_xlfn.XLOOKUP(B293,'[2]april-2025'!$A:$A,'[2]april-2025'!$D:$D,0,0)</f>
        <v>400</v>
      </c>
      <c r="X293">
        <f>_xlfn.XLOOKUP(B293,'[2]april-2025'!$A:$A,'[2]april-2025'!$G:$G,0,0)</f>
        <v>0</v>
      </c>
      <c r="Y293">
        <f>IF(T293&gt;0,SUM(T293:X293),0)</f>
        <v>67610</v>
      </c>
      <c r="Z293">
        <f>_xlfn.XLOOKUP(B293,'[2]april-2025'!$A:$A,'[2]april-2025'!$H:$H,0,0)</f>
        <v>8000</v>
      </c>
      <c r="AA293">
        <f>_xlfn.XLOOKUP(B293,'[2]april-2025'!$A:$A,'[2]april-2025'!$I:$I,0,0)</f>
        <v>60</v>
      </c>
      <c r="AB293">
        <f>IF($F293="YES",0,IF(Y293&gt;40000,200,IF(Y293&gt;25000,150,IF(Y293&gt;15000,130,IF(Y293&gt;10000,110,0)))))</f>
        <v>200</v>
      </c>
      <c r="AC293">
        <f>Y293-Z293-AA293-AB293</f>
        <v>59350</v>
      </c>
      <c r="AD293">
        <f>_xlfn.XLOOKUP(B293,'[3]may-2025'!$A:$A,'[3]may-2025'!$C:$C,0,0)</f>
        <v>51700</v>
      </c>
      <c r="AE293">
        <f>AD293*0.18</f>
        <v>9306</v>
      </c>
      <c r="AF293">
        <f>AD293*0.12</f>
        <v>6204</v>
      </c>
      <c r="AG293">
        <f>_xlfn.XLOOKUP(B293,'[3]may-2025'!$A:$A,'[3]may-2025'!$D:$D,0,0)</f>
        <v>400</v>
      </c>
      <c r="AH293">
        <f>_xlfn.XLOOKUP(B293,'[3]may-2025'!$A:$A,'[3]may-2025'!$G:$G,0,0)</f>
        <v>0</v>
      </c>
      <c r="AI293">
        <f>IF(AD293&gt;0,SUM(AD293:AH293),0)</f>
        <v>67610</v>
      </c>
      <c r="AJ293">
        <f>_xlfn.XLOOKUP(B293,'[3]may-2025'!$A:$A,'[3]may-2025'!$H:$H,0,0)</f>
        <v>8000</v>
      </c>
      <c r="AK293">
        <f>_xlfn.XLOOKUP(B293,'[3]may-2025'!$A:$A,'[3]may-2025'!$I:$I,0,0)</f>
        <v>60</v>
      </c>
      <c r="AL293">
        <f>IF($F293="YES",0,IF(AI293&gt;40000,200,IF(AI293&gt;25000,150,IF(AI293&gt;15000,130,IF(AI293&gt;10000,110,0)))))</f>
        <v>200</v>
      </c>
      <c r="AM293">
        <f>AI293-AJ293-AK293-AL293</f>
        <v>59350</v>
      </c>
      <c r="AN293">
        <f>_xlfn.XLOOKUP(B293,'[4]june-2025'!$A:$A,'[4]june-2025'!$C:$C,0,0)</f>
        <v>51700</v>
      </c>
      <c r="AO293">
        <f>AN293*0.18</f>
        <v>9306</v>
      </c>
      <c r="AP293">
        <f>AN293*0.12</f>
        <v>6204</v>
      </c>
      <c r="AQ293">
        <f>_xlfn.XLOOKUP(B293,'[4]june-2025'!$A:$A,'[4]june-2025'!$D:$D,0,0)</f>
        <v>400</v>
      </c>
      <c r="AR293">
        <f>_xlfn.XLOOKUP(B293,'[4]june-2025'!$A:$A,'[4]june-2025'!$G:$G,0,0)</f>
        <v>0</v>
      </c>
      <c r="AS293">
        <f>IF(AN293&gt;0,SUM(AN293:AR293),0)</f>
        <v>67610</v>
      </c>
      <c r="AT293">
        <f>_xlfn.XLOOKUP(B293,'[4]june-2025'!$A:$A,'[4]june-2025'!$H:$H,0,0)</f>
        <v>8000</v>
      </c>
      <c r="AU293">
        <f>_xlfn.XLOOKUP(B293,'[4]june-2025'!$A:$A,'[4]june-2025'!$I:$I,0,0)</f>
        <v>60</v>
      </c>
      <c r="AV293">
        <f>IF($F293="YES",0,IF(AS293&gt;40000,200,IF(AS293&gt;25000,150,IF(AS293&gt;15000,130,IF(AS293&gt;10000,110,0)))))</f>
        <v>200</v>
      </c>
      <c r="AW293">
        <f>AS293-AT293-AU293-AV293</f>
        <v>59350</v>
      </c>
      <c r="AX293">
        <f>_xlfn.XLOOKUP(B293,'[5]july-2025'!$A:$A,'[5]july-2025'!$C:$C,0,0)</f>
        <v>53300</v>
      </c>
      <c r="AY293">
        <f>AX293*0.18</f>
        <v>9594</v>
      </c>
      <c r="AZ293">
        <v>0</v>
      </c>
      <c r="BA293">
        <f>AX293*0.12</f>
        <v>6396</v>
      </c>
      <c r="BB293">
        <f>_xlfn.XLOOKUP(B293,'[5]july-2025'!$A:$A,'[5]july-2025'!$D:$D,0,0)</f>
        <v>400</v>
      </c>
      <c r="BC293">
        <f>_xlfn.XLOOKUP(B293,'[5]july-2025'!$A:$A,'[5]july-2025'!$G:$G,0,0)</f>
        <v>0</v>
      </c>
      <c r="BD293">
        <f>IF(AX293&gt;0,SUM(AX293:BC293),0)</f>
        <v>69690</v>
      </c>
      <c r="BE293">
        <f>_xlfn.XLOOKUP(B293,'[5]july-2025'!$A:$A,'[5]july-2025'!$H:$H,0,0)</f>
        <v>8000</v>
      </c>
      <c r="BF293">
        <f>_xlfn.XLOOKUP(B293,'[5]july-2025'!$A:$A,'[5]july-2025'!$I:$I,0,0)</f>
        <v>60</v>
      </c>
      <c r="BG293">
        <f>IF($F293="YES",0,IF(BD293&gt;40000,200,IF(BD293&gt;25000,150,IF(BD293&gt;15000,130,IF(BD293&gt;10000,110,0)))))</f>
        <v>200</v>
      </c>
      <c r="BH293">
        <f>BD293-BE293-BF293-BG293</f>
        <v>61430</v>
      </c>
      <c r="BI293">
        <f>_xlfn.XLOOKUP(B293,'[6]august-2025'!$A:$A,'[6]august-2025'!$C:$C,0,0)</f>
        <v>53300</v>
      </c>
      <c r="BJ293">
        <f>BI293*0.18</f>
        <v>9594</v>
      </c>
      <c r="BK293">
        <f>BI293*0.12</f>
        <v>6396</v>
      </c>
      <c r="BL293">
        <f>_xlfn.XLOOKUP(B293,'[6]august-2025'!$A:$A,'[6]august-2025'!$D:$D,0,0)</f>
        <v>400</v>
      </c>
      <c r="BM293">
        <f>_xlfn.XLOOKUP(B293,'[6]august-2025'!$A:$A,'[6]august-2025'!$G:$G,0,0)</f>
        <v>0</v>
      </c>
      <c r="BN293">
        <f>IF(BI293&gt;0,SUM(BI293:BM293),0)</f>
        <v>69690</v>
      </c>
      <c r="BO293">
        <f>_xlfn.XLOOKUP(B293,'[6]august-2025'!$A:$A,'[6]august-2025'!$H:$H,0,0)</f>
        <v>8000</v>
      </c>
      <c r="BP293">
        <f>_xlfn.XLOOKUP(B293,'[6]august-2025'!$A:$A,'[6]august-2025'!$I:$I,0,0)</f>
        <v>60</v>
      </c>
      <c r="BQ293">
        <f>IF($F293="YES",0,IF(BN293&gt;40000,200,IF(BN293&gt;25000,150,IF(BN293&gt;15000,130,IF(BN293&gt;10000,110,0)))))</f>
        <v>200</v>
      </c>
      <c r="BR293">
        <f>BN293-BO293-BP293-BQ293</f>
        <v>61430</v>
      </c>
      <c r="BS293">
        <f>_xlfn.XLOOKUP(B293,'[7]september-2025'!$A:$A,'[7]september-2025'!$C:$C,0,0)</f>
        <v>53300</v>
      </c>
      <c r="BT293">
        <f>BS293*0.18</f>
        <v>9594</v>
      </c>
      <c r="BU293">
        <f>BS293*0.12</f>
        <v>6396</v>
      </c>
      <c r="BV293">
        <f>_xlfn.XLOOKUP(B293,'[7]september-2025'!$A:$A,'[7]september-2025'!$D:$D,0,0)</f>
        <v>400</v>
      </c>
      <c r="BW293">
        <f>_xlfn.XLOOKUP(B293,'[7]september-2025'!$A:$A,'[7]september-2025'!$G:$G,0,0)</f>
        <v>0</v>
      </c>
      <c r="BX293">
        <f>IF(BS293&gt;0,SUM(BS293:BW293),0)</f>
        <v>69690</v>
      </c>
      <c r="BY293">
        <f>_xlfn.XLOOKUP(B293,'[7]september-2025'!$A:$A,'[7]september-2025'!$H:$H,0,0)</f>
        <v>8000</v>
      </c>
      <c r="BZ293">
        <f>_xlfn.XLOOKUP(B293,'[7]september-2025'!$A:$A,'[7]september-2025'!$I:$I,0,0)</f>
        <v>60</v>
      </c>
      <c r="CA293">
        <f>IF($F293="YES",0,IF(BX293&gt;40000,200,IF(BX293&gt;25000,150,IF(BX293&gt;15000,130,IF(BX293&gt;10000,110,0)))))</f>
        <v>200</v>
      </c>
      <c r="CB293">
        <f>BX293-BY293-BZ293-CA293</f>
        <v>61430</v>
      </c>
      <c r="CC293">
        <f>_xlfn.XLOOKUP(B293,'[8]october-2025'!$A:$A,'[8]october-2025'!$C:$C,0,0)</f>
        <v>53300</v>
      </c>
      <c r="CD293">
        <f>CC293*0.18</f>
        <v>9594</v>
      </c>
      <c r="CE293">
        <f>CC293*0.12</f>
        <v>6396</v>
      </c>
      <c r="CF293">
        <f>_xlfn.XLOOKUP(B293,'[8]october-2025'!$A:$A,'[8]october-2025'!$D:$D,0,0)</f>
        <v>400</v>
      </c>
      <c r="CG293">
        <f>_xlfn.XLOOKUP(B293,'[8]october-2025'!$A:$A,'[8]october-2025'!$G:$G,0,0)</f>
        <v>0</v>
      </c>
      <c r="CH293">
        <f>IF(CC293&gt;0,SUM(CC293:CG293),0)</f>
        <v>69690</v>
      </c>
      <c r="CI293">
        <f>_xlfn.XLOOKUP(B293,'[8]october-2025'!$A:$A,'[8]october-2025'!$H:$H,0,0)</f>
        <v>8000</v>
      </c>
      <c r="CJ293">
        <f>_xlfn.XLOOKUP(B293,'[8]october-2025'!$A:$A,'[8]october-2025'!$I:$I,0,0)</f>
        <v>60</v>
      </c>
      <c r="CK293">
        <f>IF($F293="YES",0,IF(CH293&gt;40000,200,IF(CH293&gt;25000,150,IF(CH293&gt;15000,130,IF(CH293&gt;10000,110,0)))))</f>
        <v>200</v>
      </c>
      <c r="CL293">
        <f>CH293-CI293-CJ293-CK293</f>
        <v>61430</v>
      </c>
      <c r="CM293">
        <f>_xlfn.XLOOKUP(B293,'[9]november-2025'!$A:$A,'[9]november-2025'!$C:$C,0,0)</f>
        <v>53300</v>
      </c>
      <c r="CN293">
        <f>CM293*0.18</f>
        <v>9594</v>
      </c>
      <c r="CO293">
        <f>CM293*0.12</f>
        <v>6396</v>
      </c>
      <c r="CP293">
        <f>_xlfn.XLOOKUP(B293,'[9]november-2025'!$A:$A,'[9]november-2025'!$D:$D,0,0)</f>
        <v>400</v>
      </c>
      <c r="CQ293">
        <f>_xlfn.XLOOKUP(B293,'[9]november-2025'!$A:$A,'[9]november-2025'!$G:$G,0,0)</f>
        <v>0</v>
      </c>
      <c r="CR293">
        <f>IF(CM293&gt;0,SUM(CM293:CQ293),0)</f>
        <v>69690</v>
      </c>
      <c r="CS293">
        <f>_xlfn.XLOOKUP(B293,'[9]november-2025'!$A:$A,'[9]november-2025'!$H:$H,0,0)</f>
        <v>8000</v>
      </c>
      <c r="CT293">
        <f>_xlfn.XLOOKUP(B293,'[9]november-2025'!$A:$A,'[9]november-2025'!$I:$I,0,0)</f>
        <v>60</v>
      </c>
      <c r="CU293">
        <f>IF($F293="YES",0,IF(CR293&gt;40000,200,IF(CR293&gt;25000,150,IF(CR293&gt;15000,130,IF(CR293&gt;10000,110,0)))))</f>
        <v>200</v>
      </c>
      <c r="CV293">
        <f>CR293-CS293-CT293-CU293</f>
        <v>61430</v>
      </c>
      <c r="CW293">
        <f>_xlfn.XLOOKUP(B293,'[10]december-2025'!$A:$A,'[10]december-2025'!$C:$C,0,0)</f>
        <v>53300</v>
      </c>
      <c r="CX293">
        <f>ROUND(CW293*0.18,0)</f>
        <v>9594</v>
      </c>
      <c r="CY293">
        <f>ROUND(CW293*0.12,0)</f>
        <v>6396</v>
      </c>
      <c r="CZ293">
        <f>_xlfn.XLOOKUP(B293,'[10]december-2025'!$A:$A,'[10]december-2025'!$D:$D,0,0)</f>
        <v>400</v>
      </c>
      <c r="DA293">
        <f>_xlfn.XLOOKUP(B293,'[10]december-2025'!$A:$A,'[10]december-2025'!$G:$G,0,0)</f>
        <v>0</v>
      </c>
      <c r="DB293">
        <f>IF(CW293&gt;0,SUM(CW293:DA293),0)</f>
        <v>69690</v>
      </c>
      <c r="DC293">
        <f>_xlfn.XLOOKUP(B293,'[10]december-2025'!$A:$A,'[10]december-2025'!$H:$H,0,0)</f>
        <v>8000</v>
      </c>
      <c r="DD293">
        <f>_xlfn.XLOOKUP(B293,'[10]december-2025'!$A:$A,'[10]december-2025'!$I:$I,0,0)</f>
        <v>60</v>
      </c>
      <c r="DE293">
        <f>IF($F293="YES",0,IF(DB293&gt;40000,200,IF(DB293&gt;25000,150,IF(DB293&gt;15000,130,IF(DB293&gt;10000,110,0)))))</f>
        <v>200</v>
      </c>
      <c r="DF293">
        <f>DB293-DC293-DD293-DE293</f>
        <v>61430</v>
      </c>
      <c r="DG293">
        <f>_xlfn.XLOOKUP(B293,'[11]january-2026'!$A:$A,'[11]january-2026'!$C:$C,0,0)</f>
        <v>53300</v>
      </c>
      <c r="DH293">
        <f>DG293*0.18</f>
        <v>9594</v>
      </c>
      <c r="DI293">
        <f>DG293*0.12</f>
        <v>6396</v>
      </c>
      <c r="DJ293">
        <f>_xlfn.XLOOKUP(B293,'[11]january-2026'!$A:$A,'[11]january-2026'!$D:$D,0,0)</f>
        <v>400</v>
      </c>
      <c r="DK293">
        <f>_xlfn.XLOOKUP(B293,'[11]january-2026'!$A:$A,'[11]january-2026'!$G:$G,0,0)</f>
        <v>0</v>
      </c>
      <c r="DL293">
        <f>IF(DG293&gt;0,SUM(DG293:DK293),0)</f>
        <v>69690</v>
      </c>
      <c r="DM293">
        <f>_xlfn.XLOOKUP(B293,'[11]january-2026'!$A:$A,'[11]january-2026'!$H:$H,0,0)</f>
        <v>8000</v>
      </c>
      <c r="DN293">
        <f>_xlfn.XLOOKUP(B293,'[11]january-2026'!$A:$A,'[11]january-2026'!$I:$I,0,0)</f>
        <v>60</v>
      </c>
      <c r="DO293">
        <f>IF($F293="YES",0,IF(DL293&gt;40000,200,IF(DL293&gt;25000,150,IF(DL293&gt;15000,130,IF(DL293&gt;10000,110,0)))))</f>
        <v>200</v>
      </c>
      <c r="DP293">
        <f>DL293-DM293-DN293-DO293</f>
        <v>61430</v>
      </c>
      <c r="DQ293">
        <f>_xlfn.XLOOKUP(B293,'[12]february-2026'!$A:$A,'[12]february-2026'!$C:$C,0,0)</f>
        <v>53300</v>
      </c>
      <c r="DR293">
        <f>DQ293*0.18</f>
        <v>9594</v>
      </c>
      <c r="DS293">
        <f>DQ293*0.12</f>
        <v>6396</v>
      </c>
      <c r="DT293">
        <f>_xlfn.XLOOKUP(B293,'[12]february-2026'!$A:$A,'[12]february-2026'!$D:$D,0,0)</f>
        <v>400</v>
      </c>
      <c r="DU293">
        <f>_xlfn.XLOOKUP(B293,'[12]february-2026'!$A:$A,'[12]february-2026'!$G:$G,0,0)</f>
        <v>0</v>
      </c>
      <c r="DV293">
        <f>IF(DQ293&gt;0,SUM(DQ293:DU293),0)</f>
        <v>69690</v>
      </c>
      <c r="DW293">
        <f>_xlfn.XLOOKUP(B293,'[12]february-2026'!$A:$A,'[12]february-2026'!$H:$H,0,0)</f>
        <v>8000</v>
      </c>
      <c r="DX293">
        <f>_xlfn.XLOOKUP(B293,'[12]february-2026'!$A:$A,'[12]february-2026'!$I:$I,0,0)</f>
        <v>60</v>
      </c>
      <c r="DY293">
        <f>IF($F293="YES",0,IF(DV293&gt;40000,200,IF(DV293&gt;25000,150,IF(DV293&gt;15000,130,IF(DV293&gt;10000,110,0)))))</f>
        <v>200</v>
      </c>
      <c r="DZ293">
        <f>DV293-DW293-DX293-DY293</f>
        <v>61430</v>
      </c>
      <c r="EA293">
        <f>DV293+DL293+DB293+CR293+CH293+BX293+BN293+BD293+AS293+AI293+Y293+O293+H293+I293</f>
        <v>832692</v>
      </c>
      <c r="EB293">
        <f>DY293+DO293+DE293+CU293+CK293+CA293+BQ293+BG293+AV293+AL293+AB293+R293</f>
        <v>2400</v>
      </c>
      <c r="EC293">
        <f>IF(EA293&gt;0,50000,0)</f>
        <v>50000</v>
      </c>
      <c r="ED293">
        <v>0</v>
      </c>
      <c r="EE293">
        <f>EA293-EB293-EC293</f>
        <v>780292</v>
      </c>
      <c r="EF293">
        <f>DW293+DM293+DC293+CS293+CI293+BY293+BO293+BE293+AT293+AJ293+Z293+P293</f>
        <v>96000</v>
      </c>
      <c r="EG293">
        <f>DX293+DN293+DD293+CT293+CJ293+BZ293+BP293+BF293+AU293+AK293+AA293+Q293</f>
        <v>720</v>
      </c>
      <c r="EH293">
        <v>0</v>
      </c>
      <c r="EI293">
        <v>0</v>
      </c>
      <c r="EJ293">
        <v>0</v>
      </c>
      <c r="EK293">
        <v>0</v>
      </c>
      <c r="EL293">
        <v>0</v>
      </c>
      <c r="EM293">
        <v>0</v>
      </c>
      <c r="EN293">
        <v>0</v>
      </c>
      <c r="EO293">
        <v>0</v>
      </c>
      <c r="EP293">
        <v>0</v>
      </c>
      <c r="EQ293">
        <v>0</v>
      </c>
      <c r="ER293">
        <f>SUM(EF293:EQ293)</f>
        <v>96720</v>
      </c>
      <c r="ES293">
        <f>IF(ER293&gt;=150000,150000,ER293)</f>
        <v>96720</v>
      </c>
      <c r="ET293">
        <f>EE293-ES293</f>
        <v>683572</v>
      </c>
      <c r="EU293">
        <v>0</v>
      </c>
      <c r="EV293">
        <v>0</v>
      </c>
      <c r="EW293">
        <v>0</v>
      </c>
      <c r="EX293">
        <v>0</v>
      </c>
      <c r="EY293">
        <v>0</v>
      </c>
      <c r="EZ293">
        <v>0</v>
      </c>
      <c r="FA293">
        <v>0</v>
      </c>
      <c r="FB293">
        <f>SUM(EU293:FA293)+(IF(F293="YES",50000,0))</f>
        <v>0</v>
      </c>
      <c r="FC293">
        <f>ET293-FB293</f>
        <v>683572</v>
      </c>
      <c r="FD293">
        <f>ROUND(IF(FC293&gt;0,IF(FC293&gt;500000,12500,(FC293-250000)*0.05),0),0)</f>
        <v>12500</v>
      </c>
      <c r="FE293">
        <f>IF(ROUND(IF(FC293&gt;0,IF(FC293&gt;1000000,25000,(FC293-500000)*0.2),0),0)&lt;0,0,ROUND(IF(FC293&gt;0,IF(FC293&gt;1000000,25000,(FC293-500000)*0.2),0),0))</f>
        <v>36714</v>
      </c>
      <c r="FF293">
        <f>FD293+FE293</f>
        <v>49214</v>
      </c>
      <c r="FG293">
        <f>IF(FF293&lt;12500,0,FF293)</f>
        <v>49214</v>
      </c>
      <c r="FH293">
        <f>FG293*0.04</f>
        <v>1968.56</v>
      </c>
      <c r="FI293">
        <f>ROUND(FH293+FG293,0)</f>
        <v>51183</v>
      </c>
      <c r="FJ293">
        <v>0</v>
      </c>
      <c r="FK293">
        <f>FI293-FJ293</f>
        <v>51183</v>
      </c>
      <c r="FL293" t="b">
        <f>IF(EA293&gt;500000,TRUE,FALSE)</f>
        <v>1</v>
      </c>
      <c r="FM293">
        <f ca="1">IF(FL293,RANDBETWEEN(500,1000),RANDBETWEEN(1000,3000))</f>
        <v>728</v>
      </c>
      <c r="FN293">
        <f ca="1">EA293+FM293</f>
        <v>833420</v>
      </c>
      <c r="FO293">
        <f>IF(EA293&gt;0,75000,0)</f>
        <v>75000</v>
      </c>
      <c r="FP293">
        <f ca="1">FN293-FO293</f>
        <v>758420</v>
      </c>
      <c r="FQ293">
        <f ca="1">IF(FP293&gt;2400000,FP293-2400000,0)</f>
        <v>0</v>
      </c>
      <c r="FR293">
        <f ca="1">FQ293*0.3</f>
        <v>0</v>
      </c>
      <c r="FS293">
        <f ca="1">IF(FP293&gt;2000000,FP293-2000000,0)</f>
        <v>0</v>
      </c>
      <c r="FT293">
        <f ca="1">FS293*0.25</f>
        <v>0</v>
      </c>
      <c r="FU293">
        <f ca="1">IF(FP293&gt;1600000,FP293-1600000-FQ293,0)</f>
        <v>0</v>
      </c>
      <c r="FV293">
        <f ca="1">FU293*0.2</f>
        <v>0</v>
      </c>
      <c r="FW293">
        <f ca="1">IF(FP293&gt;1200000,FP293-1200000-IF(F293="YES",50000,0)-FU293,0)</f>
        <v>0</v>
      </c>
      <c r="FX293">
        <f ca="1">FW293*0.15</f>
        <v>0</v>
      </c>
      <c r="FY293">
        <f ca="1">IF(FP293&gt;800000,FP293-800000-FQ293-FU293-FW293,0)</f>
        <v>0</v>
      </c>
      <c r="FZ293">
        <f ca="1">FY293*0.1</f>
        <v>0</v>
      </c>
      <c r="GA293">
        <f ca="1">IF(FP293&gt;400000,FP293-400000-FQ293-FU293-FW293-FY293,0)</f>
        <v>358420</v>
      </c>
      <c r="GB293">
        <f ca="1">GA293*0.05</f>
        <v>17921</v>
      </c>
      <c r="GC293">
        <f ca="1">ROUND(FR293+FT293+FV293+FX293+FZ293+GB293,0)</f>
        <v>17921</v>
      </c>
      <c r="GD293">
        <f ca="1">IF(FP293&gt;1200000,FP293,0)</f>
        <v>0</v>
      </c>
      <c r="GE293">
        <f ca="1">IF(FP293&gt;1200000,GD293-1200000,0)</f>
        <v>0</v>
      </c>
      <c r="GF293">
        <f ca="1">IF(FP293&lt;1200001,MIN(GC293,60000),0)</f>
        <v>17921</v>
      </c>
      <c r="GG293">
        <f ca="1">IF(FP293&gt;1200000,GC293-GE293,0)</f>
        <v>0</v>
      </c>
      <c r="GH293" t="b">
        <f ca="1">IF(GG293&gt;0,TRUE,FALSE)</f>
        <v>0</v>
      </c>
      <c r="GI293">
        <f ca="1">IF(GH293,GG293,0)</f>
        <v>0</v>
      </c>
      <c r="GJ293">
        <f ca="1">GF293+GI293</f>
        <v>17921</v>
      </c>
      <c r="GK293">
        <f ca="1">ROUND(GC293-GJ293,0)</f>
        <v>0</v>
      </c>
      <c r="GL293">
        <f ca="1">GK293*0.04</f>
        <v>0</v>
      </c>
      <c r="GM293">
        <f ca="1">ROUNDUP(GK293+GL293,0)</f>
        <v>0</v>
      </c>
    </row>
    <row r="294" spans="1:195" x14ac:dyDescent="0.25">
      <c r="A294">
        <f>_xlfn.AGGREGATE(3,5,$B$2:B294)</f>
        <v>293</v>
      </c>
      <c r="B294" t="s">
        <v>693</v>
      </c>
      <c r="C294" t="s">
        <v>694</v>
      </c>
      <c r="D294" t="s">
        <v>829</v>
      </c>
      <c r="E294" t="s">
        <v>833</v>
      </c>
      <c r="F294" t="s">
        <v>959</v>
      </c>
      <c r="G294" t="s">
        <v>912</v>
      </c>
      <c r="H294">
        <f>IF(_xlfn.DAYS("31-03-2025",G294)&gt;=180,6800,0)</f>
        <v>6800</v>
      </c>
      <c r="I294">
        <f>_xlfn.XLOOKUP(B294,'[1]march-2025'!$A:$A,'[1]march-2025'!$J:$J,0,0)</f>
        <v>0</v>
      </c>
      <c r="J294">
        <f>_xlfn.XLOOKUP(B294,'[1]march-2025'!$A:$A,'[1]march-2025'!$C:$C,0,0)</f>
        <v>33500</v>
      </c>
      <c r="K294">
        <f>J294*0.14</f>
        <v>4690</v>
      </c>
      <c r="L294">
        <f>J294*0.12</f>
        <v>4020</v>
      </c>
      <c r="M294">
        <f>_xlfn.XLOOKUP(B294,'[1]march-2025'!$A:$A,'[1]march-2025'!$D:$D,0,0)</f>
        <v>0</v>
      </c>
      <c r="N294">
        <f>_xlfn.XLOOKUP(B294,'[1]march-2025'!$A:$A,'[1]march-2025'!$G:$G,0,0)</f>
        <v>0</v>
      </c>
      <c r="O294">
        <f>IF(J294&gt;0,SUM(J294:N294),0)</f>
        <v>42210</v>
      </c>
      <c r="P294">
        <f>_xlfn.XLOOKUP(B294,'[1]march-2025'!$A:$A,'[1]march-2025'!$H:$H,0,0)</f>
        <v>2500</v>
      </c>
      <c r="Q294">
        <f>_xlfn.XLOOKUP(B294,'[1]march-2025'!$A:$A,'[1]march-2025'!$I:$I,0,0)</f>
        <v>0</v>
      </c>
      <c r="R294">
        <f>IF($F294="YES",0,IF(O294&gt;40000,200,IF(O294&gt;25000,150,IF(O294&gt;15000,130,IF(O294&gt;10000,110,0)))))</f>
        <v>200</v>
      </c>
      <c r="S294">
        <f>O294-P294-Q294-R294</f>
        <v>39510</v>
      </c>
      <c r="T294">
        <f>_xlfn.XLOOKUP(B294,'[2]april-2025'!$A:$A,'[2]april-2025'!$C:$C,0,0)</f>
        <v>33500</v>
      </c>
      <c r="U294">
        <f>T294*0.18</f>
        <v>6030</v>
      </c>
      <c r="V294">
        <f>T294*0.12</f>
        <v>4020</v>
      </c>
      <c r="W294">
        <f>_xlfn.XLOOKUP(B294,'[2]april-2025'!$A:$A,'[2]april-2025'!$D:$D,0,0)</f>
        <v>0</v>
      </c>
      <c r="X294">
        <f>_xlfn.XLOOKUP(B294,'[2]april-2025'!$A:$A,'[2]april-2025'!$G:$G,0,0)</f>
        <v>0</v>
      </c>
      <c r="Y294">
        <f>IF(T294&gt;0,SUM(T294:X294),0)</f>
        <v>43550</v>
      </c>
      <c r="Z294">
        <f>_xlfn.XLOOKUP(B294,'[2]april-2025'!$A:$A,'[2]april-2025'!$H:$H,0,0)</f>
        <v>2500</v>
      </c>
      <c r="AA294">
        <f>_xlfn.XLOOKUP(B294,'[2]april-2025'!$A:$A,'[2]april-2025'!$I:$I,0,0)</f>
        <v>0</v>
      </c>
      <c r="AB294">
        <f>IF($F294="YES",0,IF(Y294&gt;40000,200,IF(Y294&gt;25000,150,IF(Y294&gt;15000,130,IF(Y294&gt;10000,110,0)))))</f>
        <v>200</v>
      </c>
      <c r="AC294">
        <f>Y294-Z294-AA294-AB294</f>
        <v>40850</v>
      </c>
      <c r="AD294">
        <f>_xlfn.XLOOKUP(B294,'[3]may-2025'!$A:$A,'[3]may-2025'!$C:$C,0,0)</f>
        <v>33500</v>
      </c>
      <c r="AE294">
        <f>AD294*0.18</f>
        <v>6030</v>
      </c>
      <c r="AF294">
        <f>AD294*0.12</f>
        <v>4020</v>
      </c>
      <c r="AG294">
        <f>_xlfn.XLOOKUP(B294,'[3]may-2025'!$A:$A,'[3]may-2025'!$D:$D,0,0)</f>
        <v>0</v>
      </c>
      <c r="AH294">
        <f>_xlfn.XLOOKUP(B294,'[3]may-2025'!$A:$A,'[3]may-2025'!$G:$G,0,0)</f>
        <v>0</v>
      </c>
      <c r="AI294">
        <f>IF(AD294&gt;0,SUM(AD294:AH294),0)</f>
        <v>43550</v>
      </c>
      <c r="AJ294">
        <f>_xlfn.XLOOKUP(B294,'[3]may-2025'!$A:$A,'[3]may-2025'!$H:$H,0,0)</f>
        <v>2500</v>
      </c>
      <c r="AK294">
        <f>_xlfn.XLOOKUP(B294,'[3]may-2025'!$A:$A,'[3]may-2025'!$I:$I,0,0)</f>
        <v>0</v>
      </c>
      <c r="AL294">
        <f>IF($F294="YES",0,IF(AI294&gt;40000,200,IF(AI294&gt;25000,150,IF(AI294&gt;15000,130,IF(AI294&gt;10000,110,0)))))</f>
        <v>200</v>
      </c>
      <c r="AM294">
        <f>AI294-AJ294-AK294-AL294</f>
        <v>40850</v>
      </c>
      <c r="AN294">
        <f>_xlfn.XLOOKUP(B294,'[4]june-2025'!$A:$A,'[4]june-2025'!$C:$C,0,0)</f>
        <v>33500</v>
      </c>
      <c r="AO294">
        <f>AN294*0.18</f>
        <v>6030</v>
      </c>
      <c r="AP294">
        <f>AN294*0.12</f>
        <v>4020</v>
      </c>
      <c r="AQ294">
        <f>_xlfn.XLOOKUP(B294,'[4]june-2025'!$A:$A,'[4]june-2025'!$D:$D,0,0)</f>
        <v>0</v>
      </c>
      <c r="AR294">
        <f>_xlfn.XLOOKUP(B294,'[4]june-2025'!$A:$A,'[4]june-2025'!$G:$G,0,0)</f>
        <v>0</v>
      </c>
      <c r="AS294">
        <f>IF(AN294&gt;0,SUM(AN294:AR294),0)</f>
        <v>43550</v>
      </c>
      <c r="AT294">
        <f>_xlfn.XLOOKUP(B294,'[4]june-2025'!$A:$A,'[4]june-2025'!$H:$H,0,0)</f>
        <v>2500</v>
      </c>
      <c r="AU294">
        <f>_xlfn.XLOOKUP(B294,'[4]june-2025'!$A:$A,'[4]june-2025'!$I:$I,0,0)</f>
        <v>0</v>
      </c>
      <c r="AV294">
        <f>IF($F294="YES",0,IF(AS294&gt;40000,200,IF(AS294&gt;25000,150,IF(AS294&gt;15000,130,IF(AS294&gt;10000,110,0)))))</f>
        <v>200</v>
      </c>
      <c r="AW294">
        <f>AS294-AT294-AU294-AV294</f>
        <v>40850</v>
      </c>
      <c r="AX294">
        <f>_xlfn.XLOOKUP(B294,'[5]july-2025'!$A:$A,'[5]july-2025'!$C:$C,0,0)</f>
        <v>34500</v>
      </c>
      <c r="AY294">
        <f>AX294*0.18</f>
        <v>6210</v>
      </c>
      <c r="AZ294">
        <v>0</v>
      </c>
      <c r="BA294">
        <f>AX294*0.12</f>
        <v>4140</v>
      </c>
      <c r="BB294">
        <f>_xlfn.XLOOKUP(B294,'[5]july-2025'!$A:$A,'[5]july-2025'!$D:$D,0,0)</f>
        <v>0</v>
      </c>
      <c r="BC294">
        <f>_xlfn.XLOOKUP(B294,'[5]july-2025'!$A:$A,'[5]july-2025'!$G:$G,0,0)</f>
        <v>0</v>
      </c>
      <c r="BD294">
        <f>IF(AX294&gt;0,SUM(AX294:BC294),0)</f>
        <v>44850</v>
      </c>
      <c r="BE294">
        <f>_xlfn.XLOOKUP(B294,'[5]july-2025'!$A:$A,'[5]july-2025'!$H:$H,0,0)</f>
        <v>2500</v>
      </c>
      <c r="BF294">
        <f>_xlfn.XLOOKUP(B294,'[5]july-2025'!$A:$A,'[5]july-2025'!$I:$I,0,0)</f>
        <v>0</v>
      </c>
      <c r="BG294">
        <f>IF($F294="YES",0,IF(BD294&gt;40000,200,IF(BD294&gt;25000,150,IF(BD294&gt;15000,130,IF(BD294&gt;10000,110,0)))))</f>
        <v>200</v>
      </c>
      <c r="BH294">
        <f>BD294-BE294-BF294-BG294</f>
        <v>42150</v>
      </c>
      <c r="BI294">
        <f>_xlfn.XLOOKUP(B294,'[6]august-2025'!$A:$A,'[6]august-2025'!$C:$C,0,0)</f>
        <v>34500</v>
      </c>
      <c r="BJ294">
        <f>BI294*0.18</f>
        <v>6210</v>
      </c>
      <c r="BK294">
        <f>BI294*0.12</f>
        <v>4140</v>
      </c>
      <c r="BL294">
        <f>_xlfn.XLOOKUP(B294,'[6]august-2025'!$A:$A,'[6]august-2025'!$D:$D,0,0)</f>
        <v>0</v>
      </c>
      <c r="BM294">
        <f>_xlfn.XLOOKUP(B294,'[6]august-2025'!$A:$A,'[6]august-2025'!$G:$G,0,0)</f>
        <v>0</v>
      </c>
      <c r="BN294">
        <f>IF(BI294&gt;0,SUM(BI294:BM294),0)</f>
        <v>44850</v>
      </c>
      <c r="BO294">
        <f>_xlfn.XLOOKUP(B294,'[6]august-2025'!$A:$A,'[6]august-2025'!$H:$H,0,0)</f>
        <v>2500</v>
      </c>
      <c r="BP294">
        <f>_xlfn.XLOOKUP(B294,'[6]august-2025'!$A:$A,'[6]august-2025'!$I:$I,0,0)</f>
        <v>0</v>
      </c>
      <c r="BQ294">
        <f>IF($F294="YES",0,IF(BN294&gt;40000,200,IF(BN294&gt;25000,150,IF(BN294&gt;15000,130,IF(BN294&gt;10000,110,0)))))</f>
        <v>200</v>
      </c>
      <c r="BR294">
        <f>BN294-BO294-BP294-BQ294</f>
        <v>42150</v>
      </c>
      <c r="BS294">
        <f>_xlfn.XLOOKUP(B294,'[7]september-2025'!$A:$A,'[7]september-2025'!$C:$C,0,0)</f>
        <v>34500</v>
      </c>
      <c r="BT294">
        <f>BS294*0.18</f>
        <v>6210</v>
      </c>
      <c r="BU294">
        <f>BS294*0.12</f>
        <v>4140</v>
      </c>
      <c r="BV294">
        <f>_xlfn.XLOOKUP(B294,'[7]september-2025'!$A:$A,'[7]september-2025'!$D:$D,0,0)</f>
        <v>0</v>
      </c>
      <c r="BW294">
        <f>_xlfn.XLOOKUP(B294,'[7]september-2025'!$A:$A,'[7]september-2025'!$G:$G,0,0)</f>
        <v>0</v>
      </c>
      <c r="BX294">
        <f>IF(BS294&gt;0,SUM(BS294:BW294),0)</f>
        <v>44850</v>
      </c>
      <c r="BY294">
        <f>_xlfn.XLOOKUP(B294,'[7]september-2025'!$A:$A,'[7]september-2025'!$H:$H,0,0)</f>
        <v>2500</v>
      </c>
      <c r="BZ294">
        <f>_xlfn.XLOOKUP(B294,'[7]september-2025'!$A:$A,'[7]september-2025'!$I:$I,0,0)</f>
        <v>0</v>
      </c>
      <c r="CA294">
        <f>IF($F294="YES",0,IF(BX294&gt;40000,200,IF(BX294&gt;25000,150,IF(BX294&gt;15000,130,IF(BX294&gt;10000,110,0)))))</f>
        <v>200</v>
      </c>
      <c r="CB294">
        <f>BX294-BY294-BZ294-CA294</f>
        <v>42150</v>
      </c>
      <c r="CC294">
        <f>_xlfn.XLOOKUP(B294,'[8]october-2025'!$A:$A,'[8]october-2025'!$C:$C,0,0)</f>
        <v>34500</v>
      </c>
      <c r="CD294">
        <f>CC294*0.18</f>
        <v>6210</v>
      </c>
      <c r="CE294">
        <f>CC294*0.12</f>
        <v>4140</v>
      </c>
      <c r="CF294">
        <f>_xlfn.XLOOKUP(B294,'[8]october-2025'!$A:$A,'[8]october-2025'!$D:$D,0,0)</f>
        <v>0</v>
      </c>
      <c r="CG294">
        <f>_xlfn.XLOOKUP(B294,'[8]october-2025'!$A:$A,'[8]october-2025'!$G:$G,0,0)</f>
        <v>0</v>
      </c>
      <c r="CH294">
        <f>IF(CC294&gt;0,SUM(CC294:CG294),0)</f>
        <v>44850</v>
      </c>
      <c r="CI294">
        <f>_xlfn.XLOOKUP(B294,'[8]october-2025'!$A:$A,'[8]october-2025'!$H:$H,0,0)</f>
        <v>2500</v>
      </c>
      <c r="CJ294">
        <f>_xlfn.XLOOKUP(B294,'[8]october-2025'!$A:$A,'[8]october-2025'!$I:$I,0,0)</f>
        <v>0</v>
      </c>
      <c r="CK294">
        <f>IF($F294="YES",0,IF(CH294&gt;40000,200,IF(CH294&gt;25000,150,IF(CH294&gt;15000,130,IF(CH294&gt;10000,110,0)))))</f>
        <v>200</v>
      </c>
      <c r="CL294">
        <f>CH294-CI294-CJ294-CK294</f>
        <v>42150</v>
      </c>
      <c r="CM294">
        <f>_xlfn.XLOOKUP(B294,'[9]november-2025'!$A:$A,'[9]november-2025'!$C:$C,0,0)</f>
        <v>34500</v>
      </c>
      <c r="CN294">
        <f>CM294*0.18</f>
        <v>6210</v>
      </c>
      <c r="CO294">
        <f>CM294*0.12</f>
        <v>4140</v>
      </c>
      <c r="CP294">
        <f>_xlfn.XLOOKUP(B294,'[9]november-2025'!$A:$A,'[9]november-2025'!$D:$D,0,0)</f>
        <v>0</v>
      </c>
      <c r="CQ294">
        <f>_xlfn.XLOOKUP(B294,'[9]november-2025'!$A:$A,'[9]november-2025'!$G:$G,0,0)</f>
        <v>0</v>
      </c>
      <c r="CR294">
        <f>IF(CM294&gt;0,SUM(CM294:CQ294),0)</f>
        <v>44850</v>
      </c>
      <c r="CS294">
        <f>_xlfn.XLOOKUP(B294,'[9]november-2025'!$A:$A,'[9]november-2025'!$H:$H,0,0)</f>
        <v>2500</v>
      </c>
      <c r="CT294">
        <f>_xlfn.XLOOKUP(B294,'[9]november-2025'!$A:$A,'[9]november-2025'!$I:$I,0,0)</f>
        <v>0</v>
      </c>
      <c r="CU294">
        <f>IF($F294="YES",0,IF(CR294&gt;40000,200,IF(CR294&gt;25000,150,IF(CR294&gt;15000,130,IF(CR294&gt;10000,110,0)))))</f>
        <v>200</v>
      </c>
      <c r="CV294">
        <f>CR294-CS294-CT294-CU294</f>
        <v>42150</v>
      </c>
      <c r="CW294">
        <f>_xlfn.XLOOKUP(B294,'[10]december-2025'!$A:$A,'[10]december-2025'!$C:$C,0,0)</f>
        <v>34500</v>
      </c>
      <c r="CX294">
        <f>ROUND(CW294*0.18,0)</f>
        <v>6210</v>
      </c>
      <c r="CY294">
        <f>ROUND(CW294*0.12,0)</f>
        <v>4140</v>
      </c>
      <c r="CZ294">
        <f>_xlfn.XLOOKUP(B294,'[10]december-2025'!$A:$A,'[10]december-2025'!$D:$D,0,0)</f>
        <v>0</v>
      </c>
      <c r="DA294">
        <f>_xlfn.XLOOKUP(B294,'[10]december-2025'!$A:$A,'[10]december-2025'!$G:$G,0,0)</f>
        <v>0</v>
      </c>
      <c r="DB294">
        <f>IF(CW294&gt;0,SUM(CW294:DA294),0)</f>
        <v>44850</v>
      </c>
      <c r="DC294">
        <f>_xlfn.XLOOKUP(B294,'[10]december-2025'!$A:$A,'[10]december-2025'!$H:$H,0,0)</f>
        <v>2500</v>
      </c>
      <c r="DD294">
        <f>_xlfn.XLOOKUP(B294,'[10]december-2025'!$A:$A,'[10]december-2025'!$I:$I,0,0)</f>
        <v>0</v>
      </c>
      <c r="DE294">
        <f>IF($F294="YES",0,IF(DB294&gt;40000,200,IF(DB294&gt;25000,150,IF(DB294&gt;15000,130,IF(DB294&gt;10000,110,0)))))</f>
        <v>200</v>
      </c>
      <c r="DF294">
        <f>DB294-DC294-DD294-DE294</f>
        <v>42150</v>
      </c>
      <c r="DG294">
        <f>_xlfn.XLOOKUP(B294,'[11]january-2026'!$A:$A,'[11]january-2026'!$C:$C,0,0)</f>
        <v>34500</v>
      </c>
      <c r="DH294">
        <f>DG294*0.18</f>
        <v>6210</v>
      </c>
      <c r="DI294">
        <f>DG294*0.12</f>
        <v>4140</v>
      </c>
      <c r="DJ294">
        <f>_xlfn.XLOOKUP(B294,'[11]january-2026'!$A:$A,'[11]january-2026'!$D:$D,0,0)</f>
        <v>0</v>
      </c>
      <c r="DK294">
        <f>_xlfn.XLOOKUP(B294,'[11]january-2026'!$A:$A,'[11]january-2026'!$G:$G,0,0)</f>
        <v>0</v>
      </c>
      <c r="DL294">
        <f>IF(DG294&gt;0,SUM(DG294:DK294),0)</f>
        <v>44850</v>
      </c>
      <c r="DM294">
        <f>_xlfn.XLOOKUP(B294,'[11]january-2026'!$A:$A,'[11]january-2026'!$H:$H,0,0)</f>
        <v>2500</v>
      </c>
      <c r="DN294">
        <f>_xlfn.XLOOKUP(B294,'[11]january-2026'!$A:$A,'[11]january-2026'!$I:$I,0,0)</f>
        <v>0</v>
      </c>
      <c r="DO294">
        <f>IF($F294="YES",0,IF(DL294&gt;40000,200,IF(DL294&gt;25000,150,IF(DL294&gt;15000,130,IF(DL294&gt;10000,110,0)))))</f>
        <v>200</v>
      </c>
      <c r="DP294">
        <f>DL294-DM294-DN294-DO294</f>
        <v>42150</v>
      </c>
      <c r="DQ294">
        <f>_xlfn.XLOOKUP(B294,'[12]february-2026'!$A:$A,'[12]february-2026'!$C:$C,0,0)</f>
        <v>34500</v>
      </c>
      <c r="DR294">
        <f>DQ294*0.18</f>
        <v>6210</v>
      </c>
      <c r="DS294">
        <f>DQ294*0.12</f>
        <v>4140</v>
      </c>
      <c r="DT294">
        <f>_xlfn.XLOOKUP(B294,'[12]february-2026'!$A:$A,'[12]february-2026'!$D:$D,0,0)</f>
        <v>0</v>
      </c>
      <c r="DU294">
        <f>_xlfn.XLOOKUP(B294,'[12]february-2026'!$A:$A,'[12]february-2026'!$G:$G,0,0)</f>
        <v>0</v>
      </c>
      <c r="DV294">
        <f>IF(DQ294&gt;0,SUM(DQ294:DU294),0)</f>
        <v>44850</v>
      </c>
      <c r="DW294">
        <f>_xlfn.XLOOKUP(B294,'[12]february-2026'!$A:$A,'[12]february-2026'!$H:$H,0,0)</f>
        <v>2500</v>
      </c>
      <c r="DX294">
        <f>_xlfn.XLOOKUP(B294,'[12]february-2026'!$A:$A,'[12]february-2026'!$I:$I,0,0)</f>
        <v>0</v>
      </c>
      <c r="DY294">
        <f>IF($F294="YES",0,IF(DV294&gt;40000,200,IF(DV294&gt;25000,150,IF(DV294&gt;15000,130,IF(DV294&gt;10000,110,0)))))</f>
        <v>200</v>
      </c>
      <c r="DZ294">
        <f>DV294-DW294-DX294-DY294</f>
        <v>42150</v>
      </c>
      <c r="EA294">
        <f>DV294+DL294+DB294+CR294+CH294+BX294+BN294+BD294+AS294+AI294+Y294+O294+H294+I294</f>
        <v>538460</v>
      </c>
      <c r="EB294">
        <f>DY294+DO294+DE294+CU294+CK294+CA294+BQ294+BG294+AV294+AL294+AB294+R294</f>
        <v>2400</v>
      </c>
      <c r="EC294">
        <f>IF(EA294&gt;0,50000,0)</f>
        <v>50000</v>
      </c>
      <c r="ED294">
        <v>0</v>
      </c>
      <c r="EE294">
        <f>EA294-EB294-EC294</f>
        <v>486060</v>
      </c>
      <c r="EF294">
        <f>DW294+DM294+DC294+CS294+CI294+BY294+BO294+BE294+AT294+AJ294+Z294+P294</f>
        <v>30000</v>
      </c>
      <c r="EG294">
        <f>DX294+DN294+DD294+CT294+CJ294+BZ294+BP294+BF294+AU294+AK294+AA294+Q294</f>
        <v>0</v>
      </c>
      <c r="EH294">
        <v>0</v>
      </c>
      <c r="EI294">
        <v>0</v>
      </c>
      <c r="EJ294">
        <v>0</v>
      </c>
      <c r="EK294">
        <v>0</v>
      </c>
      <c r="EL294">
        <v>0</v>
      </c>
      <c r="EM294">
        <v>0</v>
      </c>
      <c r="EN294">
        <v>0</v>
      </c>
      <c r="EO294">
        <v>0</v>
      </c>
      <c r="EP294">
        <v>0</v>
      </c>
      <c r="EQ294">
        <v>0</v>
      </c>
      <c r="ER294">
        <f>SUM(EF294:EQ294)</f>
        <v>30000</v>
      </c>
      <c r="ES294">
        <f>IF(ER294&gt;=150000,150000,ER294)</f>
        <v>30000</v>
      </c>
      <c r="ET294">
        <f>EE294-ES294</f>
        <v>456060</v>
      </c>
      <c r="EU294">
        <v>0</v>
      </c>
      <c r="EV294">
        <v>0</v>
      </c>
      <c r="EW294">
        <v>0</v>
      </c>
      <c r="EX294">
        <v>0</v>
      </c>
      <c r="EY294">
        <v>0</v>
      </c>
      <c r="EZ294">
        <v>0</v>
      </c>
      <c r="FA294">
        <v>0</v>
      </c>
      <c r="FB294">
        <f>SUM(EU294:FA294)+(IF(F294="YES",50000,0))</f>
        <v>0</v>
      </c>
      <c r="FC294">
        <f>ET294-FB294</f>
        <v>456060</v>
      </c>
      <c r="FD294">
        <f>ROUND(IF(FC294&gt;0,IF(FC294&gt;500000,12500,(FC294-250000)*0.05),0),0)</f>
        <v>10303</v>
      </c>
      <c r="FE294">
        <f>IF(ROUND(IF(FC294&gt;0,IF(FC294&gt;1000000,25000,(FC294-500000)*0.2),0),0)&lt;0,0,ROUND(IF(FC294&gt;0,IF(FC294&gt;1000000,25000,(FC294-500000)*0.2),0),0))</f>
        <v>0</v>
      </c>
      <c r="FF294">
        <f>FD294+FE294</f>
        <v>10303</v>
      </c>
      <c r="FG294">
        <f>IF(FF294&lt;12500,0,FF294)</f>
        <v>0</v>
      </c>
      <c r="FH294">
        <f>FG294*0.04</f>
        <v>0</v>
      </c>
      <c r="FI294">
        <f>ROUND(FH294+FG294,0)</f>
        <v>0</v>
      </c>
      <c r="FJ294">
        <v>0</v>
      </c>
      <c r="FK294">
        <f>FI294-FJ294</f>
        <v>0</v>
      </c>
      <c r="FL294" t="b">
        <f>IF(EA294&gt;500000,TRUE,FALSE)</f>
        <v>1</v>
      </c>
      <c r="FM294">
        <f ca="1">IF(FL294,RANDBETWEEN(500,1000),RANDBETWEEN(1000,3000))</f>
        <v>885</v>
      </c>
      <c r="FN294">
        <f ca="1">EA294+FM294</f>
        <v>539345</v>
      </c>
      <c r="FO294">
        <f>IF(EA294&gt;0,75000,0)</f>
        <v>75000</v>
      </c>
      <c r="FP294">
        <f ca="1">FN294-FO294</f>
        <v>464345</v>
      </c>
      <c r="FQ294">
        <f ca="1">IF(FP294&gt;2400000,FP294-2400000,0)</f>
        <v>0</v>
      </c>
      <c r="FR294">
        <f ca="1">FQ294*0.3</f>
        <v>0</v>
      </c>
      <c r="FS294">
        <f ca="1">IF(FP294&gt;2000000,FP294-2000000,0)</f>
        <v>0</v>
      </c>
      <c r="FT294">
        <f ca="1">FS294*0.25</f>
        <v>0</v>
      </c>
      <c r="FU294">
        <f ca="1">IF(FP294&gt;1600000,FP294-1600000-FQ294,0)</f>
        <v>0</v>
      </c>
      <c r="FV294">
        <f ca="1">FU294*0.2</f>
        <v>0</v>
      </c>
      <c r="FW294">
        <f ca="1">IF(FP294&gt;1200000,FP294-1200000-IF(F294="YES",50000,0)-FU294,0)</f>
        <v>0</v>
      </c>
      <c r="FX294">
        <f ca="1">FW294*0.15</f>
        <v>0</v>
      </c>
      <c r="FY294">
        <f ca="1">IF(FP294&gt;800000,FP294-800000-FQ294-FU294-FW294,0)</f>
        <v>0</v>
      </c>
      <c r="FZ294">
        <f ca="1">FY294*0.1</f>
        <v>0</v>
      </c>
      <c r="GA294">
        <f ca="1">IF(FP294&gt;400000,FP294-400000-FQ294-FU294-FW294-FY294,0)</f>
        <v>64345</v>
      </c>
      <c r="GB294">
        <f ca="1">GA294*0.05</f>
        <v>3217.25</v>
      </c>
      <c r="GC294">
        <f ca="1">ROUND(FR294+FT294+FV294+FX294+FZ294+GB294,0)</f>
        <v>3217</v>
      </c>
      <c r="GD294">
        <f ca="1">IF(FP294&gt;1200000,FP294,0)</f>
        <v>0</v>
      </c>
      <c r="GE294">
        <f ca="1">IF(FP294&gt;1200000,GD294-1200000,0)</f>
        <v>0</v>
      </c>
      <c r="GF294">
        <f ca="1">IF(FP294&lt;1200001,MIN(GC294,60000),0)</f>
        <v>3217</v>
      </c>
      <c r="GG294">
        <f ca="1">IF(FP294&gt;1200000,GC294-GE294,0)</f>
        <v>0</v>
      </c>
      <c r="GH294" t="b">
        <f ca="1">IF(GG294&gt;0,TRUE,FALSE)</f>
        <v>0</v>
      </c>
      <c r="GI294">
        <f ca="1">IF(GH294,GG294,0)</f>
        <v>0</v>
      </c>
      <c r="GJ294">
        <f ca="1">GF294+GI294</f>
        <v>3217</v>
      </c>
      <c r="GK294">
        <f ca="1">ROUND(GC294-GJ294,0)</f>
        <v>0</v>
      </c>
      <c r="GL294">
        <f ca="1">GK294*0.04</f>
        <v>0</v>
      </c>
      <c r="GM294">
        <f ca="1">ROUNDUP(GK294+GL294,0)</f>
        <v>0</v>
      </c>
    </row>
    <row r="295" spans="1:195" x14ac:dyDescent="0.25">
      <c r="A295">
        <f>_xlfn.AGGREGATE(3,5,$B$2:B295)</f>
        <v>294</v>
      </c>
      <c r="B295" t="s">
        <v>873</v>
      </c>
      <c r="C295" t="s">
        <v>874</v>
      </c>
      <c r="D295" t="s">
        <v>829</v>
      </c>
      <c r="E295" t="s">
        <v>833</v>
      </c>
      <c r="F295" t="s">
        <v>961</v>
      </c>
      <c r="G295" t="s">
        <v>892</v>
      </c>
      <c r="H295">
        <f>IF(_xlfn.DAYS("31-03-2025",G295)&gt;=180,6800,0)</f>
        <v>0</v>
      </c>
      <c r="I295">
        <f>_xlfn.XLOOKUP(B295,'[1]march-2025'!$A:$A,'[1]march-2025'!$J:$J,0,0)</f>
        <v>0</v>
      </c>
      <c r="J295">
        <f>_xlfn.XLOOKUP(B295,'[1]march-2025'!$A:$A,'[1]march-2025'!$C:$C,0,0)</f>
        <v>0</v>
      </c>
      <c r="K295">
        <f>J295*0.14</f>
        <v>0</v>
      </c>
      <c r="L295">
        <f>J295*0.12</f>
        <v>0</v>
      </c>
      <c r="M295">
        <f>_xlfn.XLOOKUP(B295,'[1]march-2025'!$A:$A,'[1]march-2025'!$D:$D,0,0)</f>
        <v>0</v>
      </c>
      <c r="N295">
        <f>_xlfn.XLOOKUP(B295,'[1]march-2025'!$A:$A,'[1]march-2025'!$G:$G,0,0)</f>
        <v>0</v>
      </c>
      <c r="O295">
        <f>IF(J295&gt;0,SUM(J295:N295),0)</f>
        <v>0</v>
      </c>
      <c r="P295">
        <f>_xlfn.XLOOKUP(B295,'[1]march-2025'!$A:$A,'[1]march-2025'!$H:$H,0,0)</f>
        <v>0</v>
      </c>
      <c r="Q295">
        <f>_xlfn.XLOOKUP(B295,'[1]march-2025'!$A:$A,'[1]march-2025'!$I:$I,0,0)</f>
        <v>0</v>
      </c>
      <c r="R295">
        <f>IF($F295="YES",0,IF(O295&gt;40000,200,IF(O295&gt;25000,150,IF(O295&gt;15000,130,IF(O295&gt;10000,110,0)))))</f>
        <v>0</v>
      </c>
      <c r="S295">
        <f>O295-P295-Q295-R295</f>
        <v>0</v>
      </c>
      <c r="T295">
        <f>_xlfn.XLOOKUP(B295,'[2]april-2025'!$A:$A,'[2]april-2025'!$C:$C,0,0)</f>
        <v>0</v>
      </c>
      <c r="U295">
        <f>T295*0.18</f>
        <v>0</v>
      </c>
      <c r="V295">
        <f>T295*0.12</f>
        <v>0</v>
      </c>
      <c r="W295">
        <f>_xlfn.XLOOKUP(B295,'[2]april-2025'!$A:$A,'[2]april-2025'!$D:$D,0,0)</f>
        <v>0</v>
      </c>
      <c r="X295">
        <f>_xlfn.XLOOKUP(B295,'[2]april-2025'!$A:$A,'[2]april-2025'!$G:$G,0,0)</f>
        <v>0</v>
      </c>
      <c r="Y295">
        <f>IF(T295&gt;0,SUM(T295:X295),0)</f>
        <v>0</v>
      </c>
      <c r="Z295">
        <f>_xlfn.XLOOKUP(B295,'[2]april-2025'!$A:$A,'[2]april-2025'!$H:$H,0,0)</f>
        <v>0</v>
      </c>
      <c r="AA295">
        <f>_xlfn.XLOOKUP(B295,'[2]april-2025'!$A:$A,'[2]april-2025'!$I:$I,0,0)</f>
        <v>0</v>
      </c>
      <c r="AB295">
        <f>IF($F295="YES",0,IF(Y295&gt;40000,200,IF(Y295&gt;25000,150,IF(Y295&gt;15000,130,IF(Y295&gt;10000,110,0)))))</f>
        <v>0</v>
      </c>
      <c r="AC295">
        <f>Y295-Z295-AA295-AB295</f>
        <v>0</v>
      </c>
      <c r="AD295">
        <f>_xlfn.XLOOKUP(B295,'[3]may-2025'!$A:$A,'[3]may-2025'!$C:$C,0,0)</f>
        <v>24700</v>
      </c>
      <c r="AE295">
        <f>AD295*0.18</f>
        <v>4446</v>
      </c>
      <c r="AF295">
        <f>AD295*0.12</f>
        <v>2964</v>
      </c>
      <c r="AG295">
        <f>_xlfn.XLOOKUP(B295,'[3]may-2025'!$A:$A,'[3]may-2025'!$D:$D,0,0)</f>
        <v>0</v>
      </c>
      <c r="AH295">
        <f>_xlfn.XLOOKUP(B295,'[3]may-2025'!$A:$A,'[3]may-2025'!$G:$G,0,0)</f>
        <v>500</v>
      </c>
      <c r="AI295">
        <f>IF(AD295&gt;0,SUM(AD295:AH295),0)</f>
        <v>32610</v>
      </c>
      <c r="AJ295">
        <f>_xlfn.XLOOKUP(B295,'[3]may-2025'!$A:$A,'[3]may-2025'!$H:$H,0,0)</f>
        <v>0</v>
      </c>
      <c r="AK295">
        <f>_xlfn.XLOOKUP(B295,'[3]may-2025'!$A:$A,'[3]may-2025'!$I:$I,0,0)</f>
        <v>0</v>
      </c>
      <c r="AL295">
        <f>IF($F295="YES",0,IF(AI295&gt;40000,200,IF(AI295&gt;25000,150,IF(AI295&gt;15000,130,IF(AI295&gt;10000,110,0)))))</f>
        <v>150</v>
      </c>
      <c r="AM295">
        <f>AI295-AJ295-AK295-AL295</f>
        <v>32460</v>
      </c>
      <c r="AN295">
        <f>_xlfn.XLOOKUP(B295,'[4]june-2025'!$A:$A,'[4]june-2025'!$C:$C,0,0)</f>
        <v>24700</v>
      </c>
      <c r="AO295">
        <f>AN295*0.18</f>
        <v>4446</v>
      </c>
      <c r="AP295">
        <f>AN295*0.12</f>
        <v>2964</v>
      </c>
      <c r="AQ295">
        <f>_xlfn.XLOOKUP(B295,'[4]june-2025'!$A:$A,'[4]june-2025'!$D:$D,0,0)</f>
        <v>0</v>
      </c>
      <c r="AR295">
        <f>_xlfn.XLOOKUP(B295,'[4]june-2025'!$A:$A,'[4]june-2025'!$G:$G,0,0)</f>
        <v>500</v>
      </c>
      <c r="AS295">
        <f>IF(AN295&gt;0,SUM(AN295:AR295),0)</f>
        <v>32610</v>
      </c>
      <c r="AT295">
        <f>_xlfn.XLOOKUP(B295,'[4]june-2025'!$A:$A,'[4]june-2025'!$H:$H,0,0)</f>
        <v>0</v>
      </c>
      <c r="AU295">
        <f>_xlfn.XLOOKUP(B295,'[4]june-2025'!$A:$A,'[4]june-2025'!$I:$I,0,0)</f>
        <v>0</v>
      </c>
      <c r="AV295">
        <f>IF($F295="YES",0,IF(AS295&gt;40000,200,IF(AS295&gt;25000,150,IF(AS295&gt;15000,130,IF(AS295&gt;10000,110,0)))))</f>
        <v>150</v>
      </c>
      <c r="AW295">
        <f>AS295-AT295-AU295-AV295</f>
        <v>32460</v>
      </c>
      <c r="AX295">
        <f>_xlfn.XLOOKUP(B295,'[5]july-2025'!$A:$A,'[5]july-2025'!$C:$C,0,0)</f>
        <v>24700</v>
      </c>
      <c r="AY295">
        <f>AX295*0.18</f>
        <v>4446</v>
      </c>
      <c r="AZ295">
        <v>0</v>
      </c>
      <c r="BA295">
        <f>AX295*0.12</f>
        <v>2964</v>
      </c>
      <c r="BB295">
        <f>_xlfn.XLOOKUP(B295,'[5]july-2025'!$A:$A,'[5]july-2025'!$D:$D,0,0)</f>
        <v>0</v>
      </c>
      <c r="BC295">
        <f>_xlfn.XLOOKUP(B295,'[5]july-2025'!$A:$A,'[5]july-2025'!$G:$G,0,0)</f>
        <v>500</v>
      </c>
      <c r="BD295">
        <f>IF(AX295&gt;0,SUM(AX295:BC295),0)</f>
        <v>32610</v>
      </c>
      <c r="BE295">
        <f>_xlfn.XLOOKUP(B295,'[5]july-2025'!$A:$A,'[5]july-2025'!$H:$H,0,0)</f>
        <v>0</v>
      </c>
      <c r="BF295">
        <f>_xlfn.XLOOKUP(B295,'[5]july-2025'!$A:$A,'[5]july-2025'!$I:$I,0,0)</f>
        <v>0</v>
      </c>
      <c r="BG295">
        <f>IF($F295="YES",0,IF(BD295&gt;40000,200,IF(BD295&gt;25000,150,IF(BD295&gt;15000,130,IF(BD295&gt;10000,110,0)))))</f>
        <v>150</v>
      </c>
      <c r="BH295">
        <f>BD295-BE295-BF295-BG295</f>
        <v>32460</v>
      </c>
      <c r="BI295">
        <f>_xlfn.XLOOKUP(B295,'[6]august-2025'!$A:$A,'[6]august-2025'!$C:$C,0,0)</f>
        <v>28900</v>
      </c>
      <c r="BJ295">
        <f>BI295*0.18</f>
        <v>5202</v>
      </c>
      <c r="BK295">
        <f>BI295*0.12</f>
        <v>3468</v>
      </c>
      <c r="BL295">
        <f>_xlfn.XLOOKUP(B295,'[6]august-2025'!$A:$A,'[6]august-2025'!$D:$D,0,0)</f>
        <v>0</v>
      </c>
      <c r="BM295">
        <f>_xlfn.XLOOKUP(B295,'[6]august-2025'!$A:$A,'[6]august-2025'!$G:$G,0,0)</f>
        <v>500</v>
      </c>
      <c r="BN295">
        <f>IF(BI295&gt;0,SUM(BI295:BM295),0)</f>
        <v>38070</v>
      </c>
      <c r="BO295">
        <f>_xlfn.XLOOKUP(B295,'[6]august-2025'!$A:$A,'[6]august-2025'!$H:$H,0,0)</f>
        <v>0</v>
      </c>
      <c r="BP295">
        <f>_xlfn.XLOOKUP(B295,'[6]august-2025'!$A:$A,'[6]august-2025'!$I:$I,0,0)</f>
        <v>0</v>
      </c>
      <c r="BQ295">
        <f>IF($F295="YES",0,IF(BN295&gt;40000,200,IF(BN295&gt;25000,150,IF(BN295&gt;15000,130,IF(BN295&gt;10000,110,0)))))</f>
        <v>150</v>
      </c>
      <c r="BR295">
        <f>BN295-BO295-BP295-BQ295</f>
        <v>37920</v>
      </c>
      <c r="BS295">
        <f>_xlfn.XLOOKUP(B295,'[7]september-2025'!$A:$A,'[7]september-2025'!$C:$C,0,0)</f>
        <v>28900</v>
      </c>
      <c r="BT295">
        <f>BS295*0.18</f>
        <v>5202</v>
      </c>
      <c r="BU295">
        <f>BS295*0.12</f>
        <v>3468</v>
      </c>
      <c r="BV295">
        <f>_xlfn.XLOOKUP(B295,'[7]september-2025'!$A:$A,'[7]september-2025'!$D:$D,0,0)</f>
        <v>0</v>
      </c>
      <c r="BW295">
        <f>_xlfn.XLOOKUP(B295,'[7]september-2025'!$A:$A,'[7]september-2025'!$G:$G,0,0)</f>
        <v>500</v>
      </c>
      <c r="BX295">
        <f>IF(BS295&gt;0,SUM(BS295:BW295),0)</f>
        <v>38070</v>
      </c>
      <c r="BY295">
        <f>_xlfn.XLOOKUP(B295,'[7]september-2025'!$A:$A,'[7]september-2025'!$H:$H,0,0)</f>
        <v>0</v>
      </c>
      <c r="BZ295">
        <f>_xlfn.XLOOKUP(B295,'[7]september-2025'!$A:$A,'[7]september-2025'!$I:$I,0,0)</f>
        <v>0</v>
      </c>
      <c r="CA295">
        <f>IF($F295="YES",0,IF(BX295&gt;40000,200,IF(BX295&gt;25000,150,IF(BX295&gt;15000,130,IF(BX295&gt;10000,110,0)))))</f>
        <v>150</v>
      </c>
      <c r="CB295">
        <f>BX295-BY295-BZ295-CA295</f>
        <v>37920</v>
      </c>
      <c r="CC295">
        <f>_xlfn.XLOOKUP(B295,'[8]october-2025'!$A:$A,'[8]october-2025'!$C:$C,0,0)</f>
        <v>28900</v>
      </c>
      <c r="CD295">
        <f>CC295*0.18</f>
        <v>5202</v>
      </c>
      <c r="CE295">
        <f>CC295*0.12</f>
        <v>3468</v>
      </c>
      <c r="CF295">
        <f>_xlfn.XLOOKUP(B295,'[8]october-2025'!$A:$A,'[8]october-2025'!$D:$D,0,0)</f>
        <v>0</v>
      </c>
      <c r="CG295">
        <f>_xlfn.XLOOKUP(B295,'[8]october-2025'!$A:$A,'[8]october-2025'!$G:$G,0,0)</f>
        <v>500</v>
      </c>
      <c r="CH295">
        <f>IF(CC295&gt;0,SUM(CC295:CG295),0)</f>
        <v>38070</v>
      </c>
      <c r="CI295">
        <f>_xlfn.XLOOKUP(B295,'[8]october-2025'!$A:$A,'[8]october-2025'!$H:$H,0,0)</f>
        <v>0</v>
      </c>
      <c r="CJ295">
        <f>_xlfn.XLOOKUP(B295,'[8]october-2025'!$A:$A,'[8]october-2025'!$I:$I,0,0)</f>
        <v>0</v>
      </c>
      <c r="CK295">
        <f>IF($F295="YES",0,IF(CH295&gt;40000,200,IF(CH295&gt;25000,150,IF(CH295&gt;15000,130,IF(CH295&gt;10000,110,0)))))</f>
        <v>150</v>
      </c>
      <c r="CL295">
        <f>CH295-CI295-CJ295-CK295</f>
        <v>37920</v>
      </c>
      <c r="CM295">
        <f>_xlfn.XLOOKUP(B295,'[9]november-2025'!$A:$A,'[9]november-2025'!$C:$C,0,0)</f>
        <v>28900</v>
      </c>
      <c r="CN295">
        <f>CM295*0.18</f>
        <v>5202</v>
      </c>
      <c r="CO295">
        <f>CM295*0.12</f>
        <v>3468</v>
      </c>
      <c r="CP295">
        <f>_xlfn.XLOOKUP(B295,'[9]november-2025'!$A:$A,'[9]november-2025'!$D:$D,0,0)</f>
        <v>0</v>
      </c>
      <c r="CQ295">
        <f>_xlfn.XLOOKUP(B295,'[9]november-2025'!$A:$A,'[9]november-2025'!$G:$G,0,0)</f>
        <v>500</v>
      </c>
      <c r="CR295">
        <f>IF(CM295&gt;0,SUM(CM295:CQ295),0)</f>
        <v>38070</v>
      </c>
      <c r="CS295">
        <f>_xlfn.XLOOKUP(B295,'[9]november-2025'!$A:$A,'[9]november-2025'!$H:$H,0,0)</f>
        <v>0</v>
      </c>
      <c r="CT295">
        <f>_xlfn.XLOOKUP(B295,'[9]november-2025'!$A:$A,'[9]november-2025'!$I:$I,0,0)</f>
        <v>0</v>
      </c>
      <c r="CU295">
        <f>IF($F295="YES",0,IF(CR295&gt;40000,200,IF(CR295&gt;25000,150,IF(CR295&gt;15000,130,IF(CR295&gt;10000,110,0)))))</f>
        <v>150</v>
      </c>
      <c r="CV295">
        <f>CR295-CS295-CT295-CU295</f>
        <v>37920</v>
      </c>
      <c r="CW295">
        <f>_xlfn.XLOOKUP(B295,'[10]december-2025'!$A:$A,'[10]december-2025'!$C:$C,0,0)</f>
        <v>28900</v>
      </c>
      <c r="CX295">
        <f>ROUND(CW295*0.18,0)</f>
        <v>5202</v>
      </c>
      <c r="CY295">
        <f>ROUND(CW295*0.12,0)</f>
        <v>3468</v>
      </c>
      <c r="CZ295">
        <f>_xlfn.XLOOKUP(B295,'[10]december-2025'!$A:$A,'[10]december-2025'!$D:$D,0,0)</f>
        <v>0</v>
      </c>
      <c r="DA295">
        <f>_xlfn.XLOOKUP(B295,'[10]december-2025'!$A:$A,'[10]december-2025'!$G:$G,0,0)</f>
        <v>500</v>
      </c>
      <c r="DB295">
        <f>IF(CW295&gt;0,SUM(CW295:DA295),0)</f>
        <v>38070</v>
      </c>
      <c r="DC295">
        <f>_xlfn.XLOOKUP(B295,'[10]december-2025'!$A:$A,'[10]december-2025'!$H:$H,0,0)</f>
        <v>0</v>
      </c>
      <c r="DD295">
        <f>_xlfn.XLOOKUP(B295,'[10]december-2025'!$A:$A,'[10]december-2025'!$I:$I,0,0)</f>
        <v>0</v>
      </c>
      <c r="DE295">
        <f>IF($F295="YES",0,IF(DB295&gt;40000,200,IF(DB295&gt;25000,150,IF(DB295&gt;15000,130,IF(DB295&gt;10000,110,0)))))</f>
        <v>150</v>
      </c>
      <c r="DF295">
        <f>DB295-DC295-DD295-DE295</f>
        <v>37920</v>
      </c>
      <c r="DG295">
        <f>_xlfn.XLOOKUP(B295,'[11]january-2026'!$A:$A,'[11]january-2026'!$C:$C,0,0)</f>
        <v>28900</v>
      </c>
      <c r="DH295">
        <f>DG295*0.18</f>
        <v>5202</v>
      </c>
      <c r="DI295">
        <f>DG295*0.12</f>
        <v>3468</v>
      </c>
      <c r="DJ295">
        <f>_xlfn.XLOOKUP(B295,'[11]january-2026'!$A:$A,'[11]january-2026'!$D:$D,0,0)</f>
        <v>0</v>
      </c>
      <c r="DK295">
        <f>_xlfn.XLOOKUP(B295,'[11]january-2026'!$A:$A,'[11]january-2026'!$G:$G,0,0)</f>
        <v>500</v>
      </c>
      <c r="DL295">
        <f>IF(DG295&gt;0,SUM(DG295:DK295),0)</f>
        <v>38070</v>
      </c>
      <c r="DM295">
        <f>_xlfn.XLOOKUP(B295,'[11]january-2026'!$A:$A,'[11]january-2026'!$H:$H,0,0)</f>
        <v>2000</v>
      </c>
      <c r="DN295">
        <f>_xlfn.XLOOKUP(B295,'[11]january-2026'!$A:$A,'[11]january-2026'!$I:$I,0,0)</f>
        <v>0</v>
      </c>
      <c r="DO295">
        <f>IF($F295="YES",0,IF(DL295&gt;40000,200,IF(DL295&gt;25000,150,IF(DL295&gt;15000,130,IF(DL295&gt;10000,110,0)))))</f>
        <v>150</v>
      </c>
      <c r="DP295">
        <f>DL295-DM295-DN295-DO295</f>
        <v>35920</v>
      </c>
      <c r="DQ295">
        <f>_xlfn.XLOOKUP(B295,'[12]february-2026'!$A:$A,'[12]february-2026'!$C:$C,0,0)</f>
        <v>28900</v>
      </c>
      <c r="DR295">
        <f>DQ295*0.18</f>
        <v>5202</v>
      </c>
      <c r="DS295">
        <f>DQ295*0.12</f>
        <v>3468</v>
      </c>
      <c r="DT295">
        <f>_xlfn.XLOOKUP(B295,'[12]february-2026'!$A:$A,'[12]february-2026'!$D:$D,0,0)</f>
        <v>0</v>
      </c>
      <c r="DU295">
        <f>_xlfn.XLOOKUP(B295,'[12]february-2026'!$A:$A,'[12]february-2026'!$G:$G,0,0)</f>
        <v>500</v>
      </c>
      <c r="DV295">
        <f>IF(DQ295&gt;0,SUM(DQ295:DU295),0)</f>
        <v>38070</v>
      </c>
      <c r="DW295">
        <f>_xlfn.XLOOKUP(B295,'[12]february-2026'!$A:$A,'[12]february-2026'!$H:$H,0,0)</f>
        <v>2000</v>
      </c>
      <c r="DX295">
        <f>_xlfn.XLOOKUP(B295,'[12]february-2026'!$A:$A,'[12]february-2026'!$I:$I,0,0)</f>
        <v>0</v>
      </c>
      <c r="DY295">
        <f>IF($F295="YES",0,IF(DV295&gt;40000,200,IF(DV295&gt;25000,150,IF(DV295&gt;15000,130,IF(DV295&gt;10000,110,0)))))</f>
        <v>150</v>
      </c>
      <c r="DZ295">
        <f>DV295-DW295-DX295-DY295</f>
        <v>35920</v>
      </c>
      <c r="EA295">
        <f>DV295+DL295+DB295+CR295+CH295+BX295+BN295+BD295+AS295+AI295+Y295+O295+H295+I295</f>
        <v>364320</v>
      </c>
      <c r="EB295">
        <f>DY295+DO295+DE295+CU295+CK295+CA295+BQ295+BG295+AV295+AL295+AB295+R295</f>
        <v>1500</v>
      </c>
      <c r="EC295">
        <f>IF(EA295&gt;0,50000,0)</f>
        <v>50000</v>
      </c>
      <c r="ED295">
        <v>0</v>
      </c>
      <c r="EE295">
        <f>EA295-EB295-EC295</f>
        <v>312820</v>
      </c>
      <c r="EF295">
        <f>DW295+DM295+DC295+CS295+CI295+BY295+BO295+BE295+AT295+AJ295+Z295+P295</f>
        <v>4000</v>
      </c>
      <c r="EG295">
        <f>DX295+DN295+DD295+CT295+CJ295+BZ295+BP295+BF295+AU295+AK295+AA295+Q295</f>
        <v>0</v>
      </c>
      <c r="EH295">
        <v>0</v>
      </c>
      <c r="EI295">
        <v>0</v>
      </c>
      <c r="EJ295">
        <v>0</v>
      </c>
      <c r="EK295">
        <v>0</v>
      </c>
      <c r="EL295">
        <v>0</v>
      </c>
      <c r="EM295">
        <v>0</v>
      </c>
      <c r="EN295">
        <v>0</v>
      </c>
      <c r="EO295">
        <v>0</v>
      </c>
      <c r="EP295">
        <v>0</v>
      </c>
      <c r="EQ295">
        <v>0</v>
      </c>
      <c r="ER295">
        <f>SUM(EF295:EQ295)</f>
        <v>4000</v>
      </c>
      <c r="ES295">
        <f>IF(ER295&gt;=150000,150000,ER295)</f>
        <v>4000</v>
      </c>
      <c r="ET295">
        <f>EE295-ES295</f>
        <v>308820</v>
      </c>
      <c r="EU295">
        <v>0</v>
      </c>
      <c r="EV295">
        <v>0</v>
      </c>
      <c r="EW295">
        <v>0</v>
      </c>
      <c r="EX295">
        <v>0</v>
      </c>
      <c r="EY295">
        <v>0</v>
      </c>
      <c r="EZ295">
        <v>0</v>
      </c>
      <c r="FA295">
        <v>0</v>
      </c>
      <c r="FB295">
        <f>SUM(EU295:FA295)+(IF(F295="YES",50000,0))</f>
        <v>0</v>
      </c>
      <c r="FC295">
        <f>ET295-FB295</f>
        <v>308820</v>
      </c>
      <c r="FD295">
        <f>ROUND(IF(FC295&gt;0,IF(FC295&gt;500000,12500,(FC295-250000)*0.05),0),0)</f>
        <v>2941</v>
      </c>
      <c r="FE295">
        <f>IF(ROUND(IF(FC295&gt;0,IF(FC295&gt;1000000,25000,(FC295-500000)*0.2),0),0)&lt;0,0,ROUND(IF(FC295&gt;0,IF(FC295&gt;1000000,25000,(FC295-500000)*0.2),0),0))</f>
        <v>0</v>
      </c>
      <c r="FF295">
        <f>FD295+FE295</f>
        <v>2941</v>
      </c>
      <c r="FG295">
        <f>IF(FF295&lt;12500,0,FF295)</f>
        <v>0</v>
      </c>
      <c r="FH295">
        <f>FG295*0.04</f>
        <v>0</v>
      </c>
      <c r="FI295">
        <f>ROUND(FH295+FG295,0)</f>
        <v>0</v>
      </c>
      <c r="FJ295">
        <v>0</v>
      </c>
      <c r="FK295">
        <f>FI295-FJ295</f>
        <v>0</v>
      </c>
      <c r="FL295" t="b">
        <f>IF(EA295&gt;500000,TRUE,FALSE)</f>
        <v>0</v>
      </c>
      <c r="FM295">
        <f ca="1">IF(FL295,RANDBETWEEN(500,1000),RANDBETWEEN(1000,3000))</f>
        <v>1142</v>
      </c>
      <c r="FN295">
        <f ca="1">EA295+FM295</f>
        <v>365462</v>
      </c>
      <c r="FO295">
        <f>IF(EA295&gt;0,75000,0)</f>
        <v>75000</v>
      </c>
      <c r="FP295">
        <f ca="1">FN295-FO295</f>
        <v>290462</v>
      </c>
      <c r="FQ295">
        <f ca="1">IF(FP295&gt;2400000,FP295-2400000,0)</f>
        <v>0</v>
      </c>
      <c r="FR295">
        <f ca="1">FQ295*0.3</f>
        <v>0</v>
      </c>
      <c r="FS295">
        <f ca="1">IF(FP295&gt;2000000,FP295-2000000,0)</f>
        <v>0</v>
      </c>
      <c r="FT295">
        <f ca="1">FS295*0.25</f>
        <v>0</v>
      </c>
      <c r="FU295">
        <f ca="1">IF(FP295&gt;1600000,FP295-1600000-FQ295,0)</f>
        <v>0</v>
      </c>
      <c r="FV295">
        <f ca="1">FU295*0.2</f>
        <v>0</v>
      </c>
      <c r="FW295">
        <f ca="1">IF(FP295&gt;1200000,FP295-1200000-IF(F295="YES",50000,0)-FU295,0)</f>
        <v>0</v>
      </c>
      <c r="FX295">
        <f ca="1">FW295*0.15</f>
        <v>0</v>
      </c>
      <c r="FY295">
        <f ca="1">IF(FP295&gt;800000,FP295-800000-FQ295-FU295-FW295,0)</f>
        <v>0</v>
      </c>
      <c r="FZ295">
        <f ca="1">FY295*0.1</f>
        <v>0</v>
      </c>
      <c r="GA295">
        <f ca="1">IF(FP295&gt;400000,FP295-400000-FQ295-FU295-FW295-FY295,0)</f>
        <v>0</v>
      </c>
      <c r="GB295">
        <f ca="1">GA295*0.05</f>
        <v>0</v>
      </c>
      <c r="GC295">
        <f ca="1">ROUND(FR295+FT295+FV295+FX295+FZ295+GB295,0)</f>
        <v>0</v>
      </c>
      <c r="GD295">
        <f ca="1">IF(FP295&gt;1200000,FP295,0)</f>
        <v>0</v>
      </c>
      <c r="GE295">
        <f ca="1">IF(FP295&gt;1200000,GD295-1200000,0)</f>
        <v>0</v>
      </c>
      <c r="GF295">
        <f ca="1">IF(FP295&lt;1200001,MIN(GC295,60000),0)</f>
        <v>0</v>
      </c>
      <c r="GG295">
        <f ca="1">IF(FP295&gt;1200000,GC295-GE295,0)</f>
        <v>0</v>
      </c>
      <c r="GH295" t="b">
        <f ca="1">IF(GG295&gt;0,TRUE,FALSE)</f>
        <v>0</v>
      </c>
      <c r="GI295">
        <f ca="1">IF(GH295,GG295,0)</f>
        <v>0</v>
      </c>
      <c r="GJ295">
        <f ca="1">GF295+GI295</f>
        <v>0</v>
      </c>
      <c r="GK295">
        <f ca="1">ROUND(GC295-GJ295,0)</f>
        <v>0</v>
      </c>
      <c r="GL295">
        <f ca="1">GK295*0.04</f>
        <v>0</v>
      </c>
      <c r="GM295">
        <f ca="1">ROUNDUP(GK295+GL295,0)</f>
        <v>0</v>
      </c>
    </row>
    <row r="296" spans="1:195" x14ac:dyDescent="0.25">
      <c r="A296">
        <f>_xlfn.AGGREGATE(3,5,$B$2:B296)</f>
        <v>295</v>
      </c>
      <c r="B296" t="s">
        <v>695</v>
      </c>
      <c r="C296" t="s">
        <v>696</v>
      </c>
      <c r="D296" t="s">
        <v>830</v>
      </c>
      <c r="E296" t="s">
        <v>833</v>
      </c>
      <c r="F296" t="s">
        <v>959</v>
      </c>
      <c r="G296" t="s">
        <v>952</v>
      </c>
      <c r="H296">
        <f>IF(_xlfn.DAYS("31-03-2025",G296)&gt;=180,6800,0)</f>
        <v>6800</v>
      </c>
      <c r="I296">
        <f>_xlfn.XLOOKUP(B296,'[1]march-2025'!$A:$A,'[1]march-2025'!$J:$J,0,0)</f>
        <v>0</v>
      </c>
      <c r="J296">
        <f>_xlfn.XLOOKUP(B296,'[1]march-2025'!$A:$A,'[1]march-2025'!$C:$C,0,0)</f>
        <v>48700</v>
      </c>
      <c r="K296">
        <f>J296*0.14</f>
        <v>6818.0000000000009</v>
      </c>
      <c r="L296">
        <f>J296*0.12</f>
        <v>5844</v>
      </c>
      <c r="M296">
        <f>_xlfn.XLOOKUP(B296,'[1]march-2025'!$A:$A,'[1]march-2025'!$D:$D,0,0)</f>
        <v>400</v>
      </c>
      <c r="N296">
        <f>_xlfn.XLOOKUP(B296,'[1]march-2025'!$A:$A,'[1]march-2025'!$G:$G,0,0)</f>
        <v>0</v>
      </c>
      <c r="O296">
        <f>IF(J296&gt;0,SUM(J296:N296),0)</f>
        <v>61762</v>
      </c>
      <c r="P296">
        <f>_xlfn.XLOOKUP(B296,'[1]march-2025'!$A:$A,'[1]march-2025'!$H:$H,0,0)</f>
        <v>12000</v>
      </c>
      <c r="Q296">
        <f>_xlfn.XLOOKUP(B296,'[1]march-2025'!$A:$A,'[1]march-2025'!$I:$I,0,0)</f>
        <v>0</v>
      </c>
      <c r="R296">
        <f>IF($F296="YES",0,IF(O296&gt;40000,200,IF(O296&gt;25000,150,IF(O296&gt;15000,130,IF(O296&gt;10000,110,0)))))</f>
        <v>200</v>
      </c>
      <c r="S296">
        <f>O296-P296-Q296-R296</f>
        <v>49562</v>
      </c>
      <c r="T296">
        <f>_xlfn.XLOOKUP(B296,'[2]april-2025'!$A:$A,'[2]april-2025'!$C:$C,0,0)</f>
        <v>48700</v>
      </c>
      <c r="U296">
        <f>T296*0.18</f>
        <v>8766</v>
      </c>
      <c r="V296">
        <f>T296*0.12</f>
        <v>5844</v>
      </c>
      <c r="W296">
        <f>_xlfn.XLOOKUP(B296,'[2]april-2025'!$A:$A,'[2]april-2025'!$D:$D,0,0)</f>
        <v>400</v>
      </c>
      <c r="X296">
        <f>_xlfn.XLOOKUP(B296,'[2]april-2025'!$A:$A,'[2]april-2025'!$G:$G,0,0)</f>
        <v>0</v>
      </c>
      <c r="Y296">
        <f>IF(T296&gt;0,SUM(T296:X296),0)</f>
        <v>63710</v>
      </c>
      <c r="Z296">
        <f>_xlfn.XLOOKUP(B296,'[2]april-2025'!$A:$A,'[2]april-2025'!$H:$H,0,0)</f>
        <v>12000</v>
      </c>
      <c r="AA296">
        <f>_xlfn.XLOOKUP(B296,'[2]april-2025'!$A:$A,'[2]april-2025'!$I:$I,0,0)</f>
        <v>0</v>
      </c>
      <c r="AB296">
        <f>IF($F296="YES",0,IF(Y296&gt;40000,200,IF(Y296&gt;25000,150,IF(Y296&gt;15000,130,IF(Y296&gt;10000,110,0)))))</f>
        <v>200</v>
      </c>
      <c r="AC296">
        <f>Y296-Z296-AA296-AB296</f>
        <v>51510</v>
      </c>
      <c r="AD296">
        <f>_xlfn.XLOOKUP(B296,'[3]may-2025'!$A:$A,'[3]may-2025'!$C:$C,0,0)</f>
        <v>48700</v>
      </c>
      <c r="AE296">
        <f>AD296*0.18</f>
        <v>8766</v>
      </c>
      <c r="AF296">
        <f>AD296*0.12</f>
        <v>5844</v>
      </c>
      <c r="AG296">
        <f>_xlfn.XLOOKUP(B296,'[3]may-2025'!$A:$A,'[3]may-2025'!$D:$D,0,0)</f>
        <v>400</v>
      </c>
      <c r="AH296">
        <f>_xlfn.XLOOKUP(B296,'[3]may-2025'!$A:$A,'[3]may-2025'!$G:$G,0,0)</f>
        <v>0</v>
      </c>
      <c r="AI296">
        <f>IF(AD296&gt;0,SUM(AD296:AH296),0)</f>
        <v>63710</v>
      </c>
      <c r="AJ296">
        <f>_xlfn.XLOOKUP(B296,'[3]may-2025'!$A:$A,'[3]may-2025'!$H:$H,0,0)</f>
        <v>12000</v>
      </c>
      <c r="AK296">
        <f>_xlfn.XLOOKUP(B296,'[3]may-2025'!$A:$A,'[3]may-2025'!$I:$I,0,0)</f>
        <v>0</v>
      </c>
      <c r="AL296">
        <f>IF($F296="YES",0,IF(AI296&gt;40000,200,IF(AI296&gt;25000,150,IF(AI296&gt;15000,130,IF(AI296&gt;10000,110,0)))))</f>
        <v>200</v>
      </c>
      <c r="AM296">
        <f>AI296-AJ296-AK296-AL296</f>
        <v>51510</v>
      </c>
      <c r="AN296">
        <f>_xlfn.XLOOKUP(B296,'[4]june-2025'!$A:$A,'[4]june-2025'!$C:$C,0,0)</f>
        <v>48700</v>
      </c>
      <c r="AO296">
        <f>AN296*0.18</f>
        <v>8766</v>
      </c>
      <c r="AP296">
        <f>AN296*0.12</f>
        <v>5844</v>
      </c>
      <c r="AQ296">
        <f>_xlfn.XLOOKUP(B296,'[4]june-2025'!$A:$A,'[4]june-2025'!$D:$D,0,0)</f>
        <v>400</v>
      </c>
      <c r="AR296">
        <f>_xlfn.XLOOKUP(B296,'[4]june-2025'!$A:$A,'[4]june-2025'!$G:$G,0,0)</f>
        <v>0</v>
      </c>
      <c r="AS296">
        <f>IF(AN296&gt;0,SUM(AN296:AR296),0)</f>
        <v>63710</v>
      </c>
      <c r="AT296">
        <f>_xlfn.XLOOKUP(B296,'[4]june-2025'!$A:$A,'[4]june-2025'!$H:$H,0,0)</f>
        <v>12000</v>
      </c>
      <c r="AU296">
        <f>_xlfn.XLOOKUP(B296,'[4]june-2025'!$A:$A,'[4]june-2025'!$I:$I,0,0)</f>
        <v>0</v>
      </c>
      <c r="AV296">
        <f>IF($F296="YES",0,IF(AS296&gt;40000,200,IF(AS296&gt;25000,150,IF(AS296&gt;15000,130,IF(AS296&gt;10000,110,0)))))</f>
        <v>200</v>
      </c>
      <c r="AW296">
        <f>AS296-AT296-AU296-AV296</f>
        <v>51510</v>
      </c>
      <c r="AX296">
        <f>_xlfn.XLOOKUP(B296,'[5]july-2025'!$A:$A,'[5]july-2025'!$C:$C,0,0)</f>
        <v>50200</v>
      </c>
      <c r="AY296">
        <f>AX296*0.18</f>
        <v>9036</v>
      </c>
      <c r="AZ296">
        <v>0</v>
      </c>
      <c r="BA296">
        <f>AX296*0.12</f>
        <v>6024</v>
      </c>
      <c r="BB296">
        <f>_xlfn.XLOOKUP(B296,'[5]july-2025'!$A:$A,'[5]july-2025'!$D:$D,0,0)</f>
        <v>400</v>
      </c>
      <c r="BC296">
        <f>_xlfn.XLOOKUP(B296,'[5]july-2025'!$A:$A,'[5]july-2025'!$G:$G,0,0)</f>
        <v>0</v>
      </c>
      <c r="BD296">
        <f>IF(AX296&gt;0,SUM(AX296:BC296),0)</f>
        <v>65660</v>
      </c>
      <c r="BE296">
        <f>_xlfn.XLOOKUP(B296,'[5]july-2025'!$A:$A,'[5]july-2025'!$H:$H,0,0)</f>
        <v>12000</v>
      </c>
      <c r="BF296">
        <f>_xlfn.XLOOKUP(B296,'[5]july-2025'!$A:$A,'[5]july-2025'!$I:$I,0,0)</f>
        <v>0</v>
      </c>
      <c r="BG296">
        <f>IF($F296="YES",0,IF(BD296&gt;40000,200,IF(BD296&gt;25000,150,IF(BD296&gt;15000,130,IF(BD296&gt;10000,110,0)))))</f>
        <v>200</v>
      </c>
      <c r="BH296">
        <f>BD296-BE296-BF296-BG296</f>
        <v>53460</v>
      </c>
      <c r="BI296">
        <f>_xlfn.XLOOKUP(B296,'[6]august-2025'!$A:$A,'[6]august-2025'!$C:$C,0,0)</f>
        <v>50200</v>
      </c>
      <c r="BJ296">
        <f>BI296*0.18</f>
        <v>9036</v>
      </c>
      <c r="BK296">
        <f>BI296*0.12</f>
        <v>6024</v>
      </c>
      <c r="BL296">
        <f>_xlfn.XLOOKUP(B296,'[6]august-2025'!$A:$A,'[6]august-2025'!$D:$D,0,0)</f>
        <v>400</v>
      </c>
      <c r="BM296">
        <f>_xlfn.XLOOKUP(B296,'[6]august-2025'!$A:$A,'[6]august-2025'!$G:$G,0,0)</f>
        <v>0</v>
      </c>
      <c r="BN296">
        <f>IF(BI296&gt;0,SUM(BI296:BM296),0)</f>
        <v>65660</v>
      </c>
      <c r="BO296">
        <f>_xlfn.XLOOKUP(B296,'[6]august-2025'!$A:$A,'[6]august-2025'!$H:$H,0,0)</f>
        <v>12000</v>
      </c>
      <c r="BP296">
        <f>_xlfn.XLOOKUP(B296,'[6]august-2025'!$A:$A,'[6]august-2025'!$I:$I,0,0)</f>
        <v>0</v>
      </c>
      <c r="BQ296">
        <f>IF($F296="YES",0,IF(BN296&gt;40000,200,IF(BN296&gt;25000,150,IF(BN296&gt;15000,130,IF(BN296&gt;10000,110,0)))))</f>
        <v>200</v>
      </c>
      <c r="BR296">
        <f>BN296-BO296-BP296-BQ296</f>
        <v>53460</v>
      </c>
      <c r="BS296">
        <f>_xlfn.XLOOKUP(B296,'[7]september-2025'!$A:$A,'[7]september-2025'!$C:$C,0,0)</f>
        <v>50200</v>
      </c>
      <c r="BT296">
        <f>BS296*0.18</f>
        <v>9036</v>
      </c>
      <c r="BU296">
        <f>BS296*0.12</f>
        <v>6024</v>
      </c>
      <c r="BV296">
        <f>_xlfn.XLOOKUP(B296,'[7]september-2025'!$A:$A,'[7]september-2025'!$D:$D,0,0)</f>
        <v>400</v>
      </c>
      <c r="BW296">
        <f>_xlfn.XLOOKUP(B296,'[7]september-2025'!$A:$A,'[7]september-2025'!$G:$G,0,0)</f>
        <v>0</v>
      </c>
      <c r="BX296">
        <f>IF(BS296&gt;0,SUM(BS296:BW296),0)</f>
        <v>65660</v>
      </c>
      <c r="BY296">
        <f>_xlfn.XLOOKUP(B296,'[7]september-2025'!$A:$A,'[7]september-2025'!$H:$H,0,0)</f>
        <v>12000</v>
      </c>
      <c r="BZ296">
        <f>_xlfn.XLOOKUP(B296,'[7]september-2025'!$A:$A,'[7]september-2025'!$I:$I,0,0)</f>
        <v>0</v>
      </c>
      <c r="CA296">
        <f>IF($F296="YES",0,IF(BX296&gt;40000,200,IF(BX296&gt;25000,150,IF(BX296&gt;15000,130,IF(BX296&gt;10000,110,0)))))</f>
        <v>200</v>
      </c>
      <c r="CB296">
        <f>BX296-BY296-BZ296-CA296</f>
        <v>53460</v>
      </c>
      <c r="CC296">
        <f>_xlfn.XLOOKUP(B296,'[8]october-2025'!$A:$A,'[8]october-2025'!$C:$C,0,0)</f>
        <v>50200</v>
      </c>
      <c r="CD296">
        <f>CC296*0.18</f>
        <v>9036</v>
      </c>
      <c r="CE296">
        <f>CC296*0.12</f>
        <v>6024</v>
      </c>
      <c r="CF296">
        <f>_xlfn.XLOOKUP(B296,'[8]october-2025'!$A:$A,'[8]october-2025'!$D:$D,0,0)</f>
        <v>400</v>
      </c>
      <c r="CG296">
        <f>_xlfn.XLOOKUP(B296,'[8]october-2025'!$A:$A,'[8]october-2025'!$G:$G,0,0)</f>
        <v>0</v>
      </c>
      <c r="CH296">
        <f>IF(CC296&gt;0,SUM(CC296:CG296),0)</f>
        <v>65660</v>
      </c>
      <c r="CI296">
        <f>_xlfn.XLOOKUP(B296,'[8]october-2025'!$A:$A,'[8]october-2025'!$H:$H,0,0)</f>
        <v>12000</v>
      </c>
      <c r="CJ296">
        <f>_xlfn.XLOOKUP(B296,'[8]october-2025'!$A:$A,'[8]october-2025'!$I:$I,0,0)</f>
        <v>0</v>
      </c>
      <c r="CK296">
        <f>IF($F296="YES",0,IF(CH296&gt;40000,200,IF(CH296&gt;25000,150,IF(CH296&gt;15000,130,IF(CH296&gt;10000,110,0)))))</f>
        <v>200</v>
      </c>
      <c r="CL296">
        <f>CH296-CI296-CJ296-CK296</f>
        <v>53460</v>
      </c>
      <c r="CM296">
        <f>_xlfn.XLOOKUP(B296,'[9]november-2025'!$A:$A,'[9]november-2025'!$C:$C,0,0)</f>
        <v>50200</v>
      </c>
      <c r="CN296">
        <f>CM296*0.18</f>
        <v>9036</v>
      </c>
      <c r="CO296">
        <f>CM296*0.12</f>
        <v>6024</v>
      </c>
      <c r="CP296">
        <f>_xlfn.XLOOKUP(B296,'[9]november-2025'!$A:$A,'[9]november-2025'!$D:$D,0,0)</f>
        <v>400</v>
      </c>
      <c r="CQ296">
        <f>_xlfn.XLOOKUP(B296,'[9]november-2025'!$A:$A,'[9]november-2025'!$G:$G,0,0)</f>
        <v>0</v>
      </c>
      <c r="CR296">
        <f>IF(CM296&gt;0,SUM(CM296:CQ296),0)</f>
        <v>65660</v>
      </c>
      <c r="CS296">
        <f>_xlfn.XLOOKUP(B296,'[9]november-2025'!$A:$A,'[9]november-2025'!$H:$H,0,0)</f>
        <v>12000</v>
      </c>
      <c r="CT296">
        <f>_xlfn.XLOOKUP(B296,'[9]november-2025'!$A:$A,'[9]november-2025'!$I:$I,0,0)</f>
        <v>0</v>
      </c>
      <c r="CU296">
        <f>IF($F296="YES",0,IF(CR296&gt;40000,200,IF(CR296&gt;25000,150,IF(CR296&gt;15000,130,IF(CR296&gt;10000,110,0)))))</f>
        <v>200</v>
      </c>
      <c r="CV296">
        <f>CR296-CS296-CT296-CU296</f>
        <v>53460</v>
      </c>
      <c r="CW296">
        <f>_xlfn.XLOOKUP(B296,'[10]december-2025'!$A:$A,'[10]december-2025'!$C:$C,0,0)</f>
        <v>50200</v>
      </c>
      <c r="CX296">
        <f>ROUND(CW296*0.18,0)</f>
        <v>9036</v>
      </c>
      <c r="CY296">
        <f>ROUND(CW296*0.12,0)</f>
        <v>6024</v>
      </c>
      <c r="CZ296">
        <f>_xlfn.XLOOKUP(B296,'[10]december-2025'!$A:$A,'[10]december-2025'!$D:$D,0,0)</f>
        <v>400</v>
      </c>
      <c r="DA296">
        <f>_xlfn.XLOOKUP(B296,'[10]december-2025'!$A:$A,'[10]december-2025'!$G:$G,0,0)</f>
        <v>0</v>
      </c>
      <c r="DB296">
        <f>IF(CW296&gt;0,SUM(CW296:DA296),0)</f>
        <v>65660</v>
      </c>
      <c r="DC296">
        <f>_xlfn.XLOOKUP(B296,'[10]december-2025'!$A:$A,'[10]december-2025'!$H:$H,0,0)</f>
        <v>12000</v>
      </c>
      <c r="DD296">
        <f>_xlfn.XLOOKUP(B296,'[10]december-2025'!$A:$A,'[10]december-2025'!$I:$I,0,0)</f>
        <v>0</v>
      </c>
      <c r="DE296">
        <f>IF($F296="YES",0,IF(DB296&gt;40000,200,IF(DB296&gt;25000,150,IF(DB296&gt;15000,130,IF(DB296&gt;10000,110,0)))))</f>
        <v>200</v>
      </c>
      <c r="DF296">
        <f>DB296-DC296-DD296-DE296</f>
        <v>53460</v>
      </c>
      <c r="DG296">
        <f>_xlfn.XLOOKUP(B296,'[11]january-2026'!$A:$A,'[11]january-2026'!$C:$C,0,0)</f>
        <v>50200</v>
      </c>
      <c r="DH296">
        <f>DG296*0.18</f>
        <v>9036</v>
      </c>
      <c r="DI296">
        <f>DG296*0.12</f>
        <v>6024</v>
      </c>
      <c r="DJ296">
        <f>_xlfn.XLOOKUP(B296,'[11]january-2026'!$A:$A,'[11]january-2026'!$D:$D,0,0)</f>
        <v>400</v>
      </c>
      <c r="DK296">
        <f>_xlfn.XLOOKUP(B296,'[11]january-2026'!$A:$A,'[11]january-2026'!$G:$G,0,0)</f>
        <v>0</v>
      </c>
      <c r="DL296">
        <f>IF(DG296&gt;0,SUM(DG296:DK296),0)</f>
        <v>65660</v>
      </c>
      <c r="DM296">
        <f>_xlfn.XLOOKUP(B296,'[11]january-2026'!$A:$A,'[11]january-2026'!$H:$H,0,0)</f>
        <v>12000</v>
      </c>
      <c r="DN296">
        <f>_xlfn.XLOOKUP(B296,'[11]january-2026'!$A:$A,'[11]january-2026'!$I:$I,0,0)</f>
        <v>0</v>
      </c>
      <c r="DO296">
        <f>IF($F296="YES",0,IF(DL296&gt;40000,200,IF(DL296&gt;25000,150,IF(DL296&gt;15000,130,IF(DL296&gt;10000,110,0)))))</f>
        <v>200</v>
      </c>
      <c r="DP296">
        <f>DL296-DM296-DN296-DO296</f>
        <v>53460</v>
      </c>
      <c r="DQ296">
        <f>_xlfn.XLOOKUP(B296,'[12]february-2026'!$A:$A,'[12]february-2026'!$C:$C,0,0)</f>
        <v>50200</v>
      </c>
      <c r="DR296">
        <f>DQ296*0.18</f>
        <v>9036</v>
      </c>
      <c r="DS296">
        <f>DQ296*0.12</f>
        <v>6024</v>
      </c>
      <c r="DT296">
        <f>_xlfn.XLOOKUP(B296,'[12]february-2026'!$A:$A,'[12]february-2026'!$D:$D,0,0)</f>
        <v>400</v>
      </c>
      <c r="DU296">
        <f>_xlfn.XLOOKUP(B296,'[12]february-2026'!$A:$A,'[12]february-2026'!$G:$G,0,0)</f>
        <v>0</v>
      </c>
      <c r="DV296">
        <f>IF(DQ296&gt;0,SUM(DQ296:DU296),0)</f>
        <v>65660</v>
      </c>
      <c r="DW296">
        <f>_xlfn.XLOOKUP(B296,'[12]february-2026'!$A:$A,'[12]february-2026'!$H:$H,0,0)</f>
        <v>12000</v>
      </c>
      <c r="DX296">
        <f>_xlfn.XLOOKUP(B296,'[12]february-2026'!$A:$A,'[12]february-2026'!$I:$I,0,0)</f>
        <v>0</v>
      </c>
      <c r="DY296">
        <f>IF($F296="YES",0,IF(DV296&gt;40000,200,IF(DV296&gt;25000,150,IF(DV296&gt;15000,130,IF(DV296&gt;10000,110,0)))))</f>
        <v>200</v>
      </c>
      <c r="DZ296">
        <f>DV296-DW296-DX296-DY296</f>
        <v>53460</v>
      </c>
      <c r="EA296">
        <f>DV296+DL296+DB296+CR296+CH296+BX296+BN296+BD296+AS296+AI296+Y296+O296+H296+I296</f>
        <v>784972</v>
      </c>
      <c r="EB296">
        <f>DY296+DO296+DE296+CU296+CK296+CA296+BQ296+BG296+AV296+AL296+AB296+R296</f>
        <v>2400</v>
      </c>
      <c r="EC296">
        <f>IF(EA296&gt;0,50000,0)</f>
        <v>50000</v>
      </c>
      <c r="ED296">
        <v>0</v>
      </c>
      <c r="EE296">
        <f>EA296-EB296-EC296</f>
        <v>732572</v>
      </c>
      <c r="EF296">
        <f>DW296+DM296+DC296+CS296+CI296+BY296+BO296+BE296+AT296+AJ296+Z296+P296</f>
        <v>144000</v>
      </c>
      <c r="EG296">
        <f>DX296+DN296+DD296+CT296+CJ296+BZ296+BP296+BF296+AU296+AK296+AA296+Q296</f>
        <v>0</v>
      </c>
      <c r="EH296">
        <v>0</v>
      </c>
      <c r="EI296">
        <v>0</v>
      </c>
      <c r="EJ296">
        <v>0</v>
      </c>
      <c r="EK296">
        <v>0</v>
      </c>
      <c r="EL296">
        <v>0</v>
      </c>
      <c r="EM296">
        <v>0</v>
      </c>
      <c r="EN296">
        <v>0</v>
      </c>
      <c r="EO296">
        <v>0</v>
      </c>
      <c r="EP296">
        <v>0</v>
      </c>
      <c r="EQ296">
        <v>0</v>
      </c>
      <c r="ER296">
        <f>SUM(EF296:EQ296)</f>
        <v>144000</v>
      </c>
      <c r="ES296">
        <f>IF(ER296&gt;=150000,150000,ER296)</f>
        <v>144000</v>
      </c>
      <c r="ET296">
        <f>EE296-ES296</f>
        <v>588572</v>
      </c>
      <c r="EU296">
        <v>0</v>
      </c>
      <c r="EV296">
        <v>0</v>
      </c>
      <c r="EW296">
        <v>0</v>
      </c>
      <c r="EX296">
        <v>0</v>
      </c>
      <c r="EY296">
        <v>0</v>
      </c>
      <c r="EZ296">
        <v>0</v>
      </c>
      <c r="FA296">
        <v>0</v>
      </c>
      <c r="FB296">
        <f>SUM(EU296:FA296)+(IF(F296="YES",50000,0))</f>
        <v>0</v>
      </c>
      <c r="FC296">
        <f>ET296-FB296</f>
        <v>588572</v>
      </c>
      <c r="FD296">
        <f>ROUND(IF(FC296&gt;0,IF(FC296&gt;500000,12500,(FC296-250000)*0.05),0),0)</f>
        <v>12500</v>
      </c>
      <c r="FE296">
        <f>IF(ROUND(IF(FC296&gt;0,IF(FC296&gt;1000000,25000,(FC296-500000)*0.2),0),0)&lt;0,0,ROUND(IF(FC296&gt;0,IF(FC296&gt;1000000,25000,(FC296-500000)*0.2),0),0))</f>
        <v>17714</v>
      </c>
      <c r="FF296">
        <f>FD296+FE296</f>
        <v>30214</v>
      </c>
      <c r="FG296">
        <f>IF(FF296&lt;12500,0,FF296)</f>
        <v>30214</v>
      </c>
      <c r="FH296">
        <f>FG296*0.04</f>
        <v>1208.56</v>
      </c>
      <c r="FI296">
        <f>ROUND(FH296+FG296,0)</f>
        <v>31423</v>
      </c>
      <c r="FJ296">
        <v>0</v>
      </c>
      <c r="FK296">
        <f>FI296-FJ296</f>
        <v>31423</v>
      </c>
      <c r="FL296" t="b">
        <f>IF(EA296&gt;500000,TRUE,FALSE)</f>
        <v>1</v>
      </c>
      <c r="FM296">
        <f ca="1">IF(FL296,RANDBETWEEN(500,1000),RANDBETWEEN(1000,3000))</f>
        <v>933</v>
      </c>
      <c r="FN296">
        <f ca="1">EA296+FM296</f>
        <v>785905</v>
      </c>
      <c r="FO296">
        <f>IF(EA296&gt;0,75000,0)</f>
        <v>75000</v>
      </c>
      <c r="FP296">
        <f ca="1">FN296-FO296</f>
        <v>710905</v>
      </c>
      <c r="FQ296">
        <f ca="1">IF(FP296&gt;2400000,FP296-2400000,0)</f>
        <v>0</v>
      </c>
      <c r="FR296">
        <f ca="1">FQ296*0.3</f>
        <v>0</v>
      </c>
      <c r="FS296">
        <f ca="1">IF(FP296&gt;2000000,FP296-2000000,0)</f>
        <v>0</v>
      </c>
      <c r="FT296">
        <f ca="1">FS296*0.25</f>
        <v>0</v>
      </c>
      <c r="FU296">
        <f ca="1">IF(FP296&gt;1600000,FP296-1600000-FQ296,0)</f>
        <v>0</v>
      </c>
      <c r="FV296">
        <f ca="1">FU296*0.2</f>
        <v>0</v>
      </c>
      <c r="FW296">
        <f ca="1">IF(FP296&gt;1200000,FP296-1200000-IF(F296="YES",50000,0)-FU296,0)</f>
        <v>0</v>
      </c>
      <c r="FX296">
        <f ca="1">FW296*0.15</f>
        <v>0</v>
      </c>
      <c r="FY296">
        <f ca="1">IF(FP296&gt;800000,FP296-800000-FQ296-FU296-FW296,0)</f>
        <v>0</v>
      </c>
      <c r="FZ296">
        <f ca="1">FY296*0.1</f>
        <v>0</v>
      </c>
      <c r="GA296">
        <f ca="1">IF(FP296&gt;400000,FP296-400000-FQ296-FU296-FW296-FY296,0)</f>
        <v>310905</v>
      </c>
      <c r="GB296">
        <f ca="1">GA296*0.05</f>
        <v>15545.25</v>
      </c>
      <c r="GC296">
        <f ca="1">ROUND(FR296+FT296+FV296+FX296+FZ296+GB296,0)</f>
        <v>15545</v>
      </c>
      <c r="GD296">
        <f ca="1">IF(FP296&gt;1200000,FP296,0)</f>
        <v>0</v>
      </c>
      <c r="GE296">
        <f ca="1">IF(FP296&gt;1200000,GD296-1200000,0)</f>
        <v>0</v>
      </c>
      <c r="GF296">
        <f ca="1">IF(FP296&lt;1200001,MIN(GC296,60000),0)</f>
        <v>15545</v>
      </c>
      <c r="GG296">
        <f ca="1">IF(FP296&gt;1200000,GC296-GE296,0)</f>
        <v>0</v>
      </c>
      <c r="GH296" t="b">
        <f ca="1">IF(GG296&gt;0,TRUE,FALSE)</f>
        <v>0</v>
      </c>
      <c r="GI296">
        <f ca="1">IF(GH296,GG296,0)</f>
        <v>0</v>
      </c>
      <c r="GJ296">
        <f ca="1">GF296+GI296</f>
        <v>15545</v>
      </c>
      <c r="GK296">
        <f ca="1">ROUND(GC296-GJ296,0)</f>
        <v>0</v>
      </c>
      <c r="GL296">
        <f ca="1">GK296*0.04</f>
        <v>0</v>
      </c>
      <c r="GM296">
        <f ca="1">ROUNDUP(GK296+GL296,0)</f>
        <v>0</v>
      </c>
    </row>
    <row r="297" spans="1:195" x14ac:dyDescent="0.25">
      <c r="A297">
        <f>_xlfn.AGGREGATE(3,5,$B$2:B297)</f>
        <v>296</v>
      </c>
      <c r="B297" t="s">
        <v>697</v>
      </c>
      <c r="C297" t="s">
        <v>698</v>
      </c>
      <c r="D297" t="s">
        <v>830</v>
      </c>
      <c r="E297" t="s">
        <v>833</v>
      </c>
      <c r="F297" t="s">
        <v>959</v>
      </c>
      <c r="G297" t="s">
        <v>935</v>
      </c>
      <c r="H297">
        <f>IF(_xlfn.DAYS("31-03-2025",G297)&gt;=180,6800,0)</f>
        <v>6800</v>
      </c>
      <c r="I297">
        <f>_xlfn.XLOOKUP(B297,'[1]march-2025'!$A:$A,'[1]march-2025'!$J:$J,0,0)</f>
        <v>0</v>
      </c>
      <c r="J297">
        <f>_xlfn.XLOOKUP(B297,'[1]march-2025'!$A:$A,'[1]march-2025'!$C:$C,0,0)</f>
        <v>33500</v>
      </c>
      <c r="K297">
        <f>J297*0.14</f>
        <v>4690</v>
      </c>
      <c r="L297">
        <f>J297*0.12</f>
        <v>4020</v>
      </c>
      <c r="M297">
        <f>_xlfn.XLOOKUP(B297,'[1]march-2025'!$A:$A,'[1]march-2025'!$D:$D,0,0)</f>
        <v>0</v>
      </c>
      <c r="N297">
        <f>_xlfn.XLOOKUP(B297,'[1]march-2025'!$A:$A,'[1]march-2025'!$G:$G,0,0)</f>
        <v>500</v>
      </c>
      <c r="O297">
        <f>IF(J297&gt;0,SUM(J297:N297),0)</f>
        <v>42710</v>
      </c>
      <c r="P297">
        <f>_xlfn.XLOOKUP(B297,'[1]march-2025'!$A:$A,'[1]march-2025'!$H:$H,0,0)</f>
        <v>3000</v>
      </c>
      <c r="Q297">
        <f>_xlfn.XLOOKUP(B297,'[1]march-2025'!$A:$A,'[1]march-2025'!$I:$I,0,0)</f>
        <v>0</v>
      </c>
      <c r="R297">
        <f>IF($F297="YES",0,IF(O297&gt;40000,200,IF(O297&gt;25000,150,IF(O297&gt;15000,130,IF(O297&gt;10000,110,0)))))</f>
        <v>200</v>
      </c>
      <c r="S297">
        <f>O297-P297-Q297-R297</f>
        <v>39510</v>
      </c>
      <c r="T297">
        <f>_xlfn.XLOOKUP(B297,'[2]april-2025'!$A:$A,'[2]april-2025'!$C:$C,0,0)</f>
        <v>33500</v>
      </c>
      <c r="U297">
        <f>T297*0.18</f>
        <v>6030</v>
      </c>
      <c r="V297">
        <f>T297*0.12</f>
        <v>4020</v>
      </c>
      <c r="W297">
        <f>_xlfn.XLOOKUP(B297,'[2]april-2025'!$A:$A,'[2]april-2025'!$D:$D,0,0)</f>
        <v>0</v>
      </c>
      <c r="X297">
        <f>_xlfn.XLOOKUP(B297,'[2]april-2025'!$A:$A,'[2]april-2025'!$G:$G,0,0)</f>
        <v>500</v>
      </c>
      <c r="Y297">
        <f>IF(T297&gt;0,SUM(T297:X297),0)</f>
        <v>44050</v>
      </c>
      <c r="Z297">
        <f>_xlfn.XLOOKUP(B297,'[2]april-2025'!$A:$A,'[2]april-2025'!$H:$H,0,0)</f>
        <v>3000</v>
      </c>
      <c r="AA297">
        <f>_xlfn.XLOOKUP(B297,'[2]april-2025'!$A:$A,'[2]april-2025'!$I:$I,0,0)</f>
        <v>0</v>
      </c>
      <c r="AB297">
        <f>IF($F297="YES",0,IF(Y297&gt;40000,200,IF(Y297&gt;25000,150,IF(Y297&gt;15000,130,IF(Y297&gt;10000,110,0)))))</f>
        <v>200</v>
      </c>
      <c r="AC297">
        <f>Y297-Z297-AA297-AB297</f>
        <v>40850</v>
      </c>
      <c r="AD297">
        <f>_xlfn.XLOOKUP(B297,'[3]may-2025'!$A:$A,'[3]may-2025'!$C:$C,0,0)</f>
        <v>33500</v>
      </c>
      <c r="AE297">
        <f>AD297*0.18</f>
        <v>6030</v>
      </c>
      <c r="AF297">
        <f>AD297*0.12</f>
        <v>4020</v>
      </c>
      <c r="AG297">
        <f>_xlfn.XLOOKUP(B297,'[3]may-2025'!$A:$A,'[3]may-2025'!$D:$D,0,0)</f>
        <v>0</v>
      </c>
      <c r="AH297">
        <f>_xlfn.XLOOKUP(B297,'[3]may-2025'!$A:$A,'[3]may-2025'!$G:$G,0,0)</f>
        <v>500</v>
      </c>
      <c r="AI297">
        <f>IF(AD297&gt;0,SUM(AD297:AH297),0)</f>
        <v>44050</v>
      </c>
      <c r="AJ297">
        <f>_xlfn.XLOOKUP(B297,'[3]may-2025'!$A:$A,'[3]may-2025'!$H:$H,0,0)</f>
        <v>3000</v>
      </c>
      <c r="AK297">
        <f>_xlfn.XLOOKUP(B297,'[3]may-2025'!$A:$A,'[3]may-2025'!$I:$I,0,0)</f>
        <v>0</v>
      </c>
      <c r="AL297">
        <f>IF($F297="YES",0,IF(AI297&gt;40000,200,IF(AI297&gt;25000,150,IF(AI297&gt;15000,130,IF(AI297&gt;10000,110,0)))))</f>
        <v>200</v>
      </c>
      <c r="AM297">
        <f>AI297-AJ297-AK297-AL297</f>
        <v>40850</v>
      </c>
      <c r="AN297">
        <f>_xlfn.XLOOKUP(B297,'[4]june-2025'!$A:$A,'[4]june-2025'!$C:$C,0,0)</f>
        <v>33500</v>
      </c>
      <c r="AO297">
        <f>AN297*0.18</f>
        <v>6030</v>
      </c>
      <c r="AP297">
        <f>AN297*0.12</f>
        <v>4020</v>
      </c>
      <c r="AQ297">
        <f>_xlfn.XLOOKUP(B297,'[4]june-2025'!$A:$A,'[4]june-2025'!$D:$D,0,0)</f>
        <v>0</v>
      </c>
      <c r="AR297">
        <f>_xlfn.XLOOKUP(B297,'[4]june-2025'!$A:$A,'[4]june-2025'!$G:$G,0,0)</f>
        <v>500</v>
      </c>
      <c r="AS297">
        <f>IF(AN297&gt;0,SUM(AN297:AR297),0)</f>
        <v>44050</v>
      </c>
      <c r="AT297">
        <f>_xlfn.XLOOKUP(B297,'[4]june-2025'!$A:$A,'[4]june-2025'!$H:$H,0,0)</f>
        <v>3000</v>
      </c>
      <c r="AU297">
        <f>_xlfn.XLOOKUP(B297,'[4]june-2025'!$A:$A,'[4]june-2025'!$I:$I,0,0)</f>
        <v>0</v>
      </c>
      <c r="AV297">
        <f>IF($F297="YES",0,IF(AS297&gt;40000,200,IF(AS297&gt;25000,150,IF(AS297&gt;15000,130,IF(AS297&gt;10000,110,0)))))</f>
        <v>200</v>
      </c>
      <c r="AW297">
        <f>AS297-AT297-AU297-AV297</f>
        <v>40850</v>
      </c>
      <c r="AX297">
        <f>_xlfn.XLOOKUP(B297,'[5]july-2025'!$A:$A,'[5]july-2025'!$C:$C,0,0)</f>
        <v>34500</v>
      </c>
      <c r="AY297">
        <f>AX297*0.18</f>
        <v>6210</v>
      </c>
      <c r="AZ297">
        <v>0</v>
      </c>
      <c r="BA297">
        <f>AX297*0.12</f>
        <v>4140</v>
      </c>
      <c r="BB297">
        <f>_xlfn.XLOOKUP(B297,'[5]july-2025'!$A:$A,'[5]july-2025'!$D:$D,0,0)</f>
        <v>0</v>
      </c>
      <c r="BC297">
        <f>_xlfn.XLOOKUP(B297,'[5]july-2025'!$A:$A,'[5]july-2025'!$G:$G,0,0)</f>
        <v>500</v>
      </c>
      <c r="BD297">
        <f>IF(AX297&gt;0,SUM(AX297:BC297),0)</f>
        <v>45350</v>
      </c>
      <c r="BE297">
        <f>_xlfn.XLOOKUP(B297,'[5]july-2025'!$A:$A,'[5]july-2025'!$H:$H,0,0)</f>
        <v>3000</v>
      </c>
      <c r="BF297">
        <f>_xlfn.XLOOKUP(B297,'[5]july-2025'!$A:$A,'[5]july-2025'!$I:$I,0,0)</f>
        <v>0</v>
      </c>
      <c r="BG297">
        <f>IF($F297="YES",0,IF(BD297&gt;40000,200,IF(BD297&gt;25000,150,IF(BD297&gt;15000,130,IF(BD297&gt;10000,110,0)))))</f>
        <v>200</v>
      </c>
      <c r="BH297">
        <f>BD297-BE297-BF297-BG297</f>
        <v>42150</v>
      </c>
      <c r="BI297">
        <f>_xlfn.XLOOKUP(B297,'[6]august-2025'!$A:$A,'[6]august-2025'!$C:$C,0,0)</f>
        <v>34500</v>
      </c>
      <c r="BJ297">
        <f>BI297*0.18</f>
        <v>6210</v>
      </c>
      <c r="BK297">
        <f>BI297*0.12</f>
        <v>4140</v>
      </c>
      <c r="BL297">
        <f>_xlfn.XLOOKUP(B297,'[6]august-2025'!$A:$A,'[6]august-2025'!$D:$D,0,0)</f>
        <v>0</v>
      </c>
      <c r="BM297">
        <f>_xlfn.XLOOKUP(B297,'[6]august-2025'!$A:$A,'[6]august-2025'!$G:$G,0,0)</f>
        <v>500</v>
      </c>
      <c r="BN297">
        <f>IF(BI297&gt;0,SUM(BI297:BM297),0)</f>
        <v>45350</v>
      </c>
      <c r="BO297">
        <f>_xlfn.XLOOKUP(B297,'[6]august-2025'!$A:$A,'[6]august-2025'!$H:$H,0,0)</f>
        <v>3000</v>
      </c>
      <c r="BP297">
        <f>_xlfn.XLOOKUP(B297,'[6]august-2025'!$A:$A,'[6]august-2025'!$I:$I,0,0)</f>
        <v>0</v>
      </c>
      <c r="BQ297">
        <f>IF($F297="YES",0,IF(BN297&gt;40000,200,IF(BN297&gt;25000,150,IF(BN297&gt;15000,130,IF(BN297&gt;10000,110,0)))))</f>
        <v>200</v>
      </c>
      <c r="BR297">
        <f>BN297-BO297-BP297-BQ297</f>
        <v>42150</v>
      </c>
      <c r="BS297">
        <f>_xlfn.XLOOKUP(B297,'[7]september-2025'!$A:$A,'[7]september-2025'!$C:$C,0,0)</f>
        <v>34500</v>
      </c>
      <c r="BT297">
        <f>BS297*0.18</f>
        <v>6210</v>
      </c>
      <c r="BU297">
        <f>BS297*0.12</f>
        <v>4140</v>
      </c>
      <c r="BV297">
        <f>_xlfn.XLOOKUP(B297,'[7]september-2025'!$A:$A,'[7]september-2025'!$D:$D,0,0)</f>
        <v>0</v>
      </c>
      <c r="BW297">
        <f>_xlfn.XLOOKUP(B297,'[7]september-2025'!$A:$A,'[7]september-2025'!$G:$G,0,0)</f>
        <v>500</v>
      </c>
      <c r="BX297">
        <f>IF(BS297&gt;0,SUM(BS297:BW297),0)</f>
        <v>45350</v>
      </c>
      <c r="BY297">
        <f>_xlfn.XLOOKUP(B297,'[7]september-2025'!$A:$A,'[7]september-2025'!$H:$H,0,0)</f>
        <v>3000</v>
      </c>
      <c r="BZ297">
        <f>_xlfn.XLOOKUP(B297,'[7]september-2025'!$A:$A,'[7]september-2025'!$I:$I,0,0)</f>
        <v>0</v>
      </c>
      <c r="CA297">
        <f>IF($F297="YES",0,IF(BX297&gt;40000,200,IF(BX297&gt;25000,150,IF(BX297&gt;15000,130,IF(BX297&gt;10000,110,0)))))</f>
        <v>200</v>
      </c>
      <c r="CB297">
        <f>BX297-BY297-BZ297-CA297</f>
        <v>42150</v>
      </c>
      <c r="CC297">
        <f>_xlfn.XLOOKUP(B297,'[8]october-2025'!$A:$A,'[8]october-2025'!$C:$C,0,0)</f>
        <v>34500</v>
      </c>
      <c r="CD297">
        <f>CC297*0.18</f>
        <v>6210</v>
      </c>
      <c r="CE297">
        <f>CC297*0.12</f>
        <v>4140</v>
      </c>
      <c r="CF297">
        <f>_xlfn.XLOOKUP(B297,'[8]october-2025'!$A:$A,'[8]october-2025'!$D:$D,0,0)</f>
        <v>0</v>
      </c>
      <c r="CG297">
        <f>_xlfn.XLOOKUP(B297,'[8]october-2025'!$A:$A,'[8]october-2025'!$G:$G,0,0)</f>
        <v>500</v>
      </c>
      <c r="CH297">
        <f>IF(CC297&gt;0,SUM(CC297:CG297),0)</f>
        <v>45350</v>
      </c>
      <c r="CI297">
        <f>_xlfn.XLOOKUP(B297,'[8]october-2025'!$A:$A,'[8]october-2025'!$H:$H,0,0)</f>
        <v>3000</v>
      </c>
      <c r="CJ297">
        <f>_xlfn.XLOOKUP(B297,'[8]october-2025'!$A:$A,'[8]october-2025'!$I:$I,0,0)</f>
        <v>0</v>
      </c>
      <c r="CK297">
        <f>IF($F297="YES",0,IF(CH297&gt;40000,200,IF(CH297&gt;25000,150,IF(CH297&gt;15000,130,IF(CH297&gt;10000,110,0)))))</f>
        <v>200</v>
      </c>
      <c r="CL297">
        <f>CH297-CI297-CJ297-CK297</f>
        <v>42150</v>
      </c>
      <c r="CM297">
        <f>_xlfn.XLOOKUP(B297,'[9]november-2025'!$A:$A,'[9]november-2025'!$C:$C,0,0)</f>
        <v>34500</v>
      </c>
      <c r="CN297">
        <f>CM297*0.18</f>
        <v>6210</v>
      </c>
      <c r="CO297">
        <f>CM297*0.12</f>
        <v>4140</v>
      </c>
      <c r="CP297">
        <f>_xlfn.XLOOKUP(B297,'[9]november-2025'!$A:$A,'[9]november-2025'!$D:$D,0,0)</f>
        <v>0</v>
      </c>
      <c r="CQ297">
        <f>_xlfn.XLOOKUP(B297,'[9]november-2025'!$A:$A,'[9]november-2025'!$G:$G,0,0)</f>
        <v>500</v>
      </c>
      <c r="CR297">
        <f>IF(CM297&gt;0,SUM(CM297:CQ297),0)</f>
        <v>45350</v>
      </c>
      <c r="CS297">
        <f>_xlfn.XLOOKUP(B297,'[9]november-2025'!$A:$A,'[9]november-2025'!$H:$H,0,0)</f>
        <v>3000</v>
      </c>
      <c r="CT297">
        <f>_xlfn.XLOOKUP(B297,'[9]november-2025'!$A:$A,'[9]november-2025'!$I:$I,0,0)</f>
        <v>0</v>
      </c>
      <c r="CU297">
        <f>IF($F297="YES",0,IF(CR297&gt;40000,200,IF(CR297&gt;25000,150,IF(CR297&gt;15000,130,IF(CR297&gt;10000,110,0)))))</f>
        <v>200</v>
      </c>
      <c r="CV297">
        <f>CR297-CS297-CT297-CU297</f>
        <v>42150</v>
      </c>
      <c r="CW297">
        <f>_xlfn.XLOOKUP(B297,'[10]december-2025'!$A:$A,'[10]december-2025'!$C:$C,0,0)</f>
        <v>34500</v>
      </c>
      <c r="CX297">
        <f>ROUND(CW297*0.18,0)</f>
        <v>6210</v>
      </c>
      <c r="CY297">
        <f>ROUND(CW297*0.12,0)</f>
        <v>4140</v>
      </c>
      <c r="CZ297">
        <f>_xlfn.XLOOKUP(B297,'[10]december-2025'!$A:$A,'[10]december-2025'!$D:$D,0,0)</f>
        <v>0</v>
      </c>
      <c r="DA297">
        <f>_xlfn.XLOOKUP(B297,'[10]december-2025'!$A:$A,'[10]december-2025'!$G:$G,0,0)</f>
        <v>500</v>
      </c>
      <c r="DB297">
        <f>IF(CW297&gt;0,SUM(CW297:DA297),0)</f>
        <v>45350</v>
      </c>
      <c r="DC297">
        <f>_xlfn.XLOOKUP(B297,'[10]december-2025'!$A:$A,'[10]december-2025'!$H:$H,0,0)</f>
        <v>3000</v>
      </c>
      <c r="DD297">
        <f>_xlfn.XLOOKUP(B297,'[10]december-2025'!$A:$A,'[10]december-2025'!$I:$I,0,0)</f>
        <v>0</v>
      </c>
      <c r="DE297">
        <f>IF($F297="YES",0,IF(DB297&gt;40000,200,IF(DB297&gt;25000,150,IF(DB297&gt;15000,130,IF(DB297&gt;10000,110,0)))))</f>
        <v>200</v>
      </c>
      <c r="DF297">
        <f>DB297-DC297-DD297-DE297</f>
        <v>42150</v>
      </c>
      <c r="DG297">
        <f>_xlfn.XLOOKUP(B297,'[11]january-2026'!$A:$A,'[11]january-2026'!$C:$C,0,0)</f>
        <v>34500</v>
      </c>
      <c r="DH297">
        <f>DG297*0.18</f>
        <v>6210</v>
      </c>
      <c r="DI297">
        <f>DG297*0.12</f>
        <v>4140</v>
      </c>
      <c r="DJ297">
        <f>_xlfn.XLOOKUP(B297,'[11]january-2026'!$A:$A,'[11]january-2026'!$D:$D,0,0)</f>
        <v>0</v>
      </c>
      <c r="DK297">
        <f>_xlfn.XLOOKUP(B297,'[11]january-2026'!$A:$A,'[11]january-2026'!$G:$G,0,0)</f>
        <v>500</v>
      </c>
      <c r="DL297">
        <f>IF(DG297&gt;0,SUM(DG297:DK297),0)</f>
        <v>45350</v>
      </c>
      <c r="DM297">
        <f>_xlfn.XLOOKUP(B297,'[11]january-2026'!$A:$A,'[11]january-2026'!$H:$H,0,0)</f>
        <v>3000</v>
      </c>
      <c r="DN297">
        <f>_xlfn.XLOOKUP(B297,'[11]january-2026'!$A:$A,'[11]january-2026'!$I:$I,0,0)</f>
        <v>0</v>
      </c>
      <c r="DO297">
        <f>IF($F297="YES",0,IF(DL297&gt;40000,200,IF(DL297&gt;25000,150,IF(DL297&gt;15000,130,IF(DL297&gt;10000,110,0)))))</f>
        <v>200</v>
      </c>
      <c r="DP297">
        <f>DL297-DM297-DN297-DO297</f>
        <v>42150</v>
      </c>
      <c r="DQ297">
        <f>_xlfn.XLOOKUP(B297,'[12]february-2026'!$A:$A,'[12]february-2026'!$C:$C,0,0)</f>
        <v>34500</v>
      </c>
      <c r="DR297">
        <f>DQ297*0.18</f>
        <v>6210</v>
      </c>
      <c r="DS297">
        <f>DQ297*0.12</f>
        <v>4140</v>
      </c>
      <c r="DT297">
        <f>_xlfn.XLOOKUP(B297,'[12]february-2026'!$A:$A,'[12]february-2026'!$D:$D,0,0)</f>
        <v>0</v>
      </c>
      <c r="DU297">
        <f>_xlfn.XLOOKUP(B297,'[12]february-2026'!$A:$A,'[12]february-2026'!$G:$G,0,0)</f>
        <v>500</v>
      </c>
      <c r="DV297">
        <f>IF(DQ297&gt;0,SUM(DQ297:DU297),0)</f>
        <v>45350</v>
      </c>
      <c r="DW297">
        <f>_xlfn.XLOOKUP(B297,'[12]february-2026'!$A:$A,'[12]february-2026'!$H:$H,0,0)</f>
        <v>3000</v>
      </c>
      <c r="DX297">
        <f>_xlfn.XLOOKUP(B297,'[12]february-2026'!$A:$A,'[12]february-2026'!$I:$I,0,0)</f>
        <v>0</v>
      </c>
      <c r="DY297">
        <f>IF($F297="YES",0,IF(DV297&gt;40000,200,IF(DV297&gt;25000,150,IF(DV297&gt;15000,130,IF(DV297&gt;10000,110,0)))))</f>
        <v>200</v>
      </c>
      <c r="DZ297">
        <f>DV297-DW297-DX297-DY297</f>
        <v>42150</v>
      </c>
      <c r="EA297">
        <f>DV297+DL297+DB297+CR297+CH297+BX297+BN297+BD297+AS297+AI297+Y297+O297+H297+I297</f>
        <v>544460</v>
      </c>
      <c r="EB297">
        <f>DY297+DO297+DE297+CU297+CK297+CA297+BQ297+BG297+AV297+AL297+AB297+R297</f>
        <v>2400</v>
      </c>
      <c r="EC297">
        <f>IF(EA297&gt;0,50000,0)</f>
        <v>50000</v>
      </c>
      <c r="ED297">
        <v>0</v>
      </c>
      <c r="EE297">
        <f>EA297-EB297-EC297</f>
        <v>492060</v>
      </c>
      <c r="EF297">
        <f>DW297+DM297+DC297+CS297+CI297+BY297+BO297+BE297+AT297+AJ297+Z297+P297</f>
        <v>36000</v>
      </c>
      <c r="EG297">
        <f>DX297+DN297+DD297+CT297+CJ297+BZ297+BP297+BF297+AU297+AK297+AA297+Q297</f>
        <v>0</v>
      </c>
      <c r="EH297">
        <v>0</v>
      </c>
      <c r="EI297">
        <v>0</v>
      </c>
      <c r="EJ297">
        <v>0</v>
      </c>
      <c r="EK297">
        <v>0</v>
      </c>
      <c r="EL297">
        <v>0</v>
      </c>
      <c r="EM297">
        <v>0</v>
      </c>
      <c r="EN297">
        <v>0</v>
      </c>
      <c r="EO297">
        <v>0</v>
      </c>
      <c r="EP297">
        <v>0</v>
      </c>
      <c r="EQ297">
        <v>0</v>
      </c>
      <c r="ER297">
        <f>SUM(EF297:EQ297)</f>
        <v>36000</v>
      </c>
      <c r="ES297">
        <f>IF(ER297&gt;=150000,150000,ER297)</f>
        <v>36000</v>
      </c>
      <c r="ET297">
        <f>EE297-ES297</f>
        <v>456060</v>
      </c>
      <c r="EU297">
        <v>0</v>
      </c>
      <c r="EV297">
        <v>0</v>
      </c>
      <c r="EW297">
        <v>0</v>
      </c>
      <c r="EX297">
        <v>0</v>
      </c>
      <c r="EY297">
        <v>0</v>
      </c>
      <c r="EZ297">
        <v>0</v>
      </c>
      <c r="FA297">
        <v>0</v>
      </c>
      <c r="FB297">
        <f>SUM(EU297:FA297)+(IF(F297="YES",50000,0))</f>
        <v>0</v>
      </c>
      <c r="FC297">
        <f>ET297-FB297</f>
        <v>456060</v>
      </c>
      <c r="FD297">
        <f>ROUND(IF(FC297&gt;0,IF(FC297&gt;500000,12500,(FC297-250000)*0.05),0),0)</f>
        <v>10303</v>
      </c>
      <c r="FE297">
        <f>IF(ROUND(IF(FC297&gt;0,IF(FC297&gt;1000000,25000,(FC297-500000)*0.2),0),0)&lt;0,0,ROUND(IF(FC297&gt;0,IF(FC297&gt;1000000,25000,(FC297-500000)*0.2),0),0))</f>
        <v>0</v>
      </c>
      <c r="FF297">
        <f>FD297+FE297</f>
        <v>10303</v>
      </c>
      <c r="FG297">
        <f>IF(FF297&lt;12500,0,FF297)</f>
        <v>0</v>
      </c>
      <c r="FH297">
        <f>FG297*0.04</f>
        <v>0</v>
      </c>
      <c r="FI297">
        <f>ROUND(FH297+FG297,0)</f>
        <v>0</v>
      </c>
      <c r="FJ297">
        <v>0</v>
      </c>
      <c r="FK297">
        <f>FI297-FJ297</f>
        <v>0</v>
      </c>
      <c r="FL297" t="b">
        <f>IF(EA297&gt;500000,TRUE,FALSE)</f>
        <v>1</v>
      </c>
      <c r="FM297">
        <f ca="1">IF(FL297,RANDBETWEEN(500,1000),RANDBETWEEN(1000,3000))</f>
        <v>986</v>
      </c>
      <c r="FN297">
        <f ca="1">EA297+FM297</f>
        <v>545446</v>
      </c>
      <c r="FO297">
        <f>IF(EA297&gt;0,75000,0)</f>
        <v>75000</v>
      </c>
      <c r="FP297">
        <f ca="1">FN297-FO297</f>
        <v>470446</v>
      </c>
      <c r="FQ297">
        <f ca="1">IF(FP297&gt;2400000,FP297-2400000,0)</f>
        <v>0</v>
      </c>
      <c r="FR297">
        <f ca="1">FQ297*0.3</f>
        <v>0</v>
      </c>
      <c r="FS297">
        <f ca="1">IF(FP297&gt;2000000,FP297-2000000,0)</f>
        <v>0</v>
      </c>
      <c r="FT297">
        <f ca="1">FS297*0.25</f>
        <v>0</v>
      </c>
      <c r="FU297">
        <f ca="1">IF(FP297&gt;1600000,FP297-1600000-FQ297,0)</f>
        <v>0</v>
      </c>
      <c r="FV297">
        <f ca="1">FU297*0.2</f>
        <v>0</v>
      </c>
      <c r="FW297">
        <f ca="1">IF(FP297&gt;1200000,FP297-1200000-IF(F297="YES",50000,0)-FU297,0)</f>
        <v>0</v>
      </c>
      <c r="FX297">
        <f ca="1">FW297*0.15</f>
        <v>0</v>
      </c>
      <c r="FY297">
        <f ca="1">IF(FP297&gt;800000,FP297-800000-FQ297-FU297-FW297,0)</f>
        <v>0</v>
      </c>
      <c r="FZ297">
        <f ca="1">FY297*0.1</f>
        <v>0</v>
      </c>
      <c r="GA297">
        <f ca="1">IF(FP297&gt;400000,FP297-400000-FQ297-FU297-FW297-FY297,0)</f>
        <v>70446</v>
      </c>
      <c r="GB297">
        <f ca="1">GA297*0.05</f>
        <v>3522.3</v>
      </c>
      <c r="GC297">
        <f ca="1">ROUND(FR297+FT297+FV297+FX297+FZ297+GB297,0)</f>
        <v>3522</v>
      </c>
      <c r="GD297">
        <f ca="1">IF(FP297&gt;1200000,FP297,0)</f>
        <v>0</v>
      </c>
      <c r="GE297">
        <f ca="1">IF(FP297&gt;1200000,GD297-1200000,0)</f>
        <v>0</v>
      </c>
      <c r="GF297">
        <f ca="1">IF(FP297&lt;1200001,MIN(GC297,60000),0)</f>
        <v>3522</v>
      </c>
      <c r="GG297">
        <f ca="1">IF(FP297&gt;1200000,GC297-GE297,0)</f>
        <v>0</v>
      </c>
      <c r="GH297" t="b">
        <f ca="1">IF(GG297&gt;0,TRUE,FALSE)</f>
        <v>0</v>
      </c>
      <c r="GI297">
        <f ca="1">IF(GH297,GG297,0)</f>
        <v>0</v>
      </c>
      <c r="GJ297">
        <f ca="1">GF297+GI297</f>
        <v>3522</v>
      </c>
      <c r="GK297">
        <f ca="1">ROUND(GC297-GJ297,0)</f>
        <v>0</v>
      </c>
      <c r="GL297">
        <f ca="1">GK297*0.04</f>
        <v>0</v>
      </c>
      <c r="GM297">
        <f ca="1">ROUNDUP(GK297+GL297,0)</f>
        <v>0</v>
      </c>
    </row>
    <row r="298" spans="1:195" x14ac:dyDescent="0.25">
      <c r="A298">
        <f>_xlfn.AGGREGATE(3,5,$B$2:B298)</f>
        <v>297</v>
      </c>
      <c r="B298" t="s">
        <v>699</v>
      </c>
      <c r="C298" t="s">
        <v>700</v>
      </c>
      <c r="D298" t="s">
        <v>830</v>
      </c>
      <c r="E298" t="s">
        <v>833</v>
      </c>
      <c r="F298" t="s">
        <v>959</v>
      </c>
      <c r="G298" t="s">
        <v>899</v>
      </c>
      <c r="H298">
        <f>IF(_xlfn.DAYS("31-03-2025",G298)&gt;=180,6800,0)</f>
        <v>6800</v>
      </c>
      <c r="I298">
        <f>_xlfn.XLOOKUP(B298,'[1]march-2025'!$A:$A,'[1]march-2025'!$J:$J,0,0)</f>
        <v>0</v>
      </c>
      <c r="J298">
        <f>_xlfn.XLOOKUP(B298,'[1]march-2025'!$A:$A,'[1]march-2025'!$C:$C,0,0)</f>
        <v>33500</v>
      </c>
      <c r="K298">
        <f>J298*0.14</f>
        <v>4690</v>
      </c>
      <c r="L298">
        <f>J298*0.12</f>
        <v>4020</v>
      </c>
      <c r="M298">
        <f>_xlfn.XLOOKUP(B298,'[1]march-2025'!$A:$A,'[1]march-2025'!$D:$D,0,0)</f>
        <v>0</v>
      </c>
      <c r="N298">
        <f>_xlfn.XLOOKUP(B298,'[1]march-2025'!$A:$A,'[1]march-2025'!$G:$G,0,0)</f>
        <v>500</v>
      </c>
      <c r="O298">
        <f>IF(J298&gt;0,SUM(J298:N298),0)</f>
        <v>42710</v>
      </c>
      <c r="P298">
        <f>_xlfn.XLOOKUP(B298,'[1]march-2025'!$A:$A,'[1]march-2025'!$H:$H,0,0)</f>
        <v>5000</v>
      </c>
      <c r="Q298">
        <f>_xlfn.XLOOKUP(B298,'[1]march-2025'!$A:$A,'[1]march-2025'!$I:$I,0,0)</f>
        <v>0</v>
      </c>
      <c r="R298">
        <f>IF($F298="YES",0,IF(O298&gt;40000,200,IF(O298&gt;25000,150,IF(O298&gt;15000,130,IF(O298&gt;10000,110,0)))))</f>
        <v>200</v>
      </c>
      <c r="S298">
        <f>O298-P298-Q298-R298</f>
        <v>37510</v>
      </c>
      <c r="T298">
        <f>_xlfn.XLOOKUP(B298,'[2]april-2025'!$A:$A,'[2]april-2025'!$C:$C,0,0)</f>
        <v>33500</v>
      </c>
      <c r="U298">
        <f>T298*0.18</f>
        <v>6030</v>
      </c>
      <c r="V298">
        <f>T298*0.12</f>
        <v>4020</v>
      </c>
      <c r="W298">
        <f>_xlfn.XLOOKUP(B298,'[2]april-2025'!$A:$A,'[2]april-2025'!$D:$D,0,0)</f>
        <v>0</v>
      </c>
      <c r="X298">
        <f>_xlfn.XLOOKUP(B298,'[2]april-2025'!$A:$A,'[2]april-2025'!$G:$G,0,0)</f>
        <v>500</v>
      </c>
      <c r="Y298">
        <f>IF(T298&gt;0,SUM(T298:X298),0)</f>
        <v>44050</v>
      </c>
      <c r="Z298">
        <f>_xlfn.XLOOKUP(B298,'[2]april-2025'!$A:$A,'[2]april-2025'!$H:$H,0,0)</f>
        <v>5000</v>
      </c>
      <c r="AA298">
        <f>_xlfn.XLOOKUP(B298,'[2]april-2025'!$A:$A,'[2]april-2025'!$I:$I,0,0)</f>
        <v>0</v>
      </c>
      <c r="AB298">
        <f>IF($F298="YES",0,IF(Y298&gt;40000,200,IF(Y298&gt;25000,150,IF(Y298&gt;15000,130,IF(Y298&gt;10000,110,0)))))</f>
        <v>200</v>
      </c>
      <c r="AC298">
        <f>Y298-Z298-AA298-AB298</f>
        <v>38850</v>
      </c>
      <c r="AD298">
        <f>_xlfn.XLOOKUP(B298,'[3]may-2025'!$A:$A,'[3]may-2025'!$C:$C,0,0)</f>
        <v>33500</v>
      </c>
      <c r="AE298">
        <f>AD298*0.18</f>
        <v>6030</v>
      </c>
      <c r="AF298">
        <f>AD298*0.12</f>
        <v>4020</v>
      </c>
      <c r="AG298">
        <f>_xlfn.XLOOKUP(B298,'[3]may-2025'!$A:$A,'[3]may-2025'!$D:$D,0,0)</f>
        <v>0</v>
      </c>
      <c r="AH298">
        <f>_xlfn.XLOOKUP(B298,'[3]may-2025'!$A:$A,'[3]may-2025'!$G:$G,0,0)</f>
        <v>500</v>
      </c>
      <c r="AI298">
        <f>IF(AD298&gt;0,SUM(AD298:AH298),0)</f>
        <v>44050</v>
      </c>
      <c r="AJ298">
        <f>_xlfn.XLOOKUP(B298,'[3]may-2025'!$A:$A,'[3]may-2025'!$H:$H,0,0)</f>
        <v>5000</v>
      </c>
      <c r="AK298">
        <f>_xlfn.XLOOKUP(B298,'[3]may-2025'!$A:$A,'[3]may-2025'!$I:$I,0,0)</f>
        <v>0</v>
      </c>
      <c r="AL298">
        <f>IF($F298="YES",0,IF(AI298&gt;40000,200,IF(AI298&gt;25000,150,IF(AI298&gt;15000,130,IF(AI298&gt;10000,110,0)))))</f>
        <v>200</v>
      </c>
      <c r="AM298">
        <f>AI298-AJ298-AK298-AL298</f>
        <v>38850</v>
      </c>
      <c r="AN298">
        <f>_xlfn.XLOOKUP(B298,'[4]june-2025'!$A:$A,'[4]june-2025'!$C:$C,0,0)</f>
        <v>33500</v>
      </c>
      <c r="AO298">
        <f>AN298*0.18</f>
        <v>6030</v>
      </c>
      <c r="AP298">
        <f>AN298*0.12</f>
        <v>4020</v>
      </c>
      <c r="AQ298">
        <f>_xlfn.XLOOKUP(B298,'[4]june-2025'!$A:$A,'[4]june-2025'!$D:$D,0,0)</f>
        <v>0</v>
      </c>
      <c r="AR298">
        <f>_xlfn.XLOOKUP(B298,'[4]june-2025'!$A:$A,'[4]june-2025'!$G:$G,0,0)</f>
        <v>500</v>
      </c>
      <c r="AS298">
        <f>IF(AN298&gt;0,SUM(AN298:AR298),0)</f>
        <v>44050</v>
      </c>
      <c r="AT298">
        <f>_xlfn.XLOOKUP(B298,'[4]june-2025'!$A:$A,'[4]june-2025'!$H:$H,0,0)</f>
        <v>5000</v>
      </c>
      <c r="AU298">
        <f>_xlfn.XLOOKUP(B298,'[4]june-2025'!$A:$A,'[4]june-2025'!$I:$I,0,0)</f>
        <v>0</v>
      </c>
      <c r="AV298">
        <f>IF($F298="YES",0,IF(AS298&gt;40000,200,IF(AS298&gt;25000,150,IF(AS298&gt;15000,130,IF(AS298&gt;10000,110,0)))))</f>
        <v>200</v>
      </c>
      <c r="AW298">
        <f>AS298-AT298-AU298-AV298</f>
        <v>38850</v>
      </c>
      <c r="AX298">
        <f>_xlfn.XLOOKUP(B298,'[5]july-2025'!$A:$A,'[5]july-2025'!$C:$C,0,0)</f>
        <v>34500</v>
      </c>
      <c r="AY298">
        <f>AX298*0.18</f>
        <v>6210</v>
      </c>
      <c r="AZ298">
        <v>0</v>
      </c>
      <c r="BA298">
        <f>AX298*0.12</f>
        <v>4140</v>
      </c>
      <c r="BB298">
        <f>_xlfn.XLOOKUP(B298,'[5]july-2025'!$A:$A,'[5]july-2025'!$D:$D,0,0)</f>
        <v>0</v>
      </c>
      <c r="BC298">
        <f>_xlfn.XLOOKUP(B298,'[5]july-2025'!$A:$A,'[5]july-2025'!$G:$G,0,0)</f>
        <v>500</v>
      </c>
      <c r="BD298">
        <f>IF(AX298&gt;0,SUM(AX298:BC298),0)</f>
        <v>45350</v>
      </c>
      <c r="BE298">
        <f>_xlfn.XLOOKUP(B298,'[5]july-2025'!$A:$A,'[5]july-2025'!$H:$H,0,0)</f>
        <v>5000</v>
      </c>
      <c r="BF298">
        <f>_xlfn.XLOOKUP(B298,'[5]july-2025'!$A:$A,'[5]july-2025'!$I:$I,0,0)</f>
        <v>0</v>
      </c>
      <c r="BG298">
        <f>IF($F298="YES",0,IF(BD298&gt;40000,200,IF(BD298&gt;25000,150,IF(BD298&gt;15000,130,IF(BD298&gt;10000,110,0)))))</f>
        <v>200</v>
      </c>
      <c r="BH298">
        <f>BD298-BE298-BF298-BG298</f>
        <v>40150</v>
      </c>
      <c r="BI298">
        <f>_xlfn.XLOOKUP(B298,'[6]august-2025'!$A:$A,'[6]august-2025'!$C:$C,0,0)</f>
        <v>34500</v>
      </c>
      <c r="BJ298">
        <f>BI298*0.18</f>
        <v>6210</v>
      </c>
      <c r="BK298">
        <f>BI298*0.12</f>
        <v>4140</v>
      </c>
      <c r="BL298">
        <f>_xlfn.XLOOKUP(B298,'[6]august-2025'!$A:$A,'[6]august-2025'!$D:$D,0,0)</f>
        <v>0</v>
      </c>
      <c r="BM298">
        <f>_xlfn.XLOOKUP(B298,'[6]august-2025'!$A:$A,'[6]august-2025'!$G:$G,0,0)</f>
        <v>500</v>
      </c>
      <c r="BN298">
        <f>IF(BI298&gt;0,SUM(BI298:BM298),0)</f>
        <v>45350</v>
      </c>
      <c r="BO298">
        <f>_xlfn.XLOOKUP(B298,'[6]august-2025'!$A:$A,'[6]august-2025'!$H:$H,0,0)</f>
        <v>5000</v>
      </c>
      <c r="BP298">
        <f>_xlfn.XLOOKUP(B298,'[6]august-2025'!$A:$A,'[6]august-2025'!$I:$I,0,0)</f>
        <v>0</v>
      </c>
      <c r="BQ298">
        <f>IF($F298="YES",0,IF(BN298&gt;40000,200,IF(BN298&gt;25000,150,IF(BN298&gt;15000,130,IF(BN298&gt;10000,110,0)))))</f>
        <v>200</v>
      </c>
      <c r="BR298">
        <f>BN298-BO298-BP298-BQ298</f>
        <v>40150</v>
      </c>
      <c r="BS298">
        <f>_xlfn.XLOOKUP(B298,'[7]september-2025'!$A:$A,'[7]september-2025'!$C:$C,0,0)</f>
        <v>34500</v>
      </c>
      <c r="BT298">
        <f>BS298*0.18</f>
        <v>6210</v>
      </c>
      <c r="BU298">
        <f>BS298*0.12</f>
        <v>4140</v>
      </c>
      <c r="BV298">
        <f>_xlfn.XLOOKUP(B298,'[7]september-2025'!$A:$A,'[7]september-2025'!$D:$D,0,0)</f>
        <v>0</v>
      </c>
      <c r="BW298">
        <f>_xlfn.XLOOKUP(B298,'[7]september-2025'!$A:$A,'[7]september-2025'!$G:$G,0,0)</f>
        <v>500</v>
      </c>
      <c r="BX298">
        <f>IF(BS298&gt;0,SUM(BS298:BW298),0)</f>
        <v>45350</v>
      </c>
      <c r="BY298">
        <f>_xlfn.XLOOKUP(B298,'[7]september-2025'!$A:$A,'[7]september-2025'!$H:$H,0,0)</f>
        <v>5000</v>
      </c>
      <c r="BZ298">
        <f>_xlfn.XLOOKUP(B298,'[7]september-2025'!$A:$A,'[7]september-2025'!$I:$I,0,0)</f>
        <v>0</v>
      </c>
      <c r="CA298">
        <f>IF($F298="YES",0,IF(BX298&gt;40000,200,IF(BX298&gt;25000,150,IF(BX298&gt;15000,130,IF(BX298&gt;10000,110,0)))))</f>
        <v>200</v>
      </c>
      <c r="CB298">
        <f>BX298-BY298-BZ298-CA298</f>
        <v>40150</v>
      </c>
      <c r="CC298">
        <f>_xlfn.XLOOKUP(B298,'[8]october-2025'!$A:$A,'[8]october-2025'!$C:$C,0,0)</f>
        <v>34500</v>
      </c>
      <c r="CD298">
        <f>CC298*0.18</f>
        <v>6210</v>
      </c>
      <c r="CE298">
        <f>CC298*0.12</f>
        <v>4140</v>
      </c>
      <c r="CF298">
        <f>_xlfn.XLOOKUP(B298,'[8]october-2025'!$A:$A,'[8]october-2025'!$D:$D,0,0)</f>
        <v>0</v>
      </c>
      <c r="CG298">
        <f>_xlfn.XLOOKUP(B298,'[8]october-2025'!$A:$A,'[8]october-2025'!$G:$G,0,0)</f>
        <v>500</v>
      </c>
      <c r="CH298">
        <f>IF(CC298&gt;0,SUM(CC298:CG298),0)</f>
        <v>45350</v>
      </c>
      <c r="CI298">
        <f>_xlfn.XLOOKUP(B298,'[8]october-2025'!$A:$A,'[8]october-2025'!$H:$H,0,0)</f>
        <v>5000</v>
      </c>
      <c r="CJ298">
        <f>_xlfn.XLOOKUP(B298,'[8]october-2025'!$A:$A,'[8]october-2025'!$I:$I,0,0)</f>
        <v>0</v>
      </c>
      <c r="CK298">
        <f>IF($F298="YES",0,IF(CH298&gt;40000,200,IF(CH298&gt;25000,150,IF(CH298&gt;15000,130,IF(CH298&gt;10000,110,0)))))</f>
        <v>200</v>
      </c>
      <c r="CL298">
        <f>CH298-CI298-CJ298-CK298</f>
        <v>40150</v>
      </c>
      <c r="CM298">
        <f>_xlfn.XLOOKUP(B298,'[9]november-2025'!$A:$A,'[9]november-2025'!$C:$C,0,0)</f>
        <v>34500</v>
      </c>
      <c r="CN298">
        <f>CM298*0.18</f>
        <v>6210</v>
      </c>
      <c r="CO298">
        <f>CM298*0.12</f>
        <v>4140</v>
      </c>
      <c r="CP298">
        <f>_xlfn.XLOOKUP(B298,'[9]november-2025'!$A:$A,'[9]november-2025'!$D:$D,0,0)</f>
        <v>0</v>
      </c>
      <c r="CQ298">
        <f>_xlfn.XLOOKUP(B298,'[9]november-2025'!$A:$A,'[9]november-2025'!$G:$G,0,0)</f>
        <v>500</v>
      </c>
      <c r="CR298">
        <f>IF(CM298&gt;0,SUM(CM298:CQ298),0)</f>
        <v>45350</v>
      </c>
      <c r="CS298">
        <f>_xlfn.XLOOKUP(B298,'[9]november-2025'!$A:$A,'[9]november-2025'!$H:$H,0,0)</f>
        <v>5000</v>
      </c>
      <c r="CT298">
        <f>_xlfn.XLOOKUP(B298,'[9]november-2025'!$A:$A,'[9]november-2025'!$I:$I,0,0)</f>
        <v>0</v>
      </c>
      <c r="CU298">
        <f>IF($F298="YES",0,IF(CR298&gt;40000,200,IF(CR298&gt;25000,150,IF(CR298&gt;15000,130,IF(CR298&gt;10000,110,0)))))</f>
        <v>200</v>
      </c>
      <c r="CV298">
        <f>CR298-CS298-CT298-CU298</f>
        <v>40150</v>
      </c>
      <c r="CW298">
        <f>_xlfn.XLOOKUP(B298,'[10]december-2025'!$A:$A,'[10]december-2025'!$C:$C,0,0)</f>
        <v>34500</v>
      </c>
      <c r="CX298">
        <f>ROUND(CW298*0.18,0)</f>
        <v>6210</v>
      </c>
      <c r="CY298">
        <f>ROUND(CW298*0.12,0)</f>
        <v>4140</v>
      </c>
      <c r="CZ298">
        <f>_xlfn.XLOOKUP(B298,'[10]december-2025'!$A:$A,'[10]december-2025'!$D:$D,0,0)</f>
        <v>0</v>
      </c>
      <c r="DA298">
        <f>_xlfn.XLOOKUP(B298,'[10]december-2025'!$A:$A,'[10]december-2025'!$G:$G,0,0)</f>
        <v>500</v>
      </c>
      <c r="DB298">
        <f>IF(CW298&gt;0,SUM(CW298:DA298),0)</f>
        <v>45350</v>
      </c>
      <c r="DC298">
        <f>_xlfn.XLOOKUP(B298,'[10]december-2025'!$A:$A,'[10]december-2025'!$H:$H,0,0)</f>
        <v>5000</v>
      </c>
      <c r="DD298">
        <f>_xlfn.XLOOKUP(B298,'[10]december-2025'!$A:$A,'[10]december-2025'!$I:$I,0,0)</f>
        <v>0</v>
      </c>
      <c r="DE298">
        <f>IF($F298="YES",0,IF(DB298&gt;40000,200,IF(DB298&gt;25000,150,IF(DB298&gt;15000,130,IF(DB298&gt;10000,110,0)))))</f>
        <v>200</v>
      </c>
      <c r="DF298">
        <f>DB298-DC298-DD298-DE298</f>
        <v>40150</v>
      </c>
      <c r="DG298">
        <f>_xlfn.XLOOKUP(B298,'[11]january-2026'!$A:$A,'[11]january-2026'!$C:$C,0,0)</f>
        <v>34500</v>
      </c>
      <c r="DH298">
        <f>DG298*0.18</f>
        <v>6210</v>
      </c>
      <c r="DI298">
        <f>DG298*0.12</f>
        <v>4140</v>
      </c>
      <c r="DJ298">
        <f>_xlfn.XLOOKUP(B298,'[11]january-2026'!$A:$A,'[11]january-2026'!$D:$D,0,0)</f>
        <v>0</v>
      </c>
      <c r="DK298">
        <f>_xlfn.XLOOKUP(B298,'[11]january-2026'!$A:$A,'[11]january-2026'!$G:$G,0,0)</f>
        <v>500</v>
      </c>
      <c r="DL298">
        <f>IF(DG298&gt;0,SUM(DG298:DK298),0)</f>
        <v>45350</v>
      </c>
      <c r="DM298">
        <f>_xlfn.XLOOKUP(B298,'[11]january-2026'!$A:$A,'[11]january-2026'!$H:$H,0,0)</f>
        <v>5000</v>
      </c>
      <c r="DN298">
        <f>_xlfn.XLOOKUP(B298,'[11]january-2026'!$A:$A,'[11]january-2026'!$I:$I,0,0)</f>
        <v>0</v>
      </c>
      <c r="DO298">
        <f>IF($F298="YES",0,IF(DL298&gt;40000,200,IF(DL298&gt;25000,150,IF(DL298&gt;15000,130,IF(DL298&gt;10000,110,0)))))</f>
        <v>200</v>
      </c>
      <c r="DP298">
        <f>DL298-DM298-DN298-DO298</f>
        <v>40150</v>
      </c>
      <c r="DQ298">
        <f>_xlfn.XLOOKUP(B298,'[12]february-2026'!$A:$A,'[12]february-2026'!$C:$C,0,0)</f>
        <v>34500</v>
      </c>
      <c r="DR298">
        <f>DQ298*0.18</f>
        <v>6210</v>
      </c>
      <c r="DS298">
        <f>DQ298*0.12</f>
        <v>4140</v>
      </c>
      <c r="DT298">
        <f>_xlfn.XLOOKUP(B298,'[12]february-2026'!$A:$A,'[12]february-2026'!$D:$D,0,0)</f>
        <v>0</v>
      </c>
      <c r="DU298">
        <f>_xlfn.XLOOKUP(B298,'[12]february-2026'!$A:$A,'[12]february-2026'!$G:$G,0,0)</f>
        <v>500</v>
      </c>
      <c r="DV298">
        <f>IF(DQ298&gt;0,SUM(DQ298:DU298),0)</f>
        <v>45350</v>
      </c>
      <c r="DW298">
        <f>_xlfn.XLOOKUP(B298,'[12]february-2026'!$A:$A,'[12]february-2026'!$H:$H,0,0)</f>
        <v>5000</v>
      </c>
      <c r="DX298">
        <f>_xlfn.XLOOKUP(B298,'[12]february-2026'!$A:$A,'[12]february-2026'!$I:$I,0,0)</f>
        <v>0</v>
      </c>
      <c r="DY298">
        <f>IF($F298="YES",0,IF(DV298&gt;40000,200,IF(DV298&gt;25000,150,IF(DV298&gt;15000,130,IF(DV298&gt;10000,110,0)))))</f>
        <v>200</v>
      </c>
      <c r="DZ298">
        <f>DV298-DW298-DX298-DY298</f>
        <v>40150</v>
      </c>
      <c r="EA298">
        <f>DV298+DL298+DB298+CR298+CH298+BX298+BN298+BD298+AS298+AI298+Y298+O298+H298+I298</f>
        <v>544460</v>
      </c>
      <c r="EB298">
        <f>DY298+DO298+DE298+CU298+CK298+CA298+BQ298+BG298+AV298+AL298+AB298+R298</f>
        <v>2400</v>
      </c>
      <c r="EC298">
        <f>IF(EA298&gt;0,50000,0)</f>
        <v>50000</v>
      </c>
      <c r="ED298">
        <v>0</v>
      </c>
      <c r="EE298">
        <f>EA298-EB298-EC298</f>
        <v>492060</v>
      </c>
      <c r="EF298">
        <f>DW298+DM298+DC298+CS298+CI298+BY298+BO298+BE298+AT298+AJ298+Z298+P298</f>
        <v>60000</v>
      </c>
      <c r="EG298">
        <f>DX298+DN298+DD298+CT298+CJ298+BZ298+BP298+BF298+AU298+AK298+AA298+Q298</f>
        <v>0</v>
      </c>
      <c r="EH298">
        <v>0</v>
      </c>
      <c r="EI298">
        <v>0</v>
      </c>
      <c r="EJ298">
        <v>0</v>
      </c>
      <c r="EK298">
        <v>0</v>
      </c>
      <c r="EL298">
        <v>0</v>
      </c>
      <c r="EM298">
        <v>0</v>
      </c>
      <c r="EN298">
        <v>0</v>
      </c>
      <c r="EO298">
        <v>0</v>
      </c>
      <c r="EP298">
        <v>0</v>
      </c>
      <c r="EQ298">
        <v>0</v>
      </c>
      <c r="ER298">
        <f>SUM(EF298:EQ298)</f>
        <v>60000</v>
      </c>
      <c r="ES298">
        <f>IF(ER298&gt;=150000,150000,ER298)</f>
        <v>60000</v>
      </c>
      <c r="ET298">
        <f>EE298-ES298</f>
        <v>432060</v>
      </c>
      <c r="EU298">
        <v>0</v>
      </c>
      <c r="EV298">
        <v>0</v>
      </c>
      <c r="EW298">
        <v>0</v>
      </c>
      <c r="EX298">
        <v>0</v>
      </c>
      <c r="EY298">
        <v>0</v>
      </c>
      <c r="EZ298">
        <v>0</v>
      </c>
      <c r="FA298">
        <v>0</v>
      </c>
      <c r="FB298">
        <f>SUM(EU298:FA298)+(IF(F298="YES",50000,0))</f>
        <v>0</v>
      </c>
      <c r="FC298">
        <f>ET298-FB298</f>
        <v>432060</v>
      </c>
      <c r="FD298">
        <f>ROUND(IF(FC298&gt;0,IF(FC298&gt;500000,12500,(FC298-250000)*0.05),0),0)</f>
        <v>9103</v>
      </c>
      <c r="FE298">
        <f>IF(ROUND(IF(FC298&gt;0,IF(FC298&gt;1000000,25000,(FC298-500000)*0.2),0),0)&lt;0,0,ROUND(IF(FC298&gt;0,IF(FC298&gt;1000000,25000,(FC298-500000)*0.2),0),0))</f>
        <v>0</v>
      </c>
      <c r="FF298">
        <f>FD298+FE298</f>
        <v>9103</v>
      </c>
      <c r="FG298">
        <f>IF(FF298&lt;12500,0,FF298)</f>
        <v>0</v>
      </c>
      <c r="FH298">
        <f>FG298*0.04</f>
        <v>0</v>
      </c>
      <c r="FI298">
        <f>ROUND(FH298+FG298,0)</f>
        <v>0</v>
      </c>
      <c r="FJ298">
        <v>0</v>
      </c>
      <c r="FK298">
        <f>FI298-FJ298</f>
        <v>0</v>
      </c>
      <c r="FL298" t="b">
        <f>IF(EA298&gt;500000,TRUE,FALSE)</f>
        <v>1</v>
      </c>
      <c r="FM298">
        <f ca="1">IF(FL298,RANDBETWEEN(500,1000),RANDBETWEEN(1000,3000))</f>
        <v>614</v>
      </c>
      <c r="FN298">
        <f ca="1">EA298+FM298</f>
        <v>545074</v>
      </c>
      <c r="FO298">
        <f>IF(EA298&gt;0,75000,0)</f>
        <v>75000</v>
      </c>
      <c r="FP298">
        <f ca="1">FN298-FO298</f>
        <v>470074</v>
      </c>
      <c r="FQ298">
        <f ca="1">IF(FP298&gt;2400000,FP298-2400000,0)</f>
        <v>0</v>
      </c>
      <c r="FR298">
        <f ca="1">FQ298*0.3</f>
        <v>0</v>
      </c>
      <c r="FS298">
        <f ca="1">IF(FP298&gt;2000000,FP298-2000000,0)</f>
        <v>0</v>
      </c>
      <c r="FT298">
        <f ca="1">FS298*0.25</f>
        <v>0</v>
      </c>
      <c r="FU298">
        <f ca="1">IF(FP298&gt;1600000,FP298-1600000-FQ298,0)</f>
        <v>0</v>
      </c>
      <c r="FV298">
        <f ca="1">FU298*0.2</f>
        <v>0</v>
      </c>
      <c r="FW298">
        <f ca="1">IF(FP298&gt;1200000,FP298-1200000-IF(F298="YES",50000,0)-FU298,0)</f>
        <v>0</v>
      </c>
      <c r="FX298">
        <f ca="1">FW298*0.15</f>
        <v>0</v>
      </c>
      <c r="FY298">
        <f ca="1">IF(FP298&gt;800000,FP298-800000-FQ298-FU298-FW298,0)</f>
        <v>0</v>
      </c>
      <c r="FZ298">
        <f ca="1">FY298*0.1</f>
        <v>0</v>
      </c>
      <c r="GA298">
        <f ca="1">IF(FP298&gt;400000,FP298-400000-FQ298-FU298-FW298-FY298,0)</f>
        <v>70074</v>
      </c>
      <c r="GB298">
        <f ca="1">GA298*0.05</f>
        <v>3503.7000000000003</v>
      </c>
      <c r="GC298">
        <f ca="1">ROUND(FR298+FT298+FV298+FX298+FZ298+GB298,0)</f>
        <v>3504</v>
      </c>
      <c r="GD298">
        <f ca="1">IF(FP298&gt;1200000,FP298,0)</f>
        <v>0</v>
      </c>
      <c r="GE298">
        <f ca="1">IF(FP298&gt;1200000,GD298-1200000,0)</f>
        <v>0</v>
      </c>
      <c r="GF298">
        <f ca="1">IF(FP298&lt;1200001,MIN(GC298,60000),0)</f>
        <v>3504</v>
      </c>
      <c r="GG298">
        <f ca="1">IF(FP298&gt;1200000,GC298-GE298,0)</f>
        <v>0</v>
      </c>
      <c r="GH298" t="b">
        <f ca="1">IF(GG298&gt;0,TRUE,FALSE)</f>
        <v>0</v>
      </c>
      <c r="GI298">
        <f ca="1">IF(GH298,GG298,0)</f>
        <v>0</v>
      </c>
      <c r="GJ298">
        <f ca="1">GF298+GI298</f>
        <v>3504</v>
      </c>
      <c r="GK298">
        <f ca="1">ROUND(GC298-GJ298,0)</f>
        <v>0</v>
      </c>
      <c r="GL298">
        <f ca="1">GK298*0.04</f>
        <v>0</v>
      </c>
      <c r="GM298">
        <f ca="1">ROUNDUP(GK298+GL298,0)</f>
        <v>0</v>
      </c>
    </row>
    <row r="299" spans="1:195" x14ac:dyDescent="0.25">
      <c r="A299">
        <f>_xlfn.AGGREGATE(3,5,$B$2:B299)</f>
        <v>298</v>
      </c>
      <c r="B299" t="s">
        <v>701</v>
      </c>
      <c r="C299" t="s">
        <v>702</v>
      </c>
      <c r="D299" t="s">
        <v>831</v>
      </c>
      <c r="E299" t="s">
        <v>833</v>
      </c>
      <c r="F299" t="s">
        <v>959</v>
      </c>
      <c r="G299" t="s">
        <v>880</v>
      </c>
      <c r="H299">
        <f>IF(_xlfn.DAYS("31-03-2025",G299)&gt;=180,6800,0)</f>
        <v>6800</v>
      </c>
      <c r="I299">
        <f>_xlfn.XLOOKUP(B299,'[1]march-2025'!$A:$A,'[1]march-2025'!$J:$J,0,0)</f>
        <v>0</v>
      </c>
      <c r="J299">
        <f>_xlfn.XLOOKUP(B299,'[1]march-2025'!$A:$A,'[1]march-2025'!$C:$C,0,0)</f>
        <v>34500</v>
      </c>
      <c r="K299">
        <f>J299*0.14</f>
        <v>4830.0000000000009</v>
      </c>
      <c r="L299">
        <f>J299*0.12</f>
        <v>4140</v>
      </c>
      <c r="M299">
        <f>_xlfn.XLOOKUP(B299,'[1]march-2025'!$A:$A,'[1]march-2025'!$D:$D,0,0)</f>
        <v>400</v>
      </c>
      <c r="N299">
        <f>_xlfn.XLOOKUP(B299,'[1]march-2025'!$A:$A,'[1]march-2025'!$G:$G,0,0)</f>
        <v>0</v>
      </c>
      <c r="O299">
        <f>IF(J299&gt;0,SUM(J299:N299),0)</f>
        <v>43870</v>
      </c>
      <c r="P299">
        <f>_xlfn.XLOOKUP(B299,'[1]march-2025'!$A:$A,'[1]march-2025'!$H:$H,0,0)</f>
        <v>2500</v>
      </c>
      <c r="Q299">
        <f>_xlfn.XLOOKUP(B299,'[1]march-2025'!$A:$A,'[1]march-2025'!$I:$I,0,0)</f>
        <v>0</v>
      </c>
      <c r="R299">
        <f>IF($F299="YES",0,IF(O299&gt;40000,200,IF(O299&gt;25000,150,IF(O299&gt;15000,130,IF(O299&gt;10000,110,0)))))</f>
        <v>200</v>
      </c>
      <c r="S299">
        <f>O299-P299-Q299-R299</f>
        <v>41170</v>
      </c>
      <c r="T299">
        <f>_xlfn.XLOOKUP(B299,'[2]april-2025'!$A:$A,'[2]april-2025'!$C:$C,0,0)</f>
        <v>34500</v>
      </c>
      <c r="U299">
        <f>T299*0.18</f>
        <v>6210</v>
      </c>
      <c r="V299">
        <f>T299*0.12</f>
        <v>4140</v>
      </c>
      <c r="W299">
        <f>_xlfn.XLOOKUP(B299,'[2]april-2025'!$A:$A,'[2]april-2025'!$D:$D,0,0)</f>
        <v>400</v>
      </c>
      <c r="X299">
        <f>_xlfn.XLOOKUP(B299,'[2]april-2025'!$A:$A,'[2]april-2025'!$G:$G,0,0)</f>
        <v>0</v>
      </c>
      <c r="Y299">
        <f>IF(T299&gt;0,SUM(T299:X299),0)</f>
        <v>45250</v>
      </c>
      <c r="Z299">
        <f>_xlfn.XLOOKUP(B299,'[2]april-2025'!$A:$A,'[2]april-2025'!$H:$H,0,0)</f>
        <v>2500</v>
      </c>
      <c r="AA299">
        <f>_xlfn.XLOOKUP(B299,'[2]april-2025'!$A:$A,'[2]april-2025'!$I:$I,0,0)</f>
        <v>0</v>
      </c>
      <c r="AB299">
        <f>IF($F299="YES",0,IF(Y299&gt;40000,200,IF(Y299&gt;25000,150,IF(Y299&gt;15000,130,IF(Y299&gt;10000,110,0)))))</f>
        <v>200</v>
      </c>
      <c r="AC299">
        <f>Y299-Z299-AA299-AB299</f>
        <v>42550</v>
      </c>
      <c r="AD299">
        <f>_xlfn.XLOOKUP(B299,'[3]may-2025'!$A:$A,'[3]may-2025'!$C:$C,0,0)</f>
        <v>34500</v>
      </c>
      <c r="AE299">
        <f>AD299*0.18</f>
        <v>6210</v>
      </c>
      <c r="AF299">
        <f>AD299*0.12</f>
        <v>4140</v>
      </c>
      <c r="AG299">
        <f>_xlfn.XLOOKUP(B299,'[3]may-2025'!$A:$A,'[3]may-2025'!$D:$D,0,0)</f>
        <v>400</v>
      </c>
      <c r="AH299">
        <f>_xlfn.XLOOKUP(B299,'[3]may-2025'!$A:$A,'[3]may-2025'!$G:$G,0,0)</f>
        <v>0</v>
      </c>
      <c r="AI299">
        <f>IF(AD299&gt;0,SUM(AD299:AH299),0)</f>
        <v>45250</v>
      </c>
      <c r="AJ299">
        <f>_xlfn.XLOOKUP(B299,'[3]may-2025'!$A:$A,'[3]may-2025'!$H:$H,0,0)</f>
        <v>2500</v>
      </c>
      <c r="AK299">
        <f>_xlfn.XLOOKUP(B299,'[3]may-2025'!$A:$A,'[3]may-2025'!$I:$I,0,0)</f>
        <v>0</v>
      </c>
      <c r="AL299">
        <f>IF($F299="YES",0,IF(AI299&gt;40000,200,IF(AI299&gt;25000,150,IF(AI299&gt;15000,130,IF(AI299&gt;10000,110,0)))))</f>
        <v>200</v>
      </c>
      <c r="AM299">
        <f>AI299-AJ299-AK299-AL299</f>
        <v>42550</v>
      </c>
      <c r="AN299">
        <f>_xlfn.XLOOKUP(B299,'[4]june-2025'!$A:$A,'[4]june-2025'!$C:$C,0,0)</f>
        <v>34500</v>
      </c>
      <c r="AO299">
        <f>AN299*0.18</f>
        <v>6210</v>
      </c>
      <c r="AP299">
        <f>AN299*0.12</f>
        <v>4140</v>
      </c>
      <c r="AQ299">
        <f>_xlfn.XLOOKUP(B299,'[4]june-2025'!$A:$A,'[4]june-2025'!$D:$D,0,0)</f>
        <v>400</v>
      </c>
      <c r="AR299">
        <f>_xlfn.XLOOKUP(B299,'[4]june-2025'!$A:$A,'[4]june-2025'!$G:$G,0,0)</f>
        <v>0</v>
      </c>
      <c r="AS299">
        <f>IF(AN299&gt;0,SUM(AN299:AR299),0)</f>
        <v>45250</v>
      </c>
      <c r="AT299">
        <f>_xlfn.XLOOKUP(B299,'[4]june-2025'!$A:$A,'[4]june-2025'!$H:$H,0,0)</f>
        <v>2500</v>
      </c>
      <c r="AU299">
        <f>_xlfn.XLOOKUP(B299,'[4]june-2025'!$A:$A,'[4]june-2025'!$I:$I,0,0)</f>
        <v>0</v>
      </c>
      <c r="AV299">
        <f>IF($F299="YES",0,IF(AS299&gt;40000,200,IF(AS299&gt;25000,150,IF(AS299&gt;15000,130,IF(AS299&gt;10000,110,0)))))</f>
        <v>200</v>
      </c>
      <c r="AW299">
        <f>AS299-AT299-AU299-AV299</f>
        <v>42550</v>
      </c>
      <c r="AX299">
        <f>_xlfn.XLOOKUP(B299,'[5]july-2025'!$A:$A,'[5]july-2025'!$C:$C,0,0)</f>
        <v>35500</v>
      </c>
      <c r="AY299">
        <f>AX299*0.18</f>
        <v>6390</v>
      </c>
      <c r="AZ299">
        <v>0</v>
      </c>
      <c r="BA299">
        <f>AX299*0.12</f>
        <v>4260</v>
      </c>
      <c r="BB299">
        <f>_xlfn.XLOOKUP(B299,'[5]july-2025'!$A:$A,'[5]july-2025'!$D:$D,0,0)</f>
        <v>400</v>
      </c>
      <c r="BC299">
        <f>_xlfn.XLOOKUP(B299,'[5]july-2025'!$A:$A,'[5]july-2025'!$G:$G,0,0)</f>
        <v>0</v>
      </c>
      <c r="BD299">
        <f>IF(AX299&gt;0,SUM(AX299:BC299),0)</f>
        <v>46550</v>
      </c>
      <c r="BE299">
        <f>_xlfn.XLOOKUP(B299,'[5]july-2025'!$A:$A,'[5]july-2025'!$H:$H,0,0)</f>
        <v>2500</v>
      </c>
      <c r="BF299">
        <f>_xlfn.XLOOKUP(B299,'[5]july-2025'!$A:$A,'[5]july-2025'!$I:$I,0,0)</f>
        <v>0</v>
      </c>
      <c r="BG299">
        <f>IF($F299="YES",0,IF(BD299&gt;40000,200,IF(BD299&gt;25000,150,IF(BD299&gt;15000,130,IF(BD299&gt;10000,110,0)))))</f>
        <v>200</v>
      </c>
      <c r="BH299">
        <f>BD299-BE299-BF299-BG299</f>
        <v>43850</v>
      </c>
      <c r="BI299">
        <f>_xlfn.XLOOKUP(B299,'[6]august-2025'!$A:$A,'[6]august-2025'!$C:$C,0,0)</f>
        <v>35500</v>
      </c>
      <c r="BJ299">
        <f>BI299*0.18</f>
        <v>6390</v>
      </c>
      <c r="BK299">
        <f>BI299*0.12</f>
        <v>4260</v>
      </c>
      <c r="BL299">
        <f>_xlfn.XLOOKUP(B299,'[6]august-2025'!$A:$A,'[6]august-2025'!$D:$D,0,0)</f>
        <v>400</v>
      </c>
      <c r="BM299">
        <f>_xlfn.XLOOKUP(B299,'[6]august-2025'!$A:$A,'[6]august-2025'!$G:$G,0,0)</f>
        <v>0</v>
      </c>
      <c r="BN299">
        <f>IF(BI299&gt;0,SUM(BI299:BM299),0)</f>
        <v>46550</v>
      </c>
      <c r="BO299">
        <f>_xlfn.XLOOKUP(B299,'[6]august-2025'!$A:$A,'[6]august-2025'!$H:$H,0,0)</f>
        <v>2500</v>
      </c>
      <c r="BP299">
        <f>_xlfn.XLOOKUP(B299,'[6]august-2025'!$A:$A,'[6]august-2025'!$I:$I,0,0)</f>
        <v>0</v>
      </c>
      <c r="BQ299">
        <f>IF($F299="YES",0,IF(BN299&gt;40000,200,IF(BN299&gt;25000,150,IF(BN299&gt;15000,130,IF(BN299&gt;10000,110,0)))))</f>
        <v>200</v>
      </c>
      <c r="BR299">
        <f>BN299-BO299-BP299-BQ299</f>
        <v>43850</v>
      </c>
      <c r="BS299">
        <f>_xlfn.XLOOKUP(B299,'[7]september-2025'!$A:$A,'[7]september-2025'!$C:$C,0,0)</f>
        <v>35500</v>
      </c>
      <c r="BT299">
        <f>BS299*0.18</f>
        <v>6390</v>
      </c>
      <c r="BU299">
        <f>BS299*0.12</f>
        <v>4260</v>
      </c>
      <c r="BV299">
        <f>_xlfn.XLOOKUP(B299,'[7]september-2025'!$A:$A,'[7]september-2025'!$D:$D,0,0)</f>
        <v>400</v>
      </c>
      <c r="BW299">
        <f>_xlfn.XLOOKUP(B299,'[7]september-2025'!$A:$A,'[7]september-2025'!$G:$G,0,0)</f>
        <v>0</v>
      </c>
      <c r="BX299">
        <f>IF(BS299&gt;0,SUM(BS299:BW299),0)</f>
        <v>46550</v>
      </c>
      <c r="BY299">
        <f>_xlfn.XLOOKUP(B299,'[7]september-2025'!$A:$A,'[7]september-2025'!$H:$H,0,0)</f>
        <v>2500</v>
      </c>
      <c r="BZ299">
        <f>_xlfn.XLOOKUP(B299,'[7]september-2025'!$A:$A,'[7]september-2025'!$I:$I,0,0)</f>
        <v>0</v>
      </c>
      <c r="CA299">
        <f>IF($F299="YES",0,IF(BX299&gt;40000,200,IF(BX299&gt;25000,150,IF(BX299&gt;15000,130,IF(BX299&gt;10000,110,0)))))</f>
        <v>200</v>
      </c>
      <c r="CB299">
        <f>BX299-BY299-BZ299-CA299</f>
        <v>43850</v>
      </c>
      <c r="CC299">
        <f>_xlfn.XLOOKUP(B299,'[8]october-2025'!$A:$A,'[8]october-2025'!$C:$C,0,0)</f>
        <v>35500</v>
      </c>
      <c r="CD299">
        <f>CC299*0.18</f>
        <v>6390</v>
      </c>
      <c r="CE299">
        <f>CC299*0.12</f>
        <v>4260</v>
      </c>
      <c r="CF299">
        <f>_xlfn.XLOOKUP(B299,'[8]october-2025'!$A:$A,'[8]october-2025'!$D:$D,0,0)</f>
        <v>400</v>
      </c>
      <c r="CG299">
        <f>_xlfn.XLOOKUP(B299,'[8]october-2025'!$A:$A,'[8]october-2025'!$G:$G,0,0)</f>
        <v>0</v>
      </c>
      <c r="CH299">
        <f>IF(CC299&gt;0,SUM(CC299:CG299),0)</f>
        <v>46550</v>
      </c>
      <c r="CI299">
        <f>_xlfn.XLOOKUP(B299,'[8]october-2025'!$A:$A,'[8]october-2025'!$H:$H,0,0)</f>
        <v>2500</v>
      </c>
      <c r="CJ299">
        <f>_xlfn.XLOOKUP(B299,'[8]october-2025'!$A:$A,'[8]october-2025'!$I:$I,0,0)</f>
        <v>0</v>
      </c>
      <c r="CK299">
        <f>IF($F299="YES",0,IF(CH299&gt;40000,200,IF(CH299&gt;25000,150,IF(CH299&gt;15000,130,IF(CH299&gt;10000,110,0)))))</f>
        <v>200</v>
      </c>
      <c r="CL299">
        <f>CH299-CI299-CJ299-CK299</f>
        <v>43850</v>
      </c>
      <c r="CM299">
        <f>_xlfn.XLOOKUP(B299,'[9]november-2025'!$A:$A,'[9]november-2025'!$C:$C,0,0)</f>
        <v>35500</v>
      </c>
      <c r="CN299">
        <f>CM299*0.18</f>
        <v>6390</v>
      </c>
      <c r="CO299">
        <f>CM299*0.12</f>
        <v>4260</v>
      </c>
      <c r="CP299">
        <f>_xlfn.XLOOKUP(B299,'[9]november-2025'!$A:$A,'[9]november-2025'!$D:$D,0,0)</f>
        <v>400</v>
      </c>
      <c r="CQ299">
        <f>_xlfn.XLOOKUP(B299,'[9]november-2025'!$A:$A,'[9]november-2025'!$G:$G,0,0)</f>
        <v>0</v>
      </c>
      <c r="CR299">
        <f>IF(CM299&gt;0,SUM(CM299:CQ299),0)</f>
        <v>46550</v>
      </c>
      <c r="CS299">
        <f>_xlfn.XLOOKUP(B299,'[9]november-2025'!$A:$A,'[9]november-2025'!$H:$H,0,0)</f>
        <v>2500</v>
      </c>
      <c r="CT299">
        <f>_xlfn.XLOOKUP(B299,'[9]november-2025'!$A:$A,'[9]november-2025'!$I:$I,0,0)</f>
        <v>0</v>
      </c>
      <c r="CU299">
        <f>IF($F299="YES",0,IF(CR299&gt;40000,200,IF(CR299&gt;25000,150,IF(CR299&gt;15000,130,IF(CR299&gt;10000,110,0)))))</f>
        <v>200</v>
      </c>
      <c r="CV299">
        <f>CR299-CS299-CT299-CU299</f>
        <v>43850</v>
      </c>
      <c r="CW299">
        <f>_xlfn.XLOOKUP(B299,'[10]december-2025'!$A:$A,'[10]december-2025'!$C:$C,0,0)</f>
        <v>35500</v>
      </c>
      <c r="CX299">
        <f>ROUND(CW299*0.18,0)</f>
        <v>6390</v>
      </c>
      <c r="CY299">
        <f>ROUND(CW299*0.12,0)</f>
        <v>4260</v>
      </c>
      <c r="CZ299">
        <f>_xlfn.XLOOKUP(B299,'[10]december-2025'!$A:$A,'[10]december-2025'!$D:$D,0,0)</f>
        <v>400</v>
      </c>
      <c r="DA299">
        <f>_xlfn.XLOOKUP(B299,'[10]december-2025'!$A:$A,'[10]december-2025'!$G:$G,0,0)</f>
        <v>0</v>
      </c>
      <c r="DB299">
        <f>IF(CW299&gt;0,SUM(CW299:DA299),0)</f>
        <v>46550</v>
      </c>
      <c r="DC299">
        <f>_xlfn.XLOOKUP(B299,'[10]december-2025'!$A:$A,'[10]december-2025'!$H:$H,0,0)</f>
        <v>2500</v>
      </c>
      <c r="DD299">
        <f>_xlfn.XLOOKUP(B299,'[10]december-2025'!$A:$A,'[10]december-2025'!$I:$I,0,0)</f>
        <v>0</v>
      </c>
      <c r="DE299">
        <f>IF($F299="YES",0,IF(DB299&gt;40000,200,IF(DB299&gt;25000,150,IF(DB299&gt;15000,130,IF(DB299&gt;10000,110,0)))))</f>
        <v>200</v>
      </c>
      <c r="DF299">
        <f>DB299-DC299-DD299-DE299</f>
        <v>43850</v>
      </c>
      <c r="DG299">
        <f>_xlfn.XLOOKUP(B299,'[11]january-2026'!$A:$A,'[11]january-2026'!$C:$C,0,0)</f>
        <v>35500</v>
      </c>
      <c r="DH299">
        <f>DG299*0.18</f>
        <v>6390</v>
      </c>
      <c r="DI299">
        <f>DG299*0.12</f>
        <v>4260</v>
      </c>
      <c r="DJ299">
        <f>_xlfn.XLOOKUP(B299,'[11]january-2026'!$A:$A,'[11]january-2026'!$D:$D,0,0)</f>
        <v>400</v>
      </c>
      <c r="DK299">
        <f>_xlfn.XLOOKUP(B299,'[11]january-2026'!$A:$A,'[11]january-2026'!$G:$G,0,0)</f>
        <v>0</v>
      </c>
      <c r="DL299">
        <f>IF(DG299&gt;0,SUM(DG299:DK299),0)</f>
        <v>46550</v>
      </c>
      <c r="DM299">
        <f>_xlfn.XLOOKUP(B299,'[11]january-2026'!$A:$A,'[11]january-2026'!$H:$H,0,0)</f>
        <v>2500</v>
      </c>
      <c r="DN299">
        <f>_xlfn.XLOOKUP(B299,'[11]january-2026'!$A:$A,'[11]january-2026'!$I:$I,0,0)</f>
        <v>0</v>
      </c>
      <c r="DO299">
        <f>IF($F299="YES",0,IF(DL299&gt;40000,200,IF(DL299&gt;25000,150,IF(DL299&gt;15000,130,IF(DL299&gt;10000,110,0)))))</f>
        <v>200</v>
      </c>
      <c r="DP299">
        <f>DL299-DM299-DN299-DO299</f>
        <v>43850</v>
      </c>
      <c r="DQ299">
        <f>_xlfn.XLOOKUP(B299,'[12]february-2026'!$A:$A,'[12]february-2026'!$C:$C,0,0)</f>
        <v>35500</v>
      </c>
      <c r="DR299">
        <f>DQ299*0.18</f>
        <v>6390</v>
      </c>
      <c r="DS299">
        <f>DQ299*0.12</f>
        <v>4260</v>
      </c>
      <c r="DT299">
        <f>_xlfn.XLOOKUP(B299,'[12]february-2026'!$A:$A,'[12]february-2026'!$D:$D,0,0)</f>
        <v>400</v>
      </c>
      <c r="DU299">
        <f>_xlfn.XLOOKUP(B299,'[12]february-2026'!$A:$A,'[12]february-2026'!$G:$G,0,0)</f>
        <v>0</v>
      </c>
      <c r="DV299">
        <f>IF(DQ299&gt;0,SUM(DQ299:DU299),0)</f>
        <v>46550</v>
      </c>
      <c r="DW299">
        <f>_xlfn.XLOOKUP(B299,'[12]february-2026'!$A:$A,'[12]february-2026'!$H:$H,0,0)</f>
        <v>2500</v>
      </c>
      <c r="DX299">
        <f>_xlfn.XLOOKUP(B299,'[12]february-2026'!$A:$A,'[12]february-2026'!$I:$I,0,0)</f>
        <v>0</v>
      </c>
      <c r="DY299">
        <f>IF($F299="YES",0,IF(DV299&gt;40000,200,IF(DV299&gt;25000,150,IF(DV299&gt;15000,130,IF(DV299&gt;10000,110,0)))))</f>
        <v>200</v>
      </c>
      <c r="DZ299">
        <f>DV299-DW299-DX299-DY299</f>
        <v>43850</v>
      </c>
      <c r="EA299">
        <f>DV299+DL299+DB299+CR299+CH299+BX299+BN299+BD299+AS299+AI299+Y299+O299+H299+I299</f>
        <v>558820</v>
      </c>
      <c r="EB299">
        <f>DY299+DO299+DE299+CU299+CK299+CA299+BQ299+BG299+AV299+AL299+AB299+R299</f>
        <v>2400</v>
      </c>
      <c r="EC299">
        <f>IF(EA299&gt;0,50000,0)</f>
        <v>50000</v>
      </c>
      <c r="ED299">
        <v>0</v>
      </c>
      <c r="EE299">
        <f>EA299-EB299-EC299</f>
        <v>506420</v>
      </c>
      <c r="EF299">
        <f>DW299+DM299+DC299+CS299+CI299+BY299+BO299+BE299+AT299+AJ299+Z299+P299</f>
        <v>30000</v>
      </c>
      <c r="EG299">
        <f>DX299+DN299+DD299+CT299+CJ299+BZ299+BP299+BF299+AU299+AK299+AA299+Q299</f>
        <v>0</v>
      </c>
      <c r="EH299">
        <v>0</v>
      </c>
      <c r="EI299">
        <v>0</v>
      </c>
      <c r="EJ299">
        <v>0</v>
      </c>
      <c r="EK299">
        <v>0</v>
      </c>
      <c r="EL299">
        <v>0</v>
      </c>
      <c r="EM299">
        <v>0</v>
      </c>
      <c r="EN299">
        <v>0</v>
      </c>
      <c r="EO299">
        <v>0</v>
      </c>
      <c r="EP299">
        <v>0</v>
      </c>
      <c r="EQ299">
        <v>0</v>
      </c>
      <c r="ER299">
        <f>SUM(EF299:EQ299)</f>
        <v>30000</v>
      </c>
      <c r="ES299">
        <f>IF(ER299&gt;=150000,150000,ER299)</f>
        <v>30000</v>
      </c>
      <c r="ET299">
        <f>EE299-ES299</f>
        <v>476420</v>
      </c>
      <c r="EU299">
        <v>0</v>
      </c>
      <c r="EV299">
        <v>0</v>
      </c>
      <c r="EW299">
        <v>0</v>
      </c>
      <c r="EX299">
        <v>0</v>
      </c>
      <c r="EY299">
        <v>0</v>
      </c>
      <c r="EZ299">
        <v>0</v>
      </c>
      <c r="FA299">
        <v>0</v>
      </c>
      <c r="FB299">
        <f>SUM(EU299:FA299)+(IF(F299="YES",50000,0))</f>
        <v>0</v>
      </c>
      <c r="FC299">
        <f>ET299-FB299</f>
        <v>476420</v>
      </c>
      <c r="FD299">
        <f>ROUND(IF(FC299&gt;0,IF(FC299&gt;500000,12500,(FC299-250000)*0.05),0),0)</f>
        <v>11321</v>
      </c>
      <c r="FE299">
        <f>IF(ROUND(IF(FC299&gt;0,IF(FC299&gt;1000000,25000,(FC299-500000)*0.2),0),0)&lt;0,0,ROUND(IF(FC299&gt;0,IF(FC299&gt;1000000,25000,(FC299-500000)*0.2),0),0))</f>
        <v>0</v>
      </c>
      <c r="FF299">
        <f>FD299+FE299</f>
        <v>11321</v>
      </c>
      <c r="FG299">
        <f>IF(FF299&lt;12500,0,FF299)</f>
        <v>0</v>
      </c>
      <c r="FH299">
        <f>FG299*0.04</f>
        <v>0</v>
      </c>
      <c r="FI299">
        <f>ROUND(FH299+FG299,0)</f>
        <v>0</v>
      </c>
      <c r="FJ299">
        <v>0</v>
      </c>
      <c r="FK299">
        <f>FI299-FJ299</f>
        <v>0</v>
      </c>
      <c r="FL299" t="b">
        <f>IF(EA299&gt;500000,TRUE,FALSE)</f>
        <v>1</v>
      </c>
      <c r="FM299">
        <f ca="1">IF(FL299,RANDBETWEEN(500,1000),RANDBETWEEN(1000,3000))</f>
        <v>864</v>
      </c>
      <c r="FN299">
        <f ca="1">EA299+FM299</f>
        <v>559684</v>
      </c>
      <c r="FO299">
        <f>IF(EA299&gt;0,75000,0)</f>
        <v>75000</v>
      </c>
      <c r="FP299">
        <f ca="1">FN299-FO299</f>
        <v>484684</v>
      </c>
      <c r="FQ299">
        <f ca="1">IF(FP299&gt;2400000,FP299-2400000,0)</f>
        <v>0</v>
      </c>
      <c r="FR299">
        <f ca="1">FQ299*0.3</f>
        <v>0</v>
      </c>
      <c r="FS299">
        <f ca="1">IF(FP299&gt;2000000,FP299-2000000,0)</f>
        <v>0</v>
      </c>
      <c r="FT299">
        <f ca="1">FS299*0.25</f>
        <v>0</v>
      </c>
      <c r="FU299">
        <f ca="1">IF(FP299&gt;1600000,FP299-1600000-FQ299,0)</f>
        <v>0</v>
      </c>
      <c r="FV299">
        <f ca="1">FU299*0.2</f>
        <v>0</v>
      </c>
      <c r="FW299">
        <f ca="1">IF(FP299&gt;1200000,FP299-1200000-IF(F299="YES",50000,0)-FU299,0)</f>
        <v>0</v>
      </c>
      <c r="FX299">
        <f ca="1">FW299*0.15</f>
        <v>0</v>
      </c>
      <c r="FY299">
        <f ca="1">IF(FP299&gt;800000,FP299-800000-FQ299-FU299-FW299,0)</f>
        <v>0</v>
      </c>
      <c r="FZ299">
        <f ca="1">FY299*0.1</f>
        <v>0</v>
      </c>
      <c r="GA299">
        <f ca="1">IF(FP299&gt;400000,FP299-400000-FQ299-FU299-FW299-FY299,0)</f>
        <v>84684</v>
      </c>
      <c r="GB299">
        <f ca="1">GA299*0.05</f>
        <v>4234.2</v>
      </c>
      <c r="GC299">
        <f ca="1">ROUND(FR299+FT299+FV299+FX299+FZ299+GB299,0)</f>
        <v>4234</v>
      </c>
      <c r="GD299">
        <f ca="1">IF(FP299&gt;1200000,FP299,0)</f>
        <v>0</v>
      </c>
      <c r="GE299">
        <f ca="1">IF(FP299&gt;1200000,GD299-1200000,0)</f>
        <v>0</v>
      </c>
      <c r="GF299">
        <f ca="1">IF(FP299&lt;1200001,MIN(GC299,60000),0)</f>
        <v>4234</v>
      </c>
      <c r="GG299">
        <f ca="1">IF(FP299&gt;1200000,GC299-GE299,0)</f>
        <v>0</v>
      </c>
      <c r="GH299" t="b">
        <f ca="1">IF(GG299&gt;0,TRUE,FALSE)</f>
        <v>0</v>
      </c>
      <c r="GI299">
        <f ca="1">IF(GH299,GG299,0)</f>
        <v>0</v>
      </c>
      <c r="GJ299">
        <f ca="1">GF299+GI299</f>
        <v>4234</v>
      </c>
      <c r="GK299">
        <f ca="1">ROUND(GC299-GJ299,0)</f>
        <v>0</v>
      </c>
      <c r="GL299">
        <f ca="1">GK299*0.04</f>
        <v>0</v>
      </c>
      <c r="GM299">
        <f ca="1">ROUNDUP(GK299+GL299,0)</f>
        <v>0</v>
      </c>
    </row>
    <row r="300" spans="1:195" x14ac:dyDescent="0.25">
      <c r="A300">
        <f>_xlfn.AGGREGATE(3,5,$B$2:B300)</f>
        <v>299</v>
      </c>
      <c r="B300" t="s">
        <v>703</v>
      </c>
      <c r="C300" t="s">
        <v>704</v>
      </c>
      <c r="D300" t="s">
        <v>831</v>
      </c>
      <c r="E300" t="s">
        <v>833</v>
      </c>
      <c r="F300" t="s">
        <v>959</v>
      </c>
      <c r="G300" t="s">
        <v>880</v>
      </c>
      <c r="H300">
        <f>IF(_xlfn.DAYS("31-03-2025",G300)&gt;=180,6800,0)</f>
        <v>6800</v>
      </c>
      <c r="I300">
        <f>_xlfn.XLOOKUP(B300,'[1]march-2025'!$A:$A,'[1]march-2025'!$J:$J,0,0)</f>
        <v>0</v>
      </c>
      <c r="J300">
        <f>_xlfn.XLOOKUP(B300,'[1]march-2025'!$A:$A,'[1]march-2025'!$C:$C,0,0)</f>
        <v>34500</v>
      </c>
      <c r="K300">
        <f>J300*0.14</f>
        <v>4830.0000000000009</v>
      </c>
      <c r="L300">
        <f>J300*0.12</f>
        <v>4140</v>
      </c>
      <c r="M300">
        <f>_xlfn.XLOOKUP(B300,'[1]march-2025'!$A:$A,'[1]march-2025'!$D:$D,0,0)</f>
        <v>0</v>
      </c>
      <c r="N300">
        <f>_xlfn.XLOOKUP(B300,'[1]march-2025'!$A:$A,'[1]march-2025'!$G:$G,0,0)</f>
        <v>500</v>
      </c>
      <c r="O300">
        <f>IF(J300&gt;0,SUM(J300:N300),0)</f>
        <v>43970</v>
      </c>
      <c r="P300">
        <f>_xlfn.XLOOKUP(B300,'[1]march-2025'!$A:$A,'[1]march-2025'!$H:$H,0,0)</f>
        <v>2500</v>
      </c>
      <c r="Q300">
        <f>_xlfn.XLOOKUP(B300,'[1]march-2025'!$A:$A,'[1]march-2025'!$I:$I,0,0)</f>
        <v>0</v>
      </c>
      <c r="R300">
        <f>IF($F300="YES",0,IF(O300&gt;40000,200,IF(O300&gt;25000,150,IF(O300&gt;15000,130,IF(O300&gt;10000,110,0)))))</f>
        <v>200</v>
      </c>
      <c r="S300">
        <f>O300-P300-Q300-R300</f>
        <v>41270</v>
      </c>
      <c r="T300">
        <f>_xlfn.XLOOKUP(B300,'[2]april-2025'!$A:$A,'[2]april-2025'!$C:$C,0,0)</f>
        <v>34500</v>
      </c>
      <c r="U300">
        <f>T300*0.18</f>
        <v>6210</v>
      </c>
      <c r="V300">
        <f>T300*0.12</f>
        <v>4140</v>
      </c>
      <c r="W300">
        <f>_xlfn.XLOOKUP(B300,'[2]april-2025'!$A:$A,'[2]april-2025'!$D:$D,0,0)</f>
        <v>0</v>
      </c>
      <c r="X300">
        <f>_xlfn.XLOOKUP(B300,'[2]april-2025'!$A:$A,'[2]april-2025'!$G:$G,0,0)</f>
        <v>500</v>
      </c>
      <c r="Y300">
        <f>IF(T300&gt;0,SUM(T300:X300),0)</f>
        <v>45350</v>
      </c>
      <c r="Z300">
        <f>_xlfn.XLOOKUP(B300,'[2]april-2025'!$A:$A,'[2]april-2025'!$H:$H,0,0)</f>
        <v>2500</v>
      </c>
      <c r="AA300">
        <f>_xlfn.XLOOKUP(B300,'[2]april-2025'!$A:$A,'[2]april-2025'!$I:$I,0,0)</f>
        <v>0</v>
      </c>
      <c r="AB300">
        <f>IF($F300="YES",0,IF(Y300&gt;40000,200,IF(Y300&gt;25000,150,IF(Y300&gt;15000,130,IF(Y300&gt;10000,110,0)))))</f>
        <v>200</v>
      </c>
      <c r="AC300">
        <f>Y300-Z300-AA300-AB300</f>
        <v>42650</v>
      </c>
      <c r="AD300">
        <f>_xlfn.XLOOKUP(B300,'[3]may-2025'!$A:$A,'[3]may-2025'!$C:$C,0,0)</f>
        <v>34500</v>
      </c>
      <c r="AE300">
        <f>AD300*0.18</f>
        <v>6210</v>
      </c>
      <c r="AF300">
        <f>AD300*0.12</f>
        <v>4140</v>
      </c>
      <c r="AG300">
        <f>_xlfn.XLOOKUP(B300,'[3]may-2025'!$A:$A,'[3]may-2025'!$D:$D,0,0)</f>
        <v>0</v>
      </c>
      <c r="AH300">
        <f>_xlfn.XLOOKUP(B300,'[3]may-2025'!$A:$A,'[3]may-2025'!$G:$G,0,0)</f>
        <v>500</v>
      </c>
      <c r="AI300">
        <f>IF(AD300&gt;0,SUM(AD300:AH300),0)</f>
        <v>45350</v>
      </c>
      <c r="AJ300">
        <f>_xlfn.XLOOKUP(B300,'[3]may-2025'!$A:$A,'[3]may-2025'!$H:$H,0,0)</f>
        <v>2500</v>
      </c>
      <c r="AK300">
        <f>_xlfn.XLOOKUP(B300,'[3]may-2025'!$A:$A,'[3]may-2025'!$I:$I,0,0)</f>
        <v>0</v>
      </c>
      <c r="AL300">
        <f>IF($F300="YES",0,IF(AI300&gt;40000,200,IF(AI300&gt;25000,150,IF(AI300&gt;15000,130,IF(AI300&gt;10000,110,0)))))</f>
        <v>200</v>
      </c>
      <c r="AM300">
        <f>AI300-AJ300-AK300-AL300</f>
        <v>42650</v>
      </c>
      <c r="AN300">
        <f>_xlfn.XLOOKUP(B300,'[4]june-2025'!$A:$A,'[4]june-2025'!$C:$C,0,0)</f>
        <v>34500</v>
      </c>
      <c r="AO300">
        <f>AN300*0.18</f>
        <v>6210</v>
      </c>
      <c r="AP300">
        <f>AN300*0.12</f>
        <v>4140</v>
      </c>
      <c r="AQ300">
        <f>_xlfn.XLOOKUP(B300,'[4]june-2025'!$A:$A,'[4]june-2025'!$D:$D,0,0)</f>
        <v>0</v>
      </c>
      <c r="AR300">
        <f>_xlfn.XLOOKUP(B300,'[4]june-2025'!$A:$A,'[4]june-2025'!$G:$G,0,0)</f>
        <v>500</v>
      </c>
      <c r="AS300">
        <f>IF(AN300&gt;0,SUM(AN300:AR300),0)</f>
        <v>45350</v>
      </c>
      <c r="AT300">
        <f>_xlfn.XLOOKUP(B300,'[4]june-2025'!$A:$A,'[4]june-2025'!$H:$H,0,0)</f>
        <v>2500</v>
      </c>
      <c r="AU300">
        <f>_xlfn.XLOOKUP(B300,'[4]june-2025'!$A:$A,'[4]june-2025'!$I:$I,0,0)</f>
        <v>0</v>
      </c>
      <c r="AV300">
        <f>IF($F300="YES",0,IF(AS300&gt;40000,200,IF(AS300&gt;25000,150,IF(AS300&gt;15000,130,IF(AS300&gt;10000,110,0)))))</f>
        <v>200</v>
      </c>
      <c r="AW300">
        <f>AS300-AT300-AU300-AV300</f>
        <v>42650</v>
      </c>
      <c r="AX300">
        <f>_xlfn.XLOOKUP(B300,'[5]july-2025'!$A:$A,'[5]july-2025'!$C:$C,0,0)</f>
        <v>35500</v>
      </c>
      <c r="AY300">
        <f>AX300*0.18</f>
        <v>6390</v>
      </c>
      <c r="AZ300">
        <v>0</v>
      </c>
      <c r="BA300">
        <f>AX300*0.12</f>
        <v>4260</v>
      </c>
      <c r="BB300">
        <f>_xlfn.XLOOKUP(B300,'[5]july-2025'!$A:$A,'[5]july-2025'!$D:$D,0,0)</f>
        <v>0</v>
      </c>
      <c r="BC300">
        <f>_xlfn.XLOOKUP(B300,'[5]july-2025'!$A:$A,'[5]july-2025'!$G:$G,0,0)</f>
        <v>500</v>
      </c>
      <c r="BD300">
        <f>IF(AX300&gt;0,SUM(AX300:BC300),0)</f>
        <v>46650</v>
      </c>
      <c r="BE300">
        <f>_xlfn.XLOOKUP(B300,'[5]july-2025'!$A:$A,'[5]july-2025'!$H:$H,0,0)</f>
        <v>2500</v>
      </c>
      <c r="BF300">
        <f>_xlfn.XLOOKUP(B300,'[5]july-2025'!$A:$A,'[5]july-2025'!$I:$I,0,0)</f>
        <v>0</v>
      </c>
      <c r="BG300">
        <f>IF($F300="YES",0,IF(BD300&gt;40000,200,IF(BD300&gt;25000,150,IF(BD300&gt;15000,130,IF(BD300&gt;10000,110,0)))))</f>
        <v>200</v>
      </c>
      <c r="BH300">
        <f>BD300-BE300-BF300-BG300</f>
        <v>43950</v>
      </c>
      <c r="BI300">
        <f>_xlfn.XLOOKUP(B300,'[6]august-2025'!$A:$A,'[6]august-2025'!$C:$C,0,0)</f>
        <v>35500</v>
      </c>
      <c r="BJ300">
        <f>BI300*0.18</f>
        <v>6390</v>
      </c>
      <c r="BK300">
        <f>BI300*0.12</f>
        <v>4260</v>
      </c>
      <c r="BL300">
        <f>_xlfn.XLOOKUP(B300,'[6]august-2025'!$A:$A,'[6]august-2025'!$D:$D,0,0)</f>
        <v>0</v>
      </c>
      <c r="BM300">
        <f>_xlfn.XLOOKUP(B300,'[6]august-2025'!$A:$A,'[6]august-2025'!$G:$G,0,0)</f>
        <v>500</v>
      </c>
      <c r="BN300">
        <f>IF(BI300&gt;0,SUM(BI300:BM300),0)</f>
        <v>46650</v>
      </c>
      <c r="BO300">
        <f>_xlfn.XLOOKUP(B300,'[6]august-2025'!$A:$A,'[6]august-2025'!$H:$H,0,0)</f>
        <v>2500</v>
      </c>
      <c r="BP300">
        <f>_xlfn.XLOOKUP(B300,'[6]august-2025'!$A:$A,'[6]august-2025'!$I:$I,0,0)</f>
        <v>0</v>
      </c>
      <c r="BQ300">
        <f>IF($F300="YES",0,IF(BN300&gt;40000,200,IF(BN300&gt;25000,150,IF(BN300&gt;15000,130,IF(BN300&gt;10000,110,0)))))</f>
        <v>200</v>
      </c>
      <c r="BR300">
        <f>BN300-BO300-BP300-BQ300</f>
        <v>43950</v>
      </c>
      <c r="BS300">
        <f>_xlfn.XLOOKUP(B300,'[7]september-2025'!$A:$A,'[7]september-2025'!$C:$C,0,0)</f>
        <v>35500</v>
      </c>
      <c r="BT300">
        <f>BS300*0.18</f>
        <v>6390</v>
      </c>
      <c r="BU300">
        <f>BS300*0.12</f>
        <v>4260</v>
      </c>
      <c r="BV300">
        <f>_xlfn.XLOOKUP(B300,'[7]september-2025'!$A:$A,'[7]september-2025'!$D:$D,0,0)</f>
        <v>0</v>
      </c>
      <c r="BW300">
        <f>_xlfn.XLOOKUP(B300,'[7]september-2025'!$A:$A,'[7]september-2025'!$G:$G,0,0)</f>
        <v>500</v>
      </c>
      <c r="BX300">
        <f>IF(BS300&gt;0,SUM(BS300:BW300),0)</f>
        <v>46650</v>
      </c>
      <c r="BY300">
        <f>_xlfn.XLOOKUP(B300,'[7]september-2025'!$A:$A,'[7]september-2025'!$H:$H,0,0)</f>
        <v>2500</v>
      </c>
      <c r="BZ300">
        <f>_xlfn.XLOOKUP(B300,'[7]september-2025'!$A:$A,'[7]september-2025'!$I:$I,0,0)</f>
        <v>0</v>
      </c>
      <c r="CA300">
        <f>IF($F300="YES",0,IF(BX300&gt;40000,200,IF(BX300&gt;25000,150,IF(BX300&gt;15000,130,IF(BX300&gt;10000,110,0)))))</f>
        <v>200</v>
      </c>
      <c r="CB300">
        <f>BX300-BY300-BZ300-CA300</f>
        <v>43950</v>
      </c>
      <c r="CC300">
        <f>_xlfn.XLOOKUP(B300,'[8]october-2025'!$A:$A,'[8]october-2025'!$C:$C,0,0)</f>
        <v>35500</v>
      </c>
      <c r="CD300">
        <f>CC300*0.18</f>
        <v>6390</v>
      </c>
      <c r="CE300">
        <f>CC300*0.12</f>
        <v>4260</v>
      </c>
      <c r="CF300">
        <f>_xlfn.XLOOKUP(B300,'[8]october-2025'!$A:$A,'[8]october-2025'!$D:$D,0,0)</f>
        <v>0</v>
      </c>
      <c r="CG300">
        <f>_xlfn.XLOOKUP(B300,'[8]october-2025'!$A:$A,'[8]october-2025'!$G:$G,0,0)</f>
        <v>500</v>
      </c>
      <c r="CH300">
        <f>IF(CC300&gt;0,SUM(CC300:CG300),0)</f>
        <v>46650</v>
      </c>
      <c r="CI300">
        <f>_xlfn.XLOOKUP(B300,'[8]october-2025'!$A:$A,'[8]october-2025'!$H:$H,0,0)</f>
        <v>2500</v>
      </c>
      <c r="CJ300">
        <f>_xlfn.XLOOKUP(B300,'[8]october-2025'!$A:$A,'[8]october-2025'!$I:$I,0,0)</f>
        <v>0</v>
      </c>
      <c r="CK300">
        <f>IF($F300="YES",0,IF(CH300&gt;40000,200,IF(CH300&gt;25000,150,IF(CH300&gt;15000,130,IF(CH300&gt;10000,110,0)))))</f>
        <v>200</v>
      </c>
      <c r="CL300">
        <f>CH300-CI300-CJ300-CK300</f>
        <v>43950</v>
      </c>
      <c r="CM300">
        <f>_xlfn.XLOOKUP(B300,'[9]november-2025'!$A:$A,'[9]november-2025'!$C:$C,0,0)</f>
        <v>35500</v>
      </c>
      <c r="CN300">
        <f>CM300*0.18</f>
        <v>6390</v>
      </c>
      <c r="CO300">
        <f>CM300*0.12</f>
        <v>4260</v>
      </c>
      <c r="CP300">
        <f>_xlfn.XLOOKUP(B300,'[9]november-2025'!$A:$A,'[9]november-2025'!$D:$D,0,0)</f>
        <v>0</v>
      </c>
      <c r="CQ300">
        <f>_xlfn.XLOOKUP(B300,'[9]november-2025'!$A:$A,'[9]november-2025'!$G:$G,0,0)</f>
        <v>500</v>
      </c>
      <c r="CR300">
        <f>IF(CM300&gt;0,SUM(CM300:CQ300),0)</f>
        <v>46650</v>
      </c>
      <c r="CS300">
        <f>_xlfn.XLOOKUP(B300,'[9]november-2025'!$A:$A,'[9]november-2025'!$H:$H,0,0)</f>
        <v>2500</v>
      </c>
      <c r="CT300">
        <f>_xlfn.XLOOKUP(B300,'[9]november-2025'!$A:$A,'[9]november-2025'!$I:$I,0,0)</f>
        <v>0</v>
      </c>
      <c r="CU300">
        <f>IF($F300="YES",0,IF(CR300&gt;40000,200,IF(CR300&gt;25000,150,IF(CR300&gt;15000,130,IF(CR300&gt;10000,110,0)))))</f>
        <v>200</v>
      </c>
      <c r="CV300">
        <f>CR300-CS300-CT300-CU300</f>
        <v>43950</v>
      </c>
      <c r="CW300">
        <f>_xlfn.XLOOKUP(B300,'[10]december-2025'!$A:$A,'[10]december-2025'!$C:$C,0,0)</f>
        <v>35500</v>
      </c>
      <c r="CX300">
        <f>ROUND(CW300*0.18,0)</f>
        <v>6390</v>
      </c>
      <c r="CY300">
        <f>ROUND(CW300*0.12,0)</f>
        <v>4260</v>
      </c>
      <c r="CZ300">
        <f>_xlfn.XLOOKUP(B300,'[10]december-2025'!$A:$A,'[10]december-2025'!$D:$D,0,0)</f>
        <v>0</v>
      </c>
      <c r="DA300">
        <f>_xlfn.XLOOKUP(B300,'[10]december-2025'!$A:$A,'[10]december-2025'!$G:$G,0,0)</f>
        <v>500</v>
      </c>
      <c r="DB300">
        <f>IF(CW300&gt;0,SUM(CW300:DA300),0)</f>
        <v>46650</v>
      </c>
      <c r="DC300">
        <f>_xlfn.XLOOKUP(B300,'[10]december-2025'!$A:$A,'[10]december-2025'!$H:$H,0,0)</f>
        <v>2500</v>
      </c>
      <c r="DD300">
        <f>_xlfn.XLOOKUP(B300,'[10]december-2025'!$A:$A,'[10]december-2025'!$I:$I,0,0)</f>
        <v>0</v>
      </c>
      <c r="DE300">
        <f>IF($F300="YES",0,IF(DB300&gt;40000,200,IF(DB300&gt;25000,150,IF(DB300&gt;15000,130,IF(DB300&gt;10000,110,0)))))</f>
        <v>200</v>
      </c>
      <c r="DF300">
        <f>DB300-DC300-DD300-DE300</f>
        <v>43950</v>
      </c>
      <c r="DG300">
        <f>_xlfn.XLOOKUP(B300,'[11]january-2026'!$A:$A,'[11]january-2026'!$C:$C,0,0)</f>
        <v>35500</v>
      </c>
      <c r="DH300">
        <f>DG300*0.18</f>
        <v>6390</v>
      </c>
      <c r="DI300">
        <f>DG300*0.12</f>
        <v>4260</v>
      </c>
      <c r="DJ300">
        <f>_xlfn.XLOOKUP(B300,'[11]january-2026'!$A:$A,'[11]january-2026'!$D:$D,0,0)</f>
        <v>0</v>
      </c>
      <c r="DK300">
        <f>_xlfn.XLOOKUP(B300,'[11]january-2026'!$A:$A,'[11]january-2026'!$G:$G,0,0)</f>
        <v>500</v>
      </c>
      <c r="DL300">
        <f>IF(DG300&gt;0,SUM(DG300:DK300),0)</f>
        <v>46650</v>
      </c>
      <c r="DM300">
        <f>_xlfn.XLOOKUP(B300,'[11]january-2026'!$A:$A,'[11]january-2026'!$H:$H,0,0)</f>
        <v>2500</v>
      </c>
      <c r="DN300">
        <f>_xlfn.XLOOKUP(B300,'[11]january-2026'!$A:$A,'[11]january-2026'!$I:$I,0,0)</f>
        <v>0</v>
      </c>
      <c r="DO300">
        <f>IF($F300="YES",0,IF(DL300&gt;40000,200,IF(DL300&gt;25000,150,IF(DL300&gt;15000,130,IF(DL300&gt;10000,110,0)))))</f>
        <v>200</v>
      </c>
      <c r="DP300">
        <f>DL300-DM300-DN300-DO300</f>
        <v>43950</v>
      </c>
      <c r="DQ300">
        <f>_xlfn.XLOOKUP(B300,'[12]february-2026'!$A:$A,'[12]february-2026'!$C:$C,0,0)</f>
        <v>35500</v>
      </c>
      <c r="DR300">
        <f>DQ300*0.18</f>
        <v>6390</v>
      </c>
      <c r="DS300">
        <f>DQ300*0.12</f>
        <v>4260</v>
      </c>
      <c r="DT300">
        <f>_xlfn.XLOOKUP(B300,'[12]february-2026'!$A:$A,'[12]february-2026'!$D:$D,0,0)</f>
        <v>0</v>
      </c>
      <c r="DU300">
        <f>_xlfn.XLOOKUP(B300,'[12]february-2026'!$A:$A,'[12]february-2026'!$G:$G,0,0)</f>
        <v>500</v>
      </c>
      <c r="DV300">
        <f>IF(DQ300&gt;0,SUM(DQ300:DU300),0)</f>
        <v>46650</v>
      </c>
      <c r="DW300">
        <f>_xlfn.XLOOKUP(B300,'[12]february-2026'!$A:$A,'[12]february-2026'!$H:$H,0,0)</f>
        <v>2500</v>
      </c>
      <c r="DX300">
        <f>_xlfn.XLOOKUP(B300,'[12]february-2026'!$A:$A,'[12]february-2026'!$I:$I,0,0)</f>
        <v>0</v>
      </c>
      <c r="DY300">
        <f>IF($F300="YES",0,IF(DV300&gt;40000,200,IF(DV300&gt;25000,150,IF(DV300&gt;15000,130,IF(DV300&gt;10000,110,0)))))</f>
        <v>200</v>
      </c>
      <c r="DZ300">
        <f>DV300-DW300-DX300-DY300</f>
        <v>43950</v>
      </c>
      <c r="EA300">
        <f>DV300+DL300+DB300+CR300+CH300+BX300+BN300+BD300+AS300+AI300+Y300+O300+H300+I300</f>
        <v>560020</v>
      </c>
      <c r="EB300">
        <f>DY300+DO300+DE300+CU300+CK300+CA300+BQ300+BG300+AV300+AL300+AB300+R300</f>
        <v>2400</v>
      </c>
      <c r="EC300">
        <f>IF(EA300&gt;0,50000,0)</f>
        <v>50000</v>
      </c>
      <c r="ED300">
        <v>0</v>
      </c>
      <c r="EE300">
        <f>EA300-EB300-EC300</f>
        <v>507620</v>
      </c>
      <c r="EF300">
        <f>DW300+DM300+DC300+CS300+CI300+BY300+BO300+BE300+AT300+AJ300+Z300+P300</f>
        <v>30000</v>
      </c>
      <c r="EG300">
        <f>DX300+DN300+DD300+CT300+CJ300+BZ300+BP300+BF300+AU300+AK300+AA300+Q300</f>
        <v>0</v>
      </c>
      <c r="EH300">
        <v>0</v>
      </c>
      <c r="EI300">
        <v>0</v>
      </c>
      <c r="EJ300">
        <v>0</v>
      </c>
      <c r="EK300">
        <v>0</v>
      </c>
      <c r="EL300">
        <v>0</v>
      </c>
      <c r="EM300">
        <v>0</v>
      </c>
      <c r="EN300">
        <v>0</v>
      </c>
      <c r="EO300">
        <v>0</v>
      </c>
      <c r="EP300">
        <v>0</v>
      </c>
      <c r="EQ300">
        <v>0</v>
      </c>
      <c r="ER300">
        <f>SUM(EF300:EQ300)</f>
        <v>30000</v>
      </c>
      <c r="ES300">
        <f>IF(ER300&gt;=150000,150000,ER300)</f>
        <v>30000</v>
      </c>
      <c r="ET300">
        <f>EE300-ES300</f>
        <v>477620</v>
      </c>
      <c r="EU300">
        <v>0</v>
      </c>
      <c r="EV300">
        <v>0</v>
      </c>
      <c r="EW300">
        <v>0</v>
      </c>
      <c r="EX300">
        <v>0</v>
      </c>
      <c r="EY300">
        <v>0</v>
      </c>
      <c r="EZ300">
        <v>0</v>
      </c>
      <c r="FA300">
        <v>0</v>
      </c>
      <c r="FB300">
        <f>SUM(EU300:FA300)+(IF(F300="YES",50000,0))</f>
        <v>0</v>
      </c>
      <c r="FC300">
        <f>ET300-FB300</f>
        <v>477620</v>
      </c>
      <c r="FD300">
        <f>ROUND(IF(FC300&gt;0,IF(FC300&gt;500000,12500,(FC300-250000)*0.05),0),0)</f>
        <v>11381</v>
      </c>
      <c r="FE300">
        <f>IF(ROUND(IF(FC300&gt;0,IF(FC300&gt;1000000,25000,(FC300-500000)*0.2),0),0)&lt;0,0,ROUND(IF(FC300&gt;0,IF(FC300&gt;1000000,25000,(FC300-500000)*0.2),0),0))</f>
        <v>0</v>
      </c>
      <c r="FF300">
        <f>FD300+FE300</f>
        <v>11381</v>
      </c>
      <c r="FG300">
        <f>IF(FF300&lt;12500,0,FF300)</f>
        <v>0</v>
      </c>
      <c r="FH300">
        <f>FG300*0.04</f>
        <v>0</v>
      </c>
      <c r="FI300">
        <f>ROUND(FH300+FG300,0)</f>
        <v>0</v>
      </c>
      <c r="FJ300">
        <v>0</v>
      </c>
      <c r="FK300">
        <f>FI300-FJ300</f>
        <v>0</v>
      </c>
      <c r="FL300" t="b">
        <f>IF(EA300&gt;500000,TRUE,FALSE)</f>
        <v>1</v>
      </c>
      <c r="FM300">
        <f ca="1">IF(FL300,RANDBETWEEN(500,1000),RANDBETWEEN(1000,3000))</f>
        <v>586</v>
      </c>
      <c r="FN300">
        <f ca="1">EA300+FM300</f>
        <v>560606</v>
      </c>
      <c r="FO300">
        <f>IF(EA300&gt;0,75000,0)</f>
        <v>75000</v>
      </c>
      <c r="FP300">
        <f ca="1">FN300-FO300</f>
        <v>485606</v>
      </c>
      <c r="FQ300">
        <f ca="1">IF(FP300&gt;2400000,FP300-2400000,0)</f>
        <v>0</v>
      </c>
      <c r="FR300">
        <f ca="1">FQ300*0.3</f>
        <v>0</v>
      </c>
      <c r="FS300">
        <f ca="1">IF(FP300&gt;2000000,FP300-2000000,0)</f>
        <v>0</v>
      </c>
      <c r="FT300">
        <f ca="1">FS300*0.25</f>
        <v>0</v>
      </c>
      <c r="FU300">
        <f ca="1">IF(FP300&gt;1600000,FP300-1600000-FQ300,0)</f>
        <v>0</v>
      </c>
      <c r="FV300">
        <f ca="1">FU300*0.2</f>
        <v>0</v>
      </c>
      <c r="FW300">
        <f ca="1">IF(FP300&gt;1200000,FP300-1200000-IF(F300="YES",50000,0)-FU300,0)</f>
        <v>0</v>
      </c>
      <c r="FX300">
        <f ca="1">FW300*0.15</f>
        <v>0</v>
      </c>
      <c r="FY300">
        <f ca="1">IF(FP300&gt;800000,FP300-800000-FQ300-FU300-FW300,0)</f>
        <v>0</v>
      </c>
      <c r="FZ300">
        <f ca="1">FY300*0.1</f>
        <v>0</v>
      </c>
      <c r="GA300">
        <f ca="1">IF(FP300&gt;400000,FP300-400000-FQ300-FU300-FW300-FY300,0)</f>
        <v>85606</v>
      </c>
      <c r="GB300">
        <f ca="1">GA300*0.05</f>
        <v>4280.3</v>
      </c>
      <c r="GC300">
        <f ca="1">ROUND(FR300+FT300+FV300+FX300+FZ300+GB300,0)</f>
        <v>4280</v>
      </c>
      <c r="GD300">
        <f ca="1">IF(FP300&gt;1200000,FP300,0)</f>
        <v>0</v>
      </c>
      <c r="GE300">
        <f ca="1">IF(FP300&gt;1200000,GD300-1200000,0)</f>
        <v>0</v>
      </c>
      <c r="GF300">
        <f ca="1">IF(FP300&lt;1200001,MIN(GC300,60000),0)</f>
        <v>4280</v>
      </c>
      <c r="GG300">
        <f ca="1">IF(FP300&gt;1200000,GC300-GE300,0)</f>
        <v>0</v>
      </c>
      <c r="GH300" t="b">
        <f ca="1">IF(GG300&gt;0,TRUE,FALSE)</f>
        <v>0</v>
      </c>
      <c r="GI300">
        <f ca="1">IF(GH300,GG300,0)</f>
        <v>0</v>
      </c>
      <c r="GJ300">
        <f ca="1">GF300+GI300</f>
        <v>4280</v>
      </c>
      <c r="GK300">
        <f ca="1">ROUND(GC300-GJ300,0)</f>
        <v>0</v>
      </c>
      <c r="GL300">
        <f ca="1">GK300*0.04</f>
        <v>0</v>
      </c>
      <c r="GM300">
        <f ca="1">ROUNDUP(GK300+GL300,0)</f>
        <v>0</v>
      </c>
    </row>
    <row r="301" spans="1:195" x14ac:dyDescent="0.25">
      <c r="A301">
        <f>_xlfn.AGGREGATE(3,5,$B$2:B301)</f>
        <v>300</v>
      </c>
      <c r="B301" t="s">
        <v>705</v>
      </c>
      <c r="C301" t="s">
        <v>706</v>
      </c>
      <c r="D301" t="s">
        <v>831</v>
      </c>
      <c r="E301" t="s">
        <v>833</v>
      </c>
      <c r="F301" t="s">
        <v>959</v>
      </c>
      <c r="G301" t="s">
        <v>880</v>
      </c>
      <c r="H301">
        <f>IF(_xlfn.DAYS("31-03-2025",G301)&gt;=180,6800,0)</f>
        <v>6800</v>
      </c>
      <c r="I301">
        <f>_xlfn.XLOOKUP(B301,'[1]march-2025'!$A:$A,'[1]march-2025'!$J:$J,0,0)</f>
        <v>0</v>
      </c>
      <c r="J301">
        <f>_xlfn.XLOOKUP(B301,'[1]march-2025'!$A:$A,'[1]march-2025'!$C:$C,0,0)</f>
        <v>34500</v>
      </c>
      <c r="K301">
        <f>J301*0.14</f>
        <v>4830.0000000000009</v>
      </c>
      <c r="L301">
        <f>J301*0.12</f>
        <v>4140</v>
      </c>
      <c r="M301">
        <f>_xlfn.XLOOKUP(B301,'[1]march-2025'!$A:$A,'[1]march-2025'!$D:$D,0,0)</f>
        <v>0</v>
      </c>
      <c r="N301">
        <f>_xlfn.XLOOKUP(B301,'[1]march-2025'!$A:$A,'[1]march-2025'!$G:$G,0,0)</f>
        <v>500</v>
      </c>
      <c r="O301">
        <f>IF(J301&gt;0,SUM(J301:N301),0)</f>
        <v>43970</v>
      </c>
      <c r="P301">
        <f>_xlfn.XLOOKUP(B301,'[1]march-2025'!$A:$A,'[1]march-2025'!$H:$H,0,0)</f>
        <v>2500</v>
      </c>
      <c r="Q301">
        <f>_xlfn.XLOOKUP(B301,'[1]march-2025'!$A:$A,'[1]march-2025'!$I:$I,0,0)</f>
        <v>0</v>
      </c>
      <c r="R301">
        <f>IF($F301="YES",0,IF(O301&gt;40000,200,IF(O301&gt;25000,150,IF(O301&gt;15000,130,IF(O301&gt;10000,110,0)))))</f>
        <v>200</v>
      </c>
      <c r="S301">
        <f>O301-P301-Q301-R301</f>
        <v>41270</v>
      </c>
      <c r="T301">
        <f>_xlfn.XLOOKUP(B301,'[2]april-2025'!$A:$A,'[2]april-2025'!$C:$C,0,0)</f>
        <v>34500</v>
      </c>
      <c r="U301">
        <f>T301*0.18</f>
        <v>6210</v>
      </c>
      <c r="V301">
        <f>T301*0.12</f>
        <v>4140</v>
      </c>
      <c r="W301">
        <f>_xlfn.XLOOKUP(B301,'[2]april-2025'!$A:$A,'[2]april-2025'!$D:$D,0,0)</f>
        <v>0</v>
      </c>
      <c r="X301">
        <f>_xlfn.XLOOKUP(B301,'[2]april-2025'!$A:$A,'[2]april-2025'!$G:$G,0,0)</f>
        <v>500</v>
      </c>
      <c r="Y301">
        <f>IF(T301&gt;0,SUM(T301:X301),0)</f>
        <v>45350</v>
      </c>
      <c r="Z301">
        <f>_xlfn.XLOOKUP(B301,'[2]april-2025'!$A:$A,'[2]april-2025'!$H:$H,0,0)</f>
        <v>2500</v>
      </c>
      <c r="AA301">
        <f>_xlfn.XLOOKUP(B301,'[2]april-2025'!$A:$A,'[2]april-2025'!$I:$I,0,0)</f>
        <v>0</v>
      </c>
      <c r="AB301">
        <f>IF($F301="YES",0,IF(Y301&gt;40000,200,IF(Y301&gt;25000,150,IF(Y301&gt;15000,130,IF(Y301&gt;10000,110,0)))))</f>
        <v>200</v>
      </c>
      <c r="AC301">
        <f>Y301-Z301-AA301-AB301</f>
        <v>42650</v>
      </c>
      <c r="AD301">
        <f>_xlfn.XLOOKUP(B301,'[3]may-2025'!$A:$A,'[3]may-2025'!$C:$C,0,0)</f>
        <v>34500</v>
      </c>
      <c r="AE301">
        <f>AD301*0.18</f>
        <v>6210</v>
      </c>
      <c r="AF301">
        <f>AD301*0.12</f>
        <v>4140</v>
      </c>
      <c r="AG301">
        <f>_xlfn.XLOOKUP(B301,'[3]may-2025'!$A:$A,'[3]may-2025'!$D:$D,0,0)</f>
        <v>0</v>
      </c>
      <c r="AH301">
        <f>_xlfn.XLOOKUP(B301,'[3]may-2025'!$A:$A,'[3]may-2025'!$G:$G,0,0)</f>
        <v>500</v>
      </c>
      <c r="AI301">
        <f>IF(AD301&gt;0,SUM(AD301:AH301),0)</f>
        <v>45350</v>
      </c>
      <c r="AJ301">
        <f>_xlfn.XLOOKUP(B301,'[3]may-2025'!$A:$A,'[3]may-2025'!$H:$H,0,0)</f>
        <v>2500</v>
      </c>
      <c r="AK301">
        <f>_xlfn.XLOOKUP(B301,'[3]may-2025'!$A:$A,'[3]may-2025'!$I:$I,0,0)</f>
        <v>0</v>
      </c>
      <c r="AL301">
        <f>IF($F301="YES",0,IF(AI301&gt;40000,200,IF(AI301&gt;25000,150,IF(AI301&gt;15000,130,IF(AI301&gt;10000,110,0)))))</f>
        <v>200</v>
      </c>
      <c r="AM301">
        <f>AI301-AJ301-AK301-AL301</f>
        <v>42650</v>
      </c>
      <c r="AN301">
        <f>_xlfn.XLOOKUP(B301,'[4]june-2025'!$A:$A,'[4]june-2025'!$C:$C,0,0)</f>
        <v>34500</v>
      </c>
      <c r="AO301">
        <f>AN301*0.18</f>
        <v>6210</v>
      </c>
      <c r="AP301">
        <f>AN301*0.12</f>
        <v>4140</v>
      </c>
      <c r="AQ301">
        <f>_xlfn.XLOOKUP(B301,'[4]june-2025'!$A:$A,'[4]june-2025'!$D:$D,0,0)</f>
        <v>0</v>
      </c>
      <c r="AR301">
        <f>_xlfn.XLOOKUP(B301,'[4]june-2025'!$A:$A,'[4]june-2025'!$G:$G,0,0)</f>
        <v>500</v>
      </c>
      <c r="AS301">
        <f>IF(AN301&gt;0,SUM(AN301:AR301),0)</f>
        <v>45350</v>
      </c>
      <c r="AT301">
        <f>_xlfn.XLOOKUP(B301,'[4]june-2025'!$A:$A,'[4]june-2025'!$H:$H,0,0)</f>
        <v>2500</v>
      </c>
      <c r="AU301">
        <f>_xlfn.XLOOKUP(B301,'[4]june-2025'!$A:$A,'[4]june-2025'!$I:$I,0,0)</f>
        <v>0</v>
      </c>
      <c r="AV301">
        <f>IF($F301="YES",0,IF(AS301&gt;40000,200,IF(AS301&gt;25000,150,IF(AS301&gt;15000,130,IF(AS301&gt;10000,110,0)))))</f>
        <v>200</v>
      </c>
      <c r="AW301">
        <f>AS301-AT301-AU301-AV301</f>
        <v>42650</v>
      </c>
      <c r="AX301">
        <f>_xlfn.XLOOKUP(B301,'[5]july-2025'!$A:$A,'[5]july-2025'!$C:$C,0,0)</f>
        <v>35500</v>
      </c>
      <c r="AY301">
        <f>AX301*0.18</f>
        <v>6390</v>
      </c>
      <c r="AZ301">
        <v>0</v>
      </c>
      <c r="BA301">
        <f>AX301*0.12</f>
        <v>4260</v>
      </c>
      <c r="BB301">
        <f>_xlfn.XLOOKUP(B301,'[5]july-2025'!$A:$A,'[5]july-2025'!$D:$D,0,0)</f>
        <v>0</v>
      </c>
      <c r="BC301">
        <f>_xlfn.XLOOKUP(B301,'[5]july-2025'!$A:$A,'[5]july-2025'!$G:$G,0,0)</f>
        <v>500</v>
      </c>
      <c r="BD301">
        <f>IF(AX301&gt;0,SUM(AX301:BC301),0)</f>
        <v>46650</v>
      </c>
      <c r="BE301">
        <f>_xlfn.XLOOKUP(B301,'[5]july-2025'!$A:$A,'[5]july-2025'!$H:$H,0,0)</f>
        <v>2500</v>
      </c>
      <c r="BF301">
        <f>_xlfn.XLOOKUP(B301,'[5]july-2025'!$A:$A,'[5]july-2025'!$I:$I,0,0)</f>
        <v>0</v>
      </c>
      <c r="BG301">
        <f>IF($F301="YES",0,IF(BD301&gt;40000,200,IF(BD301&gt;25000,150,IF(BD301&gt;15000,130,IF(BD301&gt;10000,110,0)))))</f>
        <v>200</v>
      </c>
      <c r="BH301">
        <f>BD301-BE301-BF301-BG301</f>
        <v>43950</v>
      </c>
      <c r="BI301">
        <f>_xlfn.XLOOKUP(B301,'[6]august-2025'!$A:$A,'[6]august-2025'!$C:$C,0,0)</f>
        <v>35500</v>
      </c>
      <c r="BJ301">
        <f>BI301*0.18</f>
        <v>6390</v>
      </c>
      <c r="BK301">
        <f>BI301*0.12</f>
        <v>4260</v>
      </c>
      <c r="BL301">
        <f>_xlfn.XLOOKUP(B301,'[6]august-2025'!$A:$A,'[6]august-2025'!$D:$D,0,0)</f>
        <v>0</v>
      </c>
      <c r="BM301">
        <f>_xlfn.XLOOKUP(B301,'[6]august-2025'!$A:$A,'[6]august-2025'!$G:$G,0,0)</f>
        <v>500</v>
      </c>
      <c r="BN301">
        <f>IF(BI301&gt;0,SUM(BI301:BM301),0)</f>
        <v>46650</v>
      </c>
      <c r="BO301">
        <f>_xlfn.XLOOKUP(B301,'[6]august-2025'!$A:$A,'[6]august-2025'!$H:$H,0,0)</f>
        <v>2500</v>
      </c>
      <c r="BP301">
        <f>_xlfn.XLOOKUP(B301,'[6]august-2025'!$A:$A,'[6]august-2025'!$I:$I,0,0)</f>
        <v>0</v>
      </c>
      <c r="BQ301">
        <f>IF($F301="YES",0,IF(BN301&gt;40000,200,IF(BN301&gt;25000,150,IF(BN301&gt;15000,130,IF(BN301&gt;10000,110,0)))))</f>
        <v>200</v>
      </c>
      <c r="BR301">
        <f>BN301-BO301-BP301-BQ301</f>
        <v>43950</v>
      </c>
      <c r="BS301">
        <f>_xlfn.XLOOKUP(B301,'[7]september-2025'!$A:$A,'[7]september-2025'!$C:$C,0,0)</f>
        <v>35500</v>
      </c>
      <c r="BT301">
        <f>BS301*0.18</f>
        <v>6390</v>
      </c>
      <c r="BU301">
        <f>BS301*0.12</f>
        <v>4260</v>
      </c>
      <c r="BV301">
        <f>_xlfn.XLOOKUP(B301,'[7]september-2025'!$A:$A,'[7]september-2025'!$D:$D,0,0)</f>
        <v>0</v>
      </c>
      <c r="BW301">
        <f>_xlfn.XLOOKUP(B301,'[7]september-2025'!$A:$A,'[7]september-2025'!$G:$G,0,0)</f>
        <v>500</v>
      </c>
      <c r="BX301">
        <f>IF(BS301&gt;0,SUM(BS301:BW301),0)</f>
        <v>46650</v>
      </c>
      <c r="BY301">
        <f>_xlfn.XLOOKUP(B301,'[7]september-2025'!$A:$A,'[7]september-2025'!$H:$H,0,0)</f>
        <v>2500</v>
      </c>
      <c r="BZ301">
        <f>_xlfn.XLOOKUP(B301,'[7]september-2025'!$A:$A,'[7]september-2025'!$I:$I,0,0)</f>
        <v>0</v>
      </c>
      <c r="CA301">
        <f>IF($F301="YES",0,IF(BX301&gt;40000,200,IF(BX301&gt;25000,150,IF(BX301&gt;15000,130,IF(BX301&gt;10000,110,0)))))</f>
        <v>200</v>
      </c>
      <c r="CB301">
        <f>BX301-BY301-BZ301-CA301</f>
        <v>43950</v>
      </c>
      <c r="CC301">
        <f>_xlfn.XLOOKUP(B301,'[8]october-2025'!$A:$A,'[8]october-2025'!$C:$C,0,0)</f>
        <v>35500</v>
      </c>
      <c r="CD301">
        <f>CC301*0.18</f>
        <v>6390</v>
      </c>
      <c r="CE301">
        <f>CC301*0.12</f>
        <v>4260</v>
      </c>
      <c r="CF301">
        <f>_xlfn.XLOOKUP(B301,'[8]october-2025'!$A:$A,'[8]october-2025'!$D:$D,0,0)</f>
        <v>0</v>
      </c>
      <c r="CG301">
        <f>_xlfn.XLOOKUP(B301,'[8]october-2025'!$A:$A,'[8]october-2025'!$G:$G,0,0)</f>
        <v>500</v>
      </c>
      <c r="CH301">
        <f>IF(CC301&gt;0,SUM(CC301:CG301),0)</f>
        <v>46650</v>
      </c>
      <c r="CI301">
        <f>_xlfn.XLOOKUP(B301,'[8]october-2025'!$A:$A,'[8]october-2025'!$H:$H,0,0)</f>
        <v>2500</v>
      </c>
      <c r="CJ301">
        <f>_xlfn.XLOOKUP(B301,'[8]october-2025'!$A:$A,'[8]october-2025'!$I:$I,0,0)</f>
        <v>0</v>
      </c>
      <c r="CK301">
        <f>IF($F301="YES",0,IF(CH301&gt;40000,200,IF(CH301&gt;25000,150,IF(CH301&gt;15000,130,IF(CH301&gt;10000,110,0)))))</f>
        <v>200</v>
      </c>
      <c r="CL301">
        <f>CH301-CI301-CJ301-CK301</f>
        <v>43950</v>
      </c>
      <c r="CM301">
        <f>_xlfn.XLOOKUP(B301,'[9]november-2025'!$A:$A,'[9]november-2025'!$C:$C,0,0)</f>
        <v>35500</v>
      </c>
      <c r="CN301">
        <f>CM301*0.18</f>
        <v>6390</v>
      </c>
      <c r="CO301">
        <f>CM301*0.12</f>
        <v>4260</v>
      </c>
      <c r="CP301">
        <f>_xlfn.XLOOKUP(B301,'[9]november-2025'!$A:$A,'[9]november-2025'!$D:$D,0,0)</f>
        <v>0</v>
      </c>
      <c r="CQ301">
        <f>_xlfn.XLOOKUP(B301,'[9]november-2025'!$A:$A,'[9]november-2025'!$G:$G,0,0)</f>
        <v>500</v>
      </c>
      <c r="CR301">
        <f>IF(CM301&gt;0,SUM(CM301:CQ301),0)</f>
        <v>46650</v>
      </c>
      <c r="CS301">
        <f>_xlfn.XLOOKUP(B301,'[9]november-2025'!$A:$A,'[9]november-2025'!$H:$H,0,0)</f>
        <v>2500</v>
      </c>
      <c r="CT301">
        <f>_xlfn.XLOOKUP(B301,'[9]november-2025'!$A:$A,'[9]november-2025'!$I:$I,0,0)</f>
        <v>0</v>
      </c>
      <c r="CU301">
        <f>IF($F301="YES",0,IF(CR301&gt;40000,200,IF(CR301&gt;25000,150,IF(CR301&gt;15000,130,IF(CR301&gt;10000,110,0)))))</f>
        <v>200</v>
      </c>
      <c r="CV301">
        <f>CR301-CS301-CT301-CU301</f>
        <v>43950</v>
      </c>
      <c r="CW301">
        <f>_xlfn.XLOOKUP(B301,'[10]december-2025'!$A:$A,'[10]december-2025'!$C:$C,0,0)</f>
        <v>35500</v>
      </c>
      <c r="CX301">
        <f>ROUND(CW301*0.18,0)</f>
        <v>6390</v>
      </c>
      <c r="CY301">
        <f>ROUND(CW301*0.12,0)</f>
        <v>4260</v>
      </c>
      <c r="CZ301">
        <f>_xlfn.XLOOKUP(B301,'[10]december-2025'!$A:$A,'[10]december-2025'!$D:$D,0,0)</f>
        <v>0</v>
      </c>
      <c r="DA301">
        <f>_xlfn.XLOOKUP(B301,'[10]december-2025'!$A:$A,'[10]december-2025'!$G:$G,0,0)</f>
        <v>500</v>
      </c>
      <c r="DB301">
        <f>IF(CW301&gt;0,SUM(CW301:DA301),0)</f>
        <v>46650</v>
      </c>
      <c r="DC301">
        <f>_xlfn.XLOOKUP(B301,'[10]december-2025'!$A:$A,'[10]december-2025'!$H:$H,0,0)</f>
        <v>2500</v>
      </c>
      <c r="DD301">
        <f>_xlfn.XLOOKUP(B301,'[10]december-2025'!$A:$A,'[10]december-2025'!$I:$I,0,0)</f>
        <v>0</v>
      </c>
      <c r="DE301">
        <f>IF($F301="YES",0,IF(DB301&gt;40000,200,IF(DB301&gt;25000,150,IF(DB301&gt;15000,130,IF(DB301&gt;10000,110,0)))))</f>
        <v>200</v>
      </c>
      <c r="DF301">
        <f>DB301-DC301-DD301-DE301</f>
        <v>43950</v>
      </c>
      <c r="DG301">
        <f>_xlfn.XLOOKUP(B301,'[11]january-2026'!$A:$A,'[11]january-2026'!$C:$C,0,0)</f>
        <v>35500</v>
      </c>
      <c r="DH301">
        <f>DG301*0.18</f>
        <v>6390</v>
      </c>
      <c r="DI301">
        <f>DG301*0.12</f>
        <v>4260</v>
      </c>
      <c r="DJ301">
        <f>_xlfn.XLOOKUP(B301,'[11]january-2026'!$A:$A,'[11]january-2026'!$D:$D,0,0)</f>
        <v>0</v>
      </c>
      <c r="DK301">
        <f>_xlfn.XLOOKUP(B301,'[11]january-2026'!$A:$A,'[11]january-2026'!$G:$G,0,0)</f>
        <v>500</v>
      </c>
      <c r="DL301">
        <f>IF(DG301&gt;0,SUM(DG301:DK301),0)</f>
        <v>46650</v>
      </c>
      <c r="DM301">
        <f>_xlfn.XLOOKUP(B301,'[11]january-2026'!$A:$A,'[11]january-2026'!$H:$H,0,0)</f>
        <v>2500</v>
      </c>
      <c r="DN301">
        <f>_xlfn.XLOOKUP(B301,'[11]january-2026'!$A:$A,'[11]january-2026'!$I:$I,0,0)</f>
        <v>0</v>
      </c>
      <c r="DO301">
        <f>IF($F301="YES",0,IF(DL301&gt;40000,200,IF(DL301&gt;25000,150,IF(DL301&gt;15000,130,IF(DL301&gt;10000,110,0)))))</f>
        <v>200</v>
      </c>
      <c r="DP301">
        <f>DL301-DM301-DN301-DO301</f>
        <v>43950</v>
      </c>
      <c r="DQ301">
        <f>_xlfn.XLOOKUP(B301,'[12]february-2026'!$A:$A,'[12]february-2026'!$C:$C,0,0)</f>
        <v>35500</v>
      </c>
      <c r="DR301">
        <f>DQ301*0.18</f>
        <v>6390</v>
      </c>
      <c r="DS301">
        <f>DQ301*0.12</f>
        <v>4260</v>
      </c>
      <c r="DT301">
        <f>_xlfn.XLOOKUP(B301,'[12]february-2026'!$A:$A,'[12]february-2026'!$D:$D,0,0)</f>
        <v>0</v>
      </c>
      <c r="DU301">
        <f>_xlfn.XLOOKUP(B301,'[12]february-2026'!$A:$A,'[12]february-2026'!$G:$G,0,0)</f>
        <v>500</v>
      </c>
      <c r="DV301">
        <f>IF(DQ301&gt;0,SUM(DQ301:DU301),0)</f>
        <v>46650</v>
      </c>
      <c r="DW301">
        <f>_xlfn.XLOOKUP(B301,'[12]february-2026'!$A:$A,'[12]february-2026'!$H:$H,0,0)</f>
        <v>2500</v>
      </c>
      <c r="DX301">
        <f>_xlfn.XLOOKUP(B301,'[12]february-2026'!$A:$A,'[12]february-2026'!$I:$I,0,0)</f>
        <v>0</v>
      </c>
      <c r="DY301">
        <f>IF($F301="YES",0,IF(DV301&gt;40000,200,IF(DV301&gt;25000,150,IF(DV301&gt;15000,130,IF(DV301&gt;10000,110,0)))))</f>
        <v>200</v>
      </c>
      <c r="DZ301">
        <f>DV301-DW301-DX301-DY301</f>
        <v>43950</v>
      </c>
      <c r="EA301">
        <f>DV301+DL301+DB301+CR301+CH301+BX301+BN301+BD301+AS301+AI301+Y301+O301+H301+I301</f>
        <v>560020</v>
      </c>
      <c r="EB301">
        <f>DY301+DO301+DE301+CU301+CK301+CA301+BQ301+BG301+AV301+AL301+AB301+R301</f>
        <v>2400</v>
      </c>
      <c r="EC301">
        <f>IF(EA301&gt;0,50000,0)</f>
        <v>50000</v>
      </c>
      <c r="ED301">
        <v>0</v>
      </c>
      <c r="EE301">
        <f>EA301-EB301-EC301</f>
        <v>507620</v>
      </c>
      <c r="EF301">
        <f>DW301+DM301+DC301+CS301+CI301+BY301+BO301+BE301+AT301+AJ301+Z301+P301</f>
        <v>30000</v>
      </c>
      <c r="EG301">
        <f>DX301+DN301+DD301+CT301+CJ301+BZ301+BP301+BF301+AU301+AK301+AA301+Q301</f>
        <v>0</v>
      </c>
      <c r="EH301">
        <v>0</v>
      </c>
      <c r="EI301">
        <v>0</v>
      </c>
      <c r="EJ301">
        <v>0</v>
      </c>
      <c r="EK301">
        <v>0</v>
      </c>
      <c r="EL301">
        <v>0</v>
      </c>
      <c r="EM301">
        <v>0</v>
      </c>
      <c r="EN301">
        <v>0</v>
      </c>
      <c r="EO301">
        <v>0</v>
      </c>
      <c r="EP301">
        <v>0</v>
      </c>
      <c r="EQ301">
        <v>0</v>
      </c>
      <c r="ER301">
        <f>SUM(EF301:EQ301)</f>
        <v>30000</v>
      </c>
      <c r="ES301">
        <f>IF(ER301&gt;=150000,150000,ER301)</f>
        <v>30000</v>
      </c>
      <c r="ET301">
        <f>EE301-ES301</f>
        <v>477620</v>
      </c>
      <c r="EU301">
        <v>0</v>
      </c>
      <c r="EV301">
        <v>0</v>
      </c>
      <c r="EW301">
        <v>0</v>
      </c>
      <c r="EX301">
        <v>0</v>
      </c>
      <c r="EY301">
        <v>0</v>
      </c>
      <c r="EZ301">
        <v>0</v>
      </c>
      <c r="FA301">
        <v>0</v>
      </c>
      <c r="FB301">
        <f>SUM(EU301:FA301)+(IF(F301="YES",50000,0))</f>
        <v>0</v>
      </c>
      <c r="FC301">
        <f>ET301-FB301</f>
        <v>477620</v>
      </c>
      <c r="FD301">
        <f>ROUND(IF(FC301&gt;0,IF(FC301&gt;500000,12500,(FC301-250000)*0.05),0),0)</f>
        <v>11381</v>
      </c>
      <c r="FE301">
        <f>IF(ROUND(IF(FC301&gt;0,IF(FC301&gt;1000000,25000,(FC301-500000)*0.2),0),0)&lt;0,0,ROUND(IF(FC301&gt;0,IF(FC301&gt;1000000,25000,(FC301-500000)*0.2),0),0))</f>
        <v>0</v>
      </c>
      <c r="FF301">
        <f>FD301+FE301</f>
        <v>11381</v>
      </c>
      <c r="FG301">
        <f>IF(FF301&lt;12500,0,FF301)</f>
        <v>0</v>
      </c>
      <c r="FH301">
        <f>FG301*0.04</f>
        <v>0</v>
      </c>
      <c r="FI301">
        <f>ROUND(FH301+FG301,0)</f>
        <v>0</v>
      </c>
      <c r="FJ301">
        <v>0</v>
      </c>
      <c r="FK301">
        <f>FI301-FJ301</f>
        <v>0</v>
      </c>
      <c r="FL301" t="b">
        <f>IF(EA301&gt;500000,TRUE,FALSE)</f>
        <v>1</v>
      </c>
      <c r="FM301">
        <f ca="1">IF(FL301,RANDBETWEEN(500,1000),RANDBETWEEN(1000,3000))</f>
        <v>994</v>
      </c>
      <c r="FN301">
        <f ca="1">EA301+FM301</f>
        <v>561014</v>
      </c>
      <c r="FO301">
        <f>IF(EA301&gt;0,75000,0)</f>
        <v>75000</v>
      </c>
      <c r="FP301">
        <f ca="1">FN301-FO301</f>
        <v>486014</v>
      </c>
      <c r="FQ301">
        <f ca="1">IF(FP301&gt;2400000,FP301-2400000,0)</f>
        <v>0</v>
      </c>
      <c r="FR301">
        <f ca="1">FQ301*0.3</f>
        <v>0</v>
      </c>
      <c r="FS301">
        <f ca="1">IF(FP301&gt;2000000,FP301-2000000,0)</f>
        <v>0</v>
      </c>
      <c r="FT301">
        <f ca="1">FS301*0.25</f>
        <v>0</v>
      </c>
      <c r="FU301">
        <f ca="1">IF(FP301&gt;1600000,FP301-1600000-FQ301,0)</f>
        <v>0</v>
      </c>
      <c r="FV301">
        <f ca="1">FU301*0.2</f>
        <v>0</v>
      </c>
      <c r="FW301">
        <f ca="1">IF(FP301&gt;1200000,FP301-1200000-IF(F301="YES",50000,0)-FU301,0)</f>
        <v>0</v>
      </c>
      <c r="FX301">
        <f ca="1">FW301*0.15</f>
        <v>0</v>
      </c>
      <c r="FY301">
        <f ca="1">IF(FP301&gt;800000,FP301-800000-FQ301-FU301-FW301,0)</f>
        <v>0</v>
      </c>
      <c r="FZ301">
        <f ca="1">FY301*0.1</f>
        <v>0</v>
      </c>
      <c r="GA301">
        <f ca="1">IF(FP301&gt;400000,FP301-400000-FQ301-FU301-FW301-FY301,0)</f>
        <v>86014</v>
      </c>
      <c r="GB301">
        <f ca="1">GA301*0.05</f>
        <v>4300.7</v>
      </c>
      <c r="GC301">
        <f ca="1">ROUND(FR301+FT301+FV301+FX301+FZ301+GB301,0)</f>
        <v>4301</v>
      </c>
      <c r="GD301">
        <f ca="1">IF(FP301&gt;1200000,FP301,0)</f>
        <v>0</v>
      </c>
      <c r="GE301">
        <f ca="1">IF(FP301&gt;1200000,GD301-1200000,0)</f>
        <v>0</v>
      </c>
      <c r="GF301">
        <f ca="1">IF(FP301&lt;1200001,MIN(GC301,60000),0)</f>
        <v>4301</v>
      </c>
      <c r="GG301">
        <f ca="1">IF(FP301&gt;1200000,GC301-GE301,0)</f>
        <v>0</v>
      </c>
      <c r="GH301" t="b">
        <f ca="1">IF(GG301&gt;0,TRUE,FALSE)</f>
        <v>0</v>
      </c>
      <c r="GI301">
        <f ca="1">IF(GH301,GG301,0)</f>
        <v>0</v>
      </c>
      <c r="GJ301">
        <f ca="1">GF301+GI301</f>
        <v>4301</v>
      </c>
      <c r="GK301">
        <f ca="1">ROUND(GC301-GJ301,0)</f>
        <v>0</v>
      </c>
      <c r="GL301">
        <f ca="1">GK301*0.04</f>
        <v>0</v>
      </c>
      <c r="GM301">
        <f ca="1">ROUNDUP(GK301+GL301,0)</f>
        <v>0</v>
      </c>
    </row>
    <row r="302" spans="1:195" x14ac:dyDescent="0.25">
      <c r="A302">
        <f>_xlfn.AGGREGATE(3,5,$B$2:B302)</f>
        <v>301</v>
      </c>
      <c r="B302" t="s">
        <v>707</v>
      </c>
      <c r="C302" t="s">
        <v>708</v>
      </c>
      <c r="D302" t="s">
        <v>831</v>
      </c>
      <c r="E302" t="s">
        <v>833</v>
      </c>
      <c r="F302" t="s">
        <v>959</v>
      </c>
      <c r="G302" t="s">
        <v>881</v>
      </c>
      <c r="H302">
        <f>IF(_xlfn.DAYS("31-03-2025",G302)&gt;=180,6800,0)</f>
        <v>6800</v>
      </c>
      <c r="I302">
        <f>_xlfn.XLOOKUP(B302,'[1]march-2025'!$A:$A,'[1]march-2025'!$J:$J,0,0)</f>
        <v>0</v>
      </c>
      <c r="J302">
        <f>_xlfn.XLOOKUP(B302,'[1]march-2025'!$A:$A,'[1]march-2025'!$C:$C,0,0)</f>
        <v>31600</v>
      </c>
      <c r="K302">
        <f>J302*0.14</f>
        <v>4424</v>
      </c>
      <c r="L302">
        <f>J302*0.12</f>
        <v>3792</v>
      </c>
      <c r="M302">
        <f>_xlfn.XLOOKUP(B302,'[1]march-2025'!$A:$A,'[1]march-2025'!$D:$D,0,0)</f>
        <v>0</v>
      </c>
      <c r="N302">
        <f>_xlfn.XLOOKUP(B302,'[1]march-2025'!$A:$A,'[1]march-2025'!$G:$G,0,0)</f>
        <v>0</v>
      </c>
      <c r="O302">
        <f>IF(J302&gt;0,SUM(J302:N302),0)</f>
        <v>39816</v>
      </c>
      <c r="P302">
        <f>_xlfn.XLOOKUP(B302,'[1]march-2025'!$A:$A,'[1]march-2025'!$H:$H,0,0)</f>
        <v>2000</v>
      </c>
      <c r="Q302">
        <f>_xlfn.XLOOKUP(B302,'[1]march-2025'!$A:$A,'[1]march-2025'!$I:$I,0,0)</f>
        <v>0</v>
      </c>
      <c r="R302">
        <f>IF($F302="YES",0,IF(O302&gt;40000,200,IF(O302&gt;25000,150,IF(O302&gt;15000,130,IF(O302&gt;10000,110,0)))))</f>
        <v>150</v>
      </c>
      <c r="S302">
        <f>O302-P302-Q302-R302</f>
        <v>37666</v>
      </c>
      <c r="T302">
        <f>_xlfn.XLOOKUP(B302,'[2]april-2025'!$A:$A,'[2]april-2025'!$C:$C,0,0)</f>
        <v>31600</v>
      </c>
      <c r="U302">
        <f>T302*0.18</f>
        <v>5688</v>
      </c>
      <c r="V302">
        <f>T302*0.12</f>
        <v>3792</v>
      </c>
      <c r="W302">
        <f>_xlfn.XLOOKUP(B302,'[2]april-2025'!$A:$A,'[2]april-2025'!$D:$D,0,0)</f>
        <v>0</v>
      </c>
      <c r="X302">
        <f>_xlfn.XLOOKUP(B302,'[2]april-2025'!$A:$A,'[2]april-2025'!$G:$G,0,0)</f>
        <v>0</v>
      </c>
      <c r="Y302">
        <f>IF(T302&gt;0,SUM(T302:X302),0)</f>
        <v>41080</v>
      </c>
      <c r="Z302">
        <f>_xlfn.XLOOKUP(B302,'[2]april-2025'!$A:$A,'[2]april-2025'!$H:$H,0,0)</f>
        <v>2000</v>
      </c>
      <c r="AA302">
        <f>_xlfn.XLOOKUP(B302,'[2]april-2025'!$A:$A,'[2]april-2025'!$I:$I,0,0)</f>
        <v>0</v>
      </c>
      <c r="AB302">
        <f>IF($F302="YES",0,IF(Y302&gt;40000,200,IF(Y302&gt;25000,150,IF(Y302&gt;15000,130,IF(Y302&gt;10000,110,0)))))</f>
        <v>200</v>
      </c>
      <c r="AC302">
        <f>Y302-Z302-AA302-AB302</f>
        <v>38880</v>
      </c>
      <c r="AD302">
        <f>_xlfn.XLOOKUP(B302,'[3]may-2025'!$A:$A,'[3]may-2025'!$C:$C,0,0)</f>
        <v>31600</v>
      </c>
      <c r="AE302">
        <f>AD302*0.18</f>
        <v>5688</v>
      </c>
      <c r="AF302">
        <f>AD302*0.12</f>
        <v>3792</v>
      </c>
      <c r="AG302">
        <f>_xlfn.XLOOKUP(B302,'[3]may-2025'!$A:$A,'[3]may-2025'!$D:$D,0,0)</f>
        <v>0</v>
      </c>
      <c r="AH302">
        <f>_xlfn.XLOOKUP(B302,'[3]may-2025'!$A:$A,'[3]may-2025'!$G:$G,0,0)</f>
        <v>0</v>
      </c>
      <c r="AI302">
        <f>IF(AD302&gt;0,SUM(AD302:AH302),0)</f>
        <v>41080</v>
      </c>
      <c r="AJ302">
        <f>_xlfn.XLOOKUP(B302,'[3]may-2025'!$A:$A,'[3]may-2025'!$H:$H,0,0)</f>
        <v>2000</v>
      </c>
      <c r="AK302">
        <f>_xlfn.XLOOKUP(B302,'[3]may-2025'!$A:$A,'[3]may-2025'!$I:$I,0,0)</f>
        <v>0</v>
      </c>
      <c r="AL302">
        <f>IF($F302="YES",0,IF(AI302&gt;40000,200,IF(AI302&gt;25000,150,IF(AI302&gt;15000,130,IF(AI302&gt;10000,110,0)))))</f>
        <v>200</v>
      </c>
      <c r="AM302">
        <f>AI302-AJ302-AK302-AL302</f>
        <v>38880</v>
      </c>
      <c r="AN302">
        <f>_xlfn.XLOOKUP(B302,'[4]june-2025'!$A:$A,'[4]june-2025'!$C:$C,0,0)</f>
        <v>31600</v>
      </c>
      <c r="AO302">
        <f>AN302*0.18</f>
        <v>5688</v>
      </c>
      <c r="AP302">
        <f>AN302*0.12</f>
        <v>3792</v>
      </c>
      <c r="AQ302">
        <f>_xlfn.XLOOKUP(B302,'[4]june-2025'!$A:$A,'[4]june-2025'!$D:$D,0,0)</f>
        <v>0</v>
      </c>
      <c r="AR302">
        <f>_xlfn.XLOOKUP(B302,'[4]june-2025'!$A:$A,'[4]june-2025'!$G:$G,0,0)</f>
        <v>0</v>
      </c>
      <c r="AS302">
        <f>IF(AN302&gt;0,SUM(AN302:AR302),0)</f>
        <v>41080</v>
      </c>
      <c r="AT302">
        <f>_xlfn.XLOOKUP(B302,'[4]june-2025'!$A:$A,'[4]june-2025'!$H:$H,0,0)</f>
        <v>2000</v>
      </c>
      <c r="AU302">
        <f>_xlfn.XLOOKUP(B302,'[4]june-2025'!$A:$A,'[4]june-2025'!$I:$I,0,0)</f>
        <v>0</v>
      </c>
      <c r="AV302">
        <f>IF($F302="YES",0,IF(AS302&gt;40000,200,IF(AS302&gt;25000,150,IF(AS302&gt;15000,130,IF(AS302&gt;10000,110,0)))))</f>
        <v>200</v>
      </c>
      <c r="AW302">
        <f>AS302-AT302-AU302-AV302</f>
        <v>38880</v>
      </c>
      <c r="AX302">
        <f>_xlfn.XLOOKUP(B302,'[5]july-2025'!$A:$A,'[5]july-2025'!$C:$C,0,0)</f>
        <v>32500</v>
      </c>
      <c r="AY302">
        <f>AX302*0.18</f>
        <v>5850</v>
      </c>
      <c r="AZ302">
        <v>0</v>
      </c>
      <c r="BA302">
        <f>AX302*0.12</f>
        <v>3900</v>
      </c>
      <c r="BB302">
        <f>_xlfn.XLOOKUP(B302,'[5]july-2025'!$A:$A,'[5]july-2025'!$D:$D,0,0)</f>
        <v>0</v>
      </c>
      <c r="BC302">
        <f>_xlfn.XLOOKUP(B302,'[5]july-2025'!$A:$A,'[5]july-2025'!$G:$G,0,0)</f>
        <v>0</v>
      </c>
      <c r="BD302">
        <f>IF(AX302&gt;0,SUM(AX302:BC302),0)</f>
        <v>42250</v>
      </c>
      <c r="BE302">
        <f>_xlfn.XLOOKUP(B302,'[5]july-2025'!$A:$A,'[5]july-2025'!$H:$H,0,0)</f>
        <v>2000</v>
      </c>
      <c r="BF302">
        <f>_xlfn.XLOOKUP(B302,'[5]july-2025'!$A:$A,'[5]july-2025'!$I:$I,0,0)</f>
        <v>0</v>
      </c>
      <c r="BG302">
        <f>IF($F302="YES",0,IF(BD302&gt;40000,200,IF(BD302&gt;25000,150,IF(BD302&gt;15000,130,IF(BD302&gt;10000,110,0)))))</f>
        <v>200</v>
      </c>
      <c r="BH302">
        <f>BD302-BE302-BF302-BG302</f>
        <v>40050</v>
      </c>
      <c r="BI302">
        <f>_xlfn.XLOOKUP(B302,'[6]august-2025'!$A:$A,'[6]august-2025'!$C:$C,0,0)</f>
        <v>32500</v>
      </c>
      <c r="BJ302">
        <f>BI302*0.18</f>
        <v>5850</v>
      </c>
      <c r="BK302">
        <f>BI302*0.12</f>
        <v>3900</v>
      </c>
      <c r="BL302">
        <f>_xlfn.XLOOKUP(B302,'[6]august-2025'!$A:$A,'[6]august-2025'!$D:$D,0,0)</f>
        <v>0</v>
      </c>
      <c r="BM302">
        <f>_xlfn.XLOOKUP(B302,'[6]august-2025'!$A:$A,'[6]august-2025'!$G:$G,0,0)</f>
        <v>0</v>
      </c>
      <c r="BN302">
        <f>IF(BI302&gt;0,SUM(BI302:BM302),0)</f>
        <v>42250</v>
      </c>
      <c r="BO302">
        <f>_xlfn.XLOOKUP(B302,'[6]august-2025'!$A:$A,'[6]august-2025'!$H:$H,0,0)</f>
        <v>2000</v>
      </c>
      <c r="BP302">
        <f>_xlfn.XLOOKUP(B302,'[6]august-2025'!$A:$A,'[6]august-2025'!$I:$I,0,0)</f>
        <v>0</v>
      </c>
      <c r="BQ302">
        <f>IF($F302="YES",0,IF(BN302&gt;40000,200,IF(BN302&gt;25000,150,IF(BN302&gt;15000,130,IF(BN302&gt;10000,110,0)))))</f>
        <v>200</v>
      </c>
      <c r="BR302">
        <f>BN302-BO302-BP302-BQ302</f>
        <v>40050</v>
      </c>
      <c r="BS302">
        <f>_xlfn.XLOOKUP(B302,'[7]september-2025'!$A:$A,'[7]september-2025'!$C:$C,0,0)</f>
        <v>32500</v>
      </c>
      <c r="BT302">
        <f>BS302*0.18</f>
        <v>5850</v>
      </c>
      <c r="BU302">
        <f>BS302*0.12</f>
        <v>3900</v>
      </c>
      <c r="BV302">
        <f>_xlfn.XLOOKUP(B302,'[7]september-2025'!$A:$A,'[7]september-2025'!$D:$D,0,0)</f>
        <v>0</v>
      </c>
      <c r="BW302">
        <f>_xlfn.XLOOKUP(B302,'[7]september-2025'!$A:$A,'[7]september-2025'!$G:$G,0,0)</f>
        <v>0</v>
      </c>
      <c r="BX302">
        <f>IF(BS302&gt;0,SUM(BS302:BW302),0)</f>
        <v>42250</v>
      </c>
      <c r="BY302">
        <f>_xlfn.XLOOKUP(B302,'[7]september-2025'!$A:$A,'[7]september-2025'!$H:$H,0,0)</f>
        <v>2000</v>
      </c>
      <c r="BZ302">
        <f>_xlfn.XLOOKUP(B302,'[7]september-2025'!$A:$A,'[7]september-2025'!$I:$I,0,0)</f>
        <v>0</v>
      </c>
      <c r="CA302">
        <f>IF($F302="YES",0,IF(BX302&gt;40000,200,IF(BX302&gt;25000,150,IF(BX302&gt;15000,130,IF(BX302&gt;10000,110,0)))))</f>
        <v>200</v>
      </c>
      <c r="CB302">
        <f>BX302-BY302-BZ302-CA302</f>
        <v>40050</v>
      </c>
      <c r="CC302">
        <f>_xlfn.XLOOKUP(B302,'[8]october-2025'!$A:$A,'[8]october-2025'!$C:$C,0,0)</f>
        <v>32500</v>
      </c>
      <c r="CD302">
        <f>CC302*0.18</f>
        <v>5850</v>
      </c>
      <c r="CE302">
        <f>CC302*0.12</f>
        <v>3900</v>
      </c>
      <c r="CF302">
        <f>_xlfn.XLOOKUP(B302,'[8]october-2025'!$A:$A,'[8]october-2025'!$D:$D,0,0)</f>
        <v>0</v>
      </c>
      <c r="CG302">
        <f>_xlfn.XLOOKUP(B302,'[8]october-2025'!$A:$A,'[8]october-2025'!$G:$G,0,0)</f>
        <v>0</v>
      </c>
      <c r="CH302">
        <f>IF(CC302&gt;0,SUM(CC302:CG302),0)</f>
        <v>42250</v>
      </c>
      <c r="CI302">
        <f>_xlfn.XLOOKUP(B302,'[8]october-2025'!$A:$A,'[8]october-2025'!$H:$H,0,0)</f>
        <v>2000</v>
      </c>
      <c r="CJ302">
        <f>_xlfn.XLOOKUP(B302,'[8]october-2025'!$A:$A,'[8]october-2025'!$I:$I,0,0)</f>
        <v>0</v>
      </c>
      <c r="CK302">
        <f>IF($F302="YES",0,IF(CH302&gt;40000,200,IF(CH302&gt;25000,150,IF(CH302&gt;15000,130,IF(CH302&gt;10000,110,0)))))</f>
        <v>200</v>
      </c>
      <c r="CL302">
        <f>CH302-CI302-CJ302-CK302</f>
        <v>40050</v>
      </c>
      <c r="CM302">
        <f>_xlfn.XLOOKUP(B302,'[9]november-2025'!$A:$A,'[9]november-2025'!$C:$C,0,0)</f>
        <v>32500</v>
      </c>
      <c r="CN302">
        <f>CM302*0.18</f>
        <v>5850</v>
      </c>
      <c r="CO302">
        <f>CM302*0.12</f>
        <v>3900</v>
      </c>
      <c r="CP302">
        <f>_xlfn.XLOOKUP(B302,'[9]november-2025'!$A:$A,'[9]november-2025'!$D:$D,0,0)</f>
        <v>0</v>
      </c>
      <c r="CQ302">
        <f>_xlfn.XLOOKUP(B302,'[9]november-2025'!$A:$A,'[9]november-2025'!$G:$G,0,0)</f>
        <v>0</v>
      </c>
      <c r="CR302">
        <f>IF(CM302&gt;0,SUM(CM302:CQ302),0)</f>
        <v>42250</v>
      </c>
      <c r="CS302">
        <f>_xlfn.XLOOKUP(B302,'[9]november-2025'!$A:$A,'[9]november-2025'!$H:$H,0,0)</f>
        <v>2000</v>
      </c>
      <c r="CT302">
        <f>_xlfn.XLOOKUP(B302,'[9]november-2025'!$A:$A,'[9]november-2025'!$I:$I,0,0)</f>
        <v>0</v>
      </c>
      <c r="CU302">
        <f>IF($F302="YES",0,IF(CR302&gt;40000,200,IF(CR302&gt;25000,150,IF(CR302&gt;15000,130,IF(CR302&gt;10000,110,0)))))</f>
        <v>200</v>
      </c>
      <c r="CV302">
        <f>CR302-CS302-CT302-CU302</f>
        <v>40050</v>
      </c>
      <c r="CW302">
        <f>_xlfn.XLOOKUP(B302,'[10]december-2025'!$A:$A,'[10]december-2025'!$C:$C,0,0)</f>
        <v>32500</v>
      </c>
      <c r="CX302">
        <f>ROUND(CW302*0.18,0)</f>
        <v>5850</v>
      </c>
      <c r="CY302">
        <f>ROUND(CW302*0.12,0)</f>
        <v>3900</v>
      </c>
      <c r="CZ302">
        <f>_xlfn.XLOOKUP(B302,'[10]december-2025'!$A:$A,'[10]december-2025'!$D:$D,0,0)</f>
        <v>0</v>
      </c>
      <c r="DA302">
        <f>_xlfn.XLOOKUP(B302,'[10]december-2025'!$A:$A,'[10]december-2025'!$G:$G,0,0)</f>
        <v>0</v>
      </c>
      <c r="DB302">
        <f>IF(CW302&gt;0,SUM(CW302:DA302),0)</f>
        <v>42250</v>
      </c>
      <c r="DC302">
        <f>_xlfn.XLOOKUP(B302,'[10]december-2025'!$A:$A,'[10]december-2025'!$H:$H,0,0)</f>
        <v>2000</v>
      </c>
      <c r="DD302">
        <f>_xlfn.XLOOKUP(B302,'[10]december-2025'!$A:$A,'[10]december-2025'!$I:$I,0,0)</f>
        <v>0</v>
      </c>
      <c r="DE302">
        <f>IF($F302="YES",0,IF(DB302&gt;40000,200,IF(DB302&gt;25000,150,IF(DB302&gt;15000,130,IF(DB302&gt;10000,110,0)))))</f>
        <v>200</v>
      </c>
      <c r="DF302">
        <f>DB302-DC302-DD302-DE302</f>
        <v>40050</v>
      </c>
      <c r="DG302">
        <f>_xlfn.XLOOKUP(B302,'[11]january-2026'!$A:$A,'[11]january-2026'!$C:$C,0,0)</f>
        <v>32500</v>
      </c>
      <c r="DH302">
        <f>DG302*0.18</f>
        <v>5850</v>
      </c>
      <c r="DI302">
        <f>DG302*0.12</f>
        <v>3900</v>
      </c>
      <c r="DJ302">
        <f>_xlfn.XLOOKUP(B302,'[11]january-2026'!$A:$A,'[11]january-2026'!$D:$D,0,0)</f>
        <v>0</v>
      </c>
      <c r="DK302">
        <f>_xlfn.XLOOKUP(B302,'[11]january-2026'!$A:$A,'[11]january-2026'!$G:$G,0,0)</f>
        <v>0</v>
      </c>
      <c r="DL302">
        <f>IF(DG302&gt;0,SUM(DG302:DK302),0)</f>
        <v>42250</v>
      </c>
      <c r="DM302">
        <f>_xlfn.XLOOKUP(B302,'[11]january-2026'!$A:$A,'[11]january-2026'!$H:$H,0,0)</f>
        <v>2000</v>
      </c>
      <c r="DN302">
        <f>_xlfn.XLOOKUP(B302,'[11]january-2026'!$A:$A,'[11]january-2026'!$I:$I,0,0)</f>
        <v>0</v>
      </c>
      <c r="DO302">
        <f>IF($F302="YES",0,IF(DL302&gt;40000,200,IF(DL302&gt;25000,150,IF(DL302&gt;15000,130,IF(DL302&gt;10000,110,0)))))</f>
        <v>200</v>
      </c>
      <c r="DP302">
        <f>DL302-DM302-DN302-DO302</f>
        <v>40050</v>
      </c>
      <c r="DQ302">
        <f>_xlfn.XLOOKUP(B302,'[12]february-2026'!$A:$A,'[12]february-2026'!$C:$C,0,0)</f>
        <v>32500</v>
      </c>
      <c r="DR302">
        <f>DQ302*0.18</f>
        <v>5850</v>
      </c>
      <c r="DS302">
        <f>DQ302*0.12</f>
        <v>3900</v>
      </c>
      <c r="DT302">
        <f>_xlfn.XLOOKUP(B302,'[12]february-2026'!$A:$A,'[12]february-2026'!$D:$D,0,0)</f>
        <v>0</v>
      </c>
      <c r="DU302">
        <f>_xlfn.XLOOKUP(B302,'[12]february-2026'!$A:$A,'[12]february-2026'!$G:$G,0,0)</f>
        <v>0</v>
      </c>
      <c r="DV302">
        <f>IF(DQ302&gt;0,SUM(DQ302:DU302),0)</f>
        <v>42250</v>
      </c>
      <c r="DW302">
        <f>_xlfn.XLOOKUP(B302,'[12]february-2026'!$A:$A,'[12]february-2026'!$H:$H,0,0)</f>
        <v>2000</v>
      </c>
      <c r="DX302">
        <f>_xlfn.XLOOKUP(B302,'[12]february-2026'!$A:$A,'[12]february-2026'!$I:$I,0,0)</f>
        <v>0</v>
      </c>
      <c r="DY302">
        <f>IF($F302="YES",0,IF(DV302&gt;40000,200,IF(DV302&gt;25000,150,IF(DV302&gt;15000,130,IF(DV302&gt;10000,110,0)))))</f>
        <v>200</v>
      </c>
      <c r="DZ302">
        <f>DV302-DW302-DX302-DY302</f>
        <v>40050</v>
      </c>
      <c r="EA302">
        <f>DV302+DL302+DB302+CR302+CH302+BX302+BN302+BD302+AS302+AI302+Y302+O302+H302+I302</f>
        <v>507856</v>
      </c>
      <c r="EB302">
        <f>DY302+DO302+DE302+CU302+CK302+CA302+BQ302+BG302+AV302+AL302+AB302+R302</f>
        <v>2350</v>
      </c>
      <c r="EC302">
        <f>IF(EA302&gt;0,50000,0)</f>
        <v>50000</v>
      </c>
      <c r="ED302">
        <v>0</v>
      </c>
      <c r="EE302">
        <f>EA302-EB302-EC302</f>
        <v>455506</v>
      </c>
      <c r="EF302">
        <f>DW302+DM302+DC302+CS302+CI302+BY302+BO302+BE302+AT302+AJ302+Z302+P302</f>
        <v>24000</v>
      </c>
      <c r="EG302">
        <f>DX302+DN302+DD302+CT302+CJ302+BZ302+BP302+BF302+AU302+AK302+AA302+Q302</f>
        <v>0</v>
      </c>
      <c r="EH302">
        <v>0</v>
      </c>
      <c r="EI302">
        <v>0</v>
      </c>
      <c r="EJ302">
        <v>0</v>
      </c>
      <c r="EK302">
        <v>0</v>
      </c>
      <c r="EL302">
        <v>0</v>
      </c>
      <c r="EM302">
        <v>0</v>
      </c>
      <c r="EN302">
        <v>0</v>
      </c>
      <c r="EO302">
        <v>0</v>
      </c>
      <c r="EP302">
        <v>0</v>
      </c>
      <c r="EQ302">
        <v>0</v>
      </c>
      <c r="ER302">
        <f>SUM(EF302:EQ302)</f>
        <v>24000</v>
      </c>
      <c r="ES302">
        <f>IF(ER302&gt;=150000,150000,ER302)</f>
        <v>24000</v>
      </c>
      <c r="ET302">
        <f>EE302-ES302</f>
        <v>431506</v>
      </c>
      <c r="EU302">
        <v>0</v>
      </c>
      <c r="EV302">
        <v>0</v>
      </c>
      <c r="EW302">
        <v>0</v>
      </c>
      <c r="EX302">
        <v>0</v>
      </c>
      <c r="EY302">
        <v>0</v>
      </c>
      <c r="EZ302">
        <v>0</v>
      </c>
      <c r="FA302">
        <v>0</v>
      </c>
      <c r="FB302">
        <f>SUM(EU302:FA302)+(IF(F302="YES",50000,0))</f>
        <v>0</v>
      </c>
      <c r="FC302">
        <f>ET302-FB302</f>
        <v>431506</v>
      </c>
      <c r="FD302">
        <f>ROUND(IF(FC302&gt;0,IF(FC302&gt;500000,12500,(FC302-250000)*0.05),0),0)</f>
        <v>9075</v>
      </c>
      <c r="FE302">
        <f>IF(ROUND(IF(FC302&gt;0,IF(FC302&gt;1000000,25000,(FC302-500000)*0.2),0),0)&lt;0,0,ROUND(IF(FC302&gt;0,IF(FC302&gt;1000000,25000,(FC302-500000)*0.2),0),0))</f>
        <v>0</v>
      </c>
      <c r="FF302">
        <f>FD302+FE302</f>
        <v>9075</v>
      </c>
      <c r="FG302">
        <f>IF(FF302&lt;12500,0,FF302)</f>
        <v>0</v>
      </c>
      <c r="FH302">
        <f>FG302*0.04</f>
        <v>0</v>
      </c>
      <c r="FI302">
        <f>ROUND(FH302+FG302,0)</f>
        <v>0</v>
      </c>
      <c r="FJ302">
        <v>0</v>
      </c>
      <c r="FK302">
        <f>FI302-FJ302</f>
        <v>0</v>
      </c>
      <c r="FL302" t="b">
        <f>IF(EA302&gt;500000,TRUE,FALSE)</f>
        <v>1</v>
      </c>
      <c r="FM302">
        <f ca="1">IF(FL302,RANDBETWEEN(500,1000),RANDBETWEEN(1000,3000))</f>
        <v>949</v>
      </c>
      <c r="FN302">
        <f ca="1">EA302+FM302</f>
        <v>508805</v>
      </c>
      <c r="FO302">
        <f>IF(EA302&gt;0,75000,0)</f>
        <v>75000</v>
      </c>
      <c r="FP302">
        <f ca="1">FN302-FO302</f>
        <v>433805</v>
      </c>
      <c r="FQ302">
        <f ca="1">IF(FP302&gt;2400000,FP302-2400000,0)</f>
        <v>0</v>
      </c>
      <c r="FR302">
        <f ca="1">FQ302*0.3</f>
        <v>0</v>
      </c>
      <c r="FS302">
        <f ca="1">IF(FP302&gt;2000000,FP302-2000000,0)</f>
        <v>0</v>
      </c>
      <c r="FT302">
        <f ca="1">FS302*0.25</f>
        <v>0</v>
      </c>
      <c r="FU302">
        <f ca="1">IF(FP302&gt;1600000,FP302-1600000-FQ302,0)</f>
        <v>0</v>
      </c>
      <c r="FV302">
        <f ca="1">FU302*0.2</f>
        <v>0</v>
      </c>
      <c r="FW302">
        <f ca="1">IF(FP302&gt;1200000,FP302-1200000-IF(F302="YES",50000,0)-FU302,0)</f>
        <v>0</v>
      </c>
      <c r="FX302">
        <f ca="1">FW302*0.15</f>
        <v>0</v>
      </c>
      <c r="FY302">
        <f ca="1">IF(FP302&gt;800000,FP302-800000-FQ302-FU302-FW302,0)</f>
        <v>0</v>
      </c>
      <c r="FZ302">
        <f ca="1">FY302*0.1</f>
        <v>0</v>
      </c>
      <c r="GA302">
        <f ca="1">IF(FP302&gt;400000,FP302-400000-FQ302-FU302-FW302-FY302,0)</f>
        <v>33805</v>
      </c>
      <c r="GB302">
        <f ca="1">GA302*0.05</f>
        <v>1690.25</v>
      </c>
      <c r="GC302">
        <f ca="1">ROUND(FR302+FT302+FV302+FX302+FZ302+GB302,0)</f>
        <v>1690</v>
      </c>
      <c r="GD302">
        <f ca="1">IF(FP302&gt;1200000,FP302,0)</f>
        <v>0</v>
      </c>
      <c r="GE302">
        <f ca="1">IF(FP302&gt;1200000,GD302-1200000,0)</f>
        <v>0</v>
      </c>
      <c r="GF302">
        <f ca="1">IF(FP302&lt;1200001,MIN(GC302,60000),0)</f>
        <v>1690</v>
      </c>
      <c r="GG302">
        <f ca="1">IF(FP302&gt;1200000,GC302-GE302,0)</f>
        <v>0</v>
      </c>
      <c r="GH302" t="b">
        <f ca="1">IF(GG302&gt;0,TRUE,FALSE)</f>
        <v>0</v>
      </c>
      <c r="GI302">
        <f ca="1">IF(GH302,GG302,0)</f>
        <v>0</v>
      </c>
      <c r="GJ302">
        <f ca="1">GF302+GI302</f>
        <v>1690</v>
      </c>
      <c r="GK302">
        <f ca="1">ROUND(GC302-GJ302,0)</f>
        <v>0</v>
      </c>
      <c r="GL302">
        <f ca="1">GK302*0.04</f>
        <v>0</v>
      </c>
      <c r="GM302">
        <f ca="1">ROUNDUP(GK302+GL302,0)</f>
        <v>0</v>
      </c>
    </row>
    <row r="303" spans="1:195" x14ac:dyDescent="0.25">
      <c r="A303">
        <f>_xlfn.AGGREGATE(3,5,$B$2:B303)</f>
        <v>302</v>
      </c>
      <c r="B303" t="s">
        <v>969</v>
      </c>
      <c r="C303" t="s">
        <v>970</v>
      </c>
      <c r="D303" t="s">
        <v>831</v>
      </c>
      <c r="E303" t="s">
        <v>833</v>
      </c>
      <c r="F303" t="s">
        <v>959</v>
      </c>
      <c r="G303" s="1">
        <v>44529</v>
      </c>
      <c r="H303">
        <f>IF(_xlfn.DAYS("31-03-2025",G303)&gt;=180,6800,0)</f>
        <v>6800</v>
      </c>
      <c r="I303">
        <f>_xlfn.XLOOKUP(B303,'[1]march-2025'!$A:$A,'[1]march-2025'!$J:$J,0,0)</f>
        <v>0</v>
      </c>
      <c r="J303">
        <f>_xlfn.XLOOKUP(B303,'[1]march-2025'!$A:$A,'[1]march-2025'!$C:$C,0,0)</f>
        <v>31600</v>
      </c>
      <c r="K303">
        <f>J303*0.14</f>
        <v>4424</v>
      </c>
      <c r="L303">
        <f>J303*0.12</f>
        <v>3792</v>
      </c>
      <c r="M303">
        <f>_xlfn.XLOOKUP(B303,'[1]march-2025'!$A:$A,'[1]march-2025'!$D:$D,0,0)</f>
        <v>0</v>
      </c>
      <c r="N303">
        <f>_xlfn.XLOOKUP(B303,'[1]march-2025'!$A:$A,'[1]march-2025'!$G:$G,0,0)</f>
        <v>500</v>
      </c>
      <c r="O303">
        <f>IF(J303&gt;0,SUM(J303:N303),0)</f>
        <v>40316</v>
      </c>
      <c r="P303">
        <f>_xlfn.XLOOKUP(B303,'[1]march-2025'!$A:$A,'[1]march-2025'!$H:$H,0,0)</f>
        <v>2000</v>
      </c>
      <c r="Q303">
        <f>_xlfn.XLOOKUP(B303,'[1]march-2025'!$A:$A,'[1]march-2025'!$I:$I,0,0)</f>
        <v>0</v>
      </c>
      <c r="R303">
        <f>IF($F303="YES",0,IF(O303&gt;40000,200,IF(O303&gt;25000,150,IF(O303&gt;15000,130,IF(O303&gt;10000,110,0)))))</f>
        <v>200</v>
      </c>
      <c r="S303">
        <f>O303-P303-Q303-R303</f>
        <v>38116</v>
      </c>
      <c r="T303">
        <f>_xlfn.XLOOKUP(B303,'[2]april-2025'!$A:$A,'[2]april-2025'!$C:$C,0,0)</f>
        <v>31600</v>
      </c>
      <c r="U303">
        <f>T303*0.18</f>
        <v>5688</v>
      </c>
      <c r="V303">
        <f>T303*0.12</f>
        <v>3792</v>
      </c>
      <c r="W303">
        <f>_xlfn.XLOOKUP(B303,'[2]april-2025'!$A:$A,'[2]april-2025'!$D:$D,0,0)</f>
        <v>0</v>
      </c>
      <c r="X303">
        <f>_xlfn.XLOOKUP(B303,'[2]april-2025'!$A:$A,'[2]april-2025'!$G:$G,0,0)</f>
        <v>500</v>
      </c>
      <c r="Y303">
        <f>IF(T303&gt;0,SUM(T303:X303),0)</f>
        <v>41580</v>
      </c>
      <c r="Z303">
        <f>_xlfn.XLOOKUP(B303,'[2]april-2025'!$A:$A,'[2]april-2025'!$H:$H,0,0)</f>
        <v>2000</v>
      </c>
      <c r="AA303">
        <f>_xlfn.XLOOKUP(B303,'[2]april-2025'!$A:$A,'[2]april-2025'!$I:$I,0,0)</f>
        <v>0</v>
      </c>
      <c r="AB303">
        <f>IF($F303="YES",0,IF(Y303&gt;40000,200,IF(Y303&gt;25000,150,IF(Y303&gt;15000,130,IF(Y303&gt;10000,110,0)))))</f>
        <v>200</v>
      </c>
      <c r="AC303">
        <f>Y303-Z303-AA303-AB303</f>
        <v>39380</v>
      </c>
      <c r="AD303">
        <f>_xlfn.XLOOKUP(B303,'[3]may-2025'!$A:$A,'[3]may-2025'!$C:$C,0,0)</f>
        <v>31600</v>
      </c>
      <c r="AE303">
        <f>AD303*0.18</f>
        <v>5688</v>
      </c>
      <c r="AF303">
        <f>AD303*0.12</f>
        <v>3792</v>
      </c>
      <c r="AG303">
        <f>_xlfn.XLOOKUP(B303,'[3]may-2025'!$A:$A,'[3]may-2025'!$D:$D,0,0)</f>
        <v>0</v>
      </c>
      <c r="AH303">
        <f>_xlfn.XLOOKUP(B303,'[3]may-2025'!$A:$A,'[3]may-2025'!$G:$G,0,0)</f>
        <v>500</v>
      </c>
      <c r="AI303">
        <f>IF(AD303&gt;0,SUM(AD303:AH303),0)</f>
        <v>41580</v>
      </c>
      <c r="AJ303">
        <f>_xlfn.XLOOKUP(B303,'[3]may-2025'!$A:$A,'[3]may-2025'!$H:$H,0,0)</f>
        <v>2000</v>
      </c>
      <c r="AK303">
        <f>_xlfn.XLOOKUP(B303,'[3]may-2025'!$A:$A,'[3]may-2025'!$I:$I,0,0)</f>
        <v>0</v>
      </c>
      <c r="AL303">
        <f>IF($F303="YES",0,IF(AI303&gt;40000,200,IF(AI303&gt;25000,150,IF(AI303&gt;15000,130,IF(AI303&gt;10000,110,0)))))</f>
        <v>200</v>
      </c>
      <c r="AM303">
        <f>AI303-AJ303-AK303-AL303</f>
        <v>39380</v>
      </c>
      <c r="AN303">
        <f>_xlfn.XLOOKUP(B303,'[4]june-2025'!$A:$A,'[4]june-2025'!$C:$C,0,0)</f>
        <v>31600</v>
      </c>
      <c r="AO303">
        <f>AN303*0.18</f>
        <v>5688</v>
      </c>
      <c r="AP303">
        <f>AN303*0.12</f>
        <v>3792</v>
      </c>
      <c r="AQ303">
        <f>_xlfn.XLOOKUP(B303,'[4]june-2025'!$A:$A,'[4]june-2025'!$D:$D,0,0)</f>
        <v>0</v>
      </c>
      <c r="AR303">
        <f>_xlfn.XLOOKUP(B303,'[4]june-2025'!$A:$A,'[4]june-2025'!$G:$G,0,0)</f>
        <v>500</v>
      </c>
      <c r="AS303">
        <f>IF(AN303&gt;0,SUM(AN303:AR303),0)</f>
        <v>41580</v>
      </c>
      <c r="AT303">
        <f>_xlfn.XLOOKUP(B303,'[4]june-2025'!$A:$A,'[4]june-2025'!$H:$H,0,0)</f>
        <v>2000</v>
      </c>
      <c r="AU303">
        <f>_xlfn.XLOOKUP(B303,'[4]june-2025'!$A:$A,'[4]june-2025'!$I:$I,0,0)</f>
        <v>0</v>
      </c>
      <c r="AV303">
        <f>IF($F303="YES",0,IF(AS303&gt;40000,200,IF(AS303&gt;25000,150,IF(AS303&gt;15000,130,IF(AS303&gt;10000,110,0)))))</f>
        <v>200</v>
      </c>
      <c r="AW303">
        <f>AS303-AT303-AU303-AV303</f>
        <v>39380</v>
      </c>
      <c r="AX303">
        <f>_xlfn.XLOOKUP(B303,'[5]july-2025'!$A:$A,'[5]july-2025'!$C:$C,0,0)</f>
        <v>32500</v>
      </c>
      <c r="AY303">
        <f>AX303*0.18</f>
        <v>5850</v>
      </c>
      <c r="AZ303">
        <v>0</v>
      </c>
      <c r="BA303">
        <f>AX303*0.12</f>
        <v>3900</v>
      </c>
      <c r="BB303">
        <f>_xlfn.XLOOKUP(B303,'[5]july-2025'!$A:$A,'[5]july-2025'!$D:$D,0,0)</f>
        <v>0</v>
      </c>
      <c r="BC303">
        <f>_xlfn.XLOOKUP(B303,'[5]july-2025'!$A:$A,'[5]july-2025'!$G:$G,0,0)</f>
        <v>500</v>
      </c>
      <c r="BD303">
        <f>IF(AX303&gt;0,SUM(AX303:BC303),0)</f>
        <v>42750</v>
      </c>
      <c r="BE303">
        <f>_xlfn.XLOOKUP(B303,'[5]july-2025'!$A:$A,'[5]july-2025'!$H:$H,0,0)</f>
        <v>2000</v>
      </c>
      <c r="BF303">
        <f>_xlfn.XLOOKUP(B303,'[5]july-2025'!$A:$A,'[5]july-2025'!$I:$I,0,0)</f>
        <v>0</v>
      </c>
      <c r="BG303">
        <f>IF($F303="YES",0,IF(BD303&gt;40000,200,IF(BD303&gt;25000,150,IF(BD303&gt;15000,130,IF(BD303&gt;10000,110,0)))))</f>
        <v>200</v>
      </c>
      <c r="BH303">
        <f>BD303-BE303-BF303-BG303</f>
        <v>40550</v>
      </c>
      <c r="BI303">
        <f>_xlfn.XLOOKUP(B303,'[6]august-2025'!$A:$A,'[6]august-2025'!$C:$C,0,0)</f>
        <v>32500</v>
      </c>
      <c r="BJ303">
        <f>BI303*0.18</f>
        <v>5850</v>
      </c>
      <c r="BK303">
        <f>BI303*0.12</f>
        <v>3900</v>
      </c>
      <c r="BL303">
        <f>_xlfn.XLOOKUP(B303,'[6]august-2025'!$A:$A,'[6]august-2025'!$D:$D,0,0)</f>
        <v>0</v>
      </c>
      <c r="BM303">
        <f>_xlfn.XLOOKUP(B303,'[6]august-2025'!$A:$A,'[6]august-2025'!$G:$G,0,0)</f>
        <v>500</v>
      </c>
      <c r="BN303">
        <f>IF(BI303&gt;0,SUM(BI303:BM303),0)</f>
        <v>42750</v>
      </c>
      <c r="BO303">
        <f>_xlfn.XLOOKUP(B303,'[6]august-2025'!$A:$A,'[6]august-2025'!$H:$H,0,0)</f>
        <v>2000</v>
      </c>
      <c r="BP303">
        <f>_xlfn.XLOOKUP(B303,'[6]august-2025'!$A:$A,'[6]august-2025'!$I:$I,0,0)</f>
        <v>0</v>
      </c>
      <c r="BQ303">
        <f>IF($F303="YES",0,IF(BN303&gt;40000,200,IF(BN303&gt;25000,150,IF(BN303&gt;15000,130,IF(BN303&gt;10000,110,0)))))</f>
        <v>200</v>
      </c>
      <c r="BR303">
        <f>BN303-BO303-BP303-BQ303</f>
        <v>40550</v>
      </c>
      <c r="BS303">
        <f>_xlfn.XLOOKUP(B303,'[7]september-2025'!$A:$A,'[7]september-2025'!$C:$C,0,0)</f>
        <v>32500</v>
      </c>
      <c r="BT303">
        <f>BS303*0.18</f>
        <v>5850</v>
      </c>
      <c r="BU303">
        <f>BS303*0.12</f>
        <v>3900</v>
      </c>
      <c r="BV303">
        <f>_xlfn.XLOOKUP(B303,'[7]september-2025'!$A:$A,'[7]september-2025'!$D:$D,0,0)</f>
        <v>0</v>
      </c>
      <c r="BW303">
        <f>_xlfn.XLOOKUP(B303,'[7]september-2025'!$A:$A,'[7]september-2025'!$G:$G,0,0)</f>
        <v>500</v>
      </c>
      <c r="BX303">
        <f>IF(BS303&gt;0,SUM(BS303:BW303),0)</f>
        <v>42750</v>
      </c>
      <c r="BY303">
        <f>_xlfn.XLOOKUP(B303,'[7]september-2025'!$A:$A,'[7]september-2025'!$H:$H,0,0)</f>
        <v>2000</v>
      </c>
      <c r="BZ303">
        <f>_xlfn.XLOOKUP(B303,'[7]september-2025'!$A:$A,'[7]september-2025'!$I:$I,0,0)</f>
        <v>0</v>
      </c>
      <c r="CA303">
        <f>IF($F303="YES",0,IF(BX303&gt;40000,200,IF(BX303&gt;25000,150,IF(BX303&gt;15000,130,IF(BX303&gt;10000,110,0)))))</f>
        <v>200</v>
      </c>
      <c r="CB303">
        <f>BX303-BY303-BZ303-CA303</f>
        <v>40550</v>
      </c>
      <c r="CC303">
        <f>_xlfn.XLOOKUP(B303,'[8]october-2025'!$A:$A,'[8]october-2025'!$C:$C,0,0)</f>
        <v>32500</v>
      </c>
      <c r="CD303">
        <f>CC303*0.18</f>
        <v>5850</v>
      </c>
      <c r="CE303">
        <f>CC303*0.12</f>
        <v>3900</v>
      </c>
      <c r="CF303">
        <f>_xlfn.XLOOKUP(B303,'[8]october-2025'!$A:$A,'[8]october-2025'!$D:$D,0,0)</f>
        <v>0</v>
      </c>
      <c r="CG303">
        <f>_xlfn.XLOOKUP(B303,'[8]october-2025'!$A:$A,'[8]october-2025'!$G:$G,0,0)</f>
        <v>500</v>
      </c>
      <c r="CH303">
        <f>IF(CC303&gt;0,SUM(CC303:CG303),0)</f>
        <v>42750</v>
      </c>
      <c r="CI303">
        <f>_xlfn.XLOOKUP(B303,'[8]october-2025'!$A:$A,'[8]october-2025'!$H:$H,0,0)</f>
        <v>2000</v>
      </c>
      <c r="CJ303">
        <f>_xlfn.XLOOKUP(B303,'[8]october-2025'!$A:$A,'[8]october-2025'!$I:$I,0,0)</f>
        <v>0</v>
      </c>
      <c r="CK303">
        <f>IF($F303="YES",0,IF(CH303&gt;40000,200,IF(CH303&gt;25000,150,IF(CH303&gt;15000,130,IF(CH303&gt;10000,110,0)))))</f>
        <v>200</v>
      </c>
      <c r="CL303">
        <f>CH303-CI303-CJ303-CK303</f>
        <v>40550</v>
      </c>
      <c r="CM303">
        <f>_xlfn.XLOOKUP(B303,'[9]november-2025'!$A:$A,'[9]november-2025'!$C:$C,0,0)</f>
        <v>32500</v>
      </c>
      <c r="CN303">
        <f>CM303*0.18</f>
        <v>5850</v>
      </c>
      <c r="CO303">
        <f>CM303*0.12</f>
        <v>3900</v>
      </c>
      <c r="CP303">
        <f>_xlfn.XLOOKUP(B303,'[9]november-2025'!$A:$A,'[9]november-2025'!$D:$D,0,0)</f>
        <v>0</v>
      </c>
      <c r="CQ303">
        <f>_xlfn.XLOOKUP(B303,'[9]november-2025'!$A:$A,'[9]november-2025'!$G:$G,0,0)</f>
        <v>500</v>
      </c>
      <c r="CR303">
        <f>IF(CM303&gt;0,SUM(CM303:CQ303),0)</f>
        <v>42750</v>
      </c>
      <c r="CS303">
        <f>_xlfn.XLOOKUP(B303,'[9]november-2025'!$A:$A,'[9]november-2025'!$H:$H,0,0)</f>
        <v>2000</v>
      </c>
      <c r="CT303">
        <f>_xlfn.XLOOKUP(B303,'[9]november-2025'!$A:$A,'[9]november-2025'!$I:$I,0,0)</f>
        <v>0</v>
      </c>
      <c r="CU303">
        <f>IF($F303="YES",0,IF(CR303&gt;40000,200,IF(CR303&gt;25000,150,IF(CR303&gt;15000,130,IF(CR303&gt;10000,110,0)))))</f>
        <v>200</v>
      </c>
      <c r="CV303">
        <f>CR303-CS303-CT303-CU303</f>
        <v>40550</v>
      </c>
      <c r="CW303">
        <f>_xlfn.XLOOKUP(B303,'[10]december-2025'!$A:$A,'[10]december-2025'!$C:$C,0,0)</f>
        <v>32500</v>
      </c>
      <c r="CX303">
        <f>ROUND(CW303*0.18,0)</f>
        <v>5850</v>
      </c>
      <c r="CY303">
        <f>ROUND(CW303*0.12,0)</f>
        <v>3900</v>
      </c>
      <c r="CZ303">
        <f>_xlfn.XLOOKUP(B303,'[10]december-2025'!$A:$A,'[10]december-2025'!$D:$D,0,0)</f>
        <v>0</v>
      </c>
      <c r="DA303">
        <f>_xlfn.XLOOKUP(B303,'[10]december-2025'!$A:$A,'[10]december-2025'!$G:$G,0,0)</f>
        <v>500</v>
      </c>
      <c r="DB303">
        <f>IF(CW303&gt;0,SUM(CW303:DA303),0)</f>
        <v>42750</v>
      </c>
      <c r="DC303">
        <f>_xlfn.XLOOKUP(B303,'[10]december-2025'!$A:$A,'[10]december-2025'!$H:$H,0,0)</f>
        <v>2000</v>
      </c>
      <c r="DD303">
        <f>_xlfn.XLOOKUP(B303,'[10]december-2025'!$A:$A,'[10]december-2025'!$I:$I,0,0)</f>
        <v>0</v>
      </c>
      <c r="DE303">
        <f>IF($F303="YES",0,IF(DB303&gt;40000,200,IF(DB303&gt;25000,150,IF(DB303&gt;15000,130,IF(DB303&gt;10000,110,0)))))</f>
        <v>200</v>
      </c>
      <c r="DF303">
        <f>DB303-DC303-DD303-DE303</f>
        <v>40550</v>
      </c>
      <c r="DG303">
        <f>_xlfn.XLOOKUP(B303,'[11]january-2026'!$A:$A,'[11]january-2026'!$C:$C,0,0)</f>
        <v>0</v>
      </c>
      <c r="DH303">
        <f>DG303*0.18</f>
        <v>0</v>
      </c>
      <c r="DI303">
        <f>DG303*0.12</f>
        <v>0</v>
      </c>
      <c r="DJ303">
        <f>_xlfn.XLOOKUP(B303,'[11]january-2026'!$A:$A,'[11]january-2026'!$D:$D,0,0)</f>
        <v>0</v>
      </c>
      <c r="DK303">
        <f>_xlfn.XLOOKUP(B303,'[11]january-2026'!$A:$A,'[11]january-2026'!$G:$G,0,0)</f>
        <v>0</v>
      </c>
      <c r="DL303">
        <f>IF(DG303&gt;0,SUM(DG303:DK303),0)</f>
        <v>0</v>
      </c>
      <c r="DM303">
        <f>_xlfn.XLOOKUP(B303,'[11]january-2026'!$A:$A,'[11]january-2026'!$H:$H,0,0)</f>
        <v>0</v>
      </c>
      <c r="DN303">
        <f>_xlfn.XLOOKUP(B303,'[11]january-2026'!$A:$A,'[11]january-2026'!$I:$I,0,0)</f>
        <v>0</v>
      </c>
      <c r="DO303">
        <f>IF($F303="YES",0,IF(DL303&gt;40000,200,IF(DL303&gt;25000,150,IF(DL303&gt;15000,130,IF(DL303&gt;10000,110,0)))))</f>
        <v>0</v>
      </c>
      <c r="DP303">
        <f>DL303-DM303-DN303-DO303</f>
        <v>0</v>
      </c>
      <c r="DQ303">
        <f>_xlfn.XLOOKUP(B303,'[12]february-2026'!$A:$A,'[12]february-2026'!$C:$C,0,0)</f>
        <v>0</v>
      </c>
      <c r="DR303">
        <f>DQ303*0.18</f>
        <v>0</v>
      </c>
      <c r="DS303">
        <f>DQ303*0.12</f>
        <v>0</v>
      </c>
      <c r="DT303">
        <f>_xlfn.XLOOKUP(B303,'[12]february-2026'!$A:$A,'[12]february-2026'!$D:$D,0,0)</f>
        <v>0</v>
      </c>
      <c r="DU303">
        <f>_xlfn.XLOOKUP(B303,'[12]february-2026'!$A:$A,'[12]february-2026'!$G:$G,0,0)</f>
        <v>0</v>
      </c>
      <c r="DV303">
        <f>IF(DQ303&gt;0,SUM(DQ303:DU303),0)</f>
        <v>0</v>
      </c>
      <c r="DW303">
        <f>_xlfn.XLOOKUP(B303,'[12]february-2026'!$A:$A,'[12]february-2026'!$H:$H,0,0)</f>
        <v>0</v>
      </c>
      <c r="DX303">
        <f>_xlfn.XLOOKUP(B303,'[12]february-2026'!$A:$A,'[12]february-2026'!$I:$I,0,0)</f>
        <v>0</v>
      </c>
      <c r="DY303">
        <f>IF($F303="YES",0,IF(DV303&gt;40000,200,IF(DV303&gt;25000,150,IF(DV303&gt;15000,130,IF(DV303&gt;10000,110,0)))))</f>
        <v>0</v>
      </c>
      <c r="DZ303">
        <f>DV303-DW303-DX303-DY303</f>
        <v>0</v>
      </c>
      <c r="EA303">
        <f>DV303+DL303+DB303+CR303+CH303+BX303+BN303+BD303+AS303+AI303+Y303+O303+H303+I303</f>
        <v>428356</v>
      </c>
      <c r="EB303">
        <f>DY303+DO303+DE303+CU303+CK303+CA303+BQ303+BG303+AV303+AL303+AB303+R303</f>
        <v>2000</v>
      </c>
      <c r="EC303">
        <f>IF(EA303&gt;0,50000,0)</f>
        <v>50000</v>
      </c>
      <c r="ED303">
        <v>0</v>
      </c>
      <c r="EE303">
        <f>EA303-EB303-EC303</f>
        <v>376356</v>
      </c>
      <c r="EF303">
        <f>DW303+DM303+DC303+CS303+CI303+BY303+BO303+BE303+AT303+AJ303+Z303+P303</f>
        <v>20000</v>
      </c>
      <c r="EG303">
        <f>DX303+DN303+DD303+CT303+CJ303+BZ303+BP303+BF303+AU303+AK303+AA303+Q303</f>
        <v>0</v>
      </c>
      <c r="EH303">
        <v>0</v>
      </c>
      <c r="EI303">
        <v>0</v>
      </c>
      <c r="EJ303">
        <v>0</v>
      </c>
      <c r="EK303">
        <v>0</v>
      </c>
      <c r="EL303">
        <v>0</v>
      </c>
      <c r="EM303">
        <v>0</v>
      </c>
      <c r="EN303">
        <v>0</v>
      </c>
      <c r="EO303">
        <v>0</v>
      </c>
      <c r="EP303">
        <v>0</v>
      </c>
      <c r="EQ303">
        <v>0</v>
      </c>
      <c r="ER303">
        <f>SUM(EF303:EQ303)</f>
        <v>20000</v>
      </c>
      <c r="ES303">
        <f>IF(ER303&gt;=150000,150000,ER303)</f>
        <v>20000</v>
      </c>
      <c r="ET303">
        <f>EE303-ES303</f>
        <v>356356</v>
      </c>
      <c r="EU303">
        <v>0</v>
      </c>
      <c r="EV303">
        <v>0</v>
      </c>
      <c r="EW303">
        <v>0</v>
      </c>
      <c r="EX303">
        <v>0</v>
      </c>
      <c r="EY303">
        <v>0</v>
      </c>
      <c r="EZ303">
        <v>0</v>
      </c>
      <c r="FA303">
        <v>0</v>
      </c>
      <c r="FB303">
        <f>SUM(EU303:FA303)+(IF(F303="YES",50000,0))</f>
        <v>0</v>
      </c>
      <c r="FC303">
        <f>ET303-FB303</f>
        <v>356356</v>
      </c>
      <c r="FD303">
        <f>ROUND(IF(FC303&gt;0,IF(FC303&gt;500000,12500,(FC303-250000)*0.05),0),0)</f>
        <v>5318</v>
      </c>
      <c r="FE303">
        <f>IF(ROUND(IF(FC303&gt;0,IF(FC303&gt;1000000,25000,(FC303-500000)*0.2),0),0)&lt;0,0,ROUND(IF(FC303&gt;0,IF(FC303&gt;1000000,25000,(FC303-500000)*0.2),0),0))</f>
        <v>0</v>
      </c>
      <c r="FF303">
        <f>FD303+FE303</f>
        <v>5318</v>
      </c>
      <c r="FG303">
        <f>IF(FF303&lt;12500,0,FF303)</f>
        <v>0</v>
      </c>
      <c r="FH303">
        <f>FG303*0.04</f>
        <v>0</v>
      </c>
      <c r="FI303">
        <f>ROUND(FH303+FG303,0)</f>
        <v>0</v>
      </c>
      <c r="FJ303">
        <v>0</v>
      </c>
      <c r="FK303">
        <f>FI303-FJ303</f>
        <v>0</v>
      </c>
      <c r="FL303" t="b">
        <f>IF(EA303&gt;500000,TRUE,FALSE)</f>
        <v>0</v>
      </c>
      <c r="FM303">
        <f ca="1">IF(FL303,RANDBETWEEN(500,1000),RANDBETWEEN(1000,3000))</f>
        <v>2979</v>
      </c>
      <c r="FN303">
        <f ca="1">EA303+FM303</f>
        <v>431335</v>
      </c>
      <c r="FO303">
        <f>IF(EA303&gt;0,75000,0)</f>
        <v>75000</v>
      </c>
      <c r="FP303">
        <f ca="1">FN303-FO303</f>
        <v>356335</v>
      </c>
      <c r="FQ303">
        <f ca="1">IF(FP303&gt;2400000,FP303-2400000,0)</f>
        <v>0</v>
      </c>
      <c r="FR303">
        <f ca="1">FQ303*0.3</f>
        <v>0</v>
      </c>
      <c r="FS303">
        <f ca="1">IF(FP303&gt;2000000,FP303-2000000,0)</f>
        <v>0</v>
      </c>
      <c r="FT303">
        <f ca="1">FS303*0.25</f>
        <v>0</v>
      </c>
      <c r="FU303">
        <f ca="1">IF(FP303&gt;1600000,FP303-1600000-FQ303,0)</f>
        <v>0</v>
      </c>
      <c r="FV303">
        <f ca="1">FU303*0.2</f>
        <v>0</v>
      </c>
      <c r="FW303">
        <f ca="1">IF(FP303&gt;1200000,FP303-1200000-IF(F303="YES",50000,0)-FU303,0)</f>
        <v>0</v>
      </c>
      <c r="FX303">
        <f ca="1">FW303*0.15</f>
        <v>0</v>
      </c>
      <c r="FY303">
        <f ca="1">IF(FP303&gt;800000,FP303-800000-FQ303-FU303-FW303,0)</f>
        <v>0</v>
      </c>
      <c r="FZ303">
        <f ca="1">FY303*0.1</f>
        <v>0</v>
      </c>
      <c r="GA303">
        <f ca="1">IF(FP303&gt;400000,FP303-400000-FQ303-FU303-FW303-FY303,0)</f>
        <v>0</v>
      </c>
      <c r="GB303">
        <f ca="1">GA303*0.05</f>
        <v>0</v>
      </c>
      <c r="GC303">
        <f ca="1">ROUND(FR303+FT303+FV303+FX303+FZ303+GB303,0)</f>
        <v>0</v>
      </c>
      <c r="GD303">
        <f ca="1">IF(FP303&gt;1200000,FP303,0)</f>
        <v>0</v>
      </c>
      <c r="GE303">
        <f ca="1">IF(FP303&gt;1200000,GD303-1200000,0)</f>
        <v>0</v>
      </c>
      <c r="GF303">
        <f ca="1">IF(FP303&lt;1200001,MIN(GC303,60000),0)</f>
        <v>0</v>
      </c>
      <c r="GG303">
        <f ca="1">IF(FP303&gt;1200000,GC303-GE303,0)</f>
        <v>0</v>
      </c>
      <c r="GH303" t="b">
        <f ca="1">IF(GG303&gt;0,TRUE,FALSE)</f>
        <v>0</v>
      </c>
      <c r="GI303">
        <f ca="1">IF(GH303,GG303,0)</f>
        <v>0</v>
      </c>
      <c r="GJ303">
        <f ca="1">GF303+GI303</f>
        <v>0</v>
      </c>
      <c r="GK303">
        <f ca="1">ROUND(GC303-GJ303,0)</f>
        <v>0</v>
      </c>
      <c r="GL303">
        <f ca="1">GK303*0.04</f>
        <v>0</v>
      </c>
      <c r="GM303">
        <f ca="1">ROUNDUP(GK303+GL303,0)</f>
        <v>0</v>
      </c>
    </row>
  </sheetData>
  <sortState xmlns:xlrd2="http://schemas.microsoft.com/office/spreadsheetml/2017/richdata2" ref="A2:GM303">
    <sortCondition ref="D2:D303"/>
  </sortState>
  <phoneticPr fontId="1" type="noConversion"/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USPRYS</dc:creator>
  <cp:lastModifiedBy>Islam</cp:lastModifiedBy>
  <dcterms:created xsi:type="dcterms:W3CDTF">2024-12-05T07:00:12Z</dcterms:created>
  <dcterms:modified xsi:type="dcterms:W3CDTF">2025-11-19T16:02:17Z</dcterms:modified>
</cp:coreProperties>
</file>